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umple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Y6GpXkXqK4Z1x496d+/dKP9cDptnNHPEWMBjbFI6+ss="/>
    </ext>
  </extLst>
</workbook>
</file>

<file path=xl/sharedStrings.xml><?xml version="1.0" encoding="utf-8"?>
<sst xmlns="http://schemas.openxmlformats.org/spreadsheetml/2006/main" count="1200" uniqueCount="265">
  <si>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</si>
  <si>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</si>
  <si>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</si>
  <si>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</si>
  <si>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</si>
  <si>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</si>
  <si>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</si>
  <si>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</si>
  <si>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</si>
  <si>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</si>
  <si>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</si>
  <si>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</si>
  <si>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</si>
  <si>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</si>
  <si>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</si>
  <si>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</si>
  <si>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</si>
  <si>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</si>
  <si>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</si>
  <si>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</si>
  <si>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</si>
  <si>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</si>
  <si>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</si>
  <si>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</si>
  <si>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</si>
  <si>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</si>
  <si>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</si>
  <si>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</si>
  <si>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</si>
  <si>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</si>
  <si>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</si>
  <si>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</si>
  <si>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</si>
  <si>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</si>
  <si>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</si>
  <si>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</si>
  <si>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</si>
  <si>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</si>
  <si>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</si>
  <si>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</si>
  <si>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</si>
  <si>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</si>
  <si>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</si>
  <si>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</si>
  <si>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</si>
  <si>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</si>
  <si>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</si>
  <si>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</si>
  <si>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</si>
  <si>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</si>
  <si>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</si>
  <si>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</si>
  <si>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</si>
  <si>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</si>
  <si>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</si>
  <si>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</si>
  <si>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</si>
  <si>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</si>
  <si>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</si>
  <si>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</si>
  <si>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</si>
  <si>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</si>
  <si>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</si>
  <si>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</si>
  <si>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</si>
  <si>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</si>
  <si>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</si>
  <si>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</si>
  <si>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</si>
  <si>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</si>
  <si>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</si>
  <si>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</si>
  <si>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</si>
  <si>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</si>
  <si>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</si>
  <si>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</si>
  <si>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</si>
  <si>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</si>
  <si>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</si>
  <si>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</si>
  <si>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</si>
  <si>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</si>
  <si>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</si>
  <si>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</si>
  <si>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</si>
  <si>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</si>
  <si>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</si>
  <si>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</si>
  <si>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</si>
  <si>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CombinedHumanGrading</t>
  </si>
  <si>
    <t>Notes</t>
  </si>
  <si>
    <t>entry action isnt there but the transition has the function so its ok</t>
  </si>
  <si>
    <t>covered by action on transition instead of entry action, same thing</t>
  </si>
  <si>
    <t>flashAlertOn and FlashAlertOff exists but in wrong location, so half points for some</t>
  </si>
  <si>
    <t>to OperatingModes</t>
  </si>
  <si>
    <t>Operating modes</t>
  </si>
  <si>
    <t>showTime where alarmDisabled is equiv to idle</t>
  </si>
  <si>
    <t>idle isn't there but same concept is</t>
  </si>
  <si>
    <t>not needed since the way it's represented is in showtime alread</t>
  </si>
  <si>
    <t>shown with states instead, half because alarm needs to be on for it to happen, not the case in the sol</t>
  </si>
  <si>
    <t>still possible with version shown</t>
  </si>
  <si>
    <t>same as state itslef so its ok</t>
  </si>
  <si>
    <t>initial state itself is equiv</t>
  </si>
  <si>
    <t>countdowntimeset covers this</t>
  </si>
  <si>
    <t>covered by state itself</t>
  </si>
  <si>
    <t>shown as entry/exit action</t>
  </si>
  <si>
    <t>shown in entry state</t>
  </si>
  <si>
    <t>AlarmNotification state</t>
  </si>
  <si>
    <t>2 additional history states, they didnt have any transitions to them either</t>
  </si>
  <si>
    <t>Gemini 3.1 Pro Preview Grading</t>
  </si>
  <si>
    <t>No initial state pointing to Watch</t>
  </si>
  <si>
    <t>No initial actions defined</t>
  </si>
  <si>
    <t>Watch state is present</t>
  </si>
  <si>
    <t>Represented by Backlight region</t>
  </si>
  <si>
    <t>Initial state points to BacklightOff</t>
  </si>
  <si>
    <t>Represented by BacklightOff</t>
  </si>
  <si>
    <t>No entry action for light off</t>
  </si>
  <si>
    <t>Transition D to BacklightOn is present</t>
  </si>
  <si>
    <t>Represented by BacklightOn</t>
  </si>
  <si>
    <t>Action is on the transition rather than entry</t>
  </si>
  <si>
    <t>Transition D to BacklightOff is present</t>
  </si>
  <si>
    <t>Transition after_10sec to BacklightOff is present</t>
  </si>
  <si>
    <t>No transition to a Flash state in backlight</t>
  </si>
  <si>
    <t>No flashAlert guard on backlight transitions</t>
  </si>
  <si>
    <t>No Flash state in backlight region</t>
  </si>
  <si>
    <t>Flashing is handled via notes on notification states</t>
  </si>
  <si>
    <t>No Flash state</t>
  </si>
  <si>
    <t>Represented by ModeControl region</t>
  </si>
  <si>
    <t>Initial state points to OperatingModes instead of an AlarmOff wrapper</t>
  </si>
  <si>
    <t>No explicit AlarmOff wrapper state</t>
  </si>
  <si>
    <t>Initial state points to Timekeeping</t>
  </si>
  <si>
    <t>Represented by Timekeeping state</t>
  </si>
  <si>
    <t>Initial state points to ShowTime</t>
  </si>
  <si>
    <t>Represented by ShowTime</t>
  </si>
  <si>
    <t>No display time action</t>
  </si>
  <si>
    <t>Handled via transitions between FlashAlertOff and FlashAlertOn states</t>
  </si>
  <si>
    <t>Handled via state transitions for FlashAlert</t>
  </si>
  <si>
    <t>Handled via transitions between AlarmDisabled and AlarmEnabled states</t>
  </si>
  <si>
    <t>Handled via state transitions for Alarm</t>
  </si>
  <si>
    <t>Transition C to SettingTime and SettingSeconds is present</t>
  </si>
  <si>
    <t>No flash seconds action</t>
  </si>
  <si>
    <t>Transition A to Alarm is present</t>
  </si>
  <si>
    <t>Represented by SettingSeconds</t>
  </si>
  <si>
    <t>Transition B to increment seconds is present</t>
  </si>
  <si>
    <t>Represented by incrementSeconds()</t>
  </si>
  <si>
    <t>Transition C to SettingMinutes is present</t>
  </si>
  <si>
    <t>No flash minutes action</t>
  </si>
  <si>
    <t>Represented by SettingMinutes</t>
  </si>
  <si>
    <t>Transition B to increment minutes is present</t>
  </si>
  <si>
    <t>Represented by incrementMinutes()</t>
  </si>
  <si>
    <t>Transition C to SettingHours is present</t>
  </si>
  <si>
    <t>No flash hours action</t>
  </si>
  <si>
    <t>Represented by SettingHours</t>
  </si>
  <si>
    <t>Transition B to increment hours is present</t>
  </si>
  <si>
    <t>Represented by incrementHours()</t>
  </si>
  <si>
    <t>Transition C to SettingSeconds is present</t>
  </si>
  <si>
    <t>Represented by Alarm state</t>
  </si>
  <si>
    <t>Initial state points to ShowAlarm</t>
  </si>
  <si>
    <t>Represented by ShowAlarm</t>
  </si>
  <si>
    <t>No display alarm time action</t>
  </si>
  <si>
    <t>Transition C to SettingAlarm and SettingAlarmMinutes is present</t>
  </si>
  <si>
    <t>Transition A to Countdown is present</t>
  </si>
  <si>
    <t>Represented by SettingAlarmMinutes</t>
  </si>
  <si>
    <t>Transition B to increment alarm minutes is present</t>
  </si>
  <si>
    <t>Represented by incrementAlarmMinutes()</t>
  </si>
  <si>
    <t>Transition C to SettingAlarmHours is present</t>
  </si>
  <si>
    <t>Represented by SettingAlarmHours</t>
  </si>
  <si>
    <t>Transition B to increment alarm hours is present</t>
  </si>
  <si>
    <t>Represented by incrementAlarmHours()</t>
  </si>
  <si>
    <t>Transition C to SettingAlarmMinutes is present</t>
  </si>
  <si>
    <t>Represented by Countdown state</t>
  </si>
  <si>
    <t>Initial state points to ShowCountdown</t>
  </si>
  <si>
    <t>Represented by ShowCountdown</t>
  </si>
  <si>
    <t>No display countdown time action</t>
  </si>
  <si>
    <t>Transition C to SettingCountdown and SettingCountdownSeconds is present</t>
  </si>
  <si>
    <t>Transition B to CountdownRunning is present</t>
  </si>
  <si>
    <t>Represented by countdownTimeSet guard</t>
  </si>
  <si>
    <t>No target time calculation action</t>
  </si>
  <si>
    <t>Transition A to Timekeeping is present</t>
  </si>
  <si>
    <t>Represented by SettingCountdownSeconds</t>
  </si>
  <si>
    <t>Transition B to increment countdown seconds is present</t>
  </si>
  <si>
    <t>Represented by incrementCountdownSeconds()</t>
  </si>
  <si>
    <t>Transition C to SettingCountdownMinutes is present</t>
  </si>
  <si>
    <t>Represented by SettingCountdownMinutes</t>
  </si>
  <si>
    <t>Transition B to increment countdown minutes is present</t>
  </si>
  <si>
    <t>Represented by incrementCountdownMinutes()</t>
  </si>
  <si>
    <t>Transition C to SettingCountdownHours is present</t>
  </si>
  <si>
    <t>Represented by SettingCountdownHours</t>
  </si>
  <si>
    <t>Transition B to increment countdown hours is present</t>
  </si>
  <si>
    <t>Represented by incrementCountdownHours()</t>
  </si>
  <si>
    <t>Transition C to SettingCountdownSeconds is present</t>
  </si>
  <si>
    <t>Represented by CountdownRunning</t>
  </si>
  <si>
    <t>No display countdown action</t>
  </si>
  <si>
    <t>Represented by countdownComplete transition to CountdownNotifications</t>
  </si>
  <si>
    <t>Handled via notes on CountdownNotifications</t>
  </si>
  <si>
    <t>Represented by CountdownNotifications</t>
  </si>
  <si>
    <t>Represented by entry actions in notes</t>
  </si>
  <si>
    <t>Transition anyButton to ShowCountdown is present</t>
  </si>
  <si>
    <t>History states are present</t>
  </si>
  <si>
    <t>Represented by alarmTimeReached transition to AlarmNotifications</t>
  </si>
  <si>
    <t>No save display action</t>
  </si>
  <si>
    <t>Handled via notes on AlarmNotifications</t>
  </si>
  <si>
    <t>Represented by AlarmNotifications</t>
  </si>
  <si>
    <t>No restore display action</t>
  </si>
  <si>
    <t>Transition anyButton to H is present</t>
  </si>
  <si>
    <t>Additional states are reasonable structural choices</t>
  </si>
  <si>
    <t>Additional transitions are correct per system description</t>
  </si>
  <si>
    <t>No unreasonable additional guards</t>
  </si>
  <si>
    <t>No unreasonable additional actions</t>
  </si>
  <si>
    <t>Additional composite states are reasonable structural choices</t>
  </si>
  <si>
    <t>No unreasonable additional regions</t>
  </si>
  <si>
    <t>No unreasonable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</si>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</sst>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color theme="1"/>
      <name val="Arial"/>
    </font>
    <font>
      <b/>
      <sz val="10.0"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5" fontId="6" numFmtId="0" xfId="0" applyAlignment="1" applyBorder="1" applyFont="1">
      <alignment vertical="bottom"/>
    </xf>
    <xf borderId="8" fillId="5" fontId="1" numFmtId="0" xfId="0" applyAlignment="1" applyBorder="1" applyFont="1">
      <alignment horizontal="center"/>
    </xf>
    <xf borderId="1" fillId="3" fontId="6" numFmtId="0" xfId="0" applyAlignment="1" applyBorder="1" applyFont="1">
      <alignment vertical="bottom"/>
    </xf>
    <xf borderId="8" fillId="6" fontId="7" numFmtId="0" xfId="0" applyAlignment="1" applyBorder="1" applyFill="1" applyFont="1">
      <alignment shrinkToFit="0" wrapText="1"/>
    </xf>
    <xf borderId="8" fillId="0" fontId="2" numFmtId="0" xfId="0" applyAlignment="1" applyBorder="1" applyFont="1">
      <alignment horizontal="right"/>
    </xf>
    <xf borderId="0" fillId="0" fontId="6" numFmtId="0" xfId="0" applyAlignment="1" applyFont="1">
      <alignment vertical="bottom"/>
    </xf>
    <xf borderId="8" fillId="0" fontId="1" numFmtId="0" xfId="0" applyBorder="1" applyFont="1"/>
    <xf borderId="0" fillId="0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8" numFmtId="0" xfId="0" applyFont="1"/>
    <xf borderId="9" fillId="0" fontId="2" numFmtId="0" xfId="0" applyAlignment="1" applyBorder="1" applyFont="1">
      <alignment horizontal="right"/>
    </xf>
    <xf borderId="10" fillId="0" fontId="3" numFmtId="0" xfId="0" applyBorder="1" applyFont="1"/>
    <xf borderId="1" fillId="2" fontId="2" numFmtId="0" xfId="0" applyBorder="1" applyFont="1"/>
    <xf borderId="0" fillId="0" fontId="4" numFmtId="0" xfId="0" applyAlignment="1" applyFont="1">
      <alignment horizontal="center"/>
    </xf>
    <xf borderId="11" fillId="0" fontId="4" numFmtId="0" xfId="0" applyAlignment="1" applyBorder="1" applyFont="1">
      <alignment horizontal="center"/>
    </xf>
    <xf borderId="11" fillId="0" fontId="5" numFmtId="0" xfId="0" applyBorder="1" applyFont="1"/>
    <xf borderId="12" fillId="7" fontId="3" numFmtId="0" xfId="0" applyAlignment="1" applyBorder="1" applyFill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5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5" fillId="7" fontId="3" numFmtId="0" xfId="0" applyAlignment="1" applyBorder="1" applyFont="1">
      <alignment horizontal="center" vertical="center"/>
    </xf>
    <xf borderId="4" fillId="7" fontId="3" numFmtId="0" xfId="0" applyAlignment="1" applyBorder="1" applyFont="1">
      <alignment horizontal="center" vertical="center"/>
    </xf>
    <xf borderId="26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12" fillId="7" fontId="2" numFmtId="0" xfId="0" applyAlignment="1" applyBorder="1" applyFont="1">
      <alignment horizontal="center"/>
    </xf>
    <xf borderId="13" fillId="7" fontId="2" numFmtId="0" xfId="0" applyAlignment="1" applyBorder="1" applyFont="1">
      <alignment horizontal="center"/>
    </xf>
    <xf borderId="14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25" fillId="7" fontId="2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6" fillId="7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Wumple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6" displayName="Table_1" name="Table_1" id="1">
  <tableColumns count="2">
    <tableColumn name="Type" id="1"/>
    <tableColumn name="Element" id="2"/>
  </tableColumns>
  <tableStyleInfo name="Wumple-style" showColumnStripes="0" showFirstColumn="1" showLastColumn="1" showRowStripes="1"/>
</table>
</file>

<file path=xl/tables/table2.xml><?xml version="1.0" encoding="utf-8"?>
<table xmlns="http://schemas.openxmlformats.org/spreadsheetml/2006/main" ref="A1:D116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116" displayName="Table_3" name="Table_3" id="3">
  <tableColumns count="4">
    <tableColumn name="Type" id="1"/>
    <tableColumn name="Element" id="2"/>
    <tableColumn name="Gemini 3.1 Pro Preview Grading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116" displayName="Table_7" name="Table_7" id="7">
  <tableColumns count="4">
    <tableColumn name="Type" id="1"/>
    <tableColumn name="Element" id="2"/>
    <tableColumn name="CombinedHumanGrading" id="3"/>
    <tableColumn name="Gemini 3.1 Pro Preview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116" displayName="Table_8" name="Table_8" id="8">
  <tableColumns count="4">
    <tableColumn name="Type" id="1"/>
    <tableColumn name="Element" id="2"/>
    <tableColumn name="CombinedHumanGrading" id="3"/>
    <tableColumn name="Gemini 3.1 Pro Preview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24.75" customHeight="1">
      <c r="A3" s="5" t="s">
        <v>4</v>
      </c>
      <c r="B3" s="8" t="s">
        <v>5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6</v>
      </c>
      <c r="B4" s="6" t="s">
        <v>7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8</v>
      </c>
      <c r="B5" s="6" t="s">
        <v>9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2</v>
      </c>
      <c r="B6" s="6" t="s">
        <v>10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">
        <v>2</v>
      </c>
      <c r="B7" s="6" t="s">
        <v>11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4</v>
      </c>
      <c r="B8" s="6" t="s">
        <v>12</v>
      </c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13</v>
      </c>
      <c r="B9" s="6" t="s">
        <v>14</v>
      </c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2</v>
      </c>
      <c r="B10" s="6" t="s">
        <v>15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4</v>
      </c>
      <c r="B11" s="6" t="s">
        <v>16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13</v>
      </c>
      <c r="B12" s="6" t="s">
        <v>17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13</v>
      </c>
      <c r="B13" s="6" t="s">
        <v>18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13</v>
      </c>
      <c r="B14" s="6" t="s">
        <v>19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20</v>
      </c>
      <c r="B15" s="6" t="s">
        <v>21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2</v>
      </c>
      <c r="B16" s="6" t="s">
        <v>22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5" t="s">
        <v>4</v>
      </c>
      <c r="B17" s="6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5" t="s">
        <v>13</v>
      </c>
      <c r="B18" s="6" t="s">
        <v>24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">
        <v>20</v>
      </c>
      <c r="B19" s="6" t="s">
        <v>21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13</v>
      </c>
      <c r="B20" s="6" t="s">
        <v>25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8</v>
      </c>
      <c r="B21" s="6" t="s">
        <v>26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">
        <v>2</v>
      </c>
      <c r="B22" s="6" t="s">
        <v>27</v>
      </c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">
        <v>6</v>
      </c>
      <c r="B23" s="6" t="s">
        <v>28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5" t="s">
        <v>2</v>
      </c>
      <c r="B24" s="6" t="s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6</v>
      </c>
      <c r="B25" s="6" t="s">
        <v>30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5" t="s">
        <v>2</v>
      </c>
      <c r="B26" s="6" t="s">
        <v>31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5" t="s">
        <v>2</v>
      </c>
      <c r="B27" s="6" t="s">
        <v>32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">
        <v>4</v>
      </c>
      <c r="B28" s="6" t="s">
        <v>33</v>
      </c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">
        <v>13</v>
      </c>
      <c r="B29" s="6" t="s">
        <v>34</v>
      </c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">
        <v>4</v>
      </c>
      <c r="B30" s="6" t="s">
        <v>35</v>
      </c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5" t="s">
        <v>13</v>
      </c>
      <c r="B31" s="6" t="s">
        <v>36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5" t="s">
        <v>4</v>
      </c>
      <c r="B32" s="6" t="s">
        <v>37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5" t="s">
        <v>13</v>
      </c>
      <c r="B33" s="6" t="s">
        <v>38</v>
      </c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">
        <v>4</v>
      </c>
      <c r="B34" s="6" t="s">
        <v>39</v>
      </c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">
        <v>13</v>
      </c>
      <c r="B35" s="6" t="s">
        <v>40</v>
      </c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">
        <v>2</v>
      </c>
      <c r="B36" s="6" t="s">
        <v>41</v>
      </c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">
        <v>13</v>
      </c>
      <c r="B37" s="6" t="s">
        <v>42</v>
      </c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4</v>
      </c>
      <c r="B38" s="6" t="s">
        <v>43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0" customHeight="1">
      <c r="A39" s="5" t="s">
        <v>13</v>
      </c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5" t="s">
        <v>4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2</v>
      </c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5" t="s">
        <v>13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4</v>
      </c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13</v>
      </c>
      <c r="B44" s="6" t="s">
        <v>49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5" t="s">
        <v>4</v>
      </c>
      <c r="B45" s="6" t="s">
        <v>50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5" t="s">
        <v>2</v>
      </c>
      <c r="B46" s="6" t="s">
        <v>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5" t="s">
        <v>13</v>
      </c>
      <c r="B47" s="6" t="s">
        <v>52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5" t="s">
        <v>4</v>
      </c>
      <c r="B48" s="6" t="s">
        <v>53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13</v>
      </c>
      <c r="B49" s="6" t="s">
        <v>54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">
        <v>4</v>
      </c>
      <c r="B50" s="6" t="s">
        <v>39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">
        <v>13</v>
      </c>
      <c r="B51" s="6" t="s">
        <v>40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6</v>
      </c>
      <c r="B52" s="6" t="s">
        <v>55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5" t="s">
        <v>2</v>
      </c>
      <c r="B53" s="6" t="s">
        <v>56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2</v>
      </c>
      <c r="B54" s="6" t="s">
        <v>32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">
        <v>4</v>
      </c>
      <c r="B55" s="6" t="s">
        <v>57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13</v>
      </c>
      <c r="B56" s="6" t="s">
        <v>58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">
        <v>4</v>
      </c>
      <c r="B57" s="6" t="s">
        <v>45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">
        <v>13</v>
      </c>
      <c r="B58" s="6" t="s">
        <v>59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">
        <v>2</v>
      </c>
      <c r="B59" s="6" t="s">
        <v>46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5" t="s">
        <v>13</v>
      </c>
      <c r="B60" s="6" t="s">
        <v>47</v>
      </c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">
        <v>4</v>
      </c>
      <c r="B61" s="6" t="s">
        <v>60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5" t="s">
        <v>13</v>
      </c>
      <c r="B62" s="6" t="s">
        <v>49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">
        <v>4</v>
      </c>
      <c r="B63" s="6" t="s">
        <v>50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">
        <v>2</v>
      </c>
      <c r="B64" s="6" t="s">
        <v>51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">
        <v>13</v>
      </c>
      <c r="B65" s="6" t="s">
        <v>52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">
        <v>4</v>
      </c>
      <c r="B66" s="6" t="s">
        <v>61</v>
      </c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5" t="s">
        <v>13</v>
      </c>
      <c r="B67" s="6" t="s">
        <v>62</v>
      </c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5" t="s">
        <v>4</v>
      </c>
      <c r="B68" s="6" t="s">
        <v>45</v>
      </c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5" t="s">
        <v>13</v>
      </c>
      <c r="B69" s="6" t="s">
        <v>59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5" t="s">
        <v>6</v>
      </c>
      <c r="B70" s="6" t="s">
        <v>63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5" t="s">
        <v>2</v>
      </c>
      <c r="B71" s="6" t="s">
        <v>64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5" t="s">
        <v>2</v>
      </c>
      <c r="B72" s="6" t="s">
        <v>32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5" t="s">
        <v>4</v>
      </c>
      <c r="B73" s="6" t="s">
        <v>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5" t="s">
        <v>13</v>
      </c>
      <c r="B74" s="6" t="s">
        <v>38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5" t="s">
        <v>4</v>
      </c>
      <c r="B75" s="6" t="s">
        <v>39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5" t="s">
        <v>13</v>
      </c>
      <c r="B76" s="6" t="s">
        <v>66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5" t="s">
        <v>20</v>
      </c>
      <c r="B77" s="6" t="s">
        <v>67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5" t="s">
        <v>4</v>
      </c>
      <c r="B78" s="6" t="s">
        <v>68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5" t="s">
        <v>13</v>
      </c>
      <c r="B79" s="6" t="s">
        <v>69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5" t="s">
        <v>2</v>
      </c>
      <c r="B80" s="6" t="s">
        <v>41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5" t="s">
        <v>13</v>
      </c>
      <c r="B81" s="6" t="s">
        <v>42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5" t="s">
        <v>4</v>
      </c>
      <c r="B82" s="6" t="s">
        <v>70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5" t="s">
        <v>13</v>
      </c>
      <c r="B83" s="6" t="s">
        <v>44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5" t="s">
        <v>4</v>
      </c>
      <c r="B84" s="6" t="s">
        <v>45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5" t="s">
        <v>2</v>
      </c>
      <c r="B85" s="6" t="s">
        <v>46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5" t="s">
        <v>13</v>
      </c>
      <c r="B86" s="6" t="s">
        <v>47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5" t="s">
        <v>4</v>
      </c>
      <c r="B87" s="6" t="s">
        <v>71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5" t="s">
        <v>13</v>
      </c>
      <c r="B88" s="6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5" t="s">
        <v>4</v>
      </c>
      <c r="B89" s="6" t="s">
        <v>50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5" t="s">
        <v>2</v>
      </c>
      <c r="B90" s="6" t="s">
        <v>51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5" t="s">
        <v>13</v>
      </c>
      <c r="B91" s="6" t="s">
        <v>52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5" t="s">
        <v>4</v>
      </c>
      <c r="B92" s="6" t="s">
        <v>72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5" t="s">
        <v>13</v>
      </c>
      <c r="B93" s="6" t="s">
        <v>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5" t="s">
        <v>4</v>
      </c>
      <c r="B94" s="6" t="s">
        <v>39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5" t="s">
        <v>2</v>
      </c>
      <c r="B95" s="6" t="s">
        <v>73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5" t="s">
        <v>4</v>
      </c>
      <c r="B96" s="6" t="s">
        <v>74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5" t="s">
        <v>13</v>
      </c>
      <c r="B97" s="6" t="s">
        <v>75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5" t="s">
        <v>4</v>
      </c>
      <c r="B98" s="6" t="s">
        <v>76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5" t="s">
        <v>2</v>
      </c>
      <c r="B99" s="6" t="s">
        <v>77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5" t="s">
        <v>4</v>
      </c>
      <c r="B100" s="6" t="s">
        <v>78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5" t="s">
        <v>13</v>
      </c>
      <c r="B101" s="6" t="s">
        <v>79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5" t="s">
        <v>80</v>
      </c>
      <c r="B102" s="6" t="s">
        <v>81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5" t="s">
        <v>13</v>
      </c>
      <c r="B103" s="6" t="s">
        <v>82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5" t="s">
        <v>4</v>
      </c>
      <c r="B104" s="6" t="s">
        <v>83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5" t="s">
        <v>4</v>
      </c>
      <c r="B105" s="6" t="s">
        <v>76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5" t="s">
        <v>2</v>
      </c>
      <c r="B106" s="6" t="s">
        <v>84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5" t="s">
        <v>4</v>
      </c>
      <c r="B107" s="6" t="s">
        <v>85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5" t="s">
        <v>4</v>
      </c>
      <c r="B108" s="6" t="s">
        <v>86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5" t="s">
        <v>13</v>
      </c>
      <c r="B109" s="6" t="s">
        <v>87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9" t="s">
        <v>2</v>
      </c>
      <c r="B110" s="10" t="s">
        <v>88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1" t="s">
        <v>13</v>
      </c>
      <c r="B111" s="12" t="s">
        <v>88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5" t="s">
        <v>20</v>
      </c>
      <c r="B112" s="6" t="s">
        <v>88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1" t="s">
        <v>4</v>
      </c>
      <c r="B113" s="12" t="s">
        <v>88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5" t="s">
        <v>6</v>
      </c>
      <c r="B114" s="6" t="s">
        <v>88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1" t="s">
        <v>8</v>
      </c>
      <c r="B115" s="12" t="s">
        <v>88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5" t="s">
        <v>80</v>
      </c>
      <c r="B116" s="6" t="s">
        <v>88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3"/>
      <c r="B118" s="1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3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3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3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3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3"/>
      <c r="B127" s="1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3"/>
      <c r="B128" s="1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3"/>
      <c r="B129" s="1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3"/>
      <c r="B130" s="1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3"/>
      <c r="B131" s="1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3"/>
      <c r="B132" s="1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3"/>
      <c r="B133" s="1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3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3"/>
      <c r="B135" s="1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3"/>
      <c r="B136" s="1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3"/>
      <c r="B137" s="1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3"/>
      <c r="B139" s="1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3"/>
      <c r="B140" s="1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3"/>
      <c r="B141" s="1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3"/>
      <c r="B142" s="1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3"/>
      <c r="B143" s="1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3"/>
      <c r="B144" s="1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3"/>
      <c r="B145" s="1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3"/>
      <c r="B148" s="1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3"/>
      <c r="B149" s="1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3"/>
      <c r="B152" s="1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3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3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3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3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3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3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3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3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3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3"/>
      <c r="B169" s="1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3"/>
      <c r="B170" s="1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3"/>
      <c r="B171" s="1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3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3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3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3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3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3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3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3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3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3"/>
      <c r="B181" s="1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3"/>
      <c r="B182" s="1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3"/>
      <c r="B183" s="1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3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3"/>
      <c r="B185" s="1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3"/>
      <c r="B186" s="1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3"/>
      <c r="B187" s="1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3"/>
      <c r="B188" s="1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3"/>
      <c r="B189" s="1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3"/>
      <c r="B190" s="1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3"/>
      <c r="B191" s="1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3"/>
      <c r="B192" s="1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3"/>
      <c r="B193" s="1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3"/>
      <c r="B194" s="1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3"/>
      <c r="B195" s="1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3"/>
      <c r="B196" s="1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3"/>
      <c r="B197" s="1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3"/>
      <c r="B198" s="1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3"/>
      <c r="B199" s="1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3"/>
      <c r="B200" s="1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3"/>
      <c r="B201" s="1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3"/>
      <c r="B202" s="1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3"/>
      <c r="B203" s="1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3"/>
      <c r="B204" s="1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3"/>
      <c r="B205" s="1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3"/>
      <c r="B206" s="1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3"/>
      <c r="B207" s="1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3"/>
      <c r="B208" s="1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3"/>
      <c r="B209" s="1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3"/>
      <c r="B210" s="1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3"/>
      <c r="B211" s="1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3"/>
      <c r="B212" s="1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3"/>
      <c r="B213" s="1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3"/>
      <c r="B214" s="1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3"/>
      <c r="B215" s="1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3"/>
      <c r="B216" s="1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3"/>
      <c r="B217" s="1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3"/>
      <c r="B218" s="1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3"/>
      <c r="B219" s="1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3"/>
      <c r="B220" s="1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3"/>
      <c r="B221" s="1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3"/>
      <c r="B222" s="1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3"/>
      <c r="B223" s="1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3"/>
      <c r="B224" s="1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3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3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3"/>
      <c r="B228" s="1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3"/>
      <c r="B229" s="1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3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3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3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3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3"/>
      <c r="B246" s="1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3"/>
      <c r="B247" s="1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3"/>
      <c r="B248" s="1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3"/>
      <c r="B249" s="1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3"/>
      <c r="B250" s="1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3"/>
      <c r="B251" s="1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3"/>
      <c r="B252" s="1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3"/>
      <c r="B253" s="1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3"/>
      <c r="B254" s="1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3"/>
      <c r="B255" s="1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3"/>
      <c r="B256" s="1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13"/>
      <c r="B257" s="1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13"/>
      <c r="B258" s="1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13"/>
      <c r="B259" s="1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13"/>
      <c r="B260" s="1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13"/>
      <c r="B261" s="1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13"/>
      <c r="B262" s="1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13"/>
      <c r="B263" s="1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13"/>
      <c r="B264" s="1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13"/>
      <c r="B265" s="1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13"/>
      <c r="B266" s="1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13"/>
      <c r="B267" s="1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13"/>
      <c r="B268" s="1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13"/>
      <c r="B269" s="1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13"/>
      <c r="B270" s="1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13"/>
      <c r="B271" s="1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13"/>
      <c r="B272" s="1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13"/>
      <c r="B273" s="1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13"/>
      <c r="B274" s="1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13"/>
      <c r="B275" s="1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13"/>
      <c r="B276" s="1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13"/>
      <c r="B277" s="1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13"/>
      <c r="B278" s="1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2.75" customHeight="1">
      <c r="A279" s="13"/>
      <c r="B279" s="1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2.75" customHeight="1">
      <c r="A280" s="13"/>
      <c r="B280" s="1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2.75" customHeight="1">
      <c r="A281" s="13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2.75" customHeight="1">
      <c r="A282" s="13"/>
      <c r="B282" s="1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2.75" customHeight="1">
      <c r="A283" s="13"/>
      <c r="B283" s="1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2.75" customHeight="1">
      <c r="A284" s="13"/>
      <c r="B284" s="1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2.75" customHeight="1">
      <c r="A285" s="13"/>
      <c r="B285" s="1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2.75" customHeight="1">
      <c r="A286" s="13"/>
      <c r="B286" s="1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2.75" customHeight="1">
      <c r="A287" s="13"/>
      <c r="B287" s="1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2.75" customHeight="1">
      <c r="A288" s="13"/>
      <c r="B288" s="1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2.75" customHeight="1">
      <c r="A289" s="13"/>
      <c r="B289" s="1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2.75" customHeight="1">
      <c r="A290" s="13"/>
      <c r="B290" s="1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2.75" customHeight="1">
      <c r="A291" s="13"/>
      <c r="B291" s="1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2.75" customHeight="1">
      <c r="A292" s="13"/>
      <c r="B292" s="1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2.75" customHeight="1">
      <c r="A293" s="13"/>
      <c r="B293" s="1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2.75" customHeight="1">
      <c r="A294" s="13"/>
      <c r="B294" s="1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2.75" customHeight="1">
      <c r="A295" s="13"/>
      <c r="B295" s="1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2.75" customHeight="1">
      <c r="A296" s="13"/>
      <c r="B296" s="1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2.75" customHeight="1">
      <c r="A297" s="13"/>
      <c r="B297" s="1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2.75" customHeight="1">
      <c r="A298" s="13"/>
      <c r="B298" s="1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2.75" customHeight="1">
      <c r="A299" s="13"/>
      <c r="B299" s="1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2.75" customHeight="1">
      <c r="A300" s="13"/>
      <c r="B300" s="1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2.75" customHeight="1">
      <c r="A301" s="13"/>
      <c r="B301" s="1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2.75" customHeight="1">
      <c r="A302" s="13"/>
      <c r="B302" s="1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2.75" customHeight="1">
      <c r="A303" s="13"/>
      <c r="B303" s="1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2.75" customHeight="1">
      <c r="A304" s="13"/>
      <c r="B304" s="1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2.75" customHeight="1">
      <c r="A305" s="13"/>
      <c r="B305" s="1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2.75" customHeight="1">
      <c r="A306" s="13"/>
      <c r="B306" s="1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2.75" customHeight="1">
      <c r="A307" s="13"/>
      <c r="B307" s="1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2.75" customHeight="1">
      <c r="A308" s="13"/>
      <c r="B308" s="1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2.75" customHeight="1">
      <c r="A309" s="13"/>
      <c r="B309" s="1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2.75" customHeight="1">
      <c r="A310" s="13"/>
      <c r="B310" s="1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2.75" customHeight="1">
      <c r="A311" s="13"/>
      <c r="B311" s="1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2.75" customHeight="1">
      <c r="A312" s="13"/>
      <c r="B312" s="1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2.75" customHeight="1">
      <c r="A313" s="13"/>
      <c r="B313" s="1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2.75" customHeight="1">
      <c r="A314" s="13"/>
      <c r="B314" s="1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2.75" customHeight="1">
      <c r="A315" s="13"/>
      <c r="B315" s="1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2.75" customHeight="1">
      <c r="A316" s="13"/>
      <c r="B316" s="1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81.63"/>
    <col customWidth="1" min="5" max="24" width="10.63"/>
  </cols>
  <sheetData>
    <row r="1" ht="13.5" customHeight="1">
      <c r="A1" s="15" t="s">
        <v>0</v>
      </c>
      <c r="B1" s="16" t="s">
        <v>1</v>
      </c>
      <c r="C1" s="16" t="s">
        <v>89</v>
      </c>
      <c r="D1" s="17" t="s">
        <v>90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5" t="s">
        <v>2</v>
      </c>
      <c r="B2" s="6" t="s">
        <v>3</v>
      </c>
      <c r="C2" s="6">
        <v>0.0</v>
      </c>
      <c r="D2" s="6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.75" customHeight="1">
      <c r="A3" s="5" t="s">
        <v>4</v>
      </c>
      <c r="B3" s="8" t="s">
        <v>5</v>
      </c>
      <c r="C3" s="8">
        <v>0.0</v>
      </c>
      <c r="D3" s="8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5" t="s">
        <v>6</v>
      </c>
      <c r="B4" s="6" t="s">
        <v>7</v>
      </c>
      <c r="C4" s="6">
        <v>1.0</v>
      </c>
      <c r="D4" s="6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5" t="s">
        <v>8</v>
      </c>
      <c r="B5" s="6" t="s">
        <v>9</v>
      </c>
      <c r="C5" s="6">
        <v>1.0</v>
      </c>
      <c r="D5" s="6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5" t="s">
        <v>2</v>
      </c>
      <c r="B6" s="6" t="s">
        <v>10</v>
      </c>
      <c r="C6" s="6">
        <v>1.0</v>
      </c>
      <c r="D6" s="6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5" t="s">
        <v>2</v>
      </c>
      <c r="B7" s="6" t="s">
        <v>11</v>
      </c>
      <c r="C7" s="6">
        <v>1.0</v>
      </c>
      <c r="D7" s="6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5" t="s">
        <v>4</v>
      </c>
      <c r="B8" s="6" t="s">
        <v>12</v>
      </c>
      <c r="C8" s="6">
        <v>1.0</v>
      </c>
      <c r="D8" s="6" t="s">
        <v>91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5" t="s">
        <v>13</v>
      </c>
      <c r="B9" s="6" t="s">
        <v>14</v>
      </c>
      <c r="C9" s="6">
        <v>1.0</v>
      </c>
      <c r="D9" s="6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5" t="s">
        <v>2</v>
      </c>
      <c r="B10" s="6" t="s">
        <v>15</v>
      </c>
      <c r="C10" s="6">
        <v>1.0</v>
      </c>
      <c r="D10" s="6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5" t="s">
        <v>4</v>
      </c>
      <c r="B11" s="6" t="s">
        <v>16</v>
      </c>
      <c r="C11" s="6">
        <v>1.0</v>
      </c>
      <c r="D11" s="6" t="s">
        <v>92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5" t="s">
        <v>13</v>
      </c>
      <c r="B12" s="6" t="s">
        <v>17</v>
      </c>
      <c r="C12" s="6">
        <v>1.0</v>
      </c>
      <c r="D12" s="6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5" t="s">
        <v>13</v>
      </c>
      <c r="B13" s="6" t="s">
        <v>18</v>
      </c>
      <c r="C13" s="6">
        <v>1.0</v>
      </c>
      <c r="D13" s="6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5" t="s">
        <v>13</v>
      </c>
      <c r="B14" s="6" t="s">
        <v>19</v>
      </c>
      <c r="C14" s="6">
        <v>0.5</v>
      </c>
      <c r="D14" s="6" t="s">
        <v>93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5" t="s">
        <v>20</v>
      </c>
      <c r="B15" s="6" t="s">
        <v>21</v>
      </c>
      <c r="C15" s="6">
        <v>0.0</v>
      </c>
      <c r="D15" s="6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5" t="s">
        <v>2</v>
      </c>
      <c r="B16" s="6" t="s">
        <v>22</v>
      </c>
      <c r="C16" s="6">
        <v>0.5</v>
      </c>
      <c r="D16" s="6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5" t="s">
        <v>4</v>
      </c>
      <c r="B17" s="6" t="s">
        <v>23</v>
      </c>
      <c r="C17" s="6">
        <v>0.0</v>
      </c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5" t="s">
        <v>13</v>
      </c>
      <c r="B18" s="6" t="s">
        <v>24</v>
      </c>
      <c r="C18" s="6">
        <v>0.5</v>
      </c>
      <c r="D18" s="6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5" t="s">
        <v>20</v>
      </c>
      <c r="B19" s="6" t="s">
        <v>21</v>
      </c>
      <c r="C19" s="6">
        <v>0.0</v>
      </c>
      <c r="D19" s="6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5" t="s">
        <v>13</v>
      </c>
      <c r="B20" s="6" t="s">
        <v>25</v>
      </c>
      <c r="C20" s="6">
        <v>0.0</v>
      </c>
      <c r="D20" s="6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5" t="s">
        <v>8</v>
      </c>
      <c r="B21" s="6" t="s">
        <v>26</v>
      </c>
      <c r="C21" s="6">
        <v>1.0</v>
      </c>
      <c r="D21" s="6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5" t="s">
        <v>2</v>
      </c>
      <c r="B22" s="6" t="s">
        <v>27</v>
      </c>
      <c r="C22" s="6">
        <v>1.0</v>
      </c>
      <c r="D22" s="6" t="s">
        <v>94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5" t="s">
        <v>6</v>
      </c>
      <c r="B23" s="6" t="s">
        <v>28</v>
      </c>
      <c r="C23" s="6">
        <v>1.0</v>
      </c>
      <c r="D23" s="6" t="s">
        <v>95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5" t="s">
        <v>2</v>
      </c>
      <c r="B24" s="6" t="s">
        <v>29</v>
      </c>
      <c r="C24" s="6">
        <v>1.0</v>
      </c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5" t="s">
        <v>6</v>
      </c>
      <c r="B25" s="6" t="s">
        <v>30</v>
      </c>
      <c r="C25" s="6">
        <v>1.0</v>
      </c>
      <c r="D25" s="6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5" t="s">
        <v>2</v>
      </c>
      <c r="B26" s="6" t="s">
        <v>31</v>
      </c>
      <c r="C26" s="6">
        <v>1.0</v>
      </c>
      <c r="D26" s="6" t="s">
        <v>96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5" t="s">
        <v>2</v>
      </c>
      <c r="B27" s="6" t="s">
        <v>32</v>
      </c>
      <c r="C27" s="6">
        <v>1.0</v>
      </c>
      <c r="D27" s="6" t="s">
        <v>97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5" t="s">
        <v>4</v>
      </c>
      <c r="B28" s="6" t="s">
        <v>33</v>
      </c>
      <c r="C28" s="6">
        <v>1.0</v>
      </c>
      <c r="D28" s="6" t="s">
        <v>98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5" t="s">
        <v>13</v>
      </c>
      <c r="B29" s="6" t="s">
        <v>34</v>
      </c>
      <c r="C29" s="6">
        <v>0.5</v>
      </c>
      <c r="D29" s="6" t="s">
        <v>99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5" t="s">
        <v>4</v>
      </c>
      <c r="B30" s="6" t="s">
        <v>35</v>
      </c>
      <c r="C30" s="6">
        <v>0.5</v>
      </c>
      <c r="D30" s="6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5" t="s">
        <v>13</v>
      </c>
      <c r="B31" s="6" t="s">
        <v>36</v>
      </c>
      <c r="C31" s="6">
        <v>1.0</v>
      </c>
      <c r="D31" s="6" t="s">
        <v>100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5" t="s">
        <v>4</v>
      </c>
      <c r="B32" s="6" t="s">
        <v>37</v>
      </c>
      <c r="C32" s="6">
        <v>1.0</v>
      </c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5" t="s">
        <v>13</v>
      </c>
      <c r="B33" s="6" t="s">
        <v>38</v>
      </c>
      <c r="C33" s="6">
        <v>1.0</v>
      </c>
      <c r="D33" s="6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5" t="s">
        <v>4</v>
      </c>
      <c r="B34" s="6" t="s">
        <v>39</v>
      </c>
      <c r="C34" s="6">
        <v>0.0</v>
      </c>
      <c r="D34" s="6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5" t="s">
        <v>13</v>
      </c>
      <c r="B35" s="6" t="s">
        <v>40</v>
      </c>
      <c r="C35" s="6">
        <v>1.0</v>
      </c>
      <c r="D35" s="6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5" t="s">
        <v>2</v>
      </c>
      <c r="B36" s="6" t="s">
        <v>41</v>
      </c>
      <c r="C36" s="6">
        <v>1.0</v>
      </c>
      <c r="D36" s="6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5" t="s">
        <v>13</v>
      </c>
      <c r="B37" s="6" t="s">
        <v>42</v>
      </c>
      <c r="C37" s="6">
        <v>1.0</v>
      </c>
      <c r="D37" s="6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5" t="s">
        <v>4</v>
      </c>
      <c r="B38" s="6" t="s">
        <v>43</v>
      </c>
      <c r="C38" s="6">
        <v>1.0</v>
      </c>
      <c r="D38" s="6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5" t="s">
        <v>13</v>
      </c>
      <c r="B39" s="6" t="s">
        <v>44</v>
      </c>
      <c r="C39" s="6">
        <v>1.0</v>
      </c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5" t="s">
        <v>4</v>
      </c>
      <c r="B40" s="6" t="s">
        <v>45</v>
      </c>
      <c r="C40" s="6">
        <v>0.0</v>
      </c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5" t="s">
        <v>2</v>
      </c>
      <c r="B41" s="6" t="s">
        <v>46</v>
      </c>
      <c r="C41" s="6">
        <v>1.0</v>
      </c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5" t="s">
        <v>13</v>
      </c>
      <c r="B42" s="6" t="s">
        <v>47</v>
      </c>
      <c r="C42" s="6">
        <v>1.0</v>
      </c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5" t="s">
        <v>4</v>
      </c>
      <c r="B43" s="6" t="s">
        <v>48</v>
      </c>
      <c r="C43" s="6">
        <v>1.0</v>
      </c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5" t="s">
        <v>13</v>
      </c>
      <c r="B44" s="6" t="s">
        <v>49</v>
      </c>
      <c r="C44" s="6">
        <v>1.0</v>
      </c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5" t="s">
        <v>4</v>
      </c>
      <c r="B45" s="6" t="s">
        <v>50</v>
      </c>
      <c r="C45" s="6">
        <v>0.0</v>
      </c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5" t="s">
        <v>2</v>
      </c>
      <c r="B46" s="6" t="s">
        <v>51</v>
      </c>
      <c r="C46" s="6">
        <v>1.0</v>
      </c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5" t="s">
        <v>13</v>
      </c>
      <c r="B47" s="6" t="s">
        <v>52</v>
      </c>
      <c r="C47" s="6">
        <v>1.0</v>
      </c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5" t="s">
        <v>4</v>
      </c>
      <c r="B48" s="6" t="s">
        <v>53</v>
      </c>
      <c r="C48" s="6">
        <v>1.0</v>
      </c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5" t="s">
        <v>13</v>
      </c>
      <c r="B49" s="6" t="s">
        <v>54</v>
      </c>
      <c r="C49" s="6">
        <v>1.0</v>
      </c>
      <c r="D49" s="6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5" t="s">
        <v>4</v>
      </c>
      <c r="B50" s="6" t="s">
        <v>39</v>
      </c>
      <c r="C50" s="6">
        <v>0.0</v>
      </c>
      <c r="D50" s="6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5" t="s">
        <v>13</v>
      </c>
      <c r="B51" s="6" t="s">
        <v>40</v>
      </c>
      <c r="C51" s="6">
        <v>1.0</v>
      </c>
      <c r="D51" s="6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5" t="s">
        <v>6</v>
      </c>
      <c r="B52" s="6" t="s">
        <v>55</v>
      </c>
      <c r="C52" s="6">
        <v>1.0</v>
      </c>
      <c r="D52" s="6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5" t="s">
        <v>2</v>
      </c>
      <c r="B53" s="6" t="s">
        <v>56</v>
      </c>
      <c r="C53" s="6">
        <v>1.0</v>
      </c>
      <c r="D53" s="6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5" t="s">
        <v>2</v>
      </c>
      <c r="B54" s="6" t="s">
        <v>32</v>
      </c>
      <c r="C54" s="6">
        <v>1.0</v>
      </c>
      <c r="D54" s="6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5" t="s">
        <v>4</v>
      </c>
      <c r="B55" s="6" t="s">
        <v>57</v>
      </c>
      <c r="C55" s="6">
        <v>1.0</v>
      </c>
      <c r="D55" s="6" t="s">
        <v>101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5" t="s">
        <v>13</v>
      </c>
      <c r="B56" s="6" t="s">
        <v>58</v>
      </c>
      <c r="C56" s="6">
        <v>1.0</v>
      </c>
      <c r="D56" s="6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5" t="s">
        <v>4</v>
      </c>
      <c r="B57" s="6" t="s">
        <v>45</v>
      </c>
      <c r="C57" s="6">
        <v>0.0</v>
      </c>
      <c r="D57" s="6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5" t="s">
        <v>13</v>
      </c>
      <c r="B58" s="6" t="s">
        <v>59</v>
      </c>
      <c r="C58" s="6">
        <v>1.0</v>
      </c>
      <c r="D58" s="6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5" t="s">
        <v>2</v>
      </c>
      <c r="B59" s="6" t="s">
        <v>46</v>
      </c>
      <c r="C59" s="6">
        <v>1.0</v>
      </c>
      <c r="D59" s="6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5" t="s">
        <v>13</v>
      </c>
      <c r="B60" s="6" t="s">
        <v>47</v>
      </c>
      <c r="C60" s="6">
        <v>1.0</v>
      </c>
      <c r="D60" s="6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5" t="s">
        <v>4</v>
      </c>
      <c r="B61" s="6" t="s">
        <v>60</v>
      </c>
      <c r="C61" s="6">
        <v>1.0</v>
      </c>
      <c r="D61" s="6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5" t="s">
        <v>13</v>
      </c>
      <c r="B62" s="6" t="s">
        <v>49</v>
      </c>
      <c r="C62" s="6">
        <v>1.0</v>
      </c>
      <c r="D62" s="6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5" t="s">
        <v>4</v>
      </c>
      <c r="B63" s="6" t="s">
        <v>50</v>
      </c>
      <c r="C63" s="6">
        <v>0.0</v>
      </c>
      <c r="D63" s="6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5" t="s">
        <v>2</v>
      </c>
      <c r="B64" s="6" t="s">
        <v>51</v>
      </c>
      <c r="C64" s="6">
        <v>1.0</v>
      </c>
      <c r="D64" s="6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5" t="s">
        <v>13</v>
      </c>
      <c r="B65" s="6" t="s">
        <v>52</v>
      </c>
      <c r="C65" s="6">
        <v>1.0</v>
      </c>
      <c r="D65" s="6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5" t="s">
        <v>4</v>
      </c>
      <c r="B66" s="6" t="s">
        <v>61</v>
      </c>
      <c r="C66" s="6">
        <v>1.0</v>
      </c>
      <c r="D66" s="6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5" t="s">
        <v>13</v>
      </c>
      <c r="B67" s="6" t="s">
        <v>62</v>
      </c>
      <c r="C67" s="6">
        <v>1.0</v>
      </c>
      <c r="D67" s="6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5" t="s">
        <v>4</v>
      </c>
      <c r="B68" s="6" t="s">
        <v>45</v>
      </c>
      <c r="C68" s="6">
        <v>0.0</v>
      </c>
      <c r="D68" s="6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5" t="s">
        <v>13</v>
      </c>
      <c r="B69" s="6" t="s">
        <v>59</v>
      </c>
      <c r="C69" s="6">
        <v>1.0</v>
      </c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5" t="s">
        <v>6</v>
      </c>
      <c r="B70" s="6" t="s">
        <v>63</v>
      </c>
      <c r="C70" s="6">
        <v>1.0</v>
      </c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5" t="s">
        <v>2</v>
      </c>
      <c r="B71" s="6" t="s">
        <v>64</v>
      </c>
      <c r="C71" s="6">
        <v>1.0</v>
      </c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5" t="s">
        <v>2</v>
      </c>
      <c r="B72" s="6" t="s">
        <v>32</v>
      </c>
      <c r="C72" s="6">
        <v>1.0</v>
      </c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5" t="s">
        <v>4</v>
      </c>
      <c r="B73" s="6" t="s">
        <v>65</v>
      </c>
      <c r="C73" s="6">
        <v>1.0</v>
      </c>
      <c r="D73" s="6" t="s">
        <v>102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5" t="s">
        <v>13</v>
      </c>
      <c r="B74" s="6" t="s">
        <v>38</v>
      </c>
      <c r="C74" s="6">
        <v>1.0</v>
      </c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5" t="s">
        <v>4</v>
      </c>
      <c r="B75" s="6" t="s">
        <v>39</v>
      </c>
      <c r="C75" s="6">
        <v>0.0</v>
      </c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5" t="s">
        <v>13</v>
      </c>
      <c r="B76" s="6" t="s">
        <v>66</v>
      </c>
      <c r="C76" s="6">
        <v>1.0</v>
      </c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5" t="s">
        <v>20</v>
      </c>
      <c r="B77" s="6" t="s">
        <v>67</v>
      </c>
      <c r="C77" s="6">
        <v>0.0</v>
      </c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5" t="s">
        <v>4</v>
      </c>
      <c r="B78" s="6" t="s">
        <v>68</v>
      </c>
      <c r="C78" s="6">
        <v>1.0</v>
      </c>
      <c r="D78" s="6" t="s">
        <v>103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5" t="s">
        <v>13</v>
      </c>
      <c r="B79" s="6" t="s">
        <v>69</v>
      </c>
      <c r="C79" s="6">
        <v>1.0</v>
      </c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5" t="s">
        <v>2</v>
      </c>
      <c r="B80" s="6" t="s">
        <v>41</v>
      </c>
      <c r="C80" s="6">
        <v>1.0</v>
      </c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5" t="s">
        <v>13</v>
      </c>
      <c r="B81" s="6" t="s">
        <v>42</v>
      </c>
      <c r="C81" s="6">
        <v>1.0</v>
      </c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5" t="s">
        <v>4</v>
      </c>
      <c r="B82" s="6" t="s">
        <v>70</v>
      </c>
      <c r="C82" s="6">
        <v>1.0</v>
      </c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5" t="s">
        <v>13</v>
      </c>
      <c r="B83" s="6" t="s">
        <v>44</v>
      </c>
      <c r="C83" s="6">
        <v>1.0</v>
      </c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5" t="s">
        <v>4</v>
      </c>
      <c r="B84" s="6" t="s">
        <v>45</v>
      </c>
      <c r="C84" s="6">
        <v>0.0</v>
      </c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5" t="s">
        <v>2</v>
      </c>
      <c r="B85" s="6" t="s">
        <v>46</v>
      </c>
      <c r="C85" s="6">
        <v>1.0</v>
      </c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5" t="s">
        <v>13</v>
      </c>
      <c r="B86" s="6" t="s">
        <v>47</v>
      </c>
      <c r="C86" s="6">
        <v>1.0</v>
      </c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5" t="s">
        <v>4</v>
      </c>
      <c r="B87" s="6" t="s">
        <v>71</v>
      </c>
      <c r="C87" s="6">
        <v>1.0</v>
      </c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5" t="s">
        <v>13</v>
      </c>
      <c r="B88" s="6" t="s">
        <v>49</v>
      </c>
      <c r="C88" s="6">
        <v>1.0</v>
      </c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5" t="s">
        <v>4</v>
      </c>
      <c r="B89" s="6" t="s">
        <v>50</v>
      </c>
      <c r="C89" s="6">
        <v>0.0</v>
      </c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5" t="s">
        <v>2</v>
      </c>
      <c r="B90" s="6" t="s">
        <v>51</v>
      </c>
      <c r="C90" s="6">
        <v>1.0</v>
      </c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5" t="s">
        <v>13</v>
      </c>
      <c r="B91" s="6" t="s">
        <v>52</v>
      </c>
      <c r="C91" s="6">
        <v>1.0</v>
      </c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5" t="s">
        <v>4</v>
      </c>
      <c r="B92" s="6" t="s">
        <v>72</v>
      </c>
      <c r="C92" s="6">
        <v>1.0</v>
      </c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5" t="s">
        <v>13</v>
      </c>
      <c r="B93" s="6" t="s">
        <v>54</v>
      </c>
      <c r="C93" s="6">
        <v>1.0</v>
      </c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5" t="s">
        <v>4</v>
      </c>
      <c r="B94" s="6" t="s">
        <v>39</v>
      </c>
      <c r="C94" s="6">
        <v>0.0</v>
      </c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5" t="s">
        <v>2</v>
      </c>
      <c r="B95" s="6" t="s">
        <v>73</v>
      </c>
      <c r="C95" s="6">
        <v>1.0</v>
      </c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5" t="s">
        <v>4</v>
      </c>
      <c r="B96" s="6" t="s">
        <v>74</v>
      </c>
      <c r="C96" s="6">
        <v>1.0</v>
      </c>
      <c r="D96" s="6" t="s">
        <v>104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5" t="s">
        <v>13</v>
      </c>
      <c r="B97" s="6" t="s">
        <v>75</v>
      </c>
      <c r="C97" s="6">
        <v>1.0</v>
      </c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5" t="s">
        <v>4</v>
      </c>
      <c r="B98" s="6" t="s">
        <v>76</v>
      </c>
      <c r="C98" s="6">
        <v>1.0</v>
      </c>
      <c r="D98" s="6" t="s">
        <v>105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5" t="s">
        <v>2</v>
      </c>
      <c r="B99" s="6" t="s">
        <v>77</v>
      </c>
      <c r="C99" s="6">
        <v>1.0</v>
      </c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5" t="s">
        <v>4</v>
      </c>
      <c r="B100" s="6" t="s">
        <v>78</v>
      </c>
      <c r="C100" s="6">
        <v>1.0</v>
      </c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5" t="s">
        <v>13</v>
      </c>
      <c r="B101" s="6" t="s">
        <v>79</v>
      </c>
      <c r="C101" s="6">
        <v>1.0</v>
      </c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5" t="s">
        <v>80</v>
      </c>
      <c r="B102" s="6" t="s">
        <v>81</v>
      </c>
      <c r="C102" s="6">
        <v>1.0</v>
      </c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5" t="s">
        <v>13</v>
      </c>
      <c r="B103" s="6" t="s">
        <v>82</v>
      </c>
      <c r="C103" s="6">
        <v>1.0</v>
      </c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5" t="s">
        <v>4</v>
      </c>
      <c r="B104" s="6" t="s">
        <v>83</v>
      </c>
      <c r="C104" s="6">
        <v>0.0</v>
      </c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5" t="s">
        <v>4</v>
      </c>
      <c r="B105" s="6" t="s">
        <v>76</v>
      </c>
      <c r="C105" s="6">
        <v>1.0</v>
      </c>
      <c r="D105" s="6" t="s">
        <v>106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5" t="s">
        <v>2</v>
      </c>
      <c r="B106" s="6" t="s">
        <v>84</v>
      </c>
      <c r="C106" s="6">
        <v>1.0</v>
      </c>
      <c r="D106" s="6" t="s">
        <v>107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5" t="s">
        <v>4</v>
      </c>
      <c r="B107" s="6" t="s">
        <v>85</v>
      </c>
      <c r="C107" s="6">
        <v>1.0</v>
      </c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5" t="s">
        <v>4</v>
      </c>
      <c r="B108" s="6" t="s">
        <v>86</v>
      </c>
      <c r="C108" s="6">
        <v>1.0</v>
      </c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5" t="s">
        <v>13</v>
      </c>
      <c r="B109" s="6" t="s">
        <v>87</v>
      </c>
      <c r="C109" s="6">
        <v>1.0</v>
      </c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9" t="s">
        <v>2</v>
      </c>
      <c r="B110" s="10" t="s">
        <v>88</v>
      </c>
      <c r="C110" s="10">
        <v>0.0</v>
      </c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1" t="s">
        <v>13</v>
      </c>
      <c r="B111" s="12" t="s">
        <v>88</v>
      </c>
      <c r="C111" s="6">
        <v>0.0</v>
      </c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5" t="s">
        <v>20</v>
      </c>
      <c r="B112" s="6" t="s">
        <v>88</v>
      </c>
      <c r="C112" s="6">
        <v>0.0</v>
      </c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1" t="s">
        <v>4</v>
      </c>
      <c r="B113" s="12" t="s">
        <v>88</v>
      </c>
      <c r="C113" s="6">
        <v>0.0</v>
      </c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5" t="s">
        <v>6</v>
      </c>
      <c r="B114" s="6" t="s">
        <v>88</v>
      </c>
      <c r="C114" s="6">
        <v>0.0</v>
      </c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1" t="s">
        <v>8</v>
      </c>
      <c r="B115" s="12" t="s">
        <v>88</v>
      </c>
      <c r="C115" s="6">
        <v>0.0</v>
      </c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5" t="s">
        <v>80</v>
      </c>
      <c r="B116" s="6" t="s">
        <v>88</v>
      </c>
      <c r="C116" s="6">
        <v>2.0</v>
      </c>
      <c r="D116" s="6" t="s">
        <v>108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3"/>
      <c r="B117" s="14"/>
      <c r="C117" s="1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3"/>
      <c r="B118" s="14"/>
      <c r="C118" s="1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3"/>
      <c r="B119" s="14"/>
      <c r="C119" s="1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3"/>
      <c r="B120" s="14"/>
      <c r="C120" s="1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3"/>
      <c r="B121" s="14"/>
      <c r="C121" s="1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3"/>
      <c r="B122" s="14"/>
      <c r="C122" s="1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3"/>
      <c r="B123" s="14"/>
      <c r="C123" s="1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3"/>
      <c r="B124" s="14"/>
      <c r="C124" s="1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3"/>
      <c r="B125" s="14"/>
      <c r="C125" s="1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3"/>
      <c r="B126" s="14"/>
      <c r="C126" s="1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3"/>
      <c r="B127" s="14"/>
      <c r="C127" s="1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3"/>
      <c r="B128" s="14"/>
      <c r="C128" s="1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3"/>
      <c r="B129" s="14"/>
      <c r="C129" s="1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3"/>
      <c r="B130" s="14"/>
      <c r="C130" s="1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3"/>
      <c r="B131" s="14"/>
      <c r="C131" s="1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3"/>
      <c r="B132" s="14"/>
      <c r="C132" s="1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3"/>
      <c r="B133" s="14"/>
      <c r="C133" s="1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3"/>
      <c r="B134" s="14"/>
      <c r="C134" s="1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3"/>
      <c r="B135" s="14"/>
      <c r="C135" s="1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3"/>
      <c r="B136" s="14"/>
      <c r="C136" s="1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3"/>
      <c r="B137" s="14"/>
      <c r="C137" s="1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3"/>
      <c r="B138" s="14"/>
      <c r="C138" s="1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3"/>
      <c r="B139" s="14"/>
      <c r="C139" s="1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3"/>
      <c r="B140" s="14"/>
      <c r="C140" s="1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3"/>
      <c r="B141" s="14"/>
      <c r="C141" s="1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3"/>
      <c r="B142" s="14"/>
      <c r="C142" s="1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3"/>
      <c r="B143" s="14"/>
      <c r="C143" s="1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3"/>
      <c r="B144" s="14"/>
      <c r="C144" s="1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3"/>
      <c r="B145" s="14"/>
      <c r="C145" s="1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3"/>
      <c r="B146" s="14"/>
      <c r="C146" s="1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3"/>
      <c r="B147" s="14"/>
      <c r="C147" s="1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3"/>
      <c r="B148" s="14"/>
      <c r="C148" s="1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3"/>
      <c r="B149" s="14"/>
      <c r="C149" s="1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3"/>
      <c r="B150" s="14"/>
      <c r="C150" s="1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3"/>
      <c r="B151" s="14"/>
      <c r="C151" s="1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3"/>
      <c r="B152" s="14"/>
      <c r="C152" s="1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3"/>
      <c r="B153" s="14"/>
      <c r="C153" s="1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3"/>
      <c r="B154" s="14"/>
      <c r="C154" s="1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3"/>
      <c r="B155" s="14"/>
      <c r="C155" s="1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3"/>
      <c r="B156" s="14"/>
      <c r="C156" s="1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3"/>
      <c r="B157" s="14"/>
      <c r="C157" s="1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3"/>
      <c r="B158" s="14"/>
      <c r="C158" s="1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3"/>
      <c r="B159" s="14"/>
      <c r="C159" s="1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3"/>
      <c r="B160" s="14"/>
      <c r="C160" s="1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3"/>
      <c r="B161" s="14"/>
      <c r="C161" s="1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3"/>
      <c r="B162" s="14"/>
      <c r="C162" s="1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3"/>
      <c r="B163" s="14"/>
      <c r="C163" s="1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3"/>
      <c r="B164" s="14"/>
      <c r="C164" s="1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3"/>
      <c r="B165" s="14"/>
      <c r="C165" s="1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3"/>
      <c r="B166" s="14"/>
      <c r="C166" s="1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3"/>
      <c r="B167" s="14"/>
      <c r="C167" s="1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3"/>
      <c r="B168" s="14"/>
      <c r="C168" s="1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3"/>
      <c r="B169" s="14"/>
      <c r="C169" s="1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3"/>
      <c r="B170" s="14"/>
      <c r="C170" s="1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3"/>
      <c r="B171" s="14"/>
      <c r="C171" s="1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3"/>
      <c r="B172" s="14"/>
      <c r="C172" s="1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3"/>
      <c r="B173" s="14"/>
      <c r="C173" s="1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3"/>
      <c r="B174" s="14"/>
      <c r="C174" s="1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3"/>
      <c r="B175" s="14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3"/>
      <c r="B176" s="14"/>
      <c r="C176" s="1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3"/>
      <c r="B177" s="14"/>
      <c r="C177" s="1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3"/>
      <c r="B178" s="14"/>
      <c r="C178" s="1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3"/>
      <c r="B179" s="14"/>
      <c r="C179" s="1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3"/>
      <c r="B180" s="14"/>
      <c r="C180" s="1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3"/>
      <c r="B181" s="14"/>
      <c r="C181" s="1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3"/>
      <c r="B182" s="14"/>
      <c r="C182" s="1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3"/>
      <c r="B183" s="14"/>
      <c r="C183" s="1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3"/>
      <c r="B184" s="14"/>
      <c r="C184" s="1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3"/>
      <c r="B185" s="14"/>
      <c r="C185" s="1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3"/>
      <c r="B186" s="14"/>
      <c r="C186" s="1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3"/>
      <c r="B187" s="14"/>
      <c r="C187" s="1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3"/>
      <c r="B188" s="14"/>
      <c r="C188" s="1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3"/>
      <c r="B189" s="14"/>
      <c r="C189" s="1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3"/>
      <c r="B190" s="14"/>
      <c r="C190" s="1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3"/>
      <c r="B191" s="14"/>
      <c r="C191" s="1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3"/>
      <c r="B192" s="14"/>
      <c r="C192" s="1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3"/>
      <c r="B193" s="14"/>
      <c r="C193" s="1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3"/>
      <c r="B194" s="14"/>
      <c r="C194" s="1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3"/>
      <c r="B195" s="14"/>
      <c r="C195" s="1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3"/>
      <c r="B196" s="14"/>
      <c r="C196" s="1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3"/>
      <c r="B197" s="14"/>
      <c r="C197" s="1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3"/>
      <c r="B198" s="14"/>
      <c r="C198" s="1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3"/>
      <c r="B199" s="14"/>
      <c r="C199" s="1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3"/>
      <c r="B200" s="14"/>
      <c r="C200" s="1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3"/>
      <c r="B201" s="14"/>
      <c r="C201" s="1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3"/>
      <c r="B202" s="14"/>
      <c r="C202" s="1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3"/>
      <c r="B203" s="14"/>
      <c r="C203" s="1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3"/>
      <c r="B204" s="14"/>
      <c r="C204" s="1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3"/>
      <c r="B205" s="14"/>
      <c r="C205" s="1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3"/>
      <c r="B206" s="14"/>
      <c r="C206" s="1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3"/>
      <c r="B207" s="14"/>
      <c r="C207" s="1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3"/>
      <c r="B208" s="14"/>
      <c r="C208" s="1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3"/>
      <c r="B209" s="14"/>
      <c r="C209" s="1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3"/>
      <c r="B210" s="14"/>
      <c r="C210" s="1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3"/>
      <c r="B211" s="14"/>
      <c r="C211" s="1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3"/>
      <c r="B212" s="14"/>
      <c r="C212" s="1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3"/>
      <c r="B213" s="14"/>
      <c r="C213" s="1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3"/>
      <c r="B214" s="14"/>
      <c r="C214" s="1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3"/>
      <c r="B215" s="14"/>
      <c r="C215" s="1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3"/>
      <c r="B216" s="14"/>
      <c r="C216" s="1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3"/>
      <c r="B217" s="14"/>
      <c r="C217" s="1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3"/>
      <c r="B218" s="14"/>
      <c r="C218" s="1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3"/>
      <c r="B219" s="14"/>
      <c r="C219" s="1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3"/>
      <c r="B220" s="14"/>
      <c r="C220" s="1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3"/>
      <c r="B221" s="14"/>
      <c r="C221" s="1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3"/>
      <c r="B222" s="14"/>
      <c r="C222" s="1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3"/>
      <c r="B223" s="14"/>
      <c r="C223" s="1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3"/>
      <c r="B224" s="14"/>
      <c r="C224" s="1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3"/>
      <c r="B225" s="14"/>
      <c r="C225" s="1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3"/>
      <c r="B226" s="14"/>
      <c r="C226" s="1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3"/>
      <c r="B227" s="14"/>
      <c r="C227" s="1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3"/>
      <c r="B228" s="14"/>
      <c r="C228" s="1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3"/>
      <c r="B229" s="14"/>
      <c r="C229" s="1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3"/>
      <c r="B230" s="14"/>
      <c r="C230" s="1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3"/>
      <c r="B231" s="14"/>
      <c r="C231" s="1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3"/>
      <c r="B232" s="14"/>
      <c r="C232" s="1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3"/>
      <c r="B233" s="14"/>
      <c r="C233" s="1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3"/>
      <c r="B234" s="14"/>
      <c r="C234" s="1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3"/>
      <c r="B235" s="14"/>
      <c r="C235" s="1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3"/>
      <c r="B236" s="14"/>
      <c r="C236" s="1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3"/>
      <c r="B237" s="14"/>
      <c r="C237" s="1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3"/>
      <c r="B238" s="14"/>
      <c r="C238" s="1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3"/>
      <c r="B239" s="14"/>
      <c r="C239" s="1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3"/>
      <c r="B240" s="14"/>
      <c r="C240" s="1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3"/>
      <c r="B241" s="14"/>
      <c r="C241" s="1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3"/>
      <c r="B242" s="14"/>
      <c r="C242" s="1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3"/>
      <c r="B243" s="14"/>
      <c r="C243" s="1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3"/>
      <c r="B244" s="14"/>
      <c r="C244" s="1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3"/>
      <c r="B245" s="14"/>
      <c r="C245" s="1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3"/>
      <c r="B246" s="14"/>
      <c r="C246" s="1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3"/>
      <c r="B247" s="14"/>
      <c r="C247" s="1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3"/>
      <c r="B248" s="14"/>
      <c r="C248" s="1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3"/>
      <c r="B249" s="14"/>
      <c r="C249" s="1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3"/>
      <c r="B250" s="14"/>
      <c r="C250" s="1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3"/>
      <c r="B251" s="14"/>
      <c r="C251" s="1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3"/>
      <c r="B252" s="14"/>
      <c r="C252" s="1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3"/>
      <c r="B253" s="14"/>
      <c r="C253" s="1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3"/>
      <c r="B254" s="14"/>
      <c r="C254" s="1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3"/>
      <c r="B255" s="14"/>
      <c r="C255" s="1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3"/>
      <c r="B256" s="14"/>
      <c r="C256" s="1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3"/>
      <c r="B257" s="14"/>
      <c r="C257" s="1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3"/>
      <c r="B258" s="14"/>
      <c r="C258" s="1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3"/>
      <c r="B259" s="14"/>
      <c r="C259" s="1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3"/>
      <c r="B260" s="14"/>
      <c r="C260" s="1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3"/>
      <c r="B261" s="14"/>
      <c r="C261" s="1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3"/>
      <c r="B262" s="14"/>
      <c r="C262" s="1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3"/>
      <c r="B263" s="14"/>
      <c r="C263" s="1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3"/>
      <c r="B264" s="14"/>
      <c r="C264" s="1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3"/>
      <c r="B265" s="14"/>
      <c r="C265" s="1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3"/>
      <c r="B266" s="14"/>
      <c r="C266" s="1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3"/>
      <c r="B267" s="14"/>
      <c r="C267" s="1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3"/>
      <c r="B268" s="14"/>
      <c r="C268" s="1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3"/>
      <c r="B269" s="14"/>
      <c r="C269" s="1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3"/>
      <c r="B270" s="14"/>
      <c r="C270" s="1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3"/>
      <c r="B271" s="14"/>
      <c r="C271" s="1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3"/>
      <c r="B272" s="14"/>
      <c r="C272" s="1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3"/>
      <c r="B273" s="14"/>
      <c r="C273" s="1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3"/>
      <c r="B274" s="14"/>
      <c r="C274" s="1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13"/>
      <c r="B275" s="14"/>
      <c r="C275" s="1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13"/>
      <c r="B276" s="14"/>
      <c r="C276" s="1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13"/>
      <c r="B277" s="14"/>
      <c r="C277" s="1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13"/>
      <c r="B278" s="14"/>
      <c r="C278" s="1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13"/>
      <c r="B279" s="14"/>
      <c r="C279" s="1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13"/>
      <c r="B280" s="14"/>
      <c r="C280" s="1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13"/>
      <c r="B281" s="14"/>
      <c r="C281" s="1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13"/>
      <c r="B282" s="14"/>
      <c r="C282" s="1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13"/>
      <c r="B283" s="14"/>
      <c r="C283" s="1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13"/>
      <c r="B284" s="14"/>
      <c r="C284" s="1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13"/>
      <c r="B285" s="14"/>
      <c r="C285" s="1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13"/>
      <c r="B286" s="14"/>
      <c r="C286" s="1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13"/>
      <c r="B287" s="14"/>
      <c r="C287" s="1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13"/>
      <c r="B288" s="14"/>
      <c r="C288" s="1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13"/>
      <c r="B289" s="14"/>
      <c r="C289" s="1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13"/>
      <c r="B290" s="14"/>
      <c r="C290" s="1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13"/>
      <c r="B291" s="14"/>
      <c r="C291" s="1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13"/>
      <c r="B292" s="14"/>
      <c r="C292" s="1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13"/>
      <c r="B293" s="14"/>
      <c r="C293" s="1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13"/>
      <c r="B294" s="14"/>
      <c r="C294" s="1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13"/>
      <c r="B295" s="14"/>
      <c r="C295" s="1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13"/>
      <c r="B296" s="14"/>
      <c r="C296" s="1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13"/>
      <c r="B297" s="14"/>
      <c r="C297" s="1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13"/>
      <c r="B298" s="14"/>
      <c r="C298" s="1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13"/>
      <c r="B299" s="14"/>
      <c r="C299" s="1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13"/>
      <c r="B300" s="14"/>
      <c r="C300" s="1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13"/>
      <c r="B301" s="14"/>
      <c r="C301" s="1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13"/>
      <c r="B302" s="14"/>
      <c r="C302" s="1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13"/>
      <c r="B303" s="14"/>
      <c r="C303" s="1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13"/>
      <c r="B304" s="14"/>
      <c r="C304" s="1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13"/>
      <c r="B305" s="14"/>
      <c r="C305" s="1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13"/>
      <c r="B306" s="14"/>
      <c r="C306" s="1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13"/>
      <c r="B307" s="14"/>
      <c r="C307" s="1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13"/>
      <c r="B308" s="14"/>
      <c r="C308" s="1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13"/>
      <c r="B309" s="14"/>
      <c r="C309" s="1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13"/>
      <c r="B310" s="14"/>
      <c r="C310" s="1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13"/>
      <c r="B311" s="14"/>
      <c r="C311" s="1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13"/>
      <c r="B312" s="14"/>
      <c r="C312" s="1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13"/>
      <c r="B313" s="14"/>
      <c r="C313" s="1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13"/>
      <c r="B314" s="14"/>
      <c r="C314" s="1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13"/>
      <c r="B315" s="14"/>
      <c r="C315" s="1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13"/>
      <c r="B316" s="14"/>
      <c r="C316" s="1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106.0"/>
    <col customWidth="1" min="5" max="24" width="10.63"/>
  </cols>
  <sheetData>
    <row r="1" ht="13.5" customHeight="1">
      <c r="A1" s="15" t="s">
        <v>0</v>
      </c>
      <c r="B1" s="16" t="s">
        <v>1</v>
      </c>
      <c r="C1" s="16" t="s">
        <v>109</v>
      </c>
      <c r="D1" s="17" t="s">
        <v>90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18" t="s">
        <v>2</v>
      </c>
      <c r="B2" s="19" t="s">
        <v>3</v>
      </c>
      <c r="C2" s="20">
        <v>0.0</v>
      </c>
      <c r="D2" s="21" t="s">
        <v>110</v>
      </c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.75" customHeight="1">
      <c r="A3" s="18" t="s">
        <v>4</v>
      </c>
      <c r="B3" s="22" t="s">
        <v>5</v>
      </c>
      <c r="C3" s="20">
        <v>0.0</v>
      </c>
      <c r="D3" s="21" t="s">
        <v>111</v>
      </c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18" t="s">
        <v>6</v>
      </c>
      <c r="B4" s="19" t="s">
        <v>7</v>
      </c>
      <c r="C4" s="20">
        <v>1.0</v>
      </c>
      <c r="D4" s="21" t="s">
        <v>112</v>
      </c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18" t="s">
        <v>8</v>
      </c>
      <c r="B5" s="19" t="s">
        <v>9</v>
      </c>
      <c r="C5" s="20">
        <v>1.0</v>
      </c>
      <c r="D5" s="21" t="s">
        <v>113</v>
      </c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18" t="s">
        <v>2</v>
      </c>
      <c r="B6" s="19" t="s">
        <v>10</v>
      </c>
      <c r="C6" s="20">
        <v>1.0</v>
      </c>
      <c r="D6" s="21" t="s">
        <v>114</v>
      </c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18" t="s">
        <v>2</v>
      </c>
      <c r="B7" s="19" t="s">
        <v>11</v>
      </c>
      <c r="C7" s="20">
        <v>1.0</v>
      </c>
      <c r="D7" s="21" t="s">
        <v>115</v>
      </c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18" t="s">
        <v>4</v>
      </c>
      <c r="B8" s="19" t="s">
        <v>12</v>
      </c>
      <c r="C8" s="20">
        <v>0.0</v>
      </c>
      <c r="D8" s="21" t="s">
        <v>116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18" t="s">
        <v>13</v>
      </c>
      <c r="B9" s="19" t="s">
        <v>14</v>
      </c>
      <c r="C9" s="20">
        <v>1.0</v>
      </c>
      <c r="D9" s="21" t="s">
        <v>117</v>
      </c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18" t="s">
        <v>2</v>
      </c>
      <c r="B10" s="19" t="s">
        <v>15</v>
      </c>
      <c r="C10" s="20">
        <v>1.0</v>
      </c>
      <c r="D10" s="21" t="s">
        <v>118</v>
      </c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18" t="s">
        <v>4</v>
      </c>
      <c r="B11" s="19" t="s">
        <v>16</v>
      </c>
      <c r="C11" s="20">
        <v>0.5</v>
      </c>
      <c r="D11" s="21" t="s">
        <v>119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18" t="s">
        <v>13</v>
      </c>
      <c r="B12" s="19" t="s">
        <v>17</v>
      </c>
      <c r="C12" s="20">
        <v>1.0</v>
      </c>
      <c r="D12" s="21" t="s">
        <v>120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8" t="s">
        <v>13</v>
      </c>
      <c r="B13" s="19" t="s">
        <v>18</v>
      </c>
      <c r="C13" s="20">
        <v>1.0</v>
      </c>
      <c r="D13" s="21" t="s">
        <v>121</v>
      </c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18" t="s">
        <v>13</v>
      </c>
      <c r="B14" s="19" t="s">
        <v>19</v>
      </c>
      <c r="C14" s="20">
        <v>0.0</v>
      </c>
      <c r="D14" s="21" t="s">
        <v>122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18" t="s">
        <v>20</v>
      </c>
      <c r="B15" s="19" t="s">
        <v>21</v>
      </c>
      <c r="C15" s="20">
        <v>0.0</v>
      </c>
      <c r="D15" s="21" t="s">
        <v>123</v>
      </c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8" t="s">
        <v>2</v>
      </c>
      <c r="B16" s="19" t="s">
        <v>22</v>
      </c>
      <c r="C16" s="20">
        <v>0.0</v>
      </c>
      <c r="D16" s="21" t="s">
        <v>124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18" t="s">
        <v>4</v>
      </c>
      <c r="B17" s="19" t="s">
        <v>23</v>
      </c>
      <c r="C17" s="20">
        <v>0.5</v>
      </c>
      <c r="D17" s="21" t="s">
        <v>125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18" t="s">
        <v>13</v>
      </c>
      <c r="B18" s="19" t="s">
        <v>24</v>
      </c>
      <c r="C18" s="20">
        <v>0.0</v>
      </c>
      <c r="D18" s="21" t="s">
        <v>126</v>
      </c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18" t="s">
        <v>20</v>
      </c>
      <c r="B19" s="19" t="s">
        <v>21</v>
      </c>
      <c r="C19" s="20">
        <v>0.0</v>
      </c>
      <c r="D19" s="21" t="s">
        <v>126</v>
      </c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18" t="s">
        <v>13</v>
      </c>
      <c r="B20" s="19" t="s">
        <v>25</v>
      </c>
      <c r="C20" s="20">
        <v>0.0</v>
      </c>
      <c r="D20" s="21" t="s">
        <v>126</v>
      </c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18" t="s">
        <v>8</v>
      </c>
      <c r="B21" s="19" t="s">
        <v>26</v>
      </c>
      <c r="C21" s="20">
        <v>1.0</v>
      </c>
      <c r="D21" s="21" t="s">
        <v>127</v>
      </c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18" t="s">
        <v>2</v>
      </c>
      <c r="B22" s="19" t="s">
        <v>27</v>
      </c>
      <c r="C22" s="20">
        <v>0.5</v>
      </c>
      <c r="D22" s="21" t="s">
        <v>128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18" t="s">
        <v>6</v>
      </c>
      <c r="B23" s="19" t="s">
        <v>28</v>
      </c>
      <c r="C23" s="20">
        <v>0.0</v>
      </c>
      <c r="D23" s="21" t="s">
        <v>129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18" t="s">
        <v>2</v>
      </c>
      <c r="B24" s="19" t="s">
        <v>29</v>
      </c>
      <c r="C24" s="20">
        <v>1.0</v>
      </c>
      <c r="D24" s="21" t="s">
        <v>130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18" t="s">
        <v>6</v>
      </c>
      <c r="B25" s="19" t="s">
        <v>30</v>
      </c>
      <c r="C25" s="20">
        <v>1.0</v>
      </c>
      <c r="D25" s="21" t="s">
        <v>131</v>
      </c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18" t="s">
        <v>2</v>
      </c>
      <c r="B26" s="19" t="s">
        <v>31</v>
      </c>
      <c r="C26" s="20">
        <v>1.0</v>
      </c>
      <c r="D26" s="21" t="s">
        <v>132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18" t="s">
        <v>2</v>
      </c>
      <c r="B27" s="19" t="s">
        <v>32</v>
      </c>
      <c r="C27" s="20">
        <v>1.0</v>
      </c>
      <c r="D27" s="21" t="s">
        <v>133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18" t="s">
        <v>4</v>
      </c>
      <c r="B28" s="19" t="s">
        <v>33</v>
      </c>
      <c r="C28" s="20">
        <v>0.0</v>
      </c>
      <c r="D28" s="21" t="s">
        <v>134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18" t="s">
        <v>13</v>
      </c>
      <c r="B29" s="19" t="s">
        <v>34</v>
      </c>
      <c r="C29" s="20">
        <v>0.5</v>
      </c>
      <c r="D29" s="21" t="s">
        <v>135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18" t="s">
        <v>4</v>
      </c>
      <c r="B30" s="19" t="s">
        <v>35</v>
      </c>
      <c r="C30" s="20">
        <v>1.0</v>
      </c>
      <c r="D30" s="21" t="s">
        <v>136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18" t="s">
        <v>13</v>
      </c>
      <c r="B31" s="19" t="s">
        <v>36</v>
      </c>
      <c r="C31" s="20">
        <v>1.0</v>
      </c>
      <c r="D31" s="21" t="s">
        <v>137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8" t="s">
        <v>4</v>
      </c>
      <c r="B32" s="19" t="s">
        <v>37</v>
      </c>
      <c r="C32" s="20">
        <v>1.0</v>
      </c>
      <c r="D32" s="21" t="s">
        <v>138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18" t="s">
        <v>13</v>
      </c>
      <c r="B33" s="19" t="s">
        <v>38</v>
      </c>
      <c r="C33" s="20">
        <v>1.0</v>
      </c>
      <c r="D33" s="21" t="s">
        <v>139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18" t="s">
        <v>4</v>
      </c>
      <c r="B34" s="19" t="s">
        <v>39</v>
      </c>
      <c r="C34" s="20">
        <v>0.0</v>
      </c>
      <c r="D34" s="21" t="s">
        <v>140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18" t="s">
        <v>13</v>
      </c>
      <c r="B35" s="19" t="s">
        <v>40</v>
      </c>
      <c r="C35" s="20">
        <v>1.0</v>
      </c>
      <c r="D35" s="21" t="s">
        <v>141</v>
      </c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18" t="s">
        <v>2</v>
      </c>
      <c r="B36" s="19" t="s">
        <v>41</v>
      </c>
      <c r="C36" s="20">
        <v>1.0</v>
      </c>
      <c r="D36" s="21" t="s">
        <v>142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18" t="s">
        <v>13</v>
      </c>
      <c r="B37" s="19" t="s">
        <v>42</v>
      </c>
      <c r="C37" s="20">
        <v>1.0</v>
      </c>
      <c r="D37" s="21" t="s">
        <v>143</v>
      </c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18" t="s">
        <v>4</v>
      </c>
      <c r="B38" s="19" t="s">
        <v>43</v>
      </c>
      <c r="C38" s="20">
        <v>1.0</v>
      </c>
      <c r="D38" s="21" t="s">
        <v>144</v>
      </c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18" t="s">
        <v>13</v>
      </c>
      <c r="B39" s="19" t="s">
        <v>44</v>
      </c>
      <c r="C39" s="20">
        <v>1.0</v>
      </c>
      <c r="D39" s="21" t="s">
        <v>145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18" t="s">
        <v>4</v>
      </c>
      <c r="B40" s="19" t="s">
        <v>45</v>
      </c>
      <c r="C40" s="20">
        <v>0.0</v>
      </c>
      <c r="D40" s="21" t="s">
        <v>146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18" t="s">
        <v>2</v>
      </c>
      <c r="B41" s="19" t="s">
        <v>46</v>
      </c>
      <c r="C41" s="20">
        <v>1.0</v>
      </c>
      <c r="D41" s="21" t="s">
        <v>147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18" t="s">
        <v>13</v>
      </c>
      <c r="B42" s="19" t="s">
        <v>47</v>
      </c>
      <c r="C42" s="20">
        <v>1.0</v>
      </c>
      <c r="D42" s="21" t="s">
        <v>148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18" t="s">
        <v>4</v>
      </c>
      <c r="B43" s="19" t="s">
        <v>48</v>
      </c>
      <c r="C43" s="20">
        <v>1.0</v>
      </c>
      <c r="D43" s="21" t="s">
        <v>149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18" t="s">
        <v>13</v>
      </c>
      <c r="B44" s="19" t="s">
        <v>49</v>
      </c>
      <c r="C44" s="20">
        <v>1.0</v>
      </c>
      <c r="D44" s="21" t="s">
        <v>150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18" t="s">
        <v>4</v>
      </c>
      <c r="B45" s="19" t="s">
        <v>50</v>
      </c>
      <c r="C45" s="20">
        <v>0.0</v>
      </c>
      <c r="D45" s="21" t="s">
        <v>151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18" t="s">
        <v>2</v>
      </c>
      <c r="B46" s="19" t="s">
        <v>51</v>
      </c>
      <c r="C46" s="20">
        <v>1.0</v>
      </c>
      <c r="D46" s="21" t="s">
        <v>152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18" t="s">
        <v>13</v>
      </c>
      <c r="B47" s="19" t="s">
        <v>52</v>
      </c>
      <c r="C47" s="20">
        <v>1.0</v>
      </c>
      <c r="D47" s="21" t="s">
        <v>153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18" t="s">
        <v>4</v>
      </c>
      <c r="B48" s="19" t="s">
        <v>53</v>
      </c>
      <c r="C48" s="20">
        <v>1.0</v>
      </c>
      <c r="D48" s="21" t="s">
        <v>154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18" t="s">
        <v>13</v>
      </c>
      <c r="B49" s="19" t="s">
        <v>54</v>
      </c>
      <c r="C49" s="20">
        <v>1.0</v>
      </c>
      <c r="D49" s="21" t="s">
        <v>155</v>
      </c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18" t="s">
        <v>4</v>
      </c>
      <c r="B50" s="19" t="s">
        <v>39</v>
      </c>
      <c r="C50" s="20">
        <v>0.0</v>
      </c>
      <c r="D50" s="21" t="s">
        <v>140</v>
      </c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18" t="s">
        <v>13</v>
      </c>
      <c r="B51" s="19" t="s">
        <v>40</v>
      </c>
      <c r="C51" s="20">
        <v>1.0</v>
      </c>
      <c r="D51" s="21" t="s">
        <v>141</v>
      </c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18" t="s">
        <v>6</v>
      </c>
      <c r="B52" s="19" t="s">
        <v>55</v>
      </c>
      <c r="C52" s="20">
        <v>1.0</v>
      </c>
      <c r="D52" s="21" t="s">
        <v>156</v>
      </c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18" t="s">
        <v>2</v>
      </c>
      <c r="B53" s="19" t="s">
        <v>56</v>
      </c>
      <c r="C53" s="20">
        <v>1.0</v>
      </c>
      <c r="D53" s="21" t="s">
        <v>157</v>
      </c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18" t="s">
        <v>2</v>
      </c>
      <c r="B54" s="19" t="s">
        <v>32</v>
      </c>
      <c r="C54" s="20">
        <v>1.0</v>
      </c>
      <c r="D54" s="21" t="s">
        <v>158</v>
      </c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18" t="s">
        <v>4</v>
      </c>
      <c r="B55" s="19" t="s">
        <v>57</v>
      </c>
      <c r="C55" s="20">
        <v>0.0</v>
      </c>
      <c r="D55" s="21" t="s">
        <v>159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18" t="s">
        <v>13</v>
      </c>
      <c r="B56" s="19" t="s">
        <v>58</v>
      </c>
      <c r="C56" s="20">
        <v>1.0</v>
      </c>
      <c r="D56" s="21" t="s">
        <v>160</v>
      </c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18" t="s">
        <v>4</v>
      </c>
      <c r="B57" s="19" t="s">
        <v>45</v>
      </c>
      <c r="C57" s="20">
        <v>0.0</v>
      </c>
      <c r="D57" s="21" t="s">
        <v>146</v>
      </c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18" t="s">
        <v>13</v>
      </c>
      <c r="B58" s="19" t="s">
        <v>59</v>
      </c>
      <c r="C58" s="20">
        <v>1.0</v>
      </c>
      <c r="D58" s="21" t="s">
        <v>161</v>
      </c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18" t="s">
        <v>2</v>
      </c>
      <c r="B59" s="19" t="s">
        <v>46</v>
      </c>
      <c r="C59" s="20">
        <v>1.0</v>
      </c>
      <c r="D59" s="21" t="s">
        <v>162</v>
      </c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18" t="s">
        <v>13</v>
      </c>
      <c r="B60" s="19" t="s">
        <v>47</v>
      </c>
      <c r="C60" s="20">
        <v>1.0</v>
      </c>
      <c r="D60" s="21" t="s">
        <v>163</v>
      </c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18" t="s">
        <v>4</v>
      </c>
      <c r="B61" s="19" t="s">
        <v>60</v>
      </c>
      <c r="C61" s="20">
        <v>1.0</v>
      </c>
      <c r="D61" s="21" t="s">
        <v>164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18" t="s">
        <v>13</v>
      </c>
      <c r="B62" s="19" t="s">
        <v>49</v>
      </c>
      <c r="C62" s="20">
        <v>1.0</v>
      </c>
      <c r="D62" s="21" t="s">
        <v>165</v>
      </c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18" t="s">
        <v>4</v>
      </c>
      <c r="B63" s="19" t="s">
        <v>50</v>
      </c>
      <c r="C63" s="20">
        <v>0.0</v>
      </c>
      <c r="D63" s="21" t="s">
        <v>151</v>
      </c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18" t="s">
        <v>2</v>
      </c>
      <c r="B64" s="19" t="s">
        <v>51</v>
      </c>
      <c r="C64" s="20">
        <v>1.0</v>
      </c>
      <c r="D64" s="21" t="s">
        <v>166</v>
      </c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18" t="s">
        <v>13</v>
      </c>
      <c r="B65" s="19" t="s">
        <v>52</v>
      </c>
      <c r="C65" s="20">
        <v>1.0</v>
      </c>
      <c r="D65" s="21" t="s">
        <v>167</v>
      </c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18" t="s">
        <v>4</v>
      </c>
      <c r="B66" s="19" t="s">
        <v>61</v>
      </c>
      <c r="C66" s="20">
        <v>1.0</v>
      </c>
      <c r="D66" s="21" t="s">
        <v>168</v>
      </c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18" t="s">
        <v>13</v>
      </c>
      <c r="B67" s="19" t="s">
        <v>62</v>
      </c>
      <c r="C67" s="20">
        <v>1.0</v>
      </c>
      <c r="D67" s="21" t="s">
        <v>169</v>
      </c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18" t="s">
        <v>4</v>
      </c>
      <c r="B68" s="19" t="s">
        <v>45</v>
      </c>
      <c r="C68" s="20">
        <v>0.0</v>
      </c>
      <c r="D68" s="21" t="s">
        <v>146</v>
      </c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18" t="s">
        <v>13</v>
      </c>
      <c r="B69" s="19" t="s">
        <v>59</v>
      </c>
      <c r="C69" s="20">
        <v>1.0</v>
      </c>
      <c r="D69" s="21" t="s">
        <v>161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18" t="s">
        <v>6</v>
      </c>
      <c r="B70" s="19" t="s">
        <v>63</v>
      </c>
      <c r="C70" s="20">
        <v>1.0</v>
      </c>
      <c r="D70" s="21" t="s">
        <v>170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18" t="s">
        <v>2</v>
      </c>
      <c r="B71" s="19" t="s">
        <v>64</v>
      </c>
      <c r="C71" s="20">
        <v>1.0</v>
      </c>
      <c r="D71" s="21" t="s">
        <v>171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18" t="s">
        <v>2</v>
      </c>
      <c r="B72" s="19" t="s">
        <v>32</v>
      </c>
      <c r="C72" s="20">
        <v>1.0</v>
      </c>
      <c r="D72" s="21" t="s">
        <v>172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18" t="s">
        <v>4</v>
      </c>
      <c r="B73" s="19" t="s">
        <v>65</v>
      </c>
      <c r="C73" s="20">
        <v>0.0</v>
      </c>
      <c r="D73" s="21" t="s">
        <v>173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18" t="s">
        <v>13</v>
      </c>
      <c r="B74" s="19" t="s">
        <v>38</v>
      </c>
      <c r="C74" s="20">
        <v>1.0</v>
      </c>
      <c r="D74" s="21" t="s">
        <v>174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8" t="s">
        <v>4</v>
      </c>
      <c r="B75" s="19" t="s">
        <v>39</v>
      </c>
      <c r="C75" s="20">
        <v>0.0</v>
      </c>
      <c r="D75" s="21" t="s">
        <v>140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8" t="s">
        <v>13</v>
      </c>
      <c r="B76" s="19" t="s">
        <v>66</v>
      </c>
      <c r="C76" s="20">
        <v>1.0</v>
      </c>
      <c r="D76" s="21" t="s">
        <v>175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8" t="s">
        <v>20</v>
      </c>
      <c r="B77" s="19" t="s">
        <v>67</v>
      </c>
      <c r="C77" s="20">
        <v>1.0</v>
      </c>
      <c r="D77" s="21" t="s">
        <v>176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8" t="s">
        <v>4</v>
      </c>
      <c r="B78" s="19" t="s">
        <v>68</v>
      </c>
      <c r="C78" s="20">
        <v>0.0</v>
      </c>
      <c r="D78" s="21" t="s">
        <v>177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8" t="s">
        <v>13</v>
      </c>
      <c r="B79" s="19" t="s">
        <v>69</v>
      </c>
      <c r="C79" s="20">
        <v>1.0</v>
      </c>
      <c r="D79" s="21" t="s">
        <v>178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8" t="s">
        <v>2</v>
      </c>
      <c r="B80" s="19" t="s">
        <v>41</v>
      </c>
      <c r="C80" s="20">
        <v>1.0</v>
      </c>
      <c r="D80" s="21" t="s">
        <v>179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8" t="s">
        <v>13</v>
      </c>
      <c r="B81" s="19" t="s">
        <v>42</v>
      </c>
      <c r="C81" s="20">
        <v>1.0</v>
      </c>
      <c r="D81" s="21" t="s">
        <v>180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8" t="s">
        <v>4</v>
      </c>
      <c r="B82" s="19" t="s">
        <v>70</v>
      </c>
      <c r="C82" s="20">
        <v>1.0</v>
      </c>
      <c r="D82" s="21" t="s">
        <v>181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8" t="s">
        <v>13</v>
      </c>
      <c r="B83" s="19" t="s">
        <v>44</v>
      </c>
      <c r="C83" s="20">
        <v>1.0</v>
      </c>
      <c r="D83" s="21" t="s">
        <v>182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8" t="s">
        <v>4</v>
      </c>
      <c r="B84" s="19" t="s">
        <v>45</v>
      </c>
      <c r="C84" s="20">
        <v>0.0</v>
      </c>
      <c r="D84" s="21" t="s">
        <v>146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8" t="s">
        <v>2</v>
      </c>
      <c r="B85" s="19" t="s">
        <v>46</v>
      </c>
      <c r="C85" s="20">
        <v>1.0</v>
      </c>
      <c r="D85" s="21" t="s">
        <v>183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8" t="s">
        <v>13</v>
      </c>
      <c r="B86" s="19" t="s">
        <v>47</v>
      </c>
      <c r="C86" s="20">
        <v>1.0</v>
      </c>
      <c r="D86" s="21" t="s">
        <v>184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8" t="s">
        <v>4</v>
      </c>
      <c r="B87" s="19" t="s">
        <v>71</v>
      </c>
      <c r="C87" s="20">
        <v>1.0</v>
      </c>
      <c r="D87" s="21" t="s">
        <v>185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8" t="s">
        <v>13</v>
      </c>
      <c r="B88" s="19" t="s">
        <v>49</v>
      </c>
      <c r="C88" s="20">
        <v>1.0</v>
      </c>
      <c r="D88" s="21" t="s">
        <v>186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8" t="s">
        <v>4</v>
      </c>
      <c r="B89" s="19" t="s">
        <v>50</v>
      </c>
      <c r="C89" s="20">
        <v>0.0</v>
      </c>
      <c r="D89" s="21" t="s">
        <v>151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8" t="s">
        <v>2</v>
      </c>
      <c r="B90" s="19" t="s">
        <v>51</v>
      </c>
      <c r="C90" s="20">
        <v>1.0</v>
      </c>
      <c r="D90" s="21" t="s">
        <v>187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8" t="s">
        <v>13</v>
      </c>
      <c r="B91" s="19" t="s">
        <v>52</v>
      </c>
      <c r="C91" s="20">
        <v>1.0</v>
      </c>
      <c r="D91" s="21" t="s">
        <v>188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8" t="s">
        <v>4</v>
      </c>
      <c r="B92" s="19" t="s">
        <v>72</v>
      </c>
      <c r="C92" s="20">
        <v>1.0</v>
      </c>
      <c r="D92" s="21" t="s">
        <v>189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8" t="s">
        <v>13</v>
      </c>
      <c r="B93" s="19" t="s">
        <v>54</v>
      </c>
      <c r="C93" s="20">
        <v>1.0</v>
      </c>
      <c r="D93" s="21" t="s">
        <v>190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8" t="s">
        <v>4</v>
      </c>
      <c r="B94" s="19" t="s">
        <v>39</v>
      </c>
      <c r="C94" s="20">
        <v>0.0</v>
      </c>
      <c r="D94" s="21" t="s">
        <v>140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8" t="s">
        <v>2</v>
      </c>
      <c r="B95" s="19" t="s">
        <v>73</v>
      </c>
      <c r="C95" s="20">
        <v>1.0</v>
      </c>
      <c r="D95" s="21" t="s">
        <v>191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8" t="s">
        <v>4</v>
      </c>
      <c r="B96" s="19" t="s">
        <v>74</v>
      </c>
      <c r="C96" s="20">
        <v>0.0</v>
      </c>
      <c r="D96" s="21" t="s">
        <v>192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8" t="s">
        <v>13</v>
      </c>
      <c r="B97" s="19" t="s">
        <v>75</v>
      </c>
      <c r="C97" s="20">
        <v>1.0</v>
      </c>
      <c r="D97" s="21" t="s">
        <v>193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8" t="s">
        <v>4</v>
      </c>
      <c r="B98" s="19" t="s">
        <v>76</v>
      </c>
      <c r="C98" s="20">
        <v>0.5</v>
      </c>
      <c r="D98" s="21" t="s">
        <v>194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8" t="s">
        <v>2</v>
      </c>
      <c r="B99" s="19" t="s">
        <v>77</v>
      </c>
      <c r="C99" s="20">
        <v>1.0</v>
      </c>
      <c r="D99" s="21" t="s">
        <v>195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8" t="s">
        <v>4</v>
      </c>
      <c r="B100" s="19" t="s">
        <v>78</v>
      </c>
      <c r="C100" s="20">
        <v>1.0</v>
      </c>
      <c r="D100" s="21" t="s">
        <v>196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8" t="s">
        <v>13</v>
      </c>
      <c r="B101" s="19" t="s">
        <v>79</v>
      </c>
      <c r="C101" s="20">
        <v>1.0</v>
      </c>
      <c r="D101" s="21" t="s">
        <v>197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8" t="s">
        <v>80</v>
      </c>
      <c r="B102" s="19" t="s">
        <v>81</v>
      </c>
      <c r="C102" s="20">
        <v>1.0</v>
      </c>
      <c r="D102" s="21" t="s">
        <v>198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8" t="s">
        <v>13</v>
      </c>
      <c r="B103" s="19" t="s">
        <v>82</v>
      </c>
      <c r="C103" s="20">
        <v>1.0</v>
      </c>
      <c r="D103" s="21" t="s">
        <v>199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8" t="s">
        <v>4</v>
      </c>
      <c r="B104" s="19" t="s">
        <v>83</v>
      </c>
      <c r="C104" s="20">
        <v>0.0</v>
      </c>
      <c r="D104" s="21" t="s">
        <v>200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8" t="s">
        <v>4</v>
      </c>
      <c r="B105" s="19" t="s">
        <v>76</v>
      </c>
      <c r="C105" s="20">
        <v>0.5</v>
      </c>
      <c r="D105" s="21" t="s">
        <v>201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8" t="s">
        <v>2</v>
      </c>
      <c r="B106" s="19" t="s">
        <v>84</v>
      </c>
      <c r="C106" s="20">
        <v>1.0</v>
      </c>
      <c r="D106" s="21" t="s">
        <v>202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8" t="s">
        <v>4</v>
      </c>
      <c r="B107" s="19" t="s">
        <v>85</v>
      </c>
      <c r="C107" s="20">
        <v>1.0</v>
      </c>
      <c r="D107" s="21" t="s">
        <v>196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8" t="s">
        <v>4</v>
      </c>
      <c r="B108" s="19" t="s">
        <v>86</v>
      </c>
      <c r="C108" s="20">
        <v>0.0</v>
      </c>
      <c r="D108" s="21" t="s">
        <v>203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8" t="s">
        <v>13</v>
      </c>
      <c r="B109" s="19" t="s">
        <v>87</v>
      </c>
      <c r="C109" s="20">
        <v>1.0</v>
      </c>
      <c r="D109" s="21" t="s">
        <v>204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23" t="s">
        <v>2</v>
      </c>
      <c r="B110" s="24" t="s">
        <v>88</v>
      </c>
      <c r="C110" s="20">
        <v>0.0</v>
      </c>
      <c r="D110" s="21" t="s">
        <v>205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25" t="s">
        <v>13</v>
      </c>
      <c r="B111" s="26" t="s">
        <v>88</v>
      </c>
      <c r="C111" s="20">
        <v>0.0</v>
      </c>
      <c r="D111" s="21" t="s">
        <v>206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8" t="s">
        <v>20</v>
      </c>
      <c r="B112" s="19" t="s">
        <v>88</v>
      </c>
      <c r="C112" s="20">
        <v>0.0</v>
      </c>
      <c r="D112" s="21" t="s">
        <v>207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25" t="s">
        <v>4</v>
      </c>
      <c r="B113" s="26" t="s">
        <v>88</v>
      </c>
      <c r="C113" s="20">
        <v>0.0</v>
      </c>
      <c r="D113" s="21" t="s">
        <v>208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8" t="s">
        <v>6</v>
      </c>
      <c r="B114" s="19" t="s">
        <v>88</v>
      </c>
      <c r="C114" s="20">
        <v>0.0</v>
      </c>
      <c r="D114" s="21" t="s">
        <v>209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25" t="s">
        <v>8</v>
      </c>
      <c r="B115" s="26" t="s">
        <v>88</v>
      </c>
      <c r="C115" s="20">
        <v>0.0</v>
      </c>
      <c r="D115" s="21" t="s">
        <v>210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8" t="s">
        <v>80</v>
      </c>
      <c r="B116" s="19" t="s">
        <v>88</v>
      </c>
      <c r="C116" s="20">
        <v>0.0</v>
      </c>
      <c r="D116" s="21" t="s">
        <v>211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3"/>
      <c r="B117" s="14"/>
      <c r="C117" s="1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3"/>
      <c r="B118" s="14"/>
      <c r="C118" s="1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3"/>
      <c r="B119" s="14"/>
      <c r="C119" s="1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3"/>
      <c r="B120" s="14"/>
      <c r="C120" s="1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3"/>
      <c r="B121" s="14"/>
      <c r="C121" s="1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3"/>
      <c r="B122" s="14"/>
      <c r="C122" s="1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3"/>
      <c r="B123" s="14"/>
      <c r="C123" s="1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3"/>
      <c r="B124" s="14"/>
      <c r="C124" s="1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3"/>
      <c r="B125" s="14"/>
      <c r="C125" s="1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3"/>
      <c r="B126" s="14"/>
      <c r="C126" s="1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3"/>
      <c r="B127" s="14"/>
      <c r="C127" s="1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3"/>
      <c r="B128" s="14"/>
      <c r="C128" s="1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3"/>
      <c r="B129" s="14"/>
      <c r="C129" s="1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3"/>
      <c r="B130" s="14"/>
      <c r="C130" s="1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3"/>
      <c r="B131" s="14"/>
      <c r="C131" s="1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3"/>
      <c r="B132" s="14"/>
      <c r="C132" s="1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3"/>
      <c r="B133" s="14"/>
      <c r="C133" s="1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3"/>
      <c r="B134" s="14"/>
      <c r="C134" s="1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3"/>
      <c r="B135" s="14"/>
      <c r="C135" s="1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3"/>
      <c r="B136" s="14"/>
      <c r="C136" s="1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3"/>
      <c r="B137" s="14"/>
      <c r="C137" s="1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3"/>
      <c r="B138" s="14"/>
      <c r="C138" s="1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3"/>
      <c r="B139" s="14"/>
      <c r="C139" s="1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3"/>
      <c r="B140" s="14"/>
      <c r="C140" s="1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3"/>
      <c r="B141" s="14"/>
      <c r="C141" s="1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3"/>
      <c r="B142" s="14"/>
      <c r="C142" s="1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3"/>
      <c r="B143" s="14"/>
      <c r="C143" s="1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3"/>
      <c r="B144" s="14"/>
      <c r="C144" s="1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3"/>
      <c r="B145" s="14"/>
      <c r="C145" s="1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3"/>
      <c r="B146" s="14"/>
      <c r="C146" s="1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3"/>
      <c r="B147" s="14"/>
      <c r="C147" s="1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3"/>
      <c r="B148" s="14"/>
      <c r="C148" s="1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3"/>
      <c r="B149" s="14"/>
      <c r="C149" s="1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3"/>
      <c r="B150" s="14"/>
      <c r="C150" s="1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3"/>
      <c r="B151" s="14"/>
      <c r="C151" s="1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3"/>
      <c r="B152" s="14"/>
      <c r="C152" s="1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3"/>
      <c r="B153" s="14"/>
      <c r="C153" s="1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3"/>
      <c r="B154" s="14"/>
      <c r="C154" s="1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3"/>
      <c r="B155" s="14"/>
      <c r="C155" s="1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3"/>
      <c r="B156" s="14"/>
      <c r="C156" s="1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3"/>
      <c r="B157" s="14"/>
      <c r="C157" s="1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3"/>
      <c r="B158" s="14"/>
      <c r="C158" s="1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3"/>
      <c r="B159" s="14"/>
      <c r="C159" s="1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3"/>
      <c r="B160" s="14"/>
      <c r="C160" s="1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3"/>
      <c r="B161" s="14"/>
      <c r="C161" s="1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3"/>
      <c r="B162" s="14"/>
      <c r="C162" s="1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3"/>
      <c r="B163" s="14"/>
      <c r="C163" s="1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3"/>
      <c r="B164" s="14"/>
      <c r="C164" s="1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3"/>
      <c r="B165" s="14"/>
      <c r="C165" s="1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3"/>
      <c r="B166" s="14"/>
      <c r="C166" s="1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3"/>
      <c r="B167" s="14"/>
      <c r="C167" s="1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3"/>
      <c r="B168" s="14"/>
      <c r="C168" s="1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3"/>
      <c r="B169" s="14"/>
      <c r="C169" s="1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3"/>
      <c r="B170" s="14"/>
      <c r="C170" s="1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3"/>
      <c r="B171" s="14"/>
      <c r="C171" s="1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3"/>
      <c r="B172" s="14"/>
      <c r="C172" s="1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3"/>
      <c r="B173" s="14"/>
      <c r="C173" s="1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3"/>
      <c r="B174" s="14"/>
      <c r="C174" s="1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3"/>
      <c r="B175" s="14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3"/>
      <c r="B176" s="14"/>
      <c r="C176" s="1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3"/>
      <c r="B177" s="14"/>
      <c r="C177" s="1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3"/>
      <c r="B178" s="14"/>
      <c r="C178" s="1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3"/>
      <c r="B179" s="14"/>
      <c r="C179" s="1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3"/>
      <c r="B180" s="14"/>
      <c r="C180" s="1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3"/>
      <c r="B181" s="14"/>
      <c r="C181" s="1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3"/>
      <c r="B182" s="14"/>
      <c r="C182" s="1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3"/>
      <c r="B183" s="14"/>
      <c r="C183" s="1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3"/>
      <c r="B184" s="14"/>
      <c r="C184" s="1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3"/>
      <c r="B185" s="14"/>
      <c r="C185" s="1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3"/>
      <c r="B186" s="14"/>
      <c r="C186" s="1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3"/>
      <c r="B187" s="14"/>
      <c r="C187" s="1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3"/>
      <c r="B188" s="14"/>
      <c r="C188" s="1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3"/>
      <c r="B189" s="14"/>
      <c r="C189" s="1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3"/>
      <c r="B190" s="14"/>
      <c r="C190" s="1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3"/>
      <c r="B191" s="14"/>
      <c r="C191" s="1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3"/>
      <c r="B192" s="14"/>
      <c r="C192" s="1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3"/>
      <c r="B193" s="14"/>
      <c r="C193" s="1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3"/>
      <c r="B194" s="14"/>
      <c r="C194" s="1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3"/>
      <c r="B195" s="14"/>
      <c r="C195" s="1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3"/>
      <c r="B196" s="14"/>
      <c r="C196" s="1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3"/>
      <c r="B197" s="14"/>
      <c r="C197" s="1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3"/>
      <c r="B198" s="14"/>
      <c r="C198" s="1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3"/>
      <c r="B199" s="14"/>
      <c r="C199" s="1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3"/>
      <c r="B200" s="14"/>
      <c r="C200" s="1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3"/>
      <c r="B201" s="14"/>
      <c r="C201" s="1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3"/>
      <c r="B202" s="14"/>
      <c r="C202" s="1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3"/>
      <c r="B203" s="14"/>
      <c r="C203" s="1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3"/>
      <c r="B204" s="14"/>
      <c r="C204" s="1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3"/>
      <c r="B205" s="14"/>
      <c r="C205" s="1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3"/>
      <c r="B206" s="14"/>
      <c r="C206" s="1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3"/>
      <c r="B207" s="14"/>
      <c r="C207" s="1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3"/>
      <c r="B208" s="14"/>
      <c r="C208" s="1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3"/>
      <c r="B209" s="14"/>
      <c r="C209" s="1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3"/>
      <c r="B210" s="14"/>
      <c r="C210" s="1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3"/>
      <c r="B211" s="14"/>
      <c r="C211" s="1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3"/>
      <c r="B212" s="14"/>
      <c r="C212" s="1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3"/>
      <c r="B213" s="14"/>
      <c r="C213" s="1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3"/>
      <c r="B214" s="14"/>
      <c r="C214" s="1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3"/>
      <c r="B215" s="14"/>
      <c r="C215" s="1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3"/>
      <c r="B216" s="14"/>
      <c r="C216" s="1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3"/>
      <c r="B217" s="14"/>
      <c r="C217" s="1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3"/>
      <c r="B218" s="14"/>
      <c r="C218" s="1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3"/>
      <c r="B219" s="14"/>
      <c r="C219" s="1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3"/>
      <c r="B220" s="14"/>
      <c r="C220" s="1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3"/>
      <c r="B221" s="14"/>
      <c r="C221" s="1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3"/>
      <c r="B222" s="14"/>
      <c r="C222" s="1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3"/>
      <c r="B223" s="14"/>
      <c r="C223" s="1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3"/>
      <c r="B224" s="14"/>
      <c r="C224" s="1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3"/>
      <c r="B225" s="14"/>
      <c r="C225" s="1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3"/>
      <c r="B226" s="14"/>
      <c r="C226" s="1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3"/>
      <c r="B227" s="14"/>
      <c r="C227" s="1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3"/>
      <c r="B228" s="14"/>
      <c r="C228" s="1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3"/>
      <c r="B229" s="14"/>
      <c r="C229" s="1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3"/>
      <c r="B230" s="14"/>
      <c r="C230" s="1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3"/>
      <c r="B231" s="14"/>
      <c r="C231" s="1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3"/>
      <c r="B232" s="14"/>
      <c r="C232" s="1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3"/>
      <c r="B233" s="14"/>
      <c r="C233" s="1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3"/>
      <c r="B234" s="14"/>
      <c r="C234" s="1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3"/>
      <c r="B235" s="14"/>
      <c r="C235" s="1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3"/>
      <c r="B236" s="14"/>
      <c r="C236" s="1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3"/>
      <c r="B237" s="14"/>
      <c r="C237" s="1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3"/>
      <c r="B238" s="14"/>
      <c r="C238" s="1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3"/>
      <c r="B239" s="14"/>
      <c r="C239" s="1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3"/>
      <c r="B240" s="14"/>
      <c r="C240" s="1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3"/>
      <c r="B241" s="14"/>
      <c r="C241" s="1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3"/>
      <c r="B242" s="14"/>
      <c r="C242" s="1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3"/>
      <c r="B243" s="14"/>
      <c r="C243" s="1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3"/>
      <c r="B244" s="14"/>
      <c r="C244" s="1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3"/>
      <c r="B245" s="14"/>
      <c r="C245" s="1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3"/>
      <c r="B246" s="14"/>
      <c r="C246" s="1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3"/>
      <c r="B247" s="14"/>
      <c r="C247" s="1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3"/>
      <c r="B248" s="14"/>
      <c r="C248" s="1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3"/>
      <c r="B249" s="14"/>
      <c r="C249" s="1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3"/>
      <c r="B250" s="14"/>
      <c r="C250" s="1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3"/>
      <c r="B251" s="14"/>
      <c r="C251" s="1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3"/>
      <c r="B252" s="14"/>
      <c r="C252" s="1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3"/>
      <c r="B253" s="14"/>
      <c r="C253" s="1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3"/>
      <c r="B254" s="14"/>
      <c r="C254" s="1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3"/>
      <c r="B255" s="14"/>
      <c r="C255" s="1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3"/>
      <c r="B256" s="14"/>
      <c r="C256" s="1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3"/>
      <c r="B257" s="14"/>
      <c r="C257" s="1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3"/>
      <c r="B258" s="14"/>
      <c r="C258" s="1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3"/>
      <c r="B259" s="14"/>
      <c r="C259" s="1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3"/>
      <c r="B260" s="14"/>
      <c r="C260" s="1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3"/>
      <c r="B261" s="14"/>
      <c r="C261" s="1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3"/>
      <c r="B262" s="14"/>
      <c r="C262" s="1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3"/>
      <c r="B263" s="14"/>
      <c r="C263" s="1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3"/>
      <c r="B264" s="14"/>
      <c r="C264" s="1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3"/>
      <c r="B265" s="14"/>
      <c r="C265" s="1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3"/>
      <c r="B266" s="14"/>
      <c r="C266" s="1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3"/>
      <c r="B267" s="14"/>
      <c r="C267" s="1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3"/>
      <c r="B268" s="14"/>
      <c r="C268" s="1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3"/>
      <c r="B269" s="14"/>
      <c r="C269" s="1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3"/>
      <c r="B270" s="14"/>
      <c r="C270" s="1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3"/>
      <c r="B271" s="14"/>
      <c r="C271" s="1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3"/>
      <c r="B272" s="14"/>
      <c r="C272" s="1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3"/>
      <c r="B273" s="14"/>
      <c r="C273" s="1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3"/>
      <c r="B274" s="14"/>
      <c r="C274" s="1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13"/>
      <c r="B275" s="14"/>
      <c r="C275" s="1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13"/>
      <c r="B276" s="14"/>
      <c r="C276" s="1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13"/>
      <c r="B277" s="14"/>
      <c r="C277" s="1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13"/>
      <c r="B278" s="14"/>
      <c r="C278" s="1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13"/>
      <c r="B279" s="14"/>
      <c r="C279" s="1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13"/>
      <c r="B280" s="14"/>
      <c r="C280" s="1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13"/>
      <c r="B281" s="14"/>
      <c r="C281" s="1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13"/>
      <c r="B282" s="14"/>
      <c r="C282" s="1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13"/>
      <c r="B283" s="14"/>
      <c r="C283" s="1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13"/>
      <c r="B284" s="14"/>
      <c r="C284" s="1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13"/>
      <c r="B285" s="14"/>
      <c r="C285" s="1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13"/>
      <c r="B286" s="14"/>
      <c r="C286" s="1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13"/>
      <c r="B287" s="14"/>
      <c r="C287" s="1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13"/>
      <c r="B288" s="14"/>
      <c r="C288" s="1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13"/>
      <c r="B289" s="14"/>
      <c r="C289" s="1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13"/>
      <c r="B290" s="14"/>
      <c r="C290" s="1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13"/>
      <c r="B291" s="14"/>
      <c r="C291" s="1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13"/>
      <c r="B292" s="14"/>
      <c r="C292" s="1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13"/>
      <c r="B293" s="14"/>
      <c r="C293" s="1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13"/>
      <c r="B294" s="14"/>
      <c r="C294" s="1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13"/>
      <c r="B295" s="14"/>
      <c r="C295" s="1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13"/>
      <c r="B296" s="14"/>
      <c r="C296" s="1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13"/>
      <c r="B297" s="14"/>
      <c r="C297" s="1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13"/>
      <c r="B298" s="14"/>
      <c r="C298" s="1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13"/>
      <c r="B299" s="14"/>
      <c r="C299" s="1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13"/>
      <c r="B300" s="14"/>
      <c r="C300" s="1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13"/>
      <c r="B301" s="14"/>
      <c r="C301" s="1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13"/>
      <c r="B302" s="14"/>
      <c r="C302" s="1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13"/>
      <c r="B303" s="14"/>
      <c r="C303" s="1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13"/>
      <c r="B304" s="14"/>
      <c r="C304" s="1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13"/>
      <c r="B305" s="14"/>
      <c r="C305" s="1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13"/>
      <c r="B306" s="14"/>
      <c r="C306" s="1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13"/>
      <c r="B307" s="14"/>
      <c r="C307" s="1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13"/>
      <c r="B308" s="14"/>
      <c r="C308" s="1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13"/>
      <c r="B309" s="14"/>
      <c r="C309" s="1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13"/>
      <c r="B310" s="14"/>
      <c r="C310" s="1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13"/>
      <c r="B311" s="14"/>
      <c r="C311" s="1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13"/>
      <c r="B312" s="14"/>
      <c r="C312" s="1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13"/>
      <c r="B313" s="14"/>
      <c r="C313" s="1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13"/>
      <c r="B314" s="14"/>
      <c r="C314" s="1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13"/>
      <c r="B315" s="14"/>
      <c r="C315" s="1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13"/>
      <c r="B316" s="14"/>
      <c r="C316" s="1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5.25"/>
  </cols>
  <sheetData>
    <row r="1" ht="15.75" customHeight="1">
      <c r="A1" s="27" t="s">
        <v>212</v>
      </c>
      <c r="B1" s="28"/>
      <c r="C1" s="28"/>
      <c r="D1" s="28"/>
      <c r="E1" s="28"/>
      <c r="F1" s="28"/>
      <c r="G1" s="28"/>
      <c r="H1" s="29"/>
      <c r="J1" s="30" t="s">
        <v>213</v>
      </c>
    </row>
    <row r="2" ht="15.75" customHeight="1">
      <c r="A2" s="31" t="s">
        <v>0</v>
      </c>
      <c r="B2" s="31" t="s">
        <v>214</v>
      </c>
      <c r="C2" s="31" t="s">
        <v>215</v>
      </c>
      <c r="D2" s="31" t="s">
        <v>216</v>
      </c>
      <c r="E2" s="31" t="s">
        <v>217</v>
      </c>
      <c r="F2" s="31" t="s">
        <v>218</v>
      </c>
      <c r="G2" s="31" t="s">
        <v>219</v>
      </c>
      <c r="H2" s="31" t="s">
        <v>220</v>
      </c>
      <c r="J2" s="32" t="s">
        <v>221</v>
      </c>
    </row>
    <row r="3" ht="15.75" customHeight="1">
      <c r="A3" s="33" t="s">
        <v>6</v>
      </c>
      <c r="B3" s="34">
        <f>COUNTIF(Wumple!$A$2:$A$109, A3)</f>
        <v>5</v>
      </c>
      <c r="C3" s="34">
        <f>SUMIF(CombinedHumanGrading!$A$2:$A$109, $A3, CombinedHumanGrading!$C$2:$C$109)</f>
        <v>5</v>
      </c>
      <c r="D3" s="34">
        <f>SUMIF(CombinedHumanGrading!$A$110:$A$116, $A3, CombinedHumanGrading!$C$110:$C$116)</f>
        <v>0</v>
      </c>
      <c r="E3" s="34">
        <f>COUNTIFS(CombinedHumanGrading!$A$2:$A$109, $A3, CombinedHumanGrading!$C$2:$C$109,0)</f>
        <v>0</v>
      </c>
      <c r="F3" s="34">
        <f t="shared" ref="F3:F10" si="1">IFERROR(C3 / (C3 + D3), "Not Available")</f>
        <v>1</v>
      </c>
      <c r="G3" s="34">
        <f t="shared" ref="G3:G10" si="2">IFERROR(C3 / B3, "Not Available")</f>
        <v>1</v>
      </c>
      <c r="H3" s="34">
        <f t="shared" ref="H3:H10" si="3">IFERROR(2*((F3*G3)/(F3+G3)),"Not Available")</f>
        <v>1</v>
      </c>
      <c r="J3" s="35"/>
    </row>
    <row r="4" ht="15.75" customHeight="1">
      <c r="A4" s="36" t="s">
        <v>2</v>
      </c>
      <c r="B4" s="34">
        <f>COUNTIF(Wumple!$A$2:$A$109, A4)</f>
        <v>24</v>
      </c>
      <c r="C4" s="34">
        <f>SUMIF(CombinedHumanGrading!$A$2:$A$109, $A4, CombinedHumanGrading!$C$2:$C$109)</f>
        <v>22.5</v>
      </c>
      <c r="D4" s="34">
        <f>SUMIF(CombinedHumanGrading!$A$110:$A$116, $A4, CombinedHumanGrading!$C$110:$C$116)</f>
        <v>0</v>
      </c>
      <c r="E4" s="34">
        <f>COUNTIFS(CombinedHumanGrading!$A$2:$A$109, $A4, CombinedHumanGrading!$C$2:$C$109,0)</f>
        <v>1</v>
      </c>
      <c r="F4" s="34">
        <f t="shared" si="1"/>
        <v>1</v>
      </c>
      <c r="G4" s="34">
        <f t="shared" si="2"/>
        <v>0.9375</v>
      </c>
      <c r="H4" s="34">
        <f t="shared" si="3"/>
        <v>0.9677419355</v>
      </c>
      <c r="J4" s="30" t="s">
        <v>222</v>
      </c>
    </row>
    <row r="5" ht="15.75" customHeight="1">
      <c r="A5" s="36" t="s">
        <v>13</v>
      </c>
      <c r="B5" s="34">
        <f>COUNTIF(Wumple!$A$2:$A$109, A5)</f>
        <v>37</v>
      </c>
      <c r="C5" s="34">
        <f>SUMIF(CombinedHumanGrading!$A$2:$A$109, $A5, CombinedHumanGrading!$C$2:$C$109)</f>
        <v>34.5</v>
      </c>
      <c r="D5" s="34">
        <f>SUMIF(CombinedHumanGrading!$A$110:$A$116, $A5, CombinedHumanGrading!$C$110:$C$116)</f>
        <v>0</v>
      </c>
      <c r="E5" s="34">
        <f>COUNTIFS(CombinedHumanGrading!$A$2:$A$109, $A5, CombinedHumanGrading!$C$2:$C$109,0)</f>
        <v>1</v>
      </c>
      <c r="F5" s="34">
        <f t="shared" si="1"/>
        <v>1</v>
      </c>
      <c r="G5" s="34">
        <f t="shared" si="2"/>
        <v>0.9324324324</v>
      </c>
      <c r="H5" s="34">
        <f t="shared" si="3"/>
        <v>0.965034965</v>
      </c>
      <c r="J5" s="32" t="s">
        <v>223</v>
      </c>
    </row>
    <row r="6" ht="15.75" customHeight="1">
      <c r="A6" s="36" t="s">
        <v>4</v>
      </c>
      <c r="B6" s="34">
        <f>COUNTIF(Wumple!$A$2:$A$109, A6)</f>
        <v>36</v>
      </c>
      <c r="C6" s="34">
        <f>SUMIF(CombinedHumanGrading!$A$2:$A$109, $A6, CombinedHumanGrading!$C$2:$C$109)</f>
        <v>21.5</v>
      </c>
      <c r="D6" s="34">
        <f>SUMIF(CombinedHumanGrading!$A$110:$A$116, $A6, CombinedHumanGrading!$C$110:$C$116)</f>
        <v>0</v>
      </c>
      <c r="E6" s="34">
        <f>COUNTIFS(CombinedHumanGrading!$A$2:$A$109, $A6, CombinedHumanGrading!$C$2:$C$109,0)</f>
        <v>14</v>
      </c>
      <c r="F6" s="34">
        <f t="shared" si="1"/>
        <v>1</v>
      </c>
      <c r="G6" s="34">
        <f t="shared" si="2"/>
        <v>0.5972222222</v>
      </c>
      <c r="H6" s="34">
        <f t="shared" si="3"/>
        <v>0.747826087</v>
      </c>
      <c r="J6" s="37"/>
    </row>
    <row r="7" ht="15.75" customHeight="1">
      <c r="A7" s="36" t="s">
        <v>8</v>
      </c>
      <c r="B7" s="34">
        <f>COUNTIF(Wumple!$A$2:$A$109, A7)</f>
        <v>2</v>
      </c>
      <c r="C7" s="34">
        <f>SUMIF(CombinedHumanGrading!$A$2:$A$109, $A7, CombinedHumanGrading!$C$2:$C$109)</f>
        <v>2</v>
      </c>
      <c r="D7" s="34">
        <f>SUMIF(CombinedHumanGrading!$A$110:$A$116, $A7, CombinedHumanGrading!$C$110:$C$116)</f>
        <v>0</v>
      </c>
      <c r="E7" s="34">
        <f>COUNTIFS(CombinedHumanGrading!$A$2:$A$109, $A7, CombinedHumanGrading!$C$2:$C$109,0)</f>
        <v>0</v>
      </c>
      <c r="F7" s="34">
        <f t="shared" si="1"/>
        <v>1</v>
      </c>
      <c r="G7" s="34">
        <f t="shared" si="2"/>
        <v>1</v>
      </c>
      <c r="H7" s="34">
        <f t="shared" si="3"/>
        <v>1</v>
      </c>
      <c r="J7" s="38" t="s">
        <v>224</v>
      </c>
    </row>
    <row r="8" ht="15.75" customHeight="1">
      <c r="A8" s="36" t="s">
        <v>80</v>
      </c>
      <c r="B8" s="34">
        <f>COUNTIF(Wumple!$A$2:$A$109, A8)</f>
        <v>1</v>
      </c>
      <c r="C8" s="34">
        <f>SUMIF(CombinedHumanGrading!$A$2:$A$109, $A8, CombinedHumanGrading!$C$2:$C$109)</f>
        <v>1</v>
      </c>
      <c r="D8" s="34">
        <f>SUMIF(CombinedHumanGrading!$A$110:$A$116, $A8, CombinedHumanGrading!$C$110:$C$116)</f>
        <v>2</v>
      </c>
      <c r="E8" s="34">
        <f>COUNTIFS(CombinedHumanGrading!$A$2:$A$109, $A8, CombinedHumanGrading!$C$2:$C$109,0)</f>
        <v>0</v>
      </c>
      <c r="F8" s="34">
        <f t="shared" si="1"/>
        <v>0.3333333333</v>
      </c>
      <c r="G8" s="34">
        <f t="shared" si="2"/>
        <v>1</v>
      </c>
      <c r="H8" s="34">
        <f t="shared" si="3"/>
        <v>0.5</v>
      </c>
      <c r="J8" s="39" t="s">
        <v>225</v>
      </c>
    </row>
    <row r="9" ht="15.75" customHeight="1">
      <c r="A9" s="36" t="s">
        <v>20</v>
      </c>
      <c r="B9" s="34">
        <f>COUNTIF(Wumple!$A$2:$A$109, A9)</f>
        <v>3</v>
      </c>
      <c r="C9" s="34">
        <f>SUMIF(CombinedHumanGrading!$A$2:$A$109, $A9, CombinedHumanGrading!$C$2:$C$109)</f>
        <v>0</v>
      </c>
      <c r="D9" s="34">
        <f>SUMIF(CombinedHumanGrading!$A$110:$A$116, $A9, CombinedHumanGrading!$C$110:$C$116)</f>
        <v>0</v>
      </c>
      <c r="E9" s="34">
        <f>COUNTIFS(CombinedHumanGrading!$A$2:$A$109, $A9, CombinedHumanGrading!$C$2:$C$109,0)</f>
        <v>3</v>
      </c>
      <c r="F9" s="34" t="str">
        <f t="shared" si="1"/>
        <v>Not Available</v>
      </c>
      <c r="G9" s="34">
        <f t="shared" si="2"/>
        <v>0</v>
      </c>
      <c r="H9" s="34" t="str">
        <f t="shared" si="3"/>
        <v>Not Available</v>
      </c>
    </row>
    <row r="10" ht="15.75" customHeight="1">
      <c r="A10" s="36" t="s">
        <v>226</v>
      </c>
      <c r="B10" s="34">
        <f>SUM(B3:B9)</f>
        <v>108</v>
      </c>
      <c r="C10" s="34">
        <f>SUM(C4:C9)</f>
        <v>81.5</v>
      </c>
      <c r="D10" s="34">
        <f t="shared" ref="D10:E10" si="4">SUM(D3:D9)</f>
        <v>2</v>
      </c>
      <c r="E10" s="34">
        <f t="shared" si="4"/>
        <v>19</v>
      </c>
      <c r="F10" s="34">
        <f t="shared" si="1"/>
        <v>0.9760479042</v>
      </c>
      <c r="G10" s="34">
        <f t="shared" si="2"/>
        <v>0.7546296296</v>
      </c>
      <c r="H10" s="34">
        <f t="shared" si="3"/>
        <v>0.8511749347</v>
      </c>
    </row>
    <row r="11" ht="15.75" customHeight="1">
      <c r="A11" s="7"/>
      <c r="B11" s="7"/>
      <c r="C11" s="7"/>
      <c r="D11" s="7"/>
      <c r="E11" s="7"/>
      <c r="F11" s="7"/>
      <c r="G11" s="7"/>
      <c r="H11" s="7"/>
    </row>
    <row r="12" ht="15.75" customHeight="1">
      <c r="A12" s="27" t="s">
        <v>227</v>
      </c>
      <c r="B12" s="28"/>
      <c r="C12" s="28"/>
      <c r="D12" s="28"/>
      <c r="E12" s="28"/>
      <c r="F12" s="28"/>
      <c r="G12" s="28"/>
      <c r="H12" s="29"/>
    </row>
    <row r="13" ht="15.75" customHeight="1">
      <c r="A13" s="31" t="s">
        <v>0</v>
      </c>
      <c r="B13" s="31" t="s">
        <v>214</v>
      </c>
      <c r="C13" s="31" t="s">
        <v>215</v>
      </c>
      <c r="D13" s="31" t="s">
        <v>216</v>
      </c>
      <c r="E13" s="31" t="s">
        <v>217</v>
      </c>
      <c r="F13" s="31" t="s">
        <v>218</v>
      </c>
      <c r="G13" s="31" t="s">
        <v>219</v>
      </c>
      <c r="H13" s="31" t="s">
        <v>220</v>
      </c>
    </row>
    <row r="14" ht="15.75" customHeight="1">
      <c r="A14" s="33" t="s">
        <v>228</v>
      </c>
      <c r="B14" s="34">
        <f>COUNTIF(Wumple!$A$2:$A$109, A3)</f>
        <v>5</v>
      </c>
      <c r="C14" s="34">
        <f>SUMIF('Gemini 3.1 Pro Preview Grading'!$A$2:$A$109, $A14, 'Gemini 3.1 Pro Preview Grading'!$C$2:$C$109)</f>
        <v>4</v>
      </c>
      <c r="D14" s="34">
        <f>SUMIF('Gemini 3.1 Pro Preview Grading'!$A$110:$A$116, $A14, 'Gemini 3.1 Pro Preview Grading'!$C$110:$C$116)</f>
        <v>0</v>
      </c>
      <c r="E14" s="34">
        <f>COUNTIFS('Gemini 3.1 Pro Preview Grading'!$A$2:$A$109, $A14, 'Gemini 3.1 Pro Preview Grading'!$C$2:$C$109,0)</f>
        <v>1</v>
      </c>
      <c r="F14" s="34">
        <f t="shared" ref="F14:F21" si="5">IFERROR(C14 / (C14 + D14), "Not Available")</f>
        <v>1</v>
      </c>
      <c r="G14" s="34">
        <f t="shared" ref="G14:G21" si="6">IFERROR(C14 / B14, "Not Available")</f>
        <v>0.8</v>
      </c>
      <c r="H14" s="34">
        <f t="shared" ref="H14:H21" si="7">IFERROR(2*((F14*G14)/(F14+G14)),"Not Available")</f>
        <v>0.8888888889</v>
      </c>
    </row>
    <row r="15" ht="15.75" customHeight="1">
      <c r="A15" s="36" t="s">
        <v>2</v>
      </c>
      <c r="B15" s="34">
        <f>COUNTIF(Wumple!$A$2:$A$109, A4)</f>
        <v>24</v>
      </c>
      <c r="C15" s="34">
        <f>SUMIF('Gemini 3.1 Pro Preview Grading'!$A$2:$A$109, $A15, 'Gemini 3.1 Pro Preview Grading'!$C$2:$C$109)</f>
        <v>21.5</v>
      </c>
      <c r="D15" s="34">
        <f>SUMIF('Gemini 3.1 Pro Preview Grading'!$A$110:$A$116, $A15, 'Gemini 3.1 Pro Preview Grading'!$C$110:$C$116)</f>
        <v>0</v>
      </c>
      <c r="E15" s="34">
        <f>COUNTIFS('Gemini 3.1 Pro Preview Grading'!$A$2:$A$109, $A15, 'Gemini 3.1 Pro Preview Grading'!$C$2:$C$109,0)</f>
        <v>2</v>
      </c>
      <c r="F15" s="34">
        <f t="shared" si="5"/>
        <v>1</v>
      </c>
      <c r="G15" s="34">
        <f t="shared" si="6"/>
        <v>0.8958333333</v>
      </c>
      <c r="H15" s="34">
        <f t="shared" si="7"/>
        <v>0.9450549451</v>
      </c>
    </row>
    <row r="16" ht="15.75" customHeight="1">
      <c r="A16" s="36" t="s">
        <v>13</v>
      </c>
      <c r="B16" s="34">
        <f>COUNTIF(Wumple!$A$2:$A$109, A5)</f>
        <v>37</v>
      </c>
      <c r="C16" s="34">
        <f>SUMIF('Gemini 3.1 Pro Preview Grading'!$A$2:$A$109, $A16, 'Gemini 3.1 Pro Preview Grading'!$C$2:$C$109)</f>
        <v>33.5</v>
      </c>
      <c r="D16" s="34">
        <f>SUMIF('Gemini 3.1 Pro Preview Grading'!$A$110:$A$116, $A16, 'Gemini 3.1 Pro Preview Grading'!$C$110:$C$116)</f>
        <v>0</v>
      </c>
      <c r="E16" s="34">
        <f>COUNTIFS('Gemini 3.1 Pro Preview Grading'!$A$2:$A$109, $A16, 'Gemini 3.1 Pro Preview Grading'!$C$2:$C$109,0)</f>
        <v>3</v>
      </c>
      <c r="F16" s="34">
        <f t="shared" si="5"/>
        <v>1</v>
      </c>
      <c r="G16" s="34">
        <f t="shared" si="6"/>
        <v>0.9054054054</v>
      </c>
      <c r="H16" s="34">
        <f t="shared" si="7"/>
        <v>0.9503546099</v>
      </c>
    </row>
    <row r="17" ht="15.75" customHeight="1">
      <c r="A17" s="36" t="s">
        <v>4</v>
      </c>
      <c r="B17" s="34">
        <f>COUNTIF(Wumple!$A$2:$A$109, A6)</f>
        <v>36</v>
      </c>
      <c r="C17" s="34">
        <f>SUMIF('Gemini 3.1 Pro Preview Grading'!$A$2:$A$109, $A17, 'Gemini 3.1 Pro Preview Grading'!$C$2:$C$109)</f>
        <v>14</v>
      </c>
      <c r="D17" s="34">
        <f>SUMIF('Gemini 3.1 Pro Preview Grading'!$A$110:$A$116, $A17, 'Gemini 3.1 Pro Preview Grading'!$C$110:$C$116)</f>
        <v>0</v>
      </c>
      <c r="E17" s="34">
        <f>COUNTIFS('Gemini 3.1 Pro Preview Grading'!$A$2:$A$109, $A17, 'Gemini 3.1 Pro Preview Grading'!$C$2:$C$109,0)</f>
        <v>20</v>
      </c>
      <c r="F17" s="34">
        <f t="shared" si="5"/>
        <v>1</v>
      </c>
      <c r="G17" s="34">
        <f t="shared" si="6"/>
        <v>0.3888888889</v>
      </c>
      <c r="H17" s="34">
        <f t="shared" si="7"/>
        <v>0.56</v>
      </c>
    </row>
    <row r="18" ht="15.75" customHeight="1">
      <c r="A18" s="36" t="s">
        <v>8</v>
      </c>
      <c r="B18" s="34">
        <f>COUNTIF(Wumple!$A$2:$A$109, A7)</f>
        <v>2</v>
      </c>
      <c r="C18" s="34">
        <f>SUMIF('Gemini 3.1 Pro Preview Grading'!$A$2:$A$109, $A18, 'Gemini 3.1 Pro Preview Grading'!$C$2:$C$109)</f>
        <v>2</v>
      </c>
      <c r="D18" s="34">
        <f>SUMIF('Gemini 3.1 Pro Preview Grading'!$A$110:$A$116, $A18, 'Gemini 3.1 Pro Preview Grading'!$C$110:$C$116)</f>
        <v>0</v>
      </c>
      <c r="E18" s="34">
        <f>COUNTIFS('Gemini 3.1 Pro Preview Grading'!$A$2:$A$109, $A18, 'Gemini 3.1 Pro Preview Grading'!$C$2:$C$109,0)</f>
        <v>0</v>
      </c>
      <c r="F18" s="34">
        <f t="shared" si="5"/>
        <v>1</v>
      </c>
      <c r="G18" s="34">
        <f t="shared" si="6"/>
        <v>1</v>
      </c>
      <c r="H18" s="34">
        <f t="shared" si="7"/>
        <v>1</v>
      </c>
    </row>
    <row r="19" ht="15.75" customHeight="1">
      <c r="A19" s="36" t="s">
        <v>80</v>
      </c>
      <c r="B19" s="34">
        <f>COUNTIF(Wumple!$A$2:$A$109, A8)</f>
        <v>1</v>
      </c>
      <c r="C19" s="34">
        <f>SUMIF('Gemini 3.1 Pro Preview Grading'!$A$2:$A$109, $A19, 'Gemini 3.1 Pro Preview Grading'!$C$2:$C$109)</f>
        <v>1</v>
      </c>
      <c r="D19" s="34">
        <f>SUMIF('Gemini 3.1 Pro Preview Grading'!$A$110:$A$116, $A19, 'Gemini 3.1 Pro Preview Grading'!$C$110:$C$116)</f>
        <v>0</v>
      </c>
      <c r="E19" s="34">
        <f>COUNTIFS('Gemini 3.1 Pro Preview Grading'!$A$2:$A$109, $A19, 'Gemini 3.1 Pro Preview Grading'!$C$2:$C$109,0)</f>
        <v>0</v>
      </c>
      <c r="F19" s="34">
        <f t="shared" si="5"/>
        <v>1</v>
      </c>
      <c r="G19" s="34">
        <f t="shared" si="6"/>
        <v>1</v>
      </c>
      <c r="H19" s="34">
        <f t="shared" si="7"/>
        <v>1</v>
      </c>
    </row>
    <row r="20" ht="15.75" customHeight="1">
      <c r="A20" s="36" t="s">
        <v>20</v>
      </c>
      <c r="B20" s="34">
        <f>COUNTIF(Wumple!$A$2:$A$109, A9)</f>
        <v>3</v>
      </c>
      <c r="C20" s="34">
        <f>SUMIF('Gemini 3.1 Pro Preview Grading'!$A$2:$A$109, $A20, 'Gemini 3.1 Pro Preview Grading'!$C$2:$C$109)</f>
        <v>1</v>
      </c>
      <c r="D20" s="34">
        <f>SUMIF('Gemini 3.1 Pro Preview Grading'!$A$110:$A$116, $A20, 'Gemini 3.1 Pro Preview Grading'!$C$110:$C$116)</f>
        <v>0</v>
      </c>
      <c r="E20" s="34">
        <f>COUNTIFS('Gemini 3.1 Pro Preview Grading'!$A$2:$A$109, $A20, 'Gemini 3.1 Pro Preview Grading'!$C$2:$C$109,0)</f>
        <v>2</v>
      </c>
      <c r="F20" s="34">
        <f t="shared" si="5"/>
        <v>1</v>
      </c>
      <c r="G20" s="34">
        <f t="shared" si="6"/>
        <v>0.3333333333</v>
      </c>
      <c r="H20" s="34">
        <f t="shared" si="7"/>
        <v>0.5</v>
      </c>
    </row>
    <row r="21" ht="15.75" customHeight="1">
      <c r="A21" s="36" t="s">
        <v>226</v>
      </c>
      <c r="B21" s="40">
        <f t="shared" ref="B21:E21" si="8">SUM(B14:B20)</f>
        <v>108</v>
      </c>
      <c r="C21" s="40">
        <f t="shared" si="8"/>
        <v>77</v>
      </c>
      <c r="D21" s="40">
        <f t="shared" si="8"/>
        <v>0</v>
      </c>
      <c r="E21" s="40">
        <f t="shared" si="8"/>
        <v>28</v>
      </c>
      <c r="F21" s="34">
        <f t="shared" si="5"/>
        <v>1</v>
      </c>
      <c r="G21" s="34">
        <f t="shared" si="6"/>
        <v>0.712962963</v>
      </c>
      <c r="H21" s="34">
        <f t="shared" si="7"/>
        <v>0.8324324324</v>
      </c>
    </row>
    <row r="22" ht="15.75" customHeight="1">
      <c r="A22" s="4"/>
      <c r="B22" s="4"/>
      <c r="C22" s="4"/>
      <c r="D22" s="4"/>
      <c r="E22" s="4"/>
      <c r="F22" s="4"/>
      <c r="H22" s="41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42" t="s">
        <v>89</v>
      </c>
      <c r="D1" s="42" t="s">
        <v>225</v>
      </c>
      <c r="E1" s="4"/>
      <c r="F1" s="43" t="s">
        <v>229</v>
      </c>
      <c r="L1" s="44" t="s">
        <v>230</v>
      </c>
      <c r="M1" s="45"/>
      <c r="N1" s="45"/>
      <c r="O1" s="4"/>
      <c r="P1" s="4"/>
    </row>
    <row r="2" ht="15.75" customHeight="1">
      <c r="A2" s="6" t="str">
        <f>Wumple!A2</f>
        <v>State</v>
      </c>
      <c r="B2" s="6" t="str">
        <f>Wumple!B2</f>
        <v>Initial state (→ Watch)</v>
      </c>
      <c r="C2" s="6">
        <f>CombinedHumanGrading!C2</f>
        <v>0</v>
      </c>
      <c r="D2" s="6">
        <f>'Gemini 3.1 Pro Preview Grading'!C2</f>
        <v>0</v>
      </c>
      <c r="E2" s="4"/>
      <c r="F2" s="14" t="s">
        <v>231</v>
      </c>
      <c r="G2" s="46" t="s">
        <v>232</v>
      </c>
      <c r="H2" s="47" t="s">
        <v>233</v>
      </c>
      <c r="I2" s="48" t="s">
        <v>234</v>
      </c>
      <c r="J2" s="49" t="s">
        <v>235</v>
      </c>
      <c r="K2" s="14"/>
      <c r="L2" s="50" t="s">
        <v>236</v>
      </c>
      <c r="M2" s="50" t="s">
        <v>237</v>
      </c>
      <c r="N2" s="50" t="s">
        <v>238</v>
      </c>
      <c r="O2" s="4"/>
      <c r="P2" s="4"/>
    </row>
    <row r="3" ht="15.75" customHeight="1">
      <c r="A3" s="6" t="str">
        <f>Wumple!A3</f>
        <v>Action</v>
      </c>
      <c r="B3" s="6" t="str">
        <f>Wumple!B3</f>
        <v>time=0:00:00; alarmTime=0:00:00; alarm=false; flashAlert=false; cdTime=0:00:00</v>
      </c>
      <c r="C3" s="6">
        <f>CombinedHumanGrading!C3</f>
        <v>0</v>
      </c>
      <c r="D3" s="6">
        <f>'Gemini 3.1 Pro Preview Grading'!C3</f>
        <v>0</v>
      </c>
      <c r="E3" s="4"/>
      <c r="F3" s="51">
        <v>0.0</v>
      </c>
      <c r="G3" s="52">
        <f>COUNTIFS($C$2:$C$153, $F3, $D$2:$D$153, G$2)</f>
        <v>23</v>
      </c>
      <c r="H3" s="53">
        <f>COUNTIFS($C$2:$C$109, $F3, $D$2:$D$109, H$2)</f>
        <v>1</v>
      </c>
      <c r="I3" s="54">
        <f>COUNTIFS($C$2:$C$109, $F3, $D$2:$D$109, I$2)+MAX(D110-C110,0)+MAX(D111-C111,0)+MAX(D112-C112,0)+MAX(D113-C113,0)+MAX(D114-C114,0)+MAX(D115-C115,0)+MAX(D116-C116,0)</f>
        <v>1</v>
      </c>
      <c r="J3" s="14">
        <f t="shared" ref="J3:J5" si="2">SUM(G3:I3)</f>
        <v>25</v>
      </c>
      <c r="K3" s="14"/>
      <c r="L3" s="55" t="s">
        <v>239</v>
      </c>
      <c r="M3" s="52">
        <f>(G3+H4+I5)/COUNTA($C$2:$C$163)</f>
        <v>0.8347826087</v>
      </c>
      <c r="N3" s="54" t="s">
        <v>240</v>
      </c>
      <c r="O3" s="4"/>
      <c r="P3" s="4"/>
    </row>
    <row r="4" ht="15.75" customHeight="1">
      <c r="A4" s="6" t="str">
        <f>Wumple!A4</f>
        <v>Composite State</v>
      </c>
      <c r="B4" s="6" t="str">
        <f>Wumple!B4</f>
        <v>Watch</v>
      </c>
      <c r="C4" s="6">
        <f>CombinedHumanGrading!C4</f>
        <v>1</v>
      </c>
      <c r="D4" s="6">
        <f>'Gemini 3.1 Pro Preview Grading'!C4</f>
        <v>1</v>
      </c>
      <c r="E4" s="4"/>
      <c r="F4" s="51">
        <v>0.5</v>
      </c>
      <c r="G4" s="56">
        <f t="shared" ref="G4:I4" si="1">COUNTIFS($C$2:$C$109, $F4, $D$2:$D$109, G$2)</f>
        <v>3</v>
      </c>
      <c r="H4" s="14">
        <f t="shared" si="1"/>
        <v>1</v>
      </c>
      <c r="I4" s="57">
        <f t="shared" si="1"/>
        <v>1</v>
      </c>
      <c r="J4" s="14">
        <f t="shared" si="2"/>
        <v>5</v>
      </c>
      <c r="K4" s="14"/>
      <c r="L4" s="55" t="s">
        <v>241</v>
      </c>
      <c r="M4" s="56">
        <f t="array" ref="M4">SUMPRODUCT(J3:J5/COUNTA($C$2:$C$163), TRANSPOSE(G6:I6)/COUNTA($C$2:$C$163))</f>
        <v>0.5515311909</v>
      </c>
      <c r="N4" s="57" t="s">
        <v>242</v>
      </c>
      <c r="O4" s="4"/>
      <c r="P4" s="4"/>
    </row>
    <row r="5" ht="15.75" customHeight="1">
      <c r="A5" s="6" t="str">
        <f>Wumple!A5</f>
        <v>Region</v>
      </c>
      <c r="B5" s="6" t="str">
        <f>Wumple!B5</f>
        <v>Light</v>
      </c>
      <c r="C5" s="6">
        <f>CombinedHumanGrading!C5</f>
        <v>1</v>
      </c>
      <c r="D5" s="6">
        <f>'Gemini 3.1 Pro Preview Grading'!C5</f>
        <v>1</v>
      </c>
      <c r="E5" s="4"/>
      <c r="F5" s="51">
        <v>1.0</v>
      </c>
      <c r="G5" s="58">
        <f>COUNTIFS($C$2:$C$109, $F5, $D$2:$D$109, G$2)+MAX(C110-D110,0)+MAX(C111-D111,0)+MAX(C112-D112,0)+MAX(C113-D113,0)+MAX(C114-D114,0)+MAX(C115-D115,0)+MAX(C116-D116,0)</f>
        <v>10</v>
      </c>
      <c r="H5" s="59">
        <f>COUNTIFS($C$2:$C$109, $F5, $D$2:$D$109, H$2)</f>
        <v>4</v>
      </c>
      <c r="I5" s="60">
        <f>COUNTIFS($C$2:$C$109, $F5, $D$2:$D$109, I$2)+ SUM(MIN(C110,D110), MIN(C111,D111), MIN(C112,D112), MIN(C113,D113), MIN(C114,D114), MIN(C115,D115), MIN(C116,D116))</f>
        <v>72</v>
      </c>
      <c r="J5" s="14">
        <f t="shared" si="2"/>
        <v>86</v>
      </c>
      <c r="K5" s="14"/>
      <c r="L5" s="55" t="s">
        <v>230</v>
      </c>
      <c r="M5" s="58">
        <f>(M3-M4)/(1-M4)</f>
        <v>0.6315966953</v>
      </c>
      <c r="N5" s="60" t="s">
        <v>243</v>
      </c>
      <c r="O5" s="4"/>
      <c r="P5" s="4"/>
    </row>
    <row r="6" ht="15.75" customHeight="1">
      <c r="A6" s="6" t="str">
        <f>Wumple!A6</f>
        <v>State</v>
      </c>
      <c r="B6" s="6" t="str">
        <f>Wumple!B6</f>
        <v>Initial state (Light → Off)</v>
      </c>
      <c r="C6" s="6">
        <f>CombinedHumanGrading!C6</f>
        <v>1</v>
      </c>
      <c r="D6" s="6">
        <f>'Gemini 3.1 Pro Preview Grading'!C6</f>
        <v>1</v>
      </c>
      <c r="E6" s="4"/>
      <c r="F6" s="61" t="s">
        <v>244</v>
      </c>
      <c r="G6" s="14">
        <f t="shared" ref="G6:I6" si="3">SUM(G3:G5)</f>
        <v>36</v>
      </c>
      <c r="H6" s="14">
        <f t="shared" si="3"/>
        <v>6</v>
      </c>
      <c r="I6" s="14">
        <f t="shared" si="3"/>
        <v>74</v>
      </c>
      <c r="J6" s="14"/>
      <c r="L6" s="14"/>
      <c r="M6" s="62"/>
      <c r="N6" s="4"/>
      <c r="O6" s="4"/>
      <c r="P6" s="4"/>
    </row>
    <row r="7" ht="15.75" customHeight="1">
      <c r="A7" s="6" t="str">
        <f>Wumple!A7</f>
        <v>State</v>
      </c>
      <c r="B7" s="6" t="str">
        <f>Wumple!B7</f>
        <v>Off</v>
      </c>
      <c r="C7" s="6">
        <f>CombinedHumanGrading!C7</f>
        <v>1</v>
      </c>
      <c r="D7" s="6">
        <f>'Gemini 3.1 Pro Preview Grading'!C7</f>
        <v>1</v>
      </c>
      <c r="E7" s="4"/>
      <c r="F7" s="4"/>
      <c r="L7" s="14"/>
      <c r="M7" s="14"/>
      <c r="N7" s="14"/>
      <c r="O7" s="4"/>
      <c r="P7" s="4"/>
    </row>
    <row r="8" ht="15.75" customHeight="1">
      <c r="A8" s="6" t="str">
        <f>Wumple!A8</f>
        <v>Action</v>
      </c>
      <c r="B8" s="6" t="str">
        <f>Wumple!B8</f>
        <v>entry / lightOff()</v>
      </c>
      <c r="C8" s="6">
        <f>CombinedHumanGrading!C8</f>
        <v>1</v>
      </c>
      <c r="D8" s="6">
        <f>'Gemini 3.1 Pro Preview Grading'!C8</f>
        <v>0</v>
      </c>
      <c r="E8" s="4"/>
      <c r="F8" s="43" t="s">
        <v>245</v>
      </c>
      <c r="L8" s="44" t="s">
        <v>246</v>
      </c>
      <c r="M8" s="45"/>
      <c r="N8" s="45"/>
      <c r="O8" s="4"/>
      <c r="P8" s="4"/>
    </row>
    <row r="9" ht="15.75" customHeight="1">
      <c r="A9" s="6" t="str">
        <f>Wumple!A9</f>
        <v>Transition</v>
      </c>
      <c r="B9" s="6" t="str">
        <f>Wumple!B9</f>
        <v>D (Off ⇒ On)</v>
      </c>
      <c r="C9" s="6">
        <f>CombinedHumanGrading!C9</f>
        <v>1</v>
      </c>
      <c r="D9" s="6">
        <f>'Gemini 3.1 Pro Preview Grading'!C9</f>
        <v>1</v>
      </c>
      <c r="E9" s="4"/>
      <c r="F9" s="14" t="s">
        <v>2</v>
      </c>
      <c r="G9" s="63" t="s">
        <v>232</v>
      </c>
      <c r="H9" s="63" t="s">
        <v>233</v>
      </c>
      <c r="I9" s="63" t="s">
        <v>234</v>
      </c>
      <c r="J9" s="64" t="s">
        <v>235</v>
      </c>
      <c r="K9" s="14"/>
      <c r="L9" s="50" t="s">
        <v>236</v>
      </c>
      <c r="M9" s="50" t="s">
        <v>237</v>
      </c>
      <c r="N9" s="50" t="s">
        <v>238</v>
      </c>
      <c r="O9" s="4"/>
      <c r="P9" s="4"/>
    </row>
    <row r="10" ht="15.75" customHeight="1">
      <c r="A10" s="6" t="str">
        <f>Wumple!A10</f>
        <v>State</v>
      </c>
      <c r="B10" s="6" t="str">
        <f>Wumple!B10</f>
        <v>On</v>
      </c>
      <c r="C10" s="6">
        <f>CombinedHumanGrading!C10</f>
        <v>1</v>
      </c>
      <c r="D10" s="6">
        <f>'Gemini 3.1 Pro Preview Grading'!C10</f>
        <v>1</v>
      </c>
      <c r="E10" s="4"/>
      <c r="F10" s="51">
        <v>0.0</v>
      </c>
      <c r="G10" s="52">
        <f t="shared" ref="G10:H10" si="4">COUNTIFS($A$2:$A$153,$F$9,$C$2:$C$153,$F10,$D$2:$D$153,G$9)</f>
        <v>2</v>
      </c>
      <c r="H10" s="53">
        <f t="shared" si="4"/>
        <v>0</v>
      </c>
      <c r="I10" s="54">
        <f>COUNTIFS($A$2:$A$109,$F$9,$C$2:$C$109,$F10,$D$2:$D$109,I$9)+MAX(D110-C110,0)</f>
        <v>0</v>
      </c>
      <c r="J10" s="14">
        <f t="shared" ref="J10:J12" si="6">SUM(G10:I10)</f>
        <v>2</v>
      </c>
      <c r="K10" s="14"/>
      <c r="L10" s="55" t="s">
        <v>239</v>
      </c>
      <c r="M10" s="52">
        <f>(G10+H11+I12)/COUNTIF($A$2:$A$163,F9)</f>
        <v>0.92</v>
      </c>
      <c r="N10" s="54" t="s">
        <v>240</v>
      </c>
      <c r="O10" s="4"/>
      <c r="P10" s="4"/>
    </row>
    <row r="11" ht="15.75" customHeight="1">
      <c r="A11" s="6" t="str">
        <f>Wumple!A11</f>
        <v>Action</v>
      </c>
      <c r="B11" s="6" t="str">
        <f>Wumple!B11</f>
        <v>entry / lightOn()</v>
      </c>
      <c r="C11" s="6">
        <f>CombinedHumanGrading!C11</f>
        <v>1</v>
      </c>
      <c r="D11" s="6">
        <f>'Gemini 3.1 Pro Preview Grading'!C11</f>
        <v>0.5</v>
      </c>
      <c r="E11" s="4"/>
      <c r="F11" s="51">
        <v>0.5</v>
      </c>
      <c r="G11" s="56">
        <f t="shared" ref="G11:I11" si="5">COUNTIFS($A$2:$A$153,$F$9,$C$2:$C$153,$F11,$D$2:$D$153,G$9)</f>
        <v>1</v>
      </c>
      <c r="H11" s="14">
        <f t="shared" si="5"/>
        <v>0</v>
      </c>
      <c r="I11" s="57">
        <f t="shared" si="5"/>
        <v>0</v>
      </c>
      <c r="J11" s="14">
        <f t="shared" si="6"/>
        <v>1</v>
      </c>
      <c r="K11" s="14"/>
      <c r="L11" s="55" t="s">
        <v>241</v>
      </c>
      <c r="M11" s="56">
        <f t="array" ref="M11">SUMPRODUCT(J10:J12/COUNTIF($A$2:$A$163,F9), TRANSPOSE(G13:I13)/COUNTIF($A$2:$A$163,F9))</f>
        <v>0.7504</v>
      </c>
      <c r="N11" s="57" t="s">
        <v>242</v>
      </c>
      <c r="O11" s="4"/>
      <c r="P11" s="4"/>
    </row>
    <row r="12" ht="15.75" customHeight="1">
      <c r="A12" s="6" t="str">
        <f>Wumple!A12</f>
        <v>Transition</v>
      </c>
      <c r="B12" s="6" t="str">
        <f>Wumple!B12</f>
        <v>D (On ⇒ Off)</v>
      </c>
      <c r="C12" s="6">
        <f>CombinedHumanGrading!C12</f>
        <v>1</v>
      </c>
      <c r="D12" s="6">
        <f>'Gemini 3.1 Pro Preview Grading'!C12</f>
        <v>1</v>
      </c>
      <c r="E12" s="4"/>
      <c r="F12" s="51">
        <v>1.0</v>
      </c>
      <c r="G12" s="58">
        <f>COUNTIFS($A$2:$A$109,$F$9,$C$2:$C$109,$F12,$D$2:$D$109,G$9)+MAX(C110-D110,0)</f>
        <v>0</v>
      </c>
      <c r="H12" s="59">
        <f>COUNTIFS($A$2:$A$153,$F$9,$C$2:$C$153,$F12,$D$2:$D$153,H$9)</f>
        <v>1</v>
      </c>
      <c r="I12" s="60">
        <f>COUNTIFS($A$2:$A$109,$F$9,$C$2:$C$109,$F12,$D$2:$D$109,I$9)+MIN(C110-D110)</f>
        <v>21</v>
      </c>
      <c r="J12" s="14">
        <f t="shared" si="6"/>
        <v>22</v>
      </c>
      <c r="K12" s="14"/>
      <c r="L12" s="55" t="s">
        <v>230</v>
      </c>
      <c r="M12" s="58">
        <f>(M10-M11)/(1-M11)</f>
        <v>0.6794871795</v>
      </c>
      <c r="N12" s="60" t="s">
        <v>243</v>
      </c>
      <c r="O12" s="4"/>
      <c r="P12" s="4"/>
    </row>
    <row r="13" ht="15.75" customHeight="1">
      <c r="A13" s="6" t="str">
        <f>Wumple!A13</f>
        <v>Transition</v>
      </c>
      <c r="B13" s="6" t="str">
        <f>Wumple!B13</f>
        <v>after 10sec (On ⇒ Off)</v>
      </c>
      <c r="C13" s="6">
        <f>CombinedHumanGrading!C13</f>
        <v>1</v>
      </c>
      <c r="D13" s="6">
        <f>'Gemini 3.1 Pro Preview Grading'!C13</f>
        <v>1</v>
      </c>
      <c r="E13" s="4"/>
      <c r="F13" s="61" t="s">
        <v>244</v>
      </c>
      <c r="G13" s="14">
        <f t="shared" ref="G13:I13" si="7">SUM(G10:G12)</f>
        <v>3</v>
      </c>
      <c r="H13" s="14">
        <f t="shared" si="7"/>
        <v>1</v>
      </c>
      <c r="I13" s="14">
        <f t="shared" si="7"/>
        <v>21</v>
      </c>
      <c r="J13" s="14"/>
      <c r="L13" s="14"/>
      <c r="M13" s="62"/>
      <c r="N13" s="4"/>
      <c r="O13" s="4"/>
      <c r="P13" s="4"/>
    </row>
    <row r="14" ht="15.75" customHeight="1">
      <c r="A14" s="6" t="str">
        <f>Wumple!A14</f>
        <v>Transition</v>
      </c>
      <c r="B14" s="6" t="str">
        <f>Wumple!B14</f>
        <v>flash (On ⇒ Flash)</v>
      </c>
      <c r="C14" s="6">
        <f>CombinedHumanGrading!C14</f>
        <v>0.5</v>
      </c>
      <c r="D14" s="6">
        <f>'Gemini 3.1 Pro Preview Grading'!C14</f>
        <v>0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Wumple!A15</f>
        <v>Guard</v>
      </c>
      <c r="B15" s="6" t="str">
        <f>Wumple!B15</f>
        <v>[flashAlert]</v>
      </c>
      <c r="C15" s="6">
        <f>CombinedHumanGrading!C15</f>
        <v>0</v>
      </c>
      <c r="D15" s="6">
        <f>'Gemini 3.1 Pro Preview Grading'!C15</f>
        <v>0</v>
      </c>
      <c r="E15" s="4"/>
      <c r="F15" s="43" t="s">
        <v>247</v>
      </c>
      <c r="L15" s="44" t="s">
        <v>248</v>
      </c>
      <c r="M15" s="45"/>
      <c r="N15" s="45"/>
      <c r="O15" s="4"/>
      <c r="P15" s="4"/>
    </row>
    <row r="16" ht="15.75" customHeight="1">
      <c r="A16" s="6" t="str">
        <f>Wumple!A16</f>
        <v>State</v>
      </c>
      <c r="B16" s="6" t="str">
        <f>Wumple!B16</f>
        <v>Flash</v>
      </c>
      <c r="C16" s="6">
        <f>CombinedHumanGrading!C16</f>
        <v>0.5</v>
      </c>
      <c r="D16" s="6">
        <f>'Gemini 3.1 Pro Preview Grading'!C16</f>
        <v>0</v>
      </c>
      <c r="E16" s="4"/>
      <c r="F16" s="14" t="s">
        <v>13</v>
      </c>
      <c r="G16" s="63" t="s">
        <v>232</v>
      </c>
      <c r="H16" s="63" t="s">
        <v>233</v>
      </c>
      <c r="I16" s="63" t="s">
        <v>234</v>
      </c>
      <c r="J16" s="64" t="s">
        <v>235</v>
      </c>
      <c r="K16" s="14"/>
      <c r="L16" s="50" t="s">
        <v>236</v>
      </c>
      <c r="M16" s="50" t="s">
        <v>237</v>
      </c>
      <c r="N16" s="50" t="s">
        <v>238</v>
      </c>
      <c r="O16" s="4"/>
      <c r="P16" s="4"/>
    </row>
    <row r="17" ht="15.75" customHeight="1">
      <c r="A17" s="6" t="str">
        <f>Wumple!A17</f>
        <v>Action</v>
      </c>
      <c r="B17" s="6" t="str">
        <f>Wumple!B17</f>
        <v>do / flash5Sec()</v>
      </c>
      <c r="C17" s="6">
        <f>CombinedHumanGrading!C17</f>
        <v>0</v>
      </c>
      <c r="D17" s="6">
        <f>'Gemini 3.1 Pro Preview Grading'!C17</f>
        <v>0.5</v>
      </c>
      <c r="E17" s="4"/>
      <c r="F17" s="51">
        <v>0.0</v>
      </c>
      <c r="G17" s="52">
        <f t="shared" ref="G17:H17" si="8">COUNTIFS($A$2:$A$153,$F$16,$C$2:$C$153,$F17,$D$2:$D$153,G$16)</f>
        <v>2</v>
      </c>
      <c r="H17" s="53">
        <f t="shared" si="8"/>
        <v>0</v>
      </c>
      <c r="I17" s="54">
        <f>COUNTIFS($A$2:$A$109,$F$16,$C$2:$C$109,$F17,$D$2:$D$109,I$16) + MAX(D111-C111,0)</f>
        <v>0</v>
      </c>
      <c r="J17" s="14">
        <f t="shared" ref="J17:J19" si="10">SUM(G17:I17)</f>
        <v>2</v>
      </c>
      <c r="K17" s="14"/>
      <c r="L17" s="55" t="s">
        <v>239</v>
      </c>
      <c r="M17" s="52">
        <f>(G17+H18+I19)/COUNTIF($A$2:$A$163,F16)</f>
        <v>0.9473684211</v>
      </c>
      <c r="N17" s="54" t="s">
        <v>240</v>
      </c>
      <c r="O17" s="4"/>
      <c r="P17" s="4"/>
    </row>
    <row r="18" ht="15.75" customHeight="1">
      <c r="A18" s="6" t="str">
        <f>Wumple!A18</f>
        <v>Transition</v>
      </c>
      <c r="B18" s="6" t="str">
        <f>Wumple!B18</f>
        <v>flash (Flash ⇒ Off)</v>
      </c>
      <c r="C18" s="6">
        <f>CombinedHumanGrading!C18</f>
        <v>0.5</v>
      </c>
      <c r="D18" s="6">
        <f>'Gemini 3.1 Pro Preview Grading'!C18</f>
        <v>0</v>
      </c>
      <c r="E18" s="4"/>
      <c r="F18" s="51">
        <v>0.5</v>
      </c>
      <c r="G18" s="56">
        <f t="shared" ref="G18:I18" si="9">COUNTIFS($A$2:$A$153,$F$16,$C$2:$C$153,$F18,$D$2:$D$153,G$16)</f>
        <v>2</v>
      </c>
      <c r="H18" s="14">
        <f t="shared" si="9"/>
        <v>1</v>
      </c>
      <c r="I18" s="57">
        <f t="shared" si="9"/>
        <v>0</v>
      </c>
      <c r="J18" s="14">
        <f t="shared" si="10"/>
        <v>3</v>
      </c>
      <c r="K18" s="14"/>
      <c r="L18" s="55" t="s">
        <v>241</v>
      </c>
      <c r="M18" s="56">
        <f t="array" ref="M18">SUMPRODUCT(J17:J19/COUNTIF($A$2:$A$163,F16), TRANSPOSE(G20:I20)/COUNTIF($A$2:$A$163,F16))</f>
        <v>0.7617728532</v>
      </c>
      <c r="N18" s="57" t="s">
        <v>242</v>
      </c>
      <c r="O18" s="4"/>
      <c r="P18" s="4"/>
    </row>
    <row r="19" ht="15.75" customHeight="1">
      <c r="A19" s="6" t="str">
        <f>Wumple!A19</f>
        <v>Guard</v>
      </c>
      <c r="B19" s="6" t="str">
        <f>Wumple!B19</f>
        <v>[flashAlert]</v>
      </c>
      <c r="C19" s="6">
        <f>CombinedHumanGrading!C19</f>
        <v>0</v>
      </c>
      <c r="D19" s="6">
        <f>'Gemini 3.1 Pro Preview Grading'!C19</f>
        <v>0</v>
      </c>
      <c r="E19" s="4"/>
      <c r="F19" s="51">
        <v>1.0</v>
      </c>
      <c r="G19" s="58">
        <f>COUNTIFS($A$2:$A$109,$F$16,$C$2:$C$109,$F19,$D$2:$D$109,G$16)+MAX(C111-D111,0)</f>
        <v>0</v>
      </c>
      <c r="H19" s="59">
        <f>COUNTIFS($A$2:$A$153,$F$16,$C$2:$C$153,$F19,$D$2:$D$153,H$16)</f>
        <v>0</v>
      </c>
      <c r="I19" s="60">
        <f>COUNTIFS($A$2:$A$109,$F$16,$C$2:$C$109,$F19,$D$2:$D$109,I$16) + MIN(C111,D111)</f>
        <v>33</v>
      </c>
      <c r="J19" s="14">
        <f t="shared" si="10"/>
        <v>33</v>
      </c>
      <c r="K19" s="14"/>
      <c r="L19" s="55" t="s">
        <v>230</v>
      </c>
      <c r="M19" s="58">
        <f>(M17-M18)/(1-M18)</f>
        <v>0.7790697674</v>
      </c>
      <c r="N19" s="60" t="s">
        <v>243</v>
      </c>
      <c r="O19" s="4"/>
      <c r="P19" s="4"/>
    </row>
    <row r="20" ht="15.75" customHeight="1">
      <c r="A20" s="6" t="str">
        <f>Wumple!A20</f>
        <v>Transition</v>
      </c>
      <c r="B20" s="6" t="str">
        <f>Wumple!B20</f>
        <v>anyButton (Flash ⇒ Off)</v>
      </c>
      <c r="C20" s="6">
        <f>CombinedHumanGrading!C20</f>
        <v>0</v>
      </c>
      <c r="D20" s="6">
        <f>'Gemini 3.1 Pro Preview Grading'!C20</f>
        <v>0</v>
      </c>
      <c r="E20" s="4"/>
      <c r="F20" s="61" t="s">
        <v>244</v>
      </c>
      <c r="G20" s="14">
        <f t="shared" ref="G20:I20" si="11">SUM(G17:G19)</f>
        <v>4</v>
      </c>
      <c r="H20" s="14">
        <f t="shared" si="11"/>
        <v>1</v>
      </c>
      <c r="I20" s="14">
        <f t="shared" si="11"/>
        <v>33</v>
      </c>
      <c r="J20" s="14"/>
      <c r="L20" s="14"/>
      <c r="M20" s="62"/>
      <c r="N20" s="4"/>
      <c r="O20" s="4"/>
      <c r="P20" s="4"/>
    </row>
    <row r="21" ht="15.75" customHeight="1">
      <c r="A21" s="6" t="str">
        <f>Wumple!A21</f>
        <v>Region</v>
      </c>
      <c r="B21" s="6" t="str">
        <f>Wumple!B21</f>
        <v>WatchMode</v>
      </c>
      <c r="C21" s="6">
        <f>CombinedHumanGrading!C21</f>
        <v>1</v>
      </c>
      <c r="D21" s="6">
        <f>'Gemini 3.1 Pro Preview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Wumple!A22</f>
        <v>State</v>
      </c>
      <c r="B22" s="6" t="str">
        <f>Wumple!B22</f>
        <v>Initial state (WatchMode → AlarmOff)</v>
      </c>
      <c r="C22" s="6">
        <f>CombinedHumanGrading!C22</f>
        <v>1</v>
      </c>
      <c r="D22" s="6">
        <f>'Gemini 3.1 Pro Preview Grading'!C22</f>
        <v>0.5</v>
      </c>
      <c r="E22" s="4"/>
      <c r="F22" s="43" t="s">
        <v>249</v>
      </c>
      <c r="L22" s="44" t="s">
        <v>250</v>
      </c>
      <c r="M22" s="45"/>
      <c r="N22" s="45"/>
      <c r="O22" s="4"/>
      <c r="P22" s="4"/>
    </row>
    <row r="23" ht="15.75" customHeight="1">
      <c r="A23" s="6" t="str">
        <f>Wumple!A23</f>
        <v>Composite State</v>
      </c>
      <c r="B23" s="6" t="str">
        <f>Wumple!B23</f>
        <v>AlarmOff</v>
      </c>
      <c r="C23" s="6">
        <f>CombinedHumanGrading!C23</f>
        <v>1</v>
      </c>
      <c r="D23" s="6">
        <f>'Gemini 3.1 Pro Preview Grading'!C23</f>
        <v>0</v>
      </c>
      <c r="E23" s="4"/>
      <c r="F23" s="14" t="s">
        <v>6</v>
      </c>
      <c r="G23" s="63" t="s">
        <v>232</v>
      </c>
      <c r="H23" s="63" t="s">
        <v>233</v>
      </c>
      <c r="I23" s="63" t="s">
        <v>234</v>
      </c>
      <c r="J23" s="64" t="s">
        <v>235</v>
      </c>
      <c r="K23" s="14"/>
      <c r="L23" s="50" t="s">
        <v>236</v>
      </c>
      <c r="M23" s="50" t="s">
        <v>237</v>
      </c>
      <c r="N23" s="50" t="s">
        <v>238</v>
      </c>
      <c r="O23" s="4"/>
      <c r="P23" s="4"/>
    </row>
    <row r="24" ht="15.75" customHeight="1">
      <c r="A24" s="6" t="str">
        <f>Wumple!A24</f>
        <v>State</v>
      </c>
      <c r="B24" s="6" t="str">
        <f>Wumple!B24</f>
        <v>Initial state (AlarmOff → TimeKeepingMode)</v>
      </c>
      <c r="C24" s="6">
        <f>CombinedHumanGrading!C24</f>
        <v>1</v>
      </c>
      <c r="D24" s="6">
        <f>'Gemini 3.1 Pro Preview Grading'!C24</f>
        <v>1</v>
      </c>
      <c r="E24" s="4"/>
      <c r="F24" s="51">
        <v>0.0</v>
      </c>
      <c r="G24" s="52">
        <f t="shared" ref="G24:H24" si="12">COUNTIFS($A$2:$A$153,$F$23,$C$2:$C$153,$F24,$D$2:$D$153,G$23)</f>
        <v>1</v>
      </c>
      <c r="H24" s="53">
        <f t="shared" si="12"/>
        <v>0</v>
      </c>
      <c r="I24" s="54">
        <f>COUNTIFS($A$2:$A$109,$F$23,$C$2:$C$109,$F24,$D$2:$D$109,I$23) + MAX(D114-C114,0)</f>
        <v>0</v>
      </c>
      <c r="J24" s="14">
        <f t="shared" ref="J24:J26" si="14">SUM(G24:I24)</f>
        <v>1</v>
      </c>
      <c r="K24" s="14"/>
      <c r="L24" s="55" t="s">
        <v>239</v>
      </c>
      <c r="M24" s="52">
        <f>(G24+H25+I26)/COUNTIF($A$2:$A$163,F23)</f>
        <v>0.8333333333</v>
      </c>
      <c r="N24" s="54" t="s">
        <v>240</v>
      </c>
      <c r="O24" s="4"/>
      <c r="P24" s="4"/>
    </row>
    <row r="25" ht="15.75" customHeight="1">
      <c r="A25" s="6" t="str">
        <f>Wumple!A25</f>
        <v>Composite State</v>
      </c>
      <c r="B25" s="6" t="str">
        <f>Wumple!B25</f>
        <v>TimeKeepingMode</v>
      </c>
      <c r="C25" s="6">
        <f>CombinedHumanGrading!C25</f>
        <v>1</v>
      </c>
      <c r="D25" s="6">
        <f>'Gemini 3.1 Pro Preview Grading'!C25</f>
        <v>1</v>
      </c>
      <c r="E25" s="4"/>
      <c r="F25" s="51">
        <v>0.5</v>
      </c>
      <c r="G25" s="56">
        <f t="shared" ref="G25:I25" si="13">COUNTIFS($A$2:$A$153,$F$23,$C$2:$C$153,$F25,$D$2:$D$153,G$23)</f>
        <v>0</v>
      </c>
      <c r="H25" s="14">
        <f t="shared" si="13"/>
        <v>0</v>
      </c>
      <c r="I25" s="57">
        <f t="shared" si="13"/>
        <v>0</v>
      </c>
      <c r="J25" s="14">
        <f t="shared" si="14"/>
        <v>0</v>
      </c>
      <c r="K25" s="14"/>
      <c r="L25" s="55" t="s">
        <v>241</v>
      </c>
      <c r="M25" s="56">
        <f t="array" ref="M25">SUMPRODUCT(J24:J26/COUNTIF($A$2:$A$163,F23), TRANSPOSE(G27:I27)/COUNTIF($A$2:$A$163,F23))</f>
        <v>0.6111111111</v>
      </c>
      <c r="N25" s="57" t="s">
        <v>242</v>
      </c>
      <c r="O25" s="4"/>
      <c r="P25" s="4"/>
    </row>
    <row r="26" ht="15.75" customHeight="1">
      <c r="A26" s="6" t="str">
        <f>Wumple!A26</f>
        <v>State</v>
      </c>
      <c r="B26" s="6" t="str">
        <f>Wumple!B26</f>
        <v>Initial state (TimeKeepingMode → Idle)</v>
      </c>
      <c r="C26" s="6">
        <f>CombinedHumanGrading!C26</f>
        <v>1</v>
      </c>
      <c r="D26" s="6">
        <f>'Gemini 3.1 Pro Preview Grading'!C26</f>
        <v>1</v>
      </c>
      <c r="E26" s="4"/>
      <c r="F26" s="51">
        <v>1.0</v>
      </c>
      <c r="G26" s="58">
        <f>COUNTIFS($A$2:$A$109,$F$23,$C$2:$C$109,$F26,$D$2:$D$109,G$23) + MAX(C114-D114,0)</f>
        <v>1</v>
      </c>
      <c r="H26" s="59">
        <f>COUNTIFS($A$2:$A$153,$F$23,$C$2:$C$153,$F26,$D$2:$D$153,H$23)</f>
        <v>0</v>
      </c>
      <c r="I26" s="60">
        <f>COUNTIFS($A$2:$A$109,$F$23,$C$2:$C$109,$F26,$D$2:$D$109,I$23) + MIN(C114,D114)</f>
        <v>4</v>
      </c>
      <c r="J26" s="14">
        <f t="shared" si="14"/>
        <v>5</v>
      </c>
      <c r="K26" s="14"/>
      <c r="L26" s="55" t="s">
        <v>230</v>
      </c>
      <c r="M26" s="58">
        <f>(M24-M25)/(1-M25)</f>
        <v>0.5714285714</v>
      </c>
      <c r="N26" s="60" t="s">
        <v>243</v>
      </c>
      <c r="O26" s="4"/>
      <c r="P26" s="4"/>
    </row>
    <row r="27" ht="15.75" customHeight="1">
      <c r="A27" s="6" t="str">
        <f>Wumple!A27</f>
        <v>State</v>
      </c>
      <c r="B27" s="6" t="str">
        <f>Wumple!B27</f>
        <v>Idle</v>
      </c>
      <c r="C27" s="6">
        <f>CombinedHumanGrading!C27</f>
        <v>1</v>
      </c>
      <c r="D27" s="6">
        <f>'Gemini 3.1 Pro Preview Grading'!C27</f>
        <v>1</v>
      </c>
      <c r="E27" s="4"/>
      <c r="F27" s="61" t="s">
        <v>244</v>
      </c>
      <c r="G27" s="14">
        <f t="shared" ref="G27:I27" si="15">SUM(G24:G26)</f>
        <v>2</v>
      </c>
      <c r="H27" s="14">
        <f t="shared" si="15"/>
        <v>0</v>
      </c>
      <c r="I27" s="14">
        <f t="shared" si="15"/>
        <v>4</v>
      </c>
      <c r="J27" s="14"/>
      <c r="L27" s="14"/>
      <c r="M27" s="62"/>
      <c r="N27" s="4"/>
      <c r="O27" s="4"/>
      <c r="P27" s="4"/>
    </row>
    <row r="28" ht="15.75" customHeight="1">
      <c r="A28" s="6" t="str">
        <f>Wumple!A28</f>
        <v>Action</v>
      </c>
      <c r="B28" s="6" t="str">
        <f>Wumple!B28</f>
        <v>do / displayTime()</v>
      </c>
      <c r="C28" s="6">
        <f>CombinedHumanGrading!C28</f>
        <v>1</v>
      </c>
      <c r="D28" s="6">
        <f>'Gemini 3.1 Pro Preview Grading'!C28</f>
        <v>0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Wumple!A29</f>
        <v>Transition</v>
      </c>
      <c r="B29" s="6" t="str">
        <f>Wumple!B29</f>
        <v>B2sec (Idle ⇒ Idle)</v>
      </c>
      <c r="C29" s="6">
        <f>CombinedHumanGrading!C29</f>
        <v>0.5</v>
      </c>
      <c r="D29" s="6">
        <f>'Gemini 3.1 Pro Preview Grading'!C29</f>
        <v>0.5</v>
      </c>
      <c r="E29" s="4"/>
      <c r="F29" s="43" t="s">
        <v>251</v>
      </c>
      <c r="L29" s="44" t="s">
        <v>252</v>
      </c>
      <c r="M29" s="45"/>
      <c r="N29" s="45"/>
      <c r="O29" s="4"/>
      <c r="P29" s="4"/>
    </row>
    <row r="30" ht="15.75" customHeight="1">
      <c r="A30" s="6" t="str">
        <f>Wumple!A30</f>
        <v>Action</v>
      </c>
      <c r="B30" s="6" t="str">
        <f>Wumple!B30</f>
        <v>toggleFlashAlert()</v>
      </c>
      <c r="C30" s="6">
        <f>CombinedHumanGrading!C30</f>
        <v>0.5</v>
      </c>
      <c r="D30" s="6">
        <f>'Gemini 3.1 Pro Preview Grading'!C30</f>
        <v>1</v>
      </c>
      <c r="E30" s="4"/>
      <c r="F30" s="14" t="s">
        <v>20</v>
      </c>
      <c r="G30" s="63" t="s">
        <v>232</v>
      </c>
      <c r="H30" s="63" t="s">
        <v>233</v>
      </c>
      <c r="I30" s="63" t="s">
        <v>234</v>
      </c>
      <c r="J30" s="64" t="s">
        <v>235</v>
      </c>
      <c r="K30" s="14"/>
      <c r="L30" s="50" t="s">
        <v>236</v>
      </c>
      <c r="M30" s="50" t="s">
        <v>237</v>
      </c>
      <c r="N30" s="50" t="s">
        <v>238</v>
      </c>
      <c r="O30" s="4"/>
      <c r="P30" s="4"/>
    </row>
    <row r="31" ht="15.75" customHeight="1">
      <c r="A31" s="6" t="str">
        <f>Wumple!A31</f>
        <v>Transition</v>
      </c>
      <c r="B31" s="6" t="str">
        <f>Wumple!B31</f>
        <v>B (Idle ⇒ Idle)</v>
      </c>
      <c r="C31" s="6">
        <f>CombinedHumanGrading!C31</f>
        <v>1</v>
      </c>
      <c r="D31" s="6">
        <f>'Gemini 3.1 Pro Preview Grading'!C31</f>
        <v>1</v>
      </c>
      <c r="E31" s="4"/>
      <c r="F31" s="51">
        <v>0.0</v>
      </c>
      <c r="G31" s="52">
        <f t="shared" ref="G31:H31" si="16">COUNTIFS($A$2:$A$153,$F$30,$C$2:$C$153,$F31,$D$2:$D$153,G$30)</f>
        <v>3</v>
      </c>
      <c r="H31" s="53">
        <f t="shared" si="16"/>
        <v>0</v>
      </c>
      <c r="I31" s="54">
        <f>COUNTIFS($A$2:$A$109,$F$30,$C$2:$C$109,$F31,$D$2:$D$109,I$30) + MAX(D112-C112,0)</f>
        <v>1</v>
      </c>
      <c r="J31" s="14">
        <f t="shared" ref="J31:J33" si="18">SUM(G31:I31)</f>
        <v>4</v>
      </c>
      <c r="K31" s="14"/>
      <c r="L31" s="55" t="s">
        <v>239</v>
      </c>
      <c r="M31" s="52">
        <f>(G31+H32+I33)/COUNTIF($A$2:$A$163,F30)</f>
        <v>0.75</v>
      </c>
      <c r="N31" s="54" t="s">
        <v>240</v>
      </c>
      <c r="O31" s="4"/>
      <c r="P31" s="4"/>
    </row>
    <row r="32" ht="15.75" customHeight="1">
      <c r="A32" s="6" t="str">
        <f>Wumple!A32</f>
        <v>Action</v>
      </c>
      <c r="B32" s="6" t="str">
        <f>Wumple!B32</f>
        <v>toggleAlarm()</v>
      </c>
      <c r="C32" s="6">
        <f>CombinedHumanGrading!C32</f>
        <v>1</v>
      </c>
      <c r="D32" s="6">
        <f>'Gemini 3.1 Pro Preview Grading'!C32</f>
        <v>1</v>
      </c>
      <c r="E32" s="4"/>
      <c r="F32" s="51">
        <v>0.5</v>
      </c>
      <c r="G32" s="56">
        <f t="shared" ref="G32:I32" si="17">COUNTIFS($A$2:$A$153,$F$30,$C$2:$C$153,$F32,$D$2:$D$153,G$30)</f>
        <v>0</v>
      </c>
      <c r="H32" s="14">
        <f t="shared" si="17"/>
        <v>0</v>
      </c>
      <c r="I32" s="57">
        <f t="shared" si="17"/>
        <v>0</v>
      </c>
      <c r="J32" s="14">
        <f t="shared" si="18"/>
        <v>0</v>
      </c>
      <c r="K32" s="14"/>
      <c r="L32" s="55" t="s">
        <v>241</v>
      </c>
      <c r="M32" s="56">
        <f t="array" ref="M32">SUMPRODUCT(J31:J33/COUNTIF($A$2:$A$163,F30), TRANSPOSE(G34:I34)/COUNTIF($A$2:$A$163,F30))</f>
        <v>0.75</v>
      </c>
      <c r="N32" s="57" t="s">
        <v>242</v>
      </c>
      <c r="O32" s="4"/>
      <c r="P32" s="4"/>
    </row>
    <row r="33" ht="15.75" customHeight="1">
      <c r="A33" s="6" t="str">
        <f>Wumple!A33</f>
        <v>Transition</v>
      </c>
      <c r="B33" s="6" t="str">
        <f>Wumple!B33</f>
        <v>C (Idle ⇒ Seconds)</v>
      </c>
      <c r="C33" s="6">
        <f>CombinedHumanGrading!C33</f>
        <v>1</v>
      </c>
      <c r="D33" s="6">
        <f>'Gemini 3.1 Pro Preview Grading'!C33</f>
        <v>1</v>
      </c>
      <c r="E33" s="4"/>
      <c r="F33" s="51">
        <v>1.0</v>
      </c>
      <c r="G33" s="58">
        <f>COUNTIFS($A$2:$A$109,$F$30,$C$2:$C$109,$F33,$D$2:$D$109,G$30) + MAX(C112-D112,0)</f>
        <v>0</v>
      </c>
      <c r="H33" s="59">
        <f>COUNTIFS($A$2:$A$153,$F$30,$C$2:$C$153,$F33,$D$2:$D$153,H$30)</f>
        <v>0</v>
      </c>
      <c r="I33" s="60">
        <f>COUNTIFS($A$2:$A$109,$F$30,$C$2:$C$109,$F33,$D$2:$D$109,I$30) + MIN(C112,D112)</f>
        <v>0</v>
      </c>
      <c r="J33" s="14">
        <f t="shared" si="18"/>
        <v>0</v>
      </c>
      <c r="K33" s="14"/>
      <c r="L33" s="55" t="s">
        <v>230</v>
      </c>
      <c r="M33" s="58">
        <f>(M31-M32)/(1-M32)</f>
        <v>0</v>
      </c>
      <c r="N33" s="60" t="s">
        <v>243</v>
      </c>
      <c r="O33" s="4"/>
      <c r="P33" s="4"/>
    </row>
    <row r="34" ht="15.75" customHeight="1">
      <c r="A34" s="6" t="str">
        <f>Wumple!A34</f>
        <v>Action</v>
      </c>
      <c r="B34" s="6" t="str">
        <f>Wumple!B34</f>
        <v>flashSeconds()</v>
      </c>
      <c r="C34" s="6">
        <f>CombinedHumanGrading!C34</f>
        <v>0</v>
      </c>
      <c r="D34" s="6">
        <f>'Gemini 3.1 Pro Preview Grading'!C34</f>
        <v>0</v>
      </c>
      <c r="E34" s="4"/>
      <c r="F34" s="61" t="s">
        <v>244</v>
      </c>
      <c r="G34" s="14">
        <f t="shared" ref="G34:I34" si="19">SUM(G31:G33)</f>
        <v>3</v>
      </c>
      <c r="H34" s="14">
        <f t="shared" si="19"/>
        <v>0</v>
      </c>
      <c r="I34" s="14">
        <f t="shared" si="19"/>
        <v>1</v>
      </c>
      <c r="J34" s="14"/>
      <c r="L34" s="14"/>
      <c r="M34" s="62"/>
      <c r="N34" s="4"/>
      <c r="O34" s="4"/>
      <c r="P34" s="4"/>
    </row>
    <row r="35" ht="15.75" customHeight="1">
      <c r="A35" s="6" t="str">
        <f>Wumple!A35</f>
        <v>Transition</v>
      </c>
      <c r="B35" s="6" t="str">
        <f>Wumple!B35</f>
        <v>A (TimeKeepingMode ⇒ AlarmMode)</v>
      </c>
      <c r="C35" s="6">
        <f>CombinedHumanGrading!C35</f>
        <v>1</v>
      </c>
      <c r="D35" s="6">
        <f>'Gemini 3.1 Pro Preview Grading'!C35</f>
        <v>1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Wumple!A36</f>
        <v>State</v>
      </c>
      <c r="B36" s="6" t="str">
        <f>Wumple!B36</f>
        <v>Seconds</v>
      </c>
      <c r="C36" s="6">
        <f>CombinedHumanGrading!C36</f>
        <v>1</v>
      </c>
      <c r="D36" s="6">
        <f>'Gemini 3.1 Pro Preview Grading'!C36</f>
        <v>1</v>
      </c>
      <c r="E36" s="4"/>
      <c r="F36" s="43" t="s">
        <v>253</v>
      </c>
      <c r="L36" s="44" t="s">
        <v>254</v>
      </c>
      <c r="M36" s="45"/>
      <c r="N36" s="45"/>
      <c r="O36" s="4"/>
      <c r="P36" s="4"/>
    </row>
    <row r="37" ht="15.75" customHeight="1">
      <c r="A37" s="6" t="str">
        <f>Wumple!A37</f>
        <v>Transition</v>
      </c>
      <c r="B37" s="6" t="str">
        <f>Wumple!B37</f>
        <v>B (Seconds ⇒ Seconds)</v>
      </c>
      <c r="C37" s="6">
        <f>CombinedHumanGrading!C37</f>
        <v>1</v>
      </c>
      <c r="D37" s="6">
        <f>'Gemini 3.1 Pro Preview Grading'!C37</f>
        <v>1</v>
      </c>
      <c r="E37" s="4"/>
      <c r="F37" s="14" t="s">
        <v>4</v>
      </c>
      <c r="G37" s="63" t="s">
        <v>232</v>
      </c>
      <c r="H37" s="63" t="s">
        <v>233</v>
      </c>
      <c r="I37" s="63" t="s">
        <v>234</v>
      </c>
      <c r="J37" s="64" t="s">
        <v>235</v>
      </c>
      <c r="K37" s="14"/>
      <c r="L37" s="50" t="s">
        <v>236</v>
      </c>
      <c r="M37" s="50" t="s">
        <v>237</v>
      </c>
      <c r="N37" s="50" t="s">
        <v>238</v>
      </c>
      <c r="O37" s="4"/>
      <c r="P37" s="4"/>
    </row>
    <row r="38" ht="15.75" customHeight="1">
      <c r="A38" s="6" t="str">
        <f>Wumple!A38</f>
        <v>Action</v>
      </c>
      <c r="B38" s="6" t="str">
        <f>Wumple!B38</f>
        <v>time+=1sec</v>
      </c>
      <c r="C38" s="6">
        <f>CombinedHumanGrading!C38</f>
        <v>1</v>
      </c>
      <c r="D38" s="6">
        <f>'Gemini 3.1 Pro Preview Grading'!C38</f>
        <v>1</v>
      </c>
      <c r="E38" s="4"/>
      <c r="F38" s="51">
        <v>0.0</v>
      </c>
      <c r="G38" s="52">
        <f>COUNTIFS($A$2:$A$153,F37,$C$2:$C$153,$F38,$D$2:$D$153,G37)</f>
        <v>14</v>
      </c>
      <c r="H38" s="53">
        <f>COUNTIFS($A$2:$A$153,F37,$C$2:$C$153,$F38,$D$2:$D$153,H37)</f>
        <v>1</v>
      </c>
      <c r="I38" s="54">
        <f>COUNTIFS($A$2:$A$109,F37,$C$2:$C$109,$F38,$D$2:$D$109,I37)+MAX(D113-C113,0)</f>
        <v>0</v>
      </c>
      <c r="J38" s="14">
        <f t="shared" ref="J38:J40" si="20">SUM(G38:I38)</f>
        <v>15</v>
      </c>
      <c r="K38" s="14"/>
      <c r="L38" s="55" t="s">
        <v>239</v>
      </c>
      <c r="M38" s="52">
        <f>(G38+H39+I40)/COUNTIF($A$2:$A$163,F37)</f>
        <v>0.6756756757</v>
      </c>
      <c r="N38" s="54" t="s">
        <v>240</v>
      </c>
      <c r="O38" s="4"/>
      <c r="P38" s="4"/>
    </row>
    <row r="39" ht="15.75" customHeight="1">
      <c r="A39" s="6" t="str">
        <f>Wumple!A39</f>
        <v>Transition</v>
      </c>
      <c r="B39" s="6" t="str">
        <f>Wumple!B39</f>
        <v>C (Seconds ⇒ Minutes)</v>
      </c>
      <c r="C39" s="6">
        <f>CombinedHumanGrading!C39</f>
        <v>1</v>
      </c>
      <c r="D39" s="6">
        <f>'Gemini 3.1 Pro Preview Grading'!C39</f>
        <v>1</v>
      </c>
      <c r="E39" s="4"/>
      <c r="F39" s="51">
        <v>0.5</v>
      </c>
      <c r="G39" s="56">
        <f>COUNTIFS($A$2:$A$153,F37,$C$2:$C$153,$F39,$D$2:$D$153,G37)</f>
        <v>0</v>
      </c>
      <c r="H39" s="14">
        <f>COUNTIFS($A$2:$A$153,F37,$C$2:$C$153,$F39,$D$2:$D$153,H37)</f>
        <v>0</v>
      </c>
      <c r="I39" s="57">
        <f>COUNTIFS($A$2:$A$153,F37,$C$2:$C$153,$F39,$D$2:$D$153,I37)</f>
        <v>1</v>
      </c>
      <c r="J39" s="14">
        <f t="shared" si="20"/>
        <v>1</v>
      </c>
      <c r="K39" s="14"/>
      <c r="L39" s="55" t="s">
        <v>241</v>
      </c>
      <c r="M39" s="56">
        <f t="array" ref="M39">SUMPRODUCT(J38:J40/COUNTIF($A$2:$A$163,F37), TRANSPOSE(G41:I41)/COUNTIF($A$2:$A$163,F37))</f>
        <v>0.4170927684</v>
      </c>
      <c r="N39" s="57" t="s">
        <v>242</v>
      </c>
      <c r="O39" s="4"/>
      <c r="P39" s="4"/>
    </row>
    <row r="40" ht="15.75" customHeight="1">
      <c r="A40" s="6" t="str">
        <f>Wumple!A40</f>
        <v>Action</v>
      </c>
      <c r="B40" s="6" t="str">
        <f>Wumple!B40</f>
        <v>flashMinutes()</v>
      </c>
      <c r="C40" s="6">
        <f>CombinedHumanGrading!C40</f>
        <v>0</v>
      </c>
      <c r="D40" s="6">
        <f>'Gemini 3.1 Pro Preview Grading'!C40</f>
        <v>0</v>
      </c>
      <c r="E40" s="4"/>
      <c r="F40" s="51">
        <v>1.0</v>
      </c>
      <c r="G40" s="58">
        <f>COUNTIFS($A$2:$A$109,F37,$C$2:$C$109,$F40,$D$2:$D$109,G37)+MAX(C113-D113,0)</f>
        <v>7</v>
      </c>
      <c r="H40" s="59">
        <f>COUNTIFS($A$2:$A$153,F37,$C$2:$C$153,$F40,$D$2:$D$153,H37)</f>
        <v>3</v>
      </c>
      <c r="I40" s="60">
        <f>COUNTIFS($A$2:$A$109,F37,$C$2:$C$109,$F40,$D$2:$D$109,I37) + MIN(C113,D113)</f>
        <v>11</v>
      </c>
      <c r="J40" s="14">
        <f t="shared" si="20"/>
        <v>21</v>
      </c>
      <c r="K40" s="14"/>
      <c r="L40" s="55" t="s">
        <v>230</v>
      </c>
      <c r="M40" s="58">
        <f>(M38-M39)/(1-M39)</f>
        <v>0.4436090226</v>
      </c>
      <c r="N40" s="60" t="s">
        <v>243</v>
      </c>
      <c r="O40" s="4"/>
      <c r="P40" s="4"/>
    </row>
    <row r="41" ht="15.75" customHeight="1">
      <c r="A41" s="6" t="str">
        <f>Wumple!A41</f>
        <v>State</v>
      </c>
      <c r="B41" s="6" t="str">
        <f>Wumple!B41</f>
        <v>Minutes</v>
      </c>
      <c r="C41" s="6">
        <f>CombinedHumanGrading!C41</f>
        <v>1</v>
      </c>
      <c r="D41" s="6">
        <f>'Gemini 3.1 Pro Preview Grading'!C41</f>
        <v>1</v>
      </c>
      <c r="E41" s="4"/>
      <c r="F41" s="61" t="s">
        <v>244</v>
      </c>
      <c r="G41" s="14">
        <f t="shared" ref="G41:I41" si="21">SUM(G38:G40)</f>
        <v>21</v>
      </c>
      <c r="H41" s="14">
        <f t="shared" si="21"/>
        <v>4</v>
      </c>
      <c r="I41" s="14">
        <f t="shared" si="21"/>
        <v>12</v>
      </c>
      <c r="J41" s="14"/>
      <c r="L41" s="14"/>
      <c r="M41" s="62"/>
      <c r="N41" s="4"/>
      <c r="O41" s="4"/>
      <c r="P41" s="4"/>
    </row>
    <row r="42" ht="15.75" customHeight="1">
      <c r="A42" s="6" t="str">
        <f>Wumple!A42</f>
        <v>Transition</v>
      </c>
      <c r="B42" s="6" t="str">
        <f>Wumple!B42</f>
        <v>B (Minutes ⇒ Minutes)</v>
      </c>
      <c r="C42" s="6">
        <f>CombinedHumanGrading!C42</f>
        <v>1</v>
      </c>
      <c r="D42" s="6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Wumple!A43</f>
        <v>Action</v>
      </c>
      <c r="B43" s="6" t="str">
        <f>Wumple!B43</f>
        <v>time+=1min</v>
      </c>
      <c r="C43" s="6">
        <f>CombinedHumanGrading!C43</f>
        <v>1</v>
      </c>
      <c r="D43" s="6">
        <f>'Gemini 3.1 Pro Preview Grading'!C43</f>
        <v>1</v>
      </c>
      <c r="E43" s="4"/>
      <c r="F43" s="43" t="s">
        <v>255</v>
      </c>
      <c r="L43" s="44" t="s">
        <v>256</v>
      </c>
      <c r="M43" s="45"/>
      <c r="N43" s="45"/>
      <c r="O43" s="4"/>
      <c r="P43" s="4"/>
    </row>
    <row r="44" ht="15.75" customHeight="1">
      <c r="A44" s="6" t="str">
        <f>Wumple!A44</f>
        <v>Transition</v>
      </c>
      <c r="B44" s="6" t="str">
        <f>Wumple!B44</f>
        <v>C (Minutes ⇒ Hours)</v>
      </c>
      <c r="C44" s="6">
        <f>CombinedHumanGrading!C44</f>
        <v>1</v>
      </c>
      <c r="D44" s="6">
        <f>'Gemini 3.1 Pro Preview Grading'!C44</f>
        <v>1</v>
      </c>
      <c r="E44" s="4"/>
      <c r="F44" s="14" t="s">
        <v>80</v>
      </c>
      <c r="G44" s="63" t="s">
        <v>232</v>
      </c>
      <c r="H44" s="63" t="s">
        <v>233</v>
      </c>
      <c r="I44" s="63" t="s">
        <v>234</v>
      </c>
      <c r="J44" s="64" t="s">
        <v>235</v>
      </c>
      <c r="K44" s="14"/>
      <c r="L44" s="50" t="s">
        <v>236</v>
      </c>
      <c r="M44" s="50" t="s">
        <v>237</v>
      </c>
      <c r="N44" s="50" t="s">
        <v>238</v>
      </c>
      <c r="O44" s="4"/>
      <c r="P44" s="4"/>
    </row>
    <row r="45" ht="15.75" customHeight="1">
      <c r="A45" s="6" t="str">
        <f>Wumple!A45</f>
        <v>Action</v>
      </c>
      <c r="B45" s="6" t="str">
        <f>Wumple!B45</f>
        <v>flashHours()</v>
      </c>
      <c r="C45" s="6">
        <f>CombinedHumanGrading!C45</f>
        <v>0</v>
      </c>
      <c r="D45" s="6">
        <f>'Gemini 3.1 Pro Preview Grading'!C45</f>
        <v>0</v>
      </c>
      <c r="E45" s="4"/>
      <c r="F45" s="51">
        <v>0.0</v>
      </c>
      <c r="G45" s="52">
        <f t="shared" ref="G45:H45" si="22">COUNTIFS($A$2:$A$153,$F$44,$C$2:$C$153,$F45,$D$2:$D$153,G$44)</f>
        <v>0</v>
      </c>
      <c r="H45" s="53">
        <f t="shared" si="22"/>
        <v>0</v>
      </c>
      <c r="I45" s="54">
        <f>COUNTIFS($A$2:$A$109,$F$44,$C$2:$C$109,$F45,$D$2:$D$109,I$44) + MAX(D116-C116,0)</f>
        <v>0</v>
      </c>
      <c r="J45" s="14">
        <f t="shared" ref="J45:J47" si="24">SUM(G45:I45)</f>
        <v>0</v>
      </c>
      <c r="K45" s="14"/>
      <c r="L45" s="55" t="s">
        <v>239</v>
      </c>
      <c r="M45" s="52">
        <f>(G45+H46+I47)/COUNTIF($A$2:$A$163,F44)</f>
        <v>0.5</v>
      </c>
      <c r="N45" s="54" t="s">
        <v>240</v>
      </c>
      <c r="O45" s="4"/>
      <c r="P45" s="4"/>
    </row>
    <row r="46" ht="15.75" customHeight="1">
      <c r="A46" s="6" t="str">
        <f>Wumple!A46</f>
        <v>State</v>
      </c>
      <c r="B46" s="6" t="str">
        <f>Wumple!B46</f>
        <v>Hours</v>
      </c>
      <c r="C46" s="6">
        <f>CombinedHumanGrading!C46</f>
        <v>1</v>
      </c>
      <c r="D46" s="6">
        <f>'Gemini 3.1 Pro Preview Grading'!C46</f>
        <v>1</v>
      </c>
      <c r="E46" s="4"/>
      <c r="F46" s="51">
        <v>0.5</v>
      </c>
      <c r="G46" s="56">
        <f t="shared" ref="G46:I46" si="23">COUNTIFS($A$2:$A$153,$F$44,$C$2:$C$153,$F46,$D$2:$D$153,G$44)</f>
        <v>0</v>
      </c>
      <c r="H46" s="14">
        <f t="shared" si="23"/>
        <v>0</v>
      </c>
      <c r="I46" s="57">
        <f t="shared" si="23"/>
        <v>0</v>
      </c>
      <c r="J46" s="14">
        <f t="shared" si="24"/>
        <v>0</v>
      </c>
      <c r="K46" s="14"/>
      <c r="L46" s="55" t="s">
        <v>241</v>
      </c>
      <c r="M46" s="56">
        <f t="array" ref="M46">SUMPRODUCT(J45:J47/COUNTIF($A$2:$A$163,F44), TRANSPOSE(G48:I48)/COUNTIF($A$2:$A$163,F44))</f>
        <v>0.75</v>
      </c>
      <c r="N46" s="57" t="s">
        <v>242</v>
      </c>
      <c r="O46" s="4"/>
      <c r="P46" s="4"/>
    </row>
    <row r="47" ht="15.75" customHeight="1">
      <c r="A47" s="6" t="str">
        <f>Wumple!A47</f>
        <v>Transition</v>
      </c>
      <c r="B47" s="6" t="str">
        <f>Wumple!B47</f>
        <v>B (Hours ⇒ Hours)</v>
      </c>
      <c r="C47" s="6">
        <f>CombinedHumanGrading!C47</f>
        <v>1</v>
      </c>
      <c r="D47" s="6">
        <f>'Gemini 3.1 Pro Preview Grading'!C47</f>
        <v>1</v>
      </c>
      <c r="E47" s="4"/>
      <c r="F47" s="51">
        <v>1.0</v>
      </c>
      <c r="G47" s="58">
        <f>COUNTIFS($A$2:$A$109,$F$44,$C$2:$C$109,$F47,$D$2:$D$109,G$44) + MAX(C116-D116,0)</f>
        <v>2</v>
      </c>
      <c r="H47" s="59">
        <f>COUNTIFS($A$2:$A$153,$F$44,$C$2:$C$153,$F47,$D$2:$D$153,H$44)</f>
        <v>0</v>
      </c>
      <c r="I47" s="60">
        <f>COUNTIFS($A$2:$A$109,$F$44,$C$2:$C$109,$F47,$D$2:$D$109,I$44) + MIN(C116,D116)</f>
        <v>1</v>
      </c>
      <c r="J47" s="14">
        <f t="shared" si="24"/>
        <v>3</v>
      </c>
      <c r="K47" s="14"/>
      <c r="L47" s="55" t="s">
        <v>230</v>
      </c>
      <c r="M47" s="58">
        <f>(M45-M46)/(1-M46)</f>
        <v>-1</v>
      </c>
      <c r="N47" s="60" t="s">
        <v>243</v>
      </c>
      <c r="O47" s="4"/>
      <c r="P47" s="4"/>
    </row>
    <row r="48" ht="15.75" customHeight="1">
      <c r="A48" s="6" t="str">
        <f>Wumple!A48</f>
        <v>Action</v>
      </c>
      <c r="B48" s="6" t="str">
        <f>Wumple!B48</f>
        <v>time+=1hr</v>
      </c>
      <c r="C48" s="6">
        <f>CombinedHumanGrading!C48</f>
        <v>1</v>
      </c>
      <c r="D48" s="6">
        <f>'Gemini 3.1 Pro Preview Grading'!C48</f>
        <v>1</v>
      </c>
      <c r="E48" s="4"/>
      <c r="F48" s="61" t="s">
        <v>244</v>
      </c>
      <c r="G48" s="14">
        <f t="shared" ref="G48:I48" si="25">SUM(G45:G47)</f>
        <v>2</v>
      </c>
      <c r="H48" s="14">
        <f t="shared" si="25"/>
        <v>0</v>
      </c>
      <c r="I48" s="14">
        <f t="shared" si="25"/>
        <v>1</v>
      </c>
      <c r="J48" s="14"/>
      <c r="L48" s="14"/>
      <c r="M48" s="62"/>
      <c r="N48" s="4"/>
      <c r="O48" s="4"/>
      <c r="P48" s="4"/>
    </row>
    <row r="49" ht="15.75" customHeight="1">
      <c r="A49" s="6" t="str">
        <f>Wumple!A49</f>
        <v>Transition</v>
      </c>
      <c r="B49" s="6" t="str">
        <f>Wumple!B49</f>
        <v>C (Hours ⇒ Seconds)</v>
      </c>
      <c r="C49" s="6">
        <f>CombinedHumanGrading!C49</f>
        <v>1</v>
      </c>
      <c r="D49" s="6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Wumple!A50</f>
        <v>Action</v>
      </c>
      <c r="B50" s="6" t="str">
        <f>Wumple!B50</f>
        <v>flashSeconds()</v>
      </c>
      <c r="C50" s="6">
        <f>CombinedHumanGrading!C50</f>
        <v>0</v>
      </c>
      <c r="D50" s="6">
        <f>'Gemini 3.1 Pro Preview Grading'!C50</f>
        <v>0</v>
      </c>
      <c r="E50" s="4"/>
      <c r="F50" s="43" t="s">
        <v>257</v>
      </c>
      <c r="L50" s="44" t="s">
        <v>258</v>
      </c>
      <c r="M50" s="45"/>
      <c r="N50" s="45"/>
      <c r="O50" s="4"/>
      <c r="P50" s="4"/>
    </row>
    <row r="51" ht="15.75" customHeight="1">
      <c r="A51" s="6" t="str">
        <f>Wumple!A51</f>
        <v>Transition</v>
      </c>
      <c r="B51" s="6" t="str">
        <f>Wumple!B51</f>
        <v>A (TimeKeepingMode ⇒ AlarmMode)</v>
      </c>
      <c r="C51" s="6">
        <f>CombinedHumanGrading!C51</f>
        <v>1</v>
      </c>
      <c r="D51" s="6">
        <f>'Gemini 3.1 Pro Preview Grading'!C51</f>
        <v>1</v>
      </c>
      <c r="E51" s="4"/>
      <c r="F51" s="14" t="s">
        <v>8</v>
      </c>
      <c r="G51" s="63" t="s">
        <v>232</v>
      </c>
      <c r="H51" s="63" t="s">
        <v>233</v>
      </c>
      <c r="I51" s="63" t="s">
        <v>234</v>
      </c>
      <c r="J51" s="64" t="s">
        <v>235</v>
      </c>
      <c r="K51" s="14"/>
      <c r="L51" s="50" t="s">
        <v>236</v>
      </c>
      <c r="M51" s="50" t="s">
        <v>237</v>
      </c>
      <c r="N51" s="50" t="s">
        <v>238</v>
      </c>
      <c r="O51" s="4"/>
      <c r="P51" s="4"/>
    </row>
    <row r="52" ht="15.75" customHeight="1">
      <c r="A52" s="6" t="str">
        <f>Wumple!A52</f>
        <v>Composite State</v>
      </c>
      <c r="B52" s="6" t="str">
        <f>Wumple!B52</f>
        <v>AlarmMode</v>
      </c>
      <c r="C52" s="6">
        <f>CombinedHumanGrading!C52</f>
        <v>1</v>
      </c>
      <c r="D52" s="6">
        <f>'Gemini 3.1 Pro Preview Grading'!C52</f>
        <v>1</v>
      </c>
      <c r="E52" s="4"/>
      <c r="F52" s="51">
        <v>0.0</v>
      </c>
      <c r="G52" s="52">
        <f t="shared" ref="G52:H52" si="26">COUNTIFS($A$2:$A$153,$F$51,$C$2:$C$153,$F52,$D$2:$D$153,G$51)</f>
        <v>1</v>
      </c>
      <c r="H52" s="53">
        <f t="shared" si="26"/>
        <v>0</v>
      </c>
      <c r="I52" s="54">
        <f>COUNTIFS($A$2:$A$109,$F$51,$C$2:$C$109,$F52,$D$2:$D$109,I$51)+MAX(D115-C115,0)</f>
        <v>0</v>
      </c>
      <c r="J52" s="14">
        <f t="shared" ref="J52:J54" si="28">SUM(G52:I52)</f>
        <v>1</v>
      </c>
      <c r="K52" s="14"/>
      <c r="L52" s="55" t="s">
        <v>239</v>
      </c>
      <c r="M52" s="52">
        <f>(G52+H53+I54)/COUNTIF($A$2:$A$163,F51)</f>
        <v>1</v>
      </c>
      <c r="N52" s="54" t="s">
        <v>240</v>
      </c>
      <c r="O52" s="4"/>
      <c r="P52" s="4"/>
    </row>
    <row r="53" ht="15.75" customHeight="1">
      <c r="A53" s="6" t="str">
        <f>Wumple!A53</f>
        <v>State</v>
      </c>
      <c r="B53" s="6" t="str">
        <f>Wumple!B53</f>
        <v>Initial state (AlarmMode → Idle)</v>
      </c>
      <c r="C53" s="6">
        <f>CombinedHumanGrading!C53</f>
        <v>1</v>
      </c>
      <c r="D53" s="6">
        <f>'Gemini 3.1 Pro Preview Grading'!C53</f>
        <v>1</v>
      </c>
      <c r="E53" s="4"/>
      <c r="F53" s="51">
        <v>0.5</v>
      </c>
      <c r="G53" s="56">
        <f t="shared" ref="G53:I53" si="27">COUNTIFS($A$2:$A$153,$F$51,$C$2:$C$153,$F53,$D$2:$D$153,G$51)</f>
        <v>0</v>
      </c>
      <c r="H53" s="14">
        <f t="shared" si="27"/>
        <v>0</v>
      </c>
      <c r="I53" s="57">
        <f t="shared" si="27"/>
        <v>0</v>
      </c>
      <c r="J53" s="14">
        <f t="shared" si="28"/>
        <v>0</v>
      </c>
      <c r="K53" s="14"/>
      <c r="L53" s="55" t="s">
        <v>241</v>
      </c>
      <c r="M53" s="56">
        <f t="array" ref="M53">SUMPRODUCT(J52:J54/COUNTIF($A$2:$A$163,F51), TRANSPOSE(G55:I55)/COUNTIF($A$2:$A$163,F51))</f>
        <v>0.5555555556</v>
      </c>
      <c r="N53" s="57" t="s">
        <v>242</v>
      </c>
      <c r="O53" s="4"/>
      <c r="P53" s="4"/>
    </row>
    <row r="54" ht="15.75" customHeight="1">
      <c r="A54" s="6" t="str">
        <f>Wumple!A54</f>
        <v>State</v>
      </c>
      <c r="B54" s="6" t="str">
        <f>Wumple!B54</f>
        <v>Idle</v>
      </c>
      <c r="C54" s="6">
        <f>CombinedHumanGrading!C54</f>
        <v>1</v>
      </c>
      <c r="D54" s="6">
        <f>'Gemini 3.1 Pro Preview Grading'!C54</f>
        <v>1</v>
      </c>
      <c r="E54" s="4"/>
      <c r="F54" s="51">
        <v>1.0</v>
      </c>
      <c r="G54" s="58">
        <f>COUNTIFS($A$2:$A$109,$F$51,$C$2:$C$109,$F54,$D$2:$D$109,G$51) + MAX(C115-D115,0)</f>
        <v>0</v>
      </c>
      <c r="H54" s="59">
        <f>COUNTIFS($A$2:$A$153,$F$51,$C$2:$C$153,$F54,$D$2:$D$153,H$51)</f>
        <v>0</v>
      </c>
      <c r="I54" s="60">
        <f>COUNTIFS($A$2:$A$109,$F$51,$C$2:$C$109,$F54,$D$2:$D$109,I$51)+MIN(C115,D115)</f>
        <v>2</v>
      </c>
      <c r="J54" s="14">
        <f t="shared" si="28"/>
        <v>2</v>
      </c>
      <c r="K54" s="14"/>
      <c r="L54" s="55" t="s">
        <v>230</v>
      </c>
      <c r="M54" s="58">
        <f>(M52-M53)/(1-M53)</f>
        <v>1</v>
      </c>
      <c r="N54" s="60" t="s">
        <v>243</v>
      </c>
      <c r="O54" s="4"/>
      <c r="P54" s="4"/>
    </row>
    <row r="55" ht="15.75" customHeight="1">
      <c r="A55" s="6" t="str">
        <f>Wumple!A55</f>
        <v>Action</v>
      </c>
      <c r="B55" s="6" t="str">
        <f>Wumple!B55</f>
        <v>entry / displayAlarmTime()</v>
      </c>
      <c r="C55" s="6">
        <f>CombinedHumanGrading!C55</f>
        <v>1</v>
      </c>
      <c r="D55" s="6">
        <f>'Gemini 3.1 Pro Preview Grading'!C55</f>
        <v>0</v>
      </c>
      <c r="E55" s="4"/>
      <c r="F55" s="61" t="s">
        <v>244</v>
      </c>
      <c r="G55" s="14">
        <f t="shared" ref="G55:I55" si="29">SUM(G52:G54)</f>
        <v>1</v>
      </c>
      <c r="H55" s="14">
        <f t="shared" si="29"/>
        <v>0</v>
      </c>
      <c r="I55" s="14">
        <f t="shared" si="29"/>
        <v>2</v>
      </c>
      <c r="J55" s="14"/>
      <c r="L55" s="14"/>
      <c r="M55" s="62"/>
      <c r="N55" s="4"/>
      <c r="O55" s="4"/>
      <c r="P55" s="4"/>
    </row>
    <row r="56" ht="15.75" customHeight="1">
      <c r="A56" s="6" t="str">
        <f>Wumple!A56</f>
        <v>Transition</v>
      </c>
      <c r="B56" s="6" t="str">
        <f>Wumple!B56</f>
        <v>C (Idle ⇒ Minutes)</v>
      </c>
      <c r="C56" s="6">
        <f>CombinedHumanGrading!C56</f>
        <v>1</v>
      </c>
      <c r="D56" s="6">
        <f>'Gemini 3.1 Pro Preview Grading'!C56</f>
        <v>1</v>
      </c>
      <c r="E56" s="4"/>
      <c r="F56" s="4"/>
      <c r="L56" s="4"/>
      <c r="M56" s="4"/>
      <c r="N56" s="4"/>
      <c r="O56" s="4"/>
      <c r="P56" s="4"/>
    </row>
    <row r="57" ht="15.75" customHeight="1">
      <c r="A57" s="6" t="str">
        <f>Wumple!A57</f>
        <v>Action</v>
      </c>
      <c r="B57" s="6" t="str">
        <f>Wumple!B57</f>
        <v>flashMinutes()</v>
      </c>
      <c r="C57" s="6">
        <f>CombinedHumanGrading!C57</f>
        <v>0</v>
      </c>
      <c r="D57" s="6">
        <f>'Gemini 3.1 Pro Preview Grading'!C57</f>
        <v>0</v>
      </c>
      <c r="E57" s="4"/>
      <c r="F57" s="4"/>
      <c r="L57" s="4"/>
      <c r="M57" s="4"/>
      <c r="N57" s="4"/>
      <c r="O57" s="4"/>
      <c r="P57" s="4"/>
    </row>
    <row r="58" ht="15.75" customHeight="1">
      <c r="A58" s="6" t="str">
        <f>Wumple!A58</f>
        <v>Transition</v>
      </c>
      <c r="B58" s="6" t="str">
        <f>Wumple!B58</f>
        <v>A (AlarmMode ⇒ CountdownMode)</v>
      </c>
      <c r="C58" s="6">
        <f>CombinedHumanGrading!C58</f>
        <v>1</v>
      </c>
      <c r="D58" s="6">
        <f>'Gemini 3.1 Pro Preview Grading'!C58</f>
        <v>1</v>
      </c>
      <c r="E58" s="4"/>
      <c r="F58" s="4"/>
      <c r="L58" s="4"/>
      <c r="M58" s="4"/>
      <c r="N58" s="4"/>
      <c r="O58" s="4"/>
      <c r="P58" s="4"/>
    </row>
    <row r="59" ht="15.75" customHeight="1">
      <c r="A59" s="6" t="str">
        <f>Wumple!A59</f>
        <v>State</v>
      </c>
      <c r="B59" s="6" t="str">
        <f>Wumple!B59</f>
        <v>Minutes</v>
      </c>
      <c r="C59" s="6">
        <f>CombinedHumanGrading!C59</f>
        <v>1</v>
      </c>
      <c r="D59" s="6">
        <f>'Gemini 3.1 Pro Preview Grading'!C59</f>
        <v>1</v>
      </c>
      <c r="E59" s="4"/>
      <c r="F59" s="4"/>
      <c r="L59" s="4"/>
      <c r="M59" s="4"/>
      <c r="N59" s="4"/>
      <c r="O59" s="4"/>
      <c r="P59" s="4"/>
    </row>
    <row r="60" ht="15.75" customHeight="1">
      <c r="A60" s="6" t="str">
        <f>Wumple!A60</f>
        <v>Transition</v>
      </c>
      <c r="B60" s="6" t="str">
        <f>Wumple!B60</f>
        <v>B (Minutes ⇒ Minutes)</v>
      </c>
      <c r="C60" s="6">
        <f>CombinedHumanGrading!C60</f>
        <v>1</v>
      </c>
      <c r="D60" s="6">
        <f>'Gemini 3.1 Pro Preview Grading'!C60</f>
        <v>1</v>
      </c>
      <c r="E60" s="4"/>
      <c r="F60" s="4"/>
      <c r="L60" s="4"/>
      <c r="M60" s="4"/>
      <c r="N60" s="4"/>
      <c r="O60" s="4"/>
      <c r="P60" s="4"/>
    </row>
    <row r="61" ht="15.75" customHeight="1">
      <c r="A61" s="6" t="str">
        <f>Wumple!A61</f>
        <v>Action</v>
      </c>
      <c r="B61" s="6" t="str">
        <f>Wumple!B61</f>
        <v>alarmTime+=1min</v>
      </c>
      <c r="C61" s="6">
        <f>CombinedHumanGrading!C61</f>
        <v>1</v>
      </c>
      <c r="D61" s="6">
        <f>'Gemini 3.1 Pro Preview Grading'!C61</f>
        <v>1</v>
      </c>
      <c r="E61" s="4"/>
      <c r="F61" s="4"/>
      <c r="L61" s="4"/>
      <c r="M61" s="4"/>
      <c r="N61" s="4"/>
      <c r="O61" s="4"/>
      <c r="P61" s="4"/>
    </row>
    <row r="62" ht="15.75" customHeight="1">
      <c r="A62" s="6" t="str">
        <f>Wumple!A62</f>
        <v>Transition</v>
      </c>
      <c r="B62" s="6" t="str">
        <f>Wumple!B62</f>
        <v>C (Minutes ⇒ Hours)</v>
      </c>
      <c r="C62" s="6">
        <f>CombinedHumanGrading!C62</f>
        <v>1</v>
      </c>
      <c r="D62" s="6">
        <f>'Gemini 3.1 Pro Preview Grading'!C62</f>
        <v>1</v>
      </c>
      <c r="E62" s="4"/>
      <c r="F62" s="4"/>
      <c r="L62" s="4"/>
      <c r="M62" s="4"/>
      <c r="N62" s="4"/>
      <c r="O62" s="4"/>
      <c r="P62" s="4"/>
    </row>
    <row r="63" ht="15.75" customHeight="1">
      <c r="A63" s="6" t="str">
        <f>Wumple!A63</f>
        <v>Action</v>
      </c>
      <c r="B63" s="6" t="str">
        <f>Wumple!B63</f>
        <v>flashHours()</v>
      </c>
      <c r="C63" s="6">
        <f>CombinedHumanGrading!C63</f>
        <v>0</v>
      </c>
      <c r="D63" s="6">
        <f>'Gemini 3.1 Pro Preview Grading'!C63</f>
        <v>0</v>
      </c>
      <c r="E63" s="4"/>
      <c r="F63" s="4"/>
      <c r="L63" s="4"/>
      <c r="M63" s="4"/>
      <c r="N63" s="4"/>
      <c r="O63" s="4"/>
      <c r="P63" s="4"/>
    </row>
    <row r="64" ht="15.75" customHeight="1">
      <c r="A64" s="6" t="str">
        <f>Wumple!A64</f>
        <v>State</v>
      </c>
      <c r="B64" s="6" t="str">
        <f>Wumple!B64</f>
        <v>Hours</v>
      </c>
      <c r="C64" s="6">
        <f>CombinedHumanGrading!C64</f>
        <v>1</v>
      </c>
      <c r="D64" s="6">
        <f>'Gemini 3.1 Pro Preview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6" t="str">
        <f>Wumple!A65</f>
        <v>Transition</v>
      </c>
      <c r="B65" s="6" t="str">
        <f>Wumple!B65</f>
        <v>B (Hours ⇒ Hours)</v>
      </c>
      <c r="C65" s="6">
        <f>CombinedHumanGrading!C65</f>
        <v>1</v>
      </c>
      <c r="D65" s="6">
        <f>'Gemini 3.1 Pro Preview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6" t="str">
        <f>Wumple!A66</f>
        <v>Action</v>
      </c>
      <c r="B66" s="6" t="str">
        <f>Wumple!B66</f>
        <v>alarmTime+=1hr</v>
      </c>
      <c r="C66" s="6">
        <f>CombinedHumanGrading!C66</f>
        <v>1</v>
      </c>
      <c r="D66" s="6">
        <f>'Gemini 3.1 Pro Preview Grading'!C66</f>
        <v>1</v>
      </c>
      <c r="E66" s="4"/>
      <c r="F66" s="4"/>
      <c r="L66" s="4"/>
      <c r="M66" s="4"/>
      <c r="N66" s="4"/>
      <c r="O66" s="4"/>
      <c r="P66" s="4"/>
    </row>
    <row r="67" ht="15.75" customHeight="1">
      <c r="A67" s="6" t="str">
        <f>Wumple!A67</f>
        <v>Transition</v>
      </c>
      <c r="B67" s="6" t="str">
        <f>Wumple!B67</f>
        <v>C (Hours ⇒ Minutes)</v>
      </c>
      <c r="C67" s="6">
        <f>CombinedHumanGrading!C67</f>
        <v>1</v>
      </c>
      <c r="D67" s="6">
        <f>'Gemini 3.1 Pro Preview Grading'!C67</f>
        <v>1</v>
      </c>
      <c r="E67" s="4"/>
      <c r="F67" s="4"/>
      <c r="L67" s="4"/>
      <c r="M67" s="4"/>
      <c r="N67" s="4"/>
      <c r="O67" s="4"/>
      <c r="P67" s="4"/>
    </row>
    <row r="68" ht="15.75" customHeight="1">
      <c r="A68" s="6" t="str">
        <f>Wumple!A68</f>
        <v>Action</v>
      </c>
      <c r="B68" s="6" t="str">
        <f>Wumple!B68</f>
        <v>flashMinutes()</v>
      </c>
      <c r="C68" s="6">
        <f>CombinedHumanGrading!C68</f>
        <v>0</v>
      </c>
      <c r="D68" s="6">
        <f>'Gemini 3.1 Pro Preview Grading'!C68</f>
        <v>0</v>
      </c>
      <c r="E68" s="4"/>
      <c r="F68" s="4"/>
      <c r="L68" s="4"/>
      <c r="M68" s="4"/>
      <c r="N68" s="4"/>
      <c r="O68" s="4"/>
      <c r="P68" s="4"/>
    </row>
    <row r="69" ht="15.75" customHeight="1">
      <c r="A69" s="6" t="str">
        <f>Wumple!A69</f>
        <v>Transition</v>
      </c>
      <c r="B69" s="6" t="str">
        <f>Wumple!B69</f>
        <v>A (AlarmMode ⇒ CountdownMode)</v>
      </c>
      <c r="C69" s="6">
        <f>CombinedHumanGrading!C69</f>
        <v>1</v>
      </c>
      <c r="D69" s="6">
        <f>'Gemini 3.1 Pro Preview Grading'!C69</f>
        <v>1</v>
      </c>
      <c r="E69" s="4"/>
      <c r="F69" s="4"/>
      <c r="L69" s="4"/>
      <c r="M69" s="4"/>
      <c r="N69" s="4"/>
      <c r="O69" s="4"/>
      <c r="P69" s="4"/>
    </row>
    <row r="70" ht="15.75" customHeight="1">
      <c r="A70" s="6" t="str">
        <f>Wumple!A70</f>
        <v>Composite State</v>
      </c>
      <c r="B70" s="6" t="str">
        <f>Wumple!B70</f>
        <v>CountdownMode</v>
      </c>
      <c r="C70" s="6">
        <f>CombinedHumanGrading!C70</f>
        <v>1</v>
      </c>
      <c r="D70" s="6">
        <f>'Gemini 3.1 Pro Preview Grading'!C70</f>
        <v>1</v>
      </c>
      <c r="E70" s="4"/>
      <c r="F70" s="4"/>
      <c r="L70" s="4"/>
      <c r="M70" s="4"/>
      <c r="N70" s="4"/>
      <c r="O70" s="4"/>
      <c r="P70" s="4"/>
    </row>
    <row r="71" ht="15.75" customHeight="1">
      <c r="A71" s="6" t="str">
        <f>Wumple!A71</f>
        <v>State</v>
      </c>
      <c r="B71" s="6" t="str">
        <f>Wumple!B71</f>
        <v>Initial state (CountdownMode → Idle)</v>
      </c>
      <c r="C71" s="6">
        <f>CombinedHumanGrading!C71</f>
        <v>1</v>
      </c>
      <c r="D71" s="6">
        <f>'Gemini 3.1 Pro Preview Grading'!C71</f>
        <v>1</v>
      </c>
      <c r="E71" s="4"/>
      <c r="F71" s="4"/>
      <c r="L71" s="4"/>
      <c r="M71" s="4"/>
      <c r="N71" s="4"/>
      <c r="O71" s="4"/>
      <c r="P71" s="4"/>
    </row>
    <row r="72" ht="15.75" customHeight="1">
      <c r="A72" s="6" t="str">
        <f>Wumple!A72</f>
        <v>State</v>
      </c>
      <c r="B72" s="6" t="str">
        <f>Wumple!B72</f>
        <v>Idle</v>
      </c>
      <c r="C72" s="6">
        <f>CombinedHumanGrading!C72</f>
        <v>1</v>
      </c>
      <c r="D72" s="6">
        <f>'Gemini 3.1 Pro Preview Grading'!C72</f>
        <v>1</v>
      </c>
      <c r="E72" s="4"/>
      <c r="F72" s="4"/>
      <c r="L72" s="4"/>
      <c r="M72" s="4"/>
      <c r="N72" s="4"/>
      <c r="O72" s="4"/>
      <c r="P72" s="4"/>
    </row>
    <row r="73" ht="15.75" customHeight="1">
      <c r="A73" s="6" t="str">
        <f>Wumple!A73</f>
        <v>Action</v>
      </c>
      <c r="B73" s="6" t="str">
        <f>Wumple!B73</f>
        <v>entry / displayCdTime()</v>
      </c>
      <c r="C73" s="6">
        <f>CombinedHumanGrading!C73</f>
        <v>1</v>
      </c>
      <c r="D73" s="6">
        <f>'Gemini 3.1 Pro Preview Grading'!C73</f>
        <v>0</v>
      </c>
      <c r="E73" s="4"/>
      <c r="F73" s="4"/>
      <c r="L73" s="4"/>
      <c r="M73" s="4"/>
      <c r="N73" s="4"/>
      <c r="O73" s="4"/>
      <c r="P73" s="4"/>
    </row>
    <row r="74" ht="15.75" customHeight="1">
      <c r="A74" s="6" t="str">
        <f>Wumple!A74</f>
        <v>Transition</v>
      </c>
      <c r="B74" s="6" t="str">
        <f>Wumple!B74</f>
        <v>C (Idle ⇒ Seconds)</v>
      </c>
      <c r="C74" s="6">
        <f>CombinedHumanGrading!C74</f>
        <v>1</v>
      </c>
      <c r="D74" s="6">
        <f>'Gemini 3.1 Pro Preview Grading'!C74</f>
        <v>1</v>
      </c>
      <c r="E74" s="4"/>
      <c r="F74" s="4"/>
      <c r="L74" s="4"/>
      <c r="M74" s="4"/>
      <c r="N74" s="4"/>
      <c r="O74" s="4"/>
      <c r="P74" s="4"/>
    </row>
    <row r="75" ht="15.75" customHeight="1">
      <c r="A75" s="6" t="str">
        <f>Wumple!A75</f>
        <v>Action</v>
      </c>
      <c r="B75" s="6" t="str">
        <f>Wumple!B75</f>
        <v>flashSeconds()</v>
      </c>
      <c r="C75" s="6">
        <f>CombinedHumanGrading!C75</f>
        <v>0</v>
      </c>
      <c r="D75" s="6">
        <f>'Gemini 3.1 Pro Preview Grading'!C75</f>
        <v>0</v>
      </c>
      <c r="E75" s="4"/>
      <c r="F75" s="4"/>
      <c r="L75" s="4"/>
      <c r="M75" s="4"/>
      <c r="N75" s="4"/>
      <c r="O75" s="4"/>
      <c r="P75" s="4"/>
    </row>
    <row r="76" ht="15.75" customHeight="1">
      <c r="A76" s="6" t="str">
        <f>Wumple!A76</f>
        <v>Transition</v>
      </c>
      <c r="B76" s="6" t="str">
        <f>Wumple!B76</f>
        <v>B (Idle ⇒ Countdown)</v>
      </c>
      <c r="C76" s="6">
        <f>CombinedHumanGrading!C76</f>
        <v>1</v>
      </c>
      <c r="D76" s="6">
        <f>'Gemini 3.1 Pro Preview Grading'!C76</f>
        <v>1</v>
      </c>
      <c r="E76" s="4"/>
      <c r="F76" s="4"/>
      <c r="L76" s="4"/>
      <c r="M76" s="4"/>
      <c r="N76" s="4"/>
      <c r="O76" s="4"/>
      <c r="P76" s="4"/>
    </row>
    <row r="77" ht="15.75" customHeight="1">
      <c r="A77" s="6" t="str">
        <f>Wumple!A77</f>
        <v>Guard</v>
      </c>
      <c r="B77" s="6" t="str">
        <f>Wumple!B77</f>
        <v>[cdTime &gt; 0:00:00]</v>
      </c>
      <c r="C77" s="6">
        <f>CombinedHumanGrading!C77</f>
        <v>0</v>
      </c>
      <c r="D77" s="6">
        <f>'Gemini 3.1 Pro Preview Grading'!C77</f>
        <v>1</v>
      </c>
      <c r="E77" s="4"/>
      <c r="F77" s="4"/>
      <c r="L77" s="4"/>
      <c r="M77" s="4"/>
      <c r="N77" s="4"/>
      <c r="O77" s="4"/>
      <c r="P77" s="4"/>
    </row>
    <row r="78" ht="15.75" customHeight="1">
      <c r="A78" s="6" t="str">
        <f>Wumple!A78</f>
        <v>Action</v>
      </c>
      <c r="B78" s="6" t="str">
        <f>Wumple!B78</f>
        <v>targetTime = time + cdTime</v>
      </c>
      <c r="C78" s="6">
        <f>CombinedHumanGrading!C78</f>
        <v>1</v>
      </c>
      <c r="D78" s="6">
        <f>'Gemini 3.1 Pro Preview Grading'!C78</f>
        <v>0</v>
      </c>
      <c r="E78" s="4"/>
      <c r="F78" s="4"/>
      <c r="L78" s="4"/>
      <c r="M78" s="4"/>
      <c r="N78" s="4"/>
      <c r="O78" s="4"/>
      <c r="P78" s="4"/>
    </row>
    <row r="79" ht="15.75" customHeight="1">
      <c r="A79" s="6" t="str">
        <f>Wumple!A79</f>
        <v>Transition</v>
      </c>
      <c r="B79" s="6" t="str">
        <f>Wumple!B79</f>
        <v>A (CountdownMode ⇒ TimeKeepingMode)</v>
      </c>
      <c r="C79" s="6">
        <f>CombinedHumanGrading!C79</f>
        <v>1</v>
      </c>
      <c r="D79" s="6">
        <f>'Gemini 3.1 Pro Preview Grading'!C79</f>
        <v>1</v>
      </c>
      <c r="E79" s="4"/>
      <c r="F79" s="4"/>
      <c r="L79" s="4"/>
      <c r="M79" s="4"/>
      <c r="N79" s="4"/>
      <c r="O79" s="4"/>
      <c r="P79" s="4"/>
    </row>
    <row r="80" ht="15.75" customHeight="1">
      <c r="A80" s="6" t="str">
        <f>Wumple!A80</f>
        <v>State</v>
      </c>
      <c r="B80" s="6" t="str">
        <f>Wumple!B80</f>
        <v>Seconds</v>
      </c>
      <c r="C80" s="6">
        <f>CombinedHumanGrading!C80</f>
        <v>1</v>
      </c>
      <c r="D80" s="6">
        <f>'Gemini 3.1 Pro Preview Grading'!C80</f>
        <v>1</v>
      </c>
      <c r="E80" s="4"/>
      <c r="F80" s="4"/>
      <c r="L80" s="4"/>
      <c r="M80" s="4"/>
      <c r="N80" s="4"/>
      <c r="O80" s="4"/>
      <c r="P80" s="4"/>
    </row>
    <row r="81" ht="15.75" customHeight="1">
      <c r="A81" s="6" t="str">
        <f>Wumple!A81</f>
        <v>Transition</v>
      </c>
      <c r="B81" s="6" t="str">
        <f>Wumple!B81</f>
        <v>B (Seconds ⇒ Seconds)</v>
      </c>
      <c r="C81" s="6">
        <f>CombinedHumanGrading!C81</f>
        <v>1</v>
      </c>
      <c r="D81" s="6">
        <f>'Gemini 3.1 Pro Preview Grading'!C81</f>
        <v>1</v>
      </c>
      <c r="E81" s="4"/>
      <c r="F81" s="4"/>
      <c r="L81" s="4"/>
      <c r="M81" s="4"/>
      <c r="N81" s="4"/>
      <c r="O81" s="4"/>
      <c r="P81" s="4"/>
    </row>
    <row r="82" ht="15.75" customHeight="1">
      <c r="A82" s="6" t="str">
        <f>Wumple!A82</f>
        <v>Action</v>
      </c>
      <c r="B82" s="6" t="str">
        <f>Wumple!B82</f>
        <v>cdTime+=1sec</v>
      </c>
      <c r="C82" s="6">
        <f>CombinedHumanGrading!C82</f>
        <v>1</v>
      </c>
      <c r="D82" s="6">
        <f>'Gemini 3.1 Pro Preview Grading'!C82</f>
        <v>1</v>
      </c>
      <c r="E82" s="4"/>
      <c r="F82" s="4"/>
      <c r="L82" s="4"/>
      <c r="M82" s="4"/>
      <c r="N82" s="4"/>
      <c r="O82" s="4"/>
      <c r="P82" s="4"/>
    </row>
    <row r="83" ht="15.75" customHeight="1">
      <c r="A83" s="6" t="str">
        <f>Wumple!A83</f>
        <v>Transition</v>
      </c>
      <c r="B83" s="6" t="str">
        <f>Wumple!B83</f>
        <v>C (Seconds ⇒ Minutes)</v>
      </c>
      <c r="C83" s="6">
        <f>CombinedHumanGrading!C83</f>
        <v>1</v>
      </c>
      <c r="D83" s="6">
        <f>'Gemini 3.1 Pro Preview Grading'!C83</f>
        <v>1</v>
      </c>
      <c r="E83" s="4"/>
      <c r="F83" s="4"/>
      <c r="L83" s="4"/>
      <c r="M83" s="4"/>
      <c r="N83" s="4"/>
      <c r="O83" s="4"/>
      <c r="P83" s="4"/>
    </row>
    <row r="84" ht="15.75" customHeight="1">
      <c r="A84" s="6" t="str">
        <f>Wumple!A84</f>
        <v>Action</v>
      </c>
      <c r="B84" s="6" t="str">
        <f>Wumple!B84</f>
        <v>flashMinutes()</v>
      </c>
      <c r="C84" s="6">
        <f>CombinedHumanGrading!C84</f>
        <v>0</v>
      </c>
      <c r="D84" s="6">
        <f>'Gemini 3.1 Pro Preview Grading'!C84</f>
        <v>0</v>
      </c>
      <c r="E84" s="4"/>
      <c r="F84" s="4"/>
      <c r="L84" s="4"/>
      <c r="M84" s="4"/>
      <c r="N84" s="4"/>
      <c r="O84" s="4"/>
      <c r="P84" s="4"/>
    </row>
    <row r="85" ht="15.75" customHeight="1">
      <c r="A85" s="6" t="str">
        <f>Wumple!A85</f>
        <v>State</v>
      </c>
      <c r="B85" s="6" t="str">
        <f>Wumple!B85</f>
        <v>Minutes</v>
      </c>
      <c r="C85" s="6">
        <f>CombinedHumanGrading!C85</f>
        <v>1</v>
      </c>
      <c r="D85" s="6">
        <f>'Gemini 3.1 Pro Preview Grading'!C85</f>
        <v>1</v>
      </c>
      <c r="E85" s="4"/>
      <c r="F85" s="4"/>
      <c r="L85" s="4"/>
      <c r="M85" s="4"/>
      <c r="N85" s="4"/>
      <c r="O85" s="4"/>
      <c r="P85" s="4"/>
    </row>
    <row r="86" ht="15.75" customHeight="1">
      <c r="A86" s="6" t="str">
        <f>Wumple!A86</f>
        <v>Transition</v>
      </c>
      <c r="B86" s="6" t="str">
        <f>Wumple!B86</f>
        <v>B (Minutes ⇒ Minutes)</v>
      </c>
      <c r="C86" s="6">
        <f>CombinedHumanGrading!C86</f>
        <v>1</v>
      </c>
      <c r="D86" s="6">
        <f>'Gemini 3.1 Pro Preview Grading'!C86</f>
        <v>1</v>
      </c>
      <c r="E86" s="4"/>
      <c r="F86" s="4"/>
      <c r="L86" s="4"/>
      <c r="M86" s="4"/>
      <c r="N86" s="4"/>
      <c r="O86" s="4"/>
      <c r="P86" s="4"/>
    </row>
    <row r="87" ht="15.75" customHeight="1">
      <c r="A87" s="6" t="str">
        <f>Wumple!A87</f>
        <v>Action</v>
      </c>
      <c r="B87" s="6" t="str">
        <f>Wumple!B87</f>
        <v>cdTime+=1min</v>
      </c>
      <c r="C87" s="6">
        <f>CombinedHumanGrading!C87</f>
        <v>1</v>
      </c>
      <c r="D87" s="6">
        <f>'Gemini 3.1 Pro Preview Grading'!C87</f>
        <v>1</v>
      </c>
      <c r="E87" s="4"/>
      <c r="F87" s="4"/>
      <c r="L87" s="4"/>
      <c r="M87" s="4"/>
      <c r="N87" s="4"/>
      <c r="O87" s="4"/>
      <c r="P87" s="4"/>
    </row>
    <row r="88" ht="15.75" customHeight="1">
      <c r="A88" s="6" t="str">
        <f>Wumple!A88</f>
        <v>Transition</v>
      </c>
      <c r="B88" s="6" t="str">
        <f>Wumple!B88</f>
        <v>C (Minutes ⇒ Hours)</v>
      </c>
      <c r="C88" s="6">
        <f>CombinedHumanGrading!C88</f>
        <v>1</v>
      </c>
      <c r="D88" s="6">
        <f>'Gemini 3.1 Pro Preview Grading'!C88</f>
        <v>1</v>
      </c>
      <c r="E88" s="4"/>
      <c r="F88" s="4"/>
      <c r="L88" s="4"/>
      <c r="M88" s="4"/>
      <c r="N88" s="4"/>
      <c r="O88" s="4"/>
      <c r="P88" s="4"/>
    </row>
    <row r="89" ht="15.75" customHeight="1">
      <c r="A89" s="6" t="str">
        <f>Wumple!A89</f>
        <v>Action</v>
      </c>
      <c r="B89" s="6" t="str">
        <f>Wumple!B89</f>
        <v>flashHours()</v>
      </c>
      <c r="C89" s="6">
        <f>CombinedHumanGrading!C89</f>
        <v>0</v>
      </c>
      <c r="D89" s="6">
        <f>'Gemini 3.1 Pro Preview Grading'!C89</f>
        <v>0</v>
      </c>
      <c r="E89" s="4"/>
      <c r="F89" s="4"/>
      <c r="L89" s="4"/>
      <c r="M89" s="4"/>
      <c r="N89" s="4"/>
      <c r="O89" s="4"/>
      <c r="P89" s="4"/>
    </row>
    <row r="90" ht="15.75" customHeight="1">
      <c r="A90" s="6" t="str">
        <f>Wumple!A90</f>
        <v>State</v>
      </c>
      <c r="B90" s="6" t="str">
        <f>Wumple!B90</f>
        <v>Hours</v>
      </c>
      <c r="C90" s="6">
        <f>CombinedHumanGrading!C90</f>
        <v>1</v>
      </c>
      <c r="D90" s="6">
        <f>'Gemini 3.1 Pro Preview Grading'!C90</f>
        <v>1</v>
      </c>
      <c r="E90" s="4"/>
      <c r="F90" s="4"/>
      <c r="L90" s="4"/>
      <c r="M90" s="4"/>
      <c r="N90" s="4"/>
      <c r="O90" s="4"/>
      <c r="P90" s="4"/>
    </row>
    <row r="91" ht="15.75" customHeight="1">
      <c r="A91" s="6" t="str">
        <f>Wumple!A91</f>
        <v>Transition</v>
      </c>
      <c r="B91" s="6" t="str">
        <f>Wumple!B91</f>
        <v>B (Hours ⇒ Hours)</v>
      </c>
      <c r="C91" s="6">
        <f>CombinedHumanGrading!C91</f>
        <v>1</v>
      </c>
      <c r="D91" s="6">
        <f>'Gemini 3.1 Pro Preview Grading'!C91</f>
        <v>1</v>
      </c>
      <c r="E91" s="4"/>
      <c r="F91" s="4"/>
      <c r="L91" s="4"/>
      <c r="M91" s="4"/>
      <c r="N91" s="4"/>
      <c r="O91" s="4"/>
      <c r="P91" s="4"/>
    </row>
    <row r="92" ht="15.75" customHeight="1">
      <c r="A92" s="6" t="str">
        <f>Wumple!A92</f>
        <v>Action</v>
      </c>
      <c r="B92" s="6" t="str">
        <f>Wumple!B92</f>
        <v>cdTime+=1hr</v>
      </c>
      <c r="C92" s="6">
        <f>CombinedHumanGrading!C92</f>
        <v>1</v>
      </c>
      <c r="D92" s="6">
        <f>'Gemini 3.1 Pro Preview Grading'!C92</f>
        <v>1</v>
      </c>
      <c r="E92" s="4"/>
      <c r="F92" s="4"/>
      <c r="L92" s="4"/>
      <c r="M92" s="4"/>
      <c r="N92" s="4"/>
      <c r="O92" s="4"/>
      <c r="P92" s="4"/>
    </row>
    <row r="93" ht="15.75" customHeight="1">
      <c r="A93" s="6" t="str">
        <f>Wumple!A93</f>
        <v>Transition</v>
      </c>
      <c r="B93" s="6" t="str">
        <f>Wumple!B93</f>
        <v>C (Hours ⇒ Seconds)</v>
      </c>
      <c r="C93" s="6">
        <f>CombinedHumanGrading!C93</f>
        <v>1</v>
      </c>
      <c r="D93" s="6">
        <f>'Gemini 3.1 Pro Preview Grading'!C93</f>
        <v>1</v>
      </c>
      <c r="E93" s="4"/>
      <c r="F93" s="4"/>
      <c r="L93" s="4"/>
      <c r="M93" s="4"/>
      <c r="N93" s="4"/>
      <c r="O93" s="4"/>
      <c r="P93" s="4"/>
    </row>
    <row r="94" ht="15.75" customHeight="1">
      <c r="A94" s="6" t="str">
        <f>Wumple!A94</f>
        <v>Action</v>
      </c>
      <c r="B94" s="6" t="str">
        <f>Wumple!B94</f>
        <v>flashSeconds()</v>
      </c>
      <c r="C94" s="6">
        <f>CombinedHumanGrading!C94</f>
        <v>0</v>
      </c>
      <c r="D94" s="6">
        <f>'Gemini 3.1 Pro Preview Grading'!C94</f>
        <v>0</v>
      </c>
      <c r="E94" s="4"/>
      <c r="F94" s="4"/>
      <c r="L94" s="4"/>
      <c r="M94" s="4"/>
      <c r="N94" s="4"/>
      <c r="O94" s="4"/>
      <c r="P94" s="4"/>
    </row>
    <row r="95" ht="15.75" customHeight="1">
      <c r="A95" s="6" t="str">
        <f>Wumple!A95</f>
        <v>State</v>
      </c>
      <c r="B95" s="6" t="str">
        <f>Wumple!B95</f>
        <v>Countdown</v>
      </c>
      <c r="C95" s="6">
        <f>CombinedHumanGrading!C95</f>
        <v>1</v>
      </c>
      <c r="D95" s="6">
        <f>'Gemini 3.1 Pro Preview Grading'!C95</f>
        <v>1</v>
      </c>
      <c r="E95" s="4"/>
      <c r="F95" s="4"/>
      <c r="L95" s="4"/>
      <c r="M95" s="4"/>
      <c r="N95" s="4"/>
      <c r="O95" s="4"/>
      <c r="P95" s="4"/>
    </row>
    <row r="96" ht="15.75" customHeight="1">
      <c r="A96" s="6" t="str">
        <f>Wumple!A96</f>
        <v>Action</v>
      </c>
      <c r="B96" s="6" t="str">
        <f>Wumple!B96</f>
        <v>do / displayCountdown()</v>
      </c>
      <c r="C96" s="6">
        <f>CombinedHumanGrading!C96</f>
        <v>1</v>
      </c>
      <c r="D96" s="6">
        <f>'Gemini 3.1 Pro Preview Grading'!C96</f>
        <v>0</v>
      </c>
      <c r="E96" s="4"/>
      <c r="F96" s="4"/>
      <c r="L96" s="4"/>
      <c r="M96" s="4"/>
      <c r="N96" s="4"/>
      <c r="O96" s="4"/>
      <c r="P96" s="4"/>
    </row>
    <row r="97" ht="15.75" customHeight="1">
      <c r="A97" s="6" t="str">
        <f>Wumple!A97</f>
        <v>Transition</v>
      </c>
      <c r="B97" s="6" t="str">
        <f>Wumple!B97</f>
        <v>(targetTime == time) (Countdown ⇒ CountdownReached)</v>
      </c>
      <c r="C97" s="6">
        <f>CombinedHumanGrading!C97</f>
        <v>1</v>
      </c>
      <c r="D97" s="6">
        <f>'Gemini 3.1 Pro Preview Grading'!C97</f>
        <v>1</v>
      </c>
      <c r="E97" s="4"/>
      <c r="F97" s="4"/>
      <c r="L97" s="4"/>
      <c r="M97" s="4"/>
      <c r="N97" s="4"/>
      <c r="O97" s="4"/>
      <c r="P97" s="4"/>
    </row>
    <row r="98" ht="15.75" customHeight="1">
      <c r="A98" s="6" t="str">
        <f>Wumple!A98</f>
        <v>Action</v>
      </c>
      <c r="B98" s="6" t="str">
        <f>Wumple!B98</f>
        <v>flash()</v>
      </c>
      <c r="C98" s="6">
        <f>CombinedHumanGrading!C98</f>
        <v>1</v>
      </c>
      <c r="D98" s="6">
        <f>'Gemini 3.1 Pro Preview Grading'!C98</f>
        <v>0.5</v>
      </c>
      <c r="E98" s="4"/>
      <c r="F98" s="4"/>
      <c r="L98" s="4"/>
      <c r="M98" s="4"/>
      <c r="N98" s="4"/>
      <c r="O98" s="4"/>
      <c r="P98" s="4"/>
    </row>
    <row r="99" ht="15.75" customHeight="1">
      <c r="A99" s="6" t="str">
        <f>Wumple!A99</f>
        <v>State</v>
      </c>
      <c r="B99" s="6" t="str">
        <f>Wumple!B99</f>
        <v>CountdownReached</v>
      </c>
      <c r="C99" s="6">
        <f>CombinedHumanGrading!C99</f>
        <v>1</v>
      </c>
      <c r="D99" s="6">
        <f>'Gemini 3.1 Pro Preview Grading'!C99</f>
        <v>1</v>
      </c>
      <c r="E99" s="4"/>
      <c r="F99" s="4"/>
      <c r="L99" s="4"/>
      <c r="M99" s="4"/>
      <c r="N99" s="4"/>
      <c r="O99" s="4"/>
      <c r="P99" s="4"/>
    </row>
    <row r="100" ht="15.75" customHeight="1">
      <c r="A100" s="6" t="str">
        <f>Wumple!A100</f>
        <v>Action</v>
      </c>
      <c r="B100" s="6" t="str">
        <f>Wumple!B100</f>
        <v>do / flashZero&amp;Beep5Sec()</v>
      </c>
      <c r="C100" s="6">
        <f>CombinedHumanGrading!C100</f>
        <v>1</v>
      </c>
      <c r="D100" s="6">
        <f>'Gemini 3.1 Pro Preview Grading'!C100</f>
        <v>1</v>
      </c>
      <c r="E100" s="4"/>
      <c r="F100" s="4"/>
      <c r="L100" s="4"/>
      <c r="M100" s="4"/>
      <c r="N100" s="4"/>
      <c r="O100" s="4"/>
      <c r="P100" s="4"/>
    </row>
    <row r="101" ht="15.75" customHeight="1">
      <c r="A101" s="6" t="str">
        <f>Wumple!A101</f>
        <v>Transition</v>
      </c>
      <c r="B101" s="6" t="str">
        <f>Wumple!B101</f>
        <v>anyButton (CountdownReached ⇒ CountdownMode)</v>
      </c>
      <c r="C101" s="6">
        <f>CombinedHumanGrading!C101</f>
        <v>1</v>
      </c>
      <c r="D101" s="6">
        <f>'Gemini 3.1 Pro Preview Grading'!C101</f>
        <v>1</v>
      </c>
      <c r="E101" s="4"/>
      <c r="F101" s="4"/>
      <c r="L101" s="4"/>
      <c r="M101" s="4"/>
      <c r="N101" s="4"/>
      <c r="O101" s="4"/>
      <c r="P101" s="4"/>
    </row>
    <row r="102" ht="15.75" customHeight="1">
      <c r="A102" s="6" t="str">
        <f>Wumple!A102</f>
        <v>History State</v>
      </c>
      <c r="B102" s="6" t="str">
        <f>Wumple!B102</f>
        <v>H</v>
      </c>
      <c r="C102" s="6">
        <f>CombinedHumanGrading!C102</f>
        <v>1</v>
      </c>
      <c r="D102" s="6">
        <f>'Gemini 3.1 Pro Preview Grading'!C102</f>
        <v>1</v>
      </c>
      <c r="E102" s="4"/>
      <c r="F102" s="4"/>
      <c r="L102" s="4"/>
      <c r="M102" s="4"/>
      <c r="N102" s="4"/>
      <c r="O102" s="4"/>
      <c r="P102" s="4"/>
    </row>
    <row r="103" ht="15.75" customHeight="1">
      <c r="A103" s="6" t="str">
        <f>Wumple!A103</f>
        <v>Transition</v>
      </c>
      <c r="B103" s="6" t="str">
        <f>Wumple!B103</f>
        <v>(alarm &amp;&amp; alarmTime == time) (AlarmOff ⇒ AlarmOn)</v>
      </c>
      <c r="C103" s="6">
        <f>CombinedHumanGrading!C103</f>
        <v>1</v>
      </c>
      <c r="D103" s="6">
        <f>'Gemini 3.1 Pro Preview Grading'!C103</f>
        <v>1</v>
      </c>
      <c r="E103" s="4"/>
      <c r="F103" s="4"/>
      <c r="L103" s="4"/>
      <c r="M103" s="4"/>
      <c r="N103" s="4"/>
      <c r="O103" s="4"/>
      <c r="P103" s="4"/>
    </row>
    <row r="104" ht="15.75" customHeight="1">
      <c r="A104" s="6" t="str">
        <f>Wumple!A104</f>
        <v>Action</v>
      </c>
      <c r="B104" s="6" t="str">
        <f>Wumple!B104</f>
        <v>saveDisplay()</v>
      </c>
      <c r="C104" s="6">
        <f>CombinedHumanGrading!C104</f>
        <v>0</v>
      </c>
      <c r="D104" s="6">
        <f>'Gemini 3.1 Pro Preview Grading'!C104</f>
        <v>0</v>
      </c>
      <c r="E104" s="4"/>
      <c r="F104" s="4"/>
      <c r="L104" s="4"/>
      <c r="M104" s="4"/>
      <c r="N104" s="4"/>
      <c r="O104" s="4"/>
      <c r="P104" s="4"/>
    </row>
    <row r="105" ht="15.75" customHeight="1">
      <c r="A105" s="6" t="str">
        <f>Wumple!A105</f>
        <v>Action</v>
      </c>
      <c r="B105" s="6" t="str">
        <f>Wumple!B105</f>
        <v>flash()</v>
      </c>
      <c r="C105" s="6">
        <f>CombinedHumanGrading!C105</f>
        <v>1</v>
      </c>
      <c r="D105" s="6">
        <f>'Gemini 3.1 Pro Preview Grading'!C105</f>
        <v>0.5</v>
      </c>
      <c r="E105" s="4"/>
      <c r="F105" s="4"/>
      <c r="L105" s="4"/>
      <c r="M105" s="4"/>
      <c r="N105" s="4"/>
      <c r="O105" s="4"/>
      <c r="P105" s="4"/>
    </row>
    <row r="106" ht="15.75" customHeight="1">
      <c r="A106" s="6" t="str">
        <f>Wumple!A106</f>
        <v>State</v>
      </c>
      <c r="B106" s="6" t="str">
        <f>Wumple!B106</f>
        <v>AlarmOn</v>
      </c>
      <c r="C106" s="6">
        <f>CombinedHumanGrading!C106</f>
        <v>1</v>
      </c>
      <c r="D106" s="6">
        <f>'Gemini 3.1 Pro Preview Grading'!C106</f>
        <v>1</v>
      </c>
      <c r="E106" s="4"/>
      <c r="F106" s="4"/>
      <c r="L106" s="4"/>
      <c r="M106" s="4"/>
      <c r="N106" s="4"/>
      <c r="O106" s="4"/>
      <c r="P106" s="4"/>
    </row>
    <row r="107" ht="15.75" customHeight="1">
      <c r="A107" s="6" t="str">
        <f>Wumple!A107</f>
        <v>Action</v>
      </c>
      <c r="B107" s="6" t="str">
        <f>Wumple!B107</f>
        <v>do / flashAlarmTime&amp;Beep5Sec()</v>
      </c>
      <c r="C107" s="6">
        <f>CombinedHumanGrading!C107</f>
        <v>1</v>
      </c>
      <c r="D107" s="6">
        <f>'Gemini 3.1 Pro Preview Grading'!C107</f>
        <v>1</v>
      </c>
      <c r="E107" s="4"/>
      <c r="F107" s="4"/>
      <c r="L107" s="4"/>
      <c r="M107" s="4"/>
      <c r="N107" s="4"/>
      <c r="O107" s="4"/>
      <c r="P107" s="4"/>
    </row>
    <row r="108" ht="15.75" customHeight="1">
      <c r="A108" s="6" t="str">
        <f>Wumple!A108</f>
        <v>Action</v>
      </c>
      <c r="B108" s="6" t="str">
        <f>Wumple!B108</f>
        <v>exit / restoreDisplay()</v>
      </c>
      <c r="C108" s="6">
        <f>CombinedHumanGrading!C108</f>
        <v>1</v>
      </c>
      <c r="D108" s="6">
        <f>'Gemini 3.1 Pro Preview Grading'!C108</f>
        <v>0</v>
      </c>
      <c r="E108" s="4"/>
      <c r="F108" s="4"/>
      <c r="L108" s="4"/>
      <c r="M108" s="4"/>
      <c r="N108" s="4"/>
      <c r="O108" s="4"/>
      <c r="P108" s="4"/>
    </row>
    <row r="109" ht="15.75" customHeight="1">
      <c r="A109" s="6" t="str">
        <f>Wumple!A109</f>
        <v>Transition</v>
      </c>
      <c r="B109" s="6" t="str">
        <f>Wumple!B109</f>
        <v>anyButton (AlarmOn ⇒ History State)</v>
      </c>
      <c r="C109" s="6">
        <f>CombinedHumanGrading!C109</f>
        <v>1</v>
      </c>
      <c r="D109" s="65">
        <f>'Gemini 3.1 Pro Preview Grading'!C109</f>
        <v>1</v>
      </c>
      <c r="E109" s="4"/>
      <c r="F109" s="4"/>
      <c r="L109" s="4"/>
      <c r="M109" s="4"/>
      <c r="N109" s="4"/>
      <c r="O109" s="4"/>
      <c r="P109" s="4"/>
    </row>
    <row r="110" ht="15.75" customHeight="1">
      <c r="A110" s="10" t="str">
        <f>Wumple!A110</f>
        <v>State</v>
      </c>
      <c r="B110" s="10" t="str">
        <f>Wumple!B110</f>
        <v>additional elements</v>
      </c>
      <c r="C110" s="10">
        <f>CombinedHumanGrading!C110</f>
        <v>0</v>
      </c>
      <c r="D110" s="6">
        <f>'Gemini 3.1 Pro Preview Grading'!C110</f>
        <v>0</v>
      </c>
      <c r="E110" s="4"/>
      <c r="F110" s="4"/>
      <c r="L110" s="4"/>
      <c r="M110" s="4"/>
      <c r="N110" s="4"/>
      <c r="O110" s="4"/>
      <c r="P110" s="4"/>
    </row>
    <row r="111" ht="15.75" customHeight="1">
      <c r="A111" s="6" t="str">
        <f>Wumple!A111</f>
        <v>Transition</v>
      </c>
      <c r="B111" s="6" t="str">
        <f>Wumple!B111</f>
        <v>additional elements</v>
      </c>
      <c r="C111" s="6">
        <f>CombinedHumanGrading!C111</f>
        <v>0</v>
      </c>
      <c r="D111" s="6">
        <f>'Gemini 3.1 Pro Preview Grading'!C111</f>
        <v>0</v>
      </c>
      <c r="E111" s="4"/>
      <c r="F111" s="4"/>
      <c r="L111" s="4"/>
      <c r="M111" s="4"/>
      <c r="N111" s="4"/>
      <c r="O111" s="4"/>
      <c r="P111" s="4"/>
    </row>
    <row r="112" ht="15.75" customHeight="1">
      <c r="A112" s="6" t="str">
        <f>Wumple!A112</f>
        <v>Guard</v>
      </c>
      <c r="B112" s="6" t="str">
        <f>Wumple!B112</f>
        <v>additional elements</v>
      </c>
      <c r="C112" s="6">
        <f>CombinedHumanGrading!C112</f>
        <v>0</v>
      </c>
      <c r="D112" s="6">
        <f>'Gemini 3.1 Pro Preview Grading'!C112</f>
        <v>0</v>
      </c>
      <c r="E112" s="4"/>
      <c r="F112" s="4"/>
      <c r="L112" s="4"/>
      <c r="M112" s="4"/>
      <c r="N112" s="4"/>
      <c r="O112" s="4"/>
      <c r="P112" s="4"/>
    </row>
    <row r="113" ht="15.75" customHeight="1">
      <c r="A113" s="6" t="str">
        <f>Wumple!A113</f>
        <v>Action</v>
      </c>
      <c r="B113" s="6" t="str">
        <f>Wumple!B113</f>
        <v>additional elements</v>
      </c>
      <c r="C113" s="6">
        <f>CombinedHumanGrading!C113</f>
        <v>0</v>
      </c>
      <c r="D113" s="6">
        <f>'Gemini 3.1 Pro Preview Grading'!C113</f>
        <v>0</v>
      </c>
      <c r="E113" s="4"/>
      <c r="F113" s="4"/>
      <c r="L113" s="4"/>
      <c r="M113" s="4"/>
      <c r="N113" s="4"/>
      <c r="O113" s="4"/>
      <c r="P113" s="4"/>
    </row>
    <row r="114" ht="15.75" customHeight="1">
      <c r="A114" s="6" t="str">
        <f>Wumple!A114</f>
        <v>Composite State</v>
      </c>
      <c r="B114" s="6" t="str">
        <f>Wumple!B114</f>
        <v>additional elements</v>
      </c>
      <c r="C114" s="6">
        <f>CombinedHumanGrading!C114</f>
        <v>0</v>
      </c>
      <c r="D114" s="6">
        <f>'Gemini 3.1 Pro Preview Grading'!C114</f>
        <v>0</v>
      </c>
      <c r="E114" s="4"/>
      <c r="F114" s="4"/>
      <c r="L114" s="4"/>
      <c r="M114" s="4"/>
      <c r="N114" s="4"/>
      <c r="O114" s="4"/>
      <c r="P114" s="4"/>
    </row>
    <row r="115" ht="15.75" customHeight="1">
      <c r="A115" s="6" t="str">
        <f>Wumple!A115</f>
        <v>Region</v>
      </c>
      <c r="B115" s="6" t="str">
        <f>Wumple!B115</f>
        <v>additional elements</v>
      </c>
      <c r="C115" s="6">
        <f>CombinedHumanGrading!C115</f>
        <v>0</v>
      </c>
      <c r="D115" s="6">
        <f>'Gemini 3.1 Pro Preview Grading'!C115</f>
        <v>0</v>
      </c>
      <c r="E115" s="4"/>
      <c r="F115" s="4"/>
      <c r="L115" s="4"/>
      <c r="M115" s="4"/>
      <c r="N115" s="4"/>
      <c r="O115" s="4"/>
      <c r="P115" s="4"/>
    </row>
    <row r="116" ht="15.75" customHeight="1">
      <c r="A116" s="6" t="str">
        <f>Wumple!A116</f>
        <v>History State</v>
      </c>
      <c r="B116" s="6" t="str">
        <f>Wumple!B116</f>
        <v>additional elements</v>
      </c>
      <c r="C116" s="6">
        <f>CombinedHumanGrading!C116</f>
        <v>2</v>
      </c>
      <c r="D116" s="6">
        <f>'Gemini 3.1 Pro Preview Grading'!C116</f>
        <v>0</v>
      </c>
      <c r="E116" s="4"/>
      <c r="F116" s="4"/>
      <c r="L116" s="4"/>
      <c r="M116" s="4"/>
      <c r="N116" s="4"/>
      <c r="O116" s="4"/>
      <c r="P116" s="4"/>
    </row>
    <row r="117" ht="15.75" customHeight="1">
      <c r="A117" s="43"/>
      <c r="B117" s="66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3"/>
      <c r="B118" s="66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66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66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3.0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1" t="s">
        <v>0</v>
      </c>
      <c r="B1" s="2" t="s">
        <v>1</v>
      </c>
      <c r="C1" s="42" t="s">
        <v>89</v>
      </c>
      <c r="D1" s="42" t="s">
        <v>225</v>
      </c>
      <c r="E1" s="7"/>
      <c r="F1" s="67" t="s">
        <v>229</v>
      </c>
      <c r="J1" s="7"/>
      <c r="K1" s="7"/>
      <c r="L1" s="67" t="s">
        <v>259</v>
      </c>
      <c r="P1" s="7"/>
      <c r="Q1" s="7"/>
      <c r="R1" s="7"/>
      <c r="S1" s="7"/>
      <c r="T1" s="7"/>
      <c r="U1" s="7"/>
      <c r="V1" s="7"/>
      <c r="W1" s="7"/>
      <c r="X1" s="7"/>
    </row>
    <row r="2" ht="15.75" customHeight="1">
      <c r="A2" s="6" t="str">
        <f>Wumple!A2</f>
        <v>State</v>
      </c>
      <c r="B2" s="6" t="str">
        <f>Wumple!B2</f>
        <v>Initial state (→ Watch)</v>
      </c>
      <c r="C2" s="6">
        <f>CombinedHumanGrading!C2</f>
        <v>0</v>
      </c>
      <c r="D2" s="6">
        <f>'Gemini 3.1 Pro Preview Grading'!C2</f>
        <v>0</v>
      </c>
      <c r="E2" s="7"/>
      <c r="F2" s="3" t="s">
        <v>231</v>
      </c>
      <c r="G2" s="68" t="s">
        <v>232</v>
      </c>
      <c r="H2" s="69" t="s">
        <v>233</v>
      </c>
      <c r="I2" s="70" t="s">
        <v>234</v>
      </c>
      <c r="J2" s="71" t="s">
        <v>235</v>
      </c>
      <c r="K2" s="7"/>
      <c r="L2" s="3" t="s">
        <v>231</v>
      </c>
      <c r="M2" s="72" t="s">
        <v>232</v>
      </c>
      <c r="N2" s="72" t="s">
        <v>233</v>
      </c>
      <c r="O2" s="72" t="s">
        <v>234</v>
      </c>
      <c r="P2" s="7"/>
      <c r="Q2" s="3" t="s">
        <v>231</v>
      </c>
      <c r="R2" s="72" t="s">
        <v>232</v>
      </c>
      <c r="S2" s="72" t="s">
        <v>233</v>
      </c>
      <c r="T2" s="72" t="s">
        <v>234</v>
      </c>
      <c r="U2" s="7"/>
      <c r="V2" s="50" t="str">
        <f>"Metrics" &amp; " " &amp; F2</f>
        <v>Metrics Global</v>
      </c>
      <c r="W2" s="73" t="s">
        <v>237</v>
      </c>
      <c r="X2" s="73" t="s">
        <v>238</v>
      </c>
    </row>
    <row r="3" ht="15.75" customHeight="1">
      <c r="A3" s="6" t="str">
        <f>Wumple!A3</f>
        <v>Action</v>
      </c>
      <c r="B3" s="6" t="str">
        <f>Wumple!B3</f>
        <v>time=0:00:00; alarmTime=0:00:00; alarm=false; flashAlert=false; cdTime=0:00:00</v>
      </c>
      <c r="C3" s="6">
        <f>CombinedHumanGrading!C3</f>
        <v>0</v>
      </c>
      <c r="D3" s="6">
        <f>'Gemini 3.1 Pro Preview Grading'!C3</f>
        <v>0</v>
      </c>
      <c r="E3" s="7"/>
      <c r="F3" s="74">
        <v>0.0</v>
      </c>
      <c r="G3" s="75">
        <f>COUNTIFS($C$2:$C$116, $F3, $D$2:$D$116, G$2)</f>
        <v>23</v>
      </c>
      <c r="H3" s="76">
        <f>COUNTIFS($C$2:$C$109, $F3, $D$2:$D$109, H$2)</f>
        <v>1</v>
      </c>
      <c r="I3" s="77">
        <f>COUNTIFS($C$2:$C$109, $F3, $D$2:$D$109, I$2)+MAX(D110-C110,0)+MAX(D111-C111,0)+MAX(D112-C112,0)+MAX(D113-C113,0)+MAX(D114-C114,0)+MAX(D115-C115,0)+MAX(D116-C116,0)</f>
        <v>1</v>
      </c>
      <c r="J3" s="3">
        <f t="shared" ref="J3:J5" si="4">SUM(G3:I3)</f>
        <v>25</v>
      </c>
      <c r="K3" s="7"/>
      <c r="L3" s="74">
        <v>0.0</v>
      </c>
      <c r="M3" s="75">
        <f t="shared" ref="M3:O3" si="1">ABS(G$2-$F3)/1</f>
        <v>0</v>
      </c>
      <c r="N3" s="76">
        <f t="shared" si="1"/>
        <v>0.5</v>
      </c>
      <c r="O3" s="77">
        <f t="shared" si="1"/>
        <v>1</v>
      </c>
      <c r="P3" s="7"/>
      <c r="Q3" s="74">
        <v>0.0</v>
      </c>
      <c r="R3" s="75">
        <f t="shared" ref="R3:T3" si="2">($J3/$J$6) * (G$6/$J$6)</f>
        <v>0.06688466112</v>
      </c>
      <c r="S3" s="76">
        <f t="shared" si="2"/>
        <v>0.01114744352</v>
      </c>
      <c r="T3" s="77">
        <f t="shared" si="2"/>
        <v>0.1374851367</v>
      </c>
      <c r="U3" s="7"/>
      <c r="V3" s="73" t="s">
        <v>260</v>
      </c>
      <c r="W3" s="75">
        <f>SUMPRODUCT(G3:I5, M3:O5) /$J$6</f>
        <v>0.1336206897</v>
      </c>
      <c r="X3" s="77" t="s">
        <v>261</v>
      </c>
    </row>
    <row r="4" ht="15.75" customHeight="1">
      <c r="A4" s="6" t="str">
        <f>Wumple!A4</f>
        <v>Composite State</v>
      </c>
      <c r="B4" s="6" t="str">
        <f>Wumple!B4</f>
        <v>Watch</v>
      </c>
      <c r="C4" s="6">
        <f>CombinedHumanGrading!C4</f>
        <v>1</v>
      </c>
      <c r="D4" s="6">
        <f>'Gemini 3.1 Pro Preview Grading'!C4</f>
        <v>1</v>
      </c>
      <c r="E4" s="7"/>
      <c r="F4" s="74">
        <v>0.5</v>
      </c>
      <c r="G4" s="78">
        <f t="shared" ref="G4:I4" si="3">COUNTIFS($C$2:$C$109, $F4, $D$2:$D$109, G$2)</f>
        <v>3</v>
      </c>
      <c r="H4" s="3">
        <f t="shared" si="3"/>
        <v>1</v>
      </c>
      <c r="I4" s="79">
        <f t="shared" si="3"/>
        <v>1</v>
      </c>
      <c r="J4" s="3">
        <f t="shared" si="4"/>
        <v>5</v>
      </c>
      <c r="K4" s="7"/>
      <c r="L4" s="74">
        <v>0.5</v>
      </c>
      <c r="M4" s="78">
        <f t="shared" ref="M4:M5" si="6">ABS(G$2-$F4)/1</f>
        <v>0.5</v>
      </c>
      <c r="N4" s="3">
        <f>ABS(H$2-$F4)/3</f>
        <v>0</v>
      </c>
      <c r="O4" s="79">
        <f>ABS(I$2-$F4)/1</f>
        <v>0.5</v>
      </c>
      <c r="P4" s="7"/>
      <c r="Q4" s="74">
        <v>0.5</v>
      </c>
      <c r="R4" s="78">
        <f t="shared" ref="R4:T4" si="5">($J4/$J$6) * (G$6/$J$6)</f>
        <v>0.01337693222</v>
      </c>
      <c r="S4" s="3">
        <f t="shared" si="5"/>
        <v>0.002229488704</v>
      </c>
      <c r="T4" s="79">
        <f t="shared" si="5"/>
        <v>0.02749702735</v>
      </c>
      <c r="U4" s="7"/>
      <c r="V4" s="73" t="s">
        <v>262</v>
      </c>
      <c r="W4" s="78">
        <f>SUMPRODUCT(R3:T5, M3:O5)</f>
        <v>0.4127526754</v>
      </c>
      <c r="X4" s="79" t="s">
        <v>263</v>
      </c>
    </row>
    <row r="5" ht="15.75" customHeight="1">
      <c r="A5" s="6" t="str">
        <f>Wumple!A5</f>
        <v>Region</v>
      </c>
      <c r="B5" s="6" t="str">
        <f>Wumple!B5</f>
        <v>Light</v>
      </c>
      <c r="C5" s="6">
        <f>CombinedHumanGrading!C5</f>
        <v>1</v>
      </c>
      <c r="D5" s="6">
        <f>'Gemini 3.1 Pro Preview Grading'!C5</f>
        <v>1</v>
      </c>
      <c r="E5" s="7"/>
      <c r="F5" s="74">
        <v>1.0</v>
      </c>
      <c r="G5" s="80">
        <f>COUNTIFS($C$2:$C$109, $F5, $D$2:$D$109, G$2)+MAX(C110-D110,0)+MAX(C111-D111,0)+MAX(C112-D112,0)+MAX(C113-D113,0)+MAX(C114-D114,0)+MAX(C115-D115,0)+MAX(C116-D116,0)</f>
        <v>10</v>
      </c>
      <c r="H5" s="81">
        <f>COUNTIFS($C$2:$C$109, $F5, $D$2:$D$109, H$2)</f>
        <v>4</v>
      </c>
      <c r="I5" s="82">
        <f>COUNTIFS($C$2:$C$109, $F5, $D$2:$D$109, I$2)+ SUM(MIN(C110,D110), MIN(C111,D111), MIN(C112,D112), MIN(C113,D113), MIN(C114,D114), MIN(C115,D115), MIN(C116,D116))</f>
        <v>72</v>
      </c>
      <c r="J5" s="3">
        <f t="shared" si="4"/>
        <v>86</v>
      </c>
      <c r="K5" s="7"/>
      <c r="L5" s="74">
        <v>1.0</v>
      </c>
      <c r="M5" s="80">
        <f t="shared" si="6"/>
        <v>1</v>
      </c>
      <c r="N5" s="81">
        <f t="shared" ref="N5:O5" si="7">ABS(H$2-$F5)/1</f>
        <v>0.5</v>
      </c>
      <c r="O5" s="82">
        <f t="shared" si="7"/>
        <v>0</v>
      </c>
      <c r="P5" s="7"/>
      <c r="Q5" s="74">
        <v>1.0</v>
      </c>
      <c r="R5" s="80">
        <f t="shared" ref="R5:T5" si="8">($J5/$J$6) * (G$6/$J$6)</f>
        <v>0.2300832342</v>
      </c>
      <c r="S5" s="81">
        <f t="shared" si="8"/>
        <v>0.03834720571</v>
      </c>
      <c r="T5" s="82">
        <f t="shared" si="8"/>
        <v>0.4729488704</v>
      </c>
      <c r="U5" s="7"/>
      <c r="V5" s="73" t="s">
        <v>230</v>
      </c>
      <c r="W5" s="80">
        <f>1-W3/W4</f>
        <v>0.6762693554</v>
      </c>
      <c r="X5" s="82" t="s">
        <v>264</v>
      </c>
    </row>
    <row r="6" ht="15.75" customHeight="1">
      <c r="A6" s="6" t="str">
        <f>Wumple!A6</f>
        <v>State</v>
      </c>
      <c r="B6" s="6" t="str">
        <f>Wumple!B6</f>
        <v>Initial state (Light → Off)</v>
      </c>
      <c r="C6" s="6">
        <f>CombinedHumanGrading!C6</f>
        <v>1</v>
      </c>
      <c r="D6" s="6">
        <f>'Gemini 3.1 Pro Preview Grading'!C6</f>
        <v>1</v>
      </c>
      <c r="E6" s="7"/>
      <c r="F6" s="83" t="s">
        <v>244</v>
      </c>
      <c r="G6" s="3">
        <f t="shared" ref="G6:I6" si="9">SUM(G3:G5)</f>
        <v>36</v>
      </c>
      <c r="H6" s="3">
        <f t="shared" si="9"/>
        <v>6</v>
      </c>
      <c r="I6" s="3">
        <f t="shared" si="9"/>
        <v>74</v>
      </c>
      <c r="J6" s="3">
        <f>SUM(G3:I5)</f>
        <v>116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5.75" customHeight="1">
      <c r="A7" s="6" t="str">
        <f>Wumple!A7</f>
        <v>State</v>
      </c>
      <c r="B7" s="6" t="str">
        <f>Wumple!B7</f>
        <v>Off</v>
      </c>
      <c r="C7" s="6">
        <f>CombinedHumanGrading!C7</f>
        <v>1</v>
      </c>
      <c r="D7" s="6">
        <f>'Gemini 3.1 Pro Preview Grading'!C7</f>
        <v>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5.75" customHeight="1">
      <c r="A8" s="6" t="str">
        <f>Wumple!A8</f>
        <v>Action</v>
      </c>
      <c r="B8" s="6" t="str">
        <f>Wumple!B8</f>
        <v>entry / lightOff()</v>
      </c>
      <c r="C8" s="6">
        <f>CombinedHumanGrading!C8</f>
        <v>1</v>
      </c>
      <c r="D8" s="6">
        <f>'Gemini 3.1 Pro Preview Grading'!C8</f>
        <v>0</v>
      </c>
      <c r="E8" s="7"/>
      <c r="F8" s="67" t="s">
        <v>245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5.75" customHeight="1">
      <c r="A9" s="6" t="str">
        <f>Wumple!A9</f>
        <v>Transition</v>
      </c>
      <c r="B9" s="6" t="str">
        <f>Wumple!B9</f>
        <v>D (Off ⇒ On)</v>
      </c>
      <c r="C9" s="6">
        <f>CombinedHumanGrading!C9</f>
        <v>1</v>
      </c>
      <c r="D9" s="6">
        <f>'Gemini 3.1 Pro Preview Grading'!C9</f>
        <v>1</v>
      </c>
      <c r="E9" s="7"/>
      <c r="F9" s="3" t="s">
        <v>2</v>
      </c>
      <c r="G9" s="72" t="s">
        <v>232</v>
      </c>
      <c r="H9" s="72" t="s">
        <v>233</v>
      </c>
      <c r="I9" s="72" t="s">
        <v>234</v>
      </c>
      <c r="J9" s="71" t="s">
        <v>235</v>
      </c>
      <c r="K9" s="7"/>
      <c r="L9" s="3" t="s">
        <v>231</v>
      </c>
      <c r="M9" s="72" t="s">
        <v>232</v>
      </c>
      <c r="N9" s="72" t="s">
        <v>233</v>
      </c>
      <c r="O9" s="72" t="s">
        <v>234</v>
      </c>
      <c r="P9" s="7"/>
      <c r="Q9" s="3" t="s">
        <v>231</v>
      </c>
      <c r="R9" s="72" t="s">
        <v>232</v>
      </c>
      <c r="S9" s="72" t="s">
        <v>233</v>
      </c>
      <c r="T9" s="72" t="s">
        <v>234</v>
      </c>
      <c r="U9" s="7"/>
      <c r="V9" s="50" t="str">
        <f>"Metrics" &amp; " " &amp; F9</f>
        <v>Metrics State</v>
      </c>
      <c r="W9" s="73" t="s">
        <v>237</v>
      </c>
      <c r="X9" s="73" t="s">
        <v>238</v>
      </c>
    </row>
    <row r="10" ht="15.75" customHeight="1">
      <c r="A10" s="6" t="str">
        <f>Wumple!A10</f>
        <v>State</v>
      </c>
      <c r="B10" s="6" t="str">
        <f>Wumple!B10</f>
        <v>On</v>
      </c>
      <c r="C10" s="6">
        <f>CombinedHumanGrading!C10</f>
        <v>1</v>
      </c>
      <c r="D10" s="6">
        <f>'Gemini 3.1 Pro Preview Grading'!C10</f>
        <v>1</v>
      </c>
      <c r="E10" s="7"/>
      <c r="F10" s="74">
        <v>0.0</v>
      </c>
      <c r="G10" s="75">
        <f t="shared" ref="G10:H10" si="10">COUNTIFS($A$2:$A$116,$F$9,$C$2:$C$116,$F10,$D$2:$D$116,G$9)</f>
        <v>2</v>
      </c>
      <c r="H10" s="76">
        <f t="shared" si="10"/>
        <v>0</v>
      </c>
      <c r="I10" s="77">
        <f>COUNTIFS($A$2:$A$109,$F$9,$C$2:$C$109,$F10,$D$2:$D$109,I$9)+MAX(D110-C110,0)</f>
        <v>0</v>
      </c>
      <c r="J10" s="3">
        <f t="shared" ref="J10:J12" si="14">SUM(G10:I10)</f>
        <v>2</v>
      </c>
      <c r="K10" s="7"/>
      <c r="L10" s="74">
        <v>0.0</v>
      </c>
      <c r="M10" s="75">
        <f t="shared" ref="M10:O10" si="11">ABS(G$2-$F10)/1</f>
        <v>0</v>
      </c>
      <c r="N10" s="76">
        <f t="shared" si="11"/>
        <v>0.5</v>
      </c>
      <c r="O10" s="77">
        <f t="shared" si="11"/>
        <v>1</v>
      </c>
      <c r="P10" s="7"/>
      <c r="Q10" s="74">
        <v>0.0</v>
      </c>
      <c r="R10" s="75">
        <f t="shared" ref="R10:T10" si="12">($J10/$J$13) * (G$13/$J$13)</f>
        <v>0.0096</v>
      </c>
      <c r="S10" s="76">
        <f t="shared" si="12"/>
        <v>0.0032</v>
      </c>
      <c r="T10" s="77">
        <f t="shared" si="12"/>
        <v>0.0672</v>
      </c>
      <c r="U10" s="7"/>
      <c r="V10" s="73" t="s">
        <v>260</v>
      </c>
      <c r="W10" s="75">
        <f>SUMPRODUCT(G10:I12, M10:O12) /$J$13</f>
        <v>0.04</v>
      </c>
      <c r="X10" s="77" t="s">
        <v>261</v>
      </c>
    </row>
    <row r="11" ht="15.75" customHeight="1">
      <c r="A11" s="6" t="str">
        <f>Wumple!A11</f>
        <v>Action</v>
      </c>
      <c r="B11" s="6" t="str">
        <f>Wumple!B11</f>
        <v>entry / lightOn()</v>
      </c>
      <c r="C11" s="6">
        <f>CombinedHumanGrading!C11</f>
        <v>1</v>
      </c>
      <c r="D11" s="6">
        <f>'Gemini 3.1 Pro Preview Grading'!C11</f>
        <v>0.5</v>
      </c>
      <c r="E11" s="7"/>
      <c r="F11" s="74">
        <v>0.5</v>
      </c>
      <c r="G11" s="78">
        <f t="shared" ref="G11:I11" si="13">COUNTIFS($A$2:$A$116,$F$9,$C$2:$C$116,$F11,$D$2:$D$116,G$9)</f>
        <v>1</v>
      </c>
      <c r="H11" s="3">
        <f t="shared" si="13"/>
        <v>0</v>
      </c>
      <c r="I11" s="79">
        <f t="shared" si="13"/>
        <v>0</v>
      </c>
      <c r="J11" s="3">
        <f t="shared" si="14"/>
        <v>1</v>
      </c>
      <c r="K11" s="7"/>
      <c r="L11" s="74">
        <v>0.5</v>
      </c>
      <c r="M11" s="78">
        <f t="shared" ref="M11:M12" si="16">ABS(G$2-$F11)/1</f>
        <v>0.5</v>
      </c>
      <c r="N11" s="3">
        <f>ABS(H$2-$F11)/3</f>
        <v>0</v>
      </c>
      <c r="O11" s="79">
        <f>ABS(I$2-$F11)/1</f>
        <v>0.5</v>
      </c>
      <c r="P11" s="7"/>
      <c r="Q11" s="74">
        <v>0.5</v>
      </c>
      <c r="R11" s="78">
        <f t="shared" ref="R11:T11" si="15">($J11/$J$13) * (G$13/$J$13)</f>
        <v>0.0048</v>
      </c>
      <c r="S11" s="3">
        <f t="shared" si="15"/>
        <v>0.0016</v>
      </c>
      <c r="T11" s="79">
        <f t="shared" si="15"/>
        <v>0.0336</v>
      </c>
      <c r="U11" s="7"/>
      <c r="V11" s="73" t="s">
        <v>262</v>
      </c>
      <c r="W11" s="78">
        <f>SUMPRODUCT(R10:T12, M10:O12)</f>
        <v>0.2112</v>
      </c>
      <c r="X11" s="79" t="s">
        <v>263</v>
      </c>
    </row>
    <row r="12" ht="15.75" customHeight="1">
      <c r="A12" s="6" t="str">
        <f>Wumple!A12</f>
        <v>Transition</v>
      </c>
      <c r="B12" s="6" t="str">
        <f>Wumple!B12</f>
        <v>D (On ⇒ Off)</v>
      </c>
      <c r="C12" s="6">
        <f>CombinedHumanGrading!C12</f>
        <v>1</v>
      </c>
      <c r="D12" s="6">
        <f>'Gemini 3.1 Pro Preview Grading'!C12</f>
        <v>1</v>
      </c>
      <c r="E12" s="7"/>
      <c r="F12" s="74">
        <v>1.0</v>
      </c>
      <c r="G12" s="80">
        <f>COUNTIFS($A$2:$A$109,$F$9,$C$2:$C$109,$F12,$D$2:$D$109,G$9)+MAX(C110-D110,0)</f>
        <v>0</v>
      </c>
      <c r="H12" s="81">
        <f>COUNTIFS($A$2:$A$116,$F$9,$C$2:$C$116,$F12,$D$2:$D$116,H$9)</f>
        <v>1</v>
      </c>
      <c r="I12" s="82">
        <f>COUNTIFS($A$2:$A$109,$F$9,$C$2:$C$109,$F12,$D$2:$D$109,I$9)+MIN(C110-D110)</f>
        <v>21</v>
      </c>
      <c r="J12" s="3">
        <f t="shared" si="14"/>
        <v>22</v>
      </c>
      <c r="K12" s="7"/>
      <c r="L12" s="74">
        <v>1.0</v>
      </c>
      <c r="M12" s="80">
        <f t="shared" si="16"/>
        <v>1</v>
      </c>
      <c r="N12" s="81">
        <f t="shared" ref="N12:O12" si="17">ABS(H$2-$F12)/1</f>
        <v>0.5</v>
      </c>
      <c r="O12" s="82">
        <f t="shared" si="17"/>
        <v>0</v>
      </c>
      <c r="P12" s="7"/>
      <c r="Q12" s="74">
        <v>1.0</v>
      </c>
      <c r="R12" s="80">
        <f t="shared" ref="R12:T12" si="18">($J12/$J$13) * (G$13/$J$13)</f>
        <v>0.1056</v>
      </c>
      <c r="S12" s="81">
        <f t="shared" si="18"/>
        <v>0.0352</v>
      </c>
      <c r="T12" s="82">
        <f t="shared" si="18"/>
        <v>0.7392</v>
      </c>
      <c r="U12" s="7"/>
      <c r="V12" s="73" t="s">
        <v>230</v>
      </c>
      <c r="W12" s="80">
        <f>1-W10/W11</f>
        <v>0.8106060606</v>
      </c>
      <c r="X12" s="82" t="s">
        <v>264</v>
      </c>
    </row>
    <row r="13" ht="15.75" customHeight="1">
      <c r="A13" s="6" t="str">
        <f>Wumple!A13</f>
        <v>Transition</v>
      </c>
      <c r="B13" s="6" t="str">
        <f>Wumple!B13</f>
        <v>after 10sec (On ⇒ Off)</v>
      </c>
      <c r="C13" s="6">
        <f>CombinedHumanGrading!C13</f>
        <v>1</v>
      </c>
      <c r="D13" s="6">
        <f>'Gemini 3.1 Pro Preview Grading'!C13</f>
        <v>1</v>
      </c>
      <c r="E13" s="7"/>
      <c r="F13" s="83" t="s">
        <v>244</v>
      </c>
      <c r="G13" s="3">
        <f t="shared" ref="G13:I13" si="19">SUM(G10:G12)</f>
        <v>3</v>
      </c>
      <c r="H13" s="3">
        <f t="shared" si="19"/>
        <v>1</v>
      </c>
      <c r="I13" s="3">
        <f t="shared" si="19"/>
        <v>21</v>
      </c>
      <c r="J13" s="3">
        <f>SUM(G10:I12)</f>
        <v>25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6" t="str">
        <f>Wumple!A14</f>
        <v>Transition</v>
      </c>
      <c r="B14" s="6" t="str">
        <f>Wumple!B14</f>
        <v>flash (On ⇒ Flash)</v>
      </c>
      <c r="C14" s="6">
        <f>CombinedHumanGrading!C14</f>
        <v>0.5</v>
      </c>
      <c r="D14" s="6">
        <f>'Gemini 3.1 Pro Preview Grading'!C14</f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5.75" customHeight="1">
      <c r="A15" s="6" t="str">
        <f>Wumple!A15</f>
        <v>Guard</v>
      </c>
      <c r="B15" s="6" t="str">
        <f>Wumple!B15</f>
        <v>[flashAlert]</v>
      </c>
      <c r="C15" s="6">
        <f>CombinedHumanGrading!C15</f>
        <v>0</v>
      </c>
      <c r="D15" s="6">
        <f>'Gemini 3.1 Pro Preview Grading'!C15</f>
        <v>0</v>
      </c>
      <c r="E15" s="7"/>
      <c r="F15" s="67" t="s">
        <v>247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5.75" customHeight="1">
      <c r="A16" s="6" t="str">
        <f>Wumple!A16</f>
        <v>State</v>
      </c>
      <c r="B16" s="6" t="str">
        <f>Wumple!B16</f>
        <v>Flash</v>
      </c>
      <c r="C16" s="6">
        <f>CombinedHumanGrading!C16</f>
        <v>0.5</v>
      </c>
      <c r="D16" s="6">
        <f>'Gemini 3.1 Pro Preview Grading'!C16</f>
        <v>0</v>
      </c>
      <c r="E16" s="7"/>
      <c r="F16" s="3" t="s">
        <v>13</v>
      </c>
      <c r="G16" s="72" t="s">
        <v>232</v>
      </c>
      <c r="H16" s="72" t="s">
        <v>233</v>
      </c>
      <c r="I16" s="72" t="s">
        <v>234</v>
      </c>
      <c r="J16" s="71" t="s">
        <v>235</v>
      </c>
      <c r="K16" s="7"/>
      <c r="L16" s="3" t="s">
        <v>231</v>
      </c>
      <c r="M16" s="72" t="s">
        <v>232</v>
      </c>
      <c r="N16" s="72" t="s">
        <v>233</v>
      </c>
      <c r="O16" s="72" t="s">
        <v>234</v>
      </c>
      <c r="P16" s="7"/>
      <c r="Q16" s="3" t="s">
        <v>231</v>
      </c>
      <c r="R16" s="72" t="s">
        <v>232</v>
      </c>
      <c r="S16" s="72" t="s">
        <v>233</v>
      </c>
      <c r="T16" s="72" t="s">
        <v>234</v>
      </c>
      <c r="U16" s="7"/>
      <c r="V16" s="50" t="str">
        <f>"Metrics" &amp; " " &amp; F16</f>
        <v>Metrics Transition</v>
      </c>
      <c r="W16" s="73" t="s">
        <v>237</v>
      </c>
      <c r="X16" s="73" t="s">
        <v>238</v>
      </c>
    </row>
    <row r="17" ht="15.75" customHeight="1">
      <c r="A17" s="6" t="str">
        <f>Wumple!A17</f>
        <v>Action</v>
      </c>
      <c r="B17" s="6" t="str">
        <f>Wumple!B17</f>
        <v>do / flash5Sec()</v>
      </c>
      <c r="C17" s="6">
        <f>CombinedHumanGrading!C17</f>
        <v>0</v>
      </c>
      <c r="D17" s="6">
        <f>'Gemini 3.1 Pro Preview Grading'!C17</f>
        <v>0.5</v>
      </c>
      <c r="E17" s="7"/>
      <c r="F17" s="74">
        <v>0.0</v>
      </c>
      <c r="G17" s="75">
        <f t="shared" ref="G17:H17" si="20">COUNTIFS($A$2:$A$116,$F$16,$C$2:$C$116,$F17,$D$2:$D$116,G$16)</f>
        <v>2</v>
      </c>
      <c r="H17" s="76">
        <f t="shared" si="20"/>
        <v>0</v>
      </c>
      <c r="I17" s="77">
        <f>COUNTIFS($A$2:$A$109,$F$16,$C$2:$C$109,$F17,$D$2:$D$109,I$16) + MAX(D111-C111,0)</f>
        <v>0</v>
      </c>
      <c r="J17" s="3">
        <f t="shared" ref="J17:J19" si="24">SUM(G17:I17)</f>
        <v>2</v>
      </c>
      <c r="K17" s="7"/>
      <c r="L17" s="74">
        <v>0.0</v>
      </c>
      <c r="M17" s="75">
        <f t="shared" ref="M17:O17" si="21">ABS(G$2-$F17)/1</f>
        <v>0</v>
      </c>
      <c r="N17" s="76">
        <f t="shared" si="21"/>
        <v>0.5</v>
      </c>
      <c r="O17" s="77">
        <f t="shared" si="21"/>
        <v>1</v>
      </c>
      <c r="P17" s="7"/>
      <c r="Q17" s="74">
        <v>0.0</v>
      </c>
      <c r="R17" s="75">
        <f t="shared" ref="R17:T17" si="22">($J17/$J$20) * (G$20/$J$20)</f>
        <v>0.005540166205</v>
      </c>
      <c r="S17" s="76">
        <f t="shared" si="22"/>
        <v>0.001385041551</v>
      </c>
      <c r="T17" s="77">
        <f t="shared" si="22"/>
        <v>0.04570637119</v>
      </c>
      <c r="U17" s="7"/>
      <c r="V17" s="73" t="s">
        <v>260</v>
      </c>
      <c r="W17" s="75">
        <f>SUMPRODUCT(G17:I19, M17:O19) /$J$20</f>
        <v>0.02631578947</v>
      </c>
      <c r="X17" s="77" t="s">
        <v>261</v>
      </c>
    </row>
    <row r="18" ht="15.75" customHeight="1">
      <c r="A18" s="6" t="str">
        <f>Wumple!A18</f>
        <v>Transition</v>
      </c>
      <c r="B18" s="6" t="str">
        <f>Wumple!B18</f>
        <v>flash (Flash ⇒ Off)</v>
      </c>
      <c r="C18" s="6">
        <f>CombinedHumanGrading!C18</f>
        <v>0.5</v>
      </c>
      <c r="D18" s="6">
        <f>'Gemini 3.1 Pro Preview Grading'!C18</f>
        <v>0</v>
      </c>
      <c r="E18" s="7"/>
      <c r="F18" s="74">
        <v>0.5</v>
      </c>
      <c r="G18" s="78">
        <f t="shared" ref="G18:I18" si="23">COUNTIFS($A$2:$A$116,$F$16,$C$2:$C$116,$F18,$D$2:$D$116,G$16)</f>
        <v>2</v>
      </c>
      <c r="H18" s="3">
        <f t="shared" si="23"/>
        <v>1</v>
      </c>
      <c r="I18" s="79">
        <f t="shared" si="23"/>
        <v>0</v>
      </c>
      <c r="J18" s="3">
        <f t="shared" si="24"/>
        <v>3</v>
      </c>
      <c r="K18" s="7"/>
      <c r="L18" s="74">
        <v>0.5</v>
      </c>
      <c r="M18" s="78">
        <f t="shared" ref="M18:M19" si="26">ABS(G$2-$F18)/1</f>
        <v>0.5</v>
      </c>
      <c r="N18" s="3">
        <f>ABS(H$2-$F18)/3</f>
        <v>0</v>
      </c>
      <c r="O18" s="79">
        <f>ABS(I$2-$F18)/1</f>
        <v>0.5</v>
      </c>
      <c r="P18" s="7"/>
      <c r="Q18" s="74">
        <v>0.5</v>
      </c>
      <c r="R18" s="78">
        <f t="shared" ref="R18:T18" si="25">($J18/$J$20) * (G$20/$J$20)</f>
        <v>0.008310249307</v>
      </c>
      <c r="S18" s="3">
        <f t="shared" si="25"/>
        <v>0.002077562327</v>
      </c>
      <c r="T18" s="79">
        <f t="shared" si="25"/>
        <v>0.06855955679</v>
      </c>
      <c r="U18" s="7"/>
      <c r="V18" s="73" t="s">
        <v>262</v>
      </c>
      <c r="W18" s="78">
        <f>SUMPRODUCT(R17:T19, M17:O19)</f>
        <v>0.1876731302</v>
      </c>
      <c r="X18" s="79" t="s">
        <v>263</v>
      </c>
    </row>
    <row r="19" ht="15.75" customHeight="1">
      <c r="A19" s="6" t="str">
        <f>Wumple!A19</f>
        <v>Guard</v>
      </c>
      <c r="B19" s="6" t="str">
        <f>Wumple!B19</f>
        <v>[flashAlert]</v>
      </c>
      <c r="C19" s="6">
        <f>CombinedHumanGrading!C19</f>
        <v>0</v>
      </c>
      <c r="D19" s="6">
        <f>'Gemini 3.1 Pro Preview Grading'!C19</f>
        <v>0</v>
      </c>
      <c r="E19" s="7"/>
      <c r="F19" s="74">
        <v>1.0</v>
      </c>
      <c r="G19" s="80">
        <f>COUNTIFS($A$2:$A$109,$F$16,$C$2:$C$109,$F19,$D$2:$D$109,G$16)+MAX(C111-D111,0)</f>
        <v>0</v>
      </c>
      <c r="H19" s="81">
        <f>COUNTIFS($A$2:$A$116,$F$16,$C$2:$C$116,$F19,$D$2:$D$116,H$16)</f>
        <v>0</v>
      </c>
      <c r="I19" s="82">
        <f>COUNTIFS($A$2:$A$109,$F$16,$C$2:$C$109,$F19,$D$2:$D$109,I$16) + MIN(C111,D111)</f>
        <v>33</v>
      </c>
      <c r="J19" s="3">
        <f t="shared" si="24"/>
        <v>33</v>
      </c>
      <c r="K19" s="7"/>
      <c r="L19" s="74">
        <v>1.0</v>
      </c>
      <c r="M19" s="80">
        <f t="shared" si="26"/>
        <v>1</v>
      </c>
      <c r="N19" s="81">
        <f t="shared" ref="N19:O19" si="27">ABS(H$2-$F19)/1</f>
        <v>0.5</v>
      </c>
      <c r="O19" s="82">
        <f t="shared" si="27"/>
        <v>0</v>
      </c>
      <c r="P19" s="7"/>
      <c r="Q19" s="74">
        <v>1.0</v>
      </c>
      <c r="R19" s="80">
        <f t="shared" ref="R19:T19" si="28">($J19/$J$20) * (G$20/$J$20)</f>
        <v>0.09141274238</v>
      </c>
      <c r="S19" s="81">
        <f t="shared" si="28"/>
        <v>0.0228531856</v>
      </c>
      <c r="T19" s="82">
        <f t="shared" si="28"/>
        <v>0.7541551247</v>
      </c>
      <c r="U19" s="7"/>
      <c r="V19" s="73" t="s">
        <v>230</v>
      </c>
      <c r="W19" s="80">
        <f>1-W17/W18</f>
        <v>0.8597785978</v>
      </c>
      <c r="X19" s="82" t="s">
        <v>264</v>
      </c>
    </row>
    <row r="20" ht="15.75" customHeight="1">
      <c r="A20" s="6" t="str">
        <f>Wumple!A20</f>
        <v>Transition</v>
      </c>
      <c r="B20" s="6" t="str">
        <f>Wumple!B20</f>
        <v>anyButton (Flash ⇒ Off)</v>
      </c>
      <c r="C20" s="6">
        <f>CombinedHumanGrading!C20</f>
        <v>0</v>
      </c>
      <c r="D20" s="6">
        <f>'Gemini 3.1 Pro Preview Grading'!C20</f>
        <v>0</v>
      </c>
      <c r="E20" s="7"/>
      <c r="F20" s="83" t="s">
        <v>244</v>
      </c>
      <c r="G20" s="3">
        <f t="shared" ref="G20:I20" si="29">SUM(G17:G19)</f>
        <v>4</v>
      </c>
      <c r="H20" s="3">
        <f t="shared" si="29"/>
        <v>1</v>
      </c>
      <c r="I20" s="3">
        <f t="shared" si="29"/>
        <v>33</v>
      </c>
      <c r="J20" s="3">
        <f>SUM(G17:I19)</f>
        <v>38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5.75" customHeight="1">
      <c r="A21" s="6" t="str">
        <f>Wumple!A21</f>
        <v>Region</v>
      </c>
      <c r="B21" s="6" t="str">
        <f>Wumple!B21</f>
        <v>WatchMode</v>
      </c>
      <c r="C21" s="6">
        <f>CombinedHumanGrading!C21</f>
        <v>1</v>
      </c>
      <c r="D21" s="6">
        <f>'Gemini 3.1 Pro Preview Grading'!C21</f>
        <v>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5.75" customHeight="1">
      <c r="A22" s="6" t="str">
        <f>Wumple!A22</f>
        <v>State</v>
      </c>
      <c r="B22" s="6" t="str">
        <f>Wumple!B22</f>
        <v>Initial state (WatchMode → AlarmOff)</v>
      </c>
      <c r="C22" s="6">
        <f>CombinedHumanGrading!C22</f>
        <v>1</v>
      </c>
      <c r="D22" s="6">
        <f>'Gemini 3.1 Pro Preview Grading'!C22</f>
        <v>0.5</v>
      </c>
      <c r="E22" s="7"/>
      <c r="F22" s="67" t="s">
        <v>249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5.75" customHeight="1">
      <c r="A23" s="6" t="str">
        <f>Wumple!A23</f>
        <v>Composite State</v>
      </c>
      <c r="B23" s="6" t="str">
        <f>Wumple!B23</f>
        <v>AlarmOff</v>
      </c>
      <c r="C23" s="6">
        <f>CombinedHumanGrading!C23</f>
        <v>1</v>
      </c>
      <c r="D23" s="6">
        <f>'Gemini 3.1 Pro Preview Grading'!C23</f>
        <v>0</v>
      </c>
      <c r="E23" s="7"/>
      <c r="F23" s="3" t="s">
        <v>6</v>
      </c>
      <c r="G23" s="72" t="s">
        <v>232</v>
      </c>
      <c r="H23" s="72" t="s">
        <v>233</v>
      </c>
      <c r="I23" s="72" t="s">
        <v>234</v>
      </c>
      <c r="J23" s="71" t="s">
        <v>235</v>
      </c>
      <c r="K23" s="7"/>
      <c r="L23" s="3" t="s">
        <v>231</v>
      </c>
      <c r="M23" s="72" t="s">
        <v>232</v>
      </c>
      <c r="N23" s="72" t="s">
        <v>233</v>
      </c>
      <c r="O23" s="72" t="s">
        <v>234</v>
      </c>
      <c r="P23" s="7"/>
      <c r="Q23" s="3" t="s">
        <v>231</v>
      </c>
      <c r="R23" s="72" t="s">
        <v>232</v>
      </c>
      <c r="S23" s="72" t="s">
        <v>233</v>
      </c>
      <c r="T23" s="72" t="s">
        <v>234</v>
      </c>
      <c r="U23" s="7"/>
      <c r="V23" s="50" t="str">
        <f>"Metrics" &amp; " " &amp; F23</f>
        <v>Metrics Composite State</v>
      </c>
      <c r="W23" s="73" t="s">
        <v>237</v>
      </c>
      <c r="X23" s="73" t="s">
        <v>238</v>
      </c>
    </row>
    <row r="24" ht="15.75" customHeight="1">
      <c r="A24" s="6" t="str">
        <f>Wumple!A24</f>
        <v>State</v>
      </c>
      <c r="B24" s="6" t="str">
        <f>Wumple!B24</f>
        <v>Initial state (AlarmOff → TimeKeepingMode)</v>
      </c>
      <c r="C24" s="6">
        <f>CombinedHumanGrading!C24</f>
        <v>1</v>
      </c>
      <c r="D24" s="6">
        <f>'Gemini 3.1 Pro Preview Grading'!C24</f>
        <v>1</v>
      </c>
      <c r="E24" s="7"/>
      <c r="F24" s="74">
        <v>0.0</v>
      </c>
      <c r="G24" s="75">
        <f t="shared" ref="G24:H24" si="30">COUNTIFS($A$2:$A$116,$F$23,$C$2:$C$116,$F24,$D$2:$D$116,G$23)</f>
        <v>1</v>
      </c>
      <c r="H24" s="76">
        <f t="shared" si="30"/>
        <v>0</v>
      </c>
      <c r="I24" s="77">
        <f>COUNTIFS($A$2:$A$109,$F$23,$C$2:$C$109,$F24,$D$2:$D$109,I$23) + MAX(D114-C114,0)</f>
        <v>0</v>
      </c>
      <c r="J24" s="3">
        <f t="shared" ref="J24:J26" si="34">SUM(G24:I24)</f>
        <v>1</v>
      </c>
      <c r="K24" s="7"/>
      <c r="L24" s="74">
        <v>0.0</v>
      </c>
      <c r="M24" s="75">
        <f t="shared" ref="M24:O24" si="31">ABS(G$2-$F24)/1</f>
        <v>0</v>
      </c>
      <c r="N24" s="76">
        <f t="shared" si="31"/>
        <v>0.5</v>
      </c>
      <c r="O24" s="77">
        <f t="shared" si="31"/>
        <v>1</v>
      </c>
      <c r="P24" s="7"/>
      <c r="Q24" s="74">
        <v>0.0</v>
      </c>
      <c r="R24" s="75">
        <f t="shared" ref="R24:T24" si="32">($J24/$J$27) * (G$27/$J$27)</f>
        <v>0.05555555556</v>
      </c>
      <c r="S24" s="76">
        <f t="shared" si="32"/>
        <v>0</v>
      </c>
      <c r="T24" s="77">
        <f t="shared" si="32"/>
        <v>0.1111111111</v>
      </c>
      <c r="U24" s="7"/>
      <c r="V24" s="73" t="s">
        <v>260</v>
      </c>
      <c r="W24" s="75">
        <f>SUMPRODUCT(G24:I26, M24:O26) /$J$27</f>
        <v>0.1666666667</v>
      </c>
      <c r="X24" s="77" t="s">
        <v>261</v>
      </c>
    </row>
    <row r="25" ht="15.75" customHeight="1">
      <c r="A25" s="6" t="str">
        <f>Wumple!A25</f>
        <v>Composite State</v>
      </c>
      <c r="B25" s="6" t="str">
        <f>Wumple!B25</f>
        <v>TimeKeepingMode</v>
      </c>
      <c r="C25" s="6">
        <f>CombinedHumanGrading!C25</f>
        <v>1</v>
      </c>
      <c r="D25" s="6">
        <f>'Gemini 3.1 Pro Preview Grading'!C25</f>
        <v>1</v>
      </c>
      <c r="E25" s="7"/>
      <c r="F25" s="74">
        <v>0.5</v>
      </c>
      <c r="G25" s="78">
        <f t="shared" ref="G25:I25" si="33">COUNTIFS($A$2:$A$116,$F$23,$C$2:$C$116,$F25,$D$2:$D$116,G$23)</f>
        <v>0</v>
      </c>
      <c r="H25" s="3">
        <f t="shared" si="33"/>
        <v>0</v>
      </c>
      <c r="I25" s="79">
        <f t="shared" si="33"/>
        <v>0</v>
      </c>
      <c r="J25" s="3">
        <f t="shared" si="34"/>
        <v>0</v>
      </c>
      <c r="K25" s="7"/>
      <c r="L25" s="74">
        <v>0.5</v>
      </c>
      <c r="M25" s="78">
        <f t="shared" ref="M25:M26" si="36">ABS(G$2-$F25)/1</f>
        <v>0.5</v>
      </c>
      <c r="N25" s="3">
        <f>ABS(H$2-$F25)/3</f>
        <v>0</v>
      </c>
      <c r="O25" s="79">
        <f>ABS(I$2-$F25)/1</f>
        <v>0.5</v>
      </c>
      <c r="P25" s="7"/>
      <c r="Q25" s="74">
        <v>0.5</v>
      </c>
      <c r="R25" s="78">
        <f t="shared" ref="R25:T25" si="35">($J25/$J$27) * (G$27/$J$27)</f>
        <v>0</v>
      </c>
      <c r="S25" s="3">
        <f t="shared" si="35"/>
        <v>0</v>
      </c>
      <c r="T25" s="79">
        <f t="shared" si="35"/>
        <v>0</v>
      </c>
      <c r="U25" s="7"/>
      <c r="V25" s="73" t="s">
        <v>262</v>
      </c>
      <c r="W25" s="78">
        <f>SUMPRODUCT(R24:T26, M24:O26)</f>
        <v>0.3888888889</v>
      </c>
      <c r="X25" s="79" t="s">
        <v>263</v>
      </c>
    </row>
    <row r="26" ht="15.75" customHeight="1">
      <c r="A26" s="6" t="str">
        <f>Wumple!A26</f>
        <v>State</v>
      </c>
      <c r="B26" s="6" t="str">
        <f>Wumple!B26</f>
        <v>Initial state (TimeKeepingMode → Idle)</v>
      </c>
      <c r="C26" s="6">
        <f>CombinedHumanGrading!C26</f>
        <v>1</v>
      </c>
      <c r="D26" s="6">
        <f>'Gemini 3.1 Pro Preview Grading'!C26</f>
        <v>1</v>
      </c>
      <c r="E26" s="7"/>
      <c r="F26" s="74">
        <v>1.0</v>
      </c>
      <c r="G26" s="80">
        <f>COUNTIFS($A$2:$A$109,$F$23,$C$2:$C$109,$F26,$D$2:$D$109,G$23) + MAX(C114-D114,0)</f>
        <v>1</v>
      </c>
      <c r="H26" s="81">
        <f>COUNTIFS($A$2:$A$116,$F$23,$C$2:$C$116,$F26,$D$2:$D$116,H$23)</f>
        <v>0</v>
      </c>
      <c r="I26" s="82">
        <f>COUNTIFS($A$2:$A$109,$F$23,$C$2:$C$109,$F26,$D$2:$D$109,I$23) + MIN(C114,D114)</f>
        <v>4</v>
      </c>
      <c r="J26" s="3">
        <f t="shared" si="34"/>
        <v>5</v>
      </c>
      <c r="K26" s="7"/>
      <c r="L26" s="74">
        <v>1.0</v>
      </c>
      <c r="M26" s="80">
        <f t="shared" si="36"/>
        <v>1</v>
      </c>
      <c r="N26" s="81">
        <f t="shared" ref="N26:O26" si="37">ABS(H$2-$F26)/1</f>
        <v>0.5</v>
      </c>
      <c r="O26" s="82">
        <f t="shared" si="37"/>
        <v>0</v>
      </c>
      <c r="P26" s="7"/>
      <c r="Q26" s="74">
        <v>1.0</v>
      </c>
      <c r="R26" s="80">
        <f t="shared" ref="R26:T26" si="38">($J26/$J$27) * (G$27/$J$27)</f>
        <v>0.2777777778</v>
      </c>
      <c r="S26" s="81">
        <f t="shared" si="38"/>
        <v>0</v>
      </c>
      <c r="T26" s="82">
        <f t="shared" si="38"/>
        <v>0.5555555556</v>
      </c>
      <c r="U26" s="7"/>
      <c r="V26" s="73" t="s">
        <v>230</v>
      </c>
      <c r="W26" s="80">
        <f>1-W24/W25</f>
        <v>0.5714285714</v>
      </c>
      <c r="X26" s="82" t="s">
        <v>264</v>
      </c>
    </row>
    <row r="27" ht="15.75" customHeight="1">
      <c r="A27" s="6" t="str">
        <f>Wumple!A27</f>
        <v>State</v>
      </c>
      <c r="B27" s="6" t="str">
        <f>Wumple!B27</f>
        <v>Idle</v>
      </c>
      <c r="C27" s="6">
        <f>CombinedHumanGrading!C27</f>
        <v>1</v>
      </c>
      <c r="D27" s="6">
        <f>'Gemini 3.1 Pro Preview Grading'!C27</f>
        <v>1</v>
      </c>
      <c r="E27" s="7"/>
      <c r="F27" s="83" t="s">
        <v>244</v>
      </c>
      <c r="G27" s="3">
        <f t="shared" ref="G27:I27" si="39">SUM(G24:G26)</f>
        <v>2</v>
      </c>
      <c r="H27" s="3">
        <f t="shared" si="39"/>
        <v>0</v>
      </c>
      <c r="I27" s="3">
        <f t="shared" si="39"/>
        <v>4</v>
      </c>
      <c r="J27" s="3">
        <f>SUM(G24:I26)</f>
        <v>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5.75" customHeight="1">
      <c r="A28" s="6" t="str">
        <f>Wumple!A28</f>
        <v>Action</v>
      </c>
      <c r="B28" s="6" t="str">
        <f>Wumple!B28</f>
        <v>do / displayTime()</v>
      </c>
      <c r="C28" s="6">
        <f>CombinedHumanGrading!C28</f>
        <v>1</v>
      </c>
      <c r="D28" s="6">
        <f>'Gemini 3.1 Pro Preview Grading'!C28</f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5.75" customHeight="1">
      <c r="A29" s="6" t="str">
        <f>Wumple!A29</f>
        <v>Transition</v>
      </c>
      <c r="B29" s="6" t="str">
        <f>Wumple!B29</f>
        <v>B2sec (Idle ⇒ Idle)</v>
      </c>
      <c r="C29" s="6">
        <f>CombinedHumanGrading!C29</f>
        <v>0.5</v>
      </c>
      <c r="D29" s="6">
        <f>'Gemini 3.1 Pro Preview Grading'!C29</f>
        <v>0.5</v>
      </c>
      <c r="E29" s="7"/>
      <c r="F29" s="67" t="s">
        <v>251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5.75" customHeight="1">
      <c r="A30" s="6" t="str">
        <f>Wumple!A30</f>
        <v>Action</v>
      </c>
      <c r="B30" s="6" t="str">
        <f>Wumple!B30</f>
        <v>toggleFlashAlert()</v>
      </c>
      <c r="C30" s="6">
        <f>CombinedHumanGrading!C30</f>
        <v>0.5</v>
      </c>
      <c r="D30" s="6">
        <f>'Gemini 3.1 Pro Preview Grading'!C30</f>
        <v>1</v>
      </c>
      <c r="E30" s="7"/>
      <c r="F30" s="3" t="s">
        <v>20</v>
      </c>
      <c r="G30" s="72" t="s">
        <v>232</v>
      </c>
      <c r="H30" s="72" t="s">
        <v>233</v>
      </c>
      <c r="I30" s="72" t="s">
        <v>234</v>
      </c>
      <c r="J30" s="71" t="s">
        <v>235</v>
      </c>
      <c r="K30" s="7"/>
      <c r="L30" s="3" t="s">
        <v>231</v>
      </c>
      <c r="M30" s="72">
        <v>0.0</v>
      </c>
      <c r="N30" s="72" t="s">
        <v>233</v>
      </c>
      <c r="O30" s="72" t="s">
        <v>234</v>
      </c>
      <c r="P30" s="7"/>
      <c r="Q30" s="3" t="s">
        <v>231</v>
      </c>
      <c r="R30" s="72" t="s">
        <v>232</v>
      </c>
      <c r="S30" s="72" t="s">
        <v>233</v>
      </c>
      <c r="T30" s="72" t="s">
        <v>234</v>
      </c>
      <c r="U30" s="7"/>
      <c r="V30" s="50" t="str">
        <f>"Metrics" &amp; " " &amp; F30</f>
        <v>Metrics Guard</v>
      </c>
      <c r="W30" s="73" t="s">
        <v>237</v>
      </c>
      <c r="X30" s="73" t="s">
        <v>238</v>
      </c>
    </row>
    <row r="31" ht="15.75" customHeight="1">
      <c r="A31" s="6" t="str">
        <f>Wumple!A31</f>
        <v>Transition</v>
      </c>
      <c r="B31" s="6" t="str">
        <f>Wumple!B31</f>
        <v>B (Idle ⇒ Idle)</v>
      </c>
      <c r="C31" s="6">
        <f>CombinedHumanGrading!C31</f>
        <v>1</v>
      </c>
      <c r="D31" s="6">
        <f>'Gemini 3.1 Pro Preview Grading'!C31</f>
        <v>1</v>
      </c>
      <c r="E31" s="7"/>
      <c r="F31" s="74">
        <v>0.0</v>
      </c>
      <c r="G31" s="75">
        <f t="shared" ref="G31:H31" si="40">COUNTIFS($A$2:$A$116,$F$30,$C$2:$C$116,$F31,$D$2:$D$116,G$30)</f>
        <v>3</v>
      </c>
      <c r="H31" s="76">
        <f t="shared" si="40"/>
        <v>0</v>
      </c>
      <c r="I31" s="77">
        <f>COUNTIFS($A$2:$A$109,$F$30,$C$2:$C$109,$F31,$D$2:$D$109,I$30) + MAX(D112-C112,0)</f>
        <v>1</v>
      </c>
      <c r="J31" s="3">
        <f t="shared" ref="J31:J33" si="44">SUM(G31:I31)</f>
        <v>4</v>
      </c>
      <c r="K31" s="7"/>
      <c r="L31" s="74">
        <v>0.0</v>
      </c>
      <c r="M31" s="75">
        <f t="shared" ref="M31:O31" si="41">ABS(G$2-$F31)/1</f>
        <v>0</v>
      </c>
      <c r="N31" s="76">
        <f t="shared" si="41"/>
        <v>0.5</v>
      </c>
      <c r="O31" s="77">
        <f t="shared" si="41"/>
        <v>1</v>
      </c>
      <c r="P31" s="7"/>
      <c r="Q31" s="74">
        <v>0.0</v>
      </c>
      <c r="R31" s="75">
        <f t="shared" ref="R31:T31" si="42">($J31/$J$34) * (G$34/$J$34)</f>
        <v>0.75</v>
      </c>
      <c r="S31" s="76">
        <f t="shared" si="42"/>
        <v>0</v>
      </c>
      <c r="T31" s="77">
        <f t="shared" si="42"/>
        <v>0.25</v>
      </c>
      <c r="U31" s="7"/>
      <c r="V31" s="73" t="s">
        <v>260</v>
      </c>
      <c r="W31" s="75">
        <f>SUMPRODUCT(G31:I33, M31:O33) /$J$34</f>
        <v>0.25</v>
      </c>
      <c r="X31" s="77" t="s">
        <v>261</v>
      </c>
    </row>
    <row r="32" ht="15.75" customHeight="1">
      <c r="A32" s="6" t="str">
        <f>Wumple!A32</f>
        <v>Action</v>
      </c>
      <c r="B32" s="6" t="str">
        <f>Wumple!B32</f>
        <v>toggleAlarm()</v>
      </c>
      <c r="C32" s="6">
        <f>CombinedHumanGrading!C32</f>
        <v>1</v>
      </c>
      <c r="D32" s="6">
        <f>'Gemini 3.1 Pro Preview Grading'!C32</f>
        <v>1</v>
      </c>
      <c r="E32" s="7"/>
      <c r="F32" s="74">
        <v>0.5</v>
      </c>
      <c r="G32" s="78">
        <f t="shared" ref="G32:I32" si="43">COUNTIFS($A$2:$A$116,$F$30,$C$2:$C$116,$F32,$D$2:$D$116,G$30)</f>
        <v>0</v>
      </c>
      <c r="H32" s="3">
        <f t="shared" si="43"/>
        <v>0</v>
      </c>
      <c r="I32" s="79">
        <f t="shared" si="43"/>
        <v>0</v>
      </c>
      <c r="J32" s="3">
        <f t="shared" si="44"/>
        <v>0</v>
      </c>
      <c r="K32" s="7"/>
      <c r="L32" s="74">
        <v>0.5</v>
      </c>
      <c r="M32" s="78">
        <f t="shared" ref="M32:M33" si="46">ABS(G$2-$F32)/1</f>
        <v>0.5</v>
      </c>
      <c r="N32" s="3">
        <f>ABS(H$2-$F32)/3</f>
        <v>0</v>
      </c>
      <c r="O32" s="79">
        <f>ABS(I$2-$F32)/1</f>
        <v>0.5</v>
      </c>
      <c r="P32" s="7"/>
      <c r="Q32" s="74">
        <v>0.5</v>
      </c>
      <c r="R32" s="78">
        <f t="shared" ref="R32:T32" si="45">($J32/$J$34) * (G$34/$J$34)</f>
        <v>0</v>
      </c>
      <c r="S32" s="3">
        <f t="shared" si="45"/>
        <v>0</v>
      </c>
      <c r="T32" s="79">
        <f t="shared" si="45"/>
        <v>0</v>
      </c>
      <c r="U32" s="7"/>
      <c r="V32" s="73" t="s">
        <v>262</v>
      </c>
      <c r="W32" s="78">
        <f>SUMPRODUCT(R31:T33, M31:O33)</f>
        <v>0.25</v>
      </c>
      <c r="X32" s="79" t="s">
        <v>263</v>
      </c>
    </row>
    <row r="33" ht="15.75" customHeight="1">
      <c r="A33" s="6" t="str">
        <f>Wumple!A33</f>
        <v>Transition</v>
      </c>
      <c r="B33" s="6" t="str">
        <f>Wumple!B33</f>
        <v>C (Idle ⇒ Seconds)</v>
      </c>
      <c r="C33" s="6">
        <f>CombinedHumanGrading!C33</f>
        <v>1</v>
      </c>
      <c r="D33" s="6">
        <f>'Gemini 3.1 Pro Preview Grading'!C33</f>
        <v>1</v>
      </c>
      <c r="E33" s="7"/>
      <c r="F33" s="74">
        <v>1.0</v>
      </c>
      <c r="G33" s="80">
        <f>COUNTIFS($A$2:$A$109,$F$30,$C$2:$C$109,$F33,$D$2:$D$109,G$30) + MAX(C112-D112,0)</f>
        <v>0</v>
      </c>
      <c r="H33" s="81">
        <f>COUNTIFS($A$2:$A$116,$F$30,$C$2:$C$116,$F33,$D$2:$D$116,H$30)</f>
        <v>0</v>
      </c>
      <c r="I33" s="82">
        <f>COUNTIFS($A$2:$A$109,$F$30,$C$2:$C$109,$F33,$D$2:$D$109,I$30) + MIN(C112,D112)</f>
        <v>0</v>
      </c>
      <c r="J33" s="3">
        <f t="shared" si="44"/>
        <v>0</v>
      </c>
      <c r="K33" s="7"/>
      <c r="L33" s="74">
        <v>1.0</v>
      </c>
      <c r="M33" s="80">
        <f t="shared" si="46"/>
        <v>1</v>
      </c>
      <c r="N33" s="81">
        <f t="shared" ref="N33:O33" si="47">ABS(H$2-$F33)/1</f>
        <v>0.5</v>
      </c>
      <c r="O33" s="82">
        <f t="shared" si="47"/>
        <v>0</v>
      </c>
      <c r="P33" s="7"/>
      <c r="Q33" s="74">
        <v>1.0</v>
      </c>
      <c r="R33" s="80">
        <f t="shared" ref="R33:T33" si="48">($J33/$J$34) * (G$34/$J$34)</f>
        <v>0</v>
      </c>
      <c r="S33" s="81">
        <f t="shared" si="48"/>
        <v>0</v>
      </c>
      <c r="T33" s="82">
        <f t="shared" si="48"/>
        <v>0</v>
      </c>
      <c r="U33" s="7"/>
      <c r="V33" s="73" t="s">
        <v>230</v>
      </c>
      <c r="W33" s="80">
        <f>1-W31/W32</f>
        <v>0</v>
      </c>
      <c r="X33" s="82" t="s">
        <v>264</v>
      </c>
    </row>
    <row r="34" ht="15.75" customHeight="1">
      <c r="A34" s="6" t="str">
        <f>Wumple!A34</f>
        <v>Action</v>
      </c>
      <c r="B34" s="6" t="str">
        <f>Wumple!B34</f>
        <v>flashSeconds()</v>
      </c>
      <c r="C34" s="6">
        <f>CombinedHumanGrading!C34</f>
        <v>0</v>
      </c>
      <c r="D34" s="6">
        <f>'Gemini 3.1 Pro Preview Grading'!C34</f>
        <v>0</v>
      </c>
      <c r="E34" s="7"/>
      <c r="F34" s="83" t="s">
        <v>244</v>
      </c>
      <c r="G34" s="3">
        <f t="shared" ref="G34:I34" si="49">SUM(G31:G33)</f>
        <v>3</v>
      </c>
      <c r="H34" s="3">
        <f t="shared" si="49"/>
        <v>0</v>
      </c>
      <c r="I34" s="3">
        <f t="shared" si="49"/>
        <v>1</v>
      </c>
      <c r="J34" s="3">
        <f>SUM(G31:I33)</f>
        <v>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5.75" customHeight="1">
      <c r="A35" s="6" t="str">
        <f>Wumple!A35</f>
        <v>Transition</v>
      </c>
      <c r="B35" s="6" t="str">
        <f>Wumple!B35</f>
        <v>A (TimeKeepingMode ⇒ AlarmMode)</v>
      </c>
      <c r="C35" s="6">
        <f>CombinedHumanGrading!C35</f>
        <v>1</v>
      </c>
      <c r="D35" s="6">
        <f>'Gemini 3.1 Pro Preview Grading'!C35</f>
        <v>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5.75" customHeight="1">
      <c r="A36" s="6" t="str">
        <f>Wumple!A36</f>
        <v>State</v>
      </c>
      <c r="B36" s="6" t="str">
        <f>Wumple!B36</f>
        <v>Seconds</v>
      </c>
      <c r="C36" s="6">
        <f>CombinedHumanGrading!C36</f>
        <v>1</v>
      </c>
      <c r="D36" s="6">
        <f>'Gemini 3.1 Pro Preview Grading'!C36</f>
        <v>1</v>
      </c>
      <c r="E36" s="7"/>
      <c r="F36" s="67" t="s">
        <v>253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5.75" customHeight="1">
      <c r="A37" s="6" t="str">
        <f>Wumple!A37</f>
        <v>Transition</v>
      </c>
      <c r="B37" s="6" t="str">
        <f>Wumple!B37</f>
        <v>B (Seconds ⇒ Seconds)</v>
      </c>
      <c r="C37" s="6">
        <f>CombinedHumanGrading!C37</f>
        <v>1</v>
      </c>
      <c r="D37" s="6">
        <f>'Gemini 3.1 Pro Preview Grading'!C37</f>
        <v>1</v>
      </c>
      <c r="E37" s="7"/>
      <c r="F37" s="3" t="s">
        <v>4</v>
      </c>
      <c r="G37" s="72" t="s">
        <v>232</v>
      </c>
      <c r="H37" s="72" t="s">
        <v>233</v>
      </c>
      <c r="I37" s="72" t="s">
        <v>234</v>
      </c>
      <c r="J37" s="71" t="s">
        <v>235</v>
      </c>
      <c r="K37" s="7"/>
      <c r="L37" s="3" t="s">
        <v>231</v>
      </c>
      <c r="M37" s="72">
        <v>0.0</v>
      </c>
      <c r="N37" s="72" t="s">
        <v>233</v>
      </c>
      <c r="O37" s="72" t="s">
        <v>234</v>
      </c>
      <c r="P37" s="7"/>
      <c r="Q37" s="3" t="s">
        <v>231</v>
      </c>
      <c r="R37" s="72" t="s">
        <v>232</v>
      </c>
      <c r="S37" s="72" t="s">
        <v>233</v>
      </c>
      <c r="T37" s="72" t="s">
        <v>234</v>
      </c>
      <c r="U37" s="7"/>
      <c r="V37" s="50" t="str">
        <f>"Metrics" &amp; " " &amp; F37</f>
        <v>Metrics Action</v>
      </c>
      <c r="W37" s="73" t="s">
        <v>237</v>
      </c>
      <c r="X37" s="73" t="s">
        <v>238</v>
      </c>
    </row>
    <row r="38" ht="15.75" customHeight="1">
      <c r="A38" s="6" t="str">
        <f>Wumple!A38</f>
        <v>Action</v>
      </c>
      <c r="B38" s="6" t="str">
        <f>Wumple!B38</f>
        <v>time+=1sec</v>
      </c>
      <c r="C38" s="6">
        <f>CombinedHumanGrading!C38</f>
        <v>1</v>
      </c>
      <c r="D38" s="6">
        <f>'Gemini 3.1 Pro Preview Grading'!C38</f>
        <v>1</v>
      </c>
      <c r="E38" s="7"/>
      <c r="F38" s="74">
        <v>0.0</v>
      </c>
      <c r="G38" s="75">
        <f>COUNTIFS($A$2:$A$116,F37,$C$2:$C$116,$F38,$D$2:$D$116,G37)</f>
        <v>14</v>
      </c>
      <c r="H38" s="76">
        <f>COUNTIFS($A$2:$A$116,F37,$C$2:$C$116,$F38,$D$2:$D$116,H37)</f>
        <v>1</v>
      </c>
      <c r="I38" s="77">
        <f>COUNTIFS($A$2:$A$109,F37,$C$2:$C$109,$F38,$D$2:$D$109,I37)+MAX(D113-C113,0)</f>
        <v>0</v>
      </c>
      <c r="J38" s="3">
        <f t="shared" ref="J38:J40" si="52">SUM(G38:I38)</f>
        <v>15</v>
      </c>
      <c r="K38" s="7"/>
      <c r="L38" s="74">
        <v>0.0</v>
      </c>
      <c r="M38" s="75">
        <f t="shared" ref="M38:O38" si="50">ABS(G$2-$F38)/1</f>
        <v>0</v>
      </c>
      <c r="N38" s="76">
        <f t="shared" si="50"/>
        <v>0.5</v>
      </c>
      <c r="O38" s="77">
        <f t="shared" si="50"/>
        <v>1</v>
      </c>
      <c r="P38" s="7"/>
      <c r="Q38" s="74">
        <v>0.0</v>
      </c>
      <c r="R38" s="75">
        <f t="shared" ref="R38:T38" si="51">($J38/$J$41) * (G$41/$J$41)</f>
        <v>0.2181440443</v>
      </c>
      <c r="S38" s="76">
        <f t="shared" si="51"/>
        <v>0.04155124654</v>
      </c>
      <c r="T38" s="77">
        <f t="shared" si="51"/>
        <v>0.1246537396</v>
      </c>
      <c r="U38" s="7"/>
      <c r="V38" s="73" t="s">
        <v>260</v>
      </c>
      <c r="W38" s="75">
        <f>SUMPRODUCT(G38:I40, M38:O40) /$J$41</f>
        <v>0.25</v>
      </c>
      <c r="X38" s="77" t="s">
        <v>261</v>
      </c>
    </row>
    <row r="39" ht="15.75" customHeight="1">
      <c r="A39" s="6" t="str">
        <f>Wumple!A39</f>
        <v>Transition</v>
      </c>
      <c r="B39" s="6" t="str">
        <f>Wumple!B39</f>
        <v>C (Seconds ⇒ Minutes)</v>
      </c>
      <c r="C39" s="6">
        <f>CombinedHumanGrading!C39</f>
        <v>1</v>
      </c>
      <c r="D39" s="6">
        <f>'Gemini 3.1 Pro Preview Grading'!C39</f>
        <v>1</v>
      </c>
      <c r="E39" s="7"/>
      <c r="F39" s="74">
        <v>0.5</v>
      </c>
      <c r="G39" s="78">
        <f>COUNTIFS($A$2:$A$116,F37,$C$2:$C$116,$F39,$D$2:$D$116,G37)</f>
        <v>0</v>
      </c>
      <c r="H39" s="3">
        <f>COUNTIFS($A$2:$A$116,F37,$C$2:$C$116,$F38,$D$2:$D$116,H37)</f>
        <v>1</v>
      </c>
      <c r="I39" s="79">
        <f>COUNTIFS($A$2:$A$116,F37,$C$2:$C$116,$F39,$D$2:$D$116,I37)</f>
        <v>1</v>
      </c>
      <c r="J39" s="3">
        <f t="shared" si="52"/>
        <v>2</v>
      </c>
      <c r="K39" s="7"/>
      <c r="L39" s="74">
        <v>0.5</v>
      </c>
      <c r="M39" s="78">
        <f t="shared" ref="M39:M40" si="54">ABS(G$2-$F39)/1</f>
        <v>0.5</v>
      </c>
      <c r="N39" s="3">
        <f>ABS(H$2-$F39)/3</f>
        <v>0</v>
      </c>
      <c r="O39" s="79">
        <f>ABS(I$2-$F39)/1</f>
        <v>0.5</v>
      </c>
      <c r="P39" s="7"/>
      <c r="Q39" s="74">
        <v>0.5</v>
      </c>
      <c r="R39" s="78">
        <f t="shared" ref="R39:T39" si="53">($J39/$J$41) * (G$41/$J$41)</f>
        <v>0.02908587258</v>
      </c>
      <c r="S39" s="3">
        <f t="shared" si="53"/>
        <v>0.005540166205</v>
      </c>
      <c r="T39" s="79">
        <f t="shared" si="53"/>
        <v>0.01662049861</v>
      </c>
      <c r="U39" s="7"/>
      <c r="V39" s="73" t="s">
        <v>262</v>
      </c>
      <c r="W39" s="78">
        <f>SUMPRODUCT(R38:T40, M38:O40)</f>
        <v>0.5027700831</v>
      </c>
      <c r="X39" s="79" t="s">
        <v>263</v>
      </c>
    </row>
    <row r="40" ht="15.75" customHeight="1">
      <c r="A40" s="6" t="str">
        <f>Wumple!A40</f>
        <v>Action</v>
      </c>
      <c r="B40" s="6" t="str">
        <f>Wumple!B40</f>
        <v>flashMinutes()</v>
      </c>
      <c r="C40" s="6">
        <f>CombinedHumanGrading!C40</f>
        <v>0</v>
      </c>
      <c r="D40" s="6">
        <f>'Gemini 3.1 Pro Preview Grading'!C40</f>
        <v>0</v>
      </c>
      <c r="E40" s="7"/>
      <c r="F40" s="74">
        <v>1.0</v>
      </c>
      <c r="G40" s="80">
        <f>COUNTIFS($A$2:$A$109,F37,$C$2:$C$109,$F40,$D$2:$D$109,G37)+MAX(C113-D113,0)</f>
        <v>7</v>
      </c>
      <c r="H40" s="81">
        <f>COUNTIFS($A$2:$A$116,F37,$C$2:$C$116,$F40,$D$2:$D$116,H37)</f>
        <v>3</v>
      </c>
      <c r="I40" s="82">
        <f>COUNTIFS($A$2:$A$109,F37,$C$2:$C$109,$F40,$D$2:$D$109,I37) + MIN(C113,D113)</f>
        <v>11</v>
      </c>
      <c r="J40" s="3">
        <f t="shared" si="52"/>
        <v>21</v>
      </c>
      <c r="K40" s="7"/>
      <c r="L40" s="74">
        <v>1.0</v>
      </c>
      <c r="M40" s="80">
        <f t="shared" si="54"/>
        <v>1</v>
      </c>
      <c r="N40" s="81">
        <f t="shared" ref="N40:O40" si="55">ABS(H$2-$F40)/1</f>
        <v>0.5</v>
      </c>
      <c r="O40" s="82">
        <f t="shared" si="55"/>
        <v>0</v>
      </c>
      <c r="P40" s="7"/>
      <c r="Q40" s="74">
        <v>1.0</v>
      </c>
      <c r="R40" s="80">
        <f t="shared" ref="R40:T40" si="56">($J40/$J$41) * (G$41/$J$41)</f>
        <v>0.305401662</v>
      </c>
      <c r="S40" s="81">
        <f t="shared" si="56"/>
        <v>0.05817174515</v>
      </c>
      <c r="T40" s="82">
        <f t="shared" si="56"/>
        <v>0.1745152355</v>
      </c>
      <c r="U40" s="7"/>
      <c r="V40" s="73" t="s">
        <v>230</v>
      </c>
      <c r="W40" s="80">
        <f>1-W38/W39</f>
        <v>0.5027548209</v>
      </c>
      <c r="X40" s="82" t="s">
        <v>264</v>
      </c>
    </row>
    <row r="41" ht="15.75" customHeight="1">
      <c r="A41" s="6" t="str">
        <f>Wumple!A41</f>
        <v>State</v>
      </c>
      <c r="B41" s="6" t="str">
        <f>Wumple!B41</f>
        <v>Minutes</v>
      </c>
      <c r="C41" s="6">
        <f>CombinedHumanGrading!C41</f>
        <v>1</v>
      </c>
      <c r="D41" s="6">
        <f>'Gemini 3.1 Pro Preview Grading'!C41</f>
        <v>1</v>
      </c>
      <c r="E41" s="7"/>
      <c r="F41" s="83" t="s">
        <v>244</v>
      </c>
      <c r="G41" s="3">
        <f>SUM(G38:G40)</f>
        <v>21</v>
      </c>
      <c r="H41" s="3">
        <f>SUM(H39:H40)</f>
        <v>4</v>
      </c>
      <c r="I41" s="3">
        <f>SUM(I38:I40)</f>
        <v>12</v>
      </c>
      <c r="J41" s="3">
        <f>SUM(G38:I40)</f>
        <v>38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75" customHeight="1">
      <c r="A42" s="6" t="str">
        <f>Wumple!A42</f>
        <v>Transition</v>
      </c>
      <c r="B42" s="6" t="str">
        <f>Wumple!B42</f>
        <v>B (Minutes ⇒ Minutes)</v>
      </c>
      <c r="C42" s="6">
        <f>CombinedHumanGrading!C42</f>
        <v>1</v>
      </c>
      <c r="D42" s="6">
        <f>'Gemini 3.1 Pro Preview Grading'!C42</f>
        <v>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75" customHeight="1">
      <c r="A43" s="6" t="str">
        <f>Wumple!A43</f>
        <v>Action</v>
      </c>
      <c r="B43" s="6" t="str">
        <f>Wumple!B43</f>
        <v>time+=1min</v>
      </c>
      <c r="C43" s="6">
        <f>CombinedHumanGrading!C43</f>
        <v>1</v>
      </c>
      <c r="D43" s="6">
        <f>'Gemini 3.1 Pro Preview Grading'!C43</f>
        <v>1</v>
      </c>
      <c r="E43" s="7"/>
      <c r="F43" s="67" t="s">
        <v>255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75" customHeight="1">
      <c r="A44" s="6" t="str">
        <f>Wumple!A44</f>
        <v>Transition</v>
      </c>
      <c r="B44" s="6" t="str">
        <f>Wumple!B44</f>
        <v>C (Minutes ⇒ Hours)</v>
      </c>
      <c r="C44" s="6">
        <f>CombinedHumanGrading!C44</f>
        <v>1</v>
      </c>
      <c r="D44" s="6">
        <f>'Gemini 3.1 Pro Preview Grading'!C44</f>
        <v>1</v>
      </c>
      <c r="E44" s="7"/>
      <c r="F44" s="3" t="s">
        <v>80</v>
      </c>
      <c r="G44" s="72" t="s">
        <v>232</v>
      </c>
      <c r="H44" s="72" t="s">
        <v>233</v>
      </c>
      <c r="I44" s="72" t="s">
        <v>234</v>
      </c>
      <c r="J44" s="71" t="s">
        <v>235</v>
      </c>
      <c r="K44" s="7"/>
      <c r="L44" s="3" t="s">
        <v>231</v>
      </c>
      <c r="M44" s="72" t="s">
        <v>232</v>
      </c>
      <c r="N44" s="72" t="s">
        <v>233</v>
      </c>
      <c r="O44" s="72" t="s">
        <v>234</v>
      </c>
      <c r="P44" s="7"/>
      <c r="Q44" s="3" t="s">
        <v>231</v>
      </c>
      <c r="R44" s="72" t="s">
        <v>232</v>
      </c>
      <c r="S44" s="72" t="s">
        <v>233</v>
      </c>
      <c r="T44" s="72" t="s">
        <v>234</v>
      </c>
      <c r="U44" s="7"/>
      <c r="V44" s="50" t="str">
        <f>"Metrics" &amp; " " &amp; F44</f>
        <v>Metrics History State</v>
      </c>
      <c r="W44" s="73" t="s">
        <v>237</v>
      </c>
      <c r="X44" s="73" t="s">
        <v>238</v>
      </c>
    </row>
    <row r="45" ht="15.75" customHeight="1">
      <c r="A45" s="6" t="str">
        <f>Wumple!A45</f>
        <v>Action</v>
      </c>
      <c r="B45" s="6" t="str">
        <f>Wumple!B45</f>
        <v>flashHours()</v>
      </c>
      <c r="C45" s="6">
        <f>CombinedHumanGrading!C45</f>
        <v>0</v>
      </c>
      <c r="D45" s="6">
        <f>'Gemini 3.1 Pro Preview Grading'!C45</f>
        <v>0</v>
      </c>
      <c r="E45" s="7"/>
      <c r="F45" s="74">
        <v>0.0</v>
      </c>
      <c r="G45" s="75">
        <f t="shared" ref="G45:H45" si="57">COUNTIFS($A$2:$A$116,$F$44,$C$2:$C$116,$F45,$D$2:$D$116,G$44)</f>
        <v>0</v>
      </c>
      <c r="H45" s="76">
        <f t="shared" si="57"/>
        <v>0</v>
      </c>
      <c r="I45" s="77">
        <f>COUNTIFS($A$2:$A$109,$F$44,$C$2:$C$109,$F45,$D$2:$D$109,I$44) + MAX(D116-C116,0)</f>
        <v>0</v>
      </c>
      <c r="J45" s="3">
        <f t="shared" ref="J45:J47" si="61">SUM(G45:I45)</f>
        <v>0</v>
      </c>
      <c r="K45" s="7"/>
      <c r="L45" s="74">
        <v>0.0</v>
      </c>
      <c r="M45" s="75">
        <f t="shared" ref="M45:O45" si="58">ABS(G$2-$F45)/1</f>
        <v>0</v>
      </c>
      <c r="N45" s="76">
        <f t="shared" si="58"/>
        <v>0.5</v>
      </c>
      <c r="O45" s="77">
        <f t="shared" si="58"/>
        <v>1</v>
      </c>
      <c r="P45" s="7"/>
      <c r="Q45" s="74">
        <v>0.0</v>
      </c>
      <c r="R45" s="75">
        <f t="shared" ref="R45:T45" si="59">($J45/$J$48) * (G$48/$J$48)</f>
        <v>0</v>
      </c>
      <c r="S45" s="76">
        <f t="shared" si="59"/>
        <v>0</v>
      </c>
      <c r="T45" s="77">
        <f t="shared" si="59"/>
        <v>0</v>
      </c>
      <c r="U45" s="7"/>
      <c r="V45" s="73" t="s">
        <v>260</v>
      </c>
      <c r="W45" s="75">
        <f>SUMPRODUCT(G45:I47, M45:O47) /$J$48</f>
        <v>0.6666666667</v>
      </c>
      <c r="X45" s="77" t="s">
        <v>261</v>
      </c>
    </row>
    <row r="46" ht="15.75" customHeight="1">
      <c r="A46" s="6" t="str">
        <f>Wumple!A46</f>
        <v>State</v>
      </c>
      <c r="B46" s="6" t="str">
        <f>Wumple!B46</f>
        <v>Hours</v>
      </c>
      <c r="C46" s="6">
        <f>CombinedHumanGrading!C46</f>
        <v>1</v>
      </c>
      <c r="D46" s="6">
        <f>'Gemini 3.1 Pro Preview Grading'!C46</f>
        <v>1</v>
      </c>
      <c r="E46" s="7"/>
      <c r="F46" s="74">
        <v>0.5</v>
      </c>
      <c r="G46" s="78">
        <f t="shared" ref="G46:I46" si="60">COUNTIFS($A$2:$A$116,$F$44,$C$2:$C$116,$F46,$D$2:$D$116,G$44)</f>
        <v>0</v>
      </c>
      <c r="H46" s="3">
        <f t="shared" si="60"/>
        <v>0</v>
      </c>
      <c r="I46" s="79">
        <f t="shared" si="60"/>
        <v>0</v>
      </c>
      <c r="J46" s="3">
        <f t="shared" si="61"/>
        <v>0</v>
      </c>
      <c r="K46" s="7"/>
      <c r="L46" s="74">
        <v>0.5</v>
      </c>
      <c r="M46" s="78">
        <f t="shared" ref="M46:M47" si="63">ABS(G$2-$F46)/1</f>
        <v>0.5</v>
      </c>
      <c r="N46" s="3">
        <f>ABS(H$2-$F46)/3</f>
        <v>0</v>
      </c>
      <c r="O46" s="79">
        <f>ABS(I$2-$F46)/1</f>
        <v>0.5</v>
      </c>
      <c r="P46" s="7"/>
      <c r="Q46" s="74">
        <v>0.5</v>
      </c>
      <c r="R46" s="78">
        <f t="shared" ref="R46:T46" si="62">($J46/$J$48) * (G$48/$J$48)</f>
        <v>0</v>
      </c>
      <c r="S46" s="3">
        <f t="shared" si="62"/>
        <v>0</v>
      </c>
      <c r="T46" s="79">
        <f t="shared" si="62"/>
        <v>0</v>
      </c>
      <c r="U46" s="7"/>
      <c r="V46" s="73" t="s">
        <v>262</v>
      </c>
      <c r="W46" s="78">
        <f>SUMPRODUCT(R45:T47, M45:O47)</f>
        <v>0.6666666667</v>
      </c>
      <c r="X46" s="79" t="s">
        <v>263</v>
      </c>
    </row>
    <row r="47" ht="15.75" customHeight="1">
      <c r="A47" s="6" t="str">
        <f>Wumple!A47</f>
        <v>Transition</v>
      </c>
      <c r="B47" s="6" t="str">
        <f>Wumple!B47</f>
        <v>B (Hours ⇒ Hours)</v>
      </c>
      <c r="C47" s="6">
        <f>CombinedHumanGrading!C47</f>
        <v>1</v>
      </c>
      <c r="D47" s="6">
        <f>'Gemini 3.1 Pro Preview Grading'!C47</f>
        <v>1</v>
      </c>
      <c r="E47" s="7"/>
      <c r="F47" s="74">
        <v>1.0</v>
      </c>
      <c r="G47" s="80">
        <f>COUNTIFS($A$2:$A$109,$F$44,$C$2:$C$109,$F47,$D$2:$D$109,G$44) + MAX(C116-D116,0)</f>
        <v>2</v>
      </c>
      <c r="H47" s="81">
        <f>COUNTIFS($A$2:$A$116,$F$44,$C$2:$C$116,$F47,$D$2:$D$116,H$44)</f>
        <v>0</v>
      </c>
      <c r="I47" s="82">
        <f>COUNTIFS($A$2:$A$109,$F$44,$C$2:$C$109,$F47,$D$2:$D$109,I$44) + MIN(C116,D116)</f>
        <v>1</v>
      </c>
      <c r="J47" s="3">
        <f t="shared" si="61"/>
        <v>3</v>
      </c>
      <c r="K47" s="7"/>
      <c r="L47" s="74">
        <v>1.0</v>
      </c>
      <c r="M47" s="80">
        <f t="shared" si="63"/>
        <v>1</v>
      </c>
      <c r="N47" s="81">
        <f t="shared" ref="N47:O47" si="64">ABS(H$2-$F47)/1</f>
        <v>0.5</v>
      </c>
      <c r="O47" s="82">
        <f t="shared" si="64"/>
        <v>0</v>
      </c>
      <c r="P47" s="7"/>
      <c r="Q47" s="74">
        <v>1.0</v>
      </c>
      <c r="R47" s="80">
        <f t="shared" ref="R47:T47" si="65">($J47/$J$48) * (G$48/$J$48)</f>
        <v>0.6666666667</v>
      </c>
      <c r="S47" s="81">
        <f t="shared" si="65"/>
        <v>0</v>
      </c>
      <c r="T47" s="82">
        <f t="shared" si="65"/>
        <v>0.3333333333</v>
      </c>
      <c r="U47" s="7"/>
      <c r="V47" s="73" t="s">
        <v>230</v>
      </c>
      <c r="W47" s="80">
        <f>1-W45/W46</f>
        <v>0</v>
      </c>
      <c r="X47" s="82" t="s">
        <v>264</v>
      </c>
    </row>
    <row r="48" ht="15.75" customHeight="1">
      <c r="A48" s="6" t="str">
        <f>Wumple!A48</f>
        <v>Action</v>
      </c>
      <c r="B48" s="6" t="str">
        <f>Wumple!B48</f>
        <v>time+=1hr</v>
      </c>
      <c r="C48" s="6">
        <f>CombinedHumanGrading!C48</f>
        <v>1</v>
      </c>
      <c r="D48" s="6">
        <f>'Gemini 3.1 Pro Preview Grading'!C48</f>
        <v>1</v>
      </c>
      <c r="E48" s="7"/>
      <c r="F48" s="83" t="s">
        <v>244</v>
      </c>
      <c r="G48" s="3">
        <f t="shared" ref="G48:I48" si="66">SUM(G45:G47)</f>
        <v>2</v>
      </c>
      <c r="H48" s="3">
        <f t="shared" si="66"/>
        <v>0</v>
      </c>
      <c r="I48" s="3">
        <f t="shared" si="66"/>
        <v>1</v>
      </c>
      <c r="J48" s="3">
        <f>SUM(G45:I47)</f>
        <v>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6" t="str">
        <f>Wumple!A49</f>
        <v>Transition</v>
      </c>
      <c r="B49" s="6" t="str">
        <f>Wumple!B49</f>
        <v>C (Hours ⇒ Seconds)</v>
      </c>
      <c r="C49" s="6">
        <f>CombinedHumanGrading!C49</f>
        <v>1</v>
      </c>
      <c r="D49" s="6">
        <f>'Gemini 3.1 Pro Preview Grading'!C49</f>
        <v>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6" t="str">
        <f>Wumple!A50</f>
        <v>Action</v>
      </c>
      <c r="B50" s="6" t="str">
        <f>Wumple!B50</f>
        <v>flashSeconds()</v>
      </c>
      <c r="C50" s="6">
        <f>CombinedHumanGrading!C50</f>
        <v>0</v>
      </c>
      <c r="D50" s="6">
        <f>'Gemini 3.1 Pro Preview Grading'!C50</f>
        <v>0</v>
      </c>
      <c r="E50" s="7"/>
      <c r="F50" s="67" t="s">
        <v>257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6" t="str">
        <f>Wumple!A51</f>
        <v>Transition</v>
      </c>
      <c r="B51" s="6" t="str">
        <f>Wumple!B51</f>
        <v>A (TimeKeepingMode ⇒ AlarmMode)</v>
      </c>
      <c r="C51" s="6">
        <f>CombinedHumanGrading!C51</f>
        <v>1</v>
      </c>
      <c r="D51" s="6">
        <f>'Gemini 3.1 Pro Preview Grading'!C51</f>
        <v>1</v>
      </c>
      <c r="E51" s="7"/>
      <c r="F51" s="3" t="s">
        <v>8</v>
      </c>
      <c r="G51" s="72" t="s">
        <v>232</v>
      </c>
      <c r="H51" s="72" t="s">
        <v>233</v>
      </c>
      <c r="I51" s="72" t="s">
        <v>234</v>
      </c>
      <c r="J51" s="71" t="s">
        <v>235</v>
      </c>
      <c r="K51" s="7"/>
      <c r="L51" s="3" t="s">
        <v>231</v>
      </c>
      <c r="M51" s="72" t="s">
        <v>232</v>
      </c>
      <c r="N51" s="72" t="s">
        <v>233</v>
      </c>
      <c r="O51" s="72" t="s">
        <v>234</v>
      </c>
      <c r="P51" s="7"/>
      <c r="Q51" s="3" t="s">
        <v>231</v>
      </c>
      <c r="R51" s="72" t="s">
        <v>232</v>
      </c>
      <c r="S51" s="72" t="s">
        <v>233</v>
      </c>
      <c r="T51" s="72" t="s">
        <v>234</v>
      </c>
      <c r="U51" s="7"/>
      <c r="V51" s="50" t="str">
        <f>"Metrics" &amp; " " &amp; F51</f>
        <v>Metrics Region</v>
      </c>
      <c r="W51" s="73" t="s">
        <v>237</v>
      </c>
      <c r="X51" s="73" t="s">
        <v>238</v>
      </c>
    </row>
    <row r="52" ht="15.75" customHeight="1">
      <c r="A52" s="6" t="str">
        <f>Wumple!A52</f>
        <v>Composite State</v>
      </c>
      <c r="B52" s="6" t="str">
        <f>Wumple!B52</f>
        <v>AlarmMode</v>
      </c>
      <c r="C52" s="6">
        <f>CombinedHumanGrading!C52</f>
        <v>1</v>
      </c>
      <c r="D52" s="6">
        <f>'Gemini 3.1 Pro Preview Grading'!C52</f>
        <v>1</v>
      </c>
      <c r="E52" s="7"/>
      <c r="F52" s="74">
        <v>0.0</v>
      </c>
      <c r="G52" s="75">
        <f t="shared" ref="G52:H52" si="67">COUNTIFS($A$2:$A$116,$F$51,$C$2:$C$116,$F52,$D$2:$D$116,G$51)</f>
        <v>1</v>
      </c>
      <c r="H52" s="76">
        <f t="shared" si="67"/>
        <v>0</v>
      </c>
      <c r="I52" s="77">
        <f>COUNTIFS($A$2:$A$109,$F$51,$C$2:$C$109,$F52,$D$2:$D$109,I$51)+MAX(D115-C115,0)</f>
        <v>0</v>
      </c>
      <c r="J52" s="3">
        <f t="shared" ref="J52:J54" si="71">SUM(G52:I52)</f>
        <v>1</v>
      </c>
      <c r="K52" s="7"/>
      <c r="L52" s="74">
        <v>0.0</v>
      </c>
      <c r="M52" s="75">
        <f t="shared" ref="M52:O52" si="68">ABS(G$2-$F52)/1</f>
        <v>0</v>
      </c>
      <c r="N52" s="76">
        <f t="shared" si="68"/>
        <v>0.5</v>
      </c>
      <c r="O52" s="77">
        <f t="shared" si="68"/>
        <v>1</v>
      </c>
      <c r="P52" s="7"/>
      <c r="Q52" s="74">
        <v>0.0</v>
      </c>
      <c r="R52" s="75">
        <f t="shared" ref="R52:T52" si="69">($J52/$J$55) * (G$55/$J$55)</f>
        <v>0.1111111111</v>
      </c>
      <c r="S52" s="76">
        <f t="shared" si="69"/>
        <v>0</v>
      </c>
      <c r="T52" s="77">
        <f t="shared" si="69"/>
        <v>0.2222222222</v>
      </c>
      <c r="U52" s="7"/>
      <c r="V52" s="73" t="s">
        <v>260</v>
      </c>
      <c r="W52" s="75">
        <f>SUMPRODUCT(G52:I54, M52:O54) /$J$55</f>
        <v>0</v>
      </c>
      <c r="X52" s="77" t="s">
        <v>261</v>
      </c>
    </row>
    <row r="53" ht="15.75" customHeight="1">
      <c r="A53" s="6" t="str">
        <f>Wumple!A53</f>
        <v>State</v>
      </c>
      <c r="B53" s="6" t="str">
        <f>Wumple!B53</f>
        <v>Initial state (AlarmMode → Idle)</v>
      </c>
      <c r="C53" s="6">
        <f>CombinedHumanGrading!C53</f>
        <v>1</v>
      </c>
      <c r="D53" s="6">
        <f>'Gemini 3.1 Pro Preview Grading'!C53</f>
        <v>1</v>
      </c>
      <c r="E53" s="7"/>
      <c r="F53" s="74">
        <v>0.5</v>
      </c>
      <c r="G53" s="78">
        <f t="shared" ref="G53:I53" si="70">COUNTIFS($A$2:$A$116,$F$51,$C$2:$C$116,$F53,$D$2:$D$116,G$51)</f>
        <v>0</v>
      </c>
      <c r="H53" s="3">
        <f t="shared" si="70"/>
        <v>0</v>
      </c>
      <c r="I53" s="79">
        <f t="shared" si="70"/>
        <v>0</v>
      </c>
      <c r="J53" s="3">
        <f t="shared" si="71"/>
        <v>0</v>
      </c>
      <c r="K53" s="7"/>
      <c r="L53" s="74">
        <v>0.5</v>
      </c>
      <c r="M53" s="78">
        <f t="shared" ref="M53:M54" si="73">ABS(G$2-$F53)/1</f>
        <v>0.5</v>
      </c>
      <c r="N53" s="3">
        <f>ABS(H$2-$F53)/3</f>
        <v>0</v>
      </c>
      <c r="O53" s="79">
        <f>ABS(I$2-$F53)/1</f>
        <v>0.5</v>
      </c>
      <c r="P53" s="7"/>
      <c r="Q53" s="74">
        <v>0.5</v>
      </c>
      <c r="R53" s="78">
        <f t="shared" ref="R53:T53" si="72">($J53/$J$55) * (G$55/$J$55)</f>
        <v>0</v>
      </c>
      <c r="S53" s="3">
        <f t="shared" si="72"/>
        <v>0</v>
      </c>
      <c r="T53" s="79">
        <f t="shared" si="72"/>
        <v>0</v>
      </c>
      <c r="U53" s="7"/>
      <c r="V53" s="73" t="s">
        <v>262</v>
      </c>
      <c r="W53" s="78">
        <f>SUMPRODUCT(R52:T54, M52:O54)</f>
        <v>0.4444444444</v>
      </c>
      <c r="X53" s="79" t="s">
        <v>263</v>
      </c>
    </row>
    <row r="54" ht="15.75" customHeight="1">
      <c r="A54" s="6" t="str">
        <f>Wumple!A54</f>
        <v>State</v>
      </c>
      <c r="B54" s="6" t="str">
        <f>Wumple!B54</f>
        <v>Idle</v>
      </c>
      <c r="C54" s="6">
        <f>CombinedHumanGrading!C54</f>
        <v>1</v>
      </c>
      <c r="D54" s="6">
        <f>'Gemini 3.1 Pro Preview Grading'!C54</f>
        <v>1</v>
      </c>
      <c r="E54" s="7"/>
      <c r="F54" s="74">
        <v>1.0</v>
      </c>
      <c r="G54" s="80">
        <f>COUNTIFS($A$2:$A$109,$F$51,$C$2:$C$109,$F54,$D$2:$D$109,G$51) + MAX(C115-D115,0)</f>
        <v>0</v>
      </c>
      <c r="H54" s="81">
        <f>COUNTIFS($A$2:$A$116,$F$51,$C$2:$C$116,$F54,$D$2:$D$116,H$51)</f>
        <v>0</v>
      </c>
      <c r="I54" s="82">
        <f>COUNTIFS($A$2:$A$109,$F$51,$C$2:$C$109,$F54,$D$2:$D$109,I$51)+MIN(C115,D115)</f>
        <v>2</v>
      </c>
      <c r="J54" s="3">
        <f t="shared" si="71"/>
        <v>2</v>
      </c>
      <c r="K54" s="7"/>
      <c r="L54" s="74">
        <v>1.0</v>
      </c>
      <c r="M54" s="80">
        <f t="shared" si="73"/>
        <v>1</v>
      </c>
      <c r="N54" s="81">
        <f t="shared" ref="N54:O54" si="74">ABS(H$2-$F54)/1</f>
        <v>0.5</v>
      </c>
      <c r="O54" s="82">
        <f t="shared" si="74"/>
        <v>0</v>
      </c>
      <c r="P54" s="7"/>
      <c r="Q54" s="74">
        <v>1.0</v>
      </c>
      <c r="R54" s="80">
        <f t="shared" ref="R54:T54" si="75">($J54/$J$55) * (G$55/$J$55)</f>
        <v>0.2222222222</v>
      </c>
      <c r="S54" s="81">
        <f t="shared" si="75"/>
        <v>0</v>
      </c>
      <c r="T54" s="82">
        <f t="shared" si="75"/>
        <v>0.4444444444</v>
      </c>
      <c r="U54" s="7"/>
      <c r="V54" s="73" t="s">
        <v>230</v>
      </c>
      <c r="W54" s="80">
        <f>1-W52/W53</f>
        <v>1</v>
      </c>
      <c r="X54" s="82" t="s">
        <v>264</v>
      </c>
    </row>
    <row r="55" ht="15.75" customHeight="1">
      <c r="A55" s="6" t="str">
        <f>Wumple!A55</f>
        <v>Action</v>
      </c>
      <c r="B55" s="6" t="str">
        <f>Wumple!B55</f>
        <v>entry / displayAlarmTime()</v>
      </c>
      <c r="C55" s="6">
        <f>CombinedHumanGrading!C55</f>
        <v>1</v>
      </c>
      <c r="D55" s="6">
        <f>'Gemini 3.1 Pro Preview Grading'!C55</f>
        <v>0</v>
      </c>
      <c r="E55" s="7"/>
      <c r="F55" s="83" t="s">
        <v>244</v>
      </c>
      <c r="G55" s="3">
        <f t="shared" ref="G55:I55" si="76">SUM(G52:G54)</f>
        <v>1</v>
      </c>
      <c r="H55" s="3">
        <f t="shared" si="76"/>
        <v>0</v>
      </c>
      <c r="I55" s="3">
        <f t="shared" si="76"/>
        <v>2</v>
      </c>
      <c r="J55" s="3">
        <f>SUM(G52:I54)</f>
        <v>3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6" t="str">
        <f>Wumple!A56</f>
        <v>Transition</v>
      </c>
      <c r="B56" s="6" t="str">
        <f>Wumple!B56</f>
        <v>C (Idle ⇒ Minutes)</v>
      </c>
      <c r="C56" s="6">
        <f>CombinedHumanGrading!C56</f>
        <v>1</v>
      </c>
      <c r="D56" s="6">
        <f>'Gemini 3.1 Pro Preview Grading'!C56</f>
        <v>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6" t="str">
        <f>Wumple!A57</f>
        <v>Action</v>
      </c>
      <c r="B57" s="6" t="str">
        <f>Wumple!B57</f>
        <v>flashMinutes()</v>
      </c>
      <c r="C57" s="6">
        <f>CombinedHumanGrading!C57</f>
        <v>0</v>
      </c>
      <c r="D57" s="6">
        <f>'Gemini 3.1 Pro Preview Grading'!C57</f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6" t="str">
        <f>Wumple!A58</f>
        <v>Transition</v>
      </c>
      <c r="B58" s="6" t="str">
        <f>Wumple!B58</f>
        <v>A (AlarmMode ⇒ CountdownMode)</v>
      </c>
      <c r="C58" s="6">
        <f>CombinedHumanGrading!C58</f>
        <v>1</v>
      </c>
      <c r="D58" s="6">
        <f>'Gemini 3.1 Pro Preview Grading'!C58</f>
        <v>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6" t="str">
        <f>Wumple!A59</f>
        <v>State</v>
      </c>
      <c r="B59" s="6" t="str">
        <f>Wumple!B59</f>
        <v>Minutes</v>
      </c>
      <c r="C59" s="6">
        <f>CombinedHumanGrading!C59</f>
        <v>1</v>
      </c>
      <c r="D59" s="6">
        <f>'Gemini 3.1 Pro Preview Grading'!C59</f>
        <v>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6" t="str">
        <f>Wumple!A60</f>
        <v>Transition</v>
      </c>
      <c r="B60" s="6" t="str">
        <f>Wumple!B60</f>
        <v>B (Minutes ⇒ Minutes)</v>
      </c>
      <c r="C60" s="6">
        <f>CombinedHumanGrading!C60</f>
        <v>1</v>
      </c>
      <c r="D60" s="6">
        <f>'Gemini 3.1 Pro Preview Grading'!C60</f>
        <v>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6" t="str">
        <f>Wumple!A61</f>
        <v>Action</v>
      </c>
      <c r="B61" s="6" t="str">
        <f>Wumple!B61</f>
        <v>alarmTime+=1min</v>
      </c>
      <c r="C61" s="6">
        <f>CombinedHumanGrading!C61</f>
        <v>1</v>
      </c>
      <c r="D61" s="6">
        <f>'Gemini 3.1 Pro Preview Grading'!C61</f>
        <v>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6" t="str">
        <f>Wumple!A62</f>
        <v>Transition</v>
      </c>
      <c r="B62" s="6" t="str">
        <f>Wumple!B62</f>
        <v>C (Minutes ⇒ Hours)</v>
      </c>
      <c r="C62" s="6">
        <f>CombinedHumanGrading!C62</f>
        <v>1</v>
      </c>
      <c r="D62" s="6">
        <f>'Gemini 3.1 Pro Preview Grading'!C62</f>
        <v>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6" t="str">
        <f>Wumple!A63</f>
        <v>Action</v>
      </c>
      <c r="B63" s="6" t="str">
        <f>Wumple!B63</f>
        <v>flashHours()</v>
      </c>
      <c r="C63" s="6">
        <f>CombinedHumanGrading!C63</f>
        <v>0</v>
      </c>
      <c r="D63" s="6">
        <f>'Gemini 3.1 Pro Preview Grading'!C63</f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6" t="str">
        <f>Wumple!A64</f>
        <v>State</v>
      </c>
      <c r="B64" s="6" t="str">
        <f>Wumple!B64</f>
        <v>Hours</v>
      </c>
      <c r="C64" s="6">
        <f>CombinedHumanGrading!C64</f>
        <v>1</v>
      </c>
      <c r="D64" s="6">
        <f>'Gemini 3.1 Pro Preview Grading'!C64</f>
        <v>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6" t="str">
        <f>Wumple!A65</f>
        <v>Transition</v>
      </c>
      <c r="B65" s="6" t="str">
        <f>Wumple!B65</f>
        <v>B (Hours ⇒ Hours)</v>
      </c>
      <c r="C65" s="6">
        <f>CombinedHumanGrading!C65</f>
        <v>1</v>
      </c>
      <c r="D65" s="6">
        <f>'Gemini 3.1 Pro Preview Grading'!C65</f>
        <v>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6" t="str">
        <f>Wumple!A66</f>
        <v>Action</v>
      </c>
      <c r="B66" s="6" t="str">
        <f>Wumple!B66</f>
        <v>alarmTime+=1hr</v>
      </c>
      <c r="C66" s="6">
        <f>CombinedHumanGrading!C66</f>
        <v>1</v>
      </c>
      <c r="D66" s="6">
        <f>'Gemini 3.1 Pro Preview Grading'!C66</f>
        <v>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6" t="str">
        <f>Wumple!A67</f>
        <v>Transition</v>
      </c>
      <c r="B67" s="6" t="str">
        <f>Wumple!B67</f>
        <v>C (Hours ⇒ Minutes)</v>
      </c>
      <c r="C67" s="6">
        <f>CombinedHumanGrading!C67</f>
        <v>1</v>
      </c>
      <c r="D67" s="6">
        <f>'Gemini 3.1 Pro Preview Grading'!C67</f>
        <v>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6" t="str">
        <f>Wumple!A68</f>
        <v>Action</v>
      </c>
      <c r="B68" s="6" t="str">
        <f>Wumple!B68</f>
        <v>flashMinutes()</v>
      </c>
      <c r="C68" s="6">
        <f>CombinedHumanGrading!C68</f>
        <v>0</v>
      </c>
      <c r="D68" s="6">
        <f>'Gemini 3.1 Pro Preview Grading'!C68</f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6" t="str">
        <f>Wumple!A69</f>
        <v>Transition</v>
      </c>
      <c r="B69" s="6" t="str">
        <f>Wumple!B69</f>
        <v>A (AlarmMode ⇒ CountdownMode)</v>
      </c>
      <c r="C69" s="6">
        <f>CombinedHumanGrading!C69</f>
        <v>1</v>
      </c>
      <c r="D69" s="6">
        <f>'Gemini 3.1 Pro Preview Grading'!C69</f>
        <v>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6" t="str">
        <f>Wumple!A70</f>
        <v>Composite State</v>
      </c>
      <c r="B70" s="6" t="str">
        <f>Wumple!B70</f>
        <v>CountdownMode</v>
      </c>
      <c r="C70" s="6">
        <f>CombinedHumanGrading!C70</f>
        <v>1</v>
      </c>
      <c r="D70" s="6">
        <f>'Gemini 3.1 Pro Preview Grading'!C70</f>
        <v>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6" t="str">
        <f>Wumple!A71</f>
        <v>State</v>
      </c>
      <c r="B71" s="6" t="str">
        <f>Wumple!B71</f>
        <v>Initial state (CountdownMode → Idle)</v>
      </c>
      <c r="C71" s="6">
        <f>CombinedHumanGrading!C71</f>
        <v>1</v>
      </c>
      <c r="D71" s="6">
        <f>'Gemini 3.1 Pro Preview Grading'!C71</f>
        <v>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6" t="str">
        <f>Wumple!A72</f>
        <v>State</v>
      </c>
      <c r="B72" s="6" t="str">
        <f>Wumple!B72</f>
        <v>Idle</v>
      </c>
      <c r="C72" s="6">
        <f>CombinedHumanGrading!C72</f>
        <v>1</v>
      </c>
      <c r="D72" s="6">
        <f>'Gemini 3.1 Pro Preview Grading'!C72</f>
        <v>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6" t="str">
        <f>Wumple!A73</f>
        <v>Action</v>
      </c>
      <c r="B73" s="6" t="str">
        <f>Wumple!B73</f>
        <v>entry / displayCdTime()</v>
      </c>
      <c r="C73" s="6">
        <f>CombinedHumanGrading!C73</f>
        <v>1</v>
      </c>
      <c r="D73" s="6">
        <f>'Gemini 3.1 Pro Preview Grading'!C73</f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6" t="str">
        <f>Wumple!A74</f>
        <v>Transition</v>
      </c>
      <c r="B74" s="6" t="str">
        <f>Wumple!B74</f>
        <v>C (Idle ⇒ Seconds)</v>
      </c>
      <c r="C74" s="6">
        <f>CombinedHumanGrading!C74</f>
        <v>1</v>
      </c>
      <c r="D74" s="6">
        <f>'Gemini 3.1 Pro Preview Grading'!C74</f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6" t="str">
        <f>Wumple!A75</f>
        <v>Action</v>
      </c>
      <c r="B75" s="6" t="str">
        <f>Wumple!B75</f>
        <v>flashSeconds()</v>
      </c>
      <c r="C75" s="6">
        <f>CombinedHumanGrading!C75</f>
        <v>0</v>
      </c>
      <c r="D75" s="6">
        <f>'Gemini 3.1 Pro Preview Grading'!C75</f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6" t="str">
        <f>Wumple!A76</f>
        <v>Transition</v>
      </c>
      <c r="B76" s="6" t="str">
        <f>Wumple!B76</f>
        <v>B (Idle ⇒ Countdown)</v>
      </c>
      <c r="C76" s="6">
        <f>CombinedHumanGrading!C76</f>
        <v>1</v>
      </c>
      <c r="D76" s="6">
        <f>'Gemini 3.1 Pro Preview Grading'!C76</f>
        <v>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6" t="str">
        <f>Wumple!A77</f>
        <v>Guard</v>
      </c>
      <c r="B77" s="6" t="str">
        <f>Wumple!B77</f>
        <v>[cdTime &gt; 0:00:00]</v>
      </c>
      <c r="C77" s="6">
        <f>CombinedHumanGrading!C77</f>
        <v>0</v>
      </c>
      <c r="D77" s="6">
        <f>'Gemini 3.1 Pro Preview Grading'!C77</f>
        <v>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6" t="str">
        <f>Wumple!A78</f>
        <v>Action</v>
      </c>
      <c r="B78" s="6" t="str">
        <f>Wumple!B78</f>
        <v>targetTime = time + cdTime</v>
      </c>
      <c r="C78" s="6">
        <f>CombinedHumanGrading!C78</f>
        <v>1</v>
      </c>
      <c r="D78" s="6">
        <f>'Gemini 3.1 Pro Preview Grading'!C78</f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6" t="str">
        <f>Wumple!A79</f>
        <v>Transition</v>
      </c>
      <c r="B79" s="6" t="str">
        <f>Wumple!B79</f>
        <v>A (CountdownMode ⇒ TimeKeepingMode)</v>
      </c>
      <c r="C79" s="6">
        <f>CombinedHumanGrading!C79</f>
        <v>1</v>
      </c>
      <c r="D79" s="6">
        <f>'Gemini 3.1 Pro Preview Grading'!C79</f>
        <v>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6" t="str">
        <f>Wumple!A80</f>
        <v>State</v>
      </c>
      <c r="B80" s="6" t="str">
        <f>Wumple!B80</f>
        <v>Seconds</v>
      </c>
      <c r="C80" s="6">
        <f>CombinedHumanGrading!C80</f>
        <v>1</v>
      </c>
      <c r="D80" s="6">
        <f>'Gemini 3.1 Pro Preview Grading'!C80</f>
        <v>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6" t="str">
        <f>Wumple!A81</f>
        <v>Transition</v>
      </c>
      <c r="B81" s="6" t="str">
        <f>Wumple!B81</f>
        <v>B (Seconds ⇒ Seconds)</v>
      </c>
      <c r="C81" s="6">
        <f>CombinedHumanGrading!C81</f>
        <v>1</v>
      </c>
      <c r="D81" s="6">
        <f>'Gemini 3.1 Pro Preview Grading'!C81</f>
        <v>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6" t="str">
        <f>Wumple!A82</f>
        <v>Action</v>
      </c>
      <c r="B82" s="6" t="str">
        <f>Wumple!B82</f>
        <v>cdTime+=1sec</v>
      </c>
      <c r="C82" s="6">
        <f>CombinedHumanGrading!C82</f>
        <v>1</v>
      </c>
      <c r="D82" s="6">
        <f>'Gemini 3.1 Pro Preview Grading'!C82</f>
        <v>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6" t="str">
        <f>Wumple!A83</f>
        <v>Transition</v>
      </c>
      <c r="B83" s="6" t="str">
        <f>Wumple!B83</f>
        <v>C (Seconds ⇒ Minutes)</v>
      </c>
      <c r="C83" s="6">
        <f>CombinedHumanGrading!C83</f>
        <v>1</v>
      </c>
      <c r="D83" s="6">
        <f>'Gemini 3.1 Pro Preview Grading'!C83</f>
        <v>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6" t="str">
        <f>Wumple!A84</f>
        <v>Action</v>
      </c>
      <c r="B84" s="6" t="str">
        <f>Wumple!B84</f>
        <v>flashMinutes()</v>
      </c>
      <c r="C84" s="6">
        <f>CombinedHumanGrading!C84</f>
        <v>0</v>
      </c>
      <c r="D84" s="6">
        <f>'Gemini 3.1 Pro Preview Grading'!C84</f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6" t="str">
        <f>Wumple!A85</f>
        <v>State</v>
      </c>
      <c r="B85" s="6" t="str">
        <f>Wumple!B85</f>
        <v>Minutes</v>
      </c>
      <c r="C85" s="6">
        <f>CombinedHumanGrading!C85</f>
        <v>1</v>
      </c>
      <c r="D85" s="6">
        <f>'Gemini 3.1 Pro Preview Grading'!C85</f>
        <v>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6" t="str">
        <f>Wumple!A86</f>
        <v>Transition</v>
      </c>
      <c r="B86" s="6" t="str">
        <f>Wumple!B86</f>
        <v>B (Minutes ⇒ Minutes)</v>
      </c>
      <c r="C86" s="6">
        <f>CombinedHumanGrading!C86</f>
        <v>1</v>
      </c>
      <c r="D86" s="6">
        <f>'Gemini 3.1 Pro Preview Grading'!C86</f>
        <v>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6" t="str">
        <f>Wumple!A87</f>
        <v>Action</v>
      </c>
      <c r="B87" s="6" t="str">
        <f>Wumple!B87</f>
        <v>cdTime+=1min</v>
      </c>
      <c r="C87" s="6">
        <f>CombinedHumanGrading!C87</f>
        <v>1</v>
      </c>
      <c r="D87" s="6">
        <f>'Gemini 3.1 Pro Preview Grading'!C87</f>
        <v>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6" t="str">
        <f>Wumple!A88</f>
        <v>Transition</v>
      </c>
      <c r="B88" s="6" t="str">
        <f>Wumple!B88</f>
        <v>C (Minutes ⇒ Hours)</v>
      </c>
      <c r="C88" s="6">
        <f>CombinedHumanGrading!C88</f>
        <v>1</v>
      </c>
      <c r="D88" s="6">
        <f>'Gemini 3.1 Pro Preview Grading'!C88</f>
        <v>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6" t="str">
        <f>Wumple!A89</f>
        <v>Action</v>
      </c>
      <c r="B89" s="6" t="str">
        <f>Wumple!B89</f>
        <v>flashHours()</v>
      </c>
      <c r="C89" s="6">
        <f>CombinedHumanGrading!C89</f>
        <v>0</v>
      </c>
      <c r="D89" s="6">
        <f>'Gemini 3.1 Pro Preview Grading'!C89</f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6" t="str">
        <f>Wumple!A90</f>
        <v>State</v>
      </c>
      <c r="B90" s="6" t="str">
        <f>Wumple!B90</f>
        <v>Hours</v>
      </c>
      <c r="C90" s="6">
        <f>CombinedHumanGrading!C90</f>
        <v>1</v>
      </c>
      <c r="D90" s="6">
        <f>'Gemini 3.1 Pro Preview Grading'!C90</f>
        <v>1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6" t="str">
        <f>Wumple!A91</f>
        <v>Transition</v>
      </c>
      <c r="B91" s="6" t="str">
        <f>Wumple!B91</f>
        <v>B (Hours ⇒ Hours)</v>
      </c>
      <c r="C91" s="6">
        <f>CombinedHumanGrading!C91</f>
        <v>1</v>
      </c>
      <c r="D91" s="6">
        <f>'Gemini 3.1 Pro Preview Grading'!C91</f>
        <v>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6" t="str">
        <f>Wumple!A92</f>
        <v>Action</v>
      </c>
      <c r="B92" s="6" t="str">
        <f>Wumple!B92</f>
        <v>cdTime+=1hr</v>
      </c>
      <c r="C92" s="6">
        <f>CombinedHumanGrading!C92</f>
        <v>1</v>
      </c>
      <c r="D92" s="6">
        <f>'Gemini 3.1 Pro Preview Grading'!C92</f>
        <v>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6" t="str">
        <f>Wumple!A93</f>
        <v>Transition</v>
      </c>
      <c r="B93" s="6" t="str">
        <f>Wumple!B93</f>
        <v>C (Hours ⇒ Seconds)</v>
      </c>
      <c r="C93" s="6">
        <f>CombinedHumanGrading!C93</f>
        <v>1</v>
      </c>
      <c r="D93" s="6">
        <f>'Gemini 3.1 Pro Preview Grading'!C93</f>
        <v>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6" t="str">
        <f>Wumple!A94</f>
        <v>Action</v>
      </c>
      <c r="B94" s="6" t="str">
        <f>Wumple!B94</f>
        <v>flashSeconds()</v>
      </c>
      <c r="C94" s="6">
        <f>CombinedHumanGrading!C94</f>
        <v>0</v>
      </c>
      <c r="D94" s="6">
        <f>'Gemini 3.1 Pro Preview Grading'!C94</f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6" t="str">
        <f>Wumple!A95</f>
        <v>State</v>
      </c>
      <c r="B95" s="6" t="str">
        <f>Wumple!B95</f>
        <v>Countdown</v>
      </c>
      <c r="C95" s="6">
        <f>CombinedHumanGrading!C95</f>
        <v>1</v>
      </c>
      <c r="D95" s="6">
        <f>'Gemini 3.1 Pro Preview Grading'!C95</f>
        <v>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6" t="str">
        <f>Wumple!A96</f>
        <v>Action</v>
      </c>
      <c r="B96" s="6" t="str">
        <f>Wumple!B96</f>
        <v>do / displayCountdown()</v>
      </c>
      <c r="C96" s="6">
        <f>CombinedHumanGrading!C96</f>
        <v>1</v>
      </c>
      <c r="D96" s="6">
        <f>'Gemini 3.1 Pro Preview Grading'!C96</f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6" t="str">
        <f>Wumple!A97</f>
        <v>Transition</v>
      </c>
      <c r="B97" s="6" t="str">
        <f>Wumple!B97</f>
        <v>(targetTime == time) (Countdown ⇒ CountdownReached)</v>
      </c>
      <c r="C97" s="6">
        <f>CombinedHumanGrading!C97</f>
        <v>1</v>
      </c>
      <c r="D97" s="6">
        <f>'Gemini 3.1 Pro Preview Grading'!C97</f>
        <v>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6" t="str">
        <f>Wumple!A98</f>
        <v>Action</v>
      </c>
      <c r="B98" s="6" t="str">
        <f>Wumple!B98</f>
        <v>flash()</v>
      </c>
      <c r="C98" s="6">
        <f>CombinedHumanGrading!C98</f>
        <v>1</v>
      </c>
      <c r="D98" s="6">
        <f>'Gemini 3.1 Pro Preview Grading'!C98</f>
        <v>0.5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6" t="str">
        <f>Wumple!A99</f>
        <v>State</v>
      </c>
      <c r="B99" s="6" t="str">
        <f>Wumple!B99</f>
        <v>CountdownReached</v>
      </c>
      <c r="C99" s="6">
        <f>CombinedHumanGrading!C99</f>
        <v>1</v>
      </c>
      <c r="D99" s="6">
        <f>'Gemini 3.1 Pro Preview Grading'!C99</f>
        <v>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6" t="str">
        <f>Wumple!A100</f>
        <v>Action</v>
      </c>
      <c r="B100" s="6" t="str">
        <f>Wumple!B100</f>
        <v>do / flashZero&amp;Beep5Sec()</v>
      </c>
      <c r="C100" s="6">
        <f>CombinedHumanGrading!C100</f>
        <v>1</v>
      </c>
      <c r="D100" s="6">
        <f>'Gemini 3.1 Pro Preview Grading'!C100</f>
        <v>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6" t="str">
        <f>Wumple!A101</f>
        <v>Transition</v>
      </c>
      <c r="B101" s="6" t="str">
        <f>Wumple!B101</f>
        <v>anyButton (CountdownReached ⇒ CountdownMode)</v>
      </c>
      <c r="C101" s="6">
        <f>CombinedHumanGrading!C101</f>
        <v>1</v>
      </c>
      <c r="D101" s="6">
        <f>'Gemini 3.1 Pro Preview Grading'!C101</f>
        <v>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6" t="str">
        <f>Wumple!A102</f>
        <v>History State</v>
      </c>
      <c r="B102" s="6" t="str">
        <f>Wumple!B102</f>
        <v>H</v>
      </c>
      <c r="C102" s="6">
        <f>CombinedHumanGrading!C102</f>
        <v>1</v>
      </c>
      <c r="D102" s="6">
        <f>'Gemini 3.1 Pro Preview Grading'!C102</f>
        <v>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6" t="str">
        <f>Wumple!A103</f>
        <v>Transition</v>
      </c>
      <c r="B103" s="6" t="str">
        <f>Wumple!B103</f>
        <v>(alarm &amp;&amp; alarmTime == time) (AlarmOff ⇒ AlarmOn)</v>
      </c>
      <c r="C103" s="6">
        <f>CombinedHumanGrading!C103</f>
        <v>1</v>
      </c>
      <c r="D103" s="6">
        <f>'Gemini 3.1 Pro Preview Grading'!C103</f>
        <v>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6" t="str">
        <f>Wumple!A104</f>
        <v>Action</v>
      </c>
      <c r="B104" s="6" t="str">
        <f>Wumple!B104</f>
        <v>saveDisplay()</v>
      </c>
      <c r="C104" s="6">
        <f>CombinedHumanGrading!C104</f>
        <v>0</v>
      </c>
      <c r="D104" s="6">
        <f>'Gemini 3.1 Pro Preview Grading'!C104</f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6" t="str">
        <f>Wumple!A105</f>
        <v>Action</v>
      </c>
      <c r="B105" s="6" t="str">
        <f>Wumple!B105</f>
        <v>flash()</v>
      </c>
      <c r="C105" s="6">
        <f>CombinedHumanGrading!C105</f>
        <v>1</v>
      </c>
      <c r="D105" s="6">
        <f>'Gemini 3.1 Pro Preview Grading'!C105</f>
        <v>0.5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6" t="str">
        <f>Wumple!A106</f>
        <v>State</v>
      </c>
      <c r="B106" s="6" t="str">
        <f>Wumple!B106</f>
        <v>AlarmOn</v>
      </c>
      <c r="C106" s="6">
        <f>CombinedHumanGrading!C106</f>
        <v>1</v>
      </c>
      <c r="D106" s="6">
        <f>'Gemini 3.1 Pro Preview Grading'!C106</f>
        <v>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6" t="str">
        <f>Wumple!A107</f>
        <v>Action</v>
      </c>
      <c r="B107" s="6" t="str">
        <f>Wumple!B107</f>
        <v>do / flashAlarmTime&amp;Beep5Sec()</v>
      </c>
      <c r="C107" s="6">
        <f>CombinedHumanGrading!C107</f>
        <v>1</v>
      </c>
      <c r="D107" s="6">
        <f>'Gemini 3.1 Pro Preview Grading'!C107</f>
        <v>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6" t="str">
        <f>Wumple!A108</f>
        <v>Action</v>
      </c>
      <c r="B108" s="6" t="str">
        <f>Wumple!B108</f>
        <v>exit / restoreDisplay()</v>
      </c>
      <c r="C108" s="6">
        <f>CombinedHumanGrading!C108</f>
        <v>1</v>
      </c>
      <c r="D108" s="6">
        <f>'Gemini 3.1 Pro Preview Grading'!C108</f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6" t="str">
        <f>Wumple!A109</f>
        <v>Transition</v>
      </c>
      <c r="B109" s="6" t="str">
        <f>Wumple!B109</f>
        <v>anyButton (AlarmOn ⇒ History State)</v>
      </c>
      <c r="C109" s="6">
        <f>CombinedHumanGrading!C109</f>
        <v>1</v>
      </c>
      <c r="D109" s="6">
        <f>'Gemini 3.1 Pro Preview Grading'!C109</f>
        <v>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10" t="str">
        <f>Wumple!A110</f>
        <v>State</v>
      </c>
      <c r="B110" s="10" t="str">
        <f>Wumple!B110</f>
        <v>additional elements</v>
      </c>
      <c r="C110" s="10">
        <f>CombinedHumanGrading!C110</f>
        <v>0</v>
      </c>
      <c r="D110" s="10">
        <f>'Gemini 3.1 Pro Preview Grading'!C110</f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6" t="str">
        <f>Wumple!A111</f>
        <v>Transition</v>
      </c>
      <c r="B111" s="6" t="str">
        <f>Wumple!B111</f>
        <v>additional elements</v>
      </c>
      <c r="C111" s="6">
        <f>CombinedHumanGrading!C111</f>
        <v>0</v>
      </c>
      <c r="D111" s="6">
        <f>'Gemini 3.1 Pro Preview Grading'!C111</f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6" t="str">
        <f>Wumple!A112</f>
        <v>Guard</v>
      </c>
      <c r="B112" s="6" t="str">
        <f>Wumple!B112</f>
        <v>additional elements</v>
      </c>
      <c r="C112" s="6">
        <f>CombinedHumanGrading!C112</f>
        <v>0</v>
      </c>
      <c r="D112" s="6">
        <f>'Gemini 3.1 Pro Preview Grading'!C112</f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6" t="str">
        <f>Wumple!A113</f>
        <v>Action</v>
      </c>
      <c r="B113" s="6" t="str">
        <f>Wumple!B113</f>
        <v>additional elements</v>
      </c>
      <c r="C113" s="6">
        <f>CombinedHumanGrading!C113</f>
        <v>0</v>
      </c>
      <c r="D113" s="6">
        <f>'Gemini 3.1 Pro Preview Grading'!C113</f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6" t="str">
        <f>Wumple!A114</f>
        <v>Composite State</v>
      </c>
      <c r="B114" s="6" t="str">
        <f>Wumple!B114</f>
        <v>additional elements</v>
      </c>
      <c r="C114" s="6">
        <f>CombinedHumanGrading!C114</f>
        <v>0</v>
      </c>
      <c r="D114" s="6">
        <f>'Gemini 3.1 Pro Preview Grading'!C114</f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6" t="str">
        <f>Wumple!A115</f>
        <v>Region</v>
      </c>
      <c r="B115" s="6" t="str">
        <f>Wumple!B115</f>
        <v>additional elements</v>
      </c>
      <c r="C115" s="6">
        <f>CombinedHumanGrading!C115</f>
        <v>0</v>
      </c>
      <c r="D115" s="6">
        <f>'Gemini 3.1 Pro Preview Grading'!C115</f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6" t="str">
        <f>Wumple!A116</f>
        <v>History State</v>
      </c>
      <c r="B116" s="6" t="str">
        <f>Wumple!B116</f>
        <v>additional elements</v>
      </c>
      <c r="C116" s="6">
        <f>CombinedHumanGrading!C116</f>
        <v>2</v>
      </c>
      <c r="D116" s="6">
        <f>'Gemini 3.1 Pro Preview Grading'!C116</f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43"/>
      <c r="B117" s="66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3"/>
      <c r="B118" s="66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66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66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