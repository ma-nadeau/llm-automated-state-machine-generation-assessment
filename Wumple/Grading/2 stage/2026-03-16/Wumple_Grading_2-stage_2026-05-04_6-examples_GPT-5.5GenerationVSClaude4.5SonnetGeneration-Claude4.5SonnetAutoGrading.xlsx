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1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8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7" fillId="0" borderId="1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13" applyAlignment="1" pivotButton="0" quotePrefix="0" xfId="0">
      <alignment horizontal="center"/>
    </xf>
    <xf numFmtId="0" fontId="7" fillId="0" borderId="13" pivotButton="0" quotePrefix="0" xfId="0"/>
    <xf numFmtId="0" fontId="3" fillId="0" borderId="0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3" pivotButton="0" quotePrefix="0" xfId="0"/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116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116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11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1" min="1" max="1"/>
    <col width="44.5" customWidth="1" style="101" min="2" max="2"/>
    <col width="10.6640625" customWidth="1" style="101" min="3" max="22"/>
  </cols>
  <sheetData>
    <row r="1" ht="13.5" customHeight="1" s="10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1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1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1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1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1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1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1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1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1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1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1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1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1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1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1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1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1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1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1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1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1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1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1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1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1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1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1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1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1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1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1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1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1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1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1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1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1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1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1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1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1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1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1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1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1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1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1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1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1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1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1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1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1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1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1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1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1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1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1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1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1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1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1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1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1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1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1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1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1">
      <c r="A70" s="4" t="inlineStr">
        <is>
          <t>Composite State</t>
        </is>
      </c>
      <c r="B70" s="5" t="inlineStr">
        <is>
          <t>CountdownMode</t>
        </is>
      </c>
    </row>
    <row r="71" ht="12.75" customHeight="1" s="101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1">
      <c r="A72" s="10" t="inlineStr">
        <is>
          <t>State</t>
        </is>
      </c>
      <c r="B72" s="11" t="inlineStr">
        <is>
          <t>Idle</t>
        </is>
      </c>
    </row>
    <row r="73" ht="12.75" customHeight="1" s="101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1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1">
      <c r="A75" s="12" t="inlineStr">
        <is>
          <t>Action</t>
        </is>
      </c>
      <c r="B75" s="13" t="inlineStr">
        <is>
          <t>flashSeconds()</t>
        </is>
      </c>
    </row>
    <row r="76" ht="12.75" customHeight="1" s="101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1">
      <c r="A77" s="12" t="inlineStr">
        <is>
          <t>Guard</t>
        </is>
      </c>
      <c r="B77" s="13" t="inlineStr">
        <is>
          <t>[cdTime &gt; 0:00:00]</t>
        </is>
      </c>
    </row>
    <row r="78" ht="12.75" customHeight="1" s="101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1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1">
      <c r="A80" s="12" t="inlineStr">
        <is>
          <t>State</t>
        </is>
      </c>
      <c r="B80" s="13" t="inlineStr">
        <is>
          <t>Seconds</t>
        </is>
      </c>
    </row>
    <row r="81" ht="12.75" customHeight="1" s="101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1">
      <c r="A82" s="12" t="inlineStr">
        <is>
          <t>Action</t>
        </is>
      </c>
      <c r="B82" s="13" t="inlineStr">
        <is>
          <t>cdTime+=1sec</t>
        </is>
      </c>
    </row>
    <row r="83" ht="12.75" customHeight="1" s="101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1">
      <c r="A84" s="12" t="inlineStr">
        <is>
          <t>Action</t>
        </is>
      </c>
      <c r="B84" s="13" t="inlineStr">
        <is>
          <t>flashMinutes()</t>
        </is>
      </c>
    </row>
    <row r="85" ht="12.75" customHeight="1" s="101">
      <c r="A85" s="12" t="inlineStr">
        <is>
          <t>State</t>
        </is>
      </c>
      <c r="B85" s="13" t="inlineStr">
        <is>
          <t>Minutes</t>
        </is>
      </c>
    </row>
    <row r="86" ht="12.75" customHeight="1" s="101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1">
      <c r="A87" s="12" t="inlineStr">
        <is>
          <t>Action</t>
        </is>
      </c>
      <c r="B87" s="13" t="inlineStr">
        <is>
          <t>cdTime+=1min</t>
        </is>
      </c>
    </row>
    <row r="88" ht="12.75" customHeight="1" s="101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1">
      <c r="A89" s="12" t="inlineStr">
        <is>
          <t>Action</t>
        </is>
      </c>
      <c r="B89" s="13" t="inlineStr">
        <is>
          <t>flashHours()</t>
        </is>
      </c>
    </row>
    <row r="90" ht="12.75" customHeight="1" s="101">
      <c r="A90" s="12" t="inlineStr">
        <is>
          <t>State</t>
        </is>
      </c>
      <c r="B90" s="13" t="inlineStr">
        <is>
          <t>Hours</t>
        </is>
      </c>
    </row>
    <row r="91" ht="12.75" customHeight="1" s="101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1">
      <c r="A92" s="12" t="inlineStr">
        <is>
          <t>Action</t>
        </is>
      </c>
      <c r="B92" s="13" t="inlineStr">
        <is>
          <t>cdTime+=1hr</t>
        </is>
      </c>
    </row>
    <row r="93" ht="12.75" customHeight="1" s="101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1">
      <c r="A94" s="12" t="inlineStr">
        <is>
          <t>Action</t>
        </is>
      </c>
      <c r="B94" s="13" t="inlineStr">
        <is>
          <t>flashSeconds()</t>
        </is>
      </c>
    </row>
    <row r="95" ht="12.75" customHeight="1" s="101">
      <c r="A95" s="12" t="inlineStr">
        <is>
          <t>State</t>
        </is>
      </c>
      <c r="B95" s="13" t="inlineStr">
        <is>
          <t>Countdown</t>
        </is>
      </c>
    </row>
    <row r="96" ht="12.75" customHeight="1" s="101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1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1">
      <c r="A98" s="12" t="inlineStr">
        <is>
          <t>Action</t>
        </is>
      </c>
      <c r="B98" s="13" t="inlineStr">
        <is>
          <t>flash()</t>
        </is>
      </c>
    </row>
    <row r="99" ht="12.75" customHeight="1" s="101">
      <c r="A99" s="12" t="inlineStr">
        <is>
          <t>State</t>
        </is>
      </c>
      <c r="B99" s="13" t="inlineStr">
        <is>
          <t>CountdownReached</t>
        </is>
      </c>
    </row>
    <row r="100" ht="12.75" customHeight="1" s="101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1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1">
      <c r="A102" s="12" t="inlineStr">
        <is>
          <t>History State</t>
        </is>
      </c>
      <c r="B102" s="13" t="inlineStr">
        <is>
          <t>H</t>
        </is>
      </c>
    </row>
    <row r="103" ht="12.75" customHeight="1" s="101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1">
      <c r="A104" s="12" t="inlineStr">
        <is>
          <t>Action</t>
        </is>
      </c>
      <c r="B104" s="13" t="inlineStr">
        <is>
          <t>saveDisplay()</t>
        </is>
      </c>
    </row>
    <row r="105" ht="12.75" customHeight="1" s="101">
      <c r="A105" s="12" t="inlineStr">
        <is>
          <t>Action</t>
        </is>
      </c>
      <c r="B105" s="13" t="inlineStr">
        <is>
          <t>flash()</t>
        </is>
      </c>
    </row>
    <row r="106" ht="12.75" customHeight="1" s="101">
      <c r="A106" s="12" t="inlineStr">
        <is>
          <t>State</t>
        </is>
      </c>
      <c r="B106" s="13" t="inlineStr">
        <is>
          <t>AlarmOn</t>
        </is>
      </c>
    </row>
    <row r="107" ht="12.75" customHeight="1" s="101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1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1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1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1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1">
      <c r="A112" s="8" t="inlineStr">
        <is>
          <t>Guard</t>
        </is>
      </c>
      <c r="B112" s="9" t="inlineStr">
        <is>
          <t>additional elements</t>
        </is>
      </c>
    </row>
    <row r="113" ht="12.75" customHeight="1" s="101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1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1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1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1">
      <c r="A117" s="18" t="n"/>
      <c r="B117" s="19" t="n"/>
    </row>
    <row r="118" ht="12.75" customHeight="1" s="101">
      <c r="A118" s="18" t="n"/>
      <c r="B118" s="19" t="n"/>
    </row>
    <row r="119" ht="12.75" customHeight="1" s="101">
      <c r="A119" s="18" t="n"/>
      <c r="B119" s="19" t="n"/>
    </row>
    <row r="120" ht="12.75" customHeight="1" s="101">
      <c r="A120" s="18" t="n"/>
      <c r="B120" s="19" t="n"/>
    </row>
    <row r="121" ht="12.75" customHeight="1" s="101">
      <c r="A121" s="18" t="n"/>
      <c r="B121" s="19" t="n"/>
    </row>
    <row r="122" ht="12.75" customHeight="1" s="101">
      <c r="A122" s="18" t="n"/>
      <c r="B122" s="19" t="n"/>
    </row>
    <row r="123" ht="12.75" customHeight="1" s="101">
      <c r="A123" s="18" t="n"/>
      <c r="B123" s="19" t="n"/>
    </row>
    <row r="124" ht="12.75" customHeight="1" s="101">
      <c r="A124" s="18" t="n"/>
      <c r="B124" s="19" t="n"/>
    </row>
    <row r="125" ht="12.75" customHeight="1" s="101">
      <c r="A125" s="18" t="n"/>
      <c r="B125" s="19" t="n"/>
    </row>
    <row r="126" ht="12.75" customHeight="1" s="101">
      <c r="A126" s="18" t="n"/>
      <c r="B126" s="19" t="n"/>
    </row>
    <row r="127" ht="12.75" customHeight="1" s="101">
      <c r="A127" s="18" t="n"/>
      <c r="B127" s="19" t="n"/>
    </row>
    <row r="128" ht="12.75" customHeight="1" s="101">
      <c r="A128" s="18" t="n"/>
      <c r="B128" s="19" t="n"/>
    </row>
    <row r="129" ht="12.75" customHeight="1" s="101">
      <c r="A129" s="18" t="n"/>
      <c r="B129" s="19" t="n"/>
    </row>
    <row r="130" ht="12.75" customHeight="1" s="101">
      <c r="A130" s="18" t="n"/>
      <c r="B130" s="19" t="n"/>
    </row>
    <row r="131" ht="12.75" customHeight="1" s="101">
      <c r="A131" s="18" t="n"/>
      <c r="B131" s="19" t="n"/>
    </row>
    <row r="132" ht="12.75" customHeight="1" s="101">
      <c r="A132" s="18" t="n"/>
      <c r="B132" s="19" t="n"/>
    </row>
    <row r="133" ht="12.75" customHeight="1" s="101">
      <c r="A133" s="18" t="n"/>
      <c r="B133" s="19" t="n"/>
    </row>
    <row r="134" ht="12.75" customHeight="1" s="101">
      <c r="A134" s="18" t="n"/>
      <c r="B134" s="19" t="n"/>
    </row>
    <row r="135" ht="12.75" customHeight="1" s="101">
      <c r="A135" s="18" t="n"/>
      <c r="B135" s="19" t="n"/>
    </row>
    <row r="136" ht="12.75" customHeight="1" s="101">
      <c r="A136" s="18" t="n"/>
      <c r="B136" s="19" t="n"/>
    </row>
    <row r="137" ht="12.75" customHeight="1" s="101">
      <c r="A137" s="18" t="n"/>
      <c r="B137" s="19" t="n"/>
    </row>
    <row r="138" ht="12.75" customHeight="1" s="101">
      <c r="A138" s="18" t="n"/>
      <c r="B138" s="19" t="n"/>
    </row>
    <row r="139" ht="12.75" customHeight="1" s="101">
      <c r="A139" s="18" t="n"/>
      <c r="B139" s="19" t="n"/>
    </row>
    <row r="140" ht="12.75" customHeight="1" s="101">
      <c r="A140" s="18" t="n"/>
      <c r="B140" s="19" t="n"/>
    </row>
    <row r="141" ht="12.75" customHeight="1" s="101">
      <c r="A141" s="18" t="n"/>
      <c r="B141" s="19" t="n"/>
    </row>
    <row r="142" ht="12.75" customHeight="1" s="101">
      <c r="A142" s="18" t="n"/>
      <c r="B142" s="19" t="n"/>
    </row>
    <row r="143" ht="12.75" customHeight="1" s="101">
      <c r="A143" s="18" t="n"/>
      <c r="B143" s="19" t="n"/>
    </row>
    <row r="144" ht="12.75" customHeight="1" s="101">
      <c r="A144" s="18" t="n"/>
      <c r="B144" s="19" t="n"/>
    </row>
    <row r="145" ht="12.75" customHeight="1" s="101">
      <c r="A145" s="18" t="n"/>
      <c r="B145" s="19" t="n"/>
    </row>
    <row r="146" ht="12.75" customHeight="1" s="101">
      <c r="A146" s="18" t="n"/>
      <c r="B146" s="19" t="n"/>
    </row>
    <row r="147" ht="12.75" customHeight="1" s="101">
      <c r="A147" s="18" t="n"/>
      <c r="B147" s="19" t="n"/>
    </row>
    <row r="148" ht="12.75" customHeight="1" s="101">
      <c r="A148" s="18" t="n"/>
      <c r="B148" s="19" t="n"/>
    </row>
    <row r="149" ht="12.75" customHeight="1" s="101">
      <c r="A149" s="18" t="n"/>
      <c r="B149" s="19" t="n"/>
    </row>
    <row r="150" ht="12.75" customHeight="1" s="101">
      <c r="A150" s="18" t="n"/>
      <c r="B150" s="19" t="n"/>
    </row>
    <row r="151" ht="12.75" customHeight="1" s="101">
      <c r="A151" s="18" t="n"/>
      <c r="B151" s="19" t="n"/>
    </row>
    <row r="152" ht="12.75" customHeight="1" s="101">
      <c r="A152" s="18" t="n"/>
      <c r="B152" s="19" t="n"/>
    </row>
    <row r="153" ht="12.75" customHeight="1" s="101">
      <c r="A153" s="18" t="n"/>
      <c r="B153" s="19" t="n"/>
    </row>
    <row r="154" ht="12.75" customHeight="1" s="101">
      <c r="A154" s="18" t="n"/>
      <c r="B154" s="19" t="n"/>
    </row>
    <row r="155" ht="12.75" customHeight="1" s="101">
      <c r="A155" s="18" t="n"/>
      <c r="B155" s="19" t="n"/>
    </row>
    <row r="156" ht="12.75" customHeight="1" s="101">
      <c r="A156" s="18" t="n"/>
      <c r="B156" s="19" t="n"/>
    </row>
    <row r="157" ht="12.75" customHeight="1" s="101">
      <c r="A157" s="18" t="n"/>
      <c r="B157" s="19" t="n"/>
    </row>
    <row r="158" ht="12.75" customHeight="1" s="101">
      <c r="A158" s="18" t="n"/>
      <c r="B158" s="19" t="n"/>
    </row>
    <row r="159" ht="12.75" customHeight="1" s="101">
      <c r="A159" s="18" t="n"/>
      <c r="B159" s="19" t="n"/>
    </row>
    <row r="160" ht="12.75" customHeight="1" s="101">
      <c r="A160" s="18" t="n"/>
      <c r="B160" s="19" t="n"/>
    </row>
    <row r="161" ht="12.75" customHeight="1" s="101">
      <c r="A161" s="18" t="n"/>
      <c r="B161" s="19" t="n"/>
    </row>
    <row r="162" ht="12.75" customHeight="1" s="101">
      <c r="A162" s="18" t="n"/>
      <c r="B162" s="19" t="n"/>
    </row>
    <row r="163" ht="12.75" customHeight="1" s="101">
      <c r="A163" s="18" t="n"/>
      <c r="B163" s="19" t="n"/>
    </row>
    <row r="164" ht="12.75" customHeight="1" s="101">
      <c r="A164" s="18" t="n"/>
      <c r="B164" s="19" t="n"/>
    </row>
    <row r="165" ht="12.75" customHeight="1" s="101">
      <c r="A165" s="18" t="n"/>
      <c r="B165" s="19" t="n"/>
    </row>
    <row r="166" ht="12.75" customHeight="1" s="101">
      <c r="A166" s="18" t="n"/>
      <c r="B166" s="19" t="n"/>
    </row>
    <row r="167" ht="12.75" customHeight="1" s="101">
      <c r="A167" s="18" t="n"/>
      <c r="B167" s="19" t="n"/>
    </row>
    <row r="168" ht="12.75" customHeight="1" s="101">
      <c r="A168" s="18" t="n"/>
      <c r="B168" s="19" t="n"/>
    </row>
    <row r="169" ht="12.75" customHeight="1" s="101">
      <c r="A169" s="18" t="n"/>
      <c r="B169" s="19" t="n"/>
    </row>
    <row r="170" ht="12.75" customHeight="1" s="101">
      <c r="A170" s="18" t="n"/>
      <c r="B170" s="19" t="n"/>
    </row>
    <row r="171" ht="12.75" customHeight="1" s="101">
      <c r="A171" s="18" t="n"/>
      <c r="B171" s="19" t="n"/>
    </row>
    <row r="172" ht="12.75" customHeight="1" s="101">
      <c r="A172" s="18" t="n"/>
      <c r="B172" s="19" t="n"/>
    </row>
    <row r="173" ht="12.75" customHeight="1" s="101">
      <c r="A173" s="18" t="n"/>
      <c r="B173" s="19" t="n"/>
    </row>
    <row r="174" ht="12.75" customHeight="1" s="101">
      <c r="A174" s="18" t="n"/>
      <c r="B174" s="19" t="n"/>
    </row>
    <row r="175" ht="12.75" customHeight="1" s="101">
      <c r="A175" s="18" t="n"/>
      <c r="B175" s="19" t="n"/>
    </row>
    <row r="176" ht="12.75" customHeight="1" s="101">
      <c r="A176" s="18" t="n"/>
      <c r="B176" s="19" t="n"/>
    </row>
    <row r="177" ht="12.75" customHeight="1" s="101">
      <c r="A177" s="18" t="n"/>
      <c r="B177" s="19" t="n"/>
    </row>
    <row r="178" ht="12.75" customHeight="1" s="101">
      <c r="A178" s="18" t="n"/>
      <c r="B178" s="19" t="n"/>
    </row>
    <row r="179" ht="12.75" customHeight="1" s="101">
      <c r="A179" s="18" t="n"/>
      <c r="B179" s="19" t="n"/>
    </row>
    <row r="180" ht="12.75" customHeight="1" s="101">
      <c r="A180" s="18" t="n"/>
      <c r="B180" s="19" t="n"/>
    </row>
    <row r="181" ht="12.75" customHeight="1" s="101">
      <c r="A181" s="18" t="n"/>
      <c r="B181" s="19" t="n"/>
    </row>
    <row r="182" ht="12.75" customHeight="1" s="101">
      <c r="A182" s="18" t="n"/>
      <c r="B182" s="19" t="n"/>
    </row>
    <row r="183" ht="12.75" customHeight="1" s="101">
      <c r="A183" s="18" t="n"/>
      <c r="B183" s="19" t="n"/>
    </row>
    <row r="184" ht="12.75" customHeight="1" s="101">
      <c r="A184" s="18" t="n"/>
      <c r="B184" s="19" t="n"/>
    </row>
    <row r="185" ht="12.75" customHeight="1" s="101">
      <c r="A185" s="18" t="n"/>
      <c r="B185" s="19" t="n"/>
    </row>
    <row r="186" ht="12.75" customHeight="1" s="101">
      <c r="A186" s="18" t="n"/>
      <c r="B186" s="19" t="n"/>
    </row>
    <row r="187" ht="12.75" customHeight="1" s="101">
      <c r="A187" s="18" t="n"/>
      <c r="B187" s="19" t="n"/>
    </row>
    <row r="188" ht="12.75" customHeight="1" s="101">
      <c r="A188" s="18" t="n"/>
      <c r="B188" s="19" t="n"/>
    </row>
    <row r="189" ht="12.75" customHeight="1" s="101">
      <c r="A189" s="18" t="n"/>
      <c r="B189" s="19" t="n"/>
    </row>
    <row r="190" ht="12.75" customHeight="1" s="101">
      <c r="A190" s="18" t="n"/>
      <c r="B190" s="19" t="n"/>
    </row>
    <row r="191" ht="12.75" customHeight="1" s="101">
      <c r="A191" s="18" t="n"/>
      <c r="B191" s="19" t="n"/>
    </row>
    <row r="192" ht="12.75" customHeight="1" s="101">
      <c r="A192" s="18" t="n"/>
      <c r="B192" s="19" t="n"/>
    </row>
    <row r="193" ht="12.75" customHeight="1" s="101">
      <c r="A193" s="18" t="n"/>
      <c r="B193" s="19" t="n"/>
    </row>
    <row r="194" ht="12.75" customHeight="1" s="101">
      <c r="A194" s="18" t="n"/>
      <c r="B194" s="19" t="n"/>
    </row>
    <row r="195" ht="12.75" customHeight="1" s="101">
      <c r="A195" s="18" t="n"/>
      <c r="B195" s="19" t="n"/>
    </row>
    <row r="196" ht="12.75" customHeight="1" s="101">
      <c r="A196" s="18" t="n"/>
      <c r="B196" s="19" t="n"/>
    </row>
    <row r="197" ht="12.75" customHeight="1" s="101">
      <c r="A197" s="18" t="n"/>
      <c r="B197" s="19" t="n"/>
    </row>
    <row r="198" ht="12.75" customHeight="1" s="101">
      <c r="A198" s="18" t="n"/>
      <c r="B198" s="19" t="n"/>
    </row>
    <row r="199" ht="12.75" customHeight="1" s="101">
      <c r="A199" s="18" t="n"/>
      <c r="B199" s="19" t="n"/>
    </row>
    <row r="200" ht="12.75" customHeight="1" s="101">
      <c r="A200" s="18" t="n"/>
      <c r="B200" s="19" t="n"/>
    </row>
    <row r="201" ht="12.75" customHeight="1" s="101">
      <c r="A201" s="18" t="n"/>
      <c r="B201" s="19" t="n"/>
    </row>
    <row r="202" ht="12.75" customHeight="1" s="101">
      <c r="A202" s="18" t="n"/>
      <c r="B202" s="19" t="n"/>
    </row>
    <row r="203" ht="12.75" customHeight="1" s="101">
      <c r="A203" s="18" t="n"/>
      <c r="B203" s="19" t="n"/>
    </row>
    <row r="204" ht="12.75" customHeight="1" s="101">
      <c r="A204" s="18" t="n"/>
      <c r="B204" s="19" t="n"/>
    </row>
    <row r="205" ht="12.75" customHeight="1" s="101">
      <c r="A205" s="18" t="n"/>
      <c r="B205" s="19" t="n"/>
    </row>
    <row r="206" ht="12.75" customHeight="1" s="101">
      <c r="A206" s="18" t="n"/>
      <c r="B206" s="19" t="n"/>
    </row>
    <row r="207" ht="12.75" customHeight="1" s="101">
      <c r="A207" s="18" t="n"/>
      <c r="B207" s="19" t="n"/>
    </row>
    <row r="208" ht="12.75" customHeight="1" s="101">
      <c r="A208" s="18" t="n"/>
      <c r="B208" s="19" t="n"/>
    </row>
    <row r="209" ht="12.75" customHeight="1" s="101">
      <c r="A209" s="18" t="n"/>
      <c r="B209" s="19" t="n"/>
    </row>
    <row r="210" ht="12.75" customHeight="1" s="101">
      <c r="A210" s="18" t="n"/>
      <c r="B210" s="19" t="n"/>
    </row>
    <row r="211" ht="12.75" customHeight="1" s="101">
      <c r="A211" s="18" t="n"/>
      <c r="B211" s="19" t="n"/>
    </row>
    <row r="212" ht="12.75" customHeight="1" s="101">
      <c r="A212" s="18" t="n"/>
      <c r="B212" s="19" t="n"/>
    </row>
    <row r="213" ht="12.75" customHeight="1" s="101">
      <c r="A213" s="18" t="n"/>
      <c r="B213" s="19" t="n"/>
    </row>
    <row r="214" ht="12.75" customHeight="1" s="101">
      <c r="A214" s="18" t="n"/>
      <c r="B214" s="19" t="n"/>
    </row>
    <row r="215" ht="12.75" customHeight="1" s="101">
      <c r="A215" s="18" t="n"/>
      <c r="B215" s="19" t="n"/>
    </row>
    <row r="216" ht="12.75" customHeight="1" s="101">
      <c r="A216" s="18" t="n"/>
      <c r="B216" s="19" t="n"/>
    </row>
    <row r="217" ht="12.75" customHeight="1" s="101">
      <c r="A217" s="18" t="n"/>
      <c r="B217" s="19" t="n"/>
    </row>
    <row r="218" ht="12.75" customHeight="1" s="101">
      <c r="A218" s="18" t="n"/>
      <c r="B218" s="19" t="n"/>
    </row>
    <row r="219" ht="12.75" customHeight="1" s="101">
      <c r="A219" s="18" t="n"/>
      <c r="B219" s="19" t="n"/>
    </row>
    <row r="220" ht="12.75" customHeight="1" s="101">
      <c r="A220" s="18" t="n"/>
      <c r="B220" s="19" t="n"/>
    </row>
    <row r="221" ht="12.75" customHeight="1" s="101">
      <c r="A221" s="18" t="n"/>
      <c r="B221" s="19" t="n"/>
    </row>
    <row r="222" ht="12.75" customHeight="1" s="101">
      <c r="A222" s="18" t="n"/>
      <c r="B222" s="19" t="n"/>
    </row>
    <row r="223" ht="12.75" customHeight="1" s="101">
      <c r="A223" s="18" t="n"/>
      <c r="B223" s="19" t="n"/>
    </row>
    <row r="224" ht="12.75" customHeight="1" s="101">
      <c r="A224" s="18" t="n"/>
      <c r="B224" s="19" t="n"/>
    </row>
    <row r="225" ht="12.75" customHeight="1" s="101">
      <c r="A225" s="18" t="n"/>
      <c r="B225" s="19" t="n"/>
    </row>
    <row r="226" ht="12.75" customHeight="1" s="101">
      <c r="A226" s="18" t="n"/>
      <c r="B226" s="19" t="n"/>
    </row>
    <row r="227" ht="12.75" customHeight="1" s="101">
      <c r="A227" s="18" t="n"/>
      <c r="B227" s="19" t="n"/>
    </row>
    <row r="228" ht="12.75" customHeight="1" s="101">
      <c r="A228" s="18" t="n"/>
      <c r="B228" s="19" t="n"/>
    </row>
    <row r="229" ht="12.75" customHeight="1" s="101">
      <c r="A229" s="18" t="n"/>
      <c r="B229" s="19" t="n"/>
    </row>
    <row r="230" ht="12.75" customHeight="1" s="101">
      <c r="A230" s="18" t="n"/>
      <c r="B230" s="19" t="n"/>
    </row>
    <row r="231" ht="12.75" customHeight="1" s="101">
      <c r="A231" s="18" t="n"/>
      <c r="B231" s="19" t="n"/>
    </row>
    <row r="232" ht="12.75" customHeight="1" s="101">
      <c r="A232" s="18" t="n"/>
      <c r="B232" s="19" t="n"/>
    </row>
    <row r="233" ht="12.75" customHeight="1" s="101">
      <c r="A233" s="18" t="n"/>
      <c r="B233" s="19" t="n"/>
    </row>
    <row r="234" ht="12.75" customHeight="1" s="101">
      <c r="A234" s="18" t="n"/>
      <c r="B234" s="19" t="n"/>
    </row>
    <row r="235" ht="12.75" customHeight="1" s="101">
      <c r="A235" s="18" t="n"/>
      <c r="B235" s="19" t="n"/>
    </row>
    <row r="236" ht="12.75" customHeight="1" s="101">
      <c r="A236" s="18" t="n"/>
      <c r="B236" s="19" t="n"/>
    </row>
    <row r="237" ht="12.75" customHeight="1" s="101">
      <c r="A237" s="18" t="n"/>
      <c r="B237" s="19" t="n"/>
    </row>
    <row r="238" ht="12.75" customHeight="1" s="101">
      <c r="A238" s="18" t="n"/>
      <c r="B238" s="19" t="n"/>
    </row>
    <row r="239" ht="12.75" customHeight="1" s="101">
      <c r="A239" s="18" t="n"/>
      <c r="B239" s="19" t="n"/>
    </row>
    <row r="240" ht="12.75" customHeight="1" s="101">
      <c r="A240" s="18" t="n"/>
      <c r="B240" s="19" t="n"/>
    </row>
    <row r="241" ht="12.75" customHeight="1" s="101">
      <c r="A241" s="18" t="n"/>
      <c r="B241" s="19" t="n"/>
    </row>
    <row r="242" ht="12.75" customHeight="1" s="101">
      <c r="A242" s="18" t="n"/>
      <c r="B242" s="19" t="n"/>
    </row>
    <row r="243" ht="12.75" customHeight="1" s="101">
      <c r="A243" s="18" t="n"/>
      <c r="B243" s="19" t="n"/>
    </row>
    <row r="244" ht="12.75" customHeight="1" s="101">
      <c r="A244" s="18" t="n"/>
      <c r="B244" s="19" t="n"/>
    </row>
    <row r="245" ht="12.75" customHeight="1" s="101">
      <c r="A245" s="18" t="n"/>
      <c r="B245" s="19" t="n"/>
    </row>
    <row r="246" ht="12.75" customHeight="1" s="101">
      <c r="A246" s="18" t="n"/>
      <c r="B246" s="19" t="n"/>
    </row>
    <row r="247" ht="12.75" customHeight="1" s="101">
      <c r="A247" s="18" t="n"/>
      <c r="B247" s="19" t="n"/>
    </row>
    <row r="248" ht="12.75" customHeight="1" s="101">
      <c r="A248" s="18" t="n"/>
      <c r="B248" s="19" t="n"/>
    </row>
    <row r="249" ht="12.75" customHeight="1" s="101">
      <c r="A249" s="18" t="n"/>
      <c r="B249" s="19" t="n"/>
    </row>
    <row r="250" ht="12.75" customHeight="1" s="101">
      <c r="A250" s="18" t="n"/>
      <c r="B250" s="19" t="n"/>
    </row>
    <row r="251" ht="12.75" customHeight="1" s="101">
      <c r="A251" s="18" t="n"/>
      <c r="B251" s="19" t="n"/>
    </row>
    <row r="252" ht="12.75" customHeight="1" s="101">
      <c r="A252" s="18" t="n"/>
      <c r="B252" s="19" t="n"/>
    </row>
    <row r="253" ht="12.75" customHeight="1" s="101">
      <c r="A253" s="18" t="n"/>
      <c r="B253" s="19" t="n"/>
    </row>
    <row r="254" ht="12.75" customHeight="1" s="101">
      <c r="A254" s="18" t="n"/>
      <c r="B254" s="19" t="n"/>
    </row>
    <row r="255" ht="12.75" customHeight="1" s="101">
      <c r="A255" s="18" t="n"/>
      <c r="B255" s="19" t="n"/>
    </row>
    <row r="256" ht="12.75" customHeight="1" s="101">
      <c r="A256" s="18" t="n"/>
      <c r="B256" s="19" t="n"/>
    </row>
    <row r="257" ht="12.75" customHeight="1" s="101">
      <c r="A257" s="18" t="n"/>
      <c r="B257" s="19" t="n"/>
    </row>
    <row r="258" ht="12.75" customHeight="1" s="101">
      <c r="A258" s="18" t="n"/>
      <c r="B258" s="19" t="n"/>
    </row>
    <row r="259" ht="12.75" customHeight="1" s="101">
      <c r="A259" s="18" t="n"/>
      <c r="B259" s="19" t="n"/>
    </row>
    <row r="260" ht="12.75" customHeight="1" s="101">
      <c r="A260" s="18" t="n"/>
      <c r="B260" s="19" t="n"/>
    </row>
    <row r="261" ht="12.75" customHeight="1" s="101">
      <c r="A261" s="18" t="n"/>
      <c r="B261" s="19" t="n"/>
    </row>
    <row r="262" ht="12.75" customHeight="1" s="101">
      <c r="A262" s="18" t="n"/>
      <c r="B262" s="19" t="n"/>
    </row>
    <row r="263" ht="12.75" customHeight="1" s="101">
      <c r="A263" s="18" t="n"/>
      <c r="B263" s="19" t="n"/>
    </row>
    <row r="264" ht="12.75" customHeight="1" s="101">
      <c r="A264" s="18" t="n"/>
      <c r="B264" s="19" t="n"/>
    </row>
    <row r="265" ht="12.75" customHeight="1" s="101">
      <c r="A265" s="18" t="n"/>
      <c r="B265" s="19" t="n"/>
    </row>
    <row r="266" ht="12.75" customHeight="1" s="101">
      <c r="A266" s="18" t="n"/>
      <c r="B266" s="19" t="n"/>
    </row>
    <row r="267" ht="12.75" customHeight="1" s="101">
      <c r="A267" s="18" t="n"/>
      <c r="B267" s="19" t="n"/>
    </row>
    <row r="268" ht="12.75" customHeight="1" s="101">
      <c r="A268" s="18" t="n"/>
      <c r="B268" s="19" t="n"/>
    </row>
    <row r="269" ht="12.75" customHeight="1" s="101">
      <c r="A269" s="18" t="n"/>
      <c r="B269" s="19" t="n"/>
    </row>
    <row r="270" ht="12.75" customHeight="1" s="101">
      <c r="A270" s="18" t="n"/>
      <c r="B270" s="19" t="n"/>
    </row>
    <row r="271" ht="12.75" customHeight="1" s="101">
      <c r="A271" s="18" t="n"/>
      <c r="B271" s="19" t="n"/>
    </row>
    <row r="272" ht="12.75" customHeight="1" s="101">
      <c r="A272" s="18" t="n"/>
      <c r="B272" s="19" t="n"/>
    </row>
    <row r="273" ht="12.75" customHeight="1" s="101">
      <c r="A273" s="18" t="n"/>
      <c r="B273" s="19" t="n"/>
    </row>
    <row r="274" ht="12.75" customHeight="1" s="101">
      <c r="A274" s="18" t="n"/>
      <c r="B274" s="19" t="n"/>
    </row>
    <row r="275" ht="12.75" customHeight="1" s="101">
      <c r="A275" s="18" t="n"/>
      <c r="B275" s="19" t="n"/>
    </row>
    <row r="276" ht="12.75" customHeight="1" s="101">
      <c r="A276" s="18" t="n"/>
      <c r="B276" s="19" t="n"/>
    </row>
    <row r="277" ht="12.75" customHeight="1" s="101">
      <c r="A277" s="18" t="n"/>
      <c r="B277" s="19" t="n"/>
    </row>
    <row r="278" ht="12.75" customHeight="1" s="101">
      <c r="A278" s="18" t="n"/>
      <c r="B278" s="19" t="n"/>
    </row>
    <row r="279" ht="12.75" customHeight="1" s="101">
      <c r="A279" s="18" t="n"/>
      <c r="B279" s="19" t="n"/>
    </row>
    <row r="280" ht="12.75" customHeight="1" s="101">
      <c r="A280" s="18" t="n"/>
      <c r="B280" s="19" t="n"/>
    </row>
    <row r="281" ht="12.75" customHeight="1" s="101">
      <c r="A281" s="18" t="n"/>
      <c r="B281" s="19" t="n"/>
    </row>
    <row r="282" ht="12.75" customHeight="1" s="101">
      <c r="A282" s="18" t="n"/>
      <c r="B282" s="19" t="n"/>
    </row>
    <row r="283" ht="12.75" customHeight="1" s="101">
      <c r="A283" s="18" t="n"/>
      <c r="B283" s="19" t="n"/>
    </row>
    <row r="284" ht="12.75" customHeight="1" s="101">
      <c r="A284" s="18" t="n"/>
      <c r="B284" s="19" t="n"/>
    </row>
    <row r="285" ht="12.75" customHeight="1" s="101">
      <c r="A285" s="18" t="n"/>
      <c r="B285" s="19" t="n"/>
    </row>
    <row r="286" ht="12.75" customHeight="1" s="101">
      <c r="A286" s="18" t="n"/>
      <c r="B286" s="19" t="n"/>
    </row>
    <row r="287" ht="12.75" customHeight="1" s="101">
      <c r="A287" s="18" t="n"/>
      <c r="B287" s="19" t="n"/>
    </row>
    <row r="288" ht="12.75" customHeight="1" s="101">
      <c r="A288" s="18" t="n"/>
      <c r="B288" s="19" t="n"/>
    </row>
    <row r="289" ht="12.75" customHeight="1" s="101">
      <c r="A289" s="18" t="n"/>
      <c r="B289" s="19" t="n"/>
    </row>
    <row r="290" ht="12.75" customHeight="1" s="101">
      <c r="A290" s="18" t="n"/>
      <c r="B290" s="19" t="n"/>
    </row>
    <row r="291" ht="12.75" customHeight="1" s="101">
      <c r="A291" s="18" t="n"/>
      <c r="B291" s="19" t="n"/>
    </row>
    <row r="292" ht="12.75" customHeight="1" s="101">
      <c r="A292" s="18" t="n"/>
      <c r="B292" s="19" t="n"/>
    </row>
    <row r="293" ht="12.75" customHeight="1" s="101">
      <c r="A293" s="18" t="n"/>
      <c r="B293" s="19" t="n"/>
    </row>
    <row r="294" ht="12.75" customHeight="1" s="101">
      <c r="A294" s="18" t="n"/>
      <c r="B294" s="19" t="n"/>
    </row>
    <row r="295" ht="12.75" customHeight="1" s="101">
      <c r="A295" s="18" t="n"/>
      <c r="B295" s="19" t="n"/>
    </row>
    <row r="296" ht="12.75" customHeight="1" s="101">
      <c r="A296" s="18" t="n"/>
      <c r="B296" s="19" t="n"/>
    </row>
    <row r="297" ht="12.75" customHeight="1" s="101">
      <c r="A297" s="18" t="n"/>
      <c r="B297" s="19" t="n"/>
    </row>
    <row r="298" ht="12.75" customHeight="1" s="101">
      <c r="A298" s="18" t="n"/>
      <c r="B298" s="19" t="n"/>
    </row>
    <row r="299" ht="12.75" customHeight="1" s="101">
      <c r="A299" s="18" t="n"/>
      <c r="B299" s="19" t="n"/>
    </row>
    <row r="300" ht="12.75" customHeight="1" s="101">
      <c r="A300" s="18" t="n"/>
      <c r="B300" s="19" t="n"/>
    </row>
    <row r="301" ht="12.75" customHeight="1" s="101">
      <c r="A301" s="18" t="n"/>
      <c r="B301" s="19" t="n"/>
    </row>
    <row r="302" ht="12.75" customHeight="1" s="101">
      <c r="A302" s="18" t="n"/>
      <c r="B302" s="19" t="n"/>
    </row>
    <row r="303" ht="12.75" customHeight="1" s="101">
      <c r="A303" s="18" t="n"/>
      <c r="B303" s="19" t="n"/>
    </row>
    <row r="304" ht="12.75" customHeight="1" s="101">
      <c r="A304" s="18" t="n"/>
      <c r="B304" s="19" t="n"/>
    </row>
    <row r="305" ht="12.75" customHeight="1" s="101">
      <c r="A305" s="18" t="n"/>
      <c r="B305" s="19" t="n"/>
    </row>
    <row r="306" ht="12.75" customHeight="1" s="101">
      <c r="A306" s="18" t="n"/>
      <c r="B306" s="19" t="n"/>
    </row>
    <row r="307" ht="12.75" customHeight="1" s="101">
      <c r="A307" s="18" t="n"/>
      <c r="B307" s="19" t="n"/>
    </row>
    <row r="308" ht="12.75" customHeight="1" s="101">
      <c r="A308" s="18" t="n"/>
      <c r="B308" s="19" t="n"/>
    </row>
    <row r="309" ht="12.75" customHeight="1" s="101">
      <c r="A309" s="18" t="n"/>
      <c r="B309" s="19" t="n"/>
    </row>
    <row r="310" ht="12.75" customHeight="1" s="101">
      <c r="A310" s="18" t="n"/>
      <c r="B310" s="19" t="n"/>
    </row>
    <row r="311" ht="12.75" customHeight="1" s="101">
      <c r="A311" s="18" t="n"/>
      <c r="B311" s="19" t="n"/>
    </row>
    <row r="312" ht="12.75" customHeight="1" s="101">
      <c r="A312" s="18" t="n"/>
      <c r="B312" s="19" t="n"/>
    </row>
    <row r="313" ht="12.75" customHeight="1" s="101">
      <c r="A313" s="18" t="n"/>
      <c r="B313" s="19" t="n"/>
    </row>
    <row r="314" ht="12.75" customHeight="1" s="101">
      <c r="A314" s="18" t="n"/>
      <c r="B314" s="19" t="n"/>
    </row>
    <row r="315" ht="12.75" customHeight="1" s="101">
      <c r="A315" s="18" t="n"/>
      <c r="B315" s="19" t="n"/>
    </row>
    <row r="316" ht="12.75" customHeight="1" s="101">
      <c r="A316" s="18" t="n"/>
      <c r="B316" s="19" t="n"/>
    </row>
    <row r="317" ht="12.75" customHeight="1" s="101">
      <c r="A317" s="18" t="n"/>
      <c r="B317" s="19" t="n"/>
    </row>
    <row r="318" ht="12.75" customHeight="1" s="101">
      <c r="A318" s="18" t="n"/>
      <c r="B318" s="19" t="n"/>
    </row>
    <row r="319" ht="12.75" customHeight="1" s="101">
      <c r="A319" s="18" t="n"/>
      <c r="B319" s="19" t="n"/>
    </row>
    <row r="320" ht="12.75" customHeight="1" s="101">
      <c r="A320" s="18" t="n"/>
      <c r="B320" s="19" t="n"/>
    </row>
    <row r="321" ht="12.75" customHeight="1" s="101">
      <c r="A321" s="18" t="n"/>
      <c r="B321" s="19" t="n"/>
    </row>
    <row r="322" ht="12.75" customHeight="1" s="101">
      <c r="A322" s="18" t="n"/>
      <c r="B322" s="19" t="n"/>
    </row>
    <row r="323" ht="12.75" customHeight="1" s="101">
      <c r="A323" s="18" t="n"/>
      <c r="B323" s="19" t="n"/>
    </row>
    <row r="324" ht="12.75" customHeight="1" s="101">
      <c r="A324" s="18" t="n"/>
      <c r="B324" s="19" t="n"/>
    </row>
    <row r="325" ht="12.75" customHeight="1" s="101">
      <c r="A325" s="18" t="n"/>
      <c r="B325" s="19" t="n"/>
    </row>
    <row r="326" ht="12.75" customHeight="1" s="101">
      <c r="A326" s="18" t="n"/>
      <c r="B326" s="19" t="n"/>
    </row>
    <row r="327" ht="12.75" customHeight="1" s="101">
      <c r="A327" s="18" t="n"/>
      <c r="B327" s="19" t="n"/>
    </row>
    <row r="328" ht="12.75" customHeight="1" s="101">
      <c r="A328" s="18" t="n"/>
      <c r="B328" s="19" t="n"/>
    </row>
    <row r="329" ht="12.75" customHeight="1" s="101">
      <c r="A329" s="18" t="n"/>
      <c r="B329" s="19" t="n"/>
    </row>
    <row r="330" ht="12.75" customHeight="1" s="101">
      <c r="A330" s="18" t="n"/>
      <c r="B330" s="19" t="n"/>
    </row>
    <row r="331" ht="12.75" customHeight="1" s="101">
      <c r="A331" s="18" t="n"/>
      <c r="B331" s="19" t="n"/>
    </row>
    <row r="332" ht="12.75" customHeight="1" s="101">
      <c r="A332" s="18" t="n"/>
      <c r="B332" s="19" t="n"/>
    </row>
    <row r="333" ht="12.75" customHeight="1" s="101">
      <c r="A333" s="18" t="n"/>
      <c r="B333" s="19" t="n"/>
    </row>
    <row r="334" ht="12.75" customHeight="1" s="101">
      <c r="A334" s="18" t="n"/>
      <c r="B334" s="19" t="n"/>
    </row>
    <row r="335" ht="12.75" customHeight="1" s="101">
      <c r="A335" s="18" t="n"/>
      <c r="B335" s="19" t="n"/>
    </row>
    <row r="336" ht="12.75" customHeight="1" s="101">
      <c r="A336" s="18" t="n"/>
      <c r="B336" s="19" t="n"/>
    </row>
    <row r="337" ht="12.75" customHeight="1" s="101">
      <c r="A337" s="18" t="n"/>
      <c r="B337" s="19" t="n"/>
    </row>
    <row r="338" ht="12.75" customHeight="1" s="101">
      <c r="A338" s="18" t="n"/>
      <c r="B338" s="19" t="n"/>
    </row>
    <row r="339" ht="12.75" customHeight="1" s="101">
      <c r="A339" s="18" t="n"/>
      <c r="B339" s="19" t="n"/>
    </row>
    <row r="340" ht="12.75" customHeight="1" s="101">
      <c r="A340" s="18" t="n"/>
      <c r="B340" s="19" t="n"/>
    </row>
    <row r="341" ht="12.75" customHeight="1" s="101">
      <c r="A341" s="18" t="n"/>
      <c r="B341" s="19" t="n"/>
    </row>
    <row r="342" ht="12.75" customHeight="1" s="101">
      <c r="A342" s="18" t="n"/>
      <c r="B342" s="19" t="n"/>
    </row>
    <row r="343" ht="12.75" customHeight="1" s="101">
      <c r="A343" s="18" t="n"/>
      <c r="B343" s="19" t="n"/>
    </row>
    <row r="344" ht="12.75" customHeight="1" s="101">
      <c r="A344" s="18" t="n"/>
      <c r="B344" s="19" t="n"/>
    </row>
    <row r="345" ht="12.75" customHeight="1" s="101">
      <c r="A345" s="18" t="n"/>
      <c r="B345" s="19" t="n"/>
    </row>
    <row r="346" ht="12.75" customHeight="1" s="101">
      <c r="A346" s="18" t="n"/>
      <c r="B346" s="19" t="n"/>
    </row>
    <row r="347" ht="12.75" customHeight="1" s="101">
      <c r="A347" s="18" t="n"/>
      <c r="B347" s="19" t="n"/>
    </row>
    <row r="348" ht="12.75" customHeight="1" s="101">
      <c r="A348" s="18" t="n"/>
      <c r="B348" s="19" t="n"/>
    </row>
    <row r="349" ht="12.75" customHeight="1" s="101">
      <c r="A349" s="18" t="n"/>
      <c r="B349" s="19" t="n"/>
    </row>
    <row r="350" ht="12.75" customHeight="1" s="101">
      <c r="A350" s="18" t="n"/>
      <c r="B350" s="19" t="n"/>
    </row>
    <row r="351" ht="12.75" customHeight="1" s="101">
      <c r="A351" s="18" t="n"/>
      <c r="B351" s="19" t="n"/>
    </row>
    <row r="352" ht="12.75" customHeight="1" s="101">
      <c r="A352" s="18" t="n"/>
      <c r="B352" s="19" t="n"/>
    </row>
    <row r="353" ht="12.75" customHeight="1" s="101">
      <c r="A353" s="18" t="n"/>
      <c r="B353" s="19" t="n"/>
    </row>
    <row r="354" ht="12.75" customHeight="1" s="101">
      <c r="A354" s="18" t="n"/>
      <c r="B354" s="19" t="n"/>
    </row>
    <row r="355" ht="12.75" customHeight="1" s="101">
      <c r="A355" s="18" t="n"/>
      <c r="B355" s="19" t="n"/>
    </row>
    <row r="356" ht="12.75" customHeight="1" s="101">
      <c r="A356" s="18" t="n"/>
      <c r="B356" s="19" t="n"/>
    </row>
    <row r="357" ht="12.75" customHeight="1" s="101">
      <c r="A357" s="18" t="n"/>
      <c r="B357" s="19" t="n"/>
    </row>
    <row r="358" ht="12.75" customHeight="1" s="101">
      <c r="A358" s="18" t="n"/>
      <c r="B358" s="19" t="n"/>
    </row>
    <row r="359" ht="12.75" customHeight="1" s="101">
      <c r="A359" s="18" t="n"/>
      <c r="B359" s="19" t="n"/>
    </row>
    <row r="360" ht="12.75" customHeight="1" s="101">
      <c r="A360" s="18" t="n"/>
      <c r="B360" s="19" t="n"/>
    </row>
    <row r="361" ht="12.75" customHeight="1" s="101">
      <c r="A361" s="18" t="n"/>
      <c r="B361" s="19" t="n"/>
    </row>
    <row r="362" ht="12.75" customHeight="1" s="101">
      <c r="A362" s="18" t="n"/>
      <c r="B362" s="19" t="n"/>
    </row>
    <row r="363" ht="12.75" customHeight="1" s="101">
      <c r="A363" s="18" t="n"/>
      <c r="B363" s="19" t="n"/>
    </row>
    <row r="364" ht="12.75" customHeight="1" s="101">
      <c r="A364" s="18" t="n"/>
      <c r="B364" s="19" t="n"/>
    </row>
    <row r="365" ht="12.75" customHeight="1" s="101">
      <c r="A365" s="18" t="n"/>
      <c r="B365" s="19" t="n"/>
    </row>
    <row r="366" ht="12.75" customHeight="1" s="101">
      <c r="A366" s="18" t="n"/>
      <c r="B366" s="19" t="n"/>
    </row>
    <row r="367" ht="12.75" customHeight="1" s="101">
      <c r="A367" s="18" t="n"/>
      <c r="B367" s="19" t="n"/>
    </row>
    <row r="368" ht="12.75" customHeight="1" s="101">
      <c r="A368" s="18" t="n"/>
      <c r="B368" s="19" t="n"/>
    </row>
    <row r="369" ht="12.75" customHeight="1" s="101">
      <c r="A369" s="18" t="n"/>
      <c r="B369" s="19" t="n"/>
    </row>
    <row r="370" ht="12.75" customHeight="1" s="101">
      <c r="A370" s="18" t="n"/>
      <c r="B370" s="19" t="n"/>
    </row>
    <row r="371" ht="12.75" customHeight="1" s="101">
      <c r="A371" s="18" t="n"/>
      <c r="B371" s="19" t="n"/>
    </row>
    <row r="372" ht="12.75" customHeight="1" s="101">
      <c r="A372" s="18" t="n"/>
      <c r="B372" s="19" t="n"/>
    </row>
    <row r="373" ht="12.75" customHeight="1" s="101">
      <c r="A373" s="18" t="n"/>
      <c r="B373" s="19" t="n"/>
    </row>
    <row r="374" ht="12.75" customHeight="1" s="101">
      <c r="A374" s="18" t="n"/>
      <c r="B374" s="19" t="n"/>
    </row>
    <row r="375" ht="12.75" customHeight="1" s="101">
      <c r="A375" s="18" t="n"/>
      <c r="B375" s="19" t="n"/>
    </row>
    <row r="376" ht="12.75" customHeight="1" s="101">
      <c r="A376" s="18" t="n"/>
      <c r="B376" s="19" t="n"/>
    </row>
    <row r="377" ht="12.75" customHeight="1" s="101">
      <c r="A377" s="18" t="n"/>
      <c r="B377" s="19" t="n"/>
    </row>
    <row r="378" ht="12.75" customHeight="1" s="101">
      <c r="A378" s="18" t="n"/>
      <c r="B378" s="19" t="n"/>
    </row>
    <row r="379" ht="12.75" customHeight="1" s="101">
      <c r="A379" s="18" t="n"/>
      <c r="B379" s="19" t="n"/>
    </row>
    <row r="380" ht="12.75" customHeight="1" s="101">
      <c r="A380" s="18" t="n"/>
      <c r="B380" s="19" t="n"/>
    </row>
    <row r="381" ht="12.75" customHeight="1" s="101">
      <c r="A381" s="18" t="n"/>
      <c r="B381" s="19" t="n"/>
    </row>
    <row r="382" ht="12.75" customHeight="1" s="101">
      <c r="A382" s="18" t="n"/>
      <c r="B382" s="19" t="n"/>
    </row>
    <row r="383" ht="12.75" customHeight="1" s="101">
      <c r="A383" s="18" t="n"/>
      <c r="B383" s="19" t="n"/>
    </row>
    <row r="384" ht="12.75" customHeight="1" s="101">
      <c r="A384" s="18" t="n"/>
      <c r="B384" s="19" t="n"/>
    </row>
    <row r="385" ht="12.75" customHeight="1" s="101">
      <c r="A385" s="18" t="n"/>
      <c r="B385" s="19" t="n"/>
    </row>
    <row r="386" ht="12.75" customHeight="1" s="101">
      <c r="A386" s="18" t="n"/>
      <c r="B386" s="19" t="n"/>
    </row>
    <row r="387" ht="12.75" customHeight="1" s="101">
      <c r="A387" s="18" t="n"/>
      <c r="B387" s="19" t="n"/>
    </row>
    <row r="388" ht="12.75" customHeight="1" s="101">
      <c r="A388" s="18" t="n"/>
      <c r="B388" s="19" t="n"/>
    </row>
    <row r="389" ht="12.75" customHeight="1" s="101">
      <c r="A389" s="18" t="n"/>
      <c r="B389" s="19" t="n"/>
    </row>
    <row r="390" ht="12.75" customHeight="1" s="101">
      <c r="A390" s="18" t="n"/>
      <c r="B390" s="19" t="n"/>
    </row>
    <row r="391" ht="12.75" customHeight="1" s="101">
      <c r="A391" s="18" t="n"/>
      <c r="B391" s="19" t="n"/>
    </row>
    <row r="392" ht="12.75" customHeight="1" s="101">
      <c r="A392" s="18" t="n"/>
      <c r="B392" s="19" t="n"/>
    </row>
    <row r="393" ht="12.75" customHeight="1" s="101">
      <c r="A393" s="18" t="n"/>
      <c r="B393" s="19" t="n"/>
    </row>
    <row r="394" ht="12.75" customHeight="1" s="101">
      <c r="A394" s="18" t="n"/>
      <c r="B394" s="19" t="n"/>
    </row>
    <row r="395" ht="12.75" customHeight="1" s="101">
      <c r="A395" s="18" t="n"/>
      <c r="B395" s="19" t="n"/>
    </row>
    <row r="396" ht="12.75" customHeight="1" s="101">
      <c r="A396" s="18" t="n"/>
      <c r="B396" s="19" t="n"/>
    </row>
    <row r="397" ht="12.75" customHeight="1" s="101">
      <c r="A397" s="18" t="n"/>
      <c r="B397" s="19" t="n"/>
    </row>
    <row r="398" ht="12.75" customHeight="1" s="101">
      <c r="A398" s="18" t="n"/>
      <c r="B398" s="19" t="n"/>
    </row>
    <row r="399" ht="12.75" customHeight="1" s="101">
      <c r="A399" s="18" t="n"/>
      <c r="B399" s="19" t="n"/>
    </row>
    <row r="400" ht="12.75" customHeight="1" s="101">
      <c r="A400" s="18" t="n"/>
      <c r="B400" s="19" t="n"/>
    </row>
    <row r="401" ht="12.75" customHeight="1" s="101">
      <c r="A401" s="18" t="n"/>
      <c r="B401" s="19" t="n"/>
    </row>
    <row r="402" ht="12.75" customHeight="1" s="101">
      <c r="A402" s="18" t="n"/>
      <c r="B402" s="19" t="n"/>
    </row>
    <row r="403" ht="12.75" customHeight="1" s="101">
      <c r="A403" s="18" t="n"/>
      <c r="B403" s="19" t="n"/>
    </row>
    <row r="404" ht="12.75" customHeight="1" s="101">
      <c r="A404" s="18" t="n"/>
      <c r="B404" s="19" t="n"/>
    </row>
    <row r="405" ht="12.75" customHeight="1" s="101">
      <c r="A405" s="18" t="n"/>
      <c r="B405" s="19" t="n"/>
    </row>
    <row r="406" ht="12.75" customHeight="1" s="101">
      <c r="A406" s="18" t="n"/>
      <c r="B406" s="19" t="n"/>
    </row>
    <row r="407" ht="12.75" customHeight="1" s="101">
      <c r="A407" s="18" t="n"/>
      <c r="B407" s="19" t="n"/>
    </row>
    <row r="408" ht="12.75" customHeight="1" s="101">
      <c r="A408" s="18" t="n"/>
      <c r="B408" s="19" t="n"/>
    </row>
    <row r="409" ht="12.75" customHeight="1" s="101">
      <c r="A409" s="18" t="n"/>
      <c r="B409" s="19" t="n"/>
    </row>
    <row r="410" ht="12.75" customHeight="1" s="101">
      <c r="A410" s="18" t="n"/>
      <c r="B410" s="19" t="n"/>
    </row>
    <row r="411" ht="12.75" customHeight="1" s="101">
      <c r="A411" s="18" t="n"/>
      <c r="B411" s="19" t="n"/>
    </row>
    <row r="412" ht="12.75" customHeight="1" s="101">
      <c r="A412" s="18" t="n"/>
      <c r="B412" s="19" t="n"/>
    </row>
    <row r="413" ht="12.75" customHeight="1" s="101">
      <c r="A413" s="18" t="n"/>
      <c r="B413" s="19" t="n"/>
    </row>
    <row r="414" ht="12.75" customHeight="1" s="101">
      <c r="A414" s="18" t="n"/>
      <c r="B414" s="19" t="n"/>
    </row>
    <row r="415" ht="12.75" customHeight="1" s="101">
      <c r="A415" s="18" t="n"/>
      <c r="B415" s="19" t="n"/>
    </row>
    <row r="416" ht="12.75" customHeight="1" s="101">
      <c r="A416" s="18" t="n"/>
      <c r="B416" s="19" t="n"/>
    </row>
    <row r="417" ht="12.75" customHeight="1" s="101">
      <c r="A417" s="18" t="n"/>
      <c r="B417" s="19" t="n"/>
    </row>
    <row r="418" ht="12.75" customHeight="1" s="101">
      <c r="A418" s="18" t="n"/>
      <c r="B418" s="19" t="n"/>
    </row>
    <row r="419" ht="12.75" customHeight="1" s="101">
      <c r="A419" s="18" t="n"/>
      <c r="B419" s="19" t="n"/>
    </row>
    <row r="420" ht="12.75" customHeight="1" s="101">
      <c r="A420" s="18" t="n"/>
      <c r="B420" s="19" t="n"/>
    </row>
    <row r="421" ht="12.75" customHeight="1" s="101">
      <c r="A421" s="18" t="n"/>
      <c r="B421" s="19" t="n"/>
    </row>
    <row r="422" ht="12.75" customHeight="1" s="101">
      <c r="A422" s="18" t="n"/>
      <c r="B422" s="19" t="n"/>
    </row>
    <row r="423" ht="12.75" customHeight="1" s="101">
      <c r="A423" s="18" t="n"/>
      <c r="B423" s="19" t="n"/>
    </row>
    <row r="424" ht="12.75" customHeight="1" s="101">
      <c r="A424" s="18" t="n"/>
      <c r="B424" s="19" t="n"/>
    </row>
    <row r="425" ht="12.75" customHeight="1" s="101">
      <c r="A425" s="18" t="n"/>
      <c r="B425" s="19" t="n"/>
    </row>
    <row r="426" ht="12.75" customHeight="1" s="101">
      <c r="A426" s="18" t="n"/>
      <c r="B426" s="19" t="n"/>
    </row>
    <row r="427" ht="12.75" customHeight="1" s="101">
      <c r="A427" s="18" t="n"/>
      <c r="B427" s="19" t="n"/>
    </row>
    <row r="428" ht="12.75" customHeight="1" s="101">
      <c r="A428" s="18" t="n"/>
      <c r="B428" s="19" t="n"/>
    </row>
    <row r="429" ht="12.75" customHeight="1" s="101">
      <c r="A429" s="18" t="n"/>
      <c r="B429" s="19" t="n"/>
    </row>
    <row r="430" ht="12.75" customHeight="1" s="101">
      <c r="A430" s="18" t="n"/>
      <c r="B430" s="19" t="n"/>
    </row>
    <row r="431" ht="12.75" customHeight="1" s="101">
      <c r="A431" s="18" t="n"/>
      <c r="B431" s="19" t="n"/>
    </row>
    <row r="432" ht="12.75" customHeight="1" s="101">
      <c r="A432" s="18" t="n"/>
      <c r="B432" s="19" t="n"/>
    </row>
    <row r="433" ht="12.75" customHeight="1" s="101">
      <c r="A433" s="18" t="n"/>
      <c r="B433" s="19" t="n"/>
    </row>
    <row r="434" ht="12.75" customHeight="1" s="101">
      <c r="A434" s="18" t="n"/>
      <c r="B434" s="19" t="n"/>
    </row>
    <row r="435" ht="12.75" customHeight="1" s="101">
      <c r="A435" s="18" t="n"/>
      <c r="B435" s="19" t="n"/>
    </row>
    <row r="436" ht="12.75" customHeight="1" s="101">
      <c r="A436" s="18" t="n"/>
      <c r="B436" s="19" t="n"/>
    </row>
    <row r="437" ht="12.75" customHeight="1" s="101">
      <c r="A437" s="18" t="n"/>
      <c r="B437" s="19" t="n"/>
    </row>
    <row r="438" ht="12.75" customHeight="1" s="101">
      <c r="A438" s="18" t="n"/>
      <c r="B438" s="19" t="n"/>
    </row>
    <row r="439" ht="12.75" customHeight="1" s="101">
      <c r="A439" s="18" t="n"/>
      <c r="B439" s="19" t="n"/>
    </row>
    <row r="440" ht="12.75" customHeight="1" s="101">
      <c r="A440" s="18" t="n"/>
      <c r="B440" s="19" t="n"/>
    </row>
    <row r="441" ht="12.75" customHeight="1" s="101">
      <c r="A441" s="18" t="n"/>
      <c r="B441" s="19" t="n"/>
    </row>
    <row r="442" ht="12.75" customHeight="1" s="101">
      <c r="A442" s="18" t="n"/>
      <c r="B442" s="19" t="n"/>
    </row>
    <row r="443" ht="12.75" customHeight="1" s="101">
      <c r="A443" s="18" t="n"/>
      <c r="B443" s="19" t="n"/>
    </row>
    <row r="444" ht="12.75" customHeight="1" s="101">
      <c r="A444" s="18" t="n"/>
      <c r="B444" s="19" t="n"/>
    </row>
    <row r="445" ht="12.75" customHeight="1" s="101">
      <c r="A445" s="18" t="n"/>
      <c r="B445" s="19" t="n"/>
    </row>
    <row r="446" ht="12.75" customHeight="1" s="101">
      <c r="A446" s="18" t="n"/>
      <c r="B446" s="19" t="n"/>
    </row>
    <row r="447" ht="12.75" customHeight="1" s="101">
      <c r="A447" s="18" t="n"/>
      <c r="B447" s="19" t="n"/>
    </row>
    <row r="448" ht="12.75" customHeight="1" s="101">
      <c r="A448" s="18" t="n"/>
      <c r="B448" s="19" t="n"/>
    </row>
    <row r="449" ht="12.75" customHeight="1" s="101">
      <c r="A449" s="18" t="n"/>
      <c r="B449" s="19" t="n"/>
    </row>
    <row r="450" ht="12.75" customHeight="1" s="101">
      <c r="A450" s="18" t="n"/>
      <c r="B450" s="19" t="n"/>
    </row>
    <row r="451" ht="12.75" customHeight="1" s="101">
      <c r="A451" s="18" t="n"/>
      <c r="B451" s="19" t="n"/>
    </row>
    <row r="452" ht="12.75" customHeight="1" s="101">
      <c r="A452" s="18" t="n"/>
      <c r="B452" s="19" t="n"/>
    </row>
    <row r="453" ht="12.75" customHeight="1" s="101">
      <c r="A453" s="18" t="n"/>
      <c r="B453" s="19" t="n"/>
    </row>
    <row r="454" ht="12.75" customHeight="1" s="101">
      <c r="A454" s="18" t="n"/>
      <c r="B454" s="19" t="n"/>
    </row>
    <row r="455" ht="12.75" customHeight="1" s="101">
      <c r="A455" s="18" t="n"/>
      <c r="B455" s="19" t="n"/>
    </row>
    <row r="456" ht="12.75" customHeight="1" s="101">
      <c r="A456" s="18" t="n"/>
      <c r="B456" s="19" t="n"/>
    </row>
    <row r="457" ht="12.75" customHeight="1" s="101">
      <c r="A457" s="18" t="n"/>
      <c r="B457" s="19" t="n"/>
    </row>
    <row r="458" ht="12.75" customHeight="1" s="101">
      <c r="A458" s="18" t="n"/>
      <c r="B458" s="19" t="n"/>
    </row>
    <row r="459" ht="12.75" customHeight="1" s="101">
      <c r="A459" s="18" t="n"/>
      <c r="B459" s="19" t="n"/>
    </row>
    <row r="460" ht="12.75" customHeight="1" s="101">
      <c r="A460" s="18" t="n"/>
      <c r="B460" s="19" t="n"/>
    </row>
    <row r="461" ht="12.75" customHeight="1" s="101">
      <c r="A461" s="18" t="n"/>
      <c r="B461" s="19" t="n"/>
    </row>
    <row r="462" ht="12.75" customHeight="1" s="101">
      <c r="A462" s="18" t="n"/>
      <c r="B462" s="19" t="n"/>
    </row>
    <row r="463" ht="12.75" customHeight="1" s="101">
      <c r="A463" s="18" t="n"/>
      <c r="B463" s="19" t="n"/>
    </row>
    <row r="464" ht="12.75" customHeight="1" s="101">
      <c r="A464" s="18" t="n"/>
      <c r="B464" s="19" t="n"/>
    </row>
    <row r="465" ht="12.75" customHeight="1" s="101">
      <c r="A465" s="18" t="n"/>
      <c r="B465" s="19" t="n"/>
    </row>
    <row r="466" ht="12.75" customHeight="1" s="101">
      <c r="A466" s="18" t="n"/>
      <c r="B466" s="19" t="n"/>
    </row>
    <row r="467" ht="12.75" customHeight="1" s="101">
      <c r="A467" s="18" t="n"/>
      <c r="B467" s="19" t="n"/>
    </row>
    <row r="468" ht="12.75" customHeight="1" s="101">
      <c r="A468" s="18" t="n"/>
      <c r="B468" s="19" t="n"/>
    </row>
    <row r="469" ht="12.75" customHeight="1" s="101">
      <c r="A469" s="18" t="n"/>
      <c r="B469" s="19" t="n"/>
    </row>
    <row r="470" ht="12.75" customHeight="1" s="101">
      <c r="A470" s="18" t="n"/>
      <c r="B470" s="19" t="n"/>
    </row>
    <row r="471" ht="12.75" customHeight="1" s="101">
      <c r="A471" s="18" t="n"/>
      <c r="B471" s="19" t="n"/>
    </row>
    <row r="472" ht="12.75" customHeight="1" s="101">
      <c r="A472" s="18" t="n"/>
      <c r="B472" s="19" t="n"/>
    </row>
    <row r="473" ht="12.75" customHeight="1" s="101">
      <c r="A473" s="18" t="n"/>
      <c r="B473" s="19" t="n"/>
    </row>
    <row r="474" ht="12.75" customHeight="1" s="101">
      <c r="A474" s="18" t="n"/>
      <c r="B474" s="19" t="n"/>
    </row>
    <row r="475" ht="12.75" customHeight="1" s="101">
      <c r="A475" s="18" t="n"/>
      <c r="B475" s="19" t="n"/>
    </row>
    <row r="476" ht="12.75" customHeight="1" s="101">
      <c r="A476" s="18" t="n"/>
      <c r="B476" s="19" t="n"/>
    </row>
    <row r="477" ht="12.75" customHeight="1" s="101">
      <c r="A477" s="18" t="n"/>
      <c r="B477" s="19" t="n"/>
    </row>
    <row r="478" ht="12.75" customHeight="1" s="101">
      <c r="A478" s="18" t="n"/>
      <c r="B478" s="19" t="n"/>
    </row>
    <row r="479" ht="12.75" customHeight="1" s="101">
      <c r="A479" s="18" t="n"/>
      <c r="B479" s="19" t="n"/>
    </row>
    <row r="480" ht="12.75" customHeight="1" s="101">
      <c r="A480" s="18" t="n"/>
      <c r="B480" s="19" t="n"/>
    </row>
    <row r="481" ht="12.75" customHeight="1" s="101">
      <c r="A481" s="18" t="n"/>
      <c r="B481" s="19" t="n"/>
    </row>
    <row r="482" ht="12.75" customHeight="1" s="101">
      <c r="A482" s="18" t="n"/>
      <c r="B482" s="19" t="n"/>
    </row>
    <row r="483" ht="12.75" customHeight="1" s="101">
      <c r="A483" s="18" t="n"/>
      <c r="B483" s="19" t="n"/>
    </row>
    <row r="484" ht="12.75" customHeight="1" s="101">
      <c r="A484" s="18" t="n"/>
      <c r="B484" s="19" t="n"/>
    </row>
    <row r="485" ht="12.75" customHeight="1" s="101">
      <c r="A485" s="18" t="n"/>
      <c r="B485" s="19" t="n"/>
    </row>
    <row r="486" ht="12.75" customHeight="1" s="101">
      <c r="A486" s="18" t="n"/>
      <c r="B486" s="19" t="n"/>
    </row>
    <row r="487" ht="12.75" customHeight="1" s="101">
      <c r="A487" s="18" t="n"/>
      <c r="B487" s="19" t="n"/>
    </row>
    <row r="488" ht="12.75" customHeight="1" s="101">
      <c r="A488" s="18" t="n"/>
      <c r="B488" s="19" t="n"/>
    </row>
    <row r="489" ht="12.75" customHeight="1" s="101">
      <c r="A489" s="18" t="n"/>
      <c r="B489" s="19" t="n"/>
    </row>
    <row r="490" ht="12.75" customHeight="1" s="101">
      <c r="A490" s="18" t="n"/>
      <c r="B490" s="19" t="n"/>
    </row>
    <row r="491" ht="12.75" customHeight="1" s="101">
      <c r="A491" s="18" t="n"/>
      <c r="B491" s="19" t="n"/>
    </row>
    <row r="492" ht="12.75" customHeight="1" s="101">
      <c r="A492" s="18" t="n"/>
      <c r="B492" s="19" t="n"/>
    </row>
    <row r="493" ht="12.75" customHeight="1" s="101">
      <c r="A493" s="18" t="n"/>
      <c r="B493" s="19" t="n"/>
    </row>
    <row r="494" ht="12.75" customHeight="1" s="101">
      <c r="A494" s="18" t="n"/>
      <c r="B494" s="19" t="n"/>
    </row>
    <row r="495" ht="12.75" customHeight="1" s="101">
      <c r="A495" s="18" t="n"/>
      <c r="B495" s="19" t="n"/>
    </row>
    <row r="496" ht="12.75" customHeight="1" s="101">
      <c r="A496" s="18" t="n"/>
      <c r="B496" s="19" t="n"/>
    </row>
    <row r="497" ht="12.75" customHeight="1" s="101">
      <c r="A497" s="18" t="n"/>
      <c r="B497" s="19" t="n"/>
    </row>
    <row r="498" ht="12.75" customHeight="1" s="101">
      <c r="A498" s="18" t="n"/>
      <c r="B498" s="19" t="n"/>
    </row>
    <row r="499" ht="12.75" customHeight="1" s="101">
      <c r="A499" s="18" t="n"/>
      <c r="B499" s="19" t="n"/>
    </row>
    <row r="500" ht="12.75" customHeight="1" s="101">
      <c r="A500" s="18" t="n"/>
      <c r="B500" s="19" t="n"/>
    </row>
    <row r="501" ht="12.75" customHeight="1" s="101">
      <c r="A501" s="18" t="n"/>
      <c r="B501" s="19" t="n"/>
    </row>
    <row r="502" ht="12.75" customHeight="1" s="101">
      <c r="A502" s="18" t="n"/>
      <c r="B502" s="19" t="n"/>
    </row>
    <row r="503" ht="12.75" customHeight="1" s="101">
      <c r="A503" s="18" t="n"/>
      <c r="B503" s="19" t="n"/>
    </row>
    <row r="504" ht="12.75" customHeight="1" s="101">
      <c r="A504" s="18" t="n"/>
      <c r="B504" s="19" t="n"/>
    </row>
    <row r="505" ht="12.75" customHeight="1" s="101">
      <c r="A505" s="18" t="n"/>
      <c r="B505" s="19" t="n"/>
    </row>
    <row r="506" ht="12.75" customHeight="1" s="101">
      <c r="A506" s="18" t="n"/>
      <c r="B506" s="19" t="n"/>
    </row>
    <row r="507" ht="12.75" customHeight="1" s="101">
      <c r="A507" s="18" t="n"/>
      <c r="B507" s="19" t="n"/>
    </row>
    <row r="508" ht="12.75" customHeight="1" s="101">
      <c r="A508" s="18" t="n"/>
      <c r="B508" s="19" t="n"/>
    </row>
    <row r="509" ht="12.75" customHeight="1" s="101">
      <c r="A509" s="18" t="n"/>
      <c r="B509" s="19" t="n"/>
    </row>
    <row r="510" ht="12.75" customHeight="1" s="101">
      <c r="A510" s="18" t="n"/>
      <c r="B510" s="19" t="n"/>
    </row>
    <row r="511" ht="12.75" customHeight="1" s="101">
      <c r="A511" s="18" t="n"/>
      <c r="B511" s="19" t="n"/>
    </row>
    <row r="512" ht="12.75" customHeight="1" s="101">
      <c r="A512" s="18" t="n"/>
      <c r="B512" s="19" t="n"/>
    </row>
    <row r="513" ht="12.75" customHeight="1" s="101">
      <c r="A513" s="18" t="n"/>
      <c r="B513" s="19" t="n"/>
    </row>
    <row r="514" ht="12.75" customHeight="1" s="101">
      <c r="A514" s="18" t="n"/>
      <c r="B514" s="19" t="n"/>
    </row>
    <row r="515" ht="12.75" customHeight="1" s="101">
      <c r="A515" s="18" t="n"/>
      <c r="B515" s="19" t="n"/>
    </row>
    <row r="516" ht="12.75" customHeight="1" s="101">
      <c r="A516" s="18" t="n"/>
      <c r="B516" s="19" t="n"/>
    </row>
    <row r="517" ht="12.75" customHeight="1" s="101">
      <c r="A517" s="18" t="n"/>
      <c r="B517" s="19" t="n"/>
    </row>
    <row r="518" ht="12.75" customHeight="1" s="101">
      <c r="A518" s="18" t="n"/>
      <c r="B518" s="19" t="n"/>
    </row>
    <row r="519" ht="12.75" customHeight="1" s="101">
      <c r="A519" s="18" t="n"/>
      <c r="B519" s="19" t="n"/>
    </row>
    <row r="520" ht="12.75" customHeight="1" s="101">
      <c r="A520" s="18" t="n"/>
      <c r="B520" s="19" t="n"/>
    </row>
    <row r="521" ht="12.75" customHeight="1" s="101">
      <c r="A521" s="18" t="n"/>
      <c r="B521" s="19" t="n"/>
    </row>
    <row r="522" ht="12.75" customHeight="1" s="101">
      <c r="A522" s="18" t="n"/>
      <c r="B522" s="19" t="n"/>
    </row>
    <row r="523" ht="12.75" customHeight="1" s="101">
      <c r="A523" s="18" t="n"/>
      <c r="B523" s="19" t="n"/>
    </row>
    <row r="524" ht="12.75" customHeight="1" s="101">
      <c r="A524" s="18" t="n"/>
      <c r="B524" s="19" t="n"/>
    </row>
    <row r="525" ht="12.75" customHeight="1" s="101">
      <c r="A525" s="18" t="n"/>
      <c r="B525" s="19" t="n"/>
    </row>
    <row r="526" ht="12.75" customHeight="1" s="101">
      <c r="A526" s="18" t="n"/>
      <c r="B526" s="19" t="n"/>
    </row>
    <row r="527" ht="12.75" customHeight="1" s="101">
      <c r="A527" s="18" t="n"/>
      <c r="B527" s="19" t="n"/>
    </row>
    <row r="528" ht="12.75" customHeight="1" s="101">
      <c r="A528" s="18" t="n"/>
      <c r="B528" s="19" t="n"/>
    </row>
    <row r="529" ht="12.75" customHeight="1" s="101">
      <c r="A529" s="18" t="n"/>
      <c r="B529" s="19" t="n"/>
    </row>
    <row r="530" ht="12.75" customHeight="1" s="101">
      <c r="A530" s="18" t="n"/>
      <c r="B530" s="19" t="n"/>
    </row>
    <row r="531" ht="12.75" customHeight="1" s="101">
      <c r="A531" s="18" t="n"/>
      <c r="B531" s="19" t="n"/>
    </row>
    <row r="532" ht="12.75" customHeight="1" s="101">
      <c r="A532" s="18" t="n"/>
      <c r="B532" s="19" t="n"/>
    </row>
    <row r="533" ht="12.75" customHeight="1" s="101">
      <c r="A533" s="18" t="n"/>
      <c r="B533" s="19" t="n"/>
    </row>
    <row r="534" ht="12.75" customHeight="1" s="101">
      <c r="A534" s="18" t="n"/>
      <c r="B534" s="19" t="n"/>
    </row>
    <row r="535" ht="12.75" customHeight="1" s="101">
      <c r="A535" s="18" t="n"/>
      <c r="B535" s="19" t="n"/>
    </row>
    <row r="536" ht="12.75" customHeight="1" s="101">
      <c r="A536" s="18" t="n"/>
      <c r="B536" s="19" t="n"/>
    </row>
    <row r="537" ht="12.75" customHeight="1" s="101">
      <c r="A537" s="18" t="n"/>
      <c r="B537" s="19" t="n"/>
    </row>
    <row r="538" ht="12.75" customHeight="1" s="101">
      <c r="A538" s="18" t="n"/>
      <c r="B538" s="19" t="n"/>
    </row>
    <row r="539" ht="12.75" customHeight="1" s="101">
      <c r="A539" s="18" t="n"/>
      <c r="B539" s="19" t="n"/>
    </row>
    <row r="540" ht="12.75" customHeight="1" s="101">
      <c r="A540" s="18" t="n"/>
      <c r="B540" s="19" t="n"/>
    </row>
    <row r="541" ht="12.75" customHeight="1" s="101">
      <c r="A541" s="18" t="n"/>
      <c r="B541" s="19" t="n"/>
    </row>
    <row r="542" ht="12.75" customHeight="1" s="101">
      <c r="A542" s="18" t="n"/>
      <c r="B542" s="19" t="n"/>
    </row>
    <row r="543" ht="12.75" customHeight="1" s="101">
      <c r="A543" s="18" t="n"/>
      <c r="B543" s="19" t="n"/>
    </row>
    <row r="544" ht="12.75" customHeight="1" s="101">
      <c r="A544" s="18" t="n"/>
      <c r="B544" s="19" t="n"/>
    </row>
    <row r="545" ht="12.75" customHeight="1" s="101">
      <c r="A545" s="18" t="n"/>
      <c r="B545" s="19" t="n"/>
    </row>
    <row r="546" ht="12.75" customHeight="1" s="101">
      <c r="A546" s="18" t="n"/>
      <c r="B546" s="19" t="n"/>
    </row>
    <row r="547" ht="12.75" customHeight="1" s="101">
      <c r="A547" s="18" t="n"/>
      <c r="B547" s="19" t="n"/>
    </row>
    <row r="548" ht="12.75" customHeight="1" s="101">
      <c r="A548" s="18" t="n"/>
      <c r="B548" s="19" t="n"/>
    </row>
    <row r="549" ht="12.75" customHeight="1" s="101">
      <c r="A549" s="18" t="n"/>
      <c r="B549" s="19" t="n"/>
    </row>
    <row r="550" ht="12.75" customHeight="1" s="101">
      <c r="A550" s="18" t="n"/>
      <c r="B550" s="19" t="n"/>
    </row>
    <row r="551" ht="12.75" customHeight="1" s="101">
      <c r="A551" s="18" t="n"/>
      <c r="B551" s="19" t="n"/>
    </row>
    <row r="552" ht="12.75" customHeight="1" s="101">
      <c r="A552" s="18" t="n"/>
      <c r="B552" s="19" t="n"/>
    </row>
    <row r="553" ht="12.75" customHeight="1" s="101">
      <c r="A553" s="18" t="n"/>
      <c r="B553" s="19" t="n"/>
    </row>
    <row r="554" ht="12.75" customHeight="1" s="101">
      <c r="A554" s="18" t="n"/>
      <c r="B554" s="19" t="n"/>
    </row>
    <row r="555" ht="12.75" customHeight="1" s="101">
      <c r="A555" s="18" t="n"/>
      <c r="B555" s="19" t="n"/>
    </row>
    <row r="556" ht="12.75" customHeight="1" s="101">
      <c r="A556" s="18" t="n"/>
      <c r="B556" s="19" t="n"/>
    </row>
    <row r="557" ht="12.75" customHeight="1" s="101">
      <c r="A557" s="18" t="n"/>
      <c r="B557" s="19" t="n"/>
    </row>
    <row r="558" ht="12.75" customHeight="1" s="101">
      <c r="A558" s="18" t="n"/>
      <c r="B558" s="19" t="n"/>
    </row>
    <row r="559" ht="12.75" customHeight="1" s="101">
      <c r="A559" s="18" t="n"/>
      <c r="B559" s="19" t="n"/>
    </row>
    <row r="560" ht="12.75" customHeight="1" s="101">
      <c r="A560" s="18" t="n"/>
      <c r="B560" s="19" t="n"/>
    </row>
    <row r="561" ht="12.75" customHeight="1" s="101">
      <c r="A561" s="18" t="n"/>
      <c r="B561" s="19" t="n"/>
    </row>
    <row r="562" ht="12.75" customHeight="1" s="101">
      <c r="A562" s="18" t="n"/>
      <c r="B562" s="19" t="n"/>
    </row>
    <row r="563" ht="12.75" customHeight="1" s="101">
      <c r="A563" s="18" t="n"/>
      <c r="B563" s="19" t="n"/>
    </row>
    <row r="564" ht="12.75" customHeight="1" s="101">
      <c r="A564" s="18" t="n"/>
      <c r="B564" s="19" t="n"/>
    </row>
    <row r="565" ht="12.75" customHeight="1" s="101">
      <c r="A565" s="18" t="n"/>
      <c r="B565" s="19" t="n"/>
    </row>
    <row r="566" ht="12.75" customHeight="1" s="101">
      <c r="A566" s="18" t="n"/>
      <c r="B566" s="19" t="n"/>
    </row>
    <row r="567" ht="12.75" customHeight="1" s="101">
      <c r="A567" s="18" t="n"/>
      <c r="B567" s="19" t="n"/>
    </row>
    <row r="568" ht="12.75" customHeight="1" s="101">
      <c r="A568" s="18" t="n"/>
      <c r="B568" s="19" t="n"/>
    </row>
    <row r="569" ht="12.75" customHeight="1" s="101">
      <c r="A569" s="18" t="n"/>
      <c r="B569" s="19" t="n"/>
    </row>
    <row r="570" ht="12.75" customHeight="1" s="101">
      <c r="A570" s="18" t="n"/>
      <c r="B570" s="19" t="n"/>
    </row>
    <row r="571" ht="12.75" customHeight="1" s="101">
      <c r="A571" s="18" t="n"/>
      <c r="B571" s="19" t="n"/>
    </row>
    <row r="572" ht="12.75" customHeight="1" s="101">
      <c r="A572" s="18" t="n"/>
      <c r="B572" s="19" t="n"/>
    </row>
    <row r="573" ht="12.75" customHeight="1" s="101">
      <c r="A573" s="18" t="n"/>
      <c r="B573" s="19" t="n"/>
    </row>
    <row r="574" ht="12.75" customHeight="1" s="101">
      <c r="A574" s="18" t="n"/>
      <c r="B574" s="19" t="n"/>
    </row>
    <row r="575" ht="12.75" customHeight="1" s="101">
      <c r="A575" s="18" t="n"/>
      <c r="B575" s="19" t="n"/>
    </row>
    <row r="576" ht="12.75" customHeight="1" s="101">
      <c r="A576" s="18" t="n"/>
      <c r="B576" s="19" t="n"/>
    </row>
    <row r="577" ht="12.75" customHeight="1" s="101">
      <c r="A577" s="18" t="n"/>
      <c r="B577" s="19" t="n"/>
    </row>
    <row r="578" ht="12.75" customHeight="1" s="101">
      <c r="A578" s="18" t="n"/>
      <c r="B578" s="19" t="n"/>
    </row>
    <row r="579" ht="12.75" customHeight="1" s="101">
      <c r="A579" s="18" t="n"/>
      <c r="B579" s="19" t="n"/>
    </row>
    <row r="580" ht="12.75" customHeight="1" s="101">
      <c r="A580" s="18" t="n"/>
      <c r="B580" s="19" t="n"/>
    </row>
    <row r="581" ht="12.75" customHeight="1" s="101">
      <c r="A581" s="18" t="n"/>
      <c r="B581" s="19" t="n"/>
    </row>
    <row r="582" ht="12.75" customHeight="1" s="101">
      <c r="A582" s="18" t="n"/>
      <c r="B582" s="19" t="n"/>
    </row>
    <row r="583" ht="12.75" customHeight="1" s="101">
      <c r="A583" s="18" t="n"/>
      <c r="B583" s="19" t="n"/>
    </row>
    <row r="584" ht="12.75" customHeight="1" s="101">
      <c r="A584" s="18" t="n"/>
      <c r="B584" s="19" t="n"/>
    </row>
    <row r="585" ht="12.75" customHeight="1" s="101">
      <c r="A585" s="18" t="n"/>
      <c r="B585" s="19" t="n"/>
    </row>
    <row r="586" ht="12.75" customHeight="1" s="101">
      <c r="A586" s="18" t="n"/>
      <c r="B586" s="19" t="n"/>
    </row>
    <row r="587" ht="12.75" customHeight="1" s="101">
      <c r="A587" s="18" t="n"/>
      <c r="B587" s="19" t="n"/>
    </row>
    <row r="588" ht="12.75" customHeight="1" s="101">
      <c r="A588" s="18" t="n"/>
      <c r="B588" s="19" t="n"/>
    </row>
    <row r="589" ht="12.75" customHeight="1" s="101">
      <c r="A589" s="18" t="n"/>
      <c r="B589" s="19" t="n"/>
    </row>
    <row r="590" ht="12.75" customHeight="1" s="101">
      <c r="A590" s="18" t="n"/>
      <c r="B590" s="19" t="n"/>
    </row>
    <row r="591" ht="12.75" customHeight="1" s="101">
      <c r="A591" s="18" t="n"/>
      <c r="B591" s="19" t="n"/>
    </row>
    <row r="592" ht="12.75" customHeight="1" s="101">
      <c r="A592" s="18" t="n"/>
      <c r="B592" s="19" t="n"/>
    </row>
    <row r="593" ht="12.75" customHeight="1" s="101">
      <c r="A593" s="18" t="n"/>
      <c r="B593" s="19" t="n"/>
    </row>
    <row r="594" ht="12.75" customHeight="1" s="101">
      <c r="A594" s="18" t="n"/>
      <c r="B594" s="19" t="n"/>
    </row>
    <row r="595" ht="12.75" customHeight="1" s="101">
      <c r="A595" s="18" t="n"/>
      <c r="B595" s="19" t="n"/>
    </row>
    <row r="596" ht="12.75" customHeight="1" s="101">
      <c r="A596" s="18" t="n"/>
      <c r="B596" s="19" t="n"/>
    </row>
    <row r="597" ht="12.75" customHeight="1" s="101">
      <c r="A597" s="18" t="n"/>
      <c r="B597" s="19" t="n"/>
    </row>
    <row r="598" ht="12.75" customHeight="1" s="101">
      <c r="A598" s="18" t="n"/>
      <c r="B598" s="19" t="n"/>
    </row>
    <row r="599" ht="12.75" customHeight="1" s="101">
      <c r="A599" s="18" t="n"/>
      <c r="B599" s="19" t="n"/>
    </row>
    <row r="600" ht="12.75" customHeight="1" s="101">
      <c r="A600" s="18" t="n"/>
      <c r="B600" s="19" t="n"/>
    </row>
    <row r="601" ht="12.75" customHeight="1" s="101">
      <c r="A601" s="18" t="n"/>
      <c r="B601" s="19" t="n"/>
    </row>
    <row r="602" ht="12.75" customHeight="1" s="101">
      <c r="A602" s="18" t="n"/>
      <c r="B602" s="19" t="n"/>
    </row>
    <row r="603" ht="12.75" customHeight="1" s="101">
      <c r="A603" s="18" t="n"/>
      <c r="B603" s="19" t="n"/>
    </row>
    <row r="604" ht="12.75" customHeight="1" s="101">
      <c r="A604" s="18" t="n"/>
      <c r="B604" s="19" t="n"/>
    </row>
    <row r="605" ht="12.75" customHeight="1" s="101">
      <c r="A605" s="18" t="n"/>
      <c r="B605" s="19" t="n"/>
    </row>
    <row r="606" ht="12.75" customHeight="1" s="101">
      <c r="A606" s="18" t="n"/>
      <c r="B606" s="19" t="n"/>
    </row>
    <row r="607" ht="12.75" customHeight="1" s="101">
      <c r="A607" s="18" t="n"/>
      <c r="B607" s="19" t="n"/>
    </row>
    <row r="608" ht="12.75" customHeight="1" s="101">
      <c r="A608" s="18" t="n"/>
      <c r="B608" s="19" t="n"/>
    </row>
    <row r="609" ht="12.75" customHeight="1" s="101">
      <c r="A609" s="18" t="n"/>
      <c r="B609" s="19" t="n"/>
    </row>
    <row r="610" ht="12.75" customHeight="1" s="101">
      <c r="A610" s="18" t="n"/>
      <c r="B610" s="19" t="n"/>
    </row>
    <row r="611" ht="12.75" customHeight="1" s="101">
      <c r="A611" s="18" t="n"/>
      <c r="B611" s="19" t="n"/>
    </row>
    <row r="612" ht="12.75" customHeight="1" s="101">
      <c r="A612" s="18" t="n"/>
      <c r="B612" s="19" t="n"/>
    </row>
    <row r="613" ht="12.75" customHeight="1" s="101">
      <c r="A613" s="18" t="n"/>
      <c r="B613" s="19" t="n"/>
    </row>
    <row r="614" ht="12.75" customHeight="1" s="101">
      <c r="A614" s="18" t="n"/>
      <c r="B614" s="19" t="n"/>
    </row>
    <row r="615" ht="12.75" customHeight="1" s="101">
      <c r="A615" s="18" t="n"/>
      <c r="B615" s="19" t="n"/>
    </row>
    <row r="616" ht="12.75" customHeight="1" s="101">
      <c r="A616" s="18" t="n"/>
      <c r="B616" s="19" t="n"/>
    </row>
    <row r="617" ht="12.75" customHeight="1" s="101">
      <c r="A617" s="18" t="n"/>
      <c r="B617" s="19" t="n"/>
    </row>
    <row r="618" ht="12.75" customHeight="1" s="101">
      <c r="A618" s="18" t="n"/>
      <c r="B618" s="19" t="n"/>
    </row>
    <row r="619" ht="12.75" customHeight="1" s="101">
      <c r="A619" s="18" t="n"/>
      <c r="B619" s="19" t="n"/>
    </row>
    <row r="620" ht="12.75" customHeight="1" s="101">
      <c r="A620" s="18" t="n"/>
      <c r="B620" s="19" t="n"/>
    </row>
    <row r="621" ht="12.75" customHeight="1" s="101">
      <c r="A621" s="18" t="n"/>
      <c r="B621" s="19" t="n"/>
    </row>
    <row r="622" ht="12.75" customHeight="1" s="101">
      <c r="A622" s="18" t="n"/>
      <c r="B622" s="19" t="n"/>
    </row>
    <row r="623" ht="12.75" customHeight="1" s="101">
      <c r="A623" s="18" t="n"/>
      <c r="B623" s="19" t="n"/>
    </row>
    <row r="624" ht="12.75" customHeight="1" s="101">
      <c r="A624" s="18" t="n"/>
      <c r="B624" s="19" t="n"/>
    </row>
    <row r="625" ht="12.75" customHeight="1" s="101">
      <c r="A625" s="18" t="n"/>
      <c r="B625" s="19" t="n"/>
    </row>
    <row r="626" ht="12.75" customHeight="1" s="101">
      <c r="A626" s="18" t="n"/>
      <c r="B626" s="19" t="n"/>
    </row>
    <row r="627" ht="12.75" customHeight="1" s="101">
      <c r="A627" s="18" t="n"/>
      <c r="B627" s="19" t="n"/>
    </row>
    <row r="628" ht="12.75" customHeight="1" s="101">
      <c r="A628" s="18" t="n"/>
      <c r="B628" s="19" t="n"/>
    </row>
    <row r="629" ht="12.75" customHeight="1" s="101">
      <c r="A629" s="18" t="n"/>
      <c r="B629" s="19" t="n"/>
    </row>
    <row r="630" ht="12.75" customHeight="1" s="101">
      <c r="A630" s="18" t="n"/>
      <c r="B630" s="19" t="n"/>
    </row>
    <row r="631" ht="12.75" customHeight="1" s="101">
      <c r="A631" s="18" t="n"/>
      <c r="B631" s="19" t="n"/>
    </row>
    <row r="632" ht="12.75" customHeight="1" s="101">
      <c r="A632" s="18" t="n"/>
      <c r="B632" s="19" t="n"/>
    </row>
    <row r="633" ht="12.75" customHeight="1" s="101">
      <c r="A633" s="18" t="n"/>
      <c r="B633" s="19" t="n"/>
    </row>
    <row r="634" ht="12.75" customHeight="1" s="101">
      <c r="A634" s="18" t="n"/>
      <c r="B634" s="19" t="n"/>
    </row>
    <row r="635" ht="12.75" customHeight="1" s="101">
      <c r="A635" s="18" t="n"/>
      <c r="B635" s="19" t="n"/>
    </row>
    <row r="636" ht="12.75" customHeight="1" s="101">
      <c r="A636" s="18" t="n"/>
      <c r="B636" s="19" t="n"/>
    </row>
    <row r="637" ht="12.75" customHeight="1" s="101">
      <c r="A637" s="18" t="n"/>
      <c r="B637" s="19" t="n"/>
    </row>
    <row r="638" ht="12.75" customHeight="1" s="101">
      <c r="A638" s="18" t="n"/>
      <c r="B638" s="19" t="n"/>
    </row>
    <row r="639" ht="12.75" customHeight="1" s="101">
      <c r="A639" s="18" t="n"/>
      <c r="B639" s="19" t="n"/>
    </row>
    <row r="640" ht="12.75" customHeight="1" s="101">
      <c r="A640" s="18" t="n"/>
      <c r="B640" s="19" t="n"/>
    </row>
    <row r="641" ht="12.75" customHeight="1" s="101">
      <c r="A641" s="18" t="n"/>
      <c r="B641" s="19" t="n"/>
    </row>
    <row r="642" ht="12.75" customHeight="1" s="101">
      <c r="A642" s="18" t="n"/>
      <c r="B642" s="19" t="n"/>
    </row>
    <row r="643" ht="12.75" customHeight="1" s="101">
      <c r="A643" s="18" t="n"/>
      <c r="B643" s="19" t="n"/>
    </row>
    <row r="644" ht="12.75" customHeight="1" s="101">
      <c r="A644" s="18" t="n"/>
      <c r="B644" s="19" t="n"/>
    </row>
    <row r="645" ht="12.75" customHeight="1" s="101">
      <c r="A645" s="18" t="n"/>
      <c r="B645" s="19" t="n"/>
    </row>
    <row r="646" ht="12.75" customHeight="1" s="101">
      <c r="A646" s="18" t="n"/>
      <c r="B646" s="19" t="n"/>
    </row>
    <row r="647" ht="12.75" customHeight="1" s="101">
      <c r="A647" s="18" t="n"/>
      <c r="B647" s="19" t="n"/>
    </row>
    <row r="648" ht="12.75" customHeight="1" s="101">
      <c r="A648" s="18" t="n"/>
      <c r="B648" s="19" t="n"/>
    </row>
    <row r="649" ht="12.75" customHeight="1" s="101">
      <c r="A649" s="18" t="n"/>
      <c r="B649" s="19" t="n"/>
    </row>
    <row r="650" ht="12.75" customHeight="1" s="101">
      <c r="A650" s="18" t="n"/>
      <c r="B650" s="19" t="n"/>
    </row>
    <row r="651" ht="12.75" customHeight="1" s="101">
      <c r="A651" s="18" t="n"/>
      <c r="B651" s="19" t="n"/>
    </row>
    <row r="652" ht="12.75" customHeight="1" s="101">
      <c r="A652" s="18" t="n"/>
      <c r="B652" s="19" t="n"/>
    </row>
    <row r="653" ht="12.75" customHeight="1" s="101">
      <c r="A653" s="18" t="n"/>
      <c r="B653" s="19" t="n"/>
    </row>
    <row r="654" ht="12.75" customHeight="1" s="101">
      <c r="A654" s="18" t="n"/>
      <c r="B654" s="19" t="n"/>
    </row>
    <row r="655" ht="12.75" customHeight="1" s="101">
      <c r="A655" s="18" t="n"/>
      <c r="B655" s="19" t="n"/>
    </row>
    <row r="656" ht="12.75" customHeight="1" s="101">
      <c r="A656" s="18" t="n"/>
      <c r="B656" s="19" t="n"/>
    </row>
    <row r="657" ht="12.75" customHeight="1" s="101">
      <c r="A657" s="18" t="n"/>
      <c r="B657" s="19" t="n"/>
    </row>
    <row r="658" ht="12.75" customHeight="1" s="101">
      <c r="A658" s="18" t="n"/>
      <c r="B658" s="19" t="n"/>
    </row>
    <row r="659" ht="12.75" customHeight="1" s="101">
      <c r="A659" s="18" t="n"/>
      <c r="B659" s="19" t="n"/>
    </row>
    <row r="660" ht="12.75" customHeight="1" s="101">
      <c r="A660" s="18" t="n"/>
      <c r="B660" s="19" t="n"/>
    </row>
    <row r="661" ht="12.75" customHeight="1" s="101">
      <c r="A661" s="18" t="n"/>
      <c r="B661" s="19" t="n"/>
    </row>
    <row r="662" ht="12.75" customHeight="1" s="101">
      <c r="A662" s="18" t="n"/>
      <c r="B662" s="19" t="n"/>
    </row>
    <row r="663" ht="12.75" customHeight="1" s="101">
      <c r="A663" s="18" t="n"/>
      <c r="B663" s="19" t="n"/>
    </row>
    <row r="664" ht="12.75" customHeight="1" s="101">
      <c r="A664" s="18" t="n"/>
      <c r="B664" s="19" t="n"/>
    </row>
    <row r="665" ht="12.75" customHeight="1" s="101">
      <c r="A665" s="18" t="n"/>
      <c r="B665" s="19" t="n"/>
    </row>
    <row r="666" ht="12.75" customHeight="1" s="101">
      <c r="A666" s="18" t="n"/>
      <c r="B666" s="19" t="n"/>
    </row>
    <row r="667" ht="12.75" customHeight="1" s="101">
      <c r="A667" s="18" t="n"/>
      <c r="B667" s="19" t="n"/>
    </row>
    <row r="668" ht="12.75" customHeight="1" s="101">
      <c r="A668" s="18" t="n"/>
      <c r="B668" s="19" t="n"/>
    </row>
    <row r="669" ht="12.75" customHeight="1" s="101">
      <c r="A669" s="18" t="n"/>
      <c r="B669" s="19" t="n"/>
    </row>
    <row r="670" ht="12.75" customHeight="1" s="101">
      <c r="A670" s="18" t="n"/>
      <c r="B670" s="19" t="n"/>
    </row>
    <row r="671" ht="12.75" customHeight="1" s="101">
      <c r="A671" s="18" t="n"/>
      <c r="B671" s="19" t="n"/>
    </row>
    <row r="672" ht="12.75" customHeight="1" s="101">
      <c r="A672" s="18" t="n"/>
      <c r="B672" s="19" t="n"/>
    </row>
    <row r="673" ht="12.75" customHeight="1" s="101">
      <c r="A673" s="18" t="n"/>
      <c r="B673" s="19" t="n"/>
    </row>
    <row r="674" ht="12.75" customHeight="1" s="101">
      <c r="A674" s="18" t="n"/>
      <c r="B674" s="19" t="n"/>
    </row>
    <row r="675" ht="12.75" customHeight="1" s="101">
      <c r="A675" s="18" t="n"/>
      <c r="B675" s="19" t="n"/>
    </row>
    <row r="676" ht="12.75" customHeight="1" s="101">
      <c r="A676" s="18" t="n"/>
      <c r="B676" s="19" t="n"/>
    </row>
    <row r="677" ht="12.75" customHeight="1" s="101">
      <c r="A677" s="18" t="n"/>
      <c r="B677" s="19" t="n"/>
    </row>
    <row r="678" ht="12.75" customHeight="1" s="101">
      <c r="A678" s="18" t="n"/>
      <c r="B678" s="19" t="n"/>
    </row>
    <row r="679" ht="12.75" customHeight="1" s="101">
      <c r="A679" s="18" t="n"/>
      <c r="B679" s="19" t="n"/>
    </row>
    <row r="680" ht="12.75" customHeight="1" s="101">
      <c r="A680" s="18" t="n"/>
      <c r="B680" s="19" t="n"/>
    </row>
    <row r="681" ht="12.75" customHeight="1" s="101">
      <c r="A681" s="18" t="n"/>
      <c r="B681" s="19" t="n"/>
    </row>
    <row r="682" ht="12.75" customHeight="1" s="101">
      <c r="A682" s="18" t="n"/>
      <c r="B682" s="19" t="n"/>
    </row>
    <row r="683" ht="12.75" customHeight="1" s="101">
      <c r="A683" s="18" t="n"/>
      <c r="B683" s="19" t="n"/>
    </row>
    <row r="684" ht="12.75" customHeight="1" s="101">
      <c r="A684" s="18" t="n"/>
      <c r="B684" s="19" t="n"/>
    </row>
    <row r="685" ht="12.75" customHeight="1" s="101">
      <c r="A685" s="18" t="n"/>
      <c r="B685" s="19" t="n"/>
    </row>
    <row r="686" ht="12.75" customHeight="1" s="101">
      <c r="A686" s="18" t="n"/>
      <c r="B686" s="19" t="n"/>
    </row>
    <row r="687" ht="12.75" customHeight="1" s="101">
      <c r="A687" s="18" t="n"/>
      <c r="B687" s="19" t="n"/>
    </row>
    <row r="688" ht="12.75" customHeight="1" s="101">
      <c r="A688" s="18" t="n"/>
      <c r="B688" s="19" t="n"/>
    </row>
    <row r="689" ht="12.75" customHeight="1" s="101">
      <c r="A689" s="18" t="n"/>
      <c r="B689" s="19" t="n"/>
    </row>
    <row r="690" ht="12.75" customHeight="1" s="101">
      <c r="A690" s="18" t="n"/>
      <c r="B690" s="19" t="n"/>
    </row>
    <row r="691" ht="12.75" customHeight="1" s="101">
      <c r="A691" s="18" t="n"/>
      <c r="B691" s="19" t="n"/>
    </row>
    <row r="692" ht="12.75" customHeight="1" s="101">
      <c r="A692" s="18" t="n"/>
      <c r="B692" s="19" t="n"/>
    </row>
    <row r="693" ht="12.75" customHeight="1" s="101">
      <c r="A693" s="18" t="n"/>
      <c r="B693" s="19" t="n"/>
    </row>
    <row r="694" ht="12.75" customHeight="1" s="101">
      <c r="A694" s="18" t="n"/>
      <c r="B694" s="19" t="n"/>
    </row>
    <row r="695" ht="12.75" customHeight="1" s="101">
      <c r="A695" s="18" t="n"/>
      <c r="B695" s="19" t="n"/>
    </row>
    <row r="696" ht="12.75" customHeight="1" s="101">
      <c r="A696" s="18" t="n"/>
      <c r="B696" s="19" t="n"/>
    </row>
    <row r="697" ht="12.75" customHeight="1" s="101">
      <c r="A697" s="18" t="n"/>
      <c r="B697" s="19" t="n"/>
    </row>
    <row r="698" ht="12.75" customHeight="1" s="101">
      <c r="A698" s="18" t="n"/>
      <c r="B698" s="19" t="n"/>
    </row>
    <row r="699" ht="12.75" customHeight="1" s="101">
      <c r="A699" s="18" t="n"/>
      <c r="B699" s="19" t="n"/>
    </row>
    <row r="700" ht="12.75" customHeight="1" s="101">
      <c r="A700" s="18" t="n"/>
      <c r="B700" s="19" t="n"/>
    </row>
    <row r="701" ht="12.75" customHeight="1" s="101">
      <c r="A701" s="18" t="n"/>
      <c r="B701" s="19" t="n"/>
    </row>
    <row r="702" ht="12.75" customHeight="1" s="101">
      <c r="A702" s="18" t="n"/>
      <c r="B702" s="19" t="n"/>
    </row>
    <row r="703" ht="12.75" customHeight="1" s="101">
      <c r="A703" s="18" t="n"/>
      <c r="B703" s="19" t="n"/>
    </row>
    <row r="704" ht="12.75" customHeight="1" s="101">
      <c r="A704" s="18" t="n"/>
      <c r="B704" s="19" t="n"/>
    </row>
    <row r="705" ht="12.75" customHeight="1" s="101">
      <c r="A705" s="18" t="n"/>
      <c r="B705" s="19" t="n"/>
    </row>
    <row r="706" ht="12.75" customHeight="1" s="101">
      <c r="A706" s="18" t="n"/>
      <c r="B706" s="19" t="n"/>
    </row>
    <row r="707" ht="12.75" customHeight="1" s="101">
      <c r="A707" s="18" t="n"/>
      <c r="B707" s="19" t="n"/>
    </row>
    <row r="708" ht="12.75" customHeight="1" s="101">
      <c r="A708" s="18" t="n"/>
      <c r="B708" s="19" t="n"/>
    </row>
    <row r="709" ht="12.75" customHeight="1" s="101">
      <c r="A709" s="18" t="n"/>
      <c r="B709" s="19" t="n"/>
    </row>
    <row r="710" ht="12.75" customHeight="1" s="101">
      <c r="A710" s="18" t="n"/>
      <c r="B710" s="19" t="n"/>
    </row>
    <row r="711" ht="12.75" customHeight="1" s="101">
      <c r="A711" s="18" t="n"/>
      <c r="B711" s="19" t="n"/>
    </row>
    <row r="712" ht="12.75" customHeight="1" s="101">
      <c r="A712" s="18" t="n"/>
      <c r="B712" s="19" t="n"/>
    </row>
    <row r="713" ht="12.75" customHeight="1" s="101">
      <c r="A713" s="18" t="n"/>
      <c r="B713" s="19" t="n"/>
    </row>
    <row r="714" ht="12.75" customHeight="1" s="101">
      <c r="A714" s="18" t="n"/>
      <c r="B714" s="19" t="n"/>
    </row>
    <row r="715" ht="12.75" customHeight="1" s="101">
      <c r="A715" s="18" t="n"/>
      <c r="B715" s="19" t="n"/>
    </row>
    <row r="716" ht="12.75" customHeight="1" s="101">
      <c r="A716" s="18" t="n"/>
      <c r="B716" s="19" t="n"/>
    </row>
    <row r="717" ht="12.75" customHeight="1" s="101">
      <c r="A717" s="18" t="n"/>
      <c r="B717" s="19" t="n"/>
    </row>
    <row r="718" ht="12.75" customHeight="1" s="101">
      <c r="A718" s="18" t="n"/>
      <c r="B718" s="19" t="n"/>
    </row>
    <row r="719" ht="12.75" customHeight="1" s="101">
      <c r="A719" s="18" t="n"/>
      <c r="B719" s="19" t="n"/>
    </row>
    <row r="720" ht="12.75" customHeight="1" s="101">
      <c r="A720" s="18" t="n"/>
      <c r="B720" s="19" t="n"/>
    </row>
    <row r="721" ht="12.75" customHeight="1" s="101">
      <c r="A721" s="18" t="n"/>
      <c r="B721" s="19" t="n"/>
    </row>
    <row r="722" ht="12.75" customHeight="1" s="101">
      <c r="A722" s="18" t="n"/>
      <c r="B722" s="19" t="n"/>
    </row>
    <row r="723" ht="12.75" customHeight="1" s="101">
      <c r="A723" s="18" t="n"/>
      <c r="B723" s="19" t="n"/>
    </row>
    <row r="724" ht="12.75" customHeight="1" s="101">
      <c r="A724" s="18" t="n"/>
      <c r="B724" s="19" t="n"/>
    </row>
    <row r="725" ht="12.75" customHeight="1" s="101">
      <c r="A725" s="18" t="n"/>
      <c r="B725" s="19" t="n"/>
    </row>
    <row r="726" ht="12.75" customHeight="1" s="101">
      <c r="A726" s="18" t="n"/>
      <c r="B726" s="19" t="n"/>
    </row>
    <row r="727" ht="12.75" customHeight="1" s="101">
      <c r="A727" s="18" t="n"/>
      <c r="B727" s="19" t="n"/>
    </row>
    <row r="728" ht="12.75" customHeight="1" s="101">
      <c r="A728" s="18" t="n"/>
      <c r="B728" s="19" t="n"/>
    </row>
    <row r="729" ht="12.75" customHeight="1" s="101">
      <c r="A729" s="18" t="n"/>
      <c r="B729" s="19" t="n"/>
    </row>
    <row r="730" ht="12.75" customHeight="1" s="101">
      <c r="A730" s="18" t="n"/>
      <c r="B730" s="19" t="n"/>
    </row>
    <row r="731" ht="12.75" customHeight="1" s="101">
      <c r="A731" s="18" t="n"/>
      <c r="B731" s="19" t="n"/>
    </row>
    <row r="732" ht="12.75" customHeight="1" s="101">
      <c r="A732" s="18" t="n"/>
      <c r="B732" s="19" t="n"/>
    </row>
    <row r="733" ht="12.75" customHeight="1" s="101">
      <c r="A733" s="18" t="n"/>
      <c r="B733" s="19" t="n"/>
    </row>
    <row r="734" ht="12.75" customHeight="1" s="101">
      <c r="A734" s="18" t="n"/>
      <c r="B734" s="19" t="n"/>
    </row>
    <row r="735" ht="12.75" customHeight="1" s="101">
      <c r="A735" s="18" t="n"/>
      <c r="B735" s="19" t="n"/>
    </row>
    <row r="736" ht="12.75" customHeight="1" s="101">
      <c r="A736" s="18" t="n"/>
      <c r="B736" s="19" t="n"/>
    </row>
    <row r="737" ht="12.75" customHeight="1" s="101">
      <c r="A737" s="18" t="n"/>
      <c r="B737" s="19" t="n"/>
    </row>
    <row r="738" ht="12.75" customHeight="1" s="101">
      <c r="A738" s="18" t="n"/>
      <c r="B738" s="19" t="n"/>
    </row>
    <row r="739" ht="12.75" customHeight="1" s="101">
      <c r="A739" s="18" t="n"/>
      <c r="B739" s="19" t="n"/>
    </row>
    <row r="740" ht="12.75" customHeight="1" s="101">
      <c r="A740" s="18" t="n"/>
      <c r="B740" s="19" t="n"/>
    </row>
    <row r="741" ht="12.75" customHeight="1" s="101">
      <c r="A741" s="18" t="n"/>
      <c r="B741" s="19" t="n"/>
    </row>
    <row r="742" ht="12.75" customHeight="1" s="101">
      <c r="A742" s="18" t="n"/>
      <c r="B742" s="19" t="n"/>
    </row>
    <row r="743" ht="12.75" customHeight="1" s="101">
      <c r="A743" s="18" t="n"/>
      <c r="B743" s="19" t="n"/>
    </row>
    <row r="744" ht="12.75" customHeight="1" s="101">
      <c r="A744" s="18" t="n"/>
      <c r="B744" s="19" t="n"/>
    </row>
    <row r="745" ht="12.75" customHeight="1" s="101">
      <c r="A745" s="18" t="n"/>
      <c r="B745" s="19" t="n"/>
    </row>
    <row r="746" ht="12.75" customHeight="1" s="101">
      <c r="A746" s="18" t="n"/>
      <c r="B746" s="19" t="n"/>
    </row>
    <row r="747" ht="12.75" customHeight="1" s="101">
      <c r="A747" s="18" t="n"/>
      <c r="B747" s="19" t="n"/>
    </row>
    <row r="748" ht="12.75" customHeight="1" s="101">
      <c r="A748" s="18" t="n"/>
      <c r="B748" s="19" t="n"/>
    </row>
    <row r="749" ht="12.75" customHeight="1" s="101">
      <c r="A749" s="18" t="n"/>
      <c r="B749" s="19" t="n"/>
    </row>
    <row r="750" ht="12.75" customHeight="1" s="101">
      <c r="A750" s="18" t="n"/>
      <c r="B750" s="19" t="n"/>
    </row>
    <row r="751" ht="12.75" customHeight="1" s="101">
      <c r="A751" s="18" t="n"/>
      <c r="B751" s="19" t="n"/>
    </row>
    <row r="752" ht="12.75" customHeight="1" s="101">
      <c r="A752" s="18" t="n"/>
      <c r="B752" s="19" t="n"/>
    </row>
    <row r="753" ht="12.75" customHeight="1" s="101">
      <c r="A753" s="18" t="n"/>
      <c r="B753" s="19" t="n"/>
    </row>
    <row r="754" ht="12.75" customHeight="1" s="101">
      <c r="A754" s="18" t="n"/>
      <c r="B754" s="19" t="n"/>
    </row>
    <row r="755" ht="12.75" customHeight="1" s="101">
      <c r="A755" s="18" t="n"/>
      <c r="B755" s="19" t="n"/>
    </row>
    <row r="756" ht="12.75" customHeight="1" s="101">
      <c r="A756" s="18" t="n"/>
      <c r="B756" s="19" t="n"/>
    </row>
    <row r="757" ht="12.75" customHeight="1" s="101">
      <c r="A757" s="18" t="n"/>
      <c r="B757" s="19" t="n"/>
    </row>
    <row r="758" ht="12.75" customHeight="1" s="101">
      <c r="A758" s="18" t="n"/>
      <c r="B758" s="19" t="n"/>
    </row>
    <row r="759" ht="12.75" customHeight="1" s="101">
      <c r="A759" s="18" t="n"/>
      <c r="B759" s="19" t="n"/>
    </row>
    <row r="760" ht="12.75" customHeight="1" s="101">
      <c r="A760" s="18" t="n"/>
      <c r="B760" s="19" t="n"/>
    </row>
    <row r="761" ht="12.75" customHeight="1" s="101">
      <c r="A761" s="18" t="n"/>
      <c r="B761" s="19" t="n"/>
    </row>
    <row r="762" ht="12.75" customHeight="1" s="101">
      <c r="A762" s="18" t="n"/>
      <c r="B762" s="19" t="n"/>
    </row>
    <row r="763" ht="12.75" customHeight="1" s="101">
      <c r="A763" s="18" t="n"/>
      <c r="B763" s="19" t="n"/>
    </row>
    <row r="764" ht="12.75" customHeight="1" s="101">
      <c r="A764" s="18" t="n"/>
      <c r="B764" s="19" t="n"/>
    </row>
    <row r="765" ht="12.75" customHeight="1" s="101">
      <c r="A765" s="18" t="n"/>
      <c r="B765" s="19" t="n"/>
    </row>
    <row r="766" ht="12.75" customHeight="1" s="101">
      <c r="A766" s="18" t="n"/>
      <c r="B766" s="19" t="n"/>
    </row>
    <row r="767" ht="12.75" customHeight="1" s="101">
      <c r="A767" s="18" t="n"/>
      <c r="B767" s="19" t="n"/>
    </row>
    <row r="768" ht="12.75" customHeight="1" s="101">
      <c r="A768" s="18" t="n"/>
      <c r="B768" s="19" t="n"/>
    </row>
    <row r="769" ht="12.75" customHeight="1" s="101">
      <c r="A769" s="18" t="n"/>
      <c r="B769" s="19" t="n"/>
    </row>
    <row r="770" ht="12.75" customHeight="1" s="101">
      <c r="A770" s="18" t="n"/>
      <c r="B770" s="19" t="n"/>
    </row>
    <row r="771" ht="12.75" customHeight="1" s="101">
      <c r="A771" s="18" t="n"/>
      <c r="B771" s="19" t="n"/>
    </row>
    <row r="772" ht="12.75" customHeight="1" s="101">
      <c r="A772" s="18" t="n"/>
      <c r="B772" s="19" t="n"/>
    </row>
    <row r="773" ht="12.75" customHeight="1" s="101">
      <c r="A773" s="18" t="n"/>
      <c r="B773" s="19" t="n"/>
    </row>
    <row r="774" ht="12.75" customHeight="1" s="101">
      <c r="A774" s="18" t="n"/>
      <c r="B774" s="19" t="n"/>
    </row>
    <row r="775" ht="12.75" customHeight="1" s="101">
      <c r="A775" s="18" t="n"/>
      <c r="B775" s="19" t="n"/>
    </row>
    <row r="776" ht="12.75" customHeight="1" s="101">
      <c r="A776" s="18" t="n"/>
      <c r="B776" s="19" t="n"/>
    </row>
    <row r="777" ht="12.75" customHeight="1" s="101">
      <c r="A777" s="18" t="n"/>
      <c r="B777" s="19" t="n"/>
    </row>
    <row r="778" ht="12.75" customHeight="1" s="101">
      <c r="A778" s="18" t="n"/>
      <c r="B778" s="19" t="n"/>
    </row>
    <row r="779" ht="12.75" customHeight="1" s="101">
      <c r="A779" s="18" t="n"/>
      <c r="B779" s="19" t="n"/>
    </row>
    <row r="780" ht="12.75" customHeight="1" s="101">
      <c r="A780" s="18" t="n"/>
      <c r="B780" s="19" t="n"/>
    </row>
    <row r="781" ht="12.75" customHeight="1" s="101">
      <c r="A781" s="18" t="n"/>
      <c r="B781" s="19" t="n"/>
    </row>
    <row r="782" ht="12.75" customHeight="1" s="101">
      <c r="A782" s="18" t="n"/>
      <c r="B782" s="19" t="n"/>
    </row>
    <row r="783" ht="12.75" customHeight="1" s="101">
      <c r="A783" s="18" t="n"/>
      <c r="B783" s="19" t="n"/>
    </row>
    <row r="784" ht="12.75" customHeight="1" s="101">
      <c r="A784" s="18" t="n"/>
      <c r="B784" s="19" t="n"/>
    </row>
    <row r="785" ht="12.75" customHeight="1" s="101">
      <c r="A785" s="18" t="n"/>
      <c r="B785" s="19" t="n"/>
    </row>
    <row r="786" ht="12.75" customHeight="1" s="101">
      <c r="A786" s="18" t="n"/>
      <c r="B786" s="19" t="n"/>
    </row>
    <row r="787" ht="12.75" customHeight="1" s="101">
      <c r="A787" s="18" t="n"/>
      <c r="B787" s="19" t="n"/>
    </row>
    <row r="788" ht="12.75" customHeight="1" s="101">
      <c r="A788" s="18" t="n"/>
      <c r="B788" s="19" t="n"/>
    </row>
    <row r="789" ht="12.75" customHeight="1" s="101">
      <c r="A789" s="18" t="n"/>
      <c r="B789" s="19" t="n"/>
    </row>
    <row r="790" ht="12.75" customHeight="1" s="101">
      <c r="A790" s="18" t="n"/>
      <c r="B790" s="19" t="n"/>
    </row>
    <row r="791" ht="12.75" customHeight="1" s="101">
      <c r="A791" s="18" t="n"/>
      <c r="B791" s="19" t="n"/>
    </row>
    <row r="792" ht="12.75" customHeight="1" s="101">
      <c r="A792" s="18" t="n"/>
      <c r="B792" s="19" t="n"/>
    </row>
    <row r="793" ht="12.75" customHeight="1" s="101">
      <c r="A793" s="18" t="n"/>
      <c r="B793" s="19" t="n"/>
    </row>
    <row r="794" ht="12.75" customHeight="1" s="101">
      <c r="A794" s="18" t="n"/>
      <c r="B794" s="19" t="n"/>
    </row>
    <row r="795" ht="12.75" customHeight="1" s="101">
      <c r="A795" s="18" t="n"/>
      <c r="B795" s="19" t="n"/>
    </row>
    <row r="796" ht="12.75" customHeight="1" s="101">
      <c r="A796" s="18" t="n"/>
      <c r="B796" s="19" t="n"/>
    </row>
    <row r="797" ht="12.75" customHeight="1" s="101">
      <c r="A797" s="18" t="n"/>
      <c r="B797" s="19" t="n"/>
    </row>
    <row r="798" ht="12.75" customHeight="1" s="101">
      <c r="A798" s="18" t="n"/>
      <c r="B798" s="19" t="n"/>
    </row>
    <row r="799" ht="12.75" customHeight="1" s="101">
      <c r="A799" s="18" t="n"/>
      <c r="B799" s="19" t="n"/>
    </row>
    <row r="800" ht="12.75" customHeight="1" s="101">
      <c r="A800" s="18" t="n"/>
      <c r="B800" s="19" t="n"/>
    </row>
    <row r="801" ht="12.75" customHeight="1" s="101">
      <c r="A801" s="18" t="n"/>
      <c r="B801" s="19" t="n"/>
    </row>
    <row r="802" ht="12.75" customHeight="1" s="101">
      <c r="A802" s="18" t="n"/>
      <c r="B802" s="19" t="n"/>
    </row>
    <row r="803" ht="12.75" customHeight="1" s="101">
      <c r="A803" s="18" t="n"/>
      <c r="B803" s="19" t="n"/>
    </row>
    <row r="804" ht="12.75" customHeight="1" s="101">
      <c r="A804" s="18" t="n"/>
      <c r="B804" s="19" t="n"/>
    </row>
    <row r="805" ht="12.75" customHeight="1" s="101">
      <c r="A805" s="18" t="n"/>
      <c r="B805" s="19" t="n"/>
    </row>
    <row r="806" ht="12.75" customHeight="1" s="101">
      <c r="A806" s="18" t="n"/>
      <c r="B806" s="19" t="n"/>
    </row>
    <row r="807" ht="12.75" customHeight="1" s="101">
      <c r="A807" s="18" t="n"/>
      <c r="B807" s="19" t="n"/>
    </row>
    <row r="808" ht="12.75" customHeight="1" s="101">
      <c r="A808" s="18" t="n"/>
      <c r="B808" s="19" t="n"/>
    </row>
    <row r="809" ht="12.75" customHeight="1" s="101">
      <c r="A809" s="18" t="n"/>
      <c r="B809" s="19" t="n"/>
    </row>
    <row r="810" ht="12.75" customHeight="1" s="101">
      <c r="A810" s="18" t="n"/>
      <c r="B810" s="19" t="n"/>
    </row>
    <row r="811" ht="12.75" customHeight="1" s="101">
      <c r="A811" s="18" t="n"/>
      <c r="B811" s="19" t="n"/>
    </row>
    <row r="812" ht="12.75" customHeight="1" s="101">
      <c r="A812" s="18" t="n"/>
      <c r="B812" s="19" t="n"/>
    </row>
    <row r="813" ht="12.75" customHeight="1" s="101">
      <c r="A813" s="18" t="n"/>
      <c r="B813" s="19" t="n"/>
    </row>
    <row r="814" ht="12.75" customHeight="1" s="101">
      <c r="A814" s="18" t="n"/>
      <c r="B814" s="19" t="n"/>
    </row>
    <row r="815" ht="12.75" customHeight="1" s="101">
      <c r="A815" s="18" t="n"/>
      <c r="B815" s="19" t="n"/>
    </row>
    <row r="816" ht="12.75" customHeight="1" s="101">
      <c r="A816" s="18" t="n"/>
      <c r="B816" s="19" t="n"/>
    </row>
    <row r="817" ht="12.75" customHeight="1" s="101">
      <c r="A817" s="18" t="n"/>
      <c r="B817" s="19" t="n"/>
    </row>
    <row r="818" ht="12.75" customHeight="1" s="101">
      <c r="A818" s="18" t="n"/>
      <c r="B818" s="19" t="n"/>
    </row>
    <row r="819" ht="12.75" customHeight="1" s="101">
      <c r="A819" s="18" t="n"/>
      <c r="B819" s="19" t="n"/>
    </row>
    <row r="820" ht="12.75" customHeight="1" s="101">
      <c r="A820" s="18" t="n"/>
      <c r="B820" s="19" t="n"/>
    </row>
    <row r="821" ht="12.75" customHeight="1" s="101">
      <c r="A821" s="18" t="n"/>
      <c r="B821" s="19" t="n"/>
    </row>
    <row r="822" ht="12.75" customHeight="1" s="101">
      <c r="A822" s="18" t="n"/>
      <c r="B822" s="19" t="n"/>
    </row>
    <row r="823" ht="12.75" customHeight="1" s="101">
      <c r="A823" s="18" t="n"/>
      <c r="B823" s="19" t="n"/>
    </row>
    <row r="824" ht="12.75" customHeight="1" s="101">
      <c r="A824" s="18" t="n"/>
      <c r="B824" s="19" t="n"/>
    </row>
    <row r="825" ht="12.75" customHeight="1" s="101">
      <c r="A825" s="18" t="n"/>
      <c r="B825" s="19" t="n"/>
    </row>
    <row r="826" ht="12.75" customHeight="1" s="101">
      <c r="A826" s="18" t="n"/>
      <c r="B826" s="19" t="n"/>
    </row>
    <row r="827" ht="12.75" customHeight="1" s="101">
      <c r="A827" s="18" t="n"/>
      <c r="B827" s="19" t="n"/>
    </row>
    <row r="828" ht="12.75" customHeight="1" s="101">
      <c r="A828" s="18" t="n"/>
      <c r="B828" s="19" t="n"/>
    </row>
    <row r="829" ht="12.75" customHeight="1" s="101">
      <c r="A829" s="18" t="n"/>
      <c r="B829" s="19" t="n"/>
    </row>
    <row r="830" ht="12.75" customHeight="1" s="101">
      <c r="A830" s="18" t="n"/>
      <c r="B830" s="19" t="n"/>
    </row>
    <row r="831" ht="12.75" customHeight="1" s="101">
      <c r="A831" s="18" t="n"/>
      <c r="B831" s="19" t="n"/>
    </row>
    <row r="832" ht="12.75" customHeight="1" s="101">
      <c r="A832" s="18" t="n"/>
      <c r="B832" s="19" t="n"/>
    </row>
    <row r="833" ht="12.75" customHeight="1" s="101">
      <c r="A833" s="18" t="n"/>
      <c r="B833" s="19" t="n"/>
    </row>
    <row r="834" ht="12.75" customHeight="1" s="101">
      <c r="A834" s="18" t="n"/>
      <c r="B834" s="19" t="n"/>
    </row>
    <row r="835" ht="12.75" customHeight="1" s="101">
      <c r="A835" s="18" t="n"/>
      <c r="B835" s="19" t="n"/>
    </row>
    <row r="836" ht="12.75" customHeight="1" s="101">
      <c r="A836" s="18" t="n"/>
      <c r="B836" s="19" t="n"/>
    </row>
    <row r="837" ht="12.75" customHeight="1" s="101">
      <c r="A837" s="18" t="n"/>
      <c r="B837" s="19" t="n"/>
    </row>
    <row r="838" ht="12.75" customHeight="1" s="101">
      <c r="A838" s="18" t="n"/>
      <c r="B838" s="19" t="n"/>
    </row>
    <row r="839" ht="12.75" customHeight="1" s="101">
      <c r="A839" s="18" t="n"/>
      <c r="B839" s="19" t="n"/>
    </row>
    <row r="840" ht="12.75" customHeight="1" s="101">
      <c r="A840" s="18" t="n"/>
      <c r="B840" s="19" t="n"/>
    </row>
    <row r="841" ht="12.75" customHeight="1" s="101">
      <c r="A841" s="18" t="n"/>
      <c r="B841" s="19" t="n"/>
    </row>
    <row r="842" ht="12.75" customHeight="1" s="101">
      <c r="A842" s="18" t="n"/>
      <c r="B842" s="19" t="n"/>
    </row>
    <row r="843" ht="12.75" customHeight="1" s="101">
      <c r="A843" s="18" t="n"/>
      <c r="B843" s="19" t="n"/>
    </row>
    <row r="844" ht="12.75" customHeight="1" s="101">
      <c r="A844" s="18" t="n"/>
      <c r="B844" s="19" t="n"/>
    </row>
    <row r="845" ht="12.75" customHeight="1" s="101">
      <c r="A845" s="18" t="n"/>
      <c r="B845" s="19" t="n"/>
    </row>
    <row r="846" ht="12.75" customHeight="1" s="101">
      <c r="A846" s="18" t="n"/>
      <c r="B846" s="19" t="n"/>
    </row>
    <row r="847" ht="12.75" customHeight="1" s="101">
      <c r="A847" s="18" t="n"/>
      <c r="B847" s="19" t="n"/>
    </row>
    <row r="848" ht="12.75" customHeight="1" s="101">
      <c r="A848" s="18" t="n"/>
      <c r="B848" s="19" t="n"/>
    </row>
    <row r="849" ht="12.75" customHeight="1" s="101">
      <c r="A849" s="18" t="n"/>
      <c r="B849" s="19" t="n"/>
    </row>
    <row r="850" ht="12.75" customHeight="1" s="101">
      <c r="A850" s="18" t="n"/>
      <c r="B850" s="19" t="n"/>
    </row>
    <row r="851" ht="12.75" customHeight="1" s="101">
      <c r="A851" s="18" t="n"/>
      <c r="B851" s="19" t="n"/>
    </row>
    <row r="852" ht="12.75" customHeight="1" s="101">
      <c r="A852" s="18" t="n"/>
      <c r="B852" s="19" t="n"/>
    </row>
    <row r="853" ht="12.75" customHeight="1" s="101">
      <c r="A853" s="18" t="n"/>
      <c r="B853" s="19" t="n"/>
    </row>
    <row r="854" ht="12.75" customHeight="1" s="101">
      <c r="A854" s="18" t="n"/>
      <c r="B854" s="19" t="n"/>
    </row>
    <row r="855" ht="12.75" customHeight="1" s="101">
      <c r="A855" s="18" t="n"/>
      <c r="B855" s="19" t="n"/>
    </row>
    <row r="856" ht="12.75" customHeight="1" s="101">
      <c r="A856" s="18" t="n"/>
      <c r="B856" s="19" t="n"/>
    </row>
    <row r="857" ht="12.75" customHeight="1" s="101">
      <c r="A857" s="18" t="n"/>
      <c r="B857" s="19" t="n"/>
    </row>
    <row r="858" ht="12.75" customHeight="1" s="101">
      <c r="A858" s="18" t="n"/>
      <c r="B858" s="19" t="n"/>
    </row>
    <row r="859" ht="12.75" customHeight="1" s="101">
      <c r="A859" s="18" t="n"/>
      <c r="B859" s="19" t="n"/>
    </row>
    <row r="860" ht="12.75" customHeight="1" s="101">
      <c r="A860" s="18" t="n"/>
      <c r="B860" s="19" t="n"/>
    </row>
    <row r="861" ht="12.75" customHeight="1" s="101">
      <c r="A861" s="18" t="n"/>
      <c r="B861" s="19" t="n"/>
    </row>
    <row r="862" ht="12.75" customHeight="1" s="101">
      <c r="A862" s="18" t="n"/>
      <c r="B862" s="19" t="n"/>
    </row>
    <row r="863" ht="12.75" customHeight="1" s="101">
      <c r="A863" s="18" t="n"/>
      <c r="B863" s="19" t="n"/>
    </row>
    <row r="864" ht="12.75" customHeight="1" s="101">
      <c r="A864" s="18" t="n"/>
      <c r="B864" s="19" t="n"/>
    </row>
    <row r="865" ht="12.75" customHeight="1" s="101">
      <c r="A865" s="18" t="n"/>
      <c r="B865" s="19" t="n"/>
    </row>
    <row r="866" ht="12.75" customHeight="1" s="101">
      <c r="A866" s="18" t="n"/>
      <c r="B866" s="19" t="n"/>
    </row>
    <row r="867" ht="12.75" customHeight="1" s="101">
      <c r="A867" s="18" t="n"/>
      <c r="B867" s="19" t="n"/>
    </row>
    <row r="868" ht="12.75" customHeight="1" s="101">
      <c r="A868" s="18" t="n"/>
      <c r="B868" s="19" t="n"/>
    </row>
    <row r="869" ht="12.75" customHeight="1" s="101">
      <c r="A869" s="18" t="n"/>
      <c r="B869" s="19" t="n"/>
    </row>
    <row r="870" ht="12.75" customHeight="1" s="101">
      <c r="A870" s="18" t="n"/>
      <c r="B870" s="19" t="n"/>
    </row>
    <row r="871" ht="12.75" customHeight="1" s="101">
      <c r="A871" s="18" t="n"/>
      <c r="B871" s="19" t="n"/>
    </row>
    <row r="872" ht="12.75" customHeight="1" s="101">
      <c r="A872" s="18" t="n"/>
      <c r="B872" s="19" t="n"/>
    </row>
    <row r="873" ht="12.75" customHeight="1" s="101">
      <c r="A873" s="18" t="n"/>
      <c r="B873" s="19" t="n"/>
    </row>
    <row r="874" ht="12.75" customHeight="1" s="101">
      <c r="A874" s="18" t="n"/>
      <c r="B874" s="19" t="n"/>
    </row>
    <row r="875" ht="12.75" customHeight="1" s="101">
      <c r="A875" s="18" t="n"/>
      <c r="B875" s="19" t="n"/>
    </row>
    <row r="876" ht="12.75" customHeight="1" s="101">
      <c r="A876" s="18" t="n"/>
      <c r="B876" s="19" t="n"/>
    </row>
    <row r="877" ht="12.75" customHeight="1" s="101">
      <c r="A877" s="18" t="n"/>
      <c r="B877" s="19" t="n"/>
    </row>
    <row r="878" ht="12.75" customHeight="1" s="101">
      <c r="A878" s="18" t="n"/>
      <c r="B878" s="19" t="n"/>
    </row>
    <row r="879" ht="12.75" customHeight="1" s="101">
      <c r="A879" s="18" t="n"/>
      <c r="B879" s="19" t="n"/>
    </row>
    <row r="880" ht="12.75" customHeight="1" s="101">
      <c r="A880" s="18" t="n"/>
      <c r="B880" s="19" t="n"/>
    </row>
    <row r="881" ht="12.75" customHeight="1" s="101">
      <c r="A881" s="18" t="n"/>
      <c r="B881" s="19" t="n"/>
    </row>
    <row r="882" ht="12.75" customHeight="1" s="101">
      <c r="A882" s="18" t="n"/>
      <c r="B882" s="19" t="n"/>
    </row>
    <row r="883" ht="12.75" customHeight="1" s="101">
      <c r="A883" s="18" t="n"/>
      <c r="B883" s="19" t="n"/>
    </row>
    <row r="884" ht="12.75" customHeight="1" s="101">
      <c r="A884" s="18" t="n"/>
      <c r="B884" s="19" t="n"/>
    </row>
    <row r="885" ht="12.75" customHeight="1" s="101">
      <c r="A885" s="18" t="n"/>
      <c r="B885" s="19" t="n"/>
    </row>
    <row r="886" ht="12.75" customHeight="1" s="101">
      <c r="A886" s="18" t="n"/>
      <c r="B886" s="19" t="n"/>
    </row>
    <row r="887" ht="12.75" customHeight="1" s="101">
      <c r="A887" s="18" t="n"/>
      <c r="B887" s="19" t="n"/>
    </row>
    <row r="888" ht="12.75" customHeight="1" s="101">
      <c r="A888" s="18" t="n"/>
      <c r="B888" s="19" t="n"/>
    </row>
    <row r="889" ht="12.75" customHeight="1" s="101">
      <c r="A889" s="18" t="n"/>
      <c r="B889" s="19" t="n"/>
    </row>
    <row r="890" ht="12.75" customHeight="1" s="101">
      <c r="A890" s="18" t="n"/>
      <c r="B890" s="19" t="n"/>
    </row>
    <row r="891" ht="12.75" customHeight="1" s="101">
      <c r="A891" s="18" t="n"/>
      <c r="B891" s="19" t="n"/>
    </row>
    <row r="892" ht="12.75" customHeight="1" s="101">
      <c r="A892" s="18" t="n"/>
      <c r="B892" s="19" t="n"/>
    </row>
    <row r="893" ht="12.75" customHeight="1" s="101">
      <c r="A893" s="18" t="n"/>
      <c r="B893" s="19" t="n"/>
    </row>
    <row r="894" ht="12.75" customHeight="1" s="101">
      <c r="A894" s="18" t="n"/>
      <c r="B894" s="19" t="n"/>
    </row>
    <row r="895" ht="12.75" customHeight="1" s="101">
      <c r="A895" s="18" t="n"/>
      <c r="B895" s="19" t="n"/>
    </row>
    <row r="896" ht="12.75" customHeight="1" s="101">
      <c r="A896" s="18" t="n"/>
      <c r="B896" s="19" t="n"/>
    </row>
    <row r="897" ht="12.75" customHeight="1" s="101">
      <c r="A897" s="18" t="n"/>
      <c r="B897" s="19" t="n"/>
    </row>
    <row r="898" ht="12.75" customHeight="1" s="101">
      <c r="A898" s="18" t="n"/>
      <c r="B898" s="19" t="n"/>
    </row>
    <row r="899" ht="12.75" customHeight="1" s="101">
      <c r="A899" s="18" t="n"/>
      <c r="B899" s="19" t="n"/>
    </row>
    <row r="900" ht="12.75" customHeight="1" s="101">
      <c r="A900" s="18" t="n"/>
      <c r="B900" s="19" t="n"/>
    </row>
    <row r="901" ht="12.75" customHeight="1" s="101">
      <c r="A901" s="18" t="n"/>
      <c r="B901" s="19" t="n"/>
    </row>
    <row r="902" ht="12.75" customHeight="1" s="101">
      <c r="A902" s="18" t="n"/>
      <c r="B902" s="19" t="n"/>
    </row>
    <row r="903" ht="12.75" customHeight="1" s="101">
      <c r="A903" s="18" t="n"/>
      <c r="B903" s="19" t="n"/>
    </row>
    <row r="904" ht="12.75" customHeight="1" s="101">
      <c r="A904" s="18" t="n"/>
      <c r="B904" s="19" t="n"/>
    </row>
    <row r="905" ht="12.75" customHeight="1" s="101">
      <c r="A905" s="18" t="n"/>
      <c r="B905" s="19" t="n"/>
    </row>
    <row r="906" ht="12.75" customHeight="1" s="101">
      <c r="A906" s="18" t="n"/>
      <c r="B906" s="19" t="n"/>
    </row>
    <row r="907" ht="12.75" customHeight="1" s="101">
      <c r="A907" s="18" t="n"/>
      <c r="B907" s="19" t="n"/>
    </row>
    <row r="908" ht="12.75" customHeight="1" s="101">
      <c r="A908" s="18" t="n"/>
      <c r="B908" s="19" t="n"/>
    </row>
    <row r="909" ht="12.75" customHeight="1" s="101">
      <c r="A909" s="18" t="n"/>
      <c r="B909" s="19" t="n"/>
    </row>
    <row r="910" ht="12.75" customHeight="1" s="101">
      <c r="A910" s="18" t="n"/>
      <c r="B910" s="19" t="n"/>
    </row>
    <row r="911" ht="12.75" customHeight="1" s="101">
      <c r="A911" s="18" t="n"/>
      <c r="B911" s="19" t="n"/>
    </row>
    <row r="912" ht="12.75" customHeight="1" s="101">
      <c r="A912" s="18" t="n"/>
      <c r="B912" s="19" t="n"/>
    </row>
    <row r="913" ht="12.75" customHeight="1" s="101">
      <c r="A913" s="18" t="n"/>
      <c r="B913" s="19" t="n"/>
    </row>
    <row r="914" ht="12.75" customHeight="1" s="101">
      <c r="A914" s="18" t="n"/>
      <c r="B914" s="19" t="n"/>
    </row>
    <row r="915" ht="12.75" customHeight="1" s="101">
      <c r="A915" s="18" t="n"/>
      <c r="B915" s="19" t="n"/>
    </row>
    <row r="916" ht="12.75" customHeight="1" s="101">
      <c r="A916" s="18" t="n"/>
      <c r="B916" s="19" t="n"/>
    </row>
    <row r="917" ht="12.75" customHeight="1" s="101">
      <c r="A917" s="18" t="n"/>
      <c r="B917" s="19" t="n"/>
    </row>
    <row r="918" ht="12.75" customHeight="1" s="101">
      <c r="A918" s="18" t="n"/>
      <c r="B918" s="19" t="n"/>
    </row>
    <row r="919" ht="12.75" customHeight="1" s="101">
      <c r="A919" s="18" t="n"/>
      <c r="B919" s="19" t="n"/>
    </row>
    <row r="920" ht="12.75" customHeight="1" s="101">
      <c r="A920" s="18" t="n"/>
      <c r="B920" s="19" t="n"/>
    </row>
    <row r="921" ht="12.75" customHeight="1" s="101">
      <c r="A921" s="18" t="n"/>
      <c r="B921" s="19" t="n"/>
    </row>
    <row r="922" ht="12.75" customHeight="1" s="101">
      <c r="A922" s="18" t="n"/>
      <c r="B922" s="19" t="n"/>
    </row>
    <row r="923" ht="12.75" customHeight="1" s="101">
      <c r="A923" s="18" t="n"/>
      <c r="B923" s="19" t="n"/>
    </row>
    <row r="924" ht="12.75" customHeight="1" s="101">
      <c r="A924" s="18" t="n"/>
      <c r="B924" s="19" t="n"/>
    </row>
    <row r="925" ht="12.75" customHeight="1" s="101">
      <c r="A925" s="18" t="n"/>
      <c r="B925" s="19" t="n"/>
    </row>
    <row r="926" ht="12.75" customHeight="1" s="101">
      <c r="A926" s="18" t="n"/>
      <c r="B926" s="19" t="n"/>
    </row>
    <row r="927" ht="12.75" customHeight="1" s="101">
      <c r="A927" s="18" t="n"/>
      <c r="B927" s="19" t="n"/>
    </row>
    <row r="928" ht="12.75" customHeight="1" s="101">
      <c r="A928" s="18" t="n"/>
      <c r="B928" s="19" t="n"/>
    </row>
    <row r="929" ht="12.75" customHeight="1" s="101">
      <c r="A929" s="18" t="n"/>
      <c r="B929" s="19" t="n"/>
    </row>
    <row r="930" ht="12.75" customHeight="1" s="101">
      <c r="A930" s="18" t="n"/>
      <c r="B930" s="19" t="n"/>
    </row>
    <row r="931" ht="12.75" customHeight="1" s="101">
      <c r="A931" s="18" t="n"/>
      <c r="B931" s="19" t="n"/>
    </row>
    <row r="932" ht="12.75" customHeight="1" s="101">
      <c r="A932" s="18" t="n"/>
      <c r="B932" s="19" t="n"/>
    </row>
    <row r="933" ht="12.75" customHeight="1" s="101">
      <c r="A933" s="18" t="n"/>
      <c r="B933" s="19" t="n"/>
    </row>
    <row r="934" ht="12.75" customHeight="1" s="101">
      <c r="A934" s="18" t="n"/>
      <c r="B934" s="19" t="n"/>
    </row>
    <row r="935" ht="12.75" customHeight="1" s="101">
      <c r="A935" s="18" t="n"/>
      <c r="B935" s="19" t="n"/>
    </row>
    <row r="936" ht="12.75" customHeight="1" s="101">
      <c r="A936" s="18" t="n"/>
      <c r="B936" s="19" t="n"/>
    </row>
    <row r="937" ht="12.75" customHeight="1" s="101">
      <c r="A937" s="18" t="n"/>
      <c r="B937" s="19" t="n"/>
    </row>
    <row r="938" ht="12.75" customHeight="1" s="101">
      <c r="A938" s="18" t="n"/>
      <c r="B938" s="19" t="n"/>
    </row>
    <row r="939" ht="12.75" customHeight="1" s="101">
      <c r="A939" s="18" t="n"/>
      <c r="B939" s="19" t="n"/>
    </row>
    <row r="940" ht="12.75" customHeight="1" s="101">
      <c r="A940" s="18" t="n"/>
      <c r="B940" s="19" t="n"/>
    </row>
    <row r="941" ht="12.75" customHeight="1" s="101">
      <c r="A941" s="18" t="n"/>
      <c r="B941" s="19" t="n"/>
    </row>
    <row r="942" ht="12.75" customHeight="1" s="101">
      <c r="A942" s="18" t="n"/>
      <c r="B942" s="19" t="n"/>
    </row>
    <row r="943" ht="12.75" customHeight="1" s="101">
      <c r="A943" s="18" t="n"/>
      <c r="B943" s="19" t="n"/>
    </row>
    <row r="944" ht="12.75" customHeight="1" s="101">
      <c r="A944" s="18" t="n"/>
      <c r="B944" s="19" t="n"/>
    </row>
    <row r="945" ht="12.75" customHeight="1" s="101">
      <c r="A945" s="18" t="n"/>
      <c r="B945" s="19" t="n"/>
    </row>
    <row r="946" ht="12.75" customHeight="1" s="101">
      <c r="A946" s="18" t="n"/>
      <c r="B946" s="19" t="n"/>
    </row>
    <row r="947" ht="12.75" customHeight="1" s="101">
      <c r="A947" s="18" t="n"/>
      <c r="B947" s="19" t="n"/>
    </row>
    <row r="948" ht="12.75" customHeight="1" s="101">
      <c r="A948" s="18" t="n"/>
      <c r="B948" s="19" t="n"/>
    </row>
    <row r="949" ht="12.75" customHeight="1" s="101">
      <c r="A949" s="18" t="n"/>
      <c r="B949" s="19" t="n"/>
    </row>
    <row r="950" ht="12.75" customHeight="1" s="101">
      <c r="A950" s="18" t="n"/>
      <c r="B950" s="19" t="n"/>
    </row>
    <row r="951" ht="12.75" customHeight="1" s="101">
      <c r="A951" s="18" t="n"/>
      <c r="B951" s="19" t="n"/>
    </row>
    <row r="952" ht="12.75" customHeight="1" s="101">
      <c r="A952" s="18" t="n"/>
      <c r="B952" s="19" t="n"/>
    </row>
    <row r="953" ht="12.75" customHeight="1" s="101">
      <c r="A953" s="18" t="n"/>
      <c r="B953" s="19" t="n"/>
    </row>
    <row r="954" ht="12.75" customHeight="1" s="101">
      <c r="A954" s="18" t="n"/>
      <c r="B954" s="19" t="n"/>
    </row>
    <row r="955" ht="12.75" customHeight="1" s="101">
      <c r="A955" s="18" t="n"/>
      <c r="B955" s="19" t="n"/>
    </row>
    <row r="956" ht="12.75" customHeight="1" s="101">
      <c r="A956" s="18" t="n"/>
      <c r="B956" s="19" t="n"/>
    </row>
    <row r="957" ht="12.75" customHeight="1" s="101">
      <c r="A957" s="18" t="n"/>
      <c r="B957" s="19" t="n"/>
    </row>
    <row r="958" ht="12.75" customHeight="1" s="101">
      <c r="A958" s="18" t="n"/>
      <c r="B958" s="19" t="n"/>
    </row>
    <row r="959" ht="12.75" customHeight="1" s="101">
      <c r="A959" s="18" t="n"/>
      <c r="B959" s="19" t="n"/>
    </row>
    <row r="960" ht="12.75" customHeight="1" s="101">
      <c r="A960" s="18" t="n"/>
      <c r="B960" s="19" t="n"/>
    </row>
    <row r="961" ht="12.75" customHeight="1" s="101">
      <c r="A961" s="18" t="n"/>
      <c r="B961" s="19" t="n"/>
    </row>
    <row r="962" ht="12.75" customHeight="1" s="101">
      <c r="A962" s="18" t="n"/>
      <c r="B962" s="19" t="n"/>
    </row>
    <row r="963" ht="12.75" customHeight="1" s="101">
      <c r="A963" s="18" t="n"/>
      <c r="B963" s="19" t="n"/>
    </row>
    <row r="964" ht="12.75" customHeight="1" s="101">
      <c r="A964" s="18" t="n"/>
      <c r="B964" s="19" t="n"/>
    </row>
    <row r="965" ht="12.75" customHeight="1" s="101">
      <c r="A965" s="18" t="n"/>
      <c r="B965" s="19" t="n"/>
    </row>
    <row r="966" ht="12.75" customHeight="1" s="101">
      <c r="A966" s="18" t="n"/>
      <c r="B966" s="19" t="n"/>
    </row>
    <row r="967" ht="12.75" customHeight="1" s="101">
      <c r="A967" s="18" t="n"/>
      <c r="B967" s="19" t="n"/>
    </row>
    <row r="968" ht="12.75" customHeight="1" s="101">
      <c r="A968" s="18" t="n"/>
      <c r="B968" s="19" t="n"/>
    </row>
    <row r="969" ht="12.75" customHeight="1" s="101">
      <c r="A969" s="18" t="n"/>
      <c r="B969" s="19" t="n"/>
    </row>
    <row r="970" ht="12.75" customHeight="1" s="101">
      <c r="A970" s="18" t="n"/>
      <c r="B970" s="19" t="n"/>
    </row>
    <row r="971" ht="12.75" customHeight="1" s="101">
      <c r="A971" s="18" t="n"/>
      <c r="B971" s="19" t="n"/>
    </row>
    <row r="972" ht="12.75" customHeight="1" s="101">
      <c r="A972" s="18" t="n"/>
      <c r="B972" s="19" t="n"/>
    </row>
    <row r="973" ht="12.75" customHeight="1" s="101">
      <c r="A973" s="18" t="n"/>
      <c r="B973" s="19" t="n"/>
    </row>
    <row r="974" ht="12.75" customHeight="1" s="101">
      <c r="A974" s="18" t="n"/>
      <c r="B974" s="19" t="n"/>
    </row>
    <row r="975" ht="12.75" customHeight="1" s="101">
      <c r="A975" s="18" t="n"/>
      <c r="B975" s="19" t="n"/>
    </row>
    <row r="976" ht="12.75" customHeight="1" s="101">
      <c r="A976" s="18" t="n"/>
      <c r="B976" s="19" t="n"/>
    </row>
    <row r="977" ht="12.75" customHeight="1" s="101">
      <c r="A977" s="18" t="n"/>
      <c r="B977" s="19" t="n"/>
    </row>
    <row r="978" ht="12.75" customHeight="1" s="101">
      <c r="A978" s="18" t="n"/>
      <c r="B978" s="19" t="n"/>
    </row>
    <row r="979" ht="12.75" customHeight="1" s="101">
      <c r="A979" s="18" t="n"/>
      <c r="B979" s="19" t="n"/>
    </row>
    <row r="980" ht="12.75" customHeight="1" s="101">
      <c r="A980" s="18" t="n"/>
      <c r="B980" s="19" t="n"/>
    </row>
    <row r="981" ht="12.75" customHeight="1" s="101">
      <c r="A981" s="18" t="n"/>
      <c r="B981" s="19" t="n"/>
    </row>
    <row r="982" ht="12.75" customHeight="1" s="101">
      <c r="A982" s="18" t="n"/>
      <c r="B982" s="19" t="n"/>
    </row>
    <row r="983" ht="12.75" customHeight="1" s="101">
      <c r="A983" s="18" t="n"/>
      <c r="B983" s="19" t="n"/>
    </row>
    <row r="984" ht="12.75" customHeight="1" s="101">
      <c r="A984" s="18" t="n"/>
      <c r="B984" s="19" t="n"/>
    </row>
    <row r="985" ht="12.75" customHeight="1" s="101">
      <c r="A985" s="18" t="n"/>
      <c r="B985" s="19" t="n"/>
    </row>
    <row r="986" ht="12.75" customHeight="1" s="101">
      <c r="A986" s="18" t="n"/>
      <c r="B986" s="19" t="n"/>
    </row>
    <row r="987" ht="12.75" customHeight="1" s="101">
      <c r="A987" s="18" t="n"/>
      <c r="B987" s="19" t="n"/>
    </row>
    <row r="988" ht="12.75" customHeight="1" s="101">
      <c r="A988" s="18" t="n"/>
      <c r="B988" s="19" t="n"/>
    </row>
    <row r="989" ht="12.75" customHeight="1" s="101">
      <c r="A989" s="18" t="n"/>
      <c r="B989" s="19" t="n"/>
    </row>
    <row r="990" ht="12.75" customHeight="1" s="101">
      <c r="A990" s="18" t="n"/>
      <c r="B990" s="19" t="n"/>
    </row>
    <row r="991" ht="12.75" customHeight="1" s="101">
      <c r="A991" s="18" t="n"/>
      <c r="B991" s="19" t="n"/>
    </row>
    <row r="992" ht="12.75" customHeight="1" s="101">
      <c r="A992" s="18" t="n"/>
      <c r="B992" s="19" t="n"/>
    </row>
    <row r="993" ht="12.75" customHeight="1" s="101">
      <c r="A993" s="18" t="n"/>
      <c r="B993" s="19" t="n"/>
    </row>
    <row r="994" ht="12.75" customHeight="1" s="101">
      <c r="A994" s="18" t="n"/>
      <c r="B994" s="19" t="n"/>
    </row>
    <row r="995" ht="12.75" customHeight="1" s="101">
      <c r="A995" s="18" t="n"/>
      <c r="B995" s="19" t="n"/>
    </row>
    <row r="996" ht="12.75" customHeight="1" s="101">
      <c r="A996" s="18" t="n"/>
      <c r="B996" s="19" t="n"/>
    </row>
    <row r="997" ht="12.75" customHeight="1" s="101">
      <c r="A997" s="18" t="n"/>
      <c r="B997" s="19" t="n"/>
    </row>
    <row r="998" ht="12.75" customHeight="1" s="101">
      <c r="A998" s="18" t="n"/>
      <c r="B998" s="19" t="n"/>
    </row>
    <row r="999" ht="12.75" customHeight="1" s="101">
      <c r="A999" s="18" t="n"/>
      <c r="B999" s="19" t="n"/>
    </row>
    <row r="1000" ht="12.75" customHeight="1" s="101">
      <c r="A1000" s="18" t="n"/>
      <c r="B1000" s="19" t="n"/>
    </row>
    <row r="1001" ht="12.75" customHeight="1" s="101">
      <c r="A1001" s="18" t="n"/>
      <c r="B1001" s="19" t="n"/>
    </row>
    <row r="1002" ht="12.75" customHeight="1" s="101">
      <c r="A1002" s="18" t="n"/>
      <c r="B1002" s="19" t="n"/>
    </row>
    <row r="1003" ht="12.75" customHeight="1" s="101">
      <c r="A1003" s="18" t="n"/>
      <c r="B1003" s="19" t="n"/>
    </row>
    <row r="1004" ht="12.75" customHeight="1" s="101">
      <c r="A1004" s="18" t="n"/>
      <c r="B1004" s="19" t="n"/>
    </row>
    <row r="1005" ht="12.75" customHeight="1" s="101">
      <c r="A1005" s="18" t="n"/>
      <c r="B1005" s="19" t="n"/>
    </row>
    <row r="1006" ht="12.75" customHeight="1" s="101">
      <c r="A1006" s="18" t="n"/>
      <c r="B1006" s="19" t="n"/>
    </row>
    <row r="1007" ht="12.75" customHeight="1" s="101">
      <c r="A1007" s="18" t="n"/>
      <c r="B1007" s="19" t="n"/>
    </row>
    <row r="1008" ht="12.75" customHeight="1" s="101">
      <c r="A1008" s="18" t="n"/>
      <c r="B1008" s="19" t="n"/>
    </row>
    <row r="1009" ht="12.75" customHeight="1" s="101">
      <c r="A1009" s="18" t="n"/>
      <c r="B1009" s="19" t="n"/>
    </row>
    <row r="1010" ht="12.75" customHeight="1" s="101">
      <c r="A1010" s="18" t="n"/>
      <c r="B1010" s="19" t="n"/>
    </row>
    <row r="1011" ht="12.75" customHeight="1" s="101">
      <c r="A1011" s="18" t="n"/>
      <c r="B1011" s="19" t="n"/>
    </row>
    <row r="1012" ht="12.75" customHeight="1" s="101">
      <c r="A1012" s="18" t="n"/>
      <c r="B1012" s="19" t="n"/>
    </row>
    <row r="1013" ht="12.75" customHeight="1" s="101">
      <c r="A1013" s="18" t="n"/>
      <c r="B1013" s="19" t="n"/>
    </row>
    <row r="1014" ht="12.75" customHeight="1" s="101">
      <c r="A1014" s="18" t="n"/>
      <c r="B1014" s="19" t="n"/>
    </row>
    <row r="1015" ht="12.75" customHeight="1" s="101">
      <c r="A1015" s="18" t="n"/>
      <c r="B1015" s="19" t="n"/>
    </row>
    <row r="1016" ht="12.75" customHeight="1" s="101">
      <c r="A1016" s="18" t="n"/>
      <c r="B1016" s="19" t="n"/>
    </row>
    <row r="1017" ht="12.75" customHeight="1" s="101">
      <c r="A1017" s="18" t="n"/>
      <c r="B1017" s="19" t="n"/>
    </row>
    <row r="1018" ht="12.75" customHeight="1" s="101">
      <c r="A1018" s="18" t="n"/>
      <c r="B1018" s="19" t="n"/>
    </row>
    <row r="1019" ht="12.75" customHeight="1" s="101">
      <c r="A1019" s="18" t="n"/>
      <c r="B1019" s="19" t="n"/>
    </row>
    <row r="1020" ht="12.75" customHeight="1" s="101">
      <c r="A1020" s="18" t="n"/>
      <c r="B1020" s="19" t="n"/>
    </row>
    <row r="1021" ht="12.75" customHeight="1" s="101">
      <c r="A1021" s="18" t="n"/>
      <c r="B1021" s="19" t="n"/>
    </row>
    <row r="1022" ht="12.75" customHeight="1" s="101">
      <c r="A1022" s="18" t="n"/>
      <c r="B1022" s="19" t="n"/>
    </row>
    <row r="1023" ht="12.75" customHeight="1" s="101">
      <c r="A1023" s="18" t="n"/>
      <c r="B1023" s="19" t="n"/>
    </row>
    <row r="1024" ht="12.75" customHeight="1" s="101">
      <c r="A1024" s="18" t="n"/>
      <c r="B1024" s="19" t="n"/>
    </row>
    <row r="1025" ht="12.75" customHeight="1" s="101">
      <c r="A1025" s="18" t="n"/>
      <c r="B1025" s="19" t="n"/>
    </row>
    <row r="1026" ht="12.75" customHeight="1" s="101">
      <c r="A1026" s="18" t="n"/>
      <c r="B1026" s="19" t="n"/>
    </row>
    <row r="1027" ht="12.75" customHeight="1" s="101">
      <c r="A1027" s="18" t="n"/>
      <c r="B1027" s="19" t="n"/>
    </row>
    <row r="1028" ht="12.75" customHeight="1" s="101">
      <c r="A1028" s="18" t="n"/>
      <c r="B1028" s="19" t="n"/>
    </row>
    <row r="1029" ht="12.75" customHeight="1" s="101">
      <c r="A1029" s="18" t="n"/>
      <c r="B1029" s="19" t="n"/>
    </row>
    <row r="1030" ht="12.75" customHeight="1" s="101">
      <c r="A1030" s="18" t="n"/>
      <c r="B1030" s="19" t="n"/>
    </row>
    <row r="1031" ht="12.75" customHeight="1" s="101">
      <c r="A1031" s="18" t="n"/>
      <c r="B1031" s="19" t="n"/>
    </row>
    <row r="1032" ht="12.75" customHeight="1" s="101">
      <c r="A1032" s="18" t="n"/>
      <c r="B1032" s="19" t="n"/>
    </row>
    <row r="1033" ht="12.75" customHeight="1" s="101">
      <c r="A1033" s="18" t="n"/>
      <c r="B1033" s="19" t="n"/>
    </row>
    <row r="1034" ht="12.75" customHeight="1" s="101">
      <c r="A1034" s="18" t="n"/>
      <c r="B1034" s="19" t="n"/>
    </row>
    <row r="1035" ht="12.75" customHeight="1" s="101">
      <c r="A1035" s="18" t="n"/>
      <c r="B1035" s="19" t="n"/>
    </row>
    <row r="1036" ht="12.75" customHeight="1" s="101">
      <c r="A1036" s="20" t="n"/>
      <c r="B1036" s="21" t="n"/>
    </row>
    <row r="1037" ht="12.75" customHeight="1" s="101">
      <c r="A1037" s="20" t="n"/>
      <c r="B1037" s="21" t="n"/>
    </row>
    <row r="1038" ht="12.75" customHeight="1" s="101">
      <c r="A1038" s="20" t="n"/>
      <c r="B1038" s="21" t="n"/>
    </row>
    <row r="1039" ht="12.75" customHeight="1" s="101">
      <c r="A1039" s="20" t="n"/>
      <c r="B1039" s="21" t="n"/>
    </row>
    <row r="1040" ht="12.75" customHeight="1" s="101">
      <c r="A1040" s="20" t="n"/>
      <c r="B1040" s="21" t="n"/>
    </row>
    <row r="1041" ht="12.75" customHeight="1" s="101">
      <c r="A1041" s="20" t="n"/>
      <c r="B1041" s="21" t="n"/>
    </row>
    <row r="1042" ht="12.75" customHeight="1" s="101">
      <c r="A1042" s="20" t="n"/>
      <c r="B1042" s="21" t="n"/>
    </row>
    <row r="1043" ht="12.75" customHeight="1" s="101">
      <c r="A1043" s="20" t="n"/>
      <c r="B1043" s="21" t="n"/>
    </row>
    <row r="1044" ht="12.75" customHeight="1" s="101">
      <c r="A1044" s="20" t="n"/>
      <c r="B1044" s="21" t="n"/>
    </row>
    <row r="1045" ht="12.75" customHeight="1" s="101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abSelected="1" workbookViewId="0">
      <selection activeCell="C2" sqref="C2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81.6640625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GPT-5 Generation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27" t="n"/>
      <c r="D2" s="27" t="n"/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/>
      <c r="D3" s="28" t="n"/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27" t="n"/>
      <c r="D4" s="27" t="n"/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27" t="n"/>
      <c r="D5" s="27" t="n"/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27" t="n"/>
      <c r="D6" s="27" t="n"/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27" t="n"/>
      <c r="D7" s="27" t="n"/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27" t="n"/>
      <c r="D8" s="27" t="n"/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27" t="n"/>
      <c r="D9" s="27" t="n"/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27" t="n"/>
      <c r="D10" s="27" t="n"/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27" t="n"/>
      <c r="D11" s="27" t="n"/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27" t="n"/>
      <c r="D12" s="27" t="n"/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27" t="n"/>
      <c r="D13" s="27" t="n"/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27" t="n"/>
      <c r="D14" s="27" t="n"/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27" t="n"/>
      <c r="D15" s="27" t="n"/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27" t="n"/>
      <c r="D16" s="27" t="n"/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27" t="n"/>
      <c r="D17" s="2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27" t="n"/>
      <c r="D18" s="27" t="n"/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27" t="n"/>
      <c r="D19" s="27" t="n"/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27" t="n"/>
      <c r="D20" s="27" t="n"/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27" t="n"/>
      <c r="D21" s="27" t="n"/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30" t="n"/>
      <c r="D22" s="30" t="n"/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27" t="n"/>
      <c r="D23" s="27" t="n"/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27" t="n"/>
      <c r="D24" s="2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27" t="n"/>
      <c r="D25" s="27" t="n"/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27" t="n"/>
      <c r="D26" s="27" t="n"/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27" t="n"/>
      <c r="D27" s="27" t="n"/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27" t="n"/>
      <c r="D28" s="27" t="n"/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27" t="n"/>
      <c r="D29" s="27" t="n"/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27" t="n"/>
      <c r="D30" s="27" t="n"/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27" t="n"/>
      <c r="D31" s="2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27" t="n"/>
      <c r="D32" s="2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27" t="n"/>
      <c r="D33" s="27" t="n"/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27" t="n"/>
      <c r="D34" s="27" t="n"/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27" t="n"/>
      <c r="D35" s="27" t="n"/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27" t="n"/>
      <c r="D36" s="27" t="n"/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27" t="n"/>
      <c r="D37" s="27" t="n"/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27" t="n"/>
      <c r="D38" s="27" t="n"/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27" t="n"/>
      <c r="D39" s="2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27" t="n"/>
      <c r="D40" s="2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27" t="n"/>
      <c r="D41" s="2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27" t="n"/>
      <c r="D42" s="2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27" t="n"/>
      <c r="D43" s="2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27" t="n"/>
      <c r="D44" s="2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27" t="n"/>
      <c r="D45" s="2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27" t="n"/>
      <c r="D46" s="2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27" t="n"/>
      <c r="D47" s="2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27" t="n"/>
      <c r="D48" s="2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27" t="n"/>
      <c r="D49" s="27" t="n"/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27" t="n"/>
      <c r="D50" s="27" t="n"/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27" t="n"/>
      <c r="D51" s="27" t="n"/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27" t="n"/>
      <c r="D52" s="27" t="n"/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27" t="n"/>
      <c r="D53" s="27" t="n"/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27" t="n"/>
      <c r="D54" s="27" t="n"/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27" t="n"/>
      <c r="D55" s="27" t="n"/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27" t="n"/>
      <c r="D56" s="27" t="n"/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27" t="n"/>
      <c r="D57" s="27" t="n"/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27" t="n"/>
      <c r="D58" s="27" t="n"/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27" t="n"/>
      <c r="D59" s="27" t="n"/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27" t="n"/>
      <c r="D60" s="27" t="n"/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27" t="n"/>
      <c r="D61" s="27" t="n"/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27" t="n"/>
      <c r="D62" s="27" t="n"/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27" t="n"/>
      <c r="D63" s="27" t="n"/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27" t="n"/>
      <c r="D64" s="27" t="n"/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27" t="n"/>
      <c r="D65" s="27" t="n"/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27" t="n"/>
      <c r="D66" s="27" t="n"/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27" t="n"/>
      <c r="D67" s="27" t="n"/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27" t="n"/>
      <c r="D68" s="27" t="n"/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27" t="n"/>
      <c r="D69" s="27" t="n"/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27" t="n"/>
      <c r="D70" s="27" t="n"/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27" t="n"/>
      <c r="D71" s="27" t="n"/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27" t="n"/>
      <c r="D72" s="27" t="n"/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27" t="n"/>
      <c r="D73" s="27" t="n"/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27" t="n"/>
      <c r="D74" s="27" t="n"/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27" t="n"/>
      <c r="D75" s="27" t="n"/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27" t="n"/>
      <c r="D76" s="27" t="n"/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27" t="n"/>
      <c r="D77" s="27" t="n"/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27" t="n"/>
      <c r="D78" s="27" t="n"/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27" t="n"/>
      <c r="D79" s="27" t="n"/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27" t="n"/>
      <c r="D80" s="27" t="n"/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27" t="n"/>
      <c r="D81" s="27" t="n"/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27" t="n"/>
      <c r="D82" s="27" t="n"/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27" t="n"/>
      <c r="D83" s="27" t="n"/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27" t="n"/>
      <c r="D84" s="27" t="n"/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27" t="n"/>
      <c r="D85" s="27" t="n"/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27" t="n"/>
      <c r="D86" s="27" t="n"/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27" t="n"/>
      <c r="D87" s="27" t="n"/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27" t="n"/>
      <c r="D88" s="27" t="n"/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27" t="n"/>
      <c r="D89" s="27" t="n"/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27" t="n"/>
      <c r="D90" s="27" t="n"/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27" t="n"/>
      <c r="D91" s="27" t="n"/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27" t="n"/>
      <c r="D92" s="27" t="n"/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27" t="n"/>
      <c r="D93" s="27" t="n"/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27" t="n"/>
      <c r="D94" s="27" t="n"/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27" t="n"/>
      <c r="D95" s="27" t="n"/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27" t="n"/>
      <c r="D96" s="27" t="n"/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/>
      <c r="D97" s="27" t="n"/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27" t="n"/>
      <c r="D98" s="27" t="n"/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27" t="n"/>
      <c r="D99" s="27" t="n"/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27" t="n"/>
      <c r="D100" s="27" t="n"/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/>
      <c r="D101" s="27" t="n"/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27" t="n"/>
      <c r="D102" s="27" t="n"/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/>
      <c r="D103" s="27" t="n"/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27" t="n"/>
      <c r="D104" s="27" t="n"/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27" t="n"/>
      <c r="D105" s="27" t="n"/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27" t="n"/>
      <c r="D106" s="27" t="n"/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27" t="n"/>
      <c r="D107" s="27" t="n"/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27" t="n"/>
      <c r="D108" s="27" t="n"/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27" t="n"/>
      <c r="D109" s="27" t="n"/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33" t="n"/>
      <c r="D110" s="33" t="n"/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27" t="n"/>
      <c r="D111" s="27" t="n"/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27" t="n"/>
      <c r="D112" s="27" t="n"/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27" t="n"/>
      <c r="D113" s="27" t="n"/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27" t="n"/>
      <c r="D114" s="27" t="n"/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27" t="n"/>
      <c r="D115" s="27" t="n"/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27" t="n"/>
      <c r="D116" s="27" t="n"/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39" t="n"/>
      <c r="B1036" s="40" t="n"/>
      <c r="C1036" s="40" t="n"/>
      <c r="D1036" s="41" t="n"/>
    </row>
    <row r="1037" ht="12.75" customHeight="1" s="101">
      <c r="A1037" s="39" t="n"/>
      <c r="B1037" s="40" t="n"/>
      <c r="C1037" s="40" t="n"/>
      <c r="D1037" s="41" t="n"/>
    </row>
    <row r="1038" ht="12.75" customHeight="1" s="101">
      <c r="A1038" s="39" t="n"/>
      <c r="B1038" s="40" t="n"/>
      <c r="C1038" s="40" t="n"/>
      <c r="D1038" s="41" t="n"/>
    </row>
    <row r="1039" ht="12.75" customHeight="1" s="101">
      <c r="A1039" s="39" t="n"/>
      <c r="B1039" s="40" t="n"/>
      <c r="C1039" s="40" t="n"/>
      <c r="D1039" s="41" t="n"/>
    </row>
    <row r="1040" ht="12.75" customHeight="1" s="101">
      <c r="A1040" s="39" t="n"/>
      <c r="B1040" s="40" t="n"/>
      <c r="C1040" s="40" t="n"/>
      <c r="D1040" s="41" t="n"/>
    </row>
    <row r="1041" ht="12.75" customHeight="1" s="101">
      <c r="A1041" s="39" t="n"/>
      <c r="B1041" s="40" t="n"/>
      <c r="C1041" s="40" t="n"/>
      <c r="D1041" s="41" t="n"/>
    </row>
    <row r="1042" ht="12.75" customHeight="1" s="101">
      <c r="A1042" s="39" t="n"/>
      <c r="B1042" s="40" t="n"/>
      <c r="C1042" s="40" t="n"/>
      <c r="D1042" s="41" t="n"/>
    </row>
    <row r="1043" ht="12.75" customHeight="1" s="101">
      <c r="A1043" s="39" t="n"/>
      <c r="B1043" s="40" t="n"/>
      <c r="C1043" s="40" t="n"/>
      <c r="D1043" s="41" t="n"/>
    </row>
    <row r="1044" ht="12.75" customHeight="1" s="101">
      <c r="A1044" s="39" t="n"/>
      <c r="B1044" s="40" t="n"/>
      <c r="C1044" s="40" t="n"/>
      <c r="D1044" s="41" t="n"/>
    </row>
    <row r="1045" ht="12.75" customHeight="1" s="101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5"/>
  <sheetViews>
    <sheetView workbookViewId="0">
      <selection activeCell="C1" sqref="C1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106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Claude Sonnet 4.5 Generation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42" t="n">
        <v>1</v>
      </c>
      <c r="D2" s="21" t="inlineStr">
        <is>
          <t>Initial state correctly transitions to Watch composite state</t>
        </is>
      </c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42" t="n">
        <v>0</v>
      </c>
      <c r="D3" s="21" t="inlineStr">
        <is>
          <t>No initialization action present in student submission</t>
        </is>
      </c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42" t="n">
        <v>1</v>
      </c>
      <c r="D4" s="21" t="inlineStr">
        <is>
          <t>Watch composite state correctly defined</t>
        </is>
      </c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42" t="n">
        <v>1</v>
      </c>
      <c r="D5" s="21" t="inlineStr">
        <is>
          <t>Backlight region present (named Backlight instead of Light but semantically equivalent)</t>
        </is>
      </c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42" t="n">
        <v>1</v>
      </c>
      <c r="D6" s="21" t="inlineStr">
        <is>
          <t>Initial state correctly transitions to BacklightOff</t>
        </is>
      </c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42" t="n">
        <v>1</v>
      </c>
      <c r="D7" s="21" t="inlineStr">
        <is>
          <t>BacklightOff state represents the off state</t>
        </is>
      </c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42" t="n">
        <v>0.5</v>
      </c>
      <c r="D8" s="21" t="inlineStr">
        <is>
          <t>turnOffBacklight() action present but not as entry action on Off state</t>
        </is>
      </c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42" t="n">
        <v>1</v>
      </c>
      <c r="D9" s="21" t="inlineStr">
        <is>
          <t>D button transition from BacklightOff to BacklightOn present</t>
        </is>
      </c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42" t="n">
        <v>1</v>
      </c>
      <c r="D10" s="21" t="inlineStr">
        <is>
          <t>BacklightOn state present</t>
        </is>
      </c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42" t="n">
        <v>0.5</v>
      </c>
      <c r="D11" s="21" t="inlineStr">
        <is>
          <t>turnOnBacklight() action present but not as entry action on On state</t>
        </is>
      </c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42" t="n">
        <v>1</v>
      </c>
      <c r="D12" s="21" t="inlineStr">
        <is>
          <t>D button transition from BacklightOn to BacklightOff present</t>
        </is>
      </c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42" t="n">
        <v>1</v>
      </c>
      <c r="D13" s="21" t="inlineStr">
        <is>
          <t>after_10sec transition from BacklightOn to BacklightOff present</t>
        </is>
      </c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42" t="n">
        <v>0</v>
      </c>
      <c r="D14" s="21" t="inlineStr">
        <is>
          <t>No flash transition from On to Flash state</t>
        </is>
      </c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42" t="n">
        <v>0</v>
      </c>
      <c r="D15" s="21" t="inlineStr">
        <is>
          <t>No flashAlert guard on flash transition (transition not present)</t>
        </is>
      </c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42" t="n">
        <v>0</v>
      </c>
      <c r="D16" s="21" t="inlineStr">
        <is>
          <t>No Flash state in Backlight region</t>
        </is>
      </c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42" t="n">
        <v>0</v>
      </c>
      <c r="D17" s="21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42" t="n">
        <v>0</v>
      </c>
      <c r="D18" s="21" t="inlineStr">
        <is>
          <t>No flash transition from Flash to Off</t>
        </is>
      </c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42" t="n">
        <v>0</v>
      </c>
      <c r="D19" s="21" t="inlineStr">
        <is>
          <t>No flashAlert guard (transition not present)</t>
        </is>
      </c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42" t="n">
        <v>0</v>
      </c>
      <c r="D20" s="21" t="inlineStr">
        <is>
          <t>No anyButton transition from Flash to Off</t>
        </is>
      </c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42" t="n">
        <v>1</v>
      </c>
      <c r="D21" s="21" t="inlineStr">
        <is>
          <t>ModeControl region represents the watch mode region</t>
        </is>
      </c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42" t="n">
        <v>0.5</v>
      </c>
      <c r="D22" s="21" t="inlineStr">
        <is>
          <t>Initial state goes to OperatingModes which contains alarm state management but not directly to AlarmOff composite</t>
        </is>
      </c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42" t="n">
        <v>0</v>
      </c>
      <c r="D23" s="21" t="inlineStr">
        <is>
          <t>No explicit AlarmOff composite state wrapping the modes</t>
        </is>
      </c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42" t="n">
        <v>1</v>
      </c>
      <c r="D24" s="21" t="inlineStr">
        <is>
          <t>Initial state correctly transitions to Timekeeping 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42" t="n">
        <v>1</v>
      </c>
      <c r="D25" s="21" t="inlineStr">
        <is>
          <t>Timekeeping composite state present</t>
        </is>
      </c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42" t="n">
        <v>1</v>
      </c>
      <c r="D26" s="21" t="inlineStr">
        <is>
          <t>Initial state correctly transitions to ShowTime</t>
        </is>
      </c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42" t="n">
        <v>1</v>
      </c>
      <c r="D27" s="21" t="inlineStr">
        <is>
          <t>ShowTime state represents idle state in timekeeping</t>
        </is>
      </c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42" t="n">
        <v>0</v>
      </c>
      <c r="D28" s="21" t="inlineStr">
        <is>
          <t>No displayTime() action in ShowTime state</t>
        </is>
      </c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42" t="n">
        <v>1</v>
      </c>
      <c r="D29" s="21" t="inlineStr">
        <is>
          <t>B_held_2sec self-transition present for flash alert toggle</t>
        </is>
      </c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42" t="n">
        <v>0</v>
      </c>
      <c r="D30" s="21" t="inlineStr">
        <is>
          <t>No explicit toggleFlashAlert() action but behavior captured in state transitions</t>
        </is>
      </c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42" t="n">
        <v>1</v>
      </c>
      <c r="D31" s="21" t="inlineStr">
        <is>
          <t>B self-transition present for alarm toggle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42" t="n">
        <v>0</v>
      </c>
      <c r="D32" s="21" t="inlineStr">
        <is>
          <t>No explicit toggleAlarm() action but behavior captured in state transitions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42" t="n">
        <v>1</v>
      </c>
      <c r="D33" s="21" t="inlineStr">
        <is>
          <t>C transition from ShowTime to SettingTime with SettingSeconds as initial state</t>
        </is>
      </c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42" t="n">
        <v>0</v>
      </c>
      <c r="D34" s="21" t="inlineStr">
        <is>
          <t>No flashSeconds() action on transition</t>
        </is>
      </c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42" t="n">
        <v>1</v>
      </c>
      <c r="D35" s="21" t="inlineStr">
        <is>
          <t>A transition from Timekeeping to Alarm present</t>
        </is>
      </c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42" t="n">
        <v>1</v>
      </c>
      <c r="D36" s="21" t="inlineStr">
        <is>
          <t>SettingSeconds state present</t>
        </is>
      </c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42" t="n">
        <v>1</v>
      </c>
      <c r="D37" s="21" t="inlineStr">
        <is>
          <t>B self-transition on SettingSeconds present</t>
        </is>
      </c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42" t="n">
        <v>0.5</v>
      </c>
      <c r="D38" s="21" t="inlineStr">
        <is>
          <t>incrementSeconds() action present but not time+=1sec</t>
        </is>
      </c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42" t="n">
        <v>1</v>
      </c>
      <c r="D39" s="21" t="inlineStr">
        <is>
          <t>C transition from SettingSeconds to SettingMinutes present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42" t="n">
        <v>0</v>
      </c>
      <c r="D40" s="21" t="inlineStr">
        <is>
          <t>No flashMinutes() action on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42" t="n">
        <v>1</v>
      </c>
      <c r="D41" s="21" t="inlineStr">
        <is>
          <t>SettingMinutes state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42" t="n">
        <v>1</v>
      </c>
      <c r="D42" s="21" t="inlineStr">
        <is>
          <t>B self-transition on SettingMinutes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42" t="n">
        <v>0.5</v>
      </c>
      <c r="D43" s="21" t="inlineStr">
        <is>
          <t>incrementMinutes() action present but not time+=1min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42" t="n">
        <v>1</v>
      </c>
      <c r="D44" s="21" t="inlineStr">
        <is>
          <t>C transition from SettingMinutes to SettingHours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42" t="n">
        <v>0</v>
      </c>
      <c r="D45" s="21" t="inlineStr">
        <is>
          <t>No flashHours() action on transition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42" t="n">
        <v>1</v>
      </c>
      <c r="D46" s="21" t="inlineStr">
        <is>
          <t>SettingHours state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42" t="n">
        <v>1</v>
      </c>
      <c r="D47" s="21" t="inlineStr">
        <is>
          <t>B self-transition on SettingHours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42" t="n">
        <v>0.5</v>
      </c>
      <c r="D48" s="21" t="inlineStr">
        <is>
          <t>incrementHours() action present but not time+=1hr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42" t="n">
        <v>1</v>
      </c>
      <c r="D49" s="21" t="inlineStr">
        <is>
          <t>C transition from SettingHours to SettingSeconds present</t>
        </is>
      </c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42" t="n">
        <v>0</v>
      </c>
      <c r="D50" s="21" t="inlineStr">
        <is>
          <t>No flashSeconds() action on transition</t>
        </is>
      </c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42" t="n">
        <v>1</v>
      </c>
      <c r="D51" s="21" t="inlineStr">
        <is>
          <t>A transition from SettingTime to ShowTime then to Alarm mode</t>
        </is>
      </c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42" t="n">
        <v>1</v>
      </c>
      <c r="D52" s="21" t="inlineStr">
        <is>
          <t>Alarm composite state present</t>
        </is>
      </c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42" t="n">
        <v>1</v>
      </c>
      <c r="D53" s="21" t="inlineStr">
        <is>
          <t>Initial state correctly transitions to ShowAlarm</t>
        </is>
      </c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42" t="n">
        <v>1</v>
      </c>
      <c r="D54" s="21" t="inlineStr">
        <is>
          <t>ShowAlarm state represents idle state in alarm mode</t>
        </is>
      </c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42" t="n">
        <v>0</v>
      </c>
      <c r="D55" s="21" t="inlineStr">
        <is>
          <t>No displayAlarmTime() entry action</t>
        </is>
      </c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42" t="n">
        <v>1</v>
      </c>
      <c r="D56" s="21" t="inlineStr">
        <is>
          <t>C transition from ShowAlarm to SettingAlarm with SettingAlarmMinutes as initial state</t>
        </is>
      </c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42" t="n">
        <v>0</v>
      </c>
      <c r="D57" s="21" t="inlineStr">
        <is>
          <t>No flashMinutes() action on transition</t>
        </is>
      </c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42" t="n">
        <v>0</v>
      </c>
      <c r="D58" s="21" t="inlineStr">
        <is>
          <t>A transition goes from SettingAlarm to Timekeeping not to CountdownMode</t>
        </is>
      </c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42" t="n">
        <v>1</v>
      </c>
      <c r="D59" s="21" t="inlineStr">
        <is>
          <t>SettingAlarmMinutes state present</t>
        </is>
      </c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42" t="n">
        <v>1</v>
      </c>
      <c r="D60" s="21" t="inlineStr">
        <is>
          <t>B self-transition on SettingAlarmMinutes present</t>
        </is>
      </c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42" t="n">
        <v>0.5</v>
      </c>
      <c r="D61" s="21" t="inlineStr">
        <is>
          <t>incrementAlarmMinutes() action present but not alarmTime+=1min</t>
        </is>
      </c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42" t="n">
        <v>1</v>
      </c>
      <c r="D62" s="21" t="inlineStr">
        <is>
          <t>C transition from SettingAlarmMinutes to SettingAlarmHours present</t>
        </is>
      </c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42" t="n">
        <v>0</v>
      </c>
      <c r="D63" s="21" t="inlineStr">
        <is>
          <t>No flashHours() action on transition</t>
        </is>
      </c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42" t="n">
        <v>1</v>
      </c>
      <c r="D64" s="21" t="inlineStr">
        <is>
          <t>SettingAlarmHours state present</t>
        </is>
      </c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42" t="n">
        <v>1</v>
      </c>
      <c r="D65" s="21" t="inlineStr">
        <is>
          <t>B self-transition on SettingAlarmHours present</t>
        </is>
      </c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42" t="n">
        <v>0.5</v>
      </c>
      <c r="D66" s="21" t="inlineStr">
        <is>
          <t>incrementAlarmHours() action present but not alarmTime+=1hr</t>
        </is>
      </c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42" t="n">
        <v>1</v>
      </c>
      <c r="D67" s="21" t="inlineStr">
        <is>
          <t>C transition from SettingAlarmHours to SettingAlarmMinutes present</t>
        </is>
      </c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42" t="n">
        <v>0</v>
      </c>
      <c r="D68" s="21" t="inlineStr">
        <is>
          <t>No flashMinutes() action on transition</t>
        </is>
      </c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42" t="n">
        <v>1</v>
      </c>
      <c r="D69" s="21" t="inlineStr">
        <is>
          <t>A transition from Alarm to Countdown present at OperatingModes level</t>
        </is>
      </c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42" t="n">
        <v>1</v>
      </c>
      <c r="D70" s="21" t="inlineStr">
        <is>
          <t>Countdown composite state present</t>
        </is>
      </c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42" t="n">
        <v>1</v>
      </c>
      <c r="D71" s="21" t="inlineStr">
        <is>
          <t>Initial state correctly transitions to ShowCountdown</t>
        </is>
      </c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42" t="n">
        <v>1</v>
      </c>
      <c r="D72" s="21" t="inlineStr">
        <is>
          <t>ShowCountdown state represents idle state in countdown mode</t>
        </is>
      </c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42" t="n">
        <v>0</v>
      </c>
      <c r="D73" s="21" t="inlineStr">
        <is>
          <t>No displayCdTime() entry action</t>
        </is>
      </c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42" t="n">
        <v>1</v>
      </c>
      <c r="D74" s="21" t="inlineStr">
        <is>
          <t>C transition from ShowCountdown to SettingCountdown with SettingCountdownSeconds as initial state</t>
        </is>
      </c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42" t="n">
        <v>0</v>
      </c>
      <c r="D75" s="21" t="inlineStr">
        <is>
          <t>No flashSeconds() action on transition</t>
        </is>
      </c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42" t="n">
        <v>1</v>
      </c>
      <c r="D76" s="21" t="inlineStr">
        <is>
          <t>B transition from ShowCountdown to CountdownRunning present</t>
        </is>
      </c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42" t="n">
        <v>1</v>
      </c>
      <c r="D77" s="21" t="inlineStr">
        <is>
          <t>Guard [countdownTimeSet] present on transition</t>
        </is>
      </c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42" t="n">
        <v>0</v>
      </c>
      <c r="D78" s="21" t="inlineStr">
        <is>
          <t>No targetTime calculation action on transition</t>
        </is>
      </c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42" t="n">
        <v>1</v>
      </c>
      <c r="D79" s="21" t="inlineStr">
        <is>
          <t>A transition from Countdown to Timekeeping present</t>
        </is>
      </c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42" t="n">
        <v>1</v>
      </c>
      <c r="D80" s="21" t="inlineStr">
        <is>
          <t>SettingCountdownSeconds state present</t>
        </is>
      </c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42" t="n">
        <v>1</v>
      </c>
      <c r="D81" s="21" t="inlineStr">
        <is>
          <t>B self-transition on SettingCountdownSeconds present</t>
        </is>
      </c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42" t="n">
        <v>0.5</v>
      </c>
      <c r="D82" s="21" t="inlineStr">
        <is>
          <t>incrementCountdownSeconds() action present but not cdTime+=1sec</t>
        </is>
      </c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42" t="n">
        <v>1</v>
      </c>
      <c r="D83" s="21" t="inlineStr">
        <is>
          <t>C transition from SettingCountdownSeconds to SettingCountdownMinutes present</t>
        </is>
      </c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42" t="n">
        <v>0</v>
      </c>
      <c r="D84" s="21" t="inlineStr">
        <is>
          <t>No flashMinutes() action on transition</t>
        </is>
      </c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42" t="n">
        <v>1</v>
      </c>
      <c r="D85" s="21" t="inlineStr">
        <is>
          <t>SettingCountdownMinutes state present</t>
        </is>
      </c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42" t="n">
        <v>1</v>
      </c>
      <c r="D86" s="21" t="inlineStr">
        <is>
          <t>B self-transition on SettingCountdownMinutes present</t>
        </is>
      </c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42" t="n">
        <v>0.5</v>
      </c>
      <c r="D87" s="21" t="inlineStr">
        <is>
          <t>incrementCountdownMinutes() action present but not cdTime+=1min</t>
        </is>
      </c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42" t="n">
        <v>1</v>
      </c>
      <c r="D88" s="21" t="inlineStr">
        <is>
          <t>C transition from SettingCountdownMinutes to SettingCountdownHours present</t>
        </is>
      </c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42" t="n">
        <v>0</v>
      </c>
      <c r="D89" s="21" t="inlineStr">
        <is>
          <t>No flashHours() action on transition</t>
        </is>
      </c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42" t="n">
        <v>1</v>
      </c>
      <c r="D90" s="21" t="inlineStr">
        <is>
          <t>SettingCountdownHours state present</t>
        </is>
      </c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42" t="n">
        <v>1</v>
      </c>
      <c r="D91" s="21" t="inlineStr">
        <is>
          <t>B self-transition on SettingCountdownHours present</t>
        </is>
      </c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42" t="n">
        <v>0.5</v>
      </c>
      <c r="D92" s="21" t="inlineStr">
        <is>
          <t>incrementCountdownHours() action present but not cdTime+=1hr</t>
        </is>
      </c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42" t="n">
        <v>1</v>
      </c>
      <c r="D93" s="21" t="inlineStr">
        <is>
          <t>C transition from SettingCountdownHours to SettingCountdownSeconds present</t>
        </is>
      </c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42" t="n">
        <v>0</v>
      </c>
      <c r="D94" s="21" t="inlineStr">
        <is>
          <t>No flashSeconds() action on transition</t>
        </is>
      </c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42" t="n">
        <v>1</v>
      </c>
      <c r="D95" s="21" t="inlineStr">
        <is>
          <t>CountdownRunning state represents countdown state</t>
        </is>
      </c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42" t="n">
        <v>0</v>
      </c>
      <c r="D96" s="21" t="inlineStr">
        <is>
          <t>No displayCountdown() action in CountdownRunning state</t>
        </is>
      </c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42" t="n">
        <v>1</v>
      </c>
      <c r="D97" s="21" t="inlineStr">
        <is>
          <t>countdownComplete transition from CountdownRunning to CountdownNotifications present</t>
        </is>
      </c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42" t="n">
        <v>0</v>
      </c>
      <c r="D98" s="21" t="inlineStr">
        <is>
          <t>No flash() action on transition</t>
        </is>
      </c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42" t="n">
        <v>1</v>
      </c>
      <c r="D99" s="21" t="inlineStr">
        <is>
          <t>CountdownNotifications state represents countdown reached state</t>
        </is>
      </c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42" t="n">
        <v>0.5</v>
      </c>
      <c r="D100" s="21" t="inlineStr">
        <is>
          <t>Entry actions for beeping and flashing present in note but not as do action</t>
        </is>
      </c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42" t="n">
        <v>1</v>
      </c>
      <c r="D101" s="21" t="inlineStr">
        <is>
          <t>anyButton transition from CountdownNotifications to ShowCountdown present</t>
        </is>
      </c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42" t="n">
        <v>1</v>
      </c>
      <c r="D102" s="21" t="inlineStr">
        <is>
          <t>History state H present in Timekeeping and Countdown</t>
        </is>
      </c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42" t="n">
        <v>1</v>
      </c>
      <c r="D103" s="21" t="inlineStr">
        <is>
          <t>alarmTimeReached transition from OperatingModes to AlarmNotifications present with guard</t>
        </is>
      </c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42" t="n">
        <v>0</v>
      </c>
      <c r="D104" s="21" t="inlineStr">
        <is>
          <t>No saveDisplay() action on transition</t>
        </is>
      </c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42" t="n">
        <v>0</v>
      </c>
      <c r="D105" s="21" t="inlineStr">
        <is>
          <t>No flash() action on transition</t>
        </is>
      </c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42" t="n">
        <v>1</v>
      </c>
      <c r="D106" s="21" t="inlineStr">
        <is>
          <t>AlarmNotifications state represents alarm on state</t>
        </is>
      </c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42" t="n">
        <v>0.5</v>
      </c>
      <c r="D107" s="21" t="inlineStr">
        <is>
          <t>Entry actions for beeping and flashing present in note but not as do action</t>
        </is>
      </c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42" t="n">
        <v>0.5</v>
      </c>
      <c r="D108" s="21" t="inlineStr">
        <is>
          <t>returnToPreviousMode() action present but not restoreDisplay()</t>
        </is>
      </c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42" t="n">
        <v>1</v>
      </c>
      <c r="D109" s="21" t="inlineStr">
        <is>
          <t>anyButton transition from AlarmNotifications to history state H present</t>
        </is>
      </c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42" t="n">
        <v>0</v>
      </c>
      <c r="D110" s="21" t="inlineStr">
        <is>
          <t>No fundamentally incorrect states present</t>
        </is>
      </c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42" t="n">
        <v>0</v>
      </c>
      <c r="D111" s="21" t="inlineStr">
        <is>
          <t>No fundamentally incorrect transitions present</t>
        </is>
      </c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42" t="n">
        <v>0</v>
      </c>
      <c r="D112" s="21" t="inlineStr">
        <is>
          <t>No fundamentally incorrect guards present</t>
        </is>
      </c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42" t="n">
        <v>0</v>
      </c>
      <c r="D113" s="21" t="inlineStr">
        <is>
          <t>No fundamentally incorrect actions present</t>
        </is>
      </c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42" t="n">
        <v>0</v>
      </c>
      <c r="D114" s="21" t="inlineStr">
        <is>
          <t>No fundamentally incorrect composite states present</t>
        </is>
      </c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42" t="n">
        <v>0</v>
      </c>
      <c r="D115" s="21" t="inlineStr">
        <is>
          <t>No fundamentally incorrect regions present</t>
        </is>
      </c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42" t="n">
        <v>0</v>
      </c>
      <c r="D116" s="21" t="inlineStr">
        <is>
          <t>No fundamentally incorrect history states present</t>
        </is>
      </c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40" t="n"/>
      <c r="B1036" s="40" t="n"/>
      <c r="C1036" s="40" t="n"/>
      <c r="D1036" s="41" t="n"/>
    </row>
    <row r="1037" ht="12.75" customHeight="1" s="101">
      <c r="A1037" s="40" t="n"/>
      <c r="B1037" s="40" t="n"/>
      <c r="C1037" s="40" t="n"/>
      <c r="D1037" s="41" t="n"/>
    </row>
    <row r="1038" ht="12.75" customHeight="1" s="101">
      <c r="A1038" s="40" t="n"/>
      <c r="B1038" s="40" t="n"/>
      <c r="C1038" s="40" t="n"/>
      <c r="D1038" s="41" t="n"/>
    </row>
    <row r="1039" ht="12.75" customHeight="1" s="101">
      <c r="A1039" s="40" t="n"/>
      <c r="B1039" s="40" t="n"/>
      <c r="C1039" s="40" t="n"/>
      <c r="D1039" s="41" t="n"/>
    </row>
    <row r="1040" ht="12.75" customHeight="1" s="101">
      <c r="A1040" s="40" t="n"/>
      <c r="B1040" s="40" t="n"/>
      <c r="C1040" s="40" t="n"/>
      <c r="D1040" s="41" t="n"/>
    </row>
    <row r="1041" ht="12.75" customHeight="1" s="101">
      <c r="A1041" s="40" t="n"/>
      <c r="B1041" s="40" t="n"/>
      <c r="C1041" s="40" t="n"/>
      <c r="D1041" s="41" t="n"/>
    </row>
    <row r="1042" ht="12.75" customHeight="1" s="101">
      <c r="A1042" s="40" t="n"/>
      <c r="B1042" s="40" t="n"/>
      <c r="C1042" s="40" t="n"/>
      <c r="D1042" s="41" t="n"/>
    </row>
    <row r="1043" ht="12.75" customHeight="1" s="101">
      <c r="A1043" s="40" t="n"/>
      <c r="B1043" s="40" t="n"/>
      <c r="C1043" s="40" t="n"/>
      <c r="D1043" s="41" t="n"/>
    </row>
    <row r="1044" ht="12.75" customHeight="1" s="101">
      <c r="A1044" s="40" t="n"/>
      <c r="B1044" s="40" t="n"/>
      <c r="C1044" s="40" t="n"/>
      <c r="D1044" s="41" t="n"/>
    </row>
    <row r="1045" ht="12.75" customHeight="1" s="101">
      <c r="A1045" s="40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101" min="1" max="1"/>
    <col width="17.6640625" customWidth="1" style="101" min="2" max="6"/>
  </cols>
  <sheetData>
    <row r="1" ht="15.75" customHeight="1" s="101">
      <c r="A1" s="106" t="inlineStr">
        <is>
          <t>Generated by GPT-5</t>
        </is>
      </c>
      <c r="J1" s="43" t="inlineStr">
        <is>
          <t>Date</t>
        </is>
      </c>
    </row>
    <row r="2" ht="15.75" customHeight="1" s="101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1">
      <c r="A3" s="46" t="inlineStr">
        <is>
          <t>Composite State</t>
        </is>
      </c>
      <c r="B3" s="47">
        <f>COUNTIF(Wumple!$A$2:$A$109, A3)</f>
        <v/>
      </c>
      <c r="C3" s="47">
        <f>SUMIF('GPT-5 Generation'!$A$2:$A$109, $A3, 'GPT-5 Generation'!$C$2:$C$109)</f>
        <v/>
      </c>
      <c r="D3" s="47">
        <f>SUMIF('GPT-5 Generation'!$A$110:$A$116, $A3, 'GPT-5 Generation'!$C$110:$C$116)</f>
        <v/>
      </c>
      <c r="E3" s="47">
        <f>COUNTIFS('GPT-5 Generation'!$A$2:$A$109, $A3, 'GPT-5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1">
      <c r="A4" s="48" t="inlineStr">
        <is>
          <t>State</t>
        </is>
      </c>
      <c r="B4" s="47">
        <f>COUNTIF(Wumple!$A$2:$A$109, A4)</f>
        <v/>
      </c>
      <c r="C4" s="47">
        <f>SUMIF('GPT-5 Generation'!$A$2:$A$109, $A4, 'GPT-5 Generation'!$C$2:$C$109)</f>
        <v/>
      </c>
      <c r="D4" s="47">
        <f>SUMIF('GPT-5 Generation'!$A$110:$A$116, $A4, 'GPT-5 Generation'!$C$110:$C$116)</f>
        <v/>
      </c>
      <c r="E4" s="47">
        <f>COUNTIFS('GPT-5 Generation'!$A$2:$A$109, $A4, 'GPT-5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1">
      <c r="A5" s="48" t="inlineStr">
        <is>
          <t>Transition</t>
        </is>
      </c>
      <c r="B5" s="47">
        <f>COUNTIF(Wumple!$A$2:$A$109, A5)</f>
        <v/>
      </c>
      <c r="C5" s="47">
        <f>SUMIF('GPT-5 Generation'!$A$2:$A$109, $A5, 'GPT-5 Generation'!$C$2:$C$109)</f>
        <v/>
      </c>
      <c r="D5" s="47">
        <f>SUMIF('GPT-5 Generation'!$A$110:$A$116, $A5, 'GPT-5 Generation'!$C$110:$C$116)</f>
        <v/>
      </c>
      <c r="E5" s="47">
        <f>COUNTIFS('GPT-5 Generation'!$A$2:$A$109, $A5, 'GPT-5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Sonnet 4.5</t>
        </is>
      </c>
    </row>
    <row r="6" ht="15.75" customHeight="1" s="101">
      <c r="A6" s="48" t="inlineStr">
        <is>
          <t>Action</t>
        </is>
      </c>
      <c r="B6" s="47">
        <f>COUNTIF(Wumple!$A$2:$A$109, A6)</f>
        <v/>
      </c>
      <c r="C6" s="47">
        <f>SUMIF('GPT-5 Generation'!$A$2:$A$109, $A6, 'GPT-5 Generation'!$C$2:$C$109)</f>
        <v/>
      </c>
      <c r="D6" s="47">
        <f>SUMIF('GPT-5 Generation'!$A$110:$A$116, $A6, 'GPT-5 Generation'!$C$110:$C$116)</f>
        <v/>
      </c>
      <c r="E6" s="47">
        <f>COUNTIFS('GPT-5 Generation'!$A$2:$A$109, $A6, 'GPT-5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1">
      <c r="A7" s="48" t="inlineStr">
        <is>
          <t>Region</t>
        </is>
      </c>
      <c r="B7" s="47">
        <f>COUNTIF(Wumple!$A$2:$A$109, A7)</f>
        <v/>
      </c>
      <c r="C7" s="47">
        <f>SUMIF('GPT-5 Generation'!$A$2:$A$109, $A7, 'GPT-5 Generation'!$C$2:$C$109)</f>
        <v/>
      </c>
      <c r="D7" s="47">
        <f>SUMIF('GPT-5 Generation'!$A$110:$A$116, $A7, 'GPT-5 Generation'!$C$110:$C$116)</f>
        <v/>
      </c>
      <c r="E7" s="47">
        <f>COUNTIFS('GPT-5 Generation'!$A$2:$A$109, $A7, 'GPT-5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t="inlineStr">
        <is>
          <t>Generation LLMs</t>
        </is>
      </c>
    </row>
    <row r="8" ht="15.75" customHeight="1" s="101">
      <c r="A8" s="48" t="inlineStr">
        <is>
          <t>History State</t>
        </is>
      </c>
      <c r="B8" s="47">
        <f>COUNTIF(Wumple!$A$2:$A$109, A8)</f>
        <v/>
      </c>
      <c r="C8" s="47">
        <f>SUMIF('GPT-5 Generation'!$A$2:$A$109, $A8, 'GPT-5 Generation'!$C$2:$C$109)</f>
        <v/>
      </c>
      <c r="D8" s="47">
        <f>SUMIF('GPT-5 Generation'!$A$110:$A$116, $A8, 'GPT-5 Generation'!$C$110:$C$116)</f>
        <v/>
      </c>
      <c r="E8" s="47">
        <f>COUNTIFS('GPT-5 Generation'!$A$2:$A$109, $A8, 'GPT-5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t="inlineStr">
        <is>
          <t>GPT-5</t>
        </is>
      </c>
    </row>
    <row r="9" ht="15.75" customHeight="1" s="101">
      <c r="A9" s="48" t="inlineStr">
        <is>
          <t>Guard</t>
        </is>
      </c>
      <c r="B9" s="47">
        <f>COUNTIF(Wumple!$A$2:$A$109, A9)</f>
        <v/>
      </c>
      <c r="C9" s="47">
        <f>SUMIF('GPT-5 Generation'!$A$2:$A$109, $A9, 'GPT-5 Generation'!$C$2:$C$109)</f>
        <v/>
      </c>
      <c r="D9" s="47">
        <f>SUMIF('GPT-5 Generation'!$A$110:$A$116, $A9, 'GPT-5 Generation'!$C$110:$C$116)</f>
        <v/>
      </c>
      <c r="E9" s="47">
        <f>COUNTIFS('GPT-5 Generation'!$A$2:$A$109, $A9, 'GPT-5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t="inlineStr">
        <is>
          <t>Claude Sonnet 4.5</t>
        </is>
      </c>
    </row>
    <row r="10" ht="15.75" customHeight="1" s="101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1">
      <c r="A12" s="106" t="inlineStr">
        <is>
          <t>Generated by Claude Sonnet 4.5</t>
        </is>
      </c>
    </row>
    <row r="13" ht="15.75" customHeight="1" s="101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1">
      <c r="A14" s="46" t="inlineStr">
        <is>
          <t>Composite state</t>
        </is>
      </c>
      <c r="B14" s="47">
        <f>COUNTIF(Wumple!$A$2:$A$109, A3)</f>
        <v/>
      </c>
      <c r="C14" s="47">
        <f>SUMIF('Claude Sonnet 4.5 Gen'!$A$2:$A$109, $A14, 'Claude Sonnet 4.5 Gen'!$C$2:$C$109)</f>
        <v/>
      </c>
      <c r="D14" s="47">
        <f>SUMIF('Claude Sonnet 4.5 Gen'!$A$110:$A$116, $A14, 'Claude Sonnet 4.5 Gen'!$C$110:$C$116)</f>
        <v/>
      </c>
      <c r="E14" s="47">
        <f>COUNTIFS('Claude Sonnet 4.5 Gen'!$A$2:$A$109, $A14, 'Claude Sonnet 4.5 Gen'!$C$2:$C$109,0)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1">
      <c r="A15" s="48" t="inlineStr">
        <is>
          <t>State</t>
        </is>
      </c>
      <c r="B15" s="47">
        <f>COUNTIF(Wumple!$A$2:$A$109, A4)</f>
        <v/>
      </c>
      <c r="C15" s="47">
        <f>SUMIF('Claude Sonnet 4.5 Gen'!$A$2:$A$109, $A15, 'Claude Sonnet 4.5 Gen'!$C$2:$C$109)</f>
        <v/>
      </c>
      <c r="D15" s="47">
        <f>SUMIF('Claude Sonnet 4.5 Gen'!$A$110:$A$116, $A15, 'Claude Sonnet 4.5 Gen'!$C$110:$C$116)</f>
        <v/>
      </c>
      <c r="E15" s="47">
        <f>COUNTIFS('Claude Sonnet 4.5 Gen'!$A$2:$A$109, $A15, 'Claude Sonnet 4.5 Gen'!$C$2:$C$109,0)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1">
      <c r="A16" s="48" t="inlineStr">
        <is>
          <t>Transition</t>
        </is>
      </c>
      <c r="B16" s="47">
        <f>COUNTIF(Wumple!$A$2:$A$109, A5)</f>
        <v/>
      </c>
      <c r="C16" s="47">
        <f>SUMIF('Claude Sonnet 4.5 Gen'!$A$2:$A$109, $A16, 'Claude Sonnet 4.5 Gen'!$C$2:$C$109)</f>
        <v/>
      </c>
      <c r="D16" s="47">
        <f>SUMIF('Claude Sonnet 4.5 Gen'!$A$110:$A$116, $A16, 'Claude Sonnet 4.5 Gen'!$C$110:$C$116)</f>
        <v/>
      </c>
      <c r="E16" s="47">
        <f>COUNTIFS('Claude Sonnet 4.5 Gen'!$A$2:$A$109, $A16, 'Claude Sonnet 4.5 Gen'!$C$2:$C$109,0)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1">
      <c r="A17" s="48" t="inlineStr">
        <is>
          <t>Action</t>
        </is>
      </c>
      <c r="B17" s="47">
        <f>COUNTIF(Wumple!$A$2:$A$109, A6)</f>
        <v/>
      </c>
      <c r="C17" s="47">
        <f>SUMIF('Claude Sonnet 4.5 Gen'!$A$2:$A$109, $A17, 'Claude Sonnet 4.5 Gen'!$C$2:$C$109)</f>
        <v/>
      </c>
      <c r="D17" s="47">
        <f>SUMIF('Claude Sonnet 4.5 Gen'!$A$110:$A$116, $A17, 'Claude Sonnet 4.5 Gen'!$C$110:$C$116)</f>
        <v/>
      </c>
      <c r="E17" s="47">
        <f>COUNTIFS('Claude Sonnet 4.5 Gen'!$A$2:$A$109, $A17, 'Claude Sonnet 4.5 Gen'!$C$2:$C$109,0)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1">
      <c r="A18" s="48" t="inlineStr">
        <is>
          <t>Region</t>
        </is>
      </c>
      <c r="B18" s="47">
        <f>COUNTIF(Wumple!$A$2:$A$109, A7)</f>
        <v/>
      </c>
      <c r="C18" s="47">
        <f>SUMIF('Claude Sonnet 4.5 Gen'!$A$2:$A$109, $A18, 'Claude Sonnet 4.5 Gen'!$C$2:$C$109)</f>
        <v/>
      </c>
      <c r="D18" s="47">
        <f>SUMIF('Claude Sonnet 4.5 Gen'!$A$110:$A$116, $A18, 'Claude Sonnet 4.5 Gen'!$C$110:$C$116)</f>
        <v/>
      </c>
      <c r="E18" s="47">
        <f>COUNTIFS('Claude Sonnet 4.5 Gen'!$A$2:$A$109, $A18, 'Claude Sonnet 4.5 Gen'!$C$2:$C$109,0)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1">
      <c r="A19" s="48" t="inlineStr">
        <is>
          <t>History State</t>
        </is>
      </c>
      <c r="B19" s="47">
        <f>COUNTIF(Wumple!$A$2:$A$109, A8)</f>
        <v/>
      </c>
      <c r="C19" s="47">
        <f>SUMIF('Claude Sonnet 4.5 Gen'!$A$2:$A$109, $A19, 'Claude Sonnet 4.5 Gen'!$C$2:$C$109)</f>
        <v/>
      </c>
      <c r="D19" s="47">
        <f>SUMIF('Claude Sonnet 4.5 Gen'!$A$110:$A$116, $A19, 'Claude Sonnet 4.5 Gen'!$C$110:$C$116)</f>
        <v/>
      </c>
      <c r="E19" s="47">
        <f>COUNTIFS('Claude Sonnet 4.5 Gen'!$A$2:$A$109, $A19, 'Claude Sonnet 4.5 Gen'!$C$2:$C$109,0)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1">
      <c r="A20" s="48" t="inlineStr">
        <is>
          <t>Guard</t>
        </is>
      </c>
      <c r="B20" s="47">
        <f>COUNTIF(Wumple!$A$2:$A$109, A9)</f>
        <v/>
      </c>
      <c r="C20" s="47">
        <f>SUMIF('Claude Sonnet 4.5 Gen'!$A$2:$A$109, $A20, 'Claude Sonnet 4.5 Gen'!$C$2:$C$109)</f>
        <v/>
      </c>
      <c r="D20" s="47">
        <f>SUMIF('Claude Sonnet 4.5 Gen'!$A$110:$A$116, $A20, 'Claude Sonnet 4.5 Gen'!$C$110:$C$116)</f>
        <v/>
      </c>
      <c r="E20" s="47">
        <f>COUNTIFS('Claude Sonnet 4.5 Gen'!$A$2:$A$109, $A20, 'Claude Sonnet 4.5 Gen'!$C$2:$C$109,0)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1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1">
      <c r="H22" s="50" t="n"/>
    </row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22.5" customWidth="1" style="101" min="12" max="12"/>
    <col width="11.6640625" customWidth="1" style="101" min="13" max="13"/>
    <col width="53.1640625" customWidth="1" style="101" min="14" max="14"/>
    <col width="7.5" customWidth="1" style="101" min="15" max="15"/>
    <col width="56.1640625" customWidth="1" style="101" min="16" max="16"/>
  </cols>
  <sheetData>
    <row r="1" ht="15.75" customHeight="1" s="101">
      <c r="A1" s="1" t="inlineStr">
        <is>
          <t>Type</t>
        </is>
      </c>
      <c r="B1" s="2" t="inlineStr">
        <is>
          <t>Element</t>
        </is>
      </c>
      <c r="C1" s="51" t="inlineStr">
        <is>
          <t>GPT-5</t>
        </is>
      </c>
      <c r="D1" s="51" t="inlineStr">
        <is>
          <t>Claude Sonnet 4.5</t>
        </is>
      </c>
      <c r="E1" s="52" t="n"/>
      <c r="F1" s="107" t="inlineStr">
        <is>
          <t>Confusion Matrix</t>
        </is>
      </c>
      <c r="L1" s="102" t="inlineStr">
        <is>
          <t>Cohen's Kappa</t>
        </is>
      </c>
      <c r="M1" s="108" t="n"/>
      <c r="N1" s="108" t="n"/>
    </row>
    <row r="2" ht="15.75" customHeight="1" s="101">
      <c r="A2" s="5">
        <f>Wumple!A2</f>
        <v/>
      </c>
      <c r="B2" s="5">
        <f>Wumple!B2</f>
        <v/>
      </c>
      <c r="C2" s="5">
        <f>'GPT-5 Generation'!C2</f>
        <v/>
      </c>
      <c r="D2" s="5">
        <f>'Claude Sonnet 4.5 Gen'!C2</f>
        <v/>
      </c>
      <c r="E2" s="52" t="n"/>
      <c r="F2" s="19" t="inlineStr">
        <is>
          <t>Global</t>
        </is>
      </c>
      <c r="G2" s="54" t="inlineStr">
        <is>
          <t>0</t>
        </is>
      </c>
      <c r="H2" s="55" t="inlineStr">
        <is>
          <t>0.5</t>
        </is>
      </c>
      <c r="I2" s="56" t="inlineStr">
        <is>
          <t>1</t>
        </is>
      </c>
      <c r="J2" s="57" t="inlineStr">
        <is>
          <t>Row Totals</t>
        </is>
      </c>
      <c r="K2" s="19" t="n"/>
      <c r="L2" s="58" t="inlineStr">
        <is>
          <t>Metric</t>
        </is>
      </c>
      <c r="M2" s="58" t="inlineStr">
        <is>
          <t>Value</t>
        </is>
      </c>
      <c r="N2" s="58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'GPT-5 Generation'!C3</f>
        <v/>
      </c>
      <c r="D3" s="5">
        <f>'Claude Sonnet 4.5 Gen'!C3</f>
        <v/>
      </c>
      <c r="E3" s="52" t="n"/>
      <c r="F3" s="59" t="n">
        <v>0</v>
      </c>
      <c r="G3" s="60">
        <f>COUNTIFS($C$2:$C$153, $F3, $D$2:$D$153, G$2)</f>
        <v/>
      </c>
      <c r="H3" s="61">
        <f>COUNTIFS($C$2:$C$109, $F3, $D$2:$D$109, H$2)</f>
        <v/>
      </c>
      <c r="I3" s="62">
        <f>COUNTIFS($C$2:$C$109, $F3, $D$2:$D$109, I$2)+MAX(D110-C110,0)+MAX(D111-C111,0)+MAX(D112-C112,0)+MAX(D113-C113,0)+MAX(D114-C114,0)+MAX(D115-C115,0)+MAX(D116-C116,0)</f>
        <v/>
      </c>
      <c r="J3" s="19">
        <f>SUM(G3:I3)</f>
        <v/>
      </c>
      <c r="K3" s="19" t="n"/>
      <c r="L3" s="63" t="inlineStr">
        <is>
          <t>Observed Agreement (Po)</t>
        </is>
      </c>
      <c r="M3" s="60">
        <f>(G3+H4+I5)/COUNTA($C$2:$C$163)</f>
        <v/>
      </c>
      <c r="N3" s="62" t="inlineStr">
        <is>
          <t>This sums the diagonal of your matrix divided by total rows.</t>
        </is>
      </c>
    </row>
    <row r="4" ht="15.75" customHeight="1" s="101">
      <c r="A4" s="5">
        <f>Wumple!A4</f>
        <v/>
      </c>
      <c r="B4" s="5">
        <f>Wumple!B4</f>
        <v/>
      </c>
      <c r="C4" s="5">
        <f>'GPT-5 Generation'!C4</f>
        <v/>
      </c>
      <c r="D4" s="5">
        <f>'Claude Sonnet 4.5 Gen'!C4</f>
        <v/>
      </c>
      <c r="E4" s="52" t="n"/>
      <c r="F4" s="59" t="n">
        <v>0.5</v>
      </c>
      <c r="G4" s="64">
        <f>COUNTIFS($C$2:$C$109, $F4, $D$2:$D$109, G$2)</f>
        <v/>
      </c>
      <c r="H4" s="19">
        <f>COUNTIFS($C$2:$C$109, $F4, $D$2:$D$109, H$2)</f>
        <v/>
      </c>
      <c r="I4" s="65">
        <f>COUNTIFS($C$2:$C$109, $F4, $D$2:$D$109, I$2)</f>
        <v/>
      </c>
      <c r="J4" s="19">
        <f>SUM(G4:I4)</f>
        <v/>
      </c>
      <c r="K4" s="19" t="n"/>
      <c r="L4" s="63" t="inlineStr">
        <is>
          <t>Expected Agreement (Pe)</t>
        </is>
      </c>
      <c r="M4" s="64">
        <f t="array" ref="M4">SUMPRODUCT(J3:J5/COUNTA($C$2:$C$163), TRANSPOSE(G6:I6)/COUNTA($C$2:$C$163))</f>
        <v/>
      </c>
      <c r="N4" s="65" t="inlineStr">
        <is>
          <t>This computes the sum of row proportion times column proportion.</t>
        </is>
      </c>
    </row>
    <row r="5" ht="15.75" customHeight="1" s="101">
      <c r="A5" s="5">
        <f>Wumple!A5</f>
        <v/>
      </c>
      <c r="B5" s="5">
        <f>Wumple!B5</f>
        <v/>
      </c>
      <c r="C5" s="5">
        <f>'GPT-5 Generation'!C5</f>
        <v/>
      </c>
      <c r="D5" s="5">
        <f>'Claude Sonnet 4.5 Gen'!C5</f>
        <v/>
      </c>
      <c r="E5" s="52" t="n"/>
      <c r="F5" s="59" t="n">
        <v>1</v>
      </c>
      <c r="G5" s="66">
        <f>COUNTIFS($C$2:$C$109, $F5, $D$2:$D$109, G$2)+MAX(C110-D110,0)+MAX(C111-D111,0)+MAX(C112-D112,0)+MAX(C113-D113,0)+MAX(C114-D114,0)+MAX(C115-D115,0)+MAX(C116-D116,0)</f>
        <v/>
      </c>
      <c r="H5" s="67">
        <f>COUNTIFS($C$2:$C$109, $F5, $D$2:$D$109, H$2)</f>
        <v/>
      </c>
      <c r="I5" s="68">
        <f>COUNTIFS($C$2:$C$109, $F5, $D$2:$D$109, I$2)+ SUM(MIN(C110,D110), MIN(C111,D111), MIN(C112,D112), MIN(C113,D113), MIN(C114,D114), MIN(C115,D115), MIN(C116,D116))</f>
        <v/>
      </c>
      <c r="J5" s="19">
        <f>SUM(G5:I5)</f>
        <v/>
      </c>
      <c r="K5" s="19" t="n"/>
      <c r="L5" s="63" t="inlineStr">
        <is>
          <t>Cohen's Kappa</t>
        </is>
      </c>
      <c r="M5" s="66">
        <f>(M3-M4)/(1-M4)</f>
        <v/>
      </c>
      <c r="N5" s="68" t="inlineStr">
        <is>
          <t>(Po - Pe) / (1 - Pe)</t>
        </is>
      </c>
    </row>
    <row r="6" ht="15.75" customHeight="1" s="101">
      <c r="A6" s="5">
        <f>Wumple!A6</f>
        <v/>
      </c>
      <c r="B6" s="5">
        <f>Wumple!B6</f>
        <v/>
      </c>
      <c r="C6" s="5">
        <f>'GPT-5 Generation'!C6</f>
        <v/>
      </c>
      <c r="D6" s="5">
        <f>'Claude Sonnet 4.5 Gen'!C6</f>
        <v/>
      </c>
      <c r="E6" s="52" t="n"/>
      <c r="F6" s="69" t="inlineStr">
        <is>
          <t>Column Totals</t>
        </is>
      </c>
      <c r="G6" s="19">
        <f>SUM(G3:G5)</f>
        <v/>
      </c>
      <c r="H6" s="19">
        <f>SUM(H3:H5)</f>
        <v/>
      </c>
      <c r="I6" s="19">
        <f>SUM(I3:I5)</f>
        <v/>
      </c>
      <c r="J6" s="19" t="n"/>
      <c r="L6" s="19" t="n"/>
      <c r="M6" s="70" t="n"/>
    </row>
    <row r="7" ht="15.75" customHeight="1" s="101">
      <c r="A7" s="5">
        <f>Wumple!A7</f>
        <v/>
      </c>
      <c r="B7" s="5">
        <f>Wumple!B7</f>
        <v/>
      </c>
      <c r="C7" s="5">
        <f>'GPT-5 Generation'!C7</f>
        <v/>
      </c>
      <c r="D7" s="5">
        <f>'Claude Sonnet 4.5 Gen'!C7</f>
        <v/>
      </c>
      <c r="E7" s="52" t="n"/>
      <c r="L7" s="19" t="n"/>
      <c r="M7" s="19" t="n"/>
      <c r="N7" s="19" t="n"/>
    </row>
    <row r="8" ht="15.75" customHeight="1" s="101">
      <c r="A8" s="5">
        <f>Wumple!A8</f>
        <v/>
      </c>
      <c r="B8" s="5">
        <f>Wumple!B8</f>
        <v/>
      </c>
      <c r="C8" s="5">
        <f>'GPT-5 Generation'!C8</f>
        <v/>
      </c>
      <c r="D8" s="5">
        <f>'Claude Sonnet 4.5 Gen'!C8</f>
        <v/>
      </c>
      <c r="E8" s="52" t="n"/>
      <c r="F8" s="107" t="inlineStr">
        <is>
          <t>Confusion Matrix (State)</t>
        </is>
      </c>
      <c r="L8" s="102" t="inlineStr">
        <is>
          <t>Cohen's Kappa (State)</t>
        </is>
      </c>
      <c r="M8" s="108" t="n"/>
      <c r="N8" s="108" t="n"/>
    </row>
    <row r="9" ht="15.75" customHeight="1" s="101">
      <c r="A9" s="5">
        <f>Wumple!A9</f>
        <v/>
      </c>
      <c r="B9" s="5">
        <f>Wumple!B9</f>
        <v/>
      </c>
      <c r="C9" s="5">
        <f>'GPT-5 Generation'!C9</f>
        <v/>
      </c>
      <c r="D9" s="5">
        <f>'Claude Sonnet 4.5 Gen'!C9</f>
        <v/>
      </c>
      <c r="E9" s="52" t="n"/>
      <c r="F9" s="19" t="inlineStr">
        <is>
          <t>State</t>
        </is>
      </c>
      <c r="G9" s="71" t="inlineStr">
        <is>
          <t>0</t>
        </is>
      </c>
      <c r="H9" s="71" t="inlineStr">
        <is>
          <t>0.5</t>
        </is>
      </c>
      <c r="I9" s="71" t="inlineStr">
        <is>
          <t>1</t>
        </is>
      </c>
      <c r="J9" s="72" t="inlineStr">
        <is>
          <t>Row Totals</t>
        </is>
      </c>
      <c r="K9" s="19" t="n"/>
      <c r="L9" s="58" t="inlineStr">
        <is>
          <t>Metric</t>
        </is>
      </c>
      <c r="M9" s="58" t="inlineStr">
        <is>
          <t>Value</t>
        </is>
      </c>
      <c r="N9" s="58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'GPT-5 Generation'!C10</f>
        <v/>
      </c>
      <c r="D10" s="5">
        <f>'Claude Sonnet 4.5 Gen'!C10</f>
        <v/>
      </c>
      <c r="E10" s="52" t="n"/>
      <c r="F10" s="59" t="n">
        <v>0</v>
      </c>
      <c r="G10" s="60">
        <f>COUNTIFS($A$2:$A$153,$F$9,$C$2:$C$153,$F10,$D$2:$D$153,G$9)</f>
        <v/>
      </c>
      <c r="H10" s="61">
        <f>COUNTIFS($A$2:$A$153,$F$9,$C$2:$C$153,$F10,$D$2:$D$153,H$9)</f>
        <v/>
      </c>
      <c r="I10" s="62">
        <f>COUNTIFS($A$2:$A$109,$F$9,$C$2:$C$109,$F10,$D$2:$D$109,I$9)+MAX(D110-C110,0)</f>
        <v/>
      </c>
      <c r="J10" s="19">
        <f>SUM(G10:I10)</f>
        <v/>
      </c>
      <c r="K10" s="19" t="n"/>
      <c r="L10" s="63" t="inlineStr">
        <is>
          <t>Observed Agreement (Po)</t>
        </is>
      </c>
      <c r="M10" s="60">
        <f>(G10+H11+I12)/COUNTIF($A$2:$A$163,F9)</f>
        <v/>
      </c>
      <c r="N10" s="62" t="inlineStr">
        <is>
          <t>This sums the diagonal of your matrix divided by total rows.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'GPT-5 Generation'!C11</f>
        <v/>
      </c>
      <c r="D11" s="5">
        <f>'Claude Sonnet 4.5 Gen'!C11</f>
        <v/>
      </c>
      <c r="E11" s="52" t="n"/>
      <c r="F11" s="59" t="n">
        <v>0.5</v>
      </c>
      <c r="G11" s="64">
        <f>COUNTIFS($A$2:$A$153,$F$9,$C$2:$C$153,$F11,$D$2:$D$153,G$9)</f>
        <v/>
      </c>
      <c r="H11" s="19">
        <f>COUNTIFS($A$2:$A$153,$F$9,$C$2:$C$153,$F11,$D$2:$D$153,H$9)</f>
        <v/>
      </c>
      <c r="I11" s="65">
        <f>COUNTIFS($A$2:$A$153,$F$9,$C$2:$C$153,$F11,$D$2:$D$153,I$9)</f>
        <v/>
      </c>
      <c r="J11" s="19">
        <f>SUM(G11:I11)</f>
        <v/>
      </c>
      <c r="K11" s="19" t="n"/>
      <c r="L11" s="63" t="inlineStr">
        <is>
          <t>Expected Agreement (Pe)</t>
        </is>
      </c>
      <c r="M11" s="64">
        <f t="array" ref="M11">SUMPRODUCT(J10:J12/COUNTIF($A$2:$A$163,F9), TRANSPOSE(G13:I13)/COUNTIF($A$2:$A$163,F9))</f>
        <v/>
      </c>
      <c r="N11" s="65" t="inlineStr">
        <is>
          <t>This computes the sum of row proportion times column proportion.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'GPT-5 Generation'!C12</f>
        <v/>
      </c>
      <c r="D12" s="5">
        <f>'Claude Sonnet 4.5 Gen'!C12</f>
        <v/>
      </c>
      <c r="E12" s="52" t="n"/>
      <c r="F12" s="59" t="n">
        <v>1</v>
      </c>
      <c r="G12" s="66">
        <f>COUNTIFS($A$2:$A$109,$F$9,$C$2:$C$109,$F12,$D$2:$D$109,G$9)+MAX(C110-D110,0)</f>
        <v/>
      </c>
      <c r="H12" s="67">
        <f>COUNTIFS($A$2:$A$153,$F$9,$C$2:$C$153,$F12,$D$2:$D$153,H$9)</f>
        <v/>
      </c>
      <c r="I12" s="68">
        <f>COUNTIFS($A$2:$A$109,$F$9,$C$2:$C$109,$F12,$D$2:$D$109,I$9)+MIN(C110-D110)</f>
        <v/>
      </c>
      <c r="J12" s="19">
        <f>SUM(G12:I12)</f>
        <v/>
      </c>
      <c r="K12" s="19" t="n"/>
      <c r="L12" s="63" t="inlineStr">
        <is>
          <t>Cohen's Kappa</t>
        </is>
      </c>
      <c r="M12" s="66">
        <f>(M10-M11)/(1-M11)</f>
        <v/>
      </c>
      <c r="N12" s="68" t="inlineStr">
        <is>
          <t>(Po - Pe) / (1 - Pe)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'GPT-5 Generation'!C13</f>
        <v/>
      </c>
      <c r="D13" s="5">
        <f>'Claude Sonnet 4.5 Gen'!C13</f>
        <v/>
      </c>
      <c r="E13" s="52" t="n"/>
      <c r="F13" s="69" t="inlineStr">
        <is>
          <t>Column Totals</t>
        </is>
      </c>
      <c r="G13" s="19">
        <f>SUM(G10:G12)</f>
        <v/>
      </c>
      <c r="H13" s="19">
        <f>SUM(H10:H12)</f>
        <v/>
      </c>
      <c r="I13" s="19">
        <f>SUM(I10:I12)</f>
        <v/>
      </c>
      <c r="J13" s="19" t="n"/>
      <c r="L13" s="19" t="n"/>
      <c r="M13" s="70" t="n"/>
    </row>
    <row r="14" ht="15.75" customHeight="1" s="101">
      <c r="A14" s="5">
        <f>Wumple!A14</f>
        <v/>
      </c>
      <c r="B14" s="5">
        <f>Wumple!B14</f>
        <v/>
      </c>
      <c r="C14" s="5">
        <f>'GPT-5 Generation'!C14</f>
        <v/>
      </c>
      <c r="D14" s="5">
        <f>'Claude Sonnet 4.5 Gen'!C14</f>
        <v/>
      </c>
      <c r="E14" s="52" t="n"/>
    </row>
    <row r="15" ht="15.75" customHeight="1" s="101">
      <c r="A15" s="5">
        <f>Wumple!A15</f>
        <v/>
      </c>
      <c r="B15" s="5">
        <f>Wumple!B15</f>
        <v/>
      </c>
      <c r="C15" s="5">
        <f>'GPT-5 Generation'!C15</f>
        <v/>
      </c>
      <c r="D15" s="5">
        <f>'Claude Sonnet 4.5 Gen'!C15</f>
        <v/>
      </c>
      <c r="E15" s="52" t="n"/>
      <c r="F15" s="107" t="inlineStr">
        <is>
          <t>Confusion Matrix (Transition)</t>
        </is>
      </c>
      <c r="L15" s="102" t="inlineStr">
        <is>
          <t>Cohen's Kappa (Transition)</t>
        </is>
      </c>
      <c r="M15" s="108" t="n"/>
      <c r="N15" s="108" t="n"/>
    </row>
    <row r="16" ht="15.75" customHeight="1" s="101">
      <c r="A16" s="5">
        <f>Wumple!A16</f>
        <v/>
      </c>
      <c r="B16" s="5">
        <f>Wumple!B16</f>
        <v/>
      </c>
      <c r="C16" s="5">
        <f>'GPT-5 Generation'!C16</f>
        <v/>
      </c>
      <c r="D16" s="5">
        <f>'Claude Sonnet 4.5 Gen'!C16</f>
        <v/>
      </c>
      <c r="E16" s="52" t="n"/>
      <c r="F16" s="19" t="inlineStr">
        <is>
          <t>Transition</t>
        </is>
      </c>
      <c r="G16" s="71" t="inlineStr">
        <is>
          <t>0</t>
        </is>
      </c>
      <c r="H16" s="71" t="inlineStr">
        <is>
          <t>0.5</t>
        </is>
      </c>
      <c r="I16" s="71" t="inlineStr">
        <is>
          <t>1</t>
        </is>
      </c>
      <c r="J16" s="72" t="inlineStr">
        <is>
          <t>Row Totals</t>
        </is>
      </c>
      <c r="K16" s="19" t="n"/>
      <c r="L16" s="58" t="inlineStr">
        <is>
          <t>Metric</t>
        </is>
      </c>
      <c r="M16" s="58" t="inlineStr">
        <is>
          <t>Value</t>
        </is>
      </c>
      <c r="N16" s="58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'GPT-5 Generation'!C17</f>
        <v/>
      </c>
      <c r="D17" s="5">
        <f>'Claude Sonnet 4.5 Gen'!C17</f>
        <v/>
      </c>
      <c r="E17" s="52" t="n"/>
      <c r="F17" s="59" t="n">
        <v>0</v>
      </c>
      <c r="G17" s="60">
        <f>COUNTIFS($A$2:$A$153,$F$16,$C$2:$C$153,$F17,$D$2:$D$153,G$16)</f>
        <v/>
      </c>
      <c r="H17" s="61">
        <f>COUNTIFS($A$2:$A$153,$F$16,$C$2:$C$153,$F17,$D$2:$D$153,H$16)</f>
        <v/>
      </c>
      <c r="I17" s="62">
        <f>COUNTIFS($A$2:$A$109,$F$16,$C$2:$C$109,$F17,$D$2:$D$109,I$16) + MAX(D111-C111,0)</f>
        <v/>
      </c>
      <c r="J17" s="19">
        <f>SUM(G17:I17)</f>
        <v/>
      </c>
      <c r="K17" s="19" t="n"/>
      <c r="L17" s="63" t="inlineStr">
        <is>
          <t>Observed Agreement (Po)</t>
        </is>
      </c>
      <c r="M17" s="60">
        <f>(G17+H18+I19)/COUNTIF($A$2:$A$163,F16)</f>
        <v/>
      </c>
      <c r="N17" s="62" t="inlineStr">
        <is>
          <t>This sums the diagonal of your matrix divided by total rows.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'GPT-5 Generation'!C18</f>
        <v/>
      </c>
      <c r="D18" s="5">
        <f>'Claude Sonnet 4.5 Gen'!C18</f>
        <v/>
      </c>
      <c r="E18" s="52" t="n"/>
      <c r="F18" s="59" t="n">
        <v>0.5</v>
      </c>
      <c r="G18" s="64">
        <f>COUNTIFS($A$2:$A$153,$F$16,$C$2:$C$153,$F18,$D$2:$D$153,G$16)</f>
        <v/>
      </c>
      <c r="H18" s="19">
        <f>COUNTIFS($A$2:$A$153,$F$16,$C$2:$C$153,$F18,$D$2:$D$153,H$16)</f>
        <v/>
      </c>
      <c r="I18" s="65">
        <f>COUNTIFS($A$2:$A$153,$F$16,$C$2:$C$153,$F18,$D$2:$D$153,I$16)</f>
        <v/>
      </c>
      <c r="J18" s="19">
        <f>SUM(G18:I18)</f>
        <v/>
      </c>
      <c r="K18" s="19" t="n"/>
      <c r="L18" s="63" t="inlineStr">
        <is>
          <t>Expected Agreement (Pe)</t>
        </is>
      </c>
      <c r="M18" s="64">
        <f t="array" ref="M18">SUMPRODUCT(J17:J19/COUNTIF($A$2:$A$163,F16), TRANSPOSE(G20:I20)/COUNTIF($A$2:$A$163,F16))</f>
        <v/>
      </c>
      <c r="N18" s="65" t="inlineStr">
        <is>
          <t>This computes the sum of row proportion times column proportion.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'GPT-5 Generation'!C19</f>
        <v/>
      </c>
      <c r="D19" s="5">
        <f>'Claude Sonnet 4.5 Gen'!C19</f>
        <v/>
      </c>
      <c r="E19" s="52" t="n"/>
      <c r="F19" s="59" t="n">
        <v>1</v>
      </c>
      <c r="G19" s="66">
        <f>COUNTIFS($A$2:$A$109,$F$16,$C$2:$C$109,$F19,$D$2:$D$109,G$16)+MAX(C111-D111,0)</f>
        <v/>
      </c>
      <c r="H19" s="67">
        <f>COUNTIFS($A$2:$A$153,$F$16,$C$2:$C$153,$F19,$D$2:$D$153,H$16)</f>
        <v/>
      </c>
      <c r="I19" s="68">
        <f>COUNTIFS($A$2:$A$109,$F$16,$C$2:$C$109,$F19,$D$2:$D$109,I$16) + MIN(C111,D111)</f>
        <v/>
      </c>
      <c r="J19" s="19">
        <f>SUM(G19:I19)</f>
        <v/>
      </c>
      <c r="K19" s="19" t="n"/>
      <c r="L19" s="63" t="inlineStr">
        <is>
          <t>Cohen's Kappa</t>
        </is>
      </c>
      <c r="M19" s="66">
        <f>(M17-M18)/(1-M18)</f>
        <v/>
      </c>
      <c r="N19" s="68" t="inlineStr">
        <is>
          <t>(Po - Pe) / (1 - Pe)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'GPT-5 Generation'!C20</f>
        <v/>
      </c>
      <c r="D20" s="5">
        <f>'Claude Sonnet 4.5 Gen'!C20</f>
        <v/>
      </c>
      <c r="E20" s="52" t="n"/>
      <c r="F20" s="69" t="inlineStr">
        <is>
          <t>Column Totals</t>
        </is>
      </c>
      <c r="G20" s="19">
        <f>SUM(G17:G19)</f>
        <v/>
      </c>
      <c r="H20" s="19">
        <f>SUM(H17:H19)</f>
        <v/>
      </c>
      <c r="I20" s="19">
        <f>SUM(I17:I19)</f>
        <v/>
      </c>
      <c r="J20" s="19" t="n"/>
      <c r="L20" s="19" t="n"/>
      <c r="M20" s="70" t="n"/>
    </row>
    <row r="21" ht="15.75" customHeight="1" s="101">
      <c r="A21" s="5">
        <f>Wumple!A21</f>
        <v/>
      </c>
      <c r="B21" s="5">
        <f>Wumple!B21</f>
        <v/>
      </c>
      <c r="C21" s="5">
        <f>'GPT-5 Generation'!C21</f>
        <v/>
      </c>
      <c r="D21" s="5">
        <f>'Claude Sonnet 4.5 Gen'!C21</f>
        <v/>
      </c>
      <c r="E21" s="52" t="n"/>
    </row>
    <row r="22" ht="15.75" customHeight="1" s="101">
      <c r="A22" s="5">
        <f>Wumple!A22</f>
        <v/>
      </c>
      <c r="B22" s="5">
        <f>Wumple!B22</f>
        <v/>
      </c>
      <c r="C22" s="5">
        <f>'GPT-5 Generation'!C22</f>
        <v/>
      </c>
      <c r="D22" s="5">
        <f>'Claude Sonnet 4.5 Gen'!C22</f>
        <v/>
      </c>
      <c r="E22" s="52" t="n"/>
      <c r="F22" s="107" t="inlineStr">
        <is>
          <t>Confusion Matrix (Composite State)</t>
        </is>
      </c>
      <c r="L22" s="102" t="inlineStr">
        <is>
          <t>Cohen's Kappa (Composite State)</t>
        </is>
      </c>
      <c r="M22" s="108" t="n"/>
      <c r="N22" s="108" t="n"/>
    </row>
    <row r="23" ht="15.75" customHeight="1" s="101">
      <c r="A23" s="5">
        <f>Wumple!A23</f>
        <v/>
      </c>
      <c r="B23" s="5">
        <f>Wumple!B23</f>
        <v/>
      </c>
      <c r="C23" s="5">
        <f>'GPT-5 Generation'!C23</f>
        <v/>
      </c>
      <c r="D23" s="5">
        <f>'Claude Sonnet 4.5 Gen'!C23</f>
        <v/>
      </c>
      <c r="E23" s="52" t="n"/>
      <c r="F23" s="19" t="inlineStr">
        <is>
          <t>Composite State</t>
        </is>
      </c>
      <c r="G23" s="71" t="inlineStr">
        <is>
          <t>0</t>
        </is>
      </c>
      <c r="H23" s="71" t="inlineStr">
        <is>
          <t>0.5</t>
        </is>
      </c>
      <c r="I23" s="71" t="inlineStr">
        <is>
          <t>1</t>
        </is>
      </c>
      <c r="J23" s="72" t="inlineStr">
        <is>
          <t>Row Totals</t>
        </is>
      </c>
      <c r="K23" s="19" t="n"/>
      <c r="L23" s="58" t="inlineStr">
        <is>
          <t>Metric</t>
        </is>
      </c>
      <c r="M23" s="58" t="inlineStr">
        <is>
          <t>Value</t>
        </is>
      </c>
      <c r="N23" s="58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'GPT-5 Generation'!C24</f>
        <v/>
      </c>
      <c r="D24" s="5">
        <f>'Claude Sonnet 4.5 Gen'!C24</f>
        <v/>
      </c>
      <c r="E24" s="52" t="n"/>
      <c r="F24" s="59" t="n">
        <v>0</v>
      </c>
      <c r="G24" s="60">
        <f>COUNTIFS($A$2:$A$153,$F$23,$C$2:$C$153,$F24,$D$2:$D$153,G$23)</f>
        <v/>
      </c>
      <c r="H24" s="61">
        <f>COUNTIFS($A$2:$A$153,$F$23,$C$2:$C$153,$F24,$D$2:$D$153,H$23)</f>
        <v/>
      </c>
      <c r="I24" s="62">
        <f>COUNTIFS($A$2:$A$109,$F$23,$C$2:$C$109,$F24,$D$2:$D$109,I$23) + MAX(D114-C114,0)</f>
        <v/>
      </c>
      <c r="J24" s="19">
        <f>SUM(G24:I24)</f>
        <v/>
      </c>
      <c r="K24" s="19" t="n"/>
      <c r="L24" s="63" t="inlineStr">
        <is>
          <t>Observed Agreement (Po)</t>
        </is>
      </c>
      <c r="M24" s="60">
        <f>(G24+H25+I26)/COUNTIF($A$2:$A$163,F23)</f>
        <v/>
      </c>
      <c r="N24" s="62" t="inlineStr">
        <is>
          <t>This sums the diagonal of your matrix divided by total rows.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'GPT-5 Generation'!C25</f>
        <v/>
      </c>
      <c r="D25" s="5">
        <f>'Claude Sonnet 4.5 Gen'!C25</f>
        <v/>
      </c>
      <c r="E25" s="52" t="n"/>
      <c r="F25" s="59" t="n">
        <v>0.5</v>
      </c>
      <c r="G25" s="64">
        <f>COUNTIFS($A$2:$A$153,$F$23,$C$2:$C$153,$F25,$D$2:$D$153,G$23)</f>
        <v/>
      </c>
      <c r="H25" s="19">
        <f>COUNTIFS($A$2:$A$153,$F$23,$C$2:$C$153,$F25,$D$2:$D$153,H$23)</f>
        <v/>
      </c>
      <c r="I25" s="65">
        <f>COUNTIFS($A$2:$A$153,$F$23,$C$2:$C$153,$F25,$D$2:$D$153,I$23)</f>
        <v/>
      </c>
      <c r="J25" s="19">
        <f>SUM(G25:I25)</f>
        <v/>
      </c>
      <c r="K25" s="19" t="n"/>
      <c r="L25" s="63" t="inlineStr">
        <is>
          <t>Expected Agreement (Pe)</t>
        </is>
      </c>
      <c r="M25" s="64">
        <f t="array" ref="M25">SUMPRODUCT(J24:J26/COUNTIF($A$2:$A$163,F23), TRANSPOSE(G27:I27)/COUNTIF($A$2:$A$163,F23))</f>
        <v/>
      </c>
      <c r="N25" s="65" t="inlineStr">
        <is>
          <t>This computes the sum of row proportion times column proportion.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'GPT-5 Generation'!C26</f>
        <v/>
      </c>
      <c r="D26" s="5">
        <f>'Claude Sonnet 4.5 Gen'!C26</f>
        <v/>
      </c>
      <c r="E26" s="52" t="n"/>
      <c r="F26" s="59" t="n">
        <v>1</v>
      </c>
      <c r="G26" s="66">
        <f>COUNTIFS($A$2:$A$109,$F$23,$C$2:$C$109,$F26,$D$2:$D$109,G$23) + MAX(C114-D114,0)</f>
        <v/>
      </c>
      <c r="H26" s="67">
        <f>COUNTIFS($A$2:$A$153,$F$23,$C$2:$C$153,$F26,$D$2:$D$153,H$23)</f>
        <v/>
      </c>
      <c r="I26" s="68">
        <f>COUNTIFS($A$2:$A$109,$F$23,$C$2:$C$109,$F26,$D$2:$D$109,I$23) + MIN(C114,D114)</f>
        <v/>
      </c>
      <c r="J26" s="19">
        <f>SUM(G26:I26)</f>
        <v/>
      </c>
      <c r="K26" s="19" t="n"/>
      <c r="L26" s="63" t="inlineStr">
        <is>
          <t>Cohen's Kappa</t>
        </is>
      </c>
      <c r="M26" s="66">
        <f>(M24-M25)/(1-M25)</f>
        <v/>
      </c>
      <c r="N26" s="68" t="inlineStr">
        <is>
          <t>(Po - Pe) / (1 - Pe)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'GPT-5 Generation'!C27</f>
        <v/>
      </c>
      <c r="D27" s="5">
        <f>'Claude Sonnet 4.5 Gen'!C27</f>
        <v/>
      </c>
      <c r="E27" s="52" t="n"/>
      <c r="F27" s="69" t="inlineStr">
        <is>
          <t>Column Totals</t>
        </is>
      </c>
      <c r="G27" s="19">
        <f>SUM(G24:G26)</f>
        <v/>
      </c>
      <c r="H27" s="19">
        <f>SUM(H24:H26)</f>
        <v/>
      </c>
      <c r="I27" s="19">
        <f>SUM(I24:I26)</f>
        <v/>
      </c>
      <c r="J27" s="19" t="n"/>
      <c r="L27" s="19" t="n"/>
      <c r="M27" s="70" t="n"/>
    </row>
    <row r="28" ht="15.75" customHeight="1" s="101">
      <c r="A28" s="5">
        <f>Wumple!A28</f>
        <v/>
      </c>
      <c r="B28" s="5">
        <f>Wumple!B28</f>
        <v/>
      </c>
      <c r="C28" s="5">
        <f>'GPT-5 Generation'!C28</f>
        <v/>
      </c>
      <c r="D28" s="5">
        <f>'Claude Sonnet 4.5 Gen'!C28</f>
        <v/>
      </c>
      <c r="E28" s="52" t="n"/>
    </row>
    <row r="29" ht="15.75" customHeight="1" s="101">
      <c r="A29" s="5">
        <f>Wumple!A29</f>
        <v/>
      </c>
      <c r="B29" s="5">
        <f>Wumple!B29</f>
        <v/>
      </c>
      <c r="C29" s="5">
        <f>'GPT-5 Generation'!C29</f>
        <v/>
      </c>
      <c r="D29" s="5">
        <f>'Claude Sonnet 4.5 Gen'!C29</f>
        <v/>
      </c>
      <c r="E29" s="52" t="n"/>
      <c r="F29" s="107" t="inlineStr">
        <is>
          <t>Confusion Matrix (Guard)</t>
        </is>
      </c>
      <c r="L29" s="102" t="inlineStr">
        <is>
          <t>Cohen's Kappa (Guard)</t>
        </is>
      </c>
      <c r="M29" s="108" t="n"/>
      <c r="N29" s="108" t="n"/>
    </row>
    <row r="30" ht="15.75" customHeight="1" s="101">
      <c r="A30" s="5">
        <f>Wumple!A30</f>
        <v/>
      </c>
      <c r="B30" s="5">
        <f>Wumple!B30</f>
        <v/>
      </c>
      <c r="C30" s="5">
        <f>'GPT-5 Generation'!C30</f>
        <v/>
      </c>
      <c r="D30" s="5">
        <f>'Claude Sonnet 4.5 Gen'!C30</f>
        <v/>
      </c>
      <c r="E30" s="52" t="n"/>
      <c r="F30" s="19" t="inlineStr">
        <is>
          <t>Guard</t>
        </is>
      </c>
      <c r="G30" s="71" t="inlineStr">
        <is>
          <t>0</t>
        </is>
      </c>
      <c r="H30" s="71" t="inlineStr">
        <is>
          <t>0.5</t>
        </is>
      </c>
      <c r="I30" s="71" t="inlineStr">
        <is>
          <t>1</t>
        </is>
      </c>
      <c r="J30" s="72" t="inlineStr">
        <is>
          <t>Row Totals</t>
        </is>
      </c>
      <c r="K30" s="19" t="n"/>
      <c r="L30" s="58" t="inlineStr">
        <is>
          <t>Metric</t>
        </is>
      </c>
      <c r="M30" s="58" t="inlineStr">
        <is>
          <t>Value</t>
        </is>
      </c>
      <c r="N30" s="58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'GPT-5 Generation'!C31</f>
        <v/>
      </c>
      <c r="D31" s="5">
        <f>'Claude Sonnet 4.5 Gen'!C31</f>
        <v/>
      </c>
      <c r="E31" s="52" t="n"/>
      <c r="F31" s="59" t="n">
        <v>0</v>
      </c>
      <c r="G31" s="60">
        <f>COUNTIFS($A$2:$A$153,$F$30,$C$2:$C$153,$F31,$D$2:$D$153,G$30)</f>
        <v/>
      </c>
      <c r="H31" s="61">
        <f>COUNTIFS($A$2:$A$153,$F$30,$C$2:$C$153,$F31,$D$2:$D$153,H$30)</f>
        <v/>
      </c>
      <c r="I31" s="62">
        <f>COUNTIFS($A$2:$A$109,$F$30,$C$2:$C$109,$F31,$D$2:$D$109,I$30) + MAX(D112-C112,0)</f>
        <v/>
      </c>
      <c r="J31" s="19">
        <f>SUM(G31:I31)</f>
        <v/>
      </c>
      <c r="K31" s="19" t="n"/>
      <c r="L31" s="63" t="inlineStr">
        <is>
          <t>Observed Agreement (Po)</t>
        </is>
      </c>
      <c r="M31" s="60">
        <f>(G31+H32+I33)/COUNTIF($A$2:$A$163,F30)</f>
        <v/>
      </c>
      <c r="N31" s="62" t="inlineStr">
        <is>
          <t>This sums the diagonal of your matrix divided by total rows.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'GPT-5 Generation'!C32</f>
        <v/>
      </c>
      <c r="D32" s="5">
        <f>'Claude Sonnet 4.5 Gen'!C32</f>
        <v/>
      </c>
      <c r="E32" s="52" t="n"/>
      <c r="F32" s="59" t="n">
        <v>0.5</v>
      </c>
      <c r="G32" s="64">
        <f>COUNTIFS($A$2:$A$153,$F$30,$C$2:$C$153,$F32,$D$2:$D$153,G$30)</f>
        <v/>
      </c>
      <c r="H32" s="19">
        <f>COUNTIFS($A$2:$A$153,$F$30,$C$2:$C$153,$F32,$D$2:$D$153,H$30)</f>
        <v/>
      </c>
      <c r="I32" s="65">
        <f>COUNTIFS($A$2:$A$153,$F$30,$C$2:$C$153,$F32,$D$2:$D$153,I$30)</f>
        <v/>
      </c>
      <c r="J32" s="19">
        <f>SUM(G32:I32)</f>
        <v/>
      </c>
      <c r="K32" s="19" t="n"/>
      <c r="L32" s="63" t="inlineStr">
        <is>
          <t>Expected Agreement (Pe)</t>
        </is>
      </c>
      <c r="M32" s="64">
        <f t="array" ref="M32">SUMPRODUCT(J31:J33/COUNTIF($A$2:$A$163,F30), TRANSPOSE(G34:I34)/COUNTIF($A$2:$A$163,F30))</f>
        <v/>
      </c>
      <c r="N32" s="65" t="inlineStr">
        <is>
          <t>This computes the sum of row proportion times column proportion.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'GPT-5 Generation'!C33</f>
        <v/>
      </c>
      <c r="D33" s="5">
        <f>'Claude Sonnet 4.5 Gen'!C33</f>
        <v/>
      </c>
      <c r="E33" s="52" t="n"/>
      <c r="F33" s="59" t="n">
        <v>1</v>
      </c>
      <c r="G33" s="66">
        <f>COUNTIFS($A$2:$A$109,$F$30,$C$2:$C$109,$F33,$D$2:$D$109,G$30) + MAX(C112-D112,0)</f>
        <v/>
      </c>
      <c r="H33" s="67">
        <f>COUNTIFS($A$2:$A$153,$F$30,$C$2:$C$153,$F33,$D$2:$D$153,H$30)</f>
        <v/>
      </c>
      <c r="I33" s="68">
        <f>COUNTIFS($A$2:$A$109,$F$30,$C$2:$C$109,$F33,$D$2:$D$109,I$30) + MIN(C112,D112)</f>
        <v/>
      </c>
      <c r="J33" s="19">
        <f>SUM(G33:I33)</f>
        <v/>
      </c>
      <c r="K33" s="19" t="n"/>
      <c r="L33" s="63" t="inlineStr">
        <is>
          <t>Cohen's Kappa</t>
        </is>
      </c>
      <c r="M33" s="66">
        <f>(M31-M32)/(1-M32)</f>
        <v/>
      </c>
      <c r="N33" s="68" t="inlineStr">
        <is>
          <t>(Po - Pe) / (1 - Pe)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'GPT-5 Generation'!C34</f>
        <v/>
      </c>
      <c r="D34" s="5">
        <f>'Claude Sonnet 4.5 Gen'!C34</f>
        <v/>
      </c>
      <c r="E34" s="52" t="n"/>
      <c r="F34" s="69" t="inlineStr">
        <is>
          <t>Column Totals</t>
        </is>
      </c>
      <c r="G34" s="19">
        <f>SUM(G31:G33)</f>
        <v/>
      </c>
      <c r="H34" s="19">
        <f>SUM(H31:H33)</f>
        <v/>
      </c>
      <c r="I34" s="19">
        <f>SUM(I31:I33)</f>
        <v/>
      </c>
      <c r="J34" s="19" t="n"/>
      <c r="L34" s="19" t="n"/>
      <c r="M34" s="70" t="n"/>
    </row>
    <row r="35" ht="15.75" customHeight="1" s="101">
      <c r="A35" s="5">
        <f>Wumple!A35</f>
        <v/>
      </c>
      <c r="B35" s="5">
        <f>Wumple!B35</f>
        <v/>
      </c>
      <c r="C35" s="5">
        <f>'GPT-5 Generation'!C35</f>
        <v/>
      </c>
      <c r="D35" s="5">
        <f>'Claude Sonnet 4.5 Gen'!C35</f>
        <v/>
      </c>
      <c r="E35" s="52" t="n"/>
    </row>
    <row r="36" ht="15.75" customHeight="1" s="101">
      <c r="A36" s="5">
        <f>Wumple!A36</f>
        <v/>
      </c>
      <c r="B36" s="5">
        <f>Wumple!B36</f>
        <v/>
      </c>
      <c r="C36" s="5">
        <f>'GPT-5 Generation'!C36</f>
        <v/>
      </c>
      <c r="D36" s="5">
        <f>'Claude Sonnet 4.5 Gen'!C36</f>
        <v/>
      </c>
      <c r="E36" s="52" t="n"/>
      <c r="F36" s="107" t="inlineStr">
        <is>
          <t>Confusion Matrix (Action)</t>
        </is>
      </c>
      <c r="L36" s="102" t="inlineStr">
        <is>
          <t>Cohen's Kappa (Action)</t>
        </is>
      </c>
      <c r="M36" s="108" t="n"/>
      <c r="N36" s="108" t="n"/>
    </row>
    <row r="37" ht="15.75" customHeight="1" s="101">
      <c r="A37" s="5">
        <f>Wumple!A37</f>
        <v/>
      </c>
      <c r="B37" s="5">
        <f>Wumple!B37</f>
        <v/>
      </c>
      <c r="C37" s="5">
        <f>'GPT-5 Generation'!C37</f>
        <v/>
      </c>
      <c r="D37" s="5">
        <f>'Claude Sonnet 4.5 Gen'!C37</f>
        <v/>
      </c>
      <c r="E37" s="52" t="n"/>
      <c r="F37" s="19" t="inlineStr">
        <is>
          <t>Action</t>
        </is>
      </c>
      <c r="G37" s="71" t="inlineStr">
        <is>
          <t>0</t>
        </is>
      </c>
      <c r="H37" s="71" t="inlineStr">
        <is>
          <t>0.5</t>
        </is>
      </c>
      <c r="I37" s="71" t="inlineStr">
        <is>
          <t>1</t>
        </is>
      </c>
      <c r="J37" s="72" t="inlineStr">
        <is>
          <t>Row Totals</t>
        </is>
      </c>
      <c r="K37" s="19" t="n"/>
      <c r="L37" s="58" t="inlineStr">
        <is>
          <t>Metric</t>
        </is>
      </c>
      <c r="M37" s="58" t="inlineStr">
        <is>
          <t>Value</t>
        </is>
      </c>
      <c r="N37" s="58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'GPT-5 Generation'!C38</f>
        <v/>
      </c>
      <c r="D38" s="5">
        <f>'Claude Sonnet 4.5 Gen'!C38</f>
        <v/>
      </c>
      <c r="E38" s="52" t="n"/>
      <c r="F38" s="59" t="n">
        <v>0</v>
      </c>
      <c r="G38" s="60">
        <f>COUNTIFS($A$2:$A$153,F37,$C$2:$C$153,$F38,$D$2:$D$153,G37)</f>
        <v/>
      </c>
      <c r="H38" s="61">
        <f>COUNTIFS($A$2:$A$153,F37,$C$2:$C$153,$F38,$D$2:$D$153,H37)</f>
        <v/>
      </c>
      <c r="I38" s="62">
        <f>COUNTIFS($A$2:$A$109,F37,$C$2:$C$109,$F38,$D$2:$D$109,I37)+MAX(D113-C113,0)</f>
        <v/>
      </c>
      <c r="J38" s="19">
        <f>SUM(G38:I38)</f>
        <v/>
      </c>
      <c r="K38" s="19" t="n"/>
      <c r="L38" s="63" t="inlineStr">
        <is>
          <t>Observed Agreement (Po)</t>
        </is>
      </c>
      <c r="M38" s="60">
        <f>(G38+H39+I40)/COUNTIF($A$2:$A$163,F37)</f>
        <v/>
      </c>
      <c r="N38" s="62" t="inlineStr">
        <is>
          <t>This sums the diagonal of your matrix divided by total rows.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'GPT-5 Generation'!C39</f>
        <v/>
      </c>
      <c r="D39" s="5">
        <f>'Claude Sonnet 4.5 Gen'!C39</f>
        <v/>
      </c>
      <c r="E39" s="52" t="n"/>
      <c r="F39" s="59" t="n">
        <v>0.5</v>
      </c>
      <c r="G39" s="64">
        <f>COUNTIFS($A$2:$A$153,F37,$C$2:$C$153,$F39,$D$2:$D$153,G37)</f>
        <v/>
      </c>
      <c r="H39" s="19">
        <f>COUNTIFS($A$2:$A$153,F37,$C$2:$C$153,$F39,$D$2:$D$153,H37)</f>
        <v/>
      </c>
      <c r="I39" s="65">
        <f>COUNTIFS($A$2:$A$153,F37,$C$2:$C$153,$F39,$D$2:$D$153,I37)</f>
        <v/>
      </c>
      <c r="J39" s="19">
        <f>SUM(G39:I39)</f>
        <v/>
      </c>
      <c r="K39" s="19" t="n"/>
      <c r="L39" s="63" t="inlineStr">
        <is>
          <t>Expected Agreement (Pe)</t>
        </is>
      </c>
      <c r="M39" s="64">
        <f t="array" ref="M39">SUMPRODUCT(J38:J40/COUNTIF($A$2:$A$163,F37), TRANSPOSE(G41:I41)/COUNTIF($A$2:$A$163,F37))</f>
        <v/>
      </c>
      <c r="N39" s="65" t="inlineStr">
        <is>
          <t>This computes the sum of row proportion times column proportion.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'GPT-5 Generation'!C40</f>
        <v/>
      </c>
      <c r="D40" s="5">
        <f>'Claude Sonnet 4.5 Gen'!C40</f>
        <v/>
      </c>
      <c r="E40" s="52" t="n"/>
      <c r="F40" s="59" t="n">
        <v>1</v>
      </c>
      <c r="G40" s="66">
        <f>COUNTIFS($A$2:$A$109,F37,$C$2:$C$109,$F40,$D$2:$D$109,G37)+MAX(C113-D113,0)</f>
        <v/>
      </c>
      <c r="H40" s="67">
        <f>COUNTIFS($A$2:$A$153,F37,$C$2:$C$153,$F40,$D$2:$D$153,H37)</f>
        <v/>
      </c>
      <c r="I40" s="68">
        <f>COUNTIFS($A$2:$A$109,F37,$C$2:$C$109,$F40,$D$2:$D$109,I37) + MIN(C113,D113)</f>
        <v/>
      </c>
      <c r="J40" s="19">
        <f>SUM(G40:I40)</f>
        <v/>
      </c>
      <c r="K40" s="19" t="n"/>
      <c r="L40" s="63" t="inlineStr">
        <is>
          <t>Cohen's Kappa</t>
        </is>
      </c>
      <c r="M40" s="66">
        <f>(M38-M39)/(1-M39)</f>
        <v/>
      </c>
      <c r="N40" s="68" t="inlineStr">
        <is>
          <t>(Po - Pe) / (1 - Pe)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'GPT-5 Generation'!C41</f>
        <v/>
      </c>
      <c r="D41" s="5">
        <f>'Claude Sonnet 4.5 Gen'!C41</f>
        <v/>
      </c>
      <c r="E41" s="52" t="n"/>
      <c r="F41" s="69" t="inlineStr">
        <is>
          <t>Column Totals</t>
        </is>
      </c>
      <c r="G41" s="19">
        <f>SUM(G38:G40)</f>
        <v/>
      </c>
      <c r="H41" s="19">
        <f>SUM(H38:H40)</f>
        <v/>
      </c>
      <c r="I41" s="19">
        <f>SUM(I38:I40)</f>
        <v/>
      </c>
      <c r="J41" s="19" t="n"/>
      <c r="L41" s="19" t="n"/>
      <c r="M41" s="70" t="n"/>
    </row>
    <row r="42" ht="15.75" customHeight="1" s="101">
      <c r="A42" s="5">
        <f>Wumple!A42</f>
        <v/>
      </c>
      <c r="B42" s="5">
        <f>Wumple!B42</f>
        <v/>
      </c>
      <c r="C42" s="5">
        <f>'GPT-5 Generation'!C42</f>
        <v/>
      </c>
      <c r="D42" s="5">
        <f>'Claude Sonnet 4.5 Gen'!C42</f>
        <v/>
      </c>
      <c r="E42" s="52" t="n"/>
    </row>
    <row r="43" ht="15.75" customHeight="1" s="101">
      <c r="A43" s="5">
        <f>Wumple!A43</f>
        <v/>
      </c>
      <c r="B43" s="5">
        <f>Wumple!B43</f>
        <v/>
      </c>
      <c r="C43" s="5">
        <f>'GPT-5 Generation'!C43</f>
        <v/>
      </c>
      <c r="D43" s="5">
        <f>'Claude Sonnet 4.5 Gen'!C43</f>
        <v/>
      </c>
      <c r="E43" s="52" t="n"/>
      <c r="F43" s="107" t="inlineStr">
        <is>
          <t>Confusion Matrix (History State)</t>
        </is>
      </c>
      <c r="L43" s="102" t="inlineStr">
        <is>
          <t xml:space="preserve">Cohen's Kappa (History State)		</t>
        </is>
      </c>
      <c r="M43" s="108" t="n"/>
      <c r="N43" s="108" t="n"/>
    </row>
    <row r="44" ht="15.75" customHeight="1" s="101">
      <c r="A44" s="5">
        <f>Wumple!A44</f>
        <v/>
      </c>
      <c r="B44" s="5">
        <f>Wumple!B44</f>
        <v/>
      </c>
      <c r="C44" s="5">
        <f>'GPT-5 Generation'!C44</f>
        <v/>
      </c>
      <c r="D44" s="5">
        <f>'Claude Sonnet 4.5 Gen'!C44</f>
        <v/>
      </c>
      <c r="E44" s="52" t="n"/>
      <c r="F44" s="19" t="inlineStr">
        <is>
          <t>History State</t>
        </is>
      </c>
      <c r="G44" s="71" t="inlineStr">
        <is>
          <t>0</t>
        </is>
      </c>
      <c r="H44" s="71" t="inlineStr">
        <is>
          <t>0.5</t>
        </is>
      </c>
      <c r="I44" s="71" t="inlineStr">
        <is>
          <t>1</t>
        </is>
      </c>
      <c r="J44" s="72" t="inlineStr">
        <is>
          <t>Row Totals</t>
        </is>
      </c>
      <c r="K44" s="19" t="n"/>
      <c r="L44" s="58" t="inlineStr">
        <is>
          <t>Metric</t>
        </is>
      </c>
      <c r="M44" s="58" t="inlineStr">
        <is>
          <t>Value</t>
        </is>
      </c>
      <c r="N44" s="58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'GPT-5 Generation'!C45</f>
        <v/>
      </c>
      <c r="D45" s="5">
        <f>'Claude Sonnet 4.5 Gen'!C45</f>
        <v/>
      </c>
      <c r="E45" s="52" t="n"/>
      <c r="F45" s="59" t="n">
        <v>0</v>
      </c>
      <c r="G45" s="60">
        <f>COUNTIFS($A$2:$A$153,$F$44,$C$2:$C$153,$F45,$D$2:$D$153,G$44)</f>
        <v/>
      </c>
      <c r="H45" s="61">
        <f>COUNTIFS($A$2:$A$153,$F$44,$C$2:$C$153,$F45,$D$2:$D$153,H$44)</f>
        <v/>
      </c>
      <c r="I45" s="62">
        <f>COUNTIFS($A$2:$A$109,$F$44,$C$2:$C$109,$F45,$D$2:$D$109,I$44) + MAX(D116-C116,0)</f>
        <v/>
      </c>
      <c r="J45" s="19">
        <f>SUM(G45:I45)</f>
        <v/>
      </c>
      <c r="K45" s="19" t="n"/>
      <c r="L45" s="63" t="inlineStr">
        <is>
          <t>Observed Agreement (Po)</t>
        </is>
      </c>
      <c r="M45" s="60">
        <f>(G45+H46+I47)/COUNTIF($A$2:$A$163,F44)</f>
        <v/>
      </c>
      <c r="N45" s="62" t="inlineStr">
        <is>
          <t>This sums the diagonal of your matrix divided by total rows.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'GPT-5 Generation'!C46</f>
        <v/>
      </c>
      <c r="D46" s="5">
        <f>'Claude Sonnet 4.5 Gen'!C46</f>
        <v/>
      </c>
      <c r="E46" s="52" t="n"/>
      <c r="F46" s="59" t="n">
        <v>0.5</v>
      </c>
      <c r="G46" s="64">
        <f>COUNTIFS($A$2:$A$153,$F$44,$C$2:$C$153,$F46,$D$2:$D$153,G$44)</f>
        <v/>
      </c>
      <c r="H46" s="19">
        <f>COUNTIFS($A$2:$A$153,$F$44,$C$2:$C$153,$F46,$D$2:$D$153,H$44)</f>
        <v/>
      </c>
      <c r="I46" s="65">
        <f>COUNTIFS($A$2:$A$153,$F$44,$C$2:$C$153,$F46,$D$2:$D$153,I$44)</f>
        <v/>
      </c>
      <c r="J46" s="19">
        <f>SUM(G46:I46)</f>
        <v/>
      </c>
      <c r="K46" s="19" t="n"/>
      <c r="L46" s="63" t="inlineStr">
        <is>
          <t>Expected Agreement (Pe)</t>
        </is>
      </c>
      <c r="M46" s="64">
        <f t="array" ref="M46">SUMPRODUCT(J45:J47/COUNTIF($A$2:$A$163,F44), TRANSPOSE(G48:I48)/COUNTIF($A$2:$A$163,F44))</f>
        <v/>
      </c>
      <c r="N46" s="65" t="inlineStr">
        <is>
          <t>This computes the sum of row proportion times column proportion.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'GPT-5 Generation'!C47</f>
        <v/>
      </c>
      <c r="D47" s="5">
        <f>'Claude Sonnet 4.5 Gen'!C47</f>
        <v/>
      </c>
      <c r="E47" s="52" t="n"/>
      <c r="F47" s="59" t="n">
        <v>1</v>
      </c>
      <c r="G47" s="66">
        <f>COUNTIFS($A$2:$A$109,$F$44,$C$2:$C$109,$F47,$D$2:$D$109,G$44) + MAX(C116-D116,0)</f>
        <v/>
      </c>
      <c r="H47" s="67">
        <f>COUNTIFS($A$2:$A$153,$F$44,$C$2:$C$153,$F47,$D$2:$D$153,H$44)</f>
        <v/>
      </c>
      <c r="I47" s="68">
        <f>COUNTIFS($A$2:$A$109,$F$44,$C$2:$C$109,$F47,$D$2:$D$109,I$44) + MIN(C116,D116)</f>
        <v/>
      </c>
      <c r="J47" s="19">
        <f>SUM(G47:I47)</f>
        <v/>
      </c>
      <c r="K47" s="19" t="n"/>
      <c r="L47" s="63" t="inlineStr">
        <is>
          <t>Cohen's Kappa</t>
        </is>
      </c>
      <c r="M47" s="66">
        <f>(M45-M46)/(1-M46)</f>
        <v/>
      </c>
      <c r="N47" s="68" t="inlineStr">
        <is>
          <t>(Po - Pe) / (1 - Pe)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'GPT-5 Generation'!C48</f>
        <v/>
      </c>
      <c r="D48" s="5">
        <f>'Claude Sonnet 4.5 Gen'!C48</f>
        <v/>
      </c>
      <c r="E48" s="52" t="n"/>
      <c r="F48" s="69" t="inlineStr">
        <is>
          <t>Column Totals</t>
        </is>
      </c>
      <c r="G48" s="19">
        <f>SUM(G45:G47)</f>
        <v/>
      </c>
      <c r="H48" s="19">
        <f>SUM(H45:H47)</f>
        <v/>
      </c>
      <c r="I48" s="19">
        <f>SUM(I45:I47)</f>
        <v/>
      </c>
      <c r="J48" s="19" t="n"/>
      <c r="L48" s="19" t="n"/>
      <c r="M48" s="70" t="n"/>
    </row>
    <row r="49" ht="15.75" customHeight="1" s="101">
      <c r="A49" s="5">
        <f>Wumple!A49</f>
        <v/>
      </c>
      <c r="B49" s="5">
        <f>Wumple!B49</f>
        <v/>
      </c>
      <c r="C49" s="5">
        <f>'GPT-5 Generation'!C49</f>
        <v/>
      </c>
      <c r="D49" s="5">
        <f>'Claude Sonnet 4.5 Gen'!C49</f>
        <v/>
      </c>
      <c r="E49" s="52" t="n"/>
    </row>
    <row r="50" ht="15.75" customHeight="1" s="101">
      <c r="A50" s="5">
        <f>Wumple!A50</f>
        <v/>
      </c>
      <c r="B50" s="5">
        <f>Wumple!B50</f>
        <v/>
      </c>
      <c r="C50" s="5">
        <f>'GPT-5 Generation'!C50</f>
        <v/>
      </c>
      <c r="D50" s="5">
        <f>'Claude Sonnet 4.5 Gen'!C50</f>
        <v/>
      </c>
      <c r="E50" s="52" t="n"/>
      <c r="F50" s="107" t="inlineStr">
        <is>
          <t>Confusion Matrix (Region)</t>
        </is>
      </c>
      <c r="L50" s="102" t="inlineStr">
        <is>
          <t>Cohen's Kappa (Region)</t>
        </is>
      </c>
      <c r="M50" s="108" t="n"/>
      <c r="N50" s="108" t="n"/>
    </row>
    <row r="51" ht="15.75" customHeight="1" s="101">
      <c r="A51" s="5">
        <f>Wumple!A51</f>
        <v/>
      </c>
      <c r="B51" s="5">
        <f>Wumple!B51</f>
        <v/>
      </c>
      <c r="C51" s="5">
        <f>'GPT-5 Generation'!C51</f>
        <v/>
      </c>
      <c r="D51" s="5">
        <f>'Claude Sonnet 4.5 Gen'!C51</f>
        <v/>
      </c>
      <c r="E51" s="52" t="n"/>
      <c r="F51" s="19" t="inlineStr">
        <is>
          <t>Region</t>
        </is>
      </c>
      <c r="G51" s="71" t="inlineStr">
        <is>
          <t>0</t>
        </is>
      </c>
      <c r="H51" s="71" t="inlineStr">
        <is>
          <t>0.5</t>
        </is>
      </c>
      <c r="I51" s="71" t="inlineStr">
        <is>
          <t>1</t>
        </is>
      </c>
      <c r="J51" s="72" t="inlineStr">
        <is>
          <t>Row Totals</t>
        </is>
      </c>
      <c r="K51" s="19" t="n"/>
      <c r="L51" s="58" t="inlineStr">
        <is>
          <t>Metric</t>
        </is>
      </c>
      <c r="M51" s="58" t="inlineStr">
        <is>
          <t>Value</t>
        </is>
      </c>
      <c r="N51" s="58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'GPT-5 Generation'!C52</f>
        <v/>
      </c>
      <c r="D52" s="5">
        <f>'Claude Sonnet 4.5 Gen'!C52</f>
        <v/>
      </c>
      <c r="E52" s="52" t="n"/>
      <c r="F52" s="59" t="n">
        <v>0</v>
      </c>
      <c r="G52" s="60">
        <f>COUNTIFS($A$2:$A$153,$F$51,$C$2:$C$153,$F52,$D$2:$D$153,G$51)</f>
        <v/>
      </c>
      <c r="H52" s="61">
        <f>COUNTIFS($A$2:$A$153,$F$51,$C$2:$C$153,$F52,$D$2:$D$153,H$51)</f>
        <v/>
      </c>
      <c r="I52" s="62">
        <f>COUNTIFS($A$2:$A$109,$F$51,$C$2:$C$109,$F52,$D$2:$D$109,I$51)+MAX(D115-C115,0)</f>
        <v/>
      </c>
      <c r="J52" s="19">
        <f>SUM(G52:I52)</f>
        <v/>
      </c>
      <c r="K52" s="19" t="n"/>
      <c r="L52" s="63" t="inlineStr">
        <is>
          <t>Observed Agreement (Po)</t>
        </is>
      </c>
      <c r="M52" s="60">
        <f>(G52+H53+I54)/COUNTIF($A$2:$A$163,F51)</f>
        <v/>
      </c>
      <c r="N52" s="62" t="inlineStr">
        <is>
          <t>This sums the diagonal of your matrix divided by total rows.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'GPT-5 Generation'!C53</f>
        <v/>
      </c>
      <c r="D53" s="5">
        <f>'Claude Sonnet 4.5 Gen'!C53</f>
        <v/>
      </c>
      <c r="E53" s="52" t="n"/>
      <c r="F53" s="59" t="n">
        <v>0.5</v>
      </c>
      <c r="G53" s="64">
        <f>COUNTIFS($A$2:$A$153,$F$51,$C$2:$C$153,$F53,$D$2:$D$153,G$51)</f>
        <v/>
      </c>
      <c r="H53" s="19">
        <f>COUNTIFS($A$2:$A$153,$F$51,$C$2:$C$153,$F53,$D$2:$D$153,H$51)</f>
        <v/>
      </c>
      <c r="I53" s="65">
        <f>COUNTIFS($A$2:$A$153,$F$51,$C$2:$C$153,$F53,$D$2:$D$153,I$51)</f>
        <v/>
      </c>
      <c r="J53" s="19">
        <f>SUM(G53:I53)</f>
        <v/>
      </c>
      <c r="K53" s="19" t="n"/>
      <c r="L53" s="63" t="inlineStr">
        <is>
          <t>Expected Agreement (Pe)</t>
        </is>
      </c>
      <c r="M53" s="64">
        <f t="array" ref="M53">SUMPRODUCT(J52:J54/COUNTIF($A$2:$A$163,F51), TRANSPOSE(G55:I55)/COUNTIF($A$2:$A$163,F51))</f>
        <v/>
      </c>
      <c r="N53" s="65" t="inlineStr">
        <is>
          <t>This computes the sum of row proportion times column proportion.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'GPT-5 Generation'!C54</f>
        <v/>
      </c>
      <c r="D54" s="5">
        <f>'Claude Sonnet 4.5 Gen'!C54</f>
        <v/>
      </c>
      <c r="E54" s="52" t="n"/>
      <c r="F54" s="59" t="n">
        <v>1</v>
      </c>
      <c r="G54" s="66">
        <f>COUNTIFS($A$2:$A$109,$F$51,$C$2:$C$109,$F54,$D$2:$D$109,G$51) + MAX(C115-D115,0)</f>
        <v/>
      </c>
      <c r="H54" s="67">
        <f>COUNTIFS($A$2:$A$153,$F$51,$C$2:$C$153,$F54,$D$2:$D$153,H$51)</f>
        <v/>
      </c>
      <c r="I54" s="68">
        <f>COUNTIFS($A$2:$A$109,$F$51,$C$2:$C$109,$F54,$D$2:$D$109,I$51)+MIN(C115,D115)</f>
        <v/>
      </c>
      <c r="J54" s="19">
        <f>SUM(G54:I54)</f>
        <v/>
      </c>
      <c r="K54" s="19" t="n"/>
      <c r="L54" s="63" t="inlineStr">
        <is>
          <t>Cohen's Kappa</t>
        </is>
      </c>
      <c r="M54" s="66">
        <f>(M52-M53)/(1-M53)</f>
        <v/>
      </c>
      <c r="N54" s="68" t="inlineStr">
        <is>
          <t>(Po - Pe) / (1 - Pe)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'GPT-5 Generation'!C55</f>
        <v/>
      </c>
      <c r="D55" s="5">
        <f>'Claude Sonnet 4.5 Gen'!C55</f>
        <v/>
      </c>
      <c r="E55" s="52" t="n"/>
      <c r="F55" s="69" t="inlineStr">
        <is>
          <t>Column Totals</t>
        </is>
      </c>
      <c r="G55" s="19">
        <f>SUM(G52:G54)</f>
        <v/>
      </c>
      <c r="H55" s="19">
        <f>SUM(H52:H54)</f>
        <v/>
      </c>
      <c r="I55" s="19">
        <f>SUM(I52:I54)</f>
        <v/>
      </c>
      <c r="J55" s="19" t="n"/>
      <c r="L55" s="19" t="n"/>
      <c r="M55" s="70" t="n"/>
    </row>
    <row r="56" ht="15.75" customHeight="1" s="101">
      <c r="A56" s="5">
        <f>Wumple!A56</f>
        <v/>
      </c>
      <c r="B56" s="5">
        <f>Wumple!B56</f>
        <v/>
      </c>
      <c r="C56" s="5">
        <f>'GPT-5 Generation'!C56</f>
        <v/>
      </c>
      <c r="D56" s="5">
        <f>'Claude Sonnet 4.5 Gen'!C56</f>
        <v/>
      </c>
      <c r="E56" s="52" t="n"/>
    </row>
    <row r="57" ht="15.75" customHeight="1" s="101">
      <c r="A57" s="5">
        <f>Wumple!A57</f>
        <v/>
      </c>
      <c r="B57" s="5">
        <f>Wumple!B57</f>
        <v/>
      </c>
      <c r="C57" s="5">
        <f>'GPT-5 Generation'!C57</f>
        <v/>
      </c>
      <c r="D57" s="5">
        <f>'Claude Sonnet 4.5 Gen'!C57</f>
        <v/>
      </c>
      <c r="E57" s="52" t="n"/>
    </row>
    <row r="58" ht="15.75" customHeight="1" s="101">
      <c r="A58" s="5">
        <f>Wumple!A58</f>
        <v/>
      </c>
      <c r="B58" s="5">
        <f>Wumple!B58</f>
        <v/>
      </c>
      <c r="C58" s="5">
        <f>'GPT-5 Generation'!C58</f>
        <v/>
      </c>
      <c r="D58" s="5">
        <f>'Claude Sonnet 4.5 Gen'!C58</f>
        <v/>
      </c>
      <c r="E58" s="52" t="n"/>
    </row>
    <row r="59" ht="15.75" customHeight="1" s="101">
      <c r="A59" s="5">
        <f>Wumple!A59</f>
        <v/>
      </c>
      <c r="B59" s="5">
        <f>Wumple!B59</f>
        <v/>
      </c>
      <c r="C59" s="5">
        <f>'GPT-5 Generation'!C59</f>
        <v/>
      </c>
      <c r="D59" s="5">
        <f>'Claude Sonnet 4.5 Gen'!C59</f>
        <v/>
      </c>
      <c r="E59" s="52" t="n"/>
    </row>
    <row r="60" ht="15.75" customHeight="1" s="101">
      <c r="A60" s="5">
        <f>Wumple!A60</f>
        <v/>
      </c>
      <c r="B60" s="5">
        <f>Wumple!B60</f>
        <v/>
      </c>
      <c r="C60" s="5">
        <f>'GPT-5 Generation'!C60</f>
        <v/>
      </c>
      <c r="D60" s="5">
        <f>'Claude Sonnet 4.5 Gen'!C60</f>
        <v/>
      </c>
      <c r="E60" s="52" t="n"/>
    </row>
    <row r="61" ht="15.75" customHeight="1" s="101">
      <c r="A61" s="5">
        <f>Wumple!A61</f>
        <v/>
      </c>
      <c r="B61" s="5">
        <f>Wumple!B61</f>
        <v/>
      </c>
      <c r="C61" s="5">
        <f>'GPT-5 Generation'!C61</f>
        <v/>
      </c>
      <c r="D61" s="5">
        <f>'Claude Sonnet 4.5 Gen'!C61</f>
        <v/>
      </c>
      <c r="E61" s="52" t="n"/>
    </row>
    <row r="62" ht="15.75" customHeight="1" s="101">
      <c r="A62" s="5">
        <f>Wumple!A62</f>
        <v/>
      </c>
      <c r="B62" s="5">
        <f>Wumple!B62</f>
        <v/>
      </c>
      <c r="C62" s="5">
        <f>'GPT-5 Generation'!C62</f>
        <v/>
      </c>
      <c r="D62" s="5">
        <f>'Claude Sonnet 4.5 Gen'!C62</f>
        <v/>
      </c>
      <c r="E62" s="52" t="n"/>
    </row>
    <row r="63" ht="15.75" customHeight="1" s="101">
      <c r="A63" s="5">
        <f>Wumple!A63</f>
        <v/>
      </c>
      <c r="B63" s="5">
        <f>Wumple!B63</f>
        <v/>
      </c>
      <c r="C63" s="5">
        <f>'GPT-5 Generation'!C63</f>
        <v/>
      </c>
      <c r="D63" s="5">
        <f>'Claude Sonnet 4.5 Gen'!C63</f>
        <v/>
      </c>
      <c r="E63" s="52" t="n"/>
    </row>
    <row r="64" ht="15.75" customHeight="1" s="101">
      <c r="A64" s="5">
        <f>Wumple!A64</f>
        <v/>
      </c>
      <c r="B64" s="5">
        <f>Wumple!B64</f>
        <v/>
      </c>
      <c r="C64" s="5">
        <f>'GPT-5 Generation'!C64</f>
        <v/>
      </c>
      <c r="D64" s="5">
        <f>'Claude Sonnet 4.5 Gen'!C64</f>
        <v/>
      </c>
      <c r="E64" s="52" t="n"/>
    </row>
    <row r="65" ht="15.75" customHeight="1" s="101">
      <c r="A65" s="5">
        <f>Wumple!A65</f>
        <v/>
      </c>
      <c r="B65" s="5">
        <f>Wumple!B65</f>
        <v/>
      </c>
      <c r="C65" s="5">
        <f>'GPT-5 Generation'!C65</f>
        <v/>
      </c>
      <c r="D65" s="5">
        <f>'Claude Sonnet 4.5 Gen'!C65</f>
        <v/>
      </c>
      <c r="E65" s="52" t="n"/>
    </row>
    <row r="66" ht="15.75" customHeight="1" s="101">
      <c r="A66" s="5">
        <f>Wumple!A66</f>
        <v/>
      </c>
      <c r="B66" s="5">
        <f>Wumple!B66</f>
        <v/>
      </c>
      <c r="C66" s="5">
        <f>'GPT-5 Generation'!C66</f>
        <v/>
      </c>
      <c r="D66" s="5">
        <f>'Claude Sonnet 4.5 Gen'!C66</f>
        <v/>
      </c>
      <c r="E66" s="52" t="n"/>
    </row>
    <row r="67" ht="15.75" customHeight="1" s="101">
      <c r="A67" s="5">
        <f>Wumple!A67</f>
        <v/>
      </c>
      <c r="B67" s="5">
        <f>Wumple!B67</f>
        <v/>
      </c>
      <c r="C67" s="5">
        <f>'GPT-5 Generation'!C67</f>
        <v/>
      </c>
      <c r="D67" s="5">
        <f>'Claude Sonnet 4.5 Gen'!C67</f>
        <v/>
      </c>
      <c r="E67" s="52" t="n"/>
    </row>
    <row r="68" ht="15.75" customHeight="1" s="101">
      <c r="A68" s="5">
        <f>Wumple!A68</f>
        <v/>
      </c>
      <c r="B68" s="5">
        <f>Wumple!B68</f>
        <v/>
      </c>
      <c r="C68" s="5">
        <f>'GPT-5 Generation'!C68</f>
        <v/>
      </c>
      <c r="D68" s="5">
        <f>'Claude Sonnet 4.5 Gen'!C68</f>
        <v/>
      </c>
      <c r="E68" s="52" t="n"/>
    </row>
    <row r="69" ht="15.75" customHeight="1" s="101">
      <c r="A69" s="5">
        <f>Wumple!A69</f>
        <v/>
      </c>
      <c r="B69" s="5">
        <f>Wumple!B69</f>
        <v/>
      </c>
      <c r="C69" s="5">
        <f>'GPT-5 Generation'!C69</f>
        <v/>
      </c>
      <c r="D69" s="5">
        <f>'Claude Sonnet 4.5 Gen'!C69</f>
        <v/>
      </c>
      <c r="E69" s="52" t="n"/>
    </row>
    <row r="70" ht="15.75" customHeight="1" s="101">
      <c r="A70" s="5">
        <f>Wumple!A70</f>
        <v/>
      </c>
      <c r="B70" s="5">
        <f>Wumple!B70</f>
        <v/>
      </c>
      <c r="C70" s="5">
        <f>'GPT-5 Generation'!C70</f>
        <v/>
      </c>
      <c r="D70" s="5">
        <f>'Claude Sonnet 4.5 Gen'!C70</f>
        <v/>
      </c>
      <c r="E70" s="52" t="n"/>
    </row>
    <row r="71" ht="15.75" customHeight="1" s="101">
      <c r="A71" s="5">
        <f>Wumple!A71</f>
        <v/>
      </c>
      <c r="B71" s="5">
        <f>Wumple!B71</f>
        <v/>
      </c>
      <c r="C71" s="5">
        <f>'GPT-5 Generation'!C71</f>
        <v/>
      </c>
      <c r="D71" s="5">
        <f>'Claude Sonnet 4.5 Gen'!C71</f>
        <v/>
      </c>
      <c r="E71" s="52" t="n"/>
    </row>
    <row r="72" ht="15.75" customHeight="1" s="101">
      <c r="A72" s="5">
        <f>Wumple!A72</f>
        <v/>
      </c>
      <c r="B72" s="5">
        <f>Wumple!B72</f>
        <v/>
      </c>
      <c r="C72" s="5">
        <f>'GPT-5 Generation'!C72</f>
        <v/>
      </c>
      <c r="D72" s="5">
        <f>'Claude Sonnet 4.5 Gen'!C72</f>
        <v/>
      </c>
      <c r="E72" s="52" t="n"/>
    </row>
    <row r="73" ht="15.75" customHeight="1" s="101">
      <c r="A73" s="5">
        <f>Wumple!A73</f>
        <v/>
      </c>
      <c r="B73" s="5">
        <f>Wumple!B73</f>
        <v/>
      </c>
      <c r="C73" s="5">
        <f>'GPT-5 Generation'!C73</f>
        <v/>
      </c>
      <c r="D73" s="5">
        <f>'Claude Sonnet 4.5 Gen'!C73</f>
        <v/>
      </c>
      <c r="E73" s="52" t="n"/>
    </row>
    <row r="74" ht="15.75" customHeight="1" s="101">
      <c r="A74" s="5">
        <f>Wumple!A74</f>
        <v/>
      </c>
      <c r="B74" s="5">
        <f>Wumple!B74</f>
        <v/>
      </c>
      <c r="C74" s="5">
        <f>'GPT-5 Generation'!C74</f>
        <v/>
      </c>
      <c r="D74" s="5">
        <f>'Claude Sonnet 4.5 Gen'!C74</f>
        <v/>
      </c>
      <c r="E74" s="52" t="n"/>
    </row>
    <row r="75" ht="15.75" customHeight="1" s="101">
      <c r="A75" s="5">
        <f>Wumple!A75</f>
        <v/>
      </c>
      <c r="B75" s="5">
        <f>Wumple!B75</f>
        <v/>
      </c>
      <c r="C75" s="5">
        <f>'GPT-5 Generation'!C75</f>
        <v/>
      </c>
      <c r="D75" s="5">
        <f>'Claude Sonnet 4.5 Gen'!C75</f>
        <v/>
      </c>
      <c r="E75" s="52" t="n"/>
    </row>
    <row r="76" ht="15.75" customHeight="1" s="101">
      <c r="A76" s="5">
        <f>Wumple!A76</f>
        <v/>
      </c>
      <c r="B76" s="5">
        <f>Wumple!B76</f>
        <v/>
      </c>
      <c r="C76" s="5">
        <f>'GPT-5 Generation'!C76</f>
        <v/>
      </c>
      <c r="D76" s="5">
        <f>'Claude Sonnet 4.5 Gen'!C76</f>
        <v/>
      </c>
      <c r="E76" s="52" t="n"/>
    </row>
    <row r="77" ht="15.75" customHeight="1" s="101">
      <c r="A77" s="5">
        <f>Wumple!A77</f>
        <v/>
      </c>
      <c r="B77" s="5">
        <f>Wumple!B77</f>
        <v/>
      </c>
      <c r="C77" s="5">
        <f>'GPT-5 Generation'!C77</f>
        <v/>
      </c>
      <c r="D77" s="5">
        <f>'Claude Sonnet 4.5 Gen'!C77</f>
        <v/>
      </c>
      <c r="E77" s="52" t="n"/>
    </row>
    <row r="78" ht="15.75" customHeight="1" s="101">
      <c r="A78" s="5">
        <f>Wumple!A78</f>
        <v/>
      </c>
      <c r="B78" s="5">
        <f>Wumple!B78</f>
        <v/>
      </c>
      <c r="C78" s="5">
        <f>'GPT-5 Generation'!C78</f>
        <v/>
      </c>
      <c r="D78" s="5">
        <f>'Claude Sonnet 4.5 Gen'!C78</f>
        <v/>
      </c>
      <c r="E78" s="52" t="n"/>
    </row>
    <row r="79" ht="15.75" customHeight="1" s="101">
      <c r="A79" s="5">
        <f>Wumple!A79</f>
        <v/>
      </c>
      <c r="B79" s="5">
        <f>Wumple!B79</f>
        <v/>
      </c>
      <c r="C79" s="5">
        <f>'GPT-5 Generation'!C79</f>
        <v/>
      </c>
      <c r="D79" s="5">
        <f>'Claude Sonnet 4.5 Gen'!C79</f>
        <v/>
      </c>
      <c r="E79" s="52" t="n"/>
    </row>
    <row r="80" ht="15.75" customHeight="1" s="101">
      <c r="A80" s="5">
        <f>Wumple!A80</f>
        <v/>
      </c>
      <c r="B80" s="5">
        <f>Wumple!B80</f>
        <v/>
      </c>
      <c r="C80" s="5">
        <f>'GPT-5 Generation'!C80</f>
        <v/>
      </c>
      <c r="D80" s="5">
        <f>'Claude Sonnet 4.5 Gen'!C80</f>
        <v/>
      </c>
      <c r="E80" s="52" t="n"/>
    </row>
    <row r="81" ht="15.75" customHeight="1" s="101">
      <c r="A81" s="5">
        <f>Wumple!A81</f>
        <v/>
      </c>
      <c r="B81" s="5">
        <f>Wumple!B81</f>
        <v/>
      </c>
      <c r="C81" s="5">
        <f>'GPT-5 Generation'!C81</f>
        <v/>
      </c>
      <c r="D81" s="5">
        <f>'Claude Sonnet 4.5 Gen'!C81</f>
        <v/>
      </c>
      <c r="E81" s="52" t="n"/>
    </row>
    <row r="82" ht="15.75" customHeight="1" s="101">
      <c r="A82" s="5">
        <f>Wumple!A82</f>
        <v/>
      </c>
      <c r="B82" s="5">
        <f>Wumple!B82</f>
        <v/>
      </c>
      <c r="C82" s="5">
        <f>'GPT-5 Generation'!C82</f>
        <v/>
      </c>
      <c r="D82" s="5">
        <f>'Claude Sonnet 4.5 Gen'!C82</f>
        <v/>
      </c>
      <c r="E82" s="52" t="n"/>
    </row>
    <row r="83" ht="15.75" customHeight="1" s="101">
      <c r="A83" s="5">
        <f>Wumple!A83</f>
        <v/>
      </c>
      <c r="B83" s="5">
        <f>Wumple!B83</f>
        <v/>
      </c>
      <c r="C83" s="5">
        <f>'GPT-5 Generation'!C83</f>
        <v/>
      </c>
      <c r="D83" s="5">
        <f>'Claude Sonnet 4.5 Gen'!C83</f>
        <v/>
      </c>
      <c r="E83" s="52" t="n"/>
    </row>
    <row r="84" ht="15.75" customHeight="1" s="101">
      <c r="A84" s="5">
        <f>Wumple!A84</f>
        <v/>
      </c>
      <c r="B84" s="5">
        <f>Wumple!B84</f>
        <v/>
      </c>
      <c r="C84" s="5">
        <f>'GPT-5 Generation'!C84</f>
        <v/>
      </c>
      <c r="D84" s="5">
        <f>'Claude Sonnet 4.5 Gen'!C84</f>
        <v/>
      </c>
      <c r="E84" s="52" t="n"/>
    </row>
    <row r="85" ht="15.75" customHeight="1" s="101">
      <c r="A85" s="5">
        <f>Wumple!A85</f>
        <v/>
      </c>
      <c r="B85" s="5">
        <f>Wumple!B85</f>
        <v/>
      </c>
      <c r="C85" s="5">
        <f>'GPT-5 Generation'!C85</f>
        <v/>
      </c>
      <c r="D85" s="5">
        <f>'Claude Sonnet 4.5 Gen'!C85</f>
        <v/>
      </c>
      <c r="E85" s="52" t="n"/>
    </row>
    <row r="86" ht="15.75" customHeight="1" s="101">
      <c r="A86" s="5">
        <f>Wumple!A86</f>
        <v/>
      </c>
      <c r="B86" s="5">
        <f>Wumple!B86</f>
        <v/>
      </c>
      <c r="C86" s="5">
        <f>'GPT-5 Generation'!C86</f>
        <v/>
      </c>
      <c r="D86" s="5">
        <f>'Claude Sonnet 4.5 Gen'!C86</f>
        <v/>
      </c>
      <c r="E86" s="52" t="n"/>
    </row>
    <row r="87" ht="15.75" customHeight="1" s="101">
      <c r="A87" s="5">
        <f>Wumple!A87</f>
        <v/>
      </c>
      <c r="B87" s="5">
        <f>Wumple!B87</f>
        <v/>
      </c>
      <c r="C87" s="5">
        <f>'GPT-5 Generation'!C87</f>
        <v/>
      </c>
      <c r="D87" s="5">
        <f>'Claude Sonnet 4.5 Gen'!C87</f>
        <v/>
      </c>
      <c r="E87" s="52" t="n"/>
    </row>
    <row r="88" ht="15.75" customHeight="1" s="101">
      <c r="A88" s="5">
        <f>Wumple!A88</f>
        <v/>
      </c>
      <c r="B88" s="5">
        <f>Wumple!B88</f>
        <v/>
      </c>
      <c r="C88" s="5">
        <f>'GPT-5 Generation'!C88</f>
        <v/>
      </c>
      <c r="D88" s="5">
        <f>'Claude Sonnet 4.5 Gen'!C88</f>
        <v/>
      </c>
      <c r="E88" s="52" t="n"/>
    </row>
    <row r="89" ht="15.75" customHeight="1" s="101">
      <c r="A89" s="5">
        <f>Wumple!A89</f>
        <v/>
      </c>
      <c r="B89" s="5">
        <f>Wumple!B89</f>
        <v/>
      </c>
      <c r="C89" s="5">
        <f>'GPT-5 Generation'!C89</f>
        <v/>
      </c>
      <c r="D89" s="5">
        <f>'Claude Sonnet 4.5 Gen'!C89</f>
        <v/>
      </c>
      <c r="E89" s="52" t="n"/>
    </row>
    <row r="90" ht="15.75" customHeight="1" s="101">
      <c r="A90" s="5">
        <f>Wumple!A90</f>
        <v/>
      </c>
      <c r="B90" s="5">
        <f>Wumple!B90</f>
        <v/>
      </c>
      <c r="C90" s="5">
        <f>'GPT-5 Generation'!C90</f>
        <v/>
      </c>
      <c r="D90" s="5">
        <f>'Claude Sonnet 4.5 Gen'!C90</f>
        <v/>
      </c>
      <c r="E90" s="52" t="n"/>
    </row>
    <row r="91" ht="15.75" customHeight="1" s="101">
      <c r="A91" s="5">
        <f>Wumple!A91</f>
        <v/>
      </c>
      <c r="B91" s="5">
        <f>Wumple!B91</f>
        <v/>
      </c>
      <c r="C91" s="5">
        <f>'GPT-5 Generation'!C91</f>
        <v/>
      </c>
      <c r="D91" s="5">
        <f>'Claude Sonnet 4.5 Gen'!C91</f>
        <v/>
      </c>
      <c r="E91" s="52" t="n"/>
    </row>
    <row r="92" ht="15.75" customHeight="1" s="101">
      <c r="A92" s="5">
        <f>Wumple!A92</f>
        <v/>
      </c>
      <c r="B92" s="5">
        <f>Wumple!B92</f>
        <v/>
      </c>
      <c r="C92" s="5">
        <f>'GPT-5 Generation'!C92</f>
        <v/>
      </c>
      <c r="D92" s="5">
        <f>'Claude Sonnet 4.5 Gen'!C92</f>
        <v/>
      </c>
      <c r="E92" s="52" t="n"/>
    </row>
    <row r="93" ht="15.75" customHeight="1" s="101">
      <c r="A93" s="5">
        <f>Wumple!A93</f>
        <v/>
      </c>
      <c r="B93" s="5">
        <f>Wumple!B93</f>
        <v/>
      </c>
      <c r="C93" s="5">
        <f>'GPT-5 Generation'!C93</f>
        <v/>
      </c>
      <c r="D93" s="5">
        <f>'Claude Sonnet 4.5 Gen'!C93</f>
        <v/>
      </c>
      <c r="E93" s="52" t="n"/>
    </row>
    <row r="94" ht="15.75" customHeight="1" s="101">
      <c r="A94" s="5">
        <f>Wumple!A94</f>
        <v/>
      </c>
      <c r="B94" s="5">
        <f>Wumple!B94</f>
        <v/>
      </c>
      <c r="C94" s="5">
        <f>'GPT-5 Generation'!C94</f>
        <v/>
      </c>
      <c r="D94" s="5">
        <f>'Claude Sonnet 4.5 Gen'!C94</f>
        <v/>
      </c>
      <c r="E94" s="52" t="n"/>
    </row>
    <row r="95" ht="15.75" customHeight="1" s="101">
      <c r="A95" s="5">
        <f>Wumple!A95</f>
        <v/>
      </c>
      <c r="B95" s="5">
        <f>Wumple!B95</f>
        <v/>
      </c>
      <c r="C95" s="5">
        <f>'GPT-5 Generation'!C95</f>
        <v/>
      </c>
      <c r="D95" s="5">
        <f>'Claude Sonnet 4.5 Gen'!C95</f>
        <v/>
      </c>
      <c r="E95" s="52" t="n"/>
    </row>
    <row r="96" ht="15.75" customHeight="1" s="101">
      <c r="A96" s="5">
        <f>Wumple!A96</f>
        <v/>
      </c>
      <c r="B96" s="5">
        <f>Wumple!B96</f>
        <v/>
      </c>
      <c r="C96" s="5">
        <f>'GPT-5 Generation'!C96</f>
        <v/>
      </c>
      <c r="D96" s="5">
        <f>'Claude Sonnet 4.5 Gen'!C96</f>
        <v/>
      </c>
      <c r="E96" s="52" t="n"/>
    </row>
    <row r="97" ht="15.75" customHeight="1" s="101">
      <c r="A97" s="5">
        <f>Wumple!A97</f>
        <v/>
      </c>
      <c r="B97" s="5">
        <f>Wumple!B97</f>
        <v/>
      </c>
      <c r="C97" s="5">
        <f>'GPT-5 Generation'!C97</f>
        <v/>
      </c>
      <c r="D97" s="5">
        <f>'Claude Sonnet 4.5 Gen'!C97</f>
        <v/>
      </c>
      <c r="E97" s="52" t="n"/>
    </row>
    <row r="98" ht="15.75" customHeight="1" s="101">
      <c r="A98" s="5">
        <f>Wumple!A98</f>
        <v/>
      </c>
      <c r="B98" s="5">
        <f>Wumple!B98</f>
        <v/>
      </c>
      <c r="C98" s="5">
        <f>'GPT-5 Generation'!C98</f>
        <v/>
      </c>
      <c r="D98" s="5">
        <f>'Claude Sonnet 4.5 Gen'!C98</f>
        <v/>
      </c>
      <c r="E98" s="52" t="n"/>
    </row>
    <row r="99" ht="15.75" customHeight="1" s="101">
      <c r="A99" s="5">
        <f>Wumple!A99</f>
        <v/>
      </c>
      <c r="B99" s="5">
        <f>Wumple!B99</f>
        <v/>
      </c>
      <c r="C99" s="5">
        <f>'GPT-5 Generation'!C99</f>
        <v/>
      </c>
      <c r="D99" s="5">
        <f>'Claude Sonnet 4.5 Gen'!C99</f>
        <v/>
      </c>
      <c r="E99" s="52" t="n"/>
    </row>
    <row r="100" ht="15.75" customHeight="1" s="101">
      <c r="A100" s="5">
        <f>Wumple!A100</f>
        <v/>
      </c>
      <c r="B100" s="5">
        <f>Wumple!B100</f>
        <v/>
      </c>
      <c r="C100" s="5">
        <f>'GPT-5 Generation'!C100</f>
        <v/>
      </c>
      <c r="D100" s="5">
        <f>'Claude Sonnet 4.5 Gen'!C100</f>
        <v/>
      </c>
      <c r="E100" s="52" t="n"/>
    </row>
    <row r="101" ht="15.75" customHeight="1" s="101">
      <c r="A101" s="5">
        <f>Wumple!A101</f>
        <v/>
      </c>
      <c r="B101" s="5">
        <f>Wumple!B101</f>
        <v/>
      </c>
      <c r="C101" s="5">
        <f>'GPT-5 Generation'!C101</f>
        <v/>
      </c>
      <c r="D101" s="5">
        <f>'Claude Sonnet 4.5 Gen'!C101</f>
        <v/>
      </c>
      <c r="E101" s="52" t="n"/>
    </row>
    <row r="102" ht="15.75" customHeight="1" s="101">
      <c r="A102" s="5">
        <f>Wumple!A102</f>
        <v/>
      </c>
      <c r="B102" s="5">
        <f>Wumple!B102</f>
        <v/>
      </c>
      <c r="C102" s="5">
        <f>'GPT-5 Generation'!C102</f>
        <v/>
      </c>
      <c r="D102" s="5">
        <f>'Claude Sonnet 4.5 Gen'!C102</f>
        <v/>
      </c>
      <c r="E102" s="52" t="n"/>
    </row>
    <row r="103" ht="15.75" customHeight="1" s="101">
      <c r="A103" s="5">
        <f>Wumple!A103</f>
        <v/>
      </c>
      <c r="B103" s="5">
        <f>Wumple!B103</f>
        <v/>
      </c>
      <c r="C103" s="5">
        <f>'GPT-5 Generation'!C103</f>
        <v/>
      </c>
      <c r="D103" s="5">
        <f>'Claude Sonnet 4.5 Gen'!C103</f>
        <v/>
      </c>
      <c r="E103" s="52" t="n"/>
    </row>
    <row r="104" ht="15.75" customHeight="1" s="101">
      <c r="A104" s="5">
        <f>Wumple!A104</f>
        <v/>
      </c>
      <c r="B104" s="5">
        <f>Wumple!B104</f>
        <v/>
      </c>
      <c r="C104" s="5">
        <f>'GPT-5 Generation'!C104</f>
        <v/>
      </c>
      <c r="D104" s="5">
        <f>'Claude Sonnet 4.5 Gen'!C104</f>
        <v/>
      </c>
      <c r="E104" s="52" t="n"/>
    </row>
    <row r="105" ht="15.75" customHeight="1" s="101">
      <c r="A105" s="5">
        <f>Wumple!A105</f>
        <v/>
      </c>
      <c r="B105" s="5">
        <f>Wumple!B105</f>
        <v/>
      </c>
      <c r="C105" s="5">
        <f>'GPT-5 Generation'!C105</f>
        <v/>
      </c>
      <c r="D105" s="5">
        <f>'Claude Sonnet 4.5 Gen'!C105</f>
        <v/>
      </c>
      <c r="E105" s="52" t="n"/>
    </row>
    <row r="106" ht="15.75" customHeight="1" s="101">
      <c r="A106" s="5">
        <f>Wumple!A106</f>
        <v/>
      </c>
      <c r="B106" s="5">
        <f>Wumple!B106</f>
        <v/>
      </c>
      <c r="C106" s="5">
        <f>'GPT-5 Generation'!C106</f>
        <v/>
      </c>
      <c r="D106" s="5">
        <f>'Claude Sonnet 4.5 Gen'!C106</f>
        <v/>
      </c>
      <c r="E106" s="52" t="n"/>
    </row>
    <row r="107" ht="15.75" customHeight="1" s="101">
      <c r="A107" s="5">
        <f>Wumple!A107</f>
        <v/>
      </c>
      <c r="B107" s="5">
        <f>Wumple!B107</f>
        <v/>
      </c>
      <c r="C107" s="5">
        <f>'GPT-5 Generation'!C107</f>
        <v/>
      </c>
      <c r="D107" s="5">
        <f>'Claude Sonnet 4.5 Gen'!C107</f>
        <v/>
      </c>
      <c r="E107" s="52" t="n"/>
    </row>
    <row r="108" ht="15.75" customHeight="1" s="101">
      <c r="A108" s="5">
        <f>Wumple!A108</f>
        <v/>
      </c>
      <c r="B108" s="5">
        <f>Wumple!B108</f>
        <v/>
      </c>
      <c r="C108" s="5">
        <f>'GPT-5 Generation'!C108</f>
        <v/>
      </c>
      <c r="D108" s="5">
        <f>'Claude Sonnet 4.5 Gen'!C108</f>
        <v/>
      </c>
      <c r="E108" s="52" t="n"/>
    </row>
    <row r="109" ht="15.75" customHeight="1" s="101">
      <c r="A109" s="5">
        <f>Wumple!A109</f>
        <v/>
      </c>
      <c r="B109" s="5">
        <f>Wumple!B109</f>
        <v/>
      </c>
      <c r="C109" s="5">
        <f>'GPT-5 Generation'!C109</f>
        <v/>
      </c>
      <c r="D109" s="73">
        <f>'Claude Sonnet 4.5 Gen'!C109</f>
        <v/>
      </c>
      <c r="E109" s="52" t="n"/>
    </row>
    <row r="110" ht="15.75" customHeight="1" s="101">
      <c r="A110" s="74">
        <f>Wumple!A110</f>
        <v/>
      </c>
      <c r="B110" s="74">
        <f>Wumple!B110</f>
        <v/>
      </c>
      <c r="C110" s="75">
        <f>'GPT-5 Generation'!C110</f>
        <v/>
      </c>
      <c r="D110" s="27">
        <f>'Claude Sonnet 4.5 Gen'!C110</f>
        <v/>
      </c>
      <c r="E110" s="52" t="n"/>
    </row>
    <row r="111" ht="15.75" customHeight="1" s="101">
      <c r="A111" s="5">
        <f>Wumple!A111</f>
        <v/>
      </c>
      <c r="B111" s="5">
        <f>Wumple!B111</f>
        <v/>
      </c>
      <c r="C111" s="76">
        <f>'GPT-5 Generation'!C111</f>
        <v/>
      </c>
      <c r="D111" s="27">
        <f>'Claude Sonnet 4.5 Gen'!C111</f>
        <v/>
      </c>
      <c r="E111" s="52" t="n"/>
    </row>
    <row r="112" ht="15.75" customHeight="1" s="101">
      <c r="A112" s="5">
        <f>Wumple!A112</f>
        <v/>
      </c>
      <c r="B112" s="5">
        <f>Wumple!B112</f>
        <v/>
      </c>
      <c r="C112" s="76">
        <f>'GPT-5 Generation'!C112</f>
        <v/>
      </c>
      <c r="D112" s="27">
        <f>'Claude Sonnet 4.5 Gen'!C112</f>
        <v/>
      </c>
      <c r="E112" s="52" t="n"/>
    </row>
    <row r="113" ht="15.75" customHeight="1" s="101">
      <c r="A113" s="5">
        <f>Wumple!A113</f>
        <v/>
      </c>
      <c r="B113" s="5">
        <f>Wumple!B113</f>
        <v/>
      </c>
      <c r="C113" s="76">
        <f>'GPT-5 Generation'!C113</f>
        <v/>
      </c>
      <c r="D113" s="27">
        <f>'Claude Sonnet 4.5 Gen'!C113</f>
        <v/>
      </c>
      <c r="E113" s="52" t="n"/>
    </row>
    <row r="114" ht="15.75" customHeight="1" s="101">
      <c r="A114" s="5">
        <f>Wumple!A114</f>
        <v/>
      </c>
      <c r="B114" s="5">
        <f>Wumple!B114</f>
        <v/>
      </c>
      <c r="C114" s="76">
        <f>'GPT-5 Generation'!C114</f>
        <v/>
      </c>
      <c r="D114" s="27">
        <f>'Claude Sonnet 4.5 Gen'!C114</f>
        <v/>
      </c>
      <c r="E114" s="52" t="n"/>
    </row>
    <row r="115" ht="15.75" customHeight="1" s="101">
      <c r="A115" s="5">
        <f>Wumple!A115</f>
        <v/>
      </c>
      <c r="B115" s="5">
        <f>Wumple!B115</f>
        <v/>
      </c>
      <c r="C115" s="76">
        <f>'GPT-5 Generation'!C115</f>
        <v/>
      </c>
      <c r="D115" s="27">
        <f>'Claude Sonnet 4.5 Gen'!C115</f>
        <v/>
      </c>
      <c r="E115" s="52" t="n"/>
    </row>
    <row r="116" ht="15.75" customHeight="1" s="101">
      <c r="A116" s="5">
        <f>Wumple!A116</f>
        <v/>
      </c>
      <c r="B116" s="5">
        <f>Wumple!B116</f>
        <v/>
      </c>
      <c r="C116" s="76">
        <f>'GPT-5 Generation'!C116</f>
        <v/>
      </c>
      <c r="D116" s="27">
        <f>'Claude Sonnet 4.5 Gen'!C116</f>
        <v/>
      </c>
      <c r="E116" s="52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13" customWidth="1" style="101" min="14" max="14"/>
    <col width="12.1640625" customWidth="1" style="101" min="15" max="15"/>
    <col width="15.5" customWidth="1" style="101" min="16" max="16"/>
    <col width="12.1640625" customWidth="1" style="101" min="17" max="17"/>
    <col width="36.33203125" customWidth="1" style="101" min="22" max="22"/>
    <col width="55.6640625" customWidth="1" style="101" min="24" max="24"/>
    <col width="36.33203125" customWidth="1" style="101" min="28" max="28"/>
    <col width="21.1640625" customWidth="1" style="101" min="29" max="29"/>
    <col width="56.6640625" customWidth="1" style="101" min="30" max="30"/>
  </cols>
  <sheetData>
    <row r="1" ht="15.75" customHeight="1" s="101">
      <c r="A1" s="78" t="inlineStr">
        <is>
          <t>Type</t>
        </is>
      </c>
      <c r="B1" s="79" t="inlineStr">
        <is>
          <t>Element</t>
        </is>
      </c>
      <c r="C1" s="51" t="inlineStr">
        <is>
          <t>GPT-5</t>
        </is>
      </c>
      <c r="D1" s="51" t="inlineStr">
        <is>
          <t>Claude Sonnet 4.5</t>
        </is>
      </c>
      <c r="E1" s="21" t="n"/>
      <c r="F1" s="109" t="inlineStr">
        <is>
          <t>Confusion Matrix</t>
        </is>
      </c>
      <c r="J1" s="21" t="n"/>
      <c r="K1" s="21" t="n"/>
      <c r="L1" s="109" t="inlineStr">
        <is>
          <t>Weight Matrix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</row>
    <row r="2" ht="15.75" customHeight="1" s="101">
      <c r="A2" s="5">
        <f>Wumple!A2</f>
        <v/>
      </c>
      <c r="B2" s="5">
        <f>Wumple!B2</f>
        <v/>
      </c>
      <c r="C2" s="5">
        <f>'GPT-5 Generation'!C2</f>
        <v/>
      </c>
      <c r="D2" s="5">
        <f>'Claude Sonnet 4.5 Gen'!C2</f>
        <v/>
      </c>
      <c r="E2" s="21" t="n"/>
      <c r="F2" s="80" t="inlineStr">
        <is>
          <t>Global</t>
        </is>
      </c>
      <c r="G2" s="81" t="inlineStr">
        <is>
          <t>0</t>
        </is>
      </c>
      <c r="H2" s="82" t="inlineStr">
        <is>
          <t>0.5</t>
        </is>
      </c>
      <c r="I2" s="83" t="inlineStr">
        <is>
          <t>1</t>
        </is>
      </c>
      <c r="J2" s="84" t="inlineStr">
        <is>
          <t>Row Totals</t>
        </is>
      </c>
      <c r="K2" s="21" t="n"/>
      <c r="L2" s="80" t="inlineStr">
        <is>
          <t>Global</t>
        </is>
      </c>
      <c r="M2" s="85" t="inlineStr">
        <is>
          <t>0</t>
        </is>
      </c>
      <c r="N2" s="85" t="inlineStr">
        <is>
          <t>0.5</t>
        </is>
      </c>
      <c r="O2" s="85" t="inlineStr">
        <is>
          <t>1</t>
        </is>
      </c>
      <c r="P2" s="21" t="n"/>
      <c r="Q2" s="80" t="inlineStr">
        <is>
          <t>Global</t>
        </is>
      </c>
      <c r="R2" s="85" t="inlineStr">
        <is>
          <t>0</t>
        </is>
      </c>
      <c r="S2" s="85" t="inlineStr">
        <is>
          <t>0.5</t>
        </is>
      </c>
      <c r="T2" s="85" t="inlineStr">
        <is>
          <t>1</t>
        </is>
      </c>
      <c r="U2" s="21" t="n"/>
      <c r="V2" s="58">
        <f>"Metrics" &amp; " " &amp; F2</f>
        <v/>
      </c>
      <c r="W2" s="86" t="inlineStr">
        <is>
          <t>Value</t>
        </is>
      </c>
      <c r="X2" s="86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'GPT-5 Generation'!C3</f>
        <v/>
      </c>
      <c r="D3" s="5">
        <f>'Claude Sonnet 4.5 Gen'!C3</f>
        <v/>
      </c>
      <c r="E3" s="21" t="n"/>
      <c r="F3" s="87" t="n">
        <v>0</v>
      </c>
      <c r="G3" s="88">
        <f>COUNTIFS($C$2:$C$116, $F3, $D$2:$D$116, G$2)</f>
        <v/>
      </c>
      <c r="H3" s="89">
        <f>COUNTIFS($C$2:$C$109, $F3, $D$2:$D$109, H$2)</f>
        <v/>
      </c>
      <c r="I3" s="90">
        <f>COUNTIFS($C$2:$C$109, $F3, $D$2:$D$109, I$2)+MAX(D110-C110,0)+MAX(D111-C111,0)+MAX(D112-C112,0)+MAX(D113-C113,0)+MAX(D114-C114,0)+MAX(D115-C115,0)+MAX(D116-C116,0)</f>
        <v/>
      </c>
      <c r="J3" s="80">
        <f>SUM(G3:I3)</f>
        <v/>
      </c>
      <c r="K3" s="21" t="n"/>
      <c r="L3" s="87" t="n">
        <v>0</v>
      </c>
      <c r="M3" s="88">
        <f>ABS(G$2-$F3)/1</f>
        <v/>
      </c>
      <c r="N3" s="89">
        <f>ABS(H$2-$F3)/1</f>
        <v/>
      </c>
      <c r="O3" s="90">
        <f>ABS(I$2-$F3)/1</f>
        <v/>
      </c>
      <c r="P3" s="21" t="n"/>
      <c r="Q3" s="87" t="n">
        <v>0</v>
      </c>
      <c r="R3" s="88">
        <f>($J3/$J$6) * (G$6/$J$6)</f>
        <v/>
      </c>
      <c r="S3" s="89">
        <f>($J3/$J$6) * (H$6/$J$6)</f>
        <v/>
      </c>
      <c r="T3" s="90">
        <f>($J3/$J$6) * (I$6/$J$6)</f>
        <v/>
      </c>
      <c r="U3" s="21" t="n"/>
      <c r="V3" s="86" t="inlineStr">
        <is>
          <t>Observed Weighted Disagreement (D_obs)</t>
        </is>
      </c>
      <c r="W3" s="88">
        <f>SUMPRODUCT(G3:I5, M3:O5) /$J$6</f>
        <v/>
      </c>
      <c r="X3" s="90" t="inlineStr">
        <is>
          <t>Sum of (confusion-matrix counts × weights) divided by total items.</t>
        </is>
      </c>
    </row>
    <row r="4" ht="15.75" customHeight="1" s="101">
      <c r="A4" s="5">
        <f>Wumple!A4</f>
        <v/>
      </c>
      <c r="B4" s="5">
        <f>Wumple!B4</f>
        <v/>
      </c>
      <c r="C4" s="5">
        <f>'GPT-5 Generation'!C4</f>
        <v/>
      </c>
      <c r="D4" s="5">
        <f>'Claude Sonnet 4.5 Gen'!C4</f>
        <v/>
      </c>
      <c r="E4" s="21" t="n"/>
      <c r="F4" s="87" t="n">
        <v>0.5</v>
      </c>
      <c r="G4" s="91">
        <f>COUNTIFS($C$2:$C$109, $F4, $D$2:$D$109, G$2)</f>
        <v/>
      </c>
      <c r="H4" s="80">
        <f>COUNTIFS($C$2:$C$109, $F4, $D$2:$D$109, H$2)</f>
        <v/>
      </c>
      <c r="I4" s="92">
        <f>COUNTIFS($C$2:$C$109, $F4, $D$2:$D$109, I$2)</f>
        <v/>
      </c>
      <c r="J4" s="80">
        <f>SUM(G4:I4)</f>
        <v/>
      </c>
      <c r="K4" s="21" t="n"/>
      <c r="L4" s="87" t="n">
        <v>0.5</v>
      </c>
      <c r="M4" s="91">
        <f>ABS(G$2-$F4)/1</f>
        <v/>
      </c>
      <c r="N4" s="80">
        <f>ABS(H$2-$F4)/3</f>
        <v/>
      </c>
      <c r="O4" s="92">
        <f>ABS(I$2-$F4)/1</f>
        <v/>
      </c>
      <c r="P4" s="21" t="n"/>
      <c r="Q4" s="87" t="n">
        <v>0.5</v>
      </c>
      <c r="R4" s="91">
        <f>($J4/$J$6) * (G$6/$J$6)</f>
        <v/>
      </c>
      <c r="S4" s="80">
        <f>($J4/$J$6) * (H$6/$J$6)</f>
        <v/>
      </c>
      <c r="T4" s="92">
        <f>($J4/$J$6) * (I$6/$J$6)</f>
        <v/>
      </c>
      <c r="U4" s="21" t="n"/>
      <c r="V4" s="86" t="inlineStr">
        <is>
          <t>Expected Weighted Disagreement (D_exp)</t>
        </is>
      </c>
      <c r="W4" s="91">
        <f>SUMPRODUCT(R3:T5, M3:O5)</f>
        <v/>
      </c>
      <c r="X4" s="92" t="inlineStr">
        <is>
          <t>Sum of (expected cell proportions × weights) under chance agreement.</t>
        </is>
      </c>
    </row>
    <row r="5" ht="15.75" customHeight="1" s="101">
      <c r="A5" s="5">
        <f>Wumple!A5</f>
        <v/>
      </c>
      <c r="B5" s="5">
        <f>Wumple!B5</f>
        <v/>
      </c>
      <c r="C5" s="5">
        <f>'GPT-5 Generation'!C5</f>
        <v/>
      </c>
      <c r="D5" s="5">
        <f>'Claude Sonnet 4.5 Gen'!C5</f>
        <v/>
      </c>
      <c r="E5" s="21" t="n"/>
      <c r="F5" s="87" t="n">
        <v>1</v>
      </c>
      <c r="G5" s="93">
        <f>COUNTIFS($C$2:$C$109, $F5, $D$2:$D$109, G$2)+MAX(C110-D110,0)+MAX(C111-D111,0)+MAX(C112-D112,0)+MAX(C113-D113,0)+MAX(C114-D114,0)+MAX(C115-D115,0)+MAX(C116-D116,0)</f>
        <v/>
      </c>
      <c r="H5" s="94">
        <f>COUNTIFS($C$2:$C$109, $F5, $D$2:$D$109, H$2)</f>
        <v/>
      </c>
      <c r="I5" s="95">
        <f>COUNTIFS($C$2:$C$109, $F5, $D$2:$D$109, I$2)+ SUM(MIN(C110,D110), MIN(C111,D111), MIN(C112,D112), MIN(C113,D113), MIN(C114,D114), MIN(C115,D115), MIN(C116,D116))</f>
        <v/>
      </c>
      <c r="J5" s="80">
        <f>SUM(G5:I5)</f>
        <v/>
      </c>
      <c r="K5" s="21" t="n"/>
      <c r="L5" s="87" t="n">
        <v>1</v>
      </c>
      <c r="M5" s="93">
        <f>ABS(G$2-$F5)/1</f>
        <v/>
      </c>
      <c r="N5" s="94">
        <f>ABS(H$2-$F5)/1</f>
        <v/>
      </c>
      <c r="O5" s="95">
        <f>ABS(I$2-$F5)/1</f>
        <v/>
      </c>
      <c r="P5" s="21" t="n"/>
      <c r="Q5" s="87" t="n">
        <v>1</v>
      </c>
      <c r="R5" s="93">
        <f>($J5/$J$6) * (G$6/$J$6)</f>
        <v/>
      </c>
      <c r="S5" s="94">
        <f>($J5/$J$6) * (H$6/$J$6)</f>
        <v/>
      </c>
      <c r="T5" s="95">
        <f>($J5/$J$6) * (I$6/$J$6)</f>
        <v/>
      </c>
      <c r="U5" s="21" t="n"/>
      <c r="V5" s="86" t="inlineStr">
        <is>
          <t>Cohen's Kappa</t>
        </is>
      </c>
      <c r="W5" s="93">
        <f>1-W3/W4</f>
        <v/>
      </c>
      <c r="X5" s="95" t="inlineStr">
        <is>
          <t>1 - (D_obs / D_exp)</t>
        </is>
      </c>
    </row>
    <row r="6" ht="15.75" customHeight="1" s="101">
      <c r="A6" s="5">
        <f>Wumple!A6</f>
        <v/>
      </c>
      <c r="B6" s="5">
        <f>Wumple!B6</f>
        <v/>
      </c>
      <c r="C6" s="5">
        <f>'GPT-5 Generation'!C6</f>
        <v/>
      </c>
      <c r="D6" s="5">
        <f>'Claude Sonnet 4.5 Gen'!C6</f>
        <v/>
      </c>
      <c r="E6" s="21" t="n"/>
      <c r="F6" s="96" t="inlineStr">
        <is>
          <t>Column Totals</t>
        </is>
      </c>
      <c r="G6" s="80">
        <f>SUM(G3:G5)</f>
        <v/>
      </c>
      <c r="H6" s="80">
        <f>SUM(H3:H5)</f>
        <v/>
      </c>
      <c r="I6" s="80">
        <f>SUM(I3:I5)</f>
        <v/>
      </c>
      <c r="J6" s="80">
        <f>SUM(G3:I5)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ht="15.75" customHeight="1" s="101">
      <c r="A7" s="5">
        <f>Wumple!A7</f>
        <v/>
      </c>
      <c r="B7" s="5">
        <f>Wumple!B7</f>
        <v/>
      </c>
      <c r="C7" s="5">
        <f>'GPT-5 Generation'!C7</f>
        <v/>
      </c>
      <c r="D7" s="5">
        <f>'Claude Sonnet 4.5 Gen'!C7</f>
        <v/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 ht="15.75" customHeight="1" s="101">
      <c r="A8" s="5">
        <f>Wumple!A8</f>
        <v/>
      </c>
      <c r="B8" s="5">
        <f>Wumple!B8</f>
        <v/>
      </c>
      <c r="C8" s="5">
        <f>'GPT-5 Generation'!C8</f>
        <v/>
      </c>
      <c r="D8" s="5">
        <f>'Claude Sonnet 4.5 Gen'!C8</f>
        <v/>
      </c>
      <c r="E8" s="21" t="n"/>
      <c r="F8" s="109" t="inlineStr">
        <is>
          <t>Confusion Matrix (State)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</row>
    <row r="9" ht="15.75" customHeight="1" s="101">
      <c r="A9" s="5">
        <f>Wumple!A9</f>
        <v/>
      </c>
      <c r="B9" s="5">
        <f>Wumple!B9</f>
        <v/>
      </c>
      <c r="C9" s="5">
        <f>'GPT-5 Generation'!C9</f>
        <v/>
      </c>
      <c r="D9" s="5">
        <f>'Claude Sonnet 4.5 Gen'!C9</f>
        <v/>
      </c>
      <c r="E9" s="21" t="n"/>
      <c r="F9" s="80" t="inlineStr">
        <is>
          <t>State</t>
        </is>
      </c>
      <c r="G9" s="85" t="inlineStr">
        <is>
          <t>0</t>
        </is>
      </c>
      <c r="H9" s="85" t="inlineStr">
        <is>
          <t>0.5</t>
        </is>
      </c>
      <c r="I9" s="85" t="inlineStr">
        <is>
          <t>1</t>
        </is>
      </c>
      <c r="J9" s="84" t="inlineStr">
        <is>
          <t>Row Totals</t>
        </is>
      </c>
      <c r="K9" s="21" t="n"/>
      <c r="L9" s="80" t="inlineStr">
        <is>
          <t>Global</t>
        </is>
      </c>
      <c r="M9" s="85" t="inlineStr">
        <is>
          <t>0</t>
        </is>
      </c>
      <c r="N9" s="85" t="inlineStr">
        <is>
          <t>0.5</t>
        </is>
      </c>
      <c r="O9" s="85" t="inlineStr">
        <is>
          <t>1</t>
        </is>
      </c>
      <c r="P9" s="21" t="n"/>
      <c r="Q9" s="80" t="inlineStr">
        <is>
          <t>Global</t>
        </is>
      </c>
      <c r="R9" s="85" t="inlineStr">
        <is>
          <t>0</t>
        </is>
      </c>
      <c r="S9" s="85" t="inlineStr">
        <is>
          <t>0.5</t>
        </is>
      </c>
      <c r="T9" s="85" t="inlineStr">
        <is>
          <t>1</t>
        </is>
      </c>
      <c r="U9" s="21" t="n"/>
      <c r="V9" s="58">
        <f>"Metrics" &amp; " " &amp; F9</f>
        <v/>
      </c>
      <c r="W9" s="86" t="inlineStr">
        <is>
          <t>Value</t>
        </is>
      </c>
      <c r="X9" s="86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'GPT-5 Generation'!C10</f>
        <v/>
      </c>
      <c r="D10" s="5">
        <f>'Claude Sonnet 4.5 Gen'!C10</f>
        <v/>
      </c>
      <c r="E10" s="21" t="n"/>
      <c r="F10" s="87" t="n">
        <v>0</v>
      </c>
      <c r="G10" s="88">
        <f>COUNTIFS($A$2:$A$116,$F$9,$C$2:$C$116,$F10,$D$2:$D$116,G$9)</f>
        <v/>
      </c>
      <c r="H10" s="89">
        <f>COUNTIFS($A$2:$A$116,$F$9,$C$2:$C$116,$F10,$D$2:$D$116,H$9)</f>
        <v/>
      </c>
      <c r="I10" s="90">
        <f>COUNTIFS($A$2:$A$109,$F$9,$C$2:$C$109,$F10,$D$2:$D$109,I$9)+MAX(D110-C110,0)</f>
        <v/>
      </c>
      <c r="J10" s="80">
        <f>SUM(G10:I10)</f>
        <v/>
      </c>
      <c r="K10" s="21" t="n"/>
      <c r="L10" s="87" t="n">
        <v>0</v>
      </c>
      <c r="M10" s="88">
        <f>ABS(G$2-$F10)/1</f>
        <v/>
      </c>
      <c r="N10" s="89">
        <f>ABS(H$2-$F10)/1</f>
        <v/>
      </c>
      <c r="O10" s="90">
        <f>ABS(I$2-$F10)/1</f>
        <v/>
      </c>
      <c r="P10" s="21" t="n"/>
      <c r="Q10" s="87" t="n">
        <v>0</v>
      </c>
      <c r="R10" s="88">
        <f>($J10/$J$13) * (G$13/$J$13)</f>
        <v/>
      </c>
      <c r="S10" s="89">
        <f>($J10/$J$13) * (H$13/$J$13)</f>
        <v/>
      </c>
      <c r="T10" s="90">
        <f>($J10/$J$13) * (I$13/$J$13)</f>
        <v/>
      </c>
      <c r="U10" s="21" t="n"/>
      <c r="V10" s="86" t="inlineStr">
        <is>
          <t>Observed Weighted Disagreement (D_obs)</t>
        </is>
      </c>
      <c r="W10" s="88">
        <f>SUMPRODUCT(G10:I12, M10:O12) /$J$13</f>
        <v/>
      </c>
      <c r="X10" s="90" t="inlineStr">
        <is>
          <t>Sum of (confusion-matrix counts × weights) divided by total items.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'GPT-5 Generation'!C11</f>
        <v/>
      </c>
      <c r="D11" s="5">
        <f>'Claude Sonnet 4.5 Gen'!C11</f>
        <v/>
      </c>
      <c r="E11" s="21" t="n"/>
      <c r="F11" s="87" t="n">
        <v>0.5</v>
      </c>
      <c r="G11" s="91">
        <f>COUNTIFS($A$2:$A$116,$F$9,$C$2:$C$116,$F11,$D$2:$D$116,G$9)</f>
        <v/>
      </c>
      <c r="H11" s="80">
        <f>COUNTIFS($A$2:$A$116,$F$9,$C$2:$C$116,$F11,$D$2:$D$116,H$9)</f>
        <v/>
      </c>
      <c r="I11" s="92">
        <f>COUNTIFS($A$2:$A$116,$F$9,$C$2:$C$116,$F11,$D$2:$D$116,I$9)</f>
        <v/>
      </c>
      <c r="J11" s="80">
        <f>SUM(G11:I11)</f>
        <v/>
      </c>
      <c r="K11" s="21" t="n"/>
      <c r="L11" s="87" t="n">
        <v>0.5</v>
      </c>
      <c r="M11" s="91">
        <f>ABS(G$2-$F11)/1</f>
        <v/>
      </c>
      <c r="N11" s="80">
        <f>ABS(H$2-$F11)/3</f>
        <v/>
      </c>
      <c r="O11" s="92">
        <f>ABS(I$2-$F11)/1</f>
        <v/>
      </c>
      <c r="P11" s="21" t="n"/>
      <c r="Q11" s="87" t="n">
        <v>0.5</v>
      </c>
      <c r="R11" s="91">
        <f>($J11/$J$13) * (G$13/$J$13)</f>
        <v/>
      </c>
      <c r="S11" s="80">
        <f>($J11/$J$13) * (H$13/$J$13)</f>
        <v/>
      </c>
      <c r="T11" s="92">
        <f>($J11/$J$13) * (I$13/$J$13)</f>
        <v/>
      </c>
      <c r="U11" s="21" t="n"/>
      <c r="V11" s="86" t="inlineStr">
        <is>
          <t>Expected Weighted Disagreement (D_exp)</t>
        </is>
      </c>
      <c r="W11" s="91">
        <f>SUMPRODUCT(R10:T12, M10:O12)</f>
        <v/>
      </c>
      <c r="X11" s="92" t="inlineStr">
        <is>
          <t>Sum of (expected cell proportions × weights) under chance agreement.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'GPT-5 Generation'!C12</f>
        <v/>
      </c>
      <c r="D12" s="5">
        <f>'Claude Sonnet 4.5 Gen'!C12</f>
        <v/>
      </c>
      <c r="E12" s="21" t="n"/>
      <c r="F12" s="87" t="n">
        <v>1</v>
      </c>
      <c r="G12" s="93">
        <f>COUNTIFS($A$2:$A$109,$F$9,$C$2:$C$109,$F12,$D$2:$D$109,G$9)+MAX(C110-D110,0)</f>
        <v/>
      </c>
      <c r="H12" s="94">
        <f>COUNTIFS($A$2:$A$116,$F$9,$C$2:$C$116,$F12,$D$2:$D$116,H$9)</f>
        <v/>
      </c>
      <c r="I12" s="95">
        <f>COUNTIFS($A$2:$A$109,$F$9,$C$2:$C$109,$F12,$D$2:$D$109,I$9)+MIN(C110-D110)</f>
        <v/>
      </c>
      <c r="J12" s="80">
        <f>SUM(G12:I12)</f>
        <v/>
      </c>
      <c r="K12" s="21" t="n"/>
      <c r="L12" s="87" t="n">
        <v>1</v>
      </c>
      <c r="M12" s="93">
        <f>ABS(G$2-$F12)/1</f>
        <v/>
      </c>
      <c r="N12" s="94">
        <f>ABS(H$2-$F12)/1</f>
        <v/>
      </c>
      <c r="O12" s="95">
        <f>ABS(I$2-$F12)/1</f>
        <v/>
      </c>
      <c r="P12" s="21" t="n"/>
      <c r="Q12" s="87" t="n">
        <v>1</v>
      </c>
      <c r="R12" s="93">
        <f>($J12/$J$13) * (G$13/$J$13)</f>
        <v/>
      </c>
      <c r="S12" s="94">
        <f>($J12/$J$13) * (H$13/$J$13)</f>
        <v/>
      </c>
      <c r="T12" s="95">
        <f>($J12/$J$13) * (I$13/$J$13)</f>
        <v/>
      </c>
      <c r="U12" s="21" t="n"/>
      <c r="V12" s="86" t="inlineStr">
        <is>
          <t>Cohen's Kappa</t>
        </is>
      </c>
      <c r="W12" s="93">
        <f>1-W10/W11</f>
        <v/>
      </c>
      <c r="X12" s="95" t="inlineStr">
        <is>
          <t>1 - (D_obs / D_exp)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'GPT-5 Generation'!C13</f>
        <v/>
      </c>
      <c r="D13" s="5">
        <f>'Claude Sonnet 4.5 Gen'!C13</f>
        <v/>
      </c>
      <c r="E13" s="21" t="n"/>
      <c r="F13" s="96" t="inlineStr">
        <is>
          <t>Column Totals</t>
        </is>
      </c>
      <c r="G13" s="80">
        <f>SUM(G10:G12)</f>
        <v/>
      </c>
      <c r="H13" s="80">
        <f>SUM(H10:H12)</f>
        <v/>
      </c>
      <c r="I13" s="80">
        <f>SUM(I10:I12)</f>
        <v/>
      </c>
      <c r="J13" s="80">
        <f>SUM(G10:I12)</f>
        <v/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</row>
    <row r="14" ht="15.75" customHeight="1" s="101">
      <c r="A14" s="5">
        <f>Wumple!A14</f>
        <v/>
      </c>
      <c r="B14" s="5">
        <f>Wumple!B14</f>
        <v/>
      </c>
      <c r="C14" s="5">
        <f>'GPT-5 Generation'!C14</f>
        <v/>
      </c>
      <c r="D14" s="5">
        <f>'Claude Sonnet 4.5 Gen'!C14</f>
        <v/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 ht="15.75" customHeight="1" s="101">
      <c r="A15" s="5">
        <f>Wumple!A15</f>
        <v/>
      </c>
      <c r="B15" s="5">
        <f>Wumple!B15</f>
        <v/>
      </c>
      <c r="C15" s="5">
        <f>'GPT-5 Generation'!C15</f>
        <v/>
      </c>
      <c r="D15" s="5">
        <f>'Claude Sonnet 4.5 Gen'!C15</f>
        <v/>
      </c>
      <c r="E15" s="21" t="n"/>
      <c r="F15" s="109" t="inlineStr">
        <is>
          <t>Confusion Matrix (Transition)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 ht="15.75" customHeight="1" s="101">
      <c r="A16" s="5">
        <f>Wumple!A16</f>
        <v/>
      </c>
      <c r="B16" s="5">
        <f>Wumple!B16</f>
        <v/>
      </c>
      <c r="C16" s="5">
        <f>'GPT-5 Generation'!C16</f>
        <v/>
      </c>
      <c r="D16" s="5">
        <f>'Claude Sonnet 4.5 Gen'!C16</f>
        <v/>
      </c>
      <c r="E16" s="21" t="n"/>
      <c r="F16" s="80" t="inlineStr">
        <is>
          <t>Transition</t>
        </is>
      </c>
      <c r="G16" s="85" t="inlineStr">
        <is>
          <t>0</t>
        </is>
      </c>
      <c r="H16" s="85" t="inlineStr">
        <is>
          <t>0.5</t>
        </is>
      </c>
      <c r="I16" s="85" t="inlineStr">
        <is>
          <t>1</t>
        </is>
      </c>
      <c r="J16" s="84" t="inlineStr">
        <is>
          <t>Row Totals</t>
        </is>
      </c>
      <c r="K16" s="21" t="n"/>
      <c r="L16" s="80" t="inlineStr">
        <is>
          <t>Global</t>
        </is>
      </c>
      <c r="M16" s="85" t="inlineStr">
        <is>
          <t>0</t>
        </is>
      </c>
      <c r="N16" s="85" t="inlineStr">
        <is>
          <t>0.5</t>
        </is>
      </c>
      <c r="O16" s="85" t="inlineStr">
        <is>
          <t>1</t>
        </is>
      </c>
      <c r="P16" s="21" t="n"/>
      <c r="Q16" s="80" t="inlineStr">
        <is>
          <t>Global</t>
        </is>
      </c>
      <c r="R16" s="85" t="inlineStr">
        <is>
          <t>0</t>
        </is>
      </c>
      <c r="S16" s="85" t="inlineStr">
        <is>
          <t>0.5</t>
        </is>
      </c>
      <c r="T16" s="85" t="inlineStr">
        <is>
          <t>1</t>
        </is>
      </c>
      <c r="U16" s="21" t="n"/>
      <c r="V16" s="58">
        <f>"Metrics" &amp; " " &amp; F16</f>
        <v/>
      </c>
      <c r="W16" s="86" t="inlineStr">
        <is>
          <t>Value</t>
        </is>
      </c>
      <c r="X16" s="86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'GPT-5 Generation'!C17</f>
        <v/>
      </c>
      <c r="D17" s="5">
        <f>'Claude Sonnet 4.5 Gen'!C17</f>
        <v/>
      </c>
      <c r="E17" s="21" t="n"/>
      <c r="F17" s="87" t="n">
        <v>0</v>
      </c>
      <c r="G17" s="88">
        <f>COUNTIFS($A$2:$A$116,$F$16,$C$2:$C$116,$F17,$D$2:$D$116,G$16)</f>
        <v/>
      </c>
      <c r="H17" s="89">
        <f>COUNTIFS($A$2:$A$116,$F$16,$C$2:$C$116,$F17,$D$2:$D$116,H$16)</f>
        <v/>
      </c>
      <c r="I17" s="90">
        <f>COUNTIFS($A$2:$A$109,$F$16,$C$2:$C$109,$F17,$D$2:$D$109,I$16) + MAX(D111-C111,0)</f>
        <v/>
      </c>
      <c r="J17" s="80">
        <f>SUM(G17:I17)</f>
        <v/>
      </c>
      <c r="K17" s="21" t="n"/>
      <c r="L17" s="87" t="n">
        <v>0</v>
      </c>
      <c r="M17" s="88">
        <f>ABS(G$2-$F17)/1</f>
        <v/>
      </c>
      <c r="N17" s="89">
        <f>ABS(H$2-$F17)/1</f>
        <v/>
      </c>
      <c r="O17" s="90">
        <f>ABS(I$2-$F17)/1</f>
        <v/>
      </c>
      <c r="P17" s="21" t="n"/>
      <c r="Q17" s="87" t="n">
        <v>0</v>
      </c>
      <c r="R17" s="88">
        <f>($J17/$J$20) * (G$20/$J$20)</f>
        <v/>
      </c>
      <c r="S17" s="89">
        <f>($J17/$J$20) * (H$20/$J$20)</f>
        <v/>
      </c>
      <c r="T17" s="90">
        <f>($J17/$J$20) * (I$20/$J$20)</f>
        <v/>
      </c>
      <c r="U17" s="21" t="n"/>
      <c r="V17" s="86" t="inlineStr">
        <is>
          <t>Observed Weighted Disagreement (D_obs)</t>
        </is>
      </c>
      <c r="W17" s="88">
        <f>SUMPRODUCT(G17:I19, M17:O19) /$J$20</f>
        <v/>
      </c>
      <c r="X17" s="90" t="inlineStr">
        <is>
          <t>Sum of (confusion-matrix counts × weights) divided by total items.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'GPT-5 Generation'!C18</f>
        <v/>
      </c>
      <c r="D18" s="5">
        <f>'Claude Sonnet 4.5 Gen'!C18</f>
        <v/>
      </c>
      <c r="E18" s="21" t="n"/>
      <c r="F18" s="87" t="n">
        <v>0.5</v>
      </c>
      <c r="G18" s="91">
        <f>COUNTIFS($A$2:$A$116,$F$16,$C$2:$C$116,$F18,$D$2:$D$116,G$16)</f>
        <v/>
      </c>
      <c r="H18" s="80">
        <f>COUNTIFS($A$2:$A$116,$F$16,$C$2:$C$116,$F18,$D$2:$D$116,H$16)</f>
        <v/>
      </c>
      <c r="I18" s="92">
        <f>COUNTIFS($A$2:$A$116,$F$16,$C$2:$C$116,$F18,$D$2:$D$116,I$16)</f>
        <v/>
      </c>
      <c r="J18" s="80">
        <f>SUM(G18:I18)</f>
        <v/>
      </c>
      <c r="K18" s="21" t="n"/>
      <c r="L18" s="87" t="n">
        <v>0.5</v>
      </c>
      <c r="M18" s="91">
        <f>ABS(G$2-$F18)/1</f>
        <v/>
      </c>
      <c r="N18" s="80">
        <f>ABS(H$2-$F18)/3</f>
        <v/>
      </c>
      <c r="O18" s="92">
        <f>ABS(I$2-$F18)/1</f>
        <v/>
      </c>
      <c r="P18" s="21" t="n"/>
      <c r="Q18" s="87" t="n">
        <v>0.5</v>
      </c>
      <c r="R18" s="91">
        <f>($J18/$J$20) * (G$20/$J$20)</f>
        <v/>
      </c>
      <c r="S18" s="80">
        <f>($J18/$J$20) * (H$20/$J$20)</f>
        <v/>
      </c>
      <c r="T18" s="92">
        <f>($J18/$J$20) * (I$20/$J$20)</f>
        <v/>
      </c>
      <c r="U18" s="21" t="n"/>
      <c r="V18" s="86" t="inlineStr">
        <is>
          <t>Expected Weighted Disagreement (D_exp)</t>
        </is>
      </c>
      <c r="W18" s="91">
        <f>SUMPRODUCT(R17:T19, M17:O19)</f>
        <v/>
      </c>
      <c r="X18" s="92" t="inlineStr">
        <is>
          <t>Sum of (expected cell proportions × weights) under chance agreement.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'GPT-5 Generation'!C19</f>
        <v/>
      </c>
      <c r="D19" s="5">
        <f>'Claude Sonnet 4.5 Gen'!C19</f>
        <v/>
      </c>
      <c r="E19" s="21" t="n"/>
      <c r="F19" s="87" t="n">
        <v>1</v>
      </c>
      <c r="G19" s="93">
        <f>COUNTIFS($A$2:$A$109,$F$16,$C$2:$C$109,$F19,$D$2:$D$109,G$16)+MAX(C111-D111,0)</f>
        <v/>
      </c>
      <c r="H19" s="94">
        <f>COUNTIFS($A$2:$A$116,$F$16,$C$2:$C$116,$F19,$D$2:$D$116,H$16)</f>
        <v/>
      </c>
      <c r="I19" s="95">
        <f>COUNTIFS($A$2:$A$109,$F$16,$C$2:$C$109,$F19,$D$2:$D$109,I$16) + MIN(C111,D111)</f>
        <v/>
      </c>
      <c r="J19" s="80">
        <f>SUM(G19:I19)</f>
        <v/>
      </c>
      <c r="K19" s="21" t="n"/>
      <c r="L19" s="87" t="n">
        <v>1</v>
      </c>
      <c r="M19" s="93">
        <f>ABS(G$2-$F19)/1</f>
        <v/>
      </c>
      <c r="N19" s="94">
        <f>ABS(H$2-$F19)/1</f>
        <v/>
      </c>
      <c r="O19" s="95">
        <f>ABS(I$2-$F19)/1</f>
        <v/>
      </c>
      <c r="P19" s="21" t="n"/>
      <c r="Q19" s="87" t="n">
        <v>1</v>
      </c>
      <c r="R19" s="93">
        <f>($J19/$J$20) * (G$20/$J$20)</f>
        <v/>
      </c>
      <c r="S19" s="94">
        <f>($J19/$J$20) * (H$20/$J$20)</f>
        <v/>
      </c>
      <c r="T19" s="95">
        <f>($J19/$J$20) * (I$20/$J$20)</f>
        <v/>
      </c>
      <c r="U19" s="21" t="n"/>
      <c r="V19" s="86" t="inlineStr">
        <is>
          <t>Cohen's Kappa</t>
        </is>
      </c>
      <c r="W19" s="93">
        <f>1-W17/W18</f>
        <v/>
      </c>
      <c r="X19" s="95" t="inlineStr">
        <is>
          <t>1 - (D_obs / D_exp)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'GPT-5 Generation'!C20</f>
        <v/>
      </c>
      <c r="D20" s="5">
        <f>'Claude Sonnet 4.5 Gen'!C20</f>
        <v/>
      </c>
      <c r="E20" s="21" t="n"/>
      <c r="F20" s="96" t="inlineStr">
        <is>
          <t>Column Totals</t>
        </is>
      </c>
      <c r="G20" s="80">
        <f>SUM(G17:G19)</f>
        <v/>
      </c>
      <c r="H20" s="80">
        <f>SUM(H17:H19)</f>
        <v/>
      </c>
      <c r="I20" s="80">
        <f>SUM(I17:I19)</f>
        <v/>
      </c>
      <c r="J20" s="80">
        <f>SUM(G17:I19)</f>
        <v/>
      </c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</row>
    <row r="21" ht="15.75" customHeight="1" s="101">
      <c r="A21" s="5">
        <f>Wumple!A21</f>
        <v/>
      </c>
      <c r="B21" s="5">
        <f>Wumple!B21</f>
        <v/>
      </c>
      <c r="C21" s="5">
        <f>'GPT-5 Generation'!C21</f>
        <v/>
      </c>
      <c r="D21" s="5">
        <f>'Claude Sonnet 4.5 Gen'!C21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 ht="15.75" customHeight="1" s="101">
      <c r="A22" s="5">
        <f>Wumple!A22</f>
        <v/>
      </c>
      <c r="B22" s="5">
        <f>Wumple!B22</f>
        <v/>
      </c>
      <c r="C22" s="5">
        <f>'GPT-5 Generation'!C22</f>
        <v/>
      </c>
      <c r="D22" s="5">
        <f>'Claude Sonnet 4.5 Gen'!C22</f>
        <v/>
      </c>
      <c r="E22" s="21" t="n"/>
      <c r="F22" s="109" t="inlineStr">
        <is>
          <t>Confusion Matrix (Composite State)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</row>
    <row r="23" ht="15.75" customHeight="1" s="101">
      <c r="A23" s="5">
        <f>Wumple!A23</f>
        <v/>
      </c>
      <c r="B23" s="5">
        <f>Wumple!B23</f>
        <v/>
      </c>
      <c r="C23" s="5">
        <f>'GPT-5 Generation'!C23</f>
        <v/>
      </c>
      <c r="D23" s="5">
        <f>'Claude Sonnet 4.5 Gen'!C23</f>
        <v/>
      </c>
      <c r="E23" s="21" t="n"/>
      <c r="F23" s="80" t="inlineStr">
        <is>
          <t>Composite State</t>
        </is>
      </c>
      <c r="G23" s="85" t="inlineStr">
        <is>
          <t>0</t>
        </is>
      </c>
      <c r="H23" s="85" t="inlineStr">
        <is>
          <t>0.5</t>
        </is>
      </c>
      <c r="I23" s="85" t="inlineStr">
        <is>
          <t>1</t>
        </is>
      </c>
      <c r="J23" s="84" t="inlineStr">
        <is>
          <t>Row Totals</t>
        </is>
      </c>
      <c r="K23" s="21" t="n"/>
      <c r="L23" s="80" t="inlineStr">
        <is>
          <t>Global</t>
        </is>
      </c>
      <c r="M23" s="85" t="inlineStr">
        <is>
          <t>0</t>
        </is>
      </c>
      <c r="N23" s="85" t="inlineStr">
        <is>
          <t>0.5</t>
        </is>
      </c>
      <c r="O23" s="85" t="inlineStr">
        <is>
          <t>1</t>
        </is>
      </c>
      <c r="P23" s="21" t="n"/>
      <c r="Q23" s="80" t="inlineStr">
        <is>
          <t>Global</t>
        </is>
      </c>
      <c r="R23" s="85" t="inlineStr">
        <is>
          <t>0</t>
        </is>
      </c>
      <c r="S23" s="85" t="inlineStr">
        <is>
          <t>0.5</t>
        </is>
      </c>
      <c r="T23" s="85" t="inlineStr">
        <is>
          <t>1</t>
        </is>
      </c>
      <c r="U23" s="21" t="n"/>
      <c r="V23" s="58">
        <f>"Metrics" &amp; " " &amp; F23</f>
        <v/>
      </c>
      <c r="W23" s="86" t="inlineStr">
        <is>
          <t>Value</t>
        </is>
      </c>
      <c r="X23" s="86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'GPT-5 Generation'!C24</f>
        <v/>
      </c>
      <c r="D24" s="5">
        <f>'Claude Sonnet 4.5 Gen'!C24</f>
        <v/>
      </c>
      <c r="E24" s="21" t="n"/>
      <c r="F24" s="87" t="n">
        <v>0</v>
      </c>
      <c r="G24" s="88">
        <f>COUNTIFS($A$2:$A$116,$F$23,$C$2:$C$116,$F24,$D$2:$D$116,G$23)</f>
        <v/>
      </c>
      <c r="H24" s="89">
        <f>COUNTIFS($A$2:$A$116,$F$23,$C$2:$C$116,$F24,$D$2:$D$116,H$23)</f>
        <v/>
      </c>
      <c r="I24" s="90">
        <f>COUNTIFS($A$2:$A$109,$F$23,$C$2:$C$109,$F24,$D$2:$D$109,I$23) + MAX(D114-C114,0)</f>
        <v/>
      </c>
      <c r="J24" s="80">
        <f>SUM(G24:I24)</f>
        <v/>
      </c>
      <c r="K24" s="21" t="n"/>
      <c r="L24" s="87" t="n">
        <v>0</v>
      </c>
      <c r="M24" s="88">
        <f>ABS(G$2-$F24)/1</f>
        <v/>
      </c>
      <c r="N24" s="89">
        <f>ABS(H$2-$F24)/1</f>
        <v/>
      </c>
      <c r="O24" s="90">
        <f>ABS(I$2-$F24)/1</f>
        <v/>
      </c>
      <c r="P24" s="21" t="n"/>
      <c r="Q24" s="87" t="n">
        <v>0</v>
      </c>
      <c r="R24" s="88">
        <f>($J24/$J$27) * (G$27/$J$27)</f>
        <v/>
      </c>
      <c r="S24" s="89">
        <f>($J24/$J$27) * (H$27/$J$27)</f>
        <v/>
      </c>
      <c r="T24" s="90">
        <f>($J24/$J$27) * (I$27/$J$27)</f>
        <v/>
      </c>
      <c r="U24" s="21" t="n"/>
      <c r="V24" s="86" t="inlineStr">
        <is>
          <t>Observed Weighted Disagreement (D_obs)</t>
        </is>
      </c>
      <c r="W24" s="88">
        <f>SUMPRODUCT(G24:I26, M24:O26) /$J$27</f>
        <v/>
      </c>
      <c r="X24" s="90" t="inlineStr">
        <is>
          <t>Sum of (confusion-matrix counts × weights) divided by total items.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'GPT-5 Generation'!C25</f>
        <v/>
      </c>
      <c r="D25" s="5">
        <f>'Claude Sonnet 4.5 Gen'!C25</f>
        <v/>
      </c>
      <c r="E25" s="21" t="n"/>
      <c r="F25" s="87" t="n">
        <v>0.5</v>
      </c>
      <c r="G25" s="91">
        <f>COUNTIFS($A$2:$A$116,$F$23,$C$2:$C$116,$F25,$D$2:$D$116,G$23)</f>
        <v/>
      </c>
      <c r="H25" s="80">
        <f>COUNTIFS($A$2:$A$116,$F$23,$C$2:$C$116,$F25,$D$2:$D$116,H$23)</f>
        <v/>
      </c>
      <c r="I25" s="92">
        <f>COUNTIFS($A$2:$A$116,$F$23,$C$2:$C$116,$F25,$D$2:$D$116,I$23)</f>
        <v/>
      </c>
      <c r="J25" s="80">
        <f>SUM(G25:I25)</f>
        <v/>
      </c>
      <c r="K25" s="21" t="n"/>
      <c r="L25" s="87" t="n">
        <v>0.5</v>
      </c>
      <c r="M25" s="91">
        <f>ABS(G$2-$F25)/1</f>
        <v/>
      </c>
      <c r="N25" s="80">
        <f>ABS(H$2-$F25)/3</f>
        <v/>
      </c>
      <c r="O25" s="92">
        <f>ABS(I$2-$F25)/1</f>
        <v/>
      </c>
      <c r="P25" s="21" t="n"/>
      <c r="Q25" s="87" t="n">
        <v>0.5</v>
      </c>
      <c r="R25" s="91">
        <f>($J25/$J$27) * (G$27/$J$27)</f>
        <v/>
      </c>
      <c r="S25" s="80">
        <f>($J25/$J$27) * (H$27/$J$27)</f>
        <v/>
      </c>
      <c r="T25" s="92">
        <f>($J25/$J$27) * (I$27/$J$27)</f>
        <v/>
      </c>
      <c r="U25" s="21" t="n"/>
      <c r="V25" s="86" t="inlineStr">
        <is>
          <t>Expected Weighted Disagreement (D_exp)</t>
        </is>
      </c>
      <c r="W25" s="91">
        <f>SUMPRODUCT(R24:T26, M24:O26)</f>
        <v/>
      </c>
      <c r="X25" s="92" t="inlineStr">
        <is>
          <t>Sum of (expected cell proportions × weights) under chance agreement.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'GPT-5 Generation'!C26</f>
        <v/>
      </c>
      <c r="D26" s="5">
        <f>'Claude Sonnet 4.5 Gen'!C26</f>
        <v/>
      </c>
      <c r="E26" s="21" t="n"/>
      <c r="F26" s="87" t="n">
        <v>1</v>
      </c>
      <c r="G26" s="93">
        <f>COUNTIFS($A$2:$A$109,$F$23,$C$2:$C$109,$F26,$D$2:$D$109,G$23) + MAX(C114-D114,0)</f>
        <v/>
      </c>
      <c r="H26" s="94">
        <f>COUNTIFS($A$2:$A$116,$F$23,$C$2:$C$116,$F26,$D$2:$D$116,H$23)</f>
        <v/>
      </c>
      <c r="I26" s="95">
        <f>COUNTIFS($A$2:$A$109,$F$23,$C$2:$C$109,$F26,$D$2:$D$109,I$23) + MIN(C114,D114)</f>
        <v/>
      </c>
      <c r="J26" s="80">
        <f>SUM(G26:I26)</f>
        <v/>
      </c>
      <c r="K26" s="21" t="n"/>
      <c r="L26" s="87" t="n">
        <v>1</v>
      </c>
      <c r="M26" s="93">
        <f>ABS(G$2-$F26)/1</f>
        <v/>
      </c>
      <c r="N26" s="94">
        <f>ABS(H$2-$F26)/1</f>
        <v/>
      </c>
      <c r="O26" s="95">
        <f>ABS(I$2-$F26)/1</f>
        <v/>
      </c>
      <c r="P26" s="21" t="n"/>
      <c r="Q26" s="87" t="n">
        <v>1</v>
      </c>
      <c r="R26" s="93">
        <f>($J26/$J$27) * (G$27/$J$27)</f>
        <v/>
      </c>
      <c r="S26" s="94">
        <f>($J26/$J$27) * (H$27/$J$27)</f>
        <v/>
      </c>
      <c r="T26" s="95">
        <f>($J26/$J$27) * (I$27/$J$27)</f>
        <v/>
      </c>
      <c r="U26" s="21" t="n"/>
      <c r="V26" s="86" t="inlineStr">
        <is>
          <t>Cohen's Kappa</t>
        </is>
      </c>
      <c r="W26" s="93">
        <f>1-W24/W25</f>
        <v/>
      </c>
      <c r="X26" s="95" t="inlineStr">
        <is>
          <t>1 - (D_obs / D_exp)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'GPT-5 Generation'!C27</f>
        <v/>
      </c>
      <c r="D27" s="5">
        <f>'Claude Sonnet 4.5 Gen'!C27</f>
        <v/>
      </c>
      <c r="E27" s="21" t="n"/>
      <c r="F27" s="96" t="inlineStr">
        <is>
          <t>Column Totals</t>
        </is>
      </c>
      <c r="G27" s="80">
        <f>SUM(G24:G26)</f>
        <v/>
      </c>
      <c r="H27" s="80">
        <f>SUM(H24:H26)</f>
        <v/>
      </c>
      <c r="I27" s="80">
        <f>SUM(I24:I26)</f>
        <v/>
      </c>
      <c r="J27" s="80">
        <f>SUM(G24:I26)</f>
        <v/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</row>
    <row r="28" ht="15.75" customHeight="1" s="101">
      <c r="A28" s="5">
        <f>Wumple!A28</f>
        <v/>
      </c>
      <c r="B28" s="5">
        <f>Wumple!B28</f>
        <v/>
      </c>
      <c r="C28" s="5">
        <f>'GPT-5 Generation'!C28</f>
        <v/>
      </c>
      <c r="D28" s="5">
        <f>'Claude Sonnet 4.5 Gen'!C28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</row>
    <row r="29" ht="15.75" customHeight="1" s="101">
      <c r="A29" s="5">
        <f>Wumple!A29</f>
        <v/>
      </c>
      <c r="B29" s="5">
        <f>Wumple!B29</f>
        <v/>
      </c>
      <c r="C29" s="5">
        <f>'GPT-5 Generation'!C29</f>
        <v/>
      </c>
      <c r="D29" s="5">
        <f>'Claude Sonnet 4.5 Gen'!C29</f>
        <v/>
      </c>
      <c r="E29" s="21" t="n"/>
      <c r="F29" s="109" t="inlineStr">
        <is>
          <t>Confusion Matrix (Guard)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</row>
    <row r="30" ht="15.75" customHeight="1" s="101">
      <c r="A30" s="5">
        <f>Wumple!A30</f>
        <v/>
      </c>
      <c r="B30" s="5">
        <f>Wumple!B30</f>
        <v/>
      </c>
      <c r="C30" s="5">
        <f>'GPT-5 Generation'!C30</f>
        <v/>
      </c>
      <c r="D30" s="5">
        <f>'Claude Sonnet 4.5 Gen'!C30</f>
        <v/>
      </c>
      <c r="E30" s="21" t="n"/>
      <c r="F30" s="80" t="inlineStr">
        <is>
          <t>Guard</t>
        </is>
      </c>
      <c r="G30" s="85" t="inlineStr">
        <is>
          <t>0</t>
        </is>
      </c>
      <c r="H30" s="85" t="inlineStr">
        <is>
          <t>0.5</t>
        </is>
      </c>
      <c r="I30" s="85" t="inlineStr">
        <is>
          <t>1</t>
        </is>
      </c>
      <c r="J30" s="84" t="inlineStr">
        <is>
          <t>Row Totals</t>
        </is>
      </c>
      <c r="K30" s="21" t="n"/>
      <c r="L30" s="80" t="inlineStr">
        <is>
          <t>Global</t>
        </is>
      </c>
      <c r="M30" s="85" t="n">
        <v>0</v>
      </c>
      <c r="N30" s="85" t="inlineStr">
        <is>
          <t>0.5</t>
        </is>
      </c>
      <c r="O30" s="85" t="inlineStr">
        <is>
          <t>1</t>
        </is>
      </c>
      <c r="P30" s="21" t="n"/>
      <c r="Q30" s="80" t="inlineStr">
        <is>
          <t>Global</t>
        </is>
      </c>
      <c r="R30" s="85" t="inlineStr">
        <is>
          <t>0</t>
        </is>
      </c>
      <c r="S30" s="85" t="inlineStr">
        <is>
          <t>0.5</t>
        </is>
      </c>
      <c r="T30" s="85" t="inlineStr">
        <is>
          <t>1</t>
        </is>
      </c>
      <c r="U30" s="21" t="n"/>
      <c r="V30" s="58">
        <f>"Metrics" &amp; " " &amp; F30</f>
        <v/>
      </c>
      <c r="W30" s="86" t="inlineStr">
        <is>
          <t>Value</t>
        </is>
      </c>
      <c r="X30" s="86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'GPT-5 Generation'!C31</f>
        <v/>
      </c>
      <c r="D31" s="5">
        <f>'Claude Sonnet 4.5 Gen'!C31</f>
        <v/>
      </c>
      <c r="E31" s="21" t="n"/>
      <c r="F31" s="87" t="n">
        <v>0</v>
      </c>
      <c r="G31" s="88">
        <f>COUNTIFS($A$2:$A$116,$F$30,$C$2:$C$116,$F31,$D$2:$D$116,G$30)</f>
        <v/>
      </c>
      <c r="H31" s="89">
        <f>COUNTIFS($A$2:$A$116,$F$30,$C$2:$C$116,$F31,$D$2:$D$116,H$30)</f>
        <v/>
      </c>
      <c r="I31" s="90">
        <f>COUNTIFS($A$2:$A$109,$F$30,$C$2:$C$109,$F31,$D$2:$D$109,I$30) + MAX(D112-C112,0)</f>
        <v/>
      </c>
      <c r="J31" s="80">
        <f>SUM(G31:I31)</f>
        <v/>
      </c>
      <c r="K31" s="21" t="n"/>
      <c r="L31" s="87" t="n">
        <v>0</v>
      </c>
      <c r="M31" s="88">
        <f>ABS(G$2-$F31)/1</f>
        <v/>
      </c>
      <c r="N31" s="89">
        <f>ABS(H$2-$F31)/1</f>
        <v/>
      </c>
      <c r="O31" s="90">
        <f>ABS(I$2-$F31)/1</f>
        <v/>
      </c>
      <c r="P31" s="21" t="n"/>
      <c r="Q31" s="87" t="n">
        <v>0</v>
      </c>
      <c r="R31" s="88">
        <f>($J31/$J$34) * (G$34/$J$34)</f>
        <v/>
      </c>
      <c r="S31" s="89">
        <f>($J31/$J$34) * (H$34/$J$34)</f>
        <v/>
      </c>
      <c r="T31" s="90">
        <f>($J31/$J$34) * (I$34/$J$34)</f>
        <v/>
      </c>
      <c r="U31" s="21" t="n"/>
      <c r="V31" s="86" t="inlineStr">
        <is>
          <t>Observed Weighted Disagreement (D_obs)</t>
        </is>
      </c>
      <c r="W31" s="88">
        <f>SUMPRODUCT(G31:I33, M31:O33) /$J$34</f>
        <v/>
      </c>
      <c r="X31" s="90" t="inlineStr">
        <is>
          <t>Sum of (confusion-matrix counts × weights) divided by total items.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'GPT-5 Generation'!C32</f>
        <v/>
      </c>
      <c r="D32" s="5">
        <f>'Claude Sonnet 4.5 Gen'!C32</f>
        <v/>
      </c>
      <c r="E32" s="21" t="n"/>
      <c r="F32" s="87" t="n">
        <v>0.5</v>
      </c>
      <c r="G32" s="91">
        <f>COUNTIFS($A$2:$A$116,$F$30,$C$2:$C$116,$F32,$D$2:$D$116,G$30)</f>
        <v/>
      </c>
      <c r="H32" s="80">
        <f>COUNTIFS($A$2:$A$116,$F$30,$C$2:$C$116,$F32,$D$2:$D$116,H$30)</f>
        <v/>
      </c>
      <c r="I32" s="92">
        <f>COUNTIFS($A$2:$A$116,$F$30,$C$2:$C$116,$F32,$D$2:$D$116,I$30)</f>
        <v/>
      </c>
      <c r="J32" s="80">
        <f>SUM(G32:I32)</f>
        <v/>
      </c>
      <c r="K32" s="21" t="n"/>
      <c r="L32" s="87" t="n">
        <v>0.5</v>
      </c>
      <c r="M32" s="91">
        <f>ABS(G$2-$F32)/1</f>
        <v/>
      </c>
      <c r="N32" s="80">
        <f>ABS(H$2-$F32)/3</f>
        <v/>
      </c>
      <c r="O32" s="92">
        <f>ABS(I$2-$F32)/1</f>
        <v/>
      </c>
      <c r="P32" s="21" t="n"/>
      <c r="Q32" s="87" t="n">
        <v>0.5</v>
      </c>
      <c r="R32" s="91">
        <f>($J32/$J$34) * (G$34/$J$34)</f>
        <v/>
      </c>
      <c r="S32" s="80">
        <f>($J32/$J$34) * (H$34/$J$34)</f>
        <v/>
      </c>
      <c r="T32" s="92">
        <f>($J32/$J$34) * (I$34/$J$34)</f>
        <v/>
      </c>
      <c r="U32" s="21" t="n"/>
      <c r="V32" s="86" t="inlineStr">
        <is>
          <t>Expected Weighted Disagreement (D_exp)</t>
        </is>
      </c>
      <c r="W32" s="91">
        <f>SUMPRODUCT(R31:T33, M31:O33)</f>
        <v/>
      </c>
      <c r="X32" s="92" t="inlineStr">
        <is>
          <t>Sum of (expected cell proportions × weights) under chance agreement.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'GPT-5 Generation'!C33</f>
        <v/>
      </c>
      <c r="D33" s="5">
        <f>'Claude Sonnet 4.5 Gen'!C33</f>
        <v/>
      </c>
      <c r="E33" s="21" t="n"/>
      <c r="F33" s="87" t="n">
        <v>1</v>
      </c>
      <c r="G33" s="93">
        <f>COUNTIFS($A$2:$A$109,$F$30,$C$2:$C$109,$F33,$D$2:$D$109,G$30) + MAX(C112-D112,0)</f>
        <v/>
      </c>
      <c r="H33" s="94">
        <f>COUNTIFS($A$2:$A$116,$F$30,$C$2:$C$116,$F33,$D$2:$D$116,H$30)</f>
        <v/>
      </c>
      <c r="I33" s="95">
        <f>COUNTIFS($A$2:$A$109,$F$30,$C$2:$C$109,$F33,$D$2:$D$109,I$30) + MIN(C112,D112)</f>
        <v/>
      </c>
      <c r="J33" s="80">
        <f>SUM(G33:I33)</f>
        <v/>
      </c>
      <c r="K33" s="21" t="n"/>
      <c r="L33" s="87" t="n">
        <v>1</v>
      </c>
      <c r="M33" s="93">
        <f>ABS(G$2-$F33)/1</f>
        <v/>
      </c>
      <c r="N33" s="94">
        <f>ABS(H$2-$F33)/1</f>
        <v/>
      </c>
      <c r="O33" s="95">
        <f>ABS(I$2-$F33)/1</f>
        <v/>
      </c>
      <c r="P33" s="21" t="n"/>
      <c r="Q33" s="87" t="n">
        <v>1</v>
      </c>
      <c r="R33" s="93">
        <f>($J33/$J$34) * (G$34/$J$34)</f>
        <v/>
      </c>
      <c r="S33" s="94">
        <f>($J33/$J$34) * (H$34/$J$34)</f>
        <v/>
      </c>
      <c r="T33" s="95">
        <f>($J33/$J$34) * (I$34/$J$34)</f>
        <v/>
      </c>
      <c r="U33" s="21" t="n"/>
      <c r="V33" s="86" t="inlineStr">
        <is>
          <t>Cohen's Kappa</t>
        </is>
      </c>
      <c r="W33" s="93">
        <f>1-W31/W32</f>
        <v/>
      </c>
      <c r="X33" s="95" t="inlineStr">
        <is>
          <t>1 - (D_obs / D_exp)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'GPT-5 Generation'!C34</f>
        <v/>
      </c>
      <c r="D34" s="5">
        <f>'Claude Sonnet 4.5 Gen'!C34</f>
        <v/>
      </c>
      <c r="E34" s="21" t="n"/>
      <c r="F34" s="96" t="inlineStr">
        <is>
          <t>Column Totals</t>
        </is>
      </c>
      <c r="G34" s="80">
        <f>SUM(G31:G33)</f>
        <v/>
      </c>
      <c r="H34" s="80">
        <f>SUM(H31:H33)</f>
        <v/>
      </c>
      <c r="I34" s="80">
        <f>SUM(I31:I33)</f>
        <v/>
      </c>
      <c r="J34" s="80">
        <f>SUM(G31:I33)</f>
        <v/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ht="15.75" customHeight="1" s="101">
      <c r="A35" s="5">
        <f>Wumple!A35</f>
        <v/>
      </c>
      <c r="B35" s="5">
        <f>Wumple!B35</f>
        <v/>
      </c>
      <c r="C35" s="5">
        <f>'GPT-5 Generation'!C35</f>
        <v/>
      </c>
      <c r="D35" s="5">
        <f>'Claude Sonnet 4.5 Gen'!C35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 ht="15.75" customHeight="1" s="101">
      <c r="A36" s="5">
        <f>Wumple!A36</f>
        <v/>
      </c>
      <c r="B36" s="5">
        <f>Wumple!B36</f>
        <v/>
      </c>
      <c r="C36" s="5">
        <f>'GPT-5 Generation'!C36</f>
        <v/>
      </c>
      <c r="D36" s="5">
        <f>'Claude Sonnet 4.5 Gen'!C36</f>
        <v/>
      </c>
      <c r="E36" s="21" t="n"/>
      <c r="F36" s="109" t="inlineStr">
        <is>
          <t>Confusion Matrix (Action)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</row>
    <row r="37" ht="15.75" customHeight="1" s="101">
      <c r="A37" s="5">
        <f>Wumple!A37</f>
        <v/>
      </c>
      <c r="B37" s="5">
        <f>Wumple!B37</f>
        <v/>
      </c>
      <c r="C37" s="5">
        <f>'GPT-5 Generation'!C37</f>
        <v/>
      </c>
      <c r="D37" s="5">
        <f>'Claude Sonnet 4.5 Gen'!C37</f>
        <v/>
      </c>
      <c r="E37" s="21" t="n"/>
      <c r="F37" s="80" t="inlineStr">
        <is>
          <t>Action</t>
        </is>
      </c>
      <c r="G37" s="97" t="inlineStr">
        <is>
          <t>0</t>
        </is>
      </c>
      <c r="H37" s="97" t="inlineStr">
        <is>
          <t>0.5</t>
        </is>
      </c>
      <c r="I37" s="97" t="inlineStr">
        <is>
          <t>1</t>
        </is>
      </c>
      <c r="J37" s="84" t="inlineStr">
        <is>
          <t>Row Totals</t>
        </is>
      </c>
      <c r="K37" s="21" t="n"/>
      <c r="L37" s="80" t="inlineStr">
        <is>
          <t>Global</t>
        </is>
      </c>
      <c r="M37" s="85" t="n">
        <v>0</v>
      </c>
      <c r="N37" s="85" t="inlineStr">
        <is>
          <t>0.5</t>
        </is>
      </c>
      <c r="O37" s="85" t="inlineStr">
        <is>
          <t>1</t>
        </is>
      </c>
      <c r="P37" s="21" t="n"/>
      <c r="Q37" s="80" t="inlineStr">
        <is>
          <t>Global</t>
        </is>
      </c>
      <c r="R37" s="85" t="inlineStr">
        <is>
          <t>0</t>
        </is>
      </c>
      <c r="S37" s="85" t="inlineStr">
        <is>
          <t>0.5</t>
        </is>
      </c>
      <c r="T37" s="85" t="inlineStr">
        <is>
          <t>1</t>
        </is>
      </c>
      <c r="U37" s="21" t="n"/>
      <c r="V37" s="58">
        <f>"Metrics" &amp; " " &amp; F37</f>
        <v/>
      </c>
      <c r="W37" s="86" t="inlineStr">
        <is>
          <t>Value</t>
        </is>
      </c>
      <c r="X37" s="86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'GPT-5 Generation'!C38</f>
        <v/>
      </c>
      <c r="D38" s="5">
        <f>'Claude Sonnet 4.5 Gen'!C38</f>
        <v/>
      </c>
      <c r="E38" s="21" t="n"/>
      <c r="F38" s="98" t="n">
        <v>0</v>
      </c>
      <c r="G38" s="88">
        <f>COUNTIFS($A$2:$A$116,F37,$C$2:$C$116,$F38,$D$2:$D$116,G37)</f>
        <v/>
      </c>
      <c r="H38" s="89">
        <f>COUNTIFS($A$2:$A$116,F37,$C$2:$C$116,$F38,$D$2:$D$116,H37)</f>
        <v/>
      </c>
      <c r="I38" s="90">
        <f>COUNTIFS($A$2:$A$109,F37,$C$2:$C$109,$F38,$D$2:$D$109,I37)+MAX(D113-C113,0)</f>
        <v/>
      </c>
      <c r="J38" s="80">
        <f>SUM(G38:I38)</f>
        <v/>
      </c>
      <c r="K38" s="21" t="n"/>
      <c r="L38" s="87" t="n">
        <v>0</v>
      </c>
      <c r="M38" s="88">
        <f>ABS(G$2-$F38)/1</f>
        <v/>
      </c>
      <c r="N38" s="89">
        <f>ABS(H$2-$F38)/1</f>
        <v/>
      </c>
      <c r="O38" s="90">
        <f>ABS(I$2-$F38)/1</f>
        <v/>
      </c>
      <c r="P38" s="21" t="n"/>
      <c r="Q38" s="87" t="n">
        <v>0</v>
      </c>
      <c r="R38" s="88">
        <f>($J38/$J$41) * (G$41/$J$41)</f>
        <v/>
      </c>
      <c r="S38" s="89">
        <f>($J38/$J$41) * (H$41/$J$41)</f>
        <v/>
      </c>
      <c r="T38" s="90">
        <f>($J38/$J$41) * (I$41/$J$41)</f>
        <v/>
      </c>
      <c r="U38" s="21" t="n"/>
      <c r="V38" s="86" t="inlineStr">
        <is>
          <t>Observed Weighted Disagreement (D_obs)</t>
        </is>
      </c>
      <c r="W38" s="88">
        <f>SUMPRODUCT(G38:I40, M38:O40) /$J$41</f>
        <v/>
      </c>
      <c r="X38" s="90" t="inlineStr">
        <is>
          <t>Sum of (confusion-matrix counts × weights) divided by total items.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'GPT-5 Generation'!C39</f>
        <v/>
      </c>
      <c r="D39" s="5">
        <f>'Claude Sonnet 4.5 Gen'!C39</f>
        <v/>
      </c>
      <c r="E39" s="21" t="n"/>
      <c r="F39" s="98" t="n">
        <v>0.5</v>
      </c>
      <c r="G39" s="91">
        <f>COUNTIFS($A$2:$A$116,F37,$C$2:$C$116,$F39,$D$2:$D$116,G37)</f>
        <v/>
      </c>
      <c r="H39" s="80">
        <f>COUNTIFS($A$2:$A$116,F37,$C$2:$C$116,$F38,$D$2:$D$116,H37)</f>
        <v/>
      </c>
      <c r="I39" s="92">
        <f>COUNTIFS($A$2:$A$116,F37,$C$2:$C$116,$F39,$D$2:$D$116,I37)</f>
        <v/>
      </c>
      <c r="J39" s="80">
        <f>SUM(G39:I39)</f>
        <v/>
      </c>
      <c r="K39" s="21" t="n"/>
      <c r="L39" s="87" t="n">
        <v>0.5</v>
      </c>
      <c r="M39" s="91">
        <f>ABS(G$2-$F39)/1</f>
        <v/>
      </c>
      <c r="N39" s="80">
        <f>ABS(H$2-$F39)/3</f>
        <v/>
      </c>
      <c r="O39" s="92">
        <f>ABS(I$2-$F39)/1</f>
        <v/>
      </c>
      <c r="P39" s="21" t="n"/>
      <c r="Q39" s="87" t="n">
        <v>0.5</v>
      </c>
      <c r="R39" s="91">
        <f>($J39/$J$41) * (G$41/$J$41)</f>
        <v/>
      </c>
      <c r="S39" s="80">
        <f>($J39/$J$41) * (H$41/$J$41)</f>
        <v/>
      </c>
      <c r="T39" s="92">
        <f>($J39/$J$41) * (I$41/$J$41)</f>
        <v/>
      </c>
      <c r="U39" s="21" t="n"/>
      <c r="V39" s="86" t="inlineStr">
        <is>
          <t>Expected Weighted Disagreement (D_exp)</t>
        </is>
      </c>
      <c r="W39" s="91">
        <f>SUMPRODUCT(R38:T40, M38:O40)</f>
        <v/>
      </c>
      <c r="X39" s="92" t="inlineStr">
        <is>
          <t>Sum of (expected cell proportions × weights) under chance agreement.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'GPT-5 Generation'!C40</f>
        <v/>
      </c>
      <c r="D40" s="5">
        <f>'Claude Sonnet 4.5 Gen'!C40</f>
        <v/>
      </c>
      <c r="E40" s="21" t="n"/>
      <c r="F40" s="98" t="n">
        <v>1</v>
      </c>
      <c r="G40" s="93">
        <f>COUNTIFS($A$2:$A$109,F37,$C$2:$C$109,$F40,$D$2:$D$109,G37)+MAX(C113-D113,0)</f>
        <v/>
      </c>
      <c r="H40" s="94">
        <f>COUNTIFS($A$2:$A$116,F37,$C$2:$C$116,$F40,$D$2:$D$116,H37)</f>
        <v/>
      </c>
      <c r="I40" s="95">
        <f>COUNTIFS($A$2:$A$109,F37,$C$2:$C$109,$F40,$D$2:$D$109,I37) + MIN(C113,D113)</f>
        <v/>
      </c>
      <c r="J40" s="80">
        <f>SUM(G40:I40)</f>
        <v/>
      </c>
      <c r="K40" s="21" t="n"/>
      <c r="L40" s="87" t="n">
        <v>1</v>
      </c>
      <c r="M40" s="93">
        <f>ABS(G$2-$F40)/1</f>
        <v/>
      </c>
      <c r="N40" s="94">
        <f>ABS(H$2-$F40)/1</f>
        <v/>
      </c>
      <c r="O40" s="95">
        <f>ABS(I$2-$F40)/1</f>
        <v/>
      </c>
      <c r="P40" s="21" t="n"/>
      <c r="Q40" s="87" t="n">
        <v>1</v>
      </c>
      <c r="R40" s="93">
        <f>($J40/$J$41) * (G$41/$J$41)</f>
        <v/>
      </c>
      <c r="S40" s="94">
        <f>($J40/$J$41) * (H$41/$J$41)</f>
        <v/>
      </c>
      <c r="T40" s="95">
        <f>($J40/$J$41) * (I$41/$J$41)</f>
        <v/>
      </c>
      <c r="U40" s="21" t="n"/>
      <c r="V40" s="86" t="inlineStr">
        <is>
          <t>Cohen's Kappa</t>
        </is>
      </c>
      <c r="W40" s="93">
        <f>1-W38/W39</f>
        <v/>
      </c>
      <c r="X40" s="95" t="inlineStr">
        <is>
          <t>1 - (D_obs / D_exp)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'GPT-5 Generation'!C41</f>
        <v/>
      </c>
      <c r="D41" s="5">
        <f>'Claude Sonnet 4.5 Gen'!C41</f>
        <v/>
      </c>
      <c r="E41" s="21" t="n"/>
      <c r="F41" s="96" t="inlineStr">
        <is>
          <t>Column Totals</t>
        </is>
      </c>
      <c r="G41" s="80">
        <f>SUM(G38:G40)</f>
        <v/>
      </c>
      <c r="H41" s="80">
        <f>SUM(H39:H40)</f>
        <v/>
      </c>
      <c r="I41" s="80">
        <f>SUM(I38:I40)</f>
        <v/>
      </c>
      <c r="J41" s="80">
        <f>SUM(G38:I40)</f>
        <v/>
      </c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</row>
    <row r="42" ht="15.75" customHeight="1" s="101">
      <c r="A42" s="5">
        <f>Wumple!A42</f>
        <v/>
      </c>
      <c r="B42" s="5">
        <f>Wumple!B42</f>
        <v/>
      </c>
      <c r="C42" s="5">
        <f>'GPT-5 Generation'!C42</f>
        <v/>
      </c>
      <c r="D42" s="5">
        <f>'Claude Sonnet 4.5 Gen'!C42</f>
        <v/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ht="15.75" customHeight="1" s="101">
      <c r="A43" s="5">
        <f>Wumple!A43</f>
        <v/>
      </c>
      <c r="B43" s="5">
        <f>Wumple!B43</f>
        <v/>
      </c>
      <c r="C43" s="5">
        <f>'GPT-5 Generation'!C43</f>
        <v/>
      </c>
      <c r="D43" s="5">
        <f>'Claude Sonnet 4.5 Gen'!C43</f>
        <v/>
      </c>
      <c r="E43" s="21" t="n"/>
      <c r="F43" s="109" t="inlineStr">
        <is>
          <t>Confusion Matrix (History State)</t>
        </is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</row>
    <row r="44" ht="15.75" customHeight="1" s="101">
      <c r="A44" s="5">
        <f>Wumple!A44</f>
        <v/>
      </c>
      <c r="B44" s="5">
        <f>Wumple!B44</f>
        <v/>
      </c>
      <c r="C44" s="5">
        <f>'GPT-5 Generation'!C44</f>
        <v/>
      </c>
      <c r="D44" s="5">
        <f>'Claude Sonnet 4.5 Gen'!C44</f>
        <v/>
      </c>
      <c r="E44" s="21" t="n"/>
      <c r="F44" s="80" t="inlineStr">
        <is>
          <t>History State</t>
        </is>
      </c>
      <c r="G44" s="85" t="inlineStr">
        <is>
          <t>0</t>
        </is>
      </c>
      <c r="H44" s="85" t="inlineStr">
        <is>
          <t>0.5</t>
        </is>
      </c>
      <c r="I44" s="85" t="inlineStr">
        <is>
          <t>1</t>
        </is>
      </c>
      <c r="J44" s="84" t="inlineStr">
        <is>
          <t>Row Totals</t>
        </is>
      </c>
      <c r="K44" s="21" t="n"/>
      <c r="L44" s="80" t="inlineStr">
        <is>
          <t>Global</t>
        </is>
      </c>
      <c r="M44" s="85" t="inlineStr">
        <is>
          <t>0</t>
        </is>
      </c>
      <c r="N44" s="85" t="inlineStr">
        <is>
          <t>0.5</t>
        </is>
      </c>
      <c r="O44" s="85" t="inlineStr">
        <is>
          <t>1</t>
        </is>
      </c>
      <c r="P44" s="21" t="n"/>
      <c r="Q44" s="80" t="inlineStr">
        <is>
          <t>Global</t>
        </is>
      </c>
      <c r="R44" s="85" t="inlineStr">
        <is>
          <t>0</t>
        </is>
      </c>
      <c r="S44" s="85" t="inlineStr">
        <is>
          <t>0.5</t>
        </is>
      </c>
      <c r="T44" s="85" t="inlineStr">
        <is>
          <t>1</t>
        </is>
      </c>
      <c r="U44" s="21" t="n"/>
      <c r="V44" s="58">
        <f>"Metrics" &amp; " " &amp; F44</f>
        <v/>
      </c>
      <c r="W44" s="86" t="inlineStr">
        <is>
          <t>Value</t>
        </is>
      </c>
      <c r="X44" s="86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'GPT-5 Generation'!C45</f>
        <v/>
      </c>
      <c r="D45" s="5">
        <f>'Claude Sonnet 4.5 Gen'!C45</f>
        <v/>
      </c>
      <c r="E45" s="21" t="n"/>
      <c r="F45" s="87" t="n">
        <v>0</v>
      </c>
      <c r="G45" s="88">
        <f>COUNTIFS($A$2:$A$116,$F$44,$C$2:$C$116,$F45,$D$2:$D$116,G$44)</f>
        <v/>
      </c>
      <c r="H45" s="89">
        <f>COUNTIFS($A$2:$A$116,$F$44,$C$2:$C$116,$F45,$D$2:$D$116,H$44)</f>
        <v/>
      </c>
      <c r="I45" s="90">
        <f>COUNTIFS($A$2:$A$109,$F$44,$C$2:$C$109,$F45,$D$2:$D$109,I$44) + MAX(D116-C116,0)</f>
        <v/>
      </c>
      <c r="J45" s="80">
        <f>SUM(G45:I45)</f>
        <v/>
      </c>
      <c r="K45" s="21" t="n"/>
      <c r="L45" s="87" t="n">
        <v>0</v>
      </c>
      <c r="M45" s="88">
        <f>ABS(G$2-$F45)/1</f>
        <v/>
      </c>
      <c r="N45" s="89">
        <f>ABS(H$2-$F45)/1</f>
        <v/>
      </c>
      <c r="O45" s="90">
        <f>ABS(I$2-$F45)/1</f>
        <v/>
      </c>
      <c r="P45" s="21" t="n"/>
      <c r="Q45" s="87" t="n">
        <v>0</v>
      </c>
      <c r="R45" s="88">
        <f>($J45/$J$48) * (G$48/$J$48)</f>
        <v/>
      </c>
      <c r="S45" s="89">
        <f>($J45/$J$48) * (H$48/$J$48)</f>
        <v/>
      </c>
      <c r="T45" s="90">
        <f>($J45/$J$48) * (I$48/$J$48)</f>
        <v/>
      </c>
      <c r="U45" s="21" t="n"/>
      <c r="V45" s="86" t="inlineStr">
        <is>
          <t>Observed Weighted Disagreement (D_obs)</t>
        </is>
      </c>
      <c r="W45" s="88">
        <f>SUMPRODUCT(G45:I47, M45:O47) /$J$48</f>
        <v/>
      </c>
      <c r="X45" s="90" t="inlineStr">
        <is>
          <t>Sum of (confusion-matrix counts × weights) divided by total items.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'GPT-5 Generation'!C46</f>
        <v/>
      </c>
      <c r="D46" s="5">
        <f>'Claude Sonnet 4.5 Gen'!C46</f>
        <v/>
      </c>
      <c r="E46" s="21" t="n"/>
      <c r="F46" s="87" t="n">
        <v>0.5</v>
      </c>
      <c r="G46" s="91">
        <f>COUNTIFS($A$2:$A$116,$F$44,$C$2:$C$116,$F46,$D$2:$D$116,G$44)</f>
        <v/>
      </c>
      <c r="H46" s="80">
        <f>COUNTIFS($A$2:$A$116,$F$44,$C$2:$C$116,$F46,$D$2:$D$116,H$44)</f>
        <v/>
      </c>
      <c r="I46" s="92">
        <f>COUNTIFS($A$2:$A$116,$F$44,$C$2:$C$116,$F46,$D$2:$D$116,I$44)</f>
        <v/>
      </c>
      <c r="J46" s="80">
        <f>SUM(G46:I46)</f>
        <v/>
      </c>
      <c r="K46" s="21" t="n"/>
      <c r="L46" s="87" t="n">
        <v>0.5</v>
      </c>
      <c r="M46" s="91">
        <f>ABS(G$2-$F46)/1</f>
        <v/>
      </c>
      <c r="N46" s="80">
        <f>ABS(H$2-$F46)/3</f>
        <v/>
      </c>
      <c r="O46" s="92">
        <f>ABS(I$2-$F46)/1</f>
        <v/>
      </c>
      <c r="P46" s="21" t="n"/>
      <c r="Q46" s="87" t="n">
        <v>0.5</v>
      </c>
      <c r="R46" s="91">
        <f>($J46/$J$48) * (G$48/$J$48)</f>
        <v/>
      </c>
      <c r="S46" s="80">
        <f>($J46/$J$48) * (H$48/$J$48)</f>
        <v/>
      </c>
      <c r="T46" s="92">
        <f>($J46/$J$48) * (I$48/$J$48)</f>
        <v/>
      </c>
      <c r="U46" s="21" t="n"/>
      <c r="V46" s="86" t="inlineStr">
        <is>
          <t>Expected Weighted Disagreement (D_exp)</t>
        </is>
      </c>
      <c r="W46" s="91">
        <f>SUMPRODUCT(R45:T47, M45:O47)</f>
        <v/>
      </c>
      <c r="X46" s="92" t="inlineStr">
        <is>
          <t>Sum of (expected cell proportions × weights) under chance agreement.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'GPT-5 Generation'!C47</f>
        <v/>
      </c>
      <c r="D47" s="5">
        <f>'Claude Sonnet 4.5 Gen'!C47</f>
        <v/>
      </c>
      <c r="E47" s="21" t="n"/>
      <c r="F47" s="87" t="n">
        <v>1</v>
      </c>
      <c r="G47" s="93">
        <f>COUNTIFS($A$2:$A$109,$F$44,$C$2:$C$109,$F47,$D$2:$D$109,G$44) + MAX(C116-D116,0)</f>
        <v/>
      </c>
      <c r="H47" s="94">
        <f>COUNTIFS($A$2:$A$116,$F$44,$C$2:$C$116,$F47,$D$2:$D$116,H$44)</f>
        <v/>
      </c>
      <c r="I47" s="95">
        <f>COUNTIFS($A$2:$A$109,$F$44,$C$2:$C$109,$F47,$D$2:$D$109,I$44) + MIN(C116,D116)</f>
        <v/>
      </c>
      <c r="J47" s="80">
        <f>SUM(G47:I47)</f>
        <v/>
      </c>
      <c r="K47" s="21" t="n"/>
      <c r="L47" s="87" t="n">
        <v>1</v>
      </c>
      <c r="M47" s="93">
        <f>ABS(G$2-$F47)/1</f>
        <v/>
      </c>
      <c r="N47" s="94">
        <f>ABS(H$2-$F47)/1</f>
        <v/>
      </c>
      <c r="O47" s="95">
        <f>ABS(I$2-$F47)/1</f>
        <v/>
      </c>
      <c r="P47" s="21" t="n"/>
      <c r="Q47" s="87" t="n">
        <v>1</v>
      </c>
      <c r="R47" s="93">
        <f>($J47/$J$48) * (G$48/$J$48)</f>
        <v/>
      </c>
      <c r="S47" s="94">
        <f>($J47/$J$48) * (H$48/$J$48)</f>
        <v/>
      </c>
      <c r="T47" s="95">
        <f>($J47/$J$48) * (I$48/$J$48)</f>
        <v/>
      </c>
      <c r="U47" s="21" t="n"/>
      <c r="V47" s="86" t="inlineStr">
        <is>
          <t>Cohen's Kappa</t>
        </is>
      </c>
      <c r="W47" s="93">
        <f>1-W45/W46</f>
        <v/>
      </c>
      <c r="X47" s="95" t="inlineStr">
        <is>
          <t>1 - (D_obs / D_exp)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'GPT-5 Generation'!C48</f>
        <v/>
      </c>
      <c r="D48" s="5">
        <f>'Claude Sonnet 4.5 Gen'!C48</f>
        <v/>
      </c>
      <c r="E48" s="21" t="n"/>
      <c r="F48" s="96" t="inlineStr">
        <is>
          <t>Column Totals</t>
        </is>
      </c>
      <c r="G48" s="80">
        <f>SUM(G45:G47)</f>
        <v/>
      </c>
      <c r="H48" s="80">
        <f>SUM(H45:H47)</f>
        <v/>
      </c>
      <c r="I48" s="80">
        <f>SUM(I45:I47)</f>
        <v/>
      </c>
      <c r="J48" s="80">
        <f>SUM(G45:I47)</f>
        <v/>
      </c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</row>
    <row r="49" ht="15.75" customHeight="1" s="101">
      <c r="A49" s="5">
        <f>Wumple!A49</f>
        <v/>
      </c>
      <c r="B49" s="5">
        <f>Wumple!B49</f>
        <v/>
      </c>
      <c r="C49" s="5">
        <f>'GPT-5 Generation'!C49</f>
        <v/>
      </c>
      <c r="D49" s="5">
        <f>'Claude Sonnet 4.5 Gen'!C49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</row>
    <row r="50" ht="15.75" customHeight="1" s="101">
      <c r="A50" s="5">
        <f>Wumple!A50</f>
        <v/>
      </c>
      <c r="B50" s="5">
        <f>Wumple!B50</f>
        <v/>
      </c>
      <c r="C50" s="5">
        <f>'GPT-5 Generation'!C50</f>
        <v/>
      </c>
      <c r="D50" s="5">
        <f>'Claude Sonnet 4.5 Gen'!C50</f>
        <v/>
      </c>
      <c r="E50" s="21" t="n"/>
      <c r="F50" s="109" t="inlineStr">
        <is>
          <t>Confusion Matrix (Region)</t>
        </is>
      </c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 ht="15.75" customHeight="1" s="101">
      <c r="A51" s="5">
        <f>Wumple!A51</f>
        <v/>
      </c>
      <c r="B51" s="5">
        <f>Wumple!B51</f>
        <v/>
      </c>
      <c r="C51" s="5">
        <f>'GPT-5 Generation'!C51</f>
        <v/>
      </c>
      <c r="D51" s="5">
        <f>'Claude Sonnet 4.5 Gen'!C51</f>
        <v/>
      </c>
      <c r="E51" s="21" t="n"/>
      <c r="F51" s="80" t="inlineStr">
        <is>
          <t>Region</t>
        </is>
      </c>
      <c r="G51" s="85" t="inlineStr">
        <is>
          <t>0</t>
        </is>
      </c>
      <c r="H51" s="85" t="inlineStr">
        <is>
          <t>0.5</t>
        </is>
      </c>
      <c r="I51" s="85" t="inlineStr">
        <is>
          <t>1</t>
        </is>
      </c>
      <c r="J51" s="84" t="inlineStr">
        <is>
          <t>Row Totals</t>
        </is>
      </c>
      <c r="K51" s="21" t="n"/>
      <c r="L51" s="80" t="inlineStr">
        <is>
          <t>Global</t>
        </is>
      </c>
      <c r="M51" s="85" t="inlineStr">
        <is>
          <t>0</t>
        </is>
      </c>
      <c r="N51" s="85" t="inlineStr">
        <is>
          <t>0.5</t>
        </is>
      </c>
      <c r="O51" s="85" t="inlineStr">
        <is>
          <t>1</t>
        </is>
      </c>
      <c r="P51" s="21" t="n"/>
      <c r="Q51" s="80" t="inlineStr">
        <is>
          <t>Global</t>
        </is>
      </c>
      <c r="R51" s="85" t="inlineStr">
        <is>
          <t>0</t>
        </is>
      </c>
      <c r="S51" s="85" t="inlineStr">
        <is>
          <t>0.5</t>
        </is>
      </c>
      <c r="T51" s="85" t="inlineStr">
        <is>
          <t>1</t>
        </is>
      </c>
      <c r="U51" s="21" t="n"/>
      <c r="V51" s="58">
        <f>"Metrics" &amp; " " &amp; F51</f>
        <v/>
      </c>
      <c r="W51" s="86" t="inlineStr">
        <is>
          <t>Value</t>
        </is>
      </c>
      <c r="X51" s="86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'GPT-5 Generation'!C52</f>
        <v/>
      </c>
      <c r="D52" s="5">
        <f>'Claude Sonnet 4.5 Gen'!C52</f>
        <v/>
      </c>
      <c r="E52" s="21" t="n"/>
      <c r="F52" s="87" t="n">
        <v>0</v>
      </c>
      <c r="G52" s="88">
        <f>COUNTIFS($A$2:$A$116,$F$51,$C$2:$C$116,$F52,$D$2:$D$116,G$51)</f>
        <v/>
      </c>
      <c r="H52" s="89">
        <f>COUNTIFS($A$2:$A$116,$F$51,$C$2:$C$116,$F52,$D$2:$D$116,H$51)</f>
        <v/>
      </c>
      <c r="I52" s="90">
        <f>COUNTIFS($A$2:$A$109,$F$51,$C$2:$C$109,$F52,$D$2:$D$109,I$51)+MAX(D115-C115,0)</f>
        <v/>
      </c>
      <c r="J52" s="80">
        <f>SUM(G52:I52)</f>
        <v/>
      </c>
      <c r="K52" s="21" t="n"/>
      <c r="L52" s="87" t="n">
        <v>0</v>
      </c>
      <c r="M52" s="88">
        <f>ABS(G$2-$F52)/1</f>
        <v/>
      </c>
      <c r="N52" s="89">
        <f>ABS(H$2-$F52)/1</f>
        <v/>
      </c>
      <c r="O52" s="90">
        <f>ABS(I$2-$F52)/1</f>
        <v/>
      </c>
      <c r="P52" s="21" t="n"/>
      <c r="Q52" s="87" t="n">
        <v>0</v>
      </c>
      <c r="R52" s="88">
        <f>($J52/$J$55) * (G$55/$J$55)</f>
        <v/>
      </c>
      <c r="S52" s="89">
        <f>($J52/$J$55) * (H$55/$J$55)</f>
        <v/>
      </c>
      <c r="T52" s="90">
        <f>($J52/$J$55) * (I$55/$J$55)</f>
        <v/>
      </c>
      <c r="U52" s="21" t="n"/>
      <c r="V52" s="86" t="inlineStr">
        <is>
          <t>Observed Weighted Disagreement (D_obs)</t>
        </is>
      </c>
      <c r="W52" s="88">
        <f>SUMPRODUCT(G52:I54, M52:O54) /$J$55</f>
        <v/>
      </c>
      <c r="X52" s="90" t="inlineStr">
        <is>
          <t>Sum of (confusion-matrix counts × weights) divided by total items.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'GPT-5 Generation'!C53</f>
        <v/>
      </c>
      <c r="D53" s="5">
        <f>'Claude Sonnet 4.5 Gen'!C53</f>
        <v/>
      </c>
      <c r="E53" s="21" t="n"/>
      <c r="F53" s="87" t="n">
        <v>0.5</v>
      </c>
      <c r="G53" s="91">
        <f>COUNTIFS($A$2:$A$116,$F$51,$C$2:$C$116,$F53,$D$2:$D$116,G$51)</f>
        <v/>
      </c>
      <c r="H53" s="80">
        <f>COUNTIFS($A$2:$A$116,$F$51,$C$2:$C$116,$F53,$D$2:$D$116,H$51)</f>
        <v/>
      </c>
      <c r="I53" s="92">
        <f>COUNTIFS($A$2:$A$116,$F$51,$C$2:$C$116,$F53,$D$2:$D$116,I$51)</f>
        <v/>
      </c>
      <c r="J53" s="80">
        <f>SUM(G53:I53)</f>
        <v/>
      </c>
      <c r="K53" s="21" t="n"/>
      <c r="L53" s="87" t="n">
        <v>0.5</v>
      </c>
      <c r="M53" s="91">
        <f>ABS(G$2-$F53)/1</f>
        <v/>
      </c>
      <c r="N53" s="80">
        <f>ABS(H$2-$F53)/3</f>
        <v/>
      </c>
      <c r="O53" s="92">
        <f>ABS(I$2-$F53)/1</f>
        <v/>
      </c>
      <c r="P53" s="21" t="n"/>
      <c r="Q53" s="87" t="n">
        <v>0.5</v>
      </c>
      <c r="R53" s="91">
        <f>($J53/$J$55) * (G$55/$J$55)</f>
        <v/>
      </c>
      <c r="S53" s="80">
        <f>($J53/$J$55) * (H$55/$J$55)</f>
        <v/>
      </c>
      <c r="T53" s="92">
        <f>($J53/$J$55) * (I$55/$J$55)</f>
        <v/>
      </c>
      <c r="U53" s="21" t="n"/>
      <c r="V53" s="86" t="inlineStr">
        <is>
          <t>Expected Weighted Disagreement (D_exp)</t>
        </is>
      </c>
      <c r="W53" s="91">
        <f>SUMPRODUCT(R52:T54, M52:O54)</f>
        <v/>
      </c>
      <c r="X53" s="92" t="inlineStr">
        <is>
          <t>Sum of (expected cell proportions × weights) under chance agreement.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'GPT-5 Generation'!C54</f>
        <v/>
      </c>
      <c r="D54" s="5">
        <f>'Claude Sonnet 4.5 Gen'!C54</f>
        <v/>
      </c>
      <c r="E54" s="21" t="n"/>
      <c r="F54" s="87" t="n">
        <v>1</v>
      </c>
      <c r="G54" s="93">
        <f>COUNTIFS($A$2:$A$109,$F$51,$C$2:$C$109,$F54,$D$2:$D$109,G$51) + MAX(C115-D115,0)</f>
        <v/>
      </c>
      <c r="H54" s="94">
        <f>COUNTIFS($A$2:$A$116,$F$51,$C$2:$C$116,$F54,$D$2:$D$116,H$51)</f>
        <v/>
      </c>
      <c r="I54" s="95">
        <f>COUNTIFS($A$2:$A$109,$F$51,$C$2:$C$109,$F54,$D$2:$D$109,I$51)+MIN(C115,D115)</f>
        <v/>
      </c>
      <c r="J54" s="80">
        <f>SUM(G54:I54)</f>
        <v/>
      </c>
      <c r="K54" s="21" t="n"/>
      <c r="L54" s="87" t="n">
        <v>1</v>
      </c>
      <c r="M54" s="93">
        <f>ABS(G$2-$F54)/1</f>
        <v/>
      </c>
      <c r="N54" s="94">
        <f>ABS(H$2-$F54)/1</f>
        <v/>
      </c>
      <c r="O54" s="95">
        <f>ABS(I$2-$F54)/1</f>
        <v/>
      </c>
      <c r="P54" s="21" t="n"/>
      <c r="Q54" s="87" t="n">
        <v>1</v>
      </c>
      <c r="R54" s="93">
        <f>($J54/$J$55) * (G$55/$J$55)</f>
        <v/>
      </c>
      <c r="S54" s="94">
        <f>($J54/$J$55) * (H$55/$J$55)</f>
        <v/>
      </c>
      <c r="T54" s="95">
        <f>($J54/$J$55) * (I$55/$J$55)</f>
        <v/>
      </c>
      <c r="U54" s="21" t="n"/>
      <c r="V54" s="86" t="inlineStr">
        <is>
          <t>Cohen's Kappa</t>
        </is>
      </c>
      <c r="W54" s="93">
        <f>1-W52/W53</f>
        <v/>
      </c>
      <c r="X54" s="95" t="inlineStr">
        <is>
          <t>1 - (D_obs / D_exp)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'GPT-5 Generation'!C55</f>
        <v/>
      </c>
      <c r="D55" s="5">
        <f>'Claude Sonnet 4.5 Gen'!C55</f>
        <v/>
      </c>
      <c r="E55" s="21" t="n"/>
      <c r="F55" s="96" t="inlineStr">
        <is>
          <t>Column Totals</t>
        </is>
      </c>
      <c r="G55" s="80">
        <f>SUM(G52:G54)</f>
        <v/>
      </c>
      <c r="H55" s="80">
        <f>SUM(H52:H54)</f>
        <v/>
      </c>
      <c r="I55" s="80">
        <f>SUM(I52:I54)</f>
        <v/>
      </c>
      <c r="J55" s="80">
        <f>SUM(G52:I54)</f>
        <v/>
      </c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 ht="15.75" customHeight="1" s="101">
      <c r="A56" s="5">
        <f>Wumple!A56</f>
        <v/>
      </c>
      <c r="B56" s="5">
        <f>Wumple!B56</f>
        <v/>
      </c>
      <c r="C56" s="5">
        <f>'GPT-5 Generation'!C56</f>
        <v/>
      </c>
      <c r="D56" s="5">
        <f>'Claude Sonnet 4.5 Gen'!C56</f>
        <v/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</row>
    <row r="57" ht="15.75" customHeight="1" s="101">
      <c r="A57" s="5">
        <f>Wumple!A57</f>
        <v/>
      </c>
      <c r="B57" s="5">
        <f>Wumple!B57</f>
        <v/>
      </c>
      <c r="C57" s="5">
        <f>'GPT-5 Generation'!C57</f>
        <v/>
      </c>
      <c r="D57" s="5">
        <f>'Claude Sonnet 4.5 Gen'!C57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 ht="15.75" customHeight="1" s="101">
      <c r="A58" s="5">
        <f>Wumple!A58</f>
        <v/>
      </c>
      <c r="B58" s="5">
        <f>Wumple!B58</f>
        <v/>
      </c>
      <c r="C58" s="5">
        <f>'GPT-5 Generation'!C58</f>
        <v/>
      </c>
      <c r="D58" s="5">
        <f>'Claude Sonnet 4.5 Gen'!C58</f>
        <v/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 ht="15.75" customHeight="1" s="101">
      <c r="A59" s="5">
        <f>Wumple!A59</f>
        <v/>
      </c>
      <c r="B59" s="5">
        <f>Wumple!B59</f>
        <v/>
      </c>
      <c r="C59" s="5">
        <f>'GPT-5 Generation'!C59</f>
        <v/>
      </c>
      <c r="D59" s="5">
        <f>'Claude Sonnet 4.5 Gen'!C59</f>
        <v/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</row>
    <row r="60" ht="15.75" customHeight="1" s="101">
      <c r="A60" s="5">
        <f>Wumple!A60</f>
        <v/>
      </c>
      <c r="B60" s="5">
        <f>Wumple!B60</f>
        <v/>
      </c>
      <c r="C60" s="5">
        <f>'GPT-5 Generation'!C60</f>
        <v/>
      </c>
      <c r="D60" s="5">
        <f>'Claude Sonnet 4.5 Gen'!C60</f>
        <v/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</row>
    <row r="61" ht="15.75" customHeight="1" s="101">
      <c r="A61" s="5">
        <f>Wumple!A61</f>
        <v/>
      </c>
      <c r="B61" s="5">
        <f>Wumple!B61</f>
        <v/>
      </c>
      <c r="C61" s="5">
        <f>'GPT-5 Generation'!C61</f>
        <v/>
      </c>
      <c r="D61" s="5">
        <f>'Claude Sonnet 4.5 Gen'!C61</f>
        <v/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</row>
    <row r="62" ht="15.75" customHeight="1" s="101">
      <c r="A62" s="5">
        <f>Wumple!A62</f>
        <v/>
      </c>
      <c r="B62" s="5">
        <f>Wumple!B62</f>
        <v/>
      </c>
      <c r="C62" s="5">
        <f>'GPT-5 Generation'!C62</f>
        <v/>
      </c>
      <c r="D62" s="5">
        <f>'Claude Sonnet 4.5 Gen'!C62</f>
        <v/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</row>
    <row r="63" ht="15.75" customHeight="1" s="101">
      <c r="A63" s="5">
        <f>Wumple!A63</f>
        <v/>
      </c>
      <c r="B63" s="5">
        <f>Wumple!B63</f>
        <v/>
      </c>
      <c r="C63" s="5">
        <f>'GPT-5 Generation'!C63</f>
        <v/>
      </c>
      <c r="D63" s="5">
        <f>'Claude Sonnet 4.5 Gen'!C63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</row>
    <row r="64" ht="15.75" customHeight="1" s="101">
      <c r="A64" s="5">
        <f>Wumple!A64</f>
        <v/>
      </c>
      <c r="B64" s="5">
        <f>Wumple!B64</f>
        <v/>
      </c>
      <c r="C64" s="5">
        <f>'GPT-5 Generation'!C64</f>
        <v/>
      </c>
      <c r="D64" s="5">
        <f>'Claude Sonnet 4.5 Gen'!C64</f>
        <v/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</row>
    <row r="65" ht="15.75" customHeight="1" s="101">
      <c r="A65" s="5">
        <f>Wumple!A65</f>
        <v/>
      </c>
      <c r="B65" s="5">
        <f>Wumple!B65</f>
        <v/>
      </c>
      <c r="C65" s="5">
        <f>'GPT-5 Generation'!C65</f>
        <v/>
      </c>
      <c r="D65" s="5">
        <f>'Claude Sonnet 4.5 Gen'!C65</f>
        <v/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ht="15.75" customHeight="1" s="101">
      <c r="A66" s="5">
        <f>Wumple!A66</f>
        <v/>
      </c>
      <c r="B66" s="5">
        <f>Wumple!B66</f>
        <v/>
      </c>
      <c r="C66" s="5">
        <f>'GPT-5 Generation'!C66</f>
        <v/>
      </c>
      <c r="D66" s="5">
        <f>'Claude Sonnet 4.5 Gen'!C66</f>
        <v/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</row>
    <row r="67" ht="15.75" customHeight="1" s="101">
      <c r="A67" s="5">
        <f>Wumple!A67</f>
        <v/>
      </c>
      <c r="B67" s="5">
        <f>Wumple!B67</f>
        <v/>
      </c>
      <c r="C67" s="5">
        <f>'GPT-5 Generation'!C67</f>
        <v/>
      </c>
      <c r="D67" s="5">
        <f>'Claude Sonnet 4.5 Gen'!C67</f>
        <v/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</row>
    <row r="68" ht="15.75" customHeight="1" s="101">
      <c r="A68" s="5">
        <f>Wumple!A68</f>
        <v/>
      </c>
      <c r="B68" s="5">
        <f>Wumple!B68</f>
        <v/>
      </c>
      <c r="C68" s="5">
        <f>'GPT-5 Generation'!C68</f>
        <v/>
      </c>
      <c r="D68" s="5">
        <f>'Claude Sonnet 4.5 Gen'!C68</f>
        <v/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</row>
    <row r="69" ht="15.75" customHeight="1" s="101">
      <c r="A69" s="5">
        <f>Wumple!A69</f>
        <v/>
      </c>
      <c r="B69" s="5">
        <f>Wumple!B69</f>
        <v/>
      </c>
      <c r="C69" s="5">
        <f>'GPT-5 Generation'!C69</f>
        <v/>
      </c>
      <c r="D69" s="5">
        <f>'Claude Sonnet 4.5 Gen'!C69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</row>
    <row r="70" ht="15.75" customHeight="1" s="101">
      <c r="A70" s="5">
        <f>Wumple!A70</f>
        <v/>
      </c>
      <c r="B70" s="5">
        <f>Wumple!B70</f>
        <v/>
      </c>
      <c r="C70" s="5">
        <f>'GPT-5 Generation'!C70</f>
        <v/>
      </c>
      <c r="D70" s="5">
        <f>'Claude Sonnet 4.5 Gen'!C70</f>
        <v/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</row>
    <row r="71" ht="15.75" customHeight="1" s="101">
      <c r="A71" s="5">
        <f>Wumple!A71</f>
        <v/>
      </c>
      <c r="B71" s="5">
        <f>Wumple!B71</f>
        <v/>
      </c>
      <c r="C71" s="5">
        <f>'GPT-5 Generation'!C71</f>
        <v/>
      </c>
      <c r="D71" s="5">
        <f>'Claude Sonnet 4.5 Gen'!C71</f>
        <v/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</row>
    <row r="72" ht="15.75" customHeight="1" s="101">
      <c r="A72" s="5">
        <f>Wumple!A72</f>
        <v/>
      </c>
      <c r="B72" s="5">
        <f>Wumple!B72</f>
        <v/>
      </c>
      <c r="C72" s="5">
        <f>'GPT-5 Generation'!C72</f>
        <v/>
      </c>
      <c r="D72" s="5">
        <f>'Claude Sonnet 4.5 Gen'!C72</f>
        <v/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</row>
    <row r="73" ht="15.75" customHeight="1" s="101">
      <c r="A73" s="5">
        <f>Wumple!A73</f>
        <v/>
      </c>
      <c r="B73" s="5">
        <f>Wumple!B73</f>
        <v/>
      </c>
      <c r="C73" s="5">
        <f>'GPT-5 Generation'!C73</f>
        <v/>
      </c>
      <c r="D73" s="5">
        <f>'Claude Sonnet 4.5 Gen'!C73</f>
        <v/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</row>
    <row r="74" ht="15.75" customHeight="1" s="101">
      <c r="A74" s="5">
        <f>Wumple!A74</f>
        <v/>
      </c>
      <c r="B74" s="5">
        <f>Wumple!B74</f>
        <v/>
      </c>
      <c r="C74" s="5">
        <f>'GPT-5 Generation'!C74</f>
        <v/>
      </c>
      <c r="D74" s="5">
        <f>'Claude Sonnet 4.5 Gen'!C74</f>
        <v/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</row>
    <row r="75" ht="15.75" customHeight="1" s="101">
      <c r="A75" s="5">
        <f>Wumple!A75</f>
        <v/>
      </c>
      <c r="B75" s="5">
        <f>Wumple!B75</f>
        <v/>
      </c>
      <c r="C75" s="5">
        <f>'GPT-5 Generation'!C75</f>
        <v/>
      </c>
      <c r="D75" s="5">
        <f>'Claude Sonnet 4.5 Gen'!C75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</row>
    <row r="76" ht="15.75" customHeight="1" s="101">
      <c r="A76" s="5">
        <f>Wumple!A76</f>
        <v/>
      </c>
      <c r="B76" s="5">
        <f>Wumple!B76</f>
        <v/>
      </c>
      <c r="C76" s="5">
        <f>'GPT-5 Generation'!C76</f>
        <v/>
      </c>
      <c r="D76" s="5">
        <f>'Claude Sonnet 4.5 Gen'!C76</f>
        <v/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</row>
    <row r="77" ht="15.75" customHeight="1" s="101">
      <c r="A77" s="5">
        <f>Wumple!A77</f>
        <v/>
      </c>
      <c r="B77" s="5">
        <f>Wumple!B77</f>
        <v/>
      </c>
      <c r="C77" s="5">
        <f>'GPT-5 Generation'!C77</f>
        <v/>
      </c>
      <c r="D77" s="5">
        <f>'Claude Sonnet 4.5 Gen'!C77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</row>
    <row r="78" ht="15.75" customHeight="1" s="101">
      <c r="A78" s="5">
        <f>Wumple!A78</f>
        <v/>
      </c>
      <c r="B78" s="5">
        <f>Wumple!B78</f>
        <v/>
      </c>
      <c r="C78" s="5">
        <f>'GPT-5 Generation'!C78</f>
        <v/>
      </c>
      <c r="D78" s="5">
        <f>'Claude Sonnet 4.5 Gen'!C78</f>
        <v/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</row>
    <row r="79" ht="15.75" customHeight="1" s="101">
      <c r="A79" s="5">
        <f>Wumple!A79</f>
        <v/>
      </c>
      <c r="B79" s="5">
        <f>Wumple!B79</f>
        <v/>
      </c>
      <c r="C79" s="5">
        <f>'GPT-5 Generation'!C79</f>
        <v/>
      </c>
      <c r="D79" s="5">
        <f>'Claude Sonnet 4.5 Gen'!C79</f>
        <v/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</row>
    <row r="80" ht="15.75" customHeight="1" s="101">
      <c r="A80" s="5">
        <f>Wumple!A80</f>
        <v/>
      </c>
      <c r="B80" s="5">
        <f>Wumple!B80</f>
        <v/>
      </c>
      <c r="C80" s="5">
        <f>'GPT-5 Generation'!C80</f>
        <v/>
      </c>
      <c r="D80" s="5">
        <f>'Claude Sonnet 4.5 Gen'!C80</f>
        <v/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</row>
    <row r="81" ht="15.75" customHeight="1" s="101">
      <c r="A81" s="5">
        <f>Wumple!A81</f>
        <v/>
      </c>
      <c r="B81" s="5">
        <f>Wumple!B81</f>
        <v/>
      </c>
      <c r="C81" s="5">
        <f>'GPT-5 Generation'!C81</f>
        <v/>
      </c>
      <c r="D81" s="5">
        <f>'Claude Sonnet 4.5 Gen'!C81</f>
        <v/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</row>
    <row r="82" ht="15.75" customHeight="1" s="101">
      <c r="A82" s="5">
        <f>Wumple!A82</f>
        <v/>
      </c>
      <c r="B82" s="5">
        <f>Wumple!B82</f>
        <v/>
      </c>
      <c r="C82" s="5">
        <f>'GPT-5 Generation'!C82</f>
        <v/>
      </c>
      <c r="D82" s="5">
        <f>'Claude Sonnet 4.5 Gen'!C82</f>
        <v/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</row>
    <row r="83" ht="15.75" customHeight="1" s="101">
      <c r="A83" s="5">
        <f>Wumple!A83</f>
        <v/>
      </c>
      <c r="B83" s="5">
        <f>Wumple!B83</f>
        <v/>
      </c>
      <c r="C83" s="5">
        <f>'GPT-5 Generation'!C83</f>
        <v/>
      </c>
      <c r="D83" s="5">
        <f>'Claude Sonnet 4.5 Gen'!C83</f>
        <v/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</row>
    <row r="84" ht="15.75" customHeight="1" s="101">
      <c r="A84" s="5">
        <f>Wumple!A84</f>
        <v/>
      </c>
      <c r="B84" s="5">
        <f>Wumple!B84</f>
        <v/>
      </c>
      <c r="C84" s="5">
        <f>'GPT-5 Generation'!C84</f>
        <v/>
      </c>
      <c r="D84" s="5">
        <f>'Claude Sonnet 4.5 Gen'!C84</f>
        <v/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</row>
    <row r="85" ht="15.75" customHeight="1" s="101">
      <c r="A85" s="5">
        <f>Wumple!A85</f>
        <v/>
      </c>
      <c r="B85" s="5">
        <f>Wumple!B85</f>
        <v/>
      </c>
      <c r="C85" s="5">
        <f>'GPT-5 Generation'!C85</f>
        <v/>
      </c>
      <c r="D85" s="5">
        <f>'Claude Sonnet 4.5 Gen'!C85</f>
        <v/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</row>
    <row r="86" ht="15.75" customHeight="1" s="101">
      <c r="A86" s="5">
        <f>Wumple!A86</f>
        <v/>
      </c>
      <c r="B86" s="5">
        <f>Wumple!B86</f>
        <v/>
      </c>
      <c r="C86" s="5">
        <f>'GPT-5 Generation'!C86</f>
        <v/>
      </c>
      <c r="D86" s="5">
        <f>'Claude Sonnet 4.5 Gen'!C86</f>
        <v/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</row>
    <row r="87" ht="15.75" customHeight="1" s="101">
      <c r="A87" s="5">
        <f>Wumple!A87</f>
        <v/>
      </c>
      <c r="B87" s="5">
        <f>Wumple!B87</f>
        <v/>
      </c>
      <c r="C87" s="5">
        <f>'GPT-5 Generation'!C87</f>
        <v/>
      </c>
      <c r="D87" s="5">
        <f>'Claude Sonnet 4.5 Gen'!C87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</row>
    <row r="88" ht="15.75" customHeight="1" s="101">
      <c r="A88" s="5">
        <f>Wumple!A88</f>
        <v/>
      </c>
      <c r="B88" s="5">
        <f>Wumple!B88</f>
        <v/>
      </c>
      <c r="C88" s="5">
        <f>'GPT-5 Generation'!C88</f>
        <v/>
      </c>
      <c r="D88" s="5">
        <f>'Claude Sonnet 4.5 Gen'!C88</f>
        <v/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</row>
    <row r="89" ht="15.75" customHeight="1" s="101">
      <c r="A89" s="5">
        <f>Wumple!A89</f>
        <v/>
      </c>
      <c r="B89" s="5">
        <f>Wumple!B89</f>
        <v/>
      </c>
      <c r="C89" s="5">
        <f>'GPT-5 Generation'!C89</f>
        <v/>
      </c>
      <c r="D89" s="5">
        <f>'Claude Sonnet 4.5 Gen'!C89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</row>
    <row r="90" ht="15.75" customHeight="1" s="101">
      <c r="A90" s="5">
        <f>Wumple!A90</f>
        <v/>
      </c>
      <c r="B90" s="5">
        <f>Wumple!B90</f>
        <v/>
      </c>
      <c r="C90" s="5">
        <f>'GPT-5 Generation'!C90</f>
        <v/>
      </c>
      <c r="D90" s="5">
        <f>'Claude Sonnet 4.5 Gen'!C90</f>
        <v/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</row>
    <row r="91" ht="15.75" customHeight="1" s="101">
      <c r="A91" s="5">
        <f>Wumple!A91</f>
        <v/>
      </c>
      <c r="B91" s="5">
        <f>Wumple!B91</f>
        <v/>
      </c>
      <c r="C91" s="5">
        <f>'GPT-5 Generation'!C91</f>
        <v/>
      </c>
      <c r="D91" s="5">
        <f>'Claude Sonnet 4.5 Gen'!C91</f>
        <v/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</row>
    <row r="92" ht="15.75" customHeight="1" s="101">
      <c r="A92" s="5">
        <f>Wumple!A92</f>
        <v/>
      </c>
      <c r="B92" s="5">
        <f>Wumple!B92</f>
        <v/>
      </c>
      <c r="C92" s="5">
        <f>'GPT-5 Generation'!C92</f>
        <v/>
      </c>
      <c r="D92" s="5">
        <f>'Claude Sonnet 4.5 Gen'!C92</f>
        <v/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</row>
    <row r="93" ht="15.75" customHeight="1" s="101">
      <c r="A93" s="5">
        <f>Wumple!A93</f>
        <v/>
      </c>
      <c r="B93" s="5">
        <f>Wumple!B93</f>
        <v/>
      </c>
      <c r="C93" s="5">
        <f>'GPT-5 Generation'!C93</f>
        <v/>
      </c>
      <c r="D93" s="5">
        <f>'Claude Sonnet 4.5 Gen'!C93</f>
        <v/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</row>
    <row r="94" ht="15.75" customHeight="1" s="101">
      <c r="A94" s="5">
        <f>Wumple!A94</f>
        <v/>
      </c>
      <c r="B94" s="5">
        <f>Wumple!B94</f>
        <v/>
      </c>
      <c r="C94" s="5">
        <f>'GPT-5 Generation'!C94</f>
        <v/>
      </c>
      <c r="D94" s="5">
        <f>'Claude Sonnet 4.5 Gen'!C94</f>
        <v/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</row>
    <row r="95" ht="15.75" customHeight="1" s="101">
      <c r="A95" s="5">
        <f>Wumple!A95</f>
        <v/>
      </c>
      <c r="B95" s="5">
        <f>Wumple!B95</f>
        <v/>
      </c>
      <c r="C95" s="5">
        <f>'GPT-5 Generation'!C95</f>
        <v/>
      </c>
      <c r="D95" s="5">
        <f>'Claude Sonnet 4.5 Gen'!C95</f>
        <v/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</row>
    <row r="96" ht="15.75" customHeight="1" s="101">
      <c r="A96" s="5">
        <f>Wumple!A96</f>
        <v/>
      </c>
      <c r="B96" s="5">
        <f>Wumple!B96</f>
        <v/>
      </c>
      <c r="C96" s="5">
        <f>'GPT-5 Generation'!C96</f>
        <v/>
      </c>
      <c r="D96" s="5">
        <f>'Claude Sonnet 4.5 Gen'!C96</f>
        <v/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</row>
    <row r="97" ht="15.75" customHeight="1" s="101">
      <c r="A97" s="5">
        <f>Wumple!A97</f>
        <v/>
      </c>
      <c r="B97" s="5">
        <f>Wumple!B97</f>
        <v/>
      </c>
      <c r="C97" s="5">
        <f>'GPT-5 Generation'!C97</f>
        <v/>
      </c>
      <c r="D97" s="5">
        <f>'Claude Sonnet 4.5 Gen'!C97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</row>
    <row r="98" ht="15.75" customHeight="1" s="101">
      <c r="A98" s="5">
        <f>Wumple!A98</f>
        <v/>
      </c>
      <c r="B98" s="5">
        <f>Wumple!B98</f>
        <v/>
      </c>
      <c r="C98" s="5">
        <f>'GPT-5 Generation'!C98</f>
        <v/>
      </c>
      <c r="D98" s="5">
        <f>'Claude Sonnet 4.5 Gen'!C98</f>
        <v/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</row>
    <row r="99" ht="15.75" customHeight="1" s="101">
      <c r="A99" s="5">
        <f>Wumple!A99</f>
        <v/>
      </c>
      <c r="B99" s="5">
        <f>Wumple!B99</f>
        <v/>
      </c>
      <c r="C99" s="5">
        <f>'GPT-5 Generation'!C99</f>
        <v/>
      </c>
      <c r="D99" s="5">
        <f>'Claude Sonnet 4.5 Gen'!C99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</row>
    <row r="100" ht="15.75" customHeight="1" s="101">
      <c r="A100" s="5">
        <f>Wumple!A100</f>
        <v/>
      </c>
      <c r="B100" s="5">
        <f>Wumple!B100</f>
        <v/>
      </c>
      <c r="C100" s="5">
        <f>'GPT-5 Generation'!C100</f>
        <v/>
      </c>
      <c r="D100" s="5">
        <f>'Claude Sonnet 4.5 Gen'!C100</f>
        <v/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</row>
    <row r="101" ht="15.75" customHeight="1" s="101">
      <c r="A101" s="5">
        <f>Wumple!A101</f>
        <v/>
      </c>
      <c r="B101" s="5">
        <f>Wumple!B101</f>
        <v/>
      </c>
      <c r="C101" s="5">
        <f>'GPT-5 Generation'!C101</f>
        <v/>
      </c>
      <c r="D101" s="5">
        <f>'Claude Sonnet 4.5 Gen'!C101</f>
        <v/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</row>
    <row r="102" ht="15.75" customHeight="1" s="101">
      <c r="A102" s="5">
        <f>Wumple!A102</f>
        <v/>
      </c>
      <c r="B102" s="5">
        <f>Wumple!B102</f>
        <v/>
      </c>
      <c r="C102" s="5">
        <f>'GPT-5 Generation'!C102</f>
        <v/>
      </c>
      <c r="D102" s="5">
        <f>'Claude Sonnet 4.5 Gen'!C102</f>
        <v/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</row>
    <row r="103" ht="15.75" customHeight="1" s="101">
      <c r="A103" s="5">
        <f>Wumple!A103</f>
        <v/>
      </c>
      <c r="B103" s="5">
        <f>Wumple!B103</f>
        <v/>
      </c>
      <c r="C103" s="5">
        <f>'GPT-5 Generation'!C103</f>
        <v/>
      </c>
      <c r="D103" s="5">
        <f>'Claude Sonnet 4.5 Gen'!C103</f>
        <v/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</row>
    <row r="104" ht="15.75" customHeight="1" s="101">
      <c r="A104" s="5">
        <f>Wumple!A104</f>
        <v/>
      </c>
      <c r="B104" s="5">
        <f>Wumple!B104</f>
        <v/>
      </c>
      <c r="C104" s="5">
        <f>'GPT-5 Generation'!C104</f>
        <v/>
      </c>
      <c r="D104" s="5">
        <f>'Claude Sonnet 4.5 Gen'!C104</f>
        <v/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</row>
    <row r="105" ht="15.75" customHeight="1" s="101">
      <c r="A105" s="5">
        <f>Wumple!A105</f>
        <v/>
      </c>
      <c r="B105" s="5">
        <f>Wumple!B105</f>
        <v/>
      </c>
      <c r="C105" s="5">
        <f>'GPT-5 Generation'!C105</f>
        <v/>
      </c>
      <c r="D105" s="5">
        <f>'Claude Sonnet 4.5 Gen'!C105</f>
        <v/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</row>
    <row r="106" ht="15.75" customHeight="1" s="101">
      <c r="A106" s="5">
        <f>Wumple!A106</f>
        <v/>
      </c>
      <c r="B106" s="5">
        <f>Wumple!B106</f>
        <v/>
      </c>
      <c r="C106" s="5">
        <f>'GPT-5 Generation'!C106</f>
        <v/>
      </c>
      <c r="D106" s="5">
        <f>'Claude Sonnet 4.5 Gen'!C106</f>
        <v/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</row>
    <row r="107" ht="15.75" customHeight="1" s="101">
      <c r="A107" s="5">
        <f>Wumple!A107</f>
        <v/>
      </c>
      <c r="B107" s="5">
        <f>Wumple!B107</f>
        <v/>
      </c>
      <c r="C107" s="5">
        <f>'GPT-5 Generation'!C107</f>
        <v/>
      </c>
      <c r="D107" s="5">
        <f>'Claude Sonnet 4.5 Gen'!C107</f>
        <v/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</row>
    <row r="108" ht="15.75" customHeight="1" s="101">
      <c r="A108" s="5">
        <f>Wumple!A108</f>
        <v/>
      </c>
      <c r="B108" s="5">
        <f>Wumple!B108</f>
        <v/>
      </c>
      <c r="C108" s="5">
        <f>'GPT-5 Generation'!C108</f>
        <v/>
      </c>
      <c r="D108" s="5">
        <f>'Claude Sonnet 4.5 Gen'!C108</f>
        <v/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</row>
    <row r="109" ht="15.75" customHeight="1" s="101">
      <c r="A109" s="5">
        <f>Wumple!A109</f>
        <v/>
      </c>
      <c r="B109" s="5">
        <f>Wumple!B109</f>
        <v/>
      </c>
      <c r="C109" s="5">
        <f>'GPT-5 Generation'!C109</f>
        <v/>
      </c>
      <c r="D109" s="5">
        <f>'Claude Sonnet 4.5 Gen'!C109</f>
        <v/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</row>
    <row r="110" ht="15.75" customHeight="1" s="101">
      <c r="A110" s="74">
        <f>Wumple!A110</f>
        <v/>
      </c>
      <c r="B110" s="74">
        <f>Wumple!B110</f>
        <v/>
      </c>
      <c r="C110" s="74">
        <f>'GPT-5 Generation'!C110</f>
        <v/>
      </c>
      <c r="D110" s="74">
        <f>'Claude Sonnet 4.5 Gen'!C110</f>
        <v/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</row>
    <row r="111" ht="15.75" customHeight="1" s="101">
      <c r="A111" s="5">
        <f>Wumple!A111</f>
        <v/>
      </c>
      <c r="B111" s="5">
        <f>Wumple!B111</f>
        <v/>
      </c>
      <c r="C111" s="5">
        <f>'GPT-5 Generation'!C111</f>
        <v/>
      </c>
      <c r="D111" s="5">
        <f>'Claude Sonnet 4.5 Gen'!C111</f>
        <v/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</row>
    <row r="112" ht="15.75" customHeight="1" s="101">
      <c r="A112" s="5">
        <f>Wumple!A112</f>
        <v/>
      </c>
      <c r="B112" s="5">
        <f>Wumple!B112</f>
        <v/>
      </c>
      <c r="C112" s="5">
        <f>'GPT-5 Generation'!C112</f>
        <v/>
      </c>
      <c r="D112" s="5">
        <f>'Claude Sonnet 4.5 Gen'!C112</f>
        <v/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</row>
    <row r="113" ht="15.75" customHeight="1" s="101">
      <c r="A113" s="5">
        <f>Wumple!A113</f>
        <v/>
      </c>
      <c r="B113" s="5">
        <f>Wumple!B113</f>
        <v/>
      </c>
      <c r="C113" s="5">
        <f>'GPT-5 Generation'!C113</f>
        <v/>
      </c>
      <c r="D113" s="5">
        <f>'Claude Sonnet 4.5 Gen'!C113</f>
        <v/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</row>
    <row r="114" ht="15.75" customHeight="1" s="101">
      <c r="A114" s="5">
        <f>Wumple!A114</f>
        <v/>
      </c>
      <c r="B114" s="5">
        <f>Wumple!B114</f>
        <v/>
      </c>
      <c r="C114" s="5">
        <f>'GPT-5 Generation'!C114</f>
        <v/>
      </c>
      <c r="D114" s="5">
        <f>'Claude Sonnet 4.5 Gen'!C114</f>
        <v/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</row>
    <row r="115" ht="15.75" customHeight="1" s="101">
      <c r="A115" s="5">
        <f>Wumple!A115</f>
        <v/>
      </c>
      <c r="B115" s="5">
        <f>Wumple!B115</f>
        <v/>
      </c>
      <c r="C115" s="5">
        <f>'GPT-5 Generation'!C115</f>
        <v/>
      </c>
      <c r="D115" s="5">
        <f>'Claude Sonnet 4.5 Gen'!C115</f>
        <v/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</row>
    <row r="116" ht="15.75" customHeight="1" s="101">
      <c r="A116" s="5">
        <f>Wumple!A116</f>
        <v/>
      </c>
      <c r="B116" s="5">
        <f>Wumple!B116</f>
        <v/>
      </c>
      <c r="C116" s="5">
        <f>'GPT-5 Generation'!C116</f>
        <v/>
      </c>
      <c r="D116" s="5">
        <f>'Claude Sonnet 4.5 Gen'!C116</f>
        <v/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2026-05-04T23:31:27Z</dcterms:modified>
  <cp:lastModifiedBy>Marc-Antoine Nadeau</cp:lastModifiedBy>
</cp:coreProperties>
</file>