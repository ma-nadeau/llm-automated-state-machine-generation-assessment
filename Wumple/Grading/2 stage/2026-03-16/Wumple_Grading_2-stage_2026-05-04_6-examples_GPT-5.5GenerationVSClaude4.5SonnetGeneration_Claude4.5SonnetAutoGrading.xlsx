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Wumple/Grading/2 stage/2026-03-16/"/>
    </mc:Choice>
  </mc:AlternateContent>
  <xr:revisionPtr revIDLastSave="0" documentId="8_{01BB8B05-EE23-074A-B448-1D8F8DEF0FE5}" xr6:coauthVersionLast="47" xr6:coauthVersionMax="47" xr10:uidLastSave="{00000000-0000-0000-0000-000000000000}"/>
  <bookViews>
    <workbookView xWindow="0" yWindow="660" windowWidth="30240" windowHeight="17300" activeTab="3" xr2:uid="{00000000-000D-0000-FFFF-FFFF00000000}"/>
  </bookViews>
  <sheets>
    <sheet name="Wumple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6" l="1"/>
  <c r="C116" i="6"/>
  <c r="B116" i="6"/>
  <c r="A116" i="6"/>
  <c r="D115" i="6"/>
  <c r="C115" i="6"/>
  <c r="B115" i="6"/>
  <c r="A115" i="6"/>
  <c r="D114" i="6"/>
  <c r="C114" i="6"/>
  <c r="B114" i="6"/>
  <c r="A114" i="6"/>
  <c r="D113" i="6"/>
  <c r="C113" i="6"/>
  <c r="B113" i="6"/>
  <c r="A113" i="6"/>
  <c r="D112" i="6"/>
  <c r="C112" i="6"/>
  <c r="B112" i="6"/>
  <c r="A112" i="6"/>
  <c r="D111" i="6"/>
  <c r="C111" i="6"/>
  <c r="B111" i="6"/>
  <c r="A111" i="6"/>
  <c r="D110" i="6"/>
  <c r="C110" i="6"/>
  <c r="B110" i="6"/>
  <c r="A110" i="6"/>
  <c r="D109" i="6"/>
  <c r="C109" i="6"/>
  <c r="B109" i="6"/>
  <c r="A109" i="6"/>
  <c r="D108" i="6"/>
  <c r="C108" i="6"/>
  <c r="B108" i="6"/>
  <c r="A108" i="6"/>
  <c r="D107" i="6"/>
  <c r="C107" i="6"/>
  <c r="B107" i="6"/>
  <c r="A107" i="6"/>
  <c r="D106" i="6"/>
  <c r="C106" i="6"/>
  <c r="B106" i="6"/>
  <c r="A106" i="6"/>
  <c r="D105" i="6"/>
  <c r="C105" i="6"/>
  <c r="B105" i="6"/>
  <c r="A105" i="6"/>
  <c r="D104" i="6"/>
  <c r="C104" i="6"/>
  <c r="B104" i="6"/>
  <c r="A104" i="6"/>
  <c r="D103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D96" i="6"/>
  <c r="C96" i="6"/>
  <c r="B96" i="6"/>
  <c r="A96" i="6"/>
  <c r="D95" i="6"/>
  <c r="C95" i="6"/>
  <c r="B95" i="6"/>
  <c r="A95" i="6"/>
  <c r="D94" i="6"/>
  <c r="C94" i="6"/>
  <c r="B94" i="6"/>
  <c r="A94" i="6"/>
  <c r="D93" i="6"/>
  <c r="C93" i="6"/>
  <c r="B93" i="6"/>
  <c r="A93" i="6"/>
  <c r="D92" i="6"/>
  <c r="C92" i="6"/>
  <c r="B92" i="6"/>
  <c r="A92" i="6"/>
  <c r="D91" i="6"/>
  <c r="C91" i="6"/>
  <c r="B91" i="6"/>
  <c r="A91" i="6"/>
  <c r="D90" i="6"/>
  <c r="C90" i="6"/>
  <c r="B90" i="6"/>
  <c r="A90" i="6"/>
  <c r="D89" i="6"/>
  <c r="C89" i="6"/>
  <c r="B89" i="6"/>
  <c r="A89" i="6"/>
  <c r="D88" i="6"/>
  <c r="C88" i="6"/>
  <c r="B88" i="6"/>
  <c r="A88" i="6"/>
  <c r="D87" i="6"/>
  <c r="C87" i="6"/>
  <c r="B87" i="6"/>
  <c r="A87" i="6"/>
  <c r="D86" i="6"/>
  <c r="C86" i="6"/>
  <c r="B86" i="6"/>
  <c r="A86" i="6"/>
  <c r="D85" i="6"/>
  <c r="C85" i="6"/>
  <c r="B85" i="6"/>
  <c r="A85" i="6"/>
  <c r="D84" i="6"/>
  <c r="C84" i="6"/>
  <c r="B84" i="6"/>
  <c r="A84" i="6"/>
  <c r="D83" i="6"/>
  <c r="C83" i="6"/>
  <c r="B83" i="6"/>
  <c r="A83" i="6"/>
  <c r="D82" i="6"/>
  <c r="C82" i="6"/>
  <c r="B82" i="6"/>
  <c r="A82" i="6"/>
  <c r="D81" i="6"/>
  <c r="C81" i="6"/>
  <c r="B81" i="6"/>
  <c r="A81" i="6"/>
  <c r="D80" i="6"/>
  <c r="C80" i="6"/>
  <c r="B80" i="6"/>
  <c r="A80" i="6"/>
  <c r="D79" i="6"/>
  <c r="C79" i="6"/>
  <c r="B79" i="6"/>
  <c r="A79" i="6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116" i="5"/>
  <c r="C116" i="5"/>
  <c r="B116" i="5"/>
  <c r="A116" i="5"/>
  <c r="D115" i="5"/>
  <c r="C115" i="5"/>
  <c r="G54" i="5" s="1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H25" i="5" s="1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G47" i="5" s="1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G24" i="5" s="1"/>
  <c r="C4" i="5"/>
  <c r="B4" i="5"/>
  <c r="A4" i="5"/>
  <c r="D3" i="5"/>
  <c r="C3" i="5"/>
  <c r="B3" i="5"/>
  <c r="A3" i="5"/>
  <c r="D2" i="5"/>
  <c r="C2" i="5"/>
  <c r="B2" i="5"/>
  <c r="A2" i="5"/>
  <c r="E21" i="4"/>
  <c r="E20" i="4"/>
  <c r="D20" i="4"/>
  <c r="C20" i="4"/>
  <c r="B20" i="4"/>
  <c r="E19" i="4"/>
  <c r="D19" i="4"/>
  <c r="C19" i="4"/>
  <c r="G19" i="4" s="1"/>
  <c r="B19" i="4"/>
  <c r="G18" i="4"/>
  <c r="F18" i="4"/>
  <c r="H18" i="4" s="1"/>
  <c r="E18" i="4"/>
  <c r="D18" i="4"/>
  <c r="C18" i="4"/>
  <c r="B18" i="4"/>
  <c r="F17" i="4"/>
  <c r="H17" i="4" s="1"/>
  <c r="E17" i="4"/>
  <c r="D17" i="4"/>
  <c r="C17" i="4"/>
  <c r="G17" i="4" s="1"/>
  <c r="B17" i="4"/>
  <c r="E16" i="4"/>
  <c r="D16" i="4"/>
  <c r="C16" i="4"/>
  <c r="B16" i="4"/>
  <c r="G15" i="4"/>
  <c r="E15" i="4"/>
  <c r="D15" i="4"/>
  <c r="C15" i="4"/>
  <c r="F15" i="4" s="1"/>
  <c r="H15" i="4" s="1"/>
  <c r="B15" i="4"/>
  <c r="G14" i="4"/>
  <c r="E14" i="4"/>
  <c r="D14" i="4"/>
  <c r="C14" i="4"/>
  <c r="B14" i="4"/>
  <c r="E9" i="4"/>
  <c r="D9" i="4"/>
  <c r="C9" i="4"/>
  <c r="G9" i="4" s="1"/>
  <c r="B9" i="4"/>
  <c r="E8" i="4"/>
  <c r="D8" i="4"/>
  <c r="C8" i="4"/>
  <c r="G8" i="4" s="1"/>
  <c r="B8" i="4"/>
  <c r="E7" i="4"/>
  <c r="D7" i="4"/>
  <c r="C7" i="4"/>
  <c r="B7" i="4"/>
  <c r="E6" i="4"/>
  <c r="D6" i="4"/>
  <c r="C6" i="4"/>
  <c r="B6" i="4"/>
  <c r="E5" i="4"/>
  <c r="D5" i="4"/>
  <c r="C5" i="4"/>
  <c r="G5" i="4" s="1"/>
  <c r="B5" i="4"/>
  <c r="E4" i="4"/>
  <c r="D4" i="4"/>
  <c r="C4" i="4"/>
  <c r="B4" i="4"/>
  <c r="E3" i="4"/>
  <c r="D3" i="4"/>
  <c r="D10" i="4" s="1"/>
  <c r="C3" i="4"/>
  <c r="B3" i="4"/>
  <c r="E10" i="4" l="1"/>
  <c r="F9" i="4"/>
  <c r="H9" i="4" s="1"/>
  <c r="F5" i="4"/>
  <c r="H5" i="4" s="1"/>
  <c r="H26" i="5"/>
  <c r="I17" i="5"/>
  <c r="G4" i="6"/>
  <c r="I5" i="5"/>
  <c r="F8" i="4"/>
  <c r="H8" i="4" s="1"/>
  <c r="G53" i="5"/>
  <c r="I4" i="5"/>
  <c r="G26" i="6"/>
  <c r="H54" i="6"/>
  <c r="G24" i="6"/>
  <c r="I12" i="6"/>
  <c r="H18" i="6"/>
  <c r="I47" i="6"/>
  <c r="I45" i="6"/>
  <c r="H31" i="6"/>
  <c r="G12" i="5"/>
  <c r="I3" i="5"/>
  <c r="I6" i="5" s="1"/>
  <c r="G5" i="5"/>
  <c r="I10" i="5"/>
  <c r="G7" i="4"/>
  <c r="H53" i="6"/>
  <c r="I24" i="6"/>
  <c r="G3" i="4"/>
  <c r="F3" i="4"/>
  <c r="G32" i="5"/>
  <c r="H10" i="5"/>
  <c r="G40" i="5"/>
  <c r="G33" i="6"/>
  <c r="H32" i="5"/>
  <c r="H4" i="6"/>
  <c r="H3" i="5"/>
  <c r="I38" i="5"/>
  <c r="I45" i="5"/>
  <c r="I3" i="6"/>
  <c r="I54" i="6"/>
  <c r="H33" i="6"/>
  <c r="I12" i="5"/>
  <c r="I52" i="5"/>
  <c r="B10" i="4"/>
  <c r="B21" i="4"/>
  <c r="G20" i="4"/>
  <c r="G31" i="5"/>
  <c r="G46" i="5"/>
  <c r="I10" i="6"/>
  <c r="I25" i="6"/>
  <c r="I52" i="6"/>
  <c r="G4" i="4"/>
  <c r="C10" i="4"/>
  <c r="G6" i="4"/>
  <c r="H5" i="5"/>
  <c r="H4" i="5"/>
  <c r="G3" i="5"/>
  <c r="G4" i="5"/>
  <c r="I11" i="5"/>
  <c r="G33" i="5"/>
  <c r="I11" i="6"/>
  <c r="G39" i="6"/>
  <c r="I17" i="6"/>
  <c r="C21" i="4"/>
  <c r="G16" i="4"/>
  <c r="F16" i="4"/>
  <c r="H16" i="4" s="1"/>
  <c r="F4" i="4"/>
  <c r="H4" i="4" s="1"/>
  <c r="D21" i="4"/>
  <c r="F14" i="4"/>
  <c r="H14" i="4" s="1"/>
  <c r="H33" i="5"/>
  <c r="H31" i="5"/>
  <c r="G52" i="5"/>
  <c r="H54" i="5"/>
  <c r="G12" i="6"/>
  <c r="J12" i="6" s="1"/>
  <c r="G47" i="6"/>
  <c r="I32" i="5"/>
  <c r="I33" i="5"/>
  <c r="H53" i="5"/>
  <c r="G10" i="6"/>
  <c r="I31" i="6"/>
  <c r="I34" i="6" s="1"/>
  <c r="I33" i="6"/>
  <c r="H39" i="6"/>
  <c r="G45" i="6"/>
  <c r="G25" i="5"/>
  <c r="J25" i="5" s="1"/>
  <c r="G26" i="5"/>
  <c r="I31" i="5"/>
  <c r="H52" i="5"/>
  <c r="I53" i="5"/>
  <c r="I54" i="5"/>
  <c r="I4" i="6"/>
  <c r="H10" i="6"/>
  <c r="H12" i="6"/>
  <c r="G18" i="6"/>
  <c r="I39" i="6"/>
  <c r="H45" i="6"/>
  <c r="H47" i="6"/>
  <c r="G53" i="6"/>
  <c r="H24" i="5"/>
  <c r="H27" i="5" s="1"/>
  <c r="I53" i="6"/>
  <c r="F7" i="4"/>
  <c r="H7" i="4" s="1"/>
  <c r="F20" i="4"/>
  <c r="H20" i="4" s="1"/>
  <c r="H46" i="5"/>
  <c r="H26" i="6"/>
  <c r="G18" i="5"/>
  <c r="G19" i="5"/>
  <c r="I24" i="5"/>
  <c r="H45" i="5"/>
  <c r="I46" i="5"/>
  <c r="I47" i="5"/>
  <c r="G3" i="6"/>
  <c r="G5" i="6"/>
  <c r="I26" i="6"/>
  <c r="H32" i="6"/>
  <c r="G38" i="6"/>
  <c r="G40" i="6"/>
  <c r="G17" i="5"/>
  <c r="H18" i="5"/>
  <c r="H19" i="5"/>
  <c r="G39" i="5"/>
  <c r="H3" i="6"/>
  <c r="H6" i="6" s="1"/>
  <c r="H5" i="6"/>
  <c r="G11" i="6"/>
  <c r="I32" i="6"/>
  <c r="H38" i="6"/>
  <c r="H40" i="6"/>
  <c r="G46" i="6"/>
  <c r="G45" i="5"/>
  <c r="I18" i="6"/>
  <c r="H24" i="6"/>
  <c r="G32" i="6"/>
  <c r="J32" i="6" s="1"/>
  <c r="F6" i="4"/>
  <c r="F19" i="4"/>
  <c r="H19" i="4" s="1"/>
  <c r="H17" i="5"/>
  <c r="I18" i="5"/>
  <c r="I20" i="5" s="1"/>
  <c r="I19" i="5"/>
  <c r="G38" i="5"/>
  <c r="H39" i="5"/>
  <c r="H40" i="5"/>
  <c r="I5" i="6"/>
  <c r="H11" i="6"/>
  <c r="G17" i="6"/>
  <c r="G19" i="6"/>
  <c r="I38" i="6"/>
  <c r="I40" i="6"/>
  <c r="H46" i="6"/>
  <c r="G52" i="6"/>
  <c r="G54" i="6"/>
  <c r="I25" i="5"/>
  <c r="I26" i="5"/>
  <c r="M24" i="5" s="1"/>
  <c r="H47" i="5"/>
  <c r="J47" i="5" s="1"/>
  <c r="G11" i="5"/>
  <c r="H38" i="5"/>
  <c r="I39" i="5"/>
  <c r="I40" i="5"/>
  <c r="H17" i="6"/>
  <c r="H19" i="6"/>
  <c r="G25" i="6"/>
  <c r="I46" i="6"/>
  <c r="H52" i="6"/>
  <c r="H55" i="6" s="1"/>
  <c r="G10" i="5"/>
  <c r="H11" i="5"/>
  <c r="H12" i="5"/>
  <c r="I19" i="6"/>
  <c r="H25" i="6"/>
  <c r="G31" i="6"/>
  <c r="I48" i="5" l="1"/>
  <c r="J53" i="5"/>
  <c r="J46" i="5"/>
  <c r="J25" i="6"/>
  <c r="J54" i="6"/>
  <c r="H48" i="5"/>
  <c r="J53" i="6"/>
  <c r="H55" i="5"/>
  <c r="H20" i="6"/>
  <c r="S18" i="6" s="1"/>
  <c r="J4" i="6"/>
  <c r="J18" i="6"/>
  <c r="J54" i="5"/>
  <c r="H6" i="4"/>
  <c r="I55" i="6"/>
  <c r="J18" i="5"/>
  <c r="R12" i="6"/>
  <c r="G21" i="4"/>
  <c r="F21" i="4"/>
  <c r="H21" i="4" s="1"/>
  <c r="G27" i="6"/>
  <c r="R25" i="6" s="1"/>
  <c r="J24" i="6"/>
  <c r="J27" i="6"/>
  <c r="W24" i="6" s="1"/>
  <c r="J38" i="6"/>
  <c r="J41" i="6"/>
  <c r="W38" i="6" s="1"/>
  <c r="G41" i="6"/>
  <c r="I41" i="6"/>
  <c r="H20" i="5"/>
  <c r="T18" i="6"/>
  <c r="J48" i="6"/>
  <c r="W45" i="6" s="1"/>
  <c r="G48" i="6"/>
  <c r="J45" i="6"/>
  <c r="I20" i="6"/>
  <c r="G10" i="4"/>
  <c r="F10" i="4"/>
  <c r="H10" i="4" s="1"/>
  <c r="I13" i="5"/>
  <c r="J11" i="6"/>
  <c r="H41" i="6"/>
  <c r="G55" i="5"/>
  <c r="M52" i="5"/>
  <c r="J52" i="5"/>
  <c r="J39" i="6"/>
  <c r="I55" i="5"/>
  <c r="J33" i="6"/>
  <c r="J5" i="5"/>
  <c r="J26" i="6"/>
  <c r="S25" i="6"/>
  <c r="H41" i="5"/>
  <c r="J19" i="6"/>
  <c r="J11" i="5"/>
  <c r="J20" i="6"/>
  <c r="W17" i="6" s="1"/>
  <c r="G20" i="6"/>
  <c r="R18" i="6" s="1"/>
  <c r="J17" i="6"/>
  <c r="J5" i="6"/>
  <c r="H13" i="6"/>
  <c r="H34" i="5"/>
  <c r="J40" i="5"/>
  <c r="J33" i="5"/>
  <c r="H13" i="5"/>
  <c r="J12" i="5"/>
  <c r="H27" i="6"/>
  <c r="J39" i="5"/>
  <c r="J13" i="6"/>
  <c r="J10" i="6"/>
  <c r="G13" i="6"/>
  <c r="W10" i="6"/>
  <c r="J32" i="5"/>
  <c r="H34" i="6"/>
  <c r="M45" i="5"/>
  <c r="J45" i="5"/>
  <c r="G48" i="5"/>
  <c r="W31" i="6"/>
  <c r="J34" i="6"/>
  <c r="G34" i="6"/>
  <c r="J31" i="6"/>
  <c r="G13" i="5"/>
  <c r="J10" i="5"/>
  <c r="M10" i="5"/>
  <c r="T32" i="6"/>
  <c r="J3" i="6"/>
  <c r="J6" i="6"/>
  <c r="G6" i="6"/>
  <c r="J4" i="5"/>
  <c r="I13" i="6"/>
  <c r="T12" i="6" s="1"/>
  <c r="I6" i="6"/>
  <c r="H3" i="4"/>
  <c r="I48" i="6"/>
  <c r="M3" i="5"/>
  <c r="J3" i="5"/>
  <c r="G6" i="5"/>
  <c r="G27" i="5"/>
  <c r="J55" i="6"/>
  <c r="T53" i="6" s="1"/>
  <c r="G55" i="6"/>
  <c r="J52" i="6"/>
  <c r="G41" i="5"/>
  <c r="M38" i="5"/>
  <c r="J38" i="5"/>
  <c r="J46" i="6"/>
  <c r="J17" i="5"/>
  <c r="G20" i="5"/>
  <c r="M17" i="5"/>
  <c r="I27" i="5"/>
  <c r="I34" i="5"/>
  <c r="G34" i="5"/>
  <c r="M31" i="5"/>
  <c r="J31" i="5"/>
  <c r="I41" i="5"/>
  <c r="I27" i="6"/>
  <c r="T25" i="6" s="1"/>
  <c r="J24" i="5"/>
  <c r="J40" i="6"/>
  <c r="J19" i="5"/>
  <c r="H48" i="6"/>
  <c r="J26" i="5"/>
  <c r="J47" i="6"/>
  <c r="H6" i="5"/>
  <c r="M46" i="5" l="1" a="1"/>
  <c r="M46" i="5" s="1"/>
  <c r="M47" i="5" s="1"/>
  <c r="M11" i="5" a="1"/>
  <c r="M11" i="5" s="1"/>
  <c r="M12" i="5" s="1"/>
  <c r="S32" i="6"/>
  <c r="S12" i="6"/>
  <c r="W52" i="6"/>
  <c r="T4" i="6"/>
  <c r="T39" i="6"/>
  <c r="S39" i="6"/>
  <c r="R39" i="6"/>
  <c r="T19" i="6"/>
  <c r="S19" i="6"/>
  <c r="R19" i="6"/>
  <c r="M53" i="5" a="1"/>
  <c r="M53" i="5" s="1"/>
  <c r="M54" i="5" s="1"/>
  <c r="S45" i="6"/>
  <c r="R45" i="6"/>
  <c r="T45" i="6"/>
  <c r="T40" i="6"/>
  <c r="S40" i="6"/>
  <c r="R40" i="6"/>
  <c r="M4" i="5" a="1"/>
  <c r="M4" i="5" s="1"/>
  <c r="M5" i="5" s="1"/>
  <c r="T31" i="6"/>
  <c r="S31" i="6"/>
  <c r="R31" i="6"/>
  <c r="S54" i="6"/>
  <c r="T46" i="6"/>
  <c r="S46" i="6"/>
  <c r="R46" i="6"/>
  <c r="M39" i="5" a="1"/>
  <c r="M39" i="5" s="1"/>
  <c r="M40" i="5" s="1"/>
  <c r="W3" i="6"/>
  <c r="S10" i="6"/>
  <c r="R10" i="6"/>
  <c r="T10" i="6"/>
  <c r="T5" i="6"/>
  <c r="S5" i="6"/>
  <c r="R5" i="6"/>
  <c r="R11" i="6"/>
  <c r="T11" i="6"/>
  <c r="S11" i="6"/>
  <c r="T54" i="6"/>
  <c r="T38" i="6"/>
  <c r="S38" i="6"/>
  <c r="R38" i="6"/>
  <c r="R54" i="6"/>
  <c r="M32" i="5" a="1"/>
  <c r="M32" i="5" s="1"/>
  <c r="S53" i="6"/>
  <c r="T17" i="6"/>
  <c r="S17" i="6"/>
  <c r="R17" i="6"/>
  <c r="T26" i="6"/>
  <c r="S26" i="6"/>
  <c r="R26" i="6"/>
  <c r="R4" i="6"/>
  <c r="S4" i="6"/>
  <c r="M18" i="5" a="1"/>
  <c r="M18" i="5" s="1"/>
  <c r="M19" i="5" s="1"/>
  <c r="M33" i="5"/>
  <c r="T52" i="6"/>
  <c r="S52" i="6"/>
  <c r="R52" i="6"/>
  <c r="R53" i="6"/>
  <c r="R32" i="6"/>
  <c r="T33" i="6"/>
  <c r="S33" i="6"/>
  <c r="R33" i="6"/>
  <c r="T24" i="6"/>
  <c r="S24" i="6"/>
  <c r="R24" i="6"/>
  <c r="M25" i="5" a="1"/>
  <c r="M25" i="5" s="1"/>
  <c r="M26" i="5" s="1"/>
  <c r="T3" i="6"/>
  <c r="R3" i="6"/>
  <c r="S3" i="6"/>
  <c r="S47" i="6"/>
  <c r="R47" i="6"/>
  <c r="T47" i="6"/>
  <c r="W46" i="6" l="1"/>
  <c r="W47" i="6" s="1"/>
  <c r="W32" i="6"/>
  <c r="W33" i="6" s="1"/>
  <c r="W4" i="6"/>
  <c r="W11" i="6"/>
  <c r="W12" i="6" s="1"/>
  <c r="W39" i="6"/>
  <c r="W40" i="6" s="1"/>
  <c r="W53" i="6"/>
  <c r="W54" i="6" s="1"/>
  <c r="W18" i="6"/>
  <c r="W19" i="6" s="1"/>
  <c r="W5" i="6"/>
  <c r="W25" i="6"/>
  <c r="W26" i="6" s="1"/>
</calcChain>
</file>

<file path=xl/sharedStrings.xml><?xml version="1.0" encoding="utf-8"?>
<sst xmlns="http://schemas.openxmlformats.org/spreadsheetml/2006/main" count="1298" uniqueCount="354">
  <si>
    <t>Type</t>
  </si>
  <si>
    <t>Element</t>
  </si>
  <si>
    <t>GPT-5 Generation</t>
  </si>
  <si>
    <t>Notes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</si>
  <si>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</si>
  <si>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</si>
  <si>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</si>
  <si>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</si>
  <si>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</si>
  <si>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</si>
  <si>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</si>
  <si>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</si>
  <si>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</si>
  <si>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</si>
  <si>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</si>
  <si>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</si>
  <si>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</si>
  <si>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</si>
  <si>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</si>
  <si>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</si>
  <si>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</si>
  <si>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</si>
  <si>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</si>
  <si>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</si>
  <si>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</si>
  <si>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</si>
  <si>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</si>
  <si>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</si>
  <si>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</si>
  <si>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</si>
  <si>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</si>
  <si>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</si>
  <si>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</si>
  <si>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</si>
  <si>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</si>
  <si>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</si>
  <si>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</si>
  <si>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</si>
  <si>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</si>
  <si>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</si>
  <si>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</si>
  <si>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</si>
  <si>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</si>
  <si>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</si>
  <si>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</si>
  <si>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</si>
  <si>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</si>
  <si>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</si>
  <si>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</si>
  <si>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</si>
  <si>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</si>
  <si>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</si>
  <si>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</si>
  <si>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</si>
  <si>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</si>
  <si>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</si>
  <si>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</si>
  <si>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</si>
  <si>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</si>
  <si>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</si>
  <si>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</si>
  <si>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</si>
  <si>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</si>
  <si>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</si>
  <si>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</si>
  <si>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</si>
  <si>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</si>
  <si>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</si>
  <si>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</si>
  <si>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</si>
  <si>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</si>
  <si>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</si>
  <si>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</si>
  <si>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</si>
  <si>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</si>
  <si>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</si>
  <si>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</si>
  <si>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</si>
  <si>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</si>
  <si>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</si>
  <si>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</si>
  <si>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</si>
  <si>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</si>
  <si>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</si>
  <si>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</si>
  <si>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</si>
  <si>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</si>
  <si>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</si>
  <si>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</si>
  <si>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</si>
  <si>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</si>
  <si>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Claude Sonnet 4.5 Generation</t>
  </si>
  <si>
    <t>Initial state correctly transitions to Watch composite state</t>
  </si>
  <si>
    <t>No initialization action present in student submission</t>
  </si>
  <si>
    <t>Watch composite state correctly defined</t>
  </si>
  <si>
    <t>Backlight region present (named Backlight instead of Light but semantically equivalent)</t>
  </si>
  <si>
    <t>Initial state correctly transitions to BacklightOff</t>
  </si>
  <si>
    <t>BacklightOff state represents the off state</t>
  </si>
  <si>
    <t>turnOffBacklight() action present but not as entry action on Off state</t>
  </si>
  <si>
    <t>D button transition from BacklightOff to BacklightOn present</t>
  </si>
  <si>
    <t>BacklightOn state present</t>
  </si>
  <si>
    <t>turnOnBacklight() action present but not as entry action on On state</t>
  </si>
  <si>
    <t>D button transition from BacklightOn to BacklightOff present</t>
  </si>
  <si>
    <t>after_10sec transition from BacklightOn to BacklightOff present</t>
  </si>
  <si>
    <t>No flash transition from On to Flash state</t>
  </si>
  <si>
    <t>No flashAlert guard on flash transition (transition not present)</t>
  </si>
  <si>
    <t>No Flash state in Backlight region</t>
  </si>
  <si>
    <t>No flash5Sec() action (Flash state not present)</t>
  </si>
  <si>
    <t>No flash transition from Flash to Off</t>
  </si>
  <si>
    <t>No flashAlert guard (transition not present)</t>
  </si>
  <si>
    <t>No anyButton transition from Flash to Off</t>
  </si>
  <si>
    <t>ModeControl region represents the watch mode region</t>
  </si>
  <si>
    <t>Initial state goes to OperatingModes which contains alarm state management but not directly to AlarmOff composite</t>
  </si>
  <si>
    <t>No explicit AlarmOff composite state wrapping the modes</t>
  </si>
  <si>
    <t>Initial state correctly transitions to Timekeeping mode</t>
  </si>
  <si>
    <t>Timekeeping composite state present</t>
  </si>
  <si>
    <t>Initial state correctly transitions to ShowTime</t>
  </si>
  <si>
    <t>ShowTime state represents idle state in timekeeping</t>
  </si>
  <si>
    <t>No displayTime() action in ShowTime state</t>
  </si>
  <si>
    <t>B_held_2sec self-transition present for flash alert toggle</t>
  </si>
  <si>
    <t>No explicit toggleFlashAlert() action but behavior captured in state transitions</t>
  </si>
  <si>
    <t>B self-transition present for alarm toggle</t>
  </si>
  <si>
    <t>No explicit toggleAlarm() action but behavior captured in state transitions</t>
  </si>
  <si>
    <t>C transition from ShowTime to SettingTime with SettingSeconds as initial state</t>
  </si>
  <si>
    <t>No flashSeconds() action on transition</t>
  </si>
  <si>
    <t>A transition from Timekeeping to Alarm present</t>
  </si>
  <si>
    <t>SettingSeconds state present</t>
  </si>
  <si>
    <t>B self-transition on SettingSeconds present</t>
  </si>
  <si>
    <t>incrementSeconds() action present but not time+=1sec</t>
  </si>
  <si>
    <t>C transition from SettingSeconds to SettingMinutes present</t>
  </si>
  <si>
    <t>No flashMinutes() action on transition</t>
  </si>
  <si>
    <t>SettingMinutes state present</t>
  </si>
  <si>
    <t>B self-transition on SettingMinutes present</t>
  </si>
  <si>
    <t>incrementMinutes() action present but not time+=1min</t>
  </si>
  <si>
    <t>C transition from SettingMinutes to SettingHours present</t>
  </si>
  <si>
    <t>No flashHours() action on transition</t>
  </si>
  <si>
    <t>SettingHours state present</t>
  </si>
  <si>
    <t>B self-transition on SettingHours present</t>
  </si>
  <si>
    <t>incrementHours() action present but not time+=1hr</t>
  </si>
  <si>
    <t>C transition from SettingHours to SettingSeconds present</t>
  </si>
  <si>
    <t>A transition from SettingTime to ShowTime then to Alarm mode</t>
  </si>
  <si>
    <t>Alarm composite state present</t>
  </si>
  <si>
    <t>Initial state correctly transitions to ShowAlarm</t>
  </si>
  <si>
    <t>ShowAlarm state represents idle state in alarm mode</t>
  </si>
  <si>
    <t>No displayAlarmTime() entry action</t>
  </si>
  <si>
    <t>C transition from ShowAlarm to SettingAlarm with SettingAlarmMinutes as initial state</t>
  </si>
  <si>
    <t>A transition goes from SettingAlarm to Timekeeping not to CountdownMode</t>
  </si>
  <si>
    <t>SettingAlarmMinutes state present</t>
  </si>
  <si>
    <t>B self-transition on SettingAlarmMinutes present</t>
  </si>
  <si>
    <t>incrementAlarmMinutes() action present but not alarmTime+=1min</t>
  </si>
  <si>
    <t>C transition from SettingAlarmMinutes to SettingAlarmHours present</t>
  </si>
  <si>
    <t>SettingAlarmHours state present</t>
  </si>
  <si>
    <t>B self-transition on SettingAlarmHours present</t>
  </si>
  <si>
    <t>incrementAlarmHours() action present but not alarmTime+=1hr</t>
  </si>
  <si>
    <t>C transition from SettingAlarmHours to SettingAlarmMinutes present</t>
  </si>
  <si>
    <t>A transition from Alarm to Countdown present at OperatingModes level</t>
  </si>
  <si>
    <t>Countdown composite state present</t>
  </si>
  <si>
    <t>Initial state correctly transitions to ShowCountdown</t>
  </si>
  <si>
    <t>ShowCountdown state represents idle state in countdown mode</t>
  </si>
  <si>
    <t>No displayCdTime() entry action</t>
  </si>
  <si>
    <t>C transition from ShowCountdown to SettingCountdown with SettingCountdownSeconds as initial state</t>
  </si>
  <si>
    <t>B transition from ShowCountdown to CountdownRunning present</t>
  </si>
  <si>
    <t>Guard [countdownTimeSet] present on transition</t>
  </si>
  <si>
    <t>No targetTime calculation action on transition</t>
  </si>
  <si>
    <t>A transition from Countdown to Timekeeping present</t>
  </si>
  <si>
    <t>SettingCountdownSeconds state present</t>
  </si>
  <si>
    <t>B self-transition on SettingCountdownSeconds present</t>
  </si>
  <si>
    <t>incrementCountdownSeconds() action present but not cdTime+=1sec</t>
  </si>
  <si>
    <t>C transition from SettingCountdownSeconds to SettingCountdownMinutes present</t>
  </si>
  <si>
    <t>SettingCountdownMinutes state present</t>
  </si>
  <si>
    <t>B self-transition on SettingCountdownMinutes present</t>
  </si>
  <si>
    <t>incrementCountdownMinutes() action present but not cdTime+=1min</t>
  </si>
  <si>
    <t>C transition from SettingCountdownMinutes to SettingCountdownHours present</t>
  </si>
  <si>
    <t>SettingCountdownHours state present</t>
  </si>
  <si>
    <t>B self-transition on SettingCountdownHours present</t>
  </si>
  <si>
    <t>incrementCountdownHours() action present but not cdTime+=1hr</t>
  </si>
  <si>
    <t>C transition from SettingCountdownHours to SettingCountdownSeconds present</t>
  </si>
  <si>
    <t>CountdownRunning state represents countdown state</t>
  </si>
  <si>
    <t>No displayCountdown() action in CountdownRunning state</t>
  </si>
  <si>
    <t>countdownComplete transition from CountdownRunning to CountdownNotifications present</t>
  </si>
  <si>
    <t>No flash() action on transition</t>
  </si>
  <si>
    <t>CountdownNotifications state represents countdown reached state</t>
  </si>
  <si>
    <t>Entry actions for beeping and flashing present in note but not as do action</t>
  </si>
  <si>
    <t>anyButton transition from CountdownNotifications to ShowCountdown present</t>
  </si>
  <si>
    <t>History state H present in Timekeeping and Countdown</t>
  </si>
  <si>
    <t>alarmTimeReached transition from OperatingModes to AlarmNotifications present with guard</t>
  </si>
  <si>
    <t>No saveDisplay() action on transition</t>
  </si>
  <si>
    <t>AlarmNotifications state represents alarm on state</t>
  </si>
  <si>
    <t>returnToPreviousMode() action present but not restoreDisplay()</t>
  </si>
  <si>
    <t>anyButton transition from AlarmNotifications to history state H present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</si>
  <si>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</si>
  <si>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</si>
  <si>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</si>
  <si>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</si>
  <si>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No fundamentally incorrect composite states present</t>
  </si>
  <si>
    <t>No fundamentally incorrect regions present</t>
  </si>
  <si>
    <t>No fundamentally incorrect history states present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</si>
  <si>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</si>
  <si>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</si>
  <si>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</si>
  <si>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</si>
  <si>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</si>
  <si>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</si>
  <si>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</si>
  <si>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</si>
  <si>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</si>
  <si>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</si>
  <si>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</si>
  <si>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Claude Sonnet 4.5</t>
  </si>
  <si>
    <t>Generation LLMs</t>
  </si>
  <si>
    <t>GPT-5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</si>
  <si>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</si>
  <si>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</si>
  <si>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</si>
  <si>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</si>
  <si>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</si>
  <si>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</si>
  <si>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</si>
  <si>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</si>
  <si>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</si>
  <si>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</si>
  <si>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</si>
  <si>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</si>
  <si>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</si>
  <si>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</si>
  <si>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</si>
  <si>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</si>
  <si>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</si>
  <si>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</si>
  <si>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</si>
  <si>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</si>
  <si>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</si>
  <si>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</si>
  <si>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</si>
  <si>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</si>
  <si>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</si>
  <si>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</si>
  <si>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</si>
  <si>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</si>
  <si>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</si>
  <si>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</si>
  <si>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</si>
  <si>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</si>
  <si>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</si>
  <si>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</si>
  <si>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</si>
  <si>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</si>
  <si>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</si>
  <si>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</si>
  <si>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</si>
  <si>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Represented as [*] --&gt; Watch</t>
  </si>
  <si>
    <t>No initialization action on the initial transition to Watch</t>
  </si>
  <si>
    <t>Watch is correctly modeled as a composite state with multiple regions</t>
  </si>
  <si>
    <t>Represented as region Backlight which captures similar functionality but differs in structure (missing Flash state)</t>
  </si>
  <si>
    <t>Represented as [*] --&gt; BacklightOff in Backlight region</t>
  </si>
  <si>
    <t>Represented as BacklightOff state</t>
  </si>
  <si>
    <t>Represented as entry / turnBacklightOff() which is semantically equivalent</t>
  </si>
  <si>
    <t>Represented as BacklightOff --&gt; BacklightOn : D</t>
  </si>
  <si>
    <t>Represented as BacklightOn state</t>
  </si>
  <si>
    <t>Represented as entry / turnBacklightOn() which is semantically equivalent</t>
  </si>
  <si>
    <t>Represented as BacklightOn --&gt; BacklightOff : D</t>
  </si>
  <si>
    <t>Represented as BacklightOn --&gt; BacklightOff : after10sec</t>
  </si>
  <si>
    <t>No Flash state or transition to Flash state in Backlight region</t>
  </si>
  <si>
    <t>No guard condition for flash transition (Flash state not present)</t>
  </si>
  <si>
    <t>No Flash state in the Backlight region</t>
  </si>
  <si>
    <t>No transition from Flash to Off (Flash state not present)</t>
  </si>
  <si>
    <t>No anyButton transition from Flash (Flash state not present)</t>
  </si>
  <si>
    <t>Represented as region UserInterface which contains the watch mode logic</t>
  </si>
  <si>
    <t>Initial state goes to NormalOperation which contains modes but no explicit AlarmOff composite state</t>
  </si>
  <si>
    <t>No AlarmOff composite state; alarm on/off is modeled in separate AlarmSwitch region</t>
  </si>
  <si>
    <t>NormalOperation starts with [*] --&gt; TimekeepingMode</t>
  </si>
  <si>
    <t>Represented as TimekeepingMode composite state</t>
  </si>
  <si>
    <t>TimekeepingMode starts with [*] --&gt; TimeDisplay</t>
  </si>
  <si>
    <t>Represented as TimeDisplay state</t>
  </si>
  <si>
    <t>Represented as do: showCurrentTime() which is semantically equivalent</t>
  </si>
  <si>
    <t>B held for 2 seconds is in FlashAlertSwitch region as Bheld2sec but not as self-transition on TimeDisplay</t>
  </si>
  <si>
    <t>B press for alarm toggle is in AlarmSwitch region but not as self-transition on TimeDisplay</t>
  </si>
  <si>
    <t>Represented as enableFlashAlert() / disableFlashAlert() in FlashAlertSwitch region</t>
  </si>
  <si>
    <t>Represented as enableAlarm() / disableAlarm() in AlarmSwitch region</t>
  </si>
  <si>
    <t>Represented as TimeDisplay --&gt; TimeSetSeconds : C</t>
  </si>
  <si>
    <t>Represented as do: flashCurrentSeconds() in TimeSetSeconds state</t>
  </si>
  <si>
    <t>Represented as TimeDisplay --&gt; AlarmMode : A</t>
  </si>
  <si>
    <t>Represented as TimeSetSeconds state</t>
  </si>
  <si>
    <t>Represented as TimeSetSeconds --&gt; TimeSetSeconds : B / incrementCurrentSeconds()</t>
  </si>
  <si>
    <t>Represented as incrementCurrentSeconds() which is semantically equivalent</t>
  </si>
  <si>
    <t>Represented as TimeSetSeconds --&gt; TimeSetMinutes : C</t>
  </si>
  <si>
    <t>Represented as do: flashCurrentMinutes() in TimeSetMinutes state</t>
  </si>
  <si>
    <t>Represented as TimeSetMinutes state</t>
  </si>
  <si>
    <t>Represented as TimeSetMinutes --&gt; TimeSetMinutes : B / incrementCurrentMinutes()</t>
  </si>
  <si>
    <t>Represented as incrementCurrentMinutes() which is semantically equivalent</t>
  </si>
  <si>
    <t>Represented as TimeSetMinutes --&gt; TimeSetHours : C</t>
  </si>
  <si>
    <t>Represented as do: flashCurrentHours() in TimeSetHours state</t>
  </si>
  <si>
    <t>Represented as TimeSetHours state</t>
  </si>
  <si>
    <t>Represented as TimeSetHours --&gt; TimeSetHours : B / incrementCurrentHours()</t>
  </si>
  <si>
    <t>Represented as incrementCurrentHours() which is semantically equivalent</t>
  </si>
  <si>
    <t>Represented as TimeSetHours --&gt; TimeSetSeconds : C</t>
  </si>
  <si>
    <t>Represented as transitions from TimeSet states to TimeDisplay : A then TimeDisplay --&gt; AlarmMode : A</t>
  </si>
  <si>
    <t>Represented as AlarmMode composite state</t>
  </si>
  <si>
    <t>AlarmMode starts with [*] --&gt; AlarmDisplay</t>
  </si>
  <si>
    <t>Represented as AlarmDisplay state</t>
  </si>
  <si>
    <t>Represented as do: showAlarmTime() which is semantically equivalent</t>
  </si>
  <si>
    <t>Represented as AlarmDisplay --&gt; AlarmSetMinutes : C</t>
  </si>
  <si>
    <t>Represented as do: flashAlarmMinutes() in AlarmSetMinutes state</t>
  </si>
  <si>
    <t>Represented as AlarmDisplay --&gt; CountdownMode : A</t>
  </si>
  <si>
    <t>Represented as AlarmSetMinutes state</t>
  </si>
  <si>
    <t>Represented as AlarmSetMinutes --&gt; AlarmSetMinutes : B / incrementAlarmMinutes()</t>
  </si>
  <si>
    <t>Represented as incrementAlarmMinutes() which is semantically equivalent</t>
  </si>
  <si>
    <t>Represented as AlarmSetMinutes --&gt; AlarmSetHours : C</t>
  </si>
  <si>
    <t>Represented as do: flashAlarmHours() in AlarmSetHours state</t>
  </si>
  <si>
    <t>Represented as AlarmSetHours state</t>
  </si>
  <si>
    <t>Represented as AlarmSetHours --&gt; AlarmSetHours : B / incrementAlarmHours()</t>
  </si>
  <si>
    <t>Represented as incrementAlarmHours() which is semantically equivalent</t>
  </si>
  <si>
    <t>Represented as AlarmSetHours --&gt; AlarmSetMinutes : C</t>
  </si>
  <si>
    <t>Represented as transitions from AlarmSet states to TimekeepingMode : A then AlarmDisplay --&gt; CountdownMode : A</t>
  </si>
  <si>
    <t>Represented as CountdownMode composite state</t>
  </si>
  <si>
    <t>CountdownMode starts with [*] --&gt; CountdownDisplay</t>
  </si>
  <si>
    <t>Represented as CountdownDisplay state</t>
  </si>
  <si>
    <t>Represented as do: showCountdownTime() which is semantically equivalent</t>
  </si>
  <si>
    <t>Represented as CountdownDisplay --&gt; CountdownSetSeconds : C</t>
  </si>
  <si>
    <t>Represented as do: flashCountdownSeconds() in CountdownSetSeconds state</t>
  </si>
  <si>
    <t>Represented as CountdownDisplay --&gt; CountdownRunning : B [countdownTimeSet()] / startCountdown()</t>
  </si>
  <si>
    <t>Represented as [countdownTimeSet()] which is semantically equivalent</t>
  </si>
  <si>
    <t>Represented as startCountdown() which implies setting target time</t>
  </si>
  <si>
    <t>Represented as CountdownDisplay --&gt; TimekeepingMode : A</t>
  </si>
  <si>
    <t>Represented as CountdownSetSeconds state</t>
  </si>
  <si>
    <t>Represented as CountdownSetSeconds --&gt; CountdownSetSeconds : B / incrementCountdownSeconds()</t>
  </si>
  <si>
    <t>Represented as incrementCountdownSeconds() which is semantically equivalent</t>
  </si>
  <si>
    <t>Represented as CountdownSetSeconds --&gt; CountdownSetMinutes : C</t>
  </si>
  <si>
    <t>Represented as do: flashCountdownMinutes() in CountdownSetMinutes state</t>
  </si>
  <si>
    <t>Represented as CountdownSetMinutes state</t>
  </si>
  <si>
    <t>Represented as CountdownSetMinutes --&gt; CountdownSetMinutes : B / incrementCountdownMinutes()</t>
  </si>
  <si>
    <t>Represented as incrementCountdownMinutes() which is semantically equivalent</t>
  </si>
  <si>
    <t>Represented as CountdownSetMinutes --&gt; CountdownSetHours : C</t>
  </si>
  <si>
    <t>Represented as do: flashCountdownHours() in CountdownSetHours state</t>
  </si>
  <si>
    <t>Represented as CountdownSetHours state</t>
  </si>
  <si>
    <t>Represented as CountdownSetHours --&gt; CountdownSetHours : B / incrementCountdownHours()</t>
  </si>
  <si>
    <t>Represented as incrementCountdownHours() which is semantically equivalent</t>
  </si>
  <si>
    <t>Represented as CountdownSetHours --&gt; CountdownSetSeconds : C</t>
  </si>
  <si>
    <t>Represented as CountdownRunning state</t>
  </si>
  <si>
    <t>Represented as do: showCountdownTime() in CountdownRunning state</t>
  </si>
  <si>
    <t>Represented as CountdownRunning --&gt; CountdownNotification : after1sec [countdownRemaining() &lt;= 1] / setCountdownZero()</t>
  </si>
  <si>
    <t>Represented as do: flashCountdownZero() in CountdownNotification state</t>
  </si>
  <si>
    <t>Represented as CountdownNotification state</t>
  </si>
  <si>
    <t>Represented as entry / startCountdownBeep() and do: flashCountdownZero() which captures the behavior</t>
  </si>
  <si>
    <t>Represented as multiple button transitions from CountdownNotification to CountdownDisplay</t>
  </si>
  <si>
    <t>Represented as state H in NormalOperation</t>
  </si>
  <si>
    <t>Represented as NormalOperation --&gt; AlarmNotification : alarmDue [alarmEnabled()]</t>
  </si>
  <si>
    <t>No explicit saveDisplay() action; history state H is used instead</t>
  </si>
  <si>
    <t>Represented as do: flashAlarmTime() in AlarmNotification state</t>
  </si>
  <si>
    <t>Represented as AlarmNotification state</t>
  </si>
  <si>
    <t>Represented as entry / startAlarmBeep() and do: flashAlarmTime() which captures the behavior</t>
  </si>
  <si>
    <t>No explicit restoreDisplay() action; transitions to H handle return</t>
  </si>
  <si>
    <t>Represented as multiple button transitions from AlarmNotification to H</t>
  </si>
  <si>
    <t>AlarmSwitch and FlashAlertSwitch regions are unnecessary separate regions; Clock region is also unnecessary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</si>
</sst>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1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 applyAlignment="1">
      <alignment horizontal="right"/>
    </xf>
    <xf numFmtId="0" fontId="4" fillId="5" borderId="0" xfId="0" applyFont="1" applyFill="1" applyBorder="1"/>
    <xf numFmtId="0" fontId="3" fillId="5" borderId="11" xfId="0" applyFont="1" applyFill="1" applyBorder="1" applyAlignment="1">
      <alignment horizontal="center"/>
    </xf>
    <xf numFmtId="0" fontId="4" fillId="3" borderId="0" xfId="0" applyFont="1" applyFill="1" applyBorder="1"/>
    <xf numFmtId="0" fontId="7" fillId="6" borderId="11" xfId="0" applyFont="1" applyFill="1" applyBorder="1" applyAlignment="1">
      <alignment wrapText="1"/>
    </xf>
    <xf numFmtId="0" fontId="4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12" xfId="0" applyFont="1" applyBorder="1" applyAlignment="1">
      <alignment horizontal="right"/>
    </xf>
    <xf numFmtId="0" fontId="6" fillId="0" borderId="8" xfId="0" applyFont="1" applyBorder="1"/>
    <xf numFmtId="0" fontId="2" fillId="2" borderId="1" xfId="0" applyFont="1" applyFill="1" applyBorder="1"/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3" fillId="0" borderId="10" xfId="0" applyFont="1" applyAlignment="1">
      <alignment horizontal="center"/>
    </xf>
    <xf numFmtId="0" fontId="0" fillId="0" borderId="0" xfId="0" applyBorder="1"/>
    <xf numFmtId="0" fontId="1" fillId="5" borderId="10" xfId="0" applyFont="1" applyFill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3" xfId="0" applyBorder="1"/>
    <xf numFmtId="0" fontId="5" fillId="0" borderId="10" xfId="0" applyFont="1" applyAlignment="1">
      <alignment horizontal="center"/>
    </xf>
    <xf numFmtId="0" fontId="0" fillId="8" borderId="0" xfId="0" applyFill="1" applyBorder="1"/>
    <xf numFmtId="0" fontId="0" fillId="9" borderId="0" xfId="0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6">
  <tableColumns count="2">
    <tableColumn id="1" xr3:uid="{00000000-0010-0000-0000-000001000000}" name="Type"/>
    <tableColumn id="2" xr3:uid="{00000000-0010-0000-0000-000002000000}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11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11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116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116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4</v>
      </c>
      <c r="B2" s="5" t="s">
        <v>5</v>
      </c>
      <c r="C2" s="6"/>
      <c r="D2" s="6"/>
    </row>
    <row r="3" spans="1:4" ht="24.75" customHeight="1" x14ac:dyDescent="0.15">
      <c r="A3" s="4" t="s">
        <v>6</v>
      </c>
      <c r="B3" s="7" t="s">
        <v>7</v>
      </c>
      <c r="C3" s="6"/>
      <c r="D3" s="6"/>
    </row>
    <row r="4" spans="1:4" ht="12.75" customHeight="1" x14ac:dyDescent="0.15">
      <c r="A4" s="4" t="s">
        <v>8</v>
      </c>
      <c r="B4" s="5" t="s">
        <v>9</v>
      </c>
      <c r="C4" s="6"/>
      <c r="D4" s="6"/>
    </row>
    <row r="5" spans="1:4" ht="12.75" customHeight="1" x14ac:dyDescent="0.15">
      <c r="A5" s="4" t="s">
        <v>10</v>
      </c>
      <c r="B5" s="5" t="s">
        <v>11</v>
      </c>
      <c r="C5" s="6"/>
      <c r="D5" s="6"/>
    </row>
    <row r="6" spans="1:4" ht="12.75" customHeight="1" x14ac:dyDescent="0.15">
      <c r="A6" s="4" t="s">
        <v>4</v>
      </c>
      <c r="B6" s="5" t="s">
        <v>12</v>
      </c>
      <c r="C6" s="6"/>
      <c r="D6" s="6"/>
    </row>
    <row r="7" spans="1:4" ht="12.75" customHeight="1" x14ac:dyDescent="0.15">
      <c r="A7" s="4" t="s">
        <v>4</v>
      </c>
      <c r="B7" s="5" t="s">
        <v>13</v>
      </c>
      <c r="C7" s="6"/>
      <c r="D7" s="6"/>
    </row>
    <row r="8" spans="1:4" ht="12.75" customHeight="1" x14ac:dyDescent="0.15">
      <c r="A8" s="4" t="s">
        <v>6</v>
      </c>
      <c r="B8" s="5" t="s">
        <v>14</v>
      </c>
      <c r="C8" s="6"/>
      <c r="D8" s="6"/>
    </row>
    <row r="9" spans="1:4" ht="12.75" customHeight="1" x14ac:dyDescent="0.15">
      <c r="A9" s="4" t="s">
        <v>15</v>
      </c>
      <c r="B9" s="5" t="s">
        <v>16</v>
      </c>
      <c r="C9" s="6"/>
      <c r="D9" s="6"/>
    </row>
    <row r="10" spans="1:4" ht="12.75" customHeight="1" x14ac:dyDescent="0.15">
      <c r="A10" s="4" t="s">
        <v>4</v>
      </c>
      <c r="B10" s="5" t="s">
        <v>17</v>
      </c>
      <c r="C10" s="6"/>
      <c r="D10" s="6"/>
    </row>
    <row r="11" spans="1:4" ht="12.75" customHeight="1" x14ac:dyDescent="0.15">
      <c r="A11" s="4" t="s">
        <v>6</v>
      </c>
      <c r="B11" s="5" t="s">
        <v>18</v>
      </c>
      <c r="C11" s="6"/>
      <c r="D11" s="6"/>
    </row>
    <row r="12" spans="1:4" ht="12.75" customHeight="1" x14ac:dyDescent="0.15">
      <c r="A12" s="4" t="s">
        <v>15</v>
      </c>
      <c r="B12" s="5" t="s">
        <v>19</v>
      </c>
      <c r="C12" s="6"/>
      <c r="D12" s="6"/>
    </row>
    <row r="13" spans="1:4" ht="12.75" customHeight="1" x14ac:dyDescent="0.15">
      <c r="A13" s="4" t="s">
        <v>15</v>
      </c>
      <c r="B13" s="5" t="s">
        <v>20</v>
      </c>
      <c r="C13" s="6"/>
      <c r="D13" s="6"/>
    </row>
    <row r="14" spans="1:4" ht="12.75" customHeight="1" x14ac:dyDescent="0.15">
      <c r="A14" s="4" t="s">
        <v>15</v>
      </c>
      <c r="B14" s="5" t="s">
        <v>21</v>
      </c>
      <c r="C14" s="6"/>
      <c r="D14" s="6"/>
    </row>
    <row r="15" spans="1:4" ht="12.75" customHeight="1" x14ac:dyDescent="0.15">
      <c r="A15" s="4" t="s">
        <v>22</v>
      </c>
      <c r="B15" s="5" t="s">
        <v>23</v>
      </c>
      <c r="C15" s="6"/>
      <c r="D15" s="6"/>
    </row>
    <row r="16" spans="1:4" ht="12.75" customHeight="1" x14ac:dyDescent="0.15">
      <c r="A16" s="4" t="s">
        <v>4</v>
      </c>
      <c r="B16" s="5" t="s">
        <v>24</v>
      </c>
      <c r="C16" s="6"/>
      <c r="D16" s="6"/>
    </row>
    <row r="17" spans="1:22" ht="15" customHeight="1" x14ac:dyDescent="0.15">
      <c r="A17" s="4" t="s">
        <v>6</v>
      </c>
      <c r="B17" s="5" t="s">
        <v>25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15</v>
      </c>
      <c r="B18" s="5" t="s">
        <v>26</v>
      </c>
      <c r="C18" s="6"/>
      <c r="D18" s="6"/>
    </row>
    <row r="19" spans="1:22" ht="12.75" customHeight="1" x14ac:dyDescent="0.15">
      <c r="A19" s="4" t="s">
        <v>22</v>
      </c>
      <c r="B19" s="5" t="s">
        <v>23</v>
      </c>
      <c r="C19" s="6"/>
      <c r="D19" s="6"/>
    </row>
    <row r="20" spans="1:22" ht="12.75" customHeight="1" x14ac:dyDescent="0.15">
      <c r="A20" s="4" t="s">
        <v>15</v>
      </c>
      <c r="B20" s="5" t="s">
        <v>27</v>
      </c>
      <c r="C20" s="6"/>
      <c r="D20" s="6"/>
    </row>
    <row r="21" spans="1:22" ht="12.75" customHeight="1" x14ac:dyDescent="0.15">
      <c r="A21" s="4" t="s">
        <v>10</v>
      </c>
      <c r="B21" s="5" t="s">
        <v>28</v>
      </c>
      <c r="C21" s="6"/>
      <c r="D21" s="6"/>
    </row>
    <row r="22" spans="1:22" ht="12.75" customHeight="1" x14ac:dyDescent="0.15">
      <c r="A22" s="8" t="s">
        <v>4</v>
      </c>
      <c r="B22" s="9" t="s">
        <v>29</v>
      </c>
      <c r="C22" s="6"/>
      <c r="D22" s="6"/>
    </row>
    <row r="23" spans="1:22" ht="12.75" customHeight="1" x14ac:dyDescent="0.15">
      <c r="A23" s="4" t="s">
        <v>8</v>
      </c>
      <c r="B23" s="5" t="s">
        <v>30</v>
      </c>
      <c r="C23" s="6"/>
      <c r="D23" s="6"/>
    </row>
    <row r="24" spans="1:22" ht="12.75" customHeight="1" x14ac:dyDescent="0.15">
      <c r="A24" s="4" t="s">
        <v>4</v>
      </c>
      <c r="B24" s="5" t="s">
        <v>31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8</v>
      </c>
      <c r="B25" s="5" t="s">
        <v>32</v>
      </c>
      <c r="C25" s="6"/>
      <c r="D25" s="6"/>
    </row>
    <row r="26" spans="1:22" ht="12.75" customHeight="1" x14ac:dyDescent="0.15">
      <c r="A26" s="4" t="s">
        <v>4</v>
      </c>
      <c r="B26" s="5" t="s">
        <v>33</v>
      </c>
      <c r="C26" s="6"/>
      <c r="D26" s="6"/>
    </row>
    <row r="27" spans="1:22" ht="15" customHeight="1" x14ac:dyDescent="0.15">
      <c r="A27" s="4" t="s">
        <v>4</v>
      </c>
      <c r="B27" s="5" t="s">
        <v>34</v>
      </c>
      <c r="C27" s="6"/>
      <c r="D27" s="6"/>
    </row>
    <row r="28" spans="1:22" ht="12.75" customHeight="1" x14ac:dyDescent="0.15">
      <c r="A28" s="4" t="s">
        <v>6</v>
      </c>
      <c r="B28" s="5" t="s">
        <v>35</v>
      </c>
      <c r="C28" s="6"/>
      <c r="D28" s="6"/>
    </row>
    <row r="29" spans="1:22" ht="12.75" customHeight="1" x14ac:dyDescent="0.15">
      <c r="A29" s="4" t="s">
        <v>15</v>
      </c>
      <c r="B29" s="5" t="s">
        <v>36</v>
      </c>
      <c r="C29" s="6"/>
      <c r="D29" s="6"/>
    </row>
    <row r="30" spans="1:22" ht="12.75" customHeight="1" x14ac:dyDescent="0.15">
      <c r="A30" s="4" t="s">
        <v>6</v>
      </c>
      <c r="B30" s="5" t="s">
        <v>37</v>
      </c>
      <c r="C30" s="6"/>
      <c r="D30" s="6"/>
    </row>
    <row r="31" spans="1:22" ht="12.75" customHeight="1" x14ac:dyDescent="0.15">
      <c r="A31" s="4" t="s">
        <v>15</v>
      </c>
      <c r="B31" s="5" t="s">
        <v>38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6</v>
      </c>
      <c r="B32" s="5" t="s">
        <v>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15</v>
      </c>
      <c r="B33" s="5" t="s">
        <v>40</v>
      </c>
      <c r="C33" s="6"/>
      <c r="D33" s="6"/>
    </row>
    <row r="34" spans="1:22" ht="12.75" customHeight="1" x14ac:dyDescent="0.15">
      <c r="A34" s="4" t="s">
        <v>6</v>
      </c>
      <c r="B34" s="5" t="s">
        <v>41</v>
      </c>
      <c r="C34" s="6"/>
      <c r="D34" s="6"/>
    </row>
    <row r="35" spans="1:22" ht="12.75" customHeight="1" x14ac:dyDescent="0.15">
      <c r="A35" s="4" t="s">
        <v>15</v>
      </c>
      <c r="B35" s="5" t="s">
        <v>42</v>
      </c>
      <c r="C35" s="6"/>
      <c r="D35" s="6"/>
    </row>
    <row r="36" spans="1:22" ht="12.75" customHeight="1" x14ac:dyDescent="0.15">
      <c r="A36" s="4" t="s">
        <v>4</v>
      </c>
      <c r="B36" s="5" t="s">
        <v>43</v>
      </c>
      <c r="C36" s="6"/>
      <c r="D36" s="6"/>
    </row>
    <row r="37" spans="1:22" ht="12.75" customHeight="1" x14ac:dyDescent="0.15">
      <c r="A37" s="4" t="s">
        <v>15</v>
      </c>
      <c r="B37" s="5" t="s">
        <v>44</v>
      </c>
      <c r="C37" s="6"/>
      <c r="D37" s="6"/>
    </row>
    <row r="38" spans="1:22" ht="12.75" customHeight="1" x14ac:dyDescent="0.15">
      <c r="A38" s="4" t="s">
        <v>6</v>
      </c>
      <c r="B38" s="5" t="s">
        <v>45</v>
      </c>
      <c r="C38" s="6"/>
      <c r="D38" s="6"/>
    </row>
    <row r="39" spans="1:22" ht="15" customHeight="1" x14ac:dyDescent="0.15">
      <c r="A39" s="4" t="s">
        <v>15</v>
      </c>
      <c r="B39" s="5" t="s">
        <v>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6</v>
      </c>
      <c r="B40" s="5" t="s">
        <v>47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4</v>
      </c>
      <c r="B41" s="5" t="s">
        <v>48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15</v>
      </c>
      <c r="B42" s="5" t="s">
        <v>49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6</v>
      </c>
      <c r="B43" s="5" t="s">
        <v>50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15</v>
      </c>
      <c r="B44" s="5" t="s">
        <v>51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6</v>
      </c>
      <c r="B45" s="5" t="s">
        <v>52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4</v>
      </c>
      <c r="B46" s="5" t="s">
        <v>53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15</v>
      </c>
      <c r="B47" s="5" t="s">
        <v>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4" t="s">
        <v>6</v>
      </c>
      <c r="B48" s="5" t="s">
        <v>55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4" ht="12.75" customHeight="1" x14ac:dyDescent="0.15">
      <c r="A49" s="4" t="s">
        <v>15</v>
      </c>
      <c r="B49" s="5" t="s">
        <v>56</v>
      </c>
      <c r="C49" s="6"/>
      <c r="D49" s="6"/>
    </row>
    <row r="50" spans="1:4" ht="12.75" customHeight="1" x14ac:dyDescent="0.15">
      <c r="A50" s="4" t="s">
        <v>6</v>
      </c>
      <c r="B50" s="5" t="s">
        <v>41</v>
      </c>
      <c r="C50" s="6"/>
      <c r="D50" s="6"/>
    </row>
    <row r="51" spans="1:4" ht="12.75" customHeight="1" x14ac:dyDescent="0.15">
      <c r="A51" s="4" t="s">
        <v>15</v>
      </c>
      <c r="B51" s="5" t="s">
        <v>42</v>
      </c>
      <c r="C51" s="6"/>
      <c r="D51" s="6"/>
    </row>
    <row r="52" spans="1:4" ht="12.75" customHeight="1" x14ac:dyDescent="0.15">
      <c r="A52" s="4" t="s">
        <v>8</v>
      </c>
      <c r="B52" s="5" t="s">
        <v>57</v>
      </c>
      <c r="C52" s="6"/>
      <c r="D52" s="6"/>
    </row>
    <row r="53" spans="1:4" ht="12.75" customHeight="1" x14ac:dyDescent="0.15">
      <c r="A53" s="4" t="s">
        <v>4</v>
      </c>
      <c r="B53" s="5" t="s">
        <v>58</v>
      </c>
      <c r="C53" s="6"/>
      <c r="D53" s="6"/>
    </row>
    <row r="54" spans="1:4" ht="12.75" customHeight="1" x14ac:dyDescent="0.15">
      <c r="A54" s="4" t="s">
        <v>4</v>
      </c>
      <c r="B54" s="5" t="s">
        <v>34</v>
      </c>
      <c r="C54" s="6"/>
      <c r="D54" s="6"/>
    </row>
    <row r="55" spans="1:4" ht="12.75" customHeight="1" x14ac:dyDescent="0.15">
      <c r="A55" s="4" t="s">
        <v>6</v>
      </c>
      <c r="B55" s="5" t="s">
        <v>59</v>
      </c>
      <c r="C55" s="6"/>
      <c r="D55" s="6"/>
    </row>
    <row r="56" spans="1:4" ht="12.75" customHeight="1" x14ac:dyDescent="0.15">
      <c r="A56" s="4" t="s">
        <v>15</v>
      </c>
      <c r="B56" s="5" t="s">
        <v>60</v>
      </c>
      <c r="C56" s="6"/>
      <c r="D56" s="6"/>
    </row>
    <row r="57" spans="1:4" ht="12.75" customHeight="1" x14ac:dyDescent="0.15">
      <c r="A57" s="4" t="s">
        <v>6</v>
      </c>
      <c r="B57" s="5" t="s">
        <v>47</v>
      </c>
      <c r="C57" s="6"/>
      <c r="D57" s="6"/>
    </row>
    <row r="58" spans="1:4" ht="12.75" customHeight="1" x14ac:dyDescent="0.15">
      <c r="A58" s="4" t="s">
        <v>15</v>
      </c>
      <c r="B58" s="5" t="s">
        <v>61</v>
      </c>
      <c r="C58" s="6"/>
      <c r="D58" s="6"/>
    </row>
    <row r="59" spans="1:4" ht="12.75" customHeight="1" x14ac:dyDescent="0.15">
      <c r="A59" s="4" t="s">
        <v>4</v>
      </c>
      <c r="B59" s="5" t="s">
        <v>48</v>
      </c>
      <c r="C59" s="6"/>
      <c r="D59" s="6"/>
    </row>
    <row r="60" spans="1:4" ht="12.75" customHeight="1" x14ac:dyDescent="0.15">
      <c r="A60" s="4" t="s">
        <v>15</v>
      </c>
      <c r="B60" s="5" t="s">
        <v>49</v>
      </c>
      <c r="C60" s="6"/>
      <c r="D60" s="6"/>
    </row>
    <row r="61" spans="1:4" ht="12.75" customHeight="1" x14ac:dyDescent="0.15">
      <c r="A61" s="4" t="s">
        <v>6</v>
      </c>
      <c r="B61" s="5" t="s">
        <v>62</v>
      </c>
      <c r="C61" s="6"/>
      <c r="D61" s="6"/>
    </row>
    <row r="62" spans="1:4" ht="12.75" customHeight="1" x14ac:dyDescent="0.15">
      <c r="A62" s="4" t="s">
        <v>15</v>
      </c>
      <c r="B62" s="5" t="s">
        <v>51</v>
      </c>
      <c r="C62" s="6"/>
      <c r="D62" s="6"/>
    </row>
    <row r="63" spans="1:4" ht="12.75" customHeight="1" x14ac:dyDescent="0.15">
      <c r="A63" s="4" t="s">
        <v>6</v>
      </c>
      <c r="B63" s="5" t="s">
        <v>52</v>
      </c>
      <c r="C63" s="6"/>
      <c r="D63" s="6"/>
    </row>
    <row r="64" spans="1:4" ht="12.75" customHeight="1" x14ac:dyDescent="0.15">
      <c r="A64" s="4" t="s">
        <v>4</v>
      </c>
      <c r="B64" s="5" t="s">
        <v>53</v>
      </c>
      <c r="C64" s="6"/>
      <c r="D64" s="6"/>
    </row>
    <row r="65" spans="1:4" ht="12.75" customHeight="1" x14ac:dyDescent="0.15">
      <c r="A65" s="4" t="s">
        <v>15</v>
      </c>
      <c r="B65" s="5" t="s">
        <v>54</v>
      </c>
      <c r="C65" s="6"/>
      <c r="D65" s="6"/>
    </row>
    <row r="66" spans="1:4" ht="12.75" customHeight="1" x14ac:dyDescent="0.15">
      <c r="A66" s="4" t="s">
        <v>6</v>
      </c>
      <c r="B66" s="5" t="s">
        <v>63</v>
      </c>
      <c r="C66" s="6"/>
      <c r="D66" s="6"/>
    </row>
    <row r="67" spans="1:4" ht="12.75" customHeight="1" x14ac:dyDescent="0.15">
      <c r="A67" s="4" t="s">
        <v>15</v>
      </c>
      <c r="B67" s="5" t="s">
        <v>64</v>
      </c>
      <c r="C67" s="6"/>
      <c r="D67" s="6"/>
    </row>
    <row r="68" spans="1:4" ht="12.75" customHeight="1" x14ac:dyDescent="0.15">
      <c r="A68" s="4" t="s">
        <v>6</v>
      </c>
      <c r="B68" s="5" t="s">
        <v>47</v>
      </c>
      <c r="C68" s="6"/>
      <c r="D68" s="6"/>
    </row>
    <row r="69" spans="1:4" ht="12.75" customHeight="1" x14ac:dyDescent="0.15">
      <c r="A69" s="4" t="s">
        <v>15</v>
      </c>
      <c r="B69" s="5" t="s">
        <v>61</v>
      </c>
    </row>
    <row r="70" spans="1:4" ht="12.75" customHeight="1" x14ac:dyDescent="0.15">
      <c r="A70" s="4" t="s">
        <v>8</v>
      </c>
      <c r="B70" s="5" t="s">
        <v>65</v>
      </c>
    </row>
    <row r="71" spans="1:4" ht="12.75" customHeight="1" x14ac:dyDescent="0.15">
      <c r="A71" s="4" t="s">
        <v>4</v>
      </c>
      <c r="B71" s="5" t="s">
        <v>66</v>
      </c>
    </row>
    <row r="72" spans="1:4" ht="12.75" customHeight="1" x14ac:dyDescent="0.15">
      <c r="A72" s="10" t="s">
        <v>4</v>
      </c>
      <c r="B72" s="11" t="s">
        <v>34</v>
      </c>
    </row>
    <row r="73" spans="1:4" ht="12.75" customHeight="1" x14ac:dyDescent="0.15">
      <c r="A73" s="12" t="s">
        <v>6</v>
      </c>
      <c r="B73" s="13" t="s">
        <v>67</v>
      </c>
    </row>
    <row r="74" spans="1:4" ht="12.75" customHeight="1" x14ac:dyDescent="0.15">
      <c r="A74" s="12" t="s">
        <v>15</v>
      </c>
      <c r="B74" s="13" t="s">
        <v>40</v>
      </c>
    </row>
    <row r="75" spans="1:4" ht="12.75" customHeight="1" x14ac:dyDescent="0.15">
      <c r="A75" s="12" t="s">
        <v>6</v>
      </c>
      <c r="B75" s="13" t="s">
        <v>41</v>
      </c>
    </row>
    <row r="76" spans="1:4" ht="12.75" customHeight="1" x14ac:dyDescent="0.15">
      <c r="A76" s="12" t="s">
        <v>15</v>
      </c>
      <c r="B76" s="13" t="s">
        <v>68</v>
      </c>
    </row>
    <row r="77" spans="1:4" ht="12.75" customHeight="1" x14ac:dyDescent="0.15">
      <c r="A77" s="12" t="s">
        <v>22</v>
      </c>
      <c r="B77" s="13" t="s">
        <v>69</v>
      </c>
    </row>
    <row r="78" spans="1:4" ht="12.75" customHeight="1" x14ac:dyDescent="0.15">
      <c r="A78" s="12" t="s">
        <v>6</v>
      </c>
      <c r="B78" s="13" t="s">
        <v>70</v>
      </c>
    </row>
    <row r="79" spans="1:4" ht="12.75" customHeight="1" x14ac:dyDescent="0.15">
      <c r="A79" s="12" t="s">
        <v>15</v>
      </c>
      <c r="B79" s="13" t="s">
        <v>71</v>
      </c>
    </row>
    <row r="80" spans="1:4" ht="12.75" customHeight="1" x14ac:dyDescent="0.15">
      <c r="A80" s="12" t="s">
        <v>4</v>
      </c>
      <c r="B80" s="13" t="s">
        <v>43</v>
      </c>
    </row>
    <row r="81" spans="1:2" ht="12.75" customHeight="1" x14ac:dyDescent="0.15">
      <c r="A81" s="12" t="s">
        <v>15</v>
      </c>
      <c r="B81" s="13" t="s">
        <v>44</v>
      </c>
    </row>
    <row r="82" spans="1:2" ht="12.75" customHeight="1" x14ac:dyDescent="0.15">
      <c r="A82" s="12" t="s">
        <v>6</v>
      </c>
      <c r="B82" s="13" t="s">
        <v>72</v>
      </c>
    </row>
    <row r="83" spans="1:2" ht="12.75" customHeight="1" x14ac:dyDescent="0.15">
      <c r="A83" s="12" t="s">
        <v>15</v>
      </c>
      <c r="B83" s="13" t="s">
        <v>46</v>
      </c>
    </row>
    <row r="84" spans="1:2" ht="12.75" customHeight="1" x14ac:dyDescent="0.15">
      <c r="A84" s="12" t="s">
        <v>6</v>
      </c>
      <c r="B84" s="13" t="s">
        <v>47</v>
      </c>
    </row>
    <row r="85" spans="1:2" ht="12.75" customHeight="1" x14ac:dyDescent="0.15">
      <c r="A85" s="12" t="s">
        <v>4</v>
      </c>
      <c r="B85" s="13" t="s">
        <v>48</v>
      </c>
    </row>
    <row r="86" spans="1:2" ht="12.75" customHeight="1" x14ac:dyDescent="0.15">
      <c r="A86" s="12" t="s">
        <v>15</v>
      </c>
      <c r="B86" s="13" t="s">
        <v>49</v>
      </c>
    </row>
    <row r="87" spans="1:2" ht="12.75" customHeight="1" x14ac:dyDescent="0.15">
      <c r="A87" s="12" t="s">
        <v>6</v>
      </c>
      <c r="B87" s="13" t="s">
        <v>73</v>
      </c>
    </row>
    <row r="88" spans="1:2" ht="12.75" customHeight="1" x14ac:dyDescent="0.15">
      <c r="A88" s="12" t="s">
        <v>15</v>
      </c>
      <c r="B88" s="13" t="s">
        <v>51</v>
      </c>
    </row>
    <row r="89" spans="1:2" ht="12.75" customHeight="1" x14ac:dyDescent="0.15">
      <c r="A89" s="12" t="s">
        <v>6</v>
      </c>
      <c r="B89" s="13" t="s">
        <v>52</v>
      </c>
    </row>
    <row r="90" spans="1:2" ht="12.75" customHeight="1" x14ac:dyDescent="0.15">
      <c r="A90" s="12" t="s">
        <v>4</v>
      </c>
      <c r="B90" s="13" t="s">
        <v>53</v>
      </c>
    </row>
    <row r="91" spans="1:2" ht="12.75" customHeight="1" x14ac:dyDescent="0.15">
      <c r="A91" s="12" t="s">
        <v>15</v>
      </c>
      <c r="B91" s="13" t="s">
        <v>54</v>
      </c>
    </row>
    <row r="92" spans="1:2" ht="12.75" customHeight="1" x14ac:dyDescent="0.15">
      <c r="A92" s="12" t="s">
        <v>6</v>
      </c>
      <c r="B92" s="13" t="s">
        <v>74</v>
      </c>
    </row>
    <row r="93" spans="1:2" ht="12.75" customHeight="1" x14ac:dyDescent="0.15">
      <c r="A93" s="12" t="s">
        <v>15</v>
      </c>
      <c r="B93" s="13" t="s">
        <v>56</v>
      </c>
    </row>
    <row r="94" spans="1:2" ht="12.75" customHeight="1" x14ac:dyDescent="0.15">
      <c r="A94" s="12" t="s">
        <v>6</v>
      </c>
      <c r="B94" s="13" t="s">
        <v>41</v>
      </c>
    </row>
    <row r="95" spans="1:2" ht="12.75" customHeight="1" x14ac:dyDescent="0.15">
      <c r="A95" s="12" t="s">
        <v>4</v>
      </c>
      <c r="B95" s="13" t="s">
        <v>75</v>
      </c>
    </row>
    <row r="96" spans="1:2" ht="12.75" customHeight="1" x14ac:dyDescent="0.15">
      <c r="A96" s="12" t="s">
        <v>6</v>
      </c>
      <c r="B96" s="13" t="s">
        <v>76</v>
      </c>
    </row>
    <row r="97" spans="1:2" ht="12.75" customHeight="1" x14ac:dyDescent="0.15">
      <c r="A97" s="12" t="s">
        <v>15</v>
      </c>
      <c r="B97" s="13" t="s">
        <v>77</v>
      </c>
    </row>
    <row r="98" spans="1:2" ht="12.75" customHeight="1" x14ac:dyDescent="0.15">
      <c r="A98" s="12" t="s">
        <v>6</v>
      </c>
      <c r="B98" s="13" t="s">
        <v>78</v>
      </c>
    </row>
    <row r="99" spans="1:2" ht="12.75" customHeight="1" x14ac:dyDescent="0.15">
      <c r="A99" s="12" t="s">
        <v>4</v>
      </c>
      <c r="B99" s="13" t="s">
        <v>79</v>
      </c>
    </row>
    <row r="100" spans="1:2" ht="12.75" customHeight="1" x14ac:dyDescent="0.15">
      <c r="A100" s="12" t="s">
        <v>6</v>
      </c>
      <c r="B100" s="13" t="s">
        <v>80</v>
      </c>
    </row>
    <row r="101" spans="1:2" ht="12.75" customHeight="1" x14ac:dyDescent="0.15">
      <c r="A101" s="12" t="s">
        <v>15</v>
      </c>
      <c r="B101" s="13" t="s">
        <v>81</v>
      </c>
    </row>
    <row r="102" spans="1:2" ht="12.75" customHeight="1" x14ac:dyDescent="0.15">
      <c r="A102" s="12" t="s">
        <v>82</v>
      </c>
      <c r="B102" s="13" t="s">
        <v>83</v>
      </c>
    </row>
    <row r="103" spans="1:2" ht="12.75" customHeight="1" x14ac:dyDescent="0.15">
      <c r="A103" s="12" t="s">
        <v>15</v>
      </c>
      <c r="B103" s="13" t="s">
        <v>84</v>
      </c>
    </row>
    <row r="104" spans="1:2" ht="12.75" customHeight="1" x14ac:dyDescent="0.15">
      <c r="A104" s="12" t="s">
        <v>6</v>
      </c>
      <c r="B104" s="13" t="s">
        <v>85</v>
      </c>
    </row>
    <row r="105" spans="1:2" ht="12.75" customHeight="1" x14ac:dyDescent="0.15">
      <c r="A105" s="12" t="s">
        <v>6</v>
      </c>
      <c r="B105" s="13" t="s">
        <v>78</v>
      </c>
    </row>
    <row r="106" spans="1:2" ht="12.75" customHeight="1" x14ac:dyDescent="0.15">
      <c r="A106" s="12" t="s">
        <v>4</v>
      </c>
      <c r="B106" s="13" t="s">
        <v>86</v>
      </c>
    </row>
    <row r="107" spans="1:2" ht="12.75" customHeight="1" x14ac:dyDescent="0.15">
      <c r="A107" s="12" t="s">
        <v>6</v>
      </c>
      <c r="B107" s="13" t="s">
        <v>87</v>
      </c>
    </row>
    <row r="108" spans="1:2" ht="12.75" customHeight="1" x14ac:dyDescent="0.15">
      <c r="A108" s="12" t="s">
        <v>6</v>
      </c>
      <c r="B108" s="13" t="s">
        <v>88</v>
      </c>
    </row>
    <row r="109" spans="1:2" ht="12.75" customHeight="1" x14ac:dyDescent="0.15">
      <c r="A109" s="12" t="s">
        <v>15</v>
      </c>
      <c r="B109" s="13" t="s">
        <v>89</v>
      </c>
    </row>
    <row r="110" spans="1:2" ht="12.75" customHeight="1" x14ac:dyDescent="0.15">
      <c r="A110" s="14" t="s">
        <v>4</v>
      </c>
      <c r="B110" s="15" t="s">
        <v>90</v>
      </c>
    </row>
    <row r="111" spans="1:2" ht="12.75" customHeight="1" x14ac:dyDescent="0.15">
      <c r="A111" s="16" t="s">
        <v>15</v>
      </c>
      <c r="B111" s="17" t="s">
        <v>90</v>
      </c>
    </row>
    <row r="112" spans="1:2" ht="12.75" customHeight="1" x14ac:dyDescent="0.15">
      <c r="A112" s="8" t="s">
        <v>22</v>
      </c>
      <c r="B112" s="9" t="s">
        <v>90</v>
      </c>
    </row>
    <row r="113" spans="1:2" ht="12.75" customHeight="1" x14ac:dyDescent="0.15">
      <c r="A113" s="16" t="s">
        <v>6</v>
      </c>
      <c r="B113" s="17" t="s">
        <v>90</v>
      </c>
    </row>
    <row r="114" spans="1:2" ht="12.75" customHeight="1" x14ac:dyDescent="0.15">
      <c r="A114" s="8" t="s">
        <v>8</v>
      </c>
      <c r="B114" s="9" t="s">
        <v>90</v>
      </c>
    </row>
    <row r="115" spans="1:2" ht="12.75" customHeight="1" x14ac:dyDescent="0.15">
      <c r="A115" s="16" t="s">
        <v>10</v>
      </c>
      <c r="B115" s="17" t="s">
        <v>90</v>
      </c>
    </row>
    <row r="116" spans="1:2" ht="12.75" customHeight="1" x14ac:dyDescent="0.15">
      <c r="A116" s="8" t="s">
        <v>82</v>
      </c>
      <c r="B116" s="9" t="s">
        <v>90</v>
      </c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18"/>
      <c r="B994" s="19"/>
    </row>
    <row r="995" spans="1:2" ht="12.75" customHeight="1" x14ac:dyDescent="0.15">
      <c r="A995" s="18"/>
      <c r="B995" s="19"/>
    </row>
    <row r="996" spans="1:2" ht="12.75" customHeight="1" x14ac:dyDescent="0.15">
      <c r="A996" s="18"/>
      <c r="B996" s="19"/>
    </row>
    <row r="997" spans="1:2" ht="12.75" customHeight="1" x14ac:dyDescent="0.15">
      <c r="A997" s="18"/>
      <c r="B997" s="19"/>
    </row>
    <row r="998" spans="1:2" ht="12.75" customHeight="1" x14ac:dyDescent="0.15">
      <c r="A998" s="18"/>
      <c r="B998" s="19"/>
    </row>
    <row r="999" spans="1:2" ht="12.75" customHeight="1" x14ac:dyDescent="0.15">
      <c r="A999" s="18"/>
      <c r="B999" s="19"/>
    </row>
    <row r="1000" spans="1:2" ht="12.75" customHeight="1" x14ac:dyDescent="0.15">
      <c r="A1000" s="18"/>
      <c r="B1000" s="19"/>
    </row>
    <row r="1001" spans="1:2" ht="12.75" customHeight="1" x14ac:dyDescent="0.15">
      <c r="A1001" s="18"/>
      <c r="B1001" s="19"/>
    </row>
    <row r="1002" spans="1:2" ht="12.75" customHeight="1" x14ac:dyDescent="0.15">
      <c r="A1002" s="18"/>
      <c r="B1002" s="19"/>
    </row>
    <row r="1003" spans="1:2" ht="12.75" customHeight="1" x14ac:dyDescent="0.15">
      <c r="A1003" s="18"/>
      <c r="B1003" s="19"/>
    </row>
    <row r="1004" spans="1:2" ht="12.75" customHeight="1" x14ac:dyDescent="0.15">
      <c r="A1004" s="18"/>
      <c r="B1004" s="19"/>
    </row>
    <row r="1005" spans="1:2" ht="12.75" customHeight="1" x14ac:dyDescent="0.15">
      <c r="A1005" s="18"/>
      <c r="B1005" s="19"/>
    </row>
    <row r="1006" spans="1:2" ht="12.75" customHeight="1" x14ac:dyDescent="0.15">
      <c r="A1006" s="18"/>
      <c r="B1006" s="19"/>
    </row>
    <row r="1007" spans="1:2" ht="12.75" customHeight="1" x14ac:dyDescent="0.15">
      <c r="A1007" s="18"/>
      <c r="B1007" s="19"/>
    </row>
    <row r="1008" spans="1:2" ht="12.75" customHeight="1" x14ac:dyDescent="0.15">
      <c r="A1008" s="18"/>
      <c r="B1008" s="19"/>
    </row>
    <row r="1009" spans="1:2" ht="12.75" customHeight="1" x14ac:dyDescent="0.15">
      <c r="A1009" s="18"/>
      <c r="B1009" s="19"/>
    </row>
    <row r="1010" spans="1:2" ht="12.75" customHeight="1" x14ac:dyDescent="0.15">
      <c r="A1010" s="18"/>
      <c r="B1010" s="19"/>
    </row>
    <row r="1011" spans="1:2" ht="12.75" customHeight="1" x14ac:dyDescent="0.15">
      <c r="A1011" s="18"/>
      <c r="B1011" s="19"/>
    </row>
    <row r="1012" spans="1:2" ht="12.75" customHeight="1" x14ac:dyDescent="0.15">
      <c r="A1012" s="18"/>
      <c r="B1012" s="19"/>
    </row>
    <row r="1013" spans="1:2" ht="12.75" customHeight="1" x14ac:dyDescent="0.15">
      <c r="A1013" s="18"/>
      <c r="B1013" s="19"/>
    </row>
    <row r="1014" spans="1:2" ht="12.75" customHeight="1" x14ac:dyDescent="0.15">
      <c r="A1014" s="18"/>
      <c r="B1014" s="19"/>
    </row>
    <row r="1015" spans="1:2" ht="12.75" customHeight="1" x14ac:dyDescent="0.15">
      <c r="A1015" s="18"/>
      <c r="B1015" s="19"/>
    </row>
    <row r="1016" spans="1:2" ht="12.75" customHeight="1" x14ac:dyDescent="0.15">
      <c r="A1016" s="18"/>
      <c r="B1016" s="19"/>
    </row>
    <row r="1017" spans="1:2" ht="12.75" customHeight="1" x14ac:dyDescent="0.15">
      <c r="A1017" s="18"/>
      <c r="B1017" s="19"/>
    </row>
    <row r="1018" spans="1:2" ht="12.75" customHeight="1" x14ac:dyDescent="0.15">
      <c r="A1018" s="18"/>
      <c r="B1018" s="19"/>
    </row>
    <row r="1019" spans="1:2" ht="12.75" customHeight="1" x14ac:dyDescent="0.15">
      <c r="A1019" s="18"/>
      <c r="B1019" s="19"/>
    </row>
    <row r="1020" spans="1:2" ht="12.75" customHeight="1" x14ac:dyDescent="0.15">
      <c r="A1020" s="18"/>
      <c r="B1020" s="19"/>
    </row>
    <row r="1021" spans="1:2" ht="12.75" customHeight="1" x14ac:dyDescent="0.15">
      <c r="A1021" s="18"/>
      <c r="B1021" s="19"/>
    </row>
    <row r="1022" spans="1:2" ht="12.75" customHeight="1" x14ac:dyDescent="0.15">
      <c r="A1022" s="18"/>
      <c r="B1022" s="19"/>
    </row>
    <row r="1023" spans="1:2" ht="12.75" customHeight="1" x14ac:dyDescent="0.15">
      <c r="A1023" s="18"/>
      <c r="B1023" s="19"/>
    </row>
    <row r="1024" spans="1:2" ht="12.75" customHeight="1" x14ac:dyDescent="0.15">
      <c r="A1024" s="18"/>
      <c r="B1024" s="19"/>
    </row>
    <row r="1025" spans="1:2" ht="12.75" customHeight="1" x14ac:dyDescent="0.15">
      <c r="A1025" s="18"/>
      <c r="B1025" s="19"/>
    </row>
    <row r="1026" spans="1:2" ht="12.75" customHeight="1" x14ac:dyDescent="0.15">
      <c r="A1026" s="18"/>
      <c r="B1026" s="19"/>
    </row>
    <row r="1027" spans="1:2" ht="12.75" customHeight="1" x14ac:dyDescent="0.15">
      <c r="A1027" s="18"/>
      <c r="B1027" s="19"/>
    </row>
    <row r="1028" spans="1:2" ht="12.75" customHeight="1" x14ac:dyDescent="0.15">
      <c r="A1028" s="18"/>
      <c r="B1028" s="19"/>
    </row>
    <row r="1029" spans="1:2" ht="12.75" customHeight="1" x14ac:dyDescent="0.15">
      <c r="A1029" s="18"/>
      <c r="B1029" s="19"/>
    </row>
    <row r="1030" spans="1:2" ht="12.75" customHeight="1" x14ac:dyDescent="0.15">
      <c r="A1030" s="18"/>
      <c r="B1030" s="19"/>
    </row>
    <row r="1031" spans="1:2" ht="12.75" customHeight="1" x14ac:dyDescent="0.15">
      <c r="A1031" s="18"/>
      <c r="B1031" s="19"/>
    </row>
    <row r="1032" spans="1:2" ht="12.75" customHeight="1" x14ac:dyDescent="0.15">
      <c r="A1032" s="18"/>
      <c r="B1032" s="19"/>
    </row>
    <row r="1033" spans="1:2" ht="12.75" customHeight="1" x14ac:dyDescent="0.15">
      <c r="A1033" s="18"/>
      <c r="B1033" s="19"/>
    </row>
    <row r="1034" spans="1:2" ht="12.75" customHeight="1" x14ac:dyDescent="0.15">
      <c r="A1034" s="18"/>
      <c r="B1034" s="19"/>
    </row>
    <row r="1035" spans="1:2" ht="12.75" customHeight="1" x14ac:dyDescent="0.15">
      <c r="A1035" s="18"/>
      <c r="B1035" s="19"/>
    </row>
    <row r="1036" spans="1:2" ht="12.75" customHeight="1" x14ac:dyDescent="0.15">
      <c r="A1036" s="20"/>
      <c r="B1036" s="21"/>
    </row>
    <row r="1037" spans="1:2" ht="12.75" customHeight="1" x14ac:dyDescent="0.15">
      <c r="A1037" s="20"/>
      <c r="B1037" s="21"/>
    </row>
    <row r="1038" spans="1:2" ht="12.75" customHeight="1" x14ac:dyDescent="0.15">
      <c r="A1038" s="20"/>
      <c r="B1038" s="21"/>
    </row>
    <row r="1039" spans="1:2" ht="12.75" customHeight="1" x14ac:dyDescent="0.15">
      <c r="A1039" s="20"/>
      <c r="B1039" s="21"/>
    </row>
    <row r="1040" spans="1:2" ht="12.75" customHeight="1" x14ac:dyDescent="0.15">
      <c r="A1040" s="20"/>
      <c r="B1040" s="21"/>
    </row>
    <row r="1041" spans="1:2" ht="12.75" customHeight="1" x14ac:dyDescent="0.15">
      <c r="A1041" s="20"/>
      <c r="B1041" s="21"/>
    </row>
    <row r="1042" spans="1:2" ht="12.75" customHeight="1" x14ac:dyDescent="0.15">
      <c r="A1042" s="20"/>
      <c r="B1042" s="21"/>
    </row>
    <row r="1043" spans="1:2" ht="12.75" customHeight="1" x14ac:dyDescent="0.15">
      <c r="A1043" s="20"/>
      <c r="B1043" s="21"/>
    </row>
    <row r="1044" spans="1:2" ht="12.75" customHeight="1" x14ac:dyDescent="0.15">
      <c r="A1044" s="20"/>
      <c r="B1044" s="21"/>
    </row>
    <row r="1045" spans="1:2" ht="12.75" customHeight="1" x14ac:dyDescent="0.15">
      <c r="A1045" s="20"/>
      <c r="B1045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81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2</v>
      </c>
      <c r="D1" s="25" t="s">
        <v>3</v>
      </c>
      <c r="E1" s="3"/>
      <c r="F1" s="3"/>
    </row>
    <row r="2" spans="1:6" ht="12.75" customHeight="1" x14ac:dyDescent="0.15">
      <c r="A2" s="26" t="s">
        <v>4</v>
      </c>
      <c r="B2" s="27" t="s">
        <v>5</v>
      </c>
      <c r="C2" s="27">
        <v>1</v>
      </c>
      <c r="D2" s="27" t="s">
        <v>250</v>
      </c>
      <c r="E2" s="6"/>
      <c r="F2" s="6"/>
    </row>
    <row r="3" spans="1:6" ht="24.75" customHeight="1" x14ac:dyDescent="0.15">
      <c r="A3" s="26" t="s">
        <v>6</v>
      </c>
      <c r="B3" s="28" t="s">
        <v>7</v>
      </c>
      <c r="C3" s="28">
        <v>0</v>
      </c>
      <c r="D3" s="28" t="s">
        <v>251</v>
      </c>
      <c r="E3" s="6"/>
      <c r="F3" s="6"/>
    </row>
    <row r="4" spans="1:6" ht="12.75" customHeight="1" x14ac:dyDescent="0.15">
      <c r="A4" s="26" t="s">
        <v>8</v>
      </c>
      <c r="B4" s="27" t="s">
        <v>9</v>
      </c>
      <c r="C4" s="27">
        <v>1</v>
      </c>
      <c r="D4" s="27" t="s">
        <v>252</v>
      </c>
      <c r="E4" s="6"/>
      <c r="F4" s="6"/>
    </row>
    <row r="5" spans="1:6" ht="12.75" customHeight="1" x14ac:dyDescent="0.15">
      <c r="A5" s="26" t="s">
        <v>10</v>
      </c>
      <c r="B5" s="27" t="s">
        <v>11</v>
      </c>
      <c r="C5" s="27">
        <v>0.5</v>
      </c>
      <c r="D5" s="27" t="s">
        <v>253</v>
      </c>
      <c r="E5" s="6"/>
      <c r="F5" s="6"/>
    </row>
    <row r="6" spans="1:6" ht="12.75" customHeight="1" x14ac:dyDescent="0.15">
      <c r="A6" s="26" t="s">
        <v>4</v>
      </c>
      <c r="B6" s="27" t="s">
        <v>12</v>
      </c>
      <c r="C6" s="27">
        <v>1</v>
      </c>
      <c r="D6" s="27" t="s">
        <v>254</v>
      </c>
      <c r="E6" s="6"/>
      <c r="F6" s="6"/>
    </row>
    <row r="7" spans="1:6" ht="12.75" customHeight="1" x14ac:dyDescent="0.15">
      <c r="A7" s="26" t="s">
        <v>4</v>
      </c>
      <c r="B7" s="27" t="s">
        <v>13</v>
      </c>
      <c r="C7" s="27">
        <v>1</v>
      </c>
      <c r="D7" s="27" t="s">
        <v>255</v>
      </c>
      <c r="E7" s="6"/>
      <c r="F7" s="6"/>
    </row>
    <row r="8" spans="1:6" ht="12.75" customHeight="1" x14ac:dyDescent="0.15">
      <c r="A8" s="26" t="s">
        <v>6</v>
      </c>
      <c r="B8" s="27" t="s">
        <v>14</v>
      </c>
      <c r="C8" s="27">
        <v>1</v>
      </c>
      <c r="D8" s="27" t="s">
        <v>256</v>
      </c>
      <c r="E8" s="6"/>
      <c r="F8" s="6"/>
    </row>
    <row r="9" spans="1:6" ht="12.75" customHeight="1" x14ac:dyDescent="0.15">
      <c r="A9" s="26" t="s">
        <v>15</v>
      </c>
      <c r="B9" s="27" t="s">
        <v>16</v>
      </c>
      <c r="C9" s="27">
        <v>1</v>
      </c>
      <c r="D9" s="27" t="s">
        <v>257</v>
      </c>
      <c r="E9" s="6"/>
      <c r="F9" s="6"/>
    </row>
    <row r="10" spans="1:6" ht="12.75" customHeight="1" x14ac:dyDescent="0.15">
      <c r="A10" s="26" t="s">
        <v>4</v>
      </c>
      <c r="B10" s="27" t="s">
        <v>17</v>
      </c>
      <c r="C10" s="27">
        <v>1</v>
      </c>
      <c r="D10" s="27" t="s">
        <v>258</v>
      </c>
      <c r="E10" s="6"/>
      <c r="F10" s="6"/>
    </row>
    <row r="11" spans="1:6" ht="12.75" customHeight="1" x14ac:dyDescent="0.15">
      <c r="A11" s="26" t="s">
        <v>6</v>
      </c>
      <c r="B11" s="27" t="s">
        <v>18</v>
      </c>
      <c r="C11" s="27">
        <v>1</v>
      </c>
      <c r="D11" s="27" t="s">
        <v>259</v>
      </c>
      <c r="E11" s="6"/>
      <c r="F11" s="6"/>
    </row>
    <row r="12" spans="1:6" ht="12.75" customHeight="1" x14ac:dyDescent="0.15">
      <c r="A12" s="26" t="s">
        <v>15</v>
      </c>
      <c r="B12" s="27" t="s">
        <v>19</v>
      </c>
      <c r="C12" s="27">
        <v>1</v>
      </c>
      <c r="D12" s="27" t="s">
        <v>260</v>
      </c>
      <c r="E12" s="6"/>
      <c r="F12" s="6"/>
    </row>
    <row r="13" spans="1:6" ht="12.75" customHeight="1" x14ac:dyDescent="0.15">
      <c r="A13" s="26" t="s">
        <v>15</v>
      </c>
      <c r="B13" s="27" t="s">
        <v>20</v>
      </c>
      <c r="C13" s="27">
        <v>1</v>
      </c>
      <c r="D13" s="27" t="s">
        <v>261</v>
      </c>
      <c r="E13" s="6"/>
      <c r="F13" s="6"/>
    </row>
    <row r="14" spans="1:6" ht="12.75" customHeight="1" x14ac:dyDescent="0.15">
      <c r="A14" s="26" t="s">
        <v>15</v>
      </c>
      <c r="B14" s="27" t="s">
        <v>21</v>
      </c>
      <c r="C14" s="27">
        <v>0</v>
      </c>
      <c r="D14" s="27" t="s">
        <v>262</v>
      </c>
      <c r="E14" s="6"/>
      <c r="F14" s="6"/>
    </row>
    <row r="15" spans="1:6" ht="12.75" customHeight="1" x14ac:dyDescent="0.15">
      <c r="A15" s="26" t="s">
        <v>22</v>
      </c>
      <c r="B15" s="27" t="s">
        <v>23</v>
      </c>
      <c r="C15" s="27">
        <v>0</v>
      </c>
      <c r="D15" s="27" t="s">
        <v>263</v>
      </c>
      <c r="E15" s="6"/>
      <c r="F15" s="6"/>
    </row>
    <row r="16" spans="1:6" ht="12.75" customHeight="1" x14ac:dyDescent="0.15">
      <c r="A16" s="26" t="s">
        <v>4</v>
      </c>
      <c r="B16" s="27" t="s">
        <v>24</v>
      </c>
      <c r="C16" s="27">
        <v>0</v>
      </c>
      <c r="D16" s="27" t="s">
        <v>264</v>
      </c>
      <c r="E16" s="6"/>
      <c r="F16" s="6"/>
    </row>
    <row r="17" spans="1:24" ht="15" customHeight="1" x14ac:dyDescent="0.15">
      <c r="A17" s="26" t="s">
        <v>6</v>
      </c>
      <c r="B17" s="27" t="s">
        <v>25</v>
      </c>
      <c r="C17" s="27">
        <v>0</v>
      </c>
      <c r="D17" s="27" t="s">
        <v>107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15</v>
      </c>
      <c r="B18" s="27" t="s">
        <v>26</v>
      </c>
      <c r="C18" s="27">
        <v>0</v>
      </c>
      <c r="D18" s="27" t="s">
        <v>265</v>
      </c>
      <c r="E18" s="6"/>
      <c r="F18" s="6"/>
    </row>
    <row r="19" spans="1:24" ht="12.75" customHeight="1" x14ac:dyDescent="0.15">
      <c r="A19" s="26" t="s">
        <v>22</v>
      </c>
      <c r="B19" s="27" t="s">
        <v>23</v>
      </c>
      <c r="C19" s="27">
        <v>0</v>
      </c>
      <c r="D19" s="27" t="s">
        <v>263</v>
      </c>
      <c r="E19" s="6"/>
      <c r="F19" s="6"/>
    </row>
    <row r="20" spans="1:24" ht="12.75" customHeight="1" x14ac:dyDescent="0.15">
      <c r="A20" s="26" t="s">
        <v>15</v>
      </c>
      <c r="B20" s="27" t="s">
        <v>27</v>
      </c>
      <c r="C20" s="27">
        <v>0</v>
      </c>
      <c r="D20" s="27" t="s">
        <v>266</v>
      </c>
      <c r="E20" s="6"/>
      <c r="F20" s="6"/>
    </row>
    <row r="21" spans="1:24" ht="12.75" customHeight="1" x14ac:dyDescent="0.15">
      <c r="A21" s="26" t="s">
        <v>10</v>
      </c>
      <c r="B21" s="27" t="s">
        <v>28</v>
      </c>
      <c r="C21" s="27">
        <v>1</v>
      </c>
      <c r="D21" s="27" t="s">
        <v>267</v>
      </c>
      <c r="E21" s="6"/>
      <c r="F21" s="6"/>
    </row>
    <row r="22" spans="1:24" ht="12.75" customHeight="1" x14ac:dyDescent="0.15">
      <c r="A22" s="29" t="s">
        <v>4</v>
      </c>
      <c r="B22" s="30" t="s">
        <v>29</v>
      </c>
      <c r="C22" s="30">
        <v>0.5</v>
      </c>
      <c r="D22" s="30" t="s">
        <v>268</v>
      </c>
      <c r="E22" s="6"/>
      <c r="F22" s="6"/>
    </row>
    <row r="23" spans="1:24" ht="12.75" customHeight="1" x14ac:dyDescent="0.15">
      <c r="A23" s="26" t="s">
        <v>8</v>
      </c>
      <c r="B23" s="27" t="s">
        <v>30</v>
      </c>
      <c r="C23" s="27">
        <v>0</v>
      </c>
      <c r="D23" s="27" t="s">
        <v>269</v>
      </c>
      <c r="E23" s="6"/>
      <c r="F23" s="6"/>
    </row>
    <row r="24" spans="1:24" ht="12.75" customHeight="1" x14ac:dyDescent="0.15">
      <c r="A24" s="26" t="s">
        <v>4</v>
      </c>
      <c r="B24" s="27" t="s">
        <v>31</v>
      </c>
      <c r="C24" s="27">
        <v>1</v>
      </c>
      <c r="D24" s="27" t="s">
        <v>270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8</v>
      </c>
      <c r="B25" s="27" t="s">
        <v>32</v>
      </c>
      <c r="C25" s="27">
        <v>1</v>
      </c>
      <c r="D25" s="27" t="s">
        <v>271</v>
      </c>
      <c r="E25" s="6"/>
      <c r="F25" s="6"/>
    </row>
    <row r="26" spans="1:24" ht="12.75" customHeight="1" x14ac:dyDescent="0.15">
      <c r="A26" s="26" t="s">
        <v>4</v>
      </c>
      <c r="B26" s="27" t="s">
        <v>33</v>
      </c>
      <c r="C26" s="27">
        <v>1</v>
      </c>
      <c r="D26" s="27" t="s">
        <v>272</v>
      </c>
      <c r="E26" s="6"/>
      <c r="F26" s="6"/>
    </row>
    <row r="27" spans="1:24" ht="15" customHeight="1" x14ac:dyDescent="0.15">
      <c r="A27" s="26" t="s">
        <v>4</v>
      </c>
      <c r="B27" s="27" t="s">
        <v>34</v>
      </c>
      <c r="C27" s="27">
        <v>1</v>
      </c>
      <c r="D27" s="27" t="s">
        <v>273</v>
      </c>
      <c r="E27" s="6"/>
      <c r="F27" s="6"/>
    </row>
    <row r="28" spans="1:24" ht="12.75" customHeight="1" x14ac:dyDescent="0.15">
      <c r="A28" s="26" t="s">
        <v>6</v>
      </c>
      <c r="B28" s="27" t="s">
        <v>35</v>
      </c>
      <c r="C28" s="27">
        <v>1</v>
      </c>
      <c r="D28" s="27" t="s">
        <v>274</v>
      </c>
      <c r="E28" s="6"/>
      <c r="F28" s="6"/>
    </row>
    <row r="29" spans="1:24" ht="12.75" customHeight="1" x14ac:dyDescent="0.15">
      <c r="A29" s="26" t="s">
        <v>15</v>
      </c>
      <c r="B29" s="27" t="s">
        <v>36</v>
      </c>
      <c r="C29" s="27">
        <v>0.5</v>
      </c>
      <c r="D29" s="27" t="s">
        <v>275</v>
      </c>
      <c r="E29" s="6"/>
      <c r="F29" s="6"/>
    </row>
    <row r="30" spans="1:24" ht="12.75" customHeight="1" x14ac:dyDescent="0.15">
      <c r="A30" s="26" t="s">
        <v>6</v>
      </c>
      <c r="B30" s="27" t="s">
        <v>37</v>
      </c>
      <c r="C30" s="27">
        <v>0.5</v>
      </c>
      <c r="D30" s="27" t="s">
        <v>276</v>
      </c>
      <c r="E30" s="6"/>
      <c r="F30" s="6"/>
    </row>
    <row r="31" spans="1:24" ht="12.75" customHeight="1" x14ac:dyDescent="0.15">
      <c r="A31" s="26" t="s">
        <v>15</v>
      </c>
      <c r="B31" s="27" t="s">
        <v>38</v>
      </c>
      <c r="C31" s="27">
        <v>1</v>
      </c>
      <c r="D31" s="27" t="s">
        <v>277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6</v>
      </c>
      <c r="B32" s="27" t="s">
        <v>39</v>
      </c>
      <c r="C32" s="27">
        <v>1</v>
      </c>
      <c r="D32" s="27" t="s">
        <v>278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15</v>
      </c>
      <c r="B33" s="27" t="s">
        <v>40</v>
      </c>
      <c r="C33" s="27">
        <v>1</v>
      </c>
      <c r="D33" s="27" t="s">
        <v>279</v>
      </c>
      <c r="E33" s="6"/>
      <c r="F33" s="6"/>
    </row>
    <row r="34" spans="1:24" ht="12.75" customHeight="1" x14ac:dyDescent="0.15">
      <c r="A34" s="26" t="s">
        <v>6</v>
      </c>
      <c r="B34" s="27" t="s">
        <v>41</v>
      </c>
      <c r="C34" s="27">
        <v>1</v>
      </c>
      <c r="D34" s="27" t="s">
        <v>280</v>
      </c>
      <c r="E34" s="6"/>
      <c r="F34" s="6"/>
    </row>
    <row r="35" spans="1:24" ht="12.75" customHeight="1" x14ac:dyDescent="0.15">
      <c r="A35" s="26" t="s">
        <v>15</v>
      </c>
      <c r="B35" s="27" t="s">
        <v>42</v>
      </c>
      <c r="C35" s="27">
        <v>1</v>
      </c>
      <c r="D35" s="27" t="s">
        <v>281</v>
      </c>
      <c r="E35" s="6"/>
      <c r="F35" s="6"/>
    </row>
    <row r="36" spans="1:24" ht="12.75" customHeight="1" x14ac:dyDescent="0.15">
      <c r="A36" s="26" t="s">
        <v>4</v>
      </c>
      <c r="B36" s="27" t="s">
        <v>43</v>
      </c>
      <c r="C36" s="27">
        <v>1</v>
      </c>
      <c r="D36" s="27" t="s">
        <v>282</v>
      </c>
      <c r="E36" s="6"/>
      <c r="F36" s="6"/>
    </row>
    <row r="37" spans="1:24" ht="12.75" customHeight="1" x14ac:dyDescent="0.15">
      <c r="A37" s="26" t="s">
        <v>15</v>
      </c>
      <c r="B37" s="27" t="s">
        <v>44</v>
      </c>
      <c r="C37" s="27">
        <v>1</v>
      </c>
      <c r="D37" s="27" t="s">
        <v>283</v>
      </c>
      <c r="E37" s="6"/>
      <c r="F37" s="6"/>
    </row>
    <row r="38" spans="1:24" ht="12.75" customHeight="1" x14ac:dyDescent="0.15">
      <c r="A38" s="26" t="s">
        <v>6</v>
      </c>
      <c r="B38" s="27" t="s">
        <v>45</v>
      </c>
      <c r="C38" s="27">
        <v>1</v>
      </c>
      <c r="D38" s="27" t="s">
        <v>284</v>
      </c>
      <c r="E38" s="6"/>
      <c r="F38" s="6"/>
    </row>
    <row r="39" spans="1:24" ht="15" customHeight="1" x14ac:dyDescent="0.15">
      <c r="A39" s="26" t="s">
        <v>15</v>
      </c>
      <c r="B39" s="27" t="s">
        <v>46</v>
      </c>
      <c r="C39" s="27">
        <v>1</v>
      </c>
      <c r="D39" s="27" t="s">
        <v>285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6</v>
      </c>
      <c r="B40" s="27" t="s">
        <v>47</v>
      </c>
      <c r="C40" s="27">
        <v>1</v>
      </c>
      <c r="D40" s="27" t="s">
        <v>286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4</v>
      </c>
      <c r="B41" s="27" t="s">
        <v>48</v>
      </c>
      <c r="C41" s="27">
        <v>1</v>
      </c>
      <c r="D41" s="27" t="s">
        <v>287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15</v>
      </c>
      <c r="B42" s="27" t="s">
        <v>49</v>
      </c>
      <c r="C42" s="27">
        <v>1</v>
      </c>
      <c r="D42" s="27" t="s">
        <v>288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6</v>
      </c>
      <c r="B43" s="27" t="s">
        <v>50</v>
      </c>
      <c r="C43" s="27">
        <v>1</v>
      </c>
      <c r="D43" s="27" t="s">
        <v>289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15</v>
      </c>
      <c r="B44" s="27" t="s">
        <v>51</v>
      </c>
      <c r="C44" s="27">
        <v>1</v>
      </c>
      <c r="D44" s="27" t="s">
        <v>290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6</v>
      </c>
      <c r="B45" s="27" t="s">
        <v>52</v>
      </c>
      <c r="C45" s="27">
        <v>1</v>
      </c>
      <c r="D45" s="27" t="s">
        <v>291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4</v>
      </c>
      <c r="B46" s="27" t="s">
        <v>53</v>
      </c>
      <c r="C46" s="27">
        <v>1</v>
      </c>
      <c r="D46" s="27" t="s">
        <v>292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15</v>
      </c>
      <c r="B47" s="27" t="s">
        <v>54</v>
      </c>
      <c r="C47" s="27">
        <v>1</v>
      </c>
      <c r="D47" s="27" t="s">
        <v>293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6</v>
      </c>
      <c r="B48" s="27" t="s">
        <v>55</v>
      </c>
      <c r="C48" s="27">
        <v>1</v>
      </c>
      <c r="D48" s="27" t="s">
        <v>294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15</v>
      </c>
      <c r="B49" s="27" t="s">
        <v>56</v>
      </c>
      <c r="C49" s="27">
        <v>1</v>
      </c>
      <c r="D49" s="27" t="s">
        <v>295</v>
      </c>
      <c r="E49" s="6"/>
      <c r="F49" s="6"/>
    </row>
    <row r="50" spans="1:6" ht="12.75" customHeight="1" x14ac:dyDescent="0.15">
      <c r="A50" s="26" t="s">
        <v>6</v>
      </c>
      <c r="B50" s="27" t="s">
        <v>41</v>
      </c>
      <c r="C50" s="27">
        <v>1</v>
      </c>
      <c r="D50" s="27" t="s">
        <v>280</v>
      </c>
      <c r="E50" s="6"/>
      <c r="F50" s="6"/>
    </row>
    <row r="51" spans="1:6" ht="12.75" customHeight="1" x14ac:dyDescent="0.15">
      <c r="A51" s="26" t="s">
        <v>15</v>
      </c>
      <c r="B51" s="27" t="s">
        <v>42</v>
      </c>
      <c r="C51" s="27">
        <v>1</v>
      </c>
      <c r="D51" s="27" t="s">
        <v>296</v>
      </c>
      <c r="E51" s="6"/>
      <c r="F51" s="6"/>
    </row>
    <row r="52" spans="1:6" ht="12.75" customHeight="1" x14ac:dyDescent="0.15">
      <c r="A52" s="26" t="s">
        <v>8</v>
      </c>
      <c r="B52" s="27" t="s">
        <v>57</v>
      </c>
      <c r="C52" s="27">
        <v>1</v>
      </c>
      <c r="D52" s="27" t="s">
        <v>297</v>
      </c>
      <c r="E52" s="6"/>
      <c r="F52" s="6"/>
    </row>
    <row r="53" spans="1:6" ht="12.75" customHeight="1" x14ac:dyDescent="0.15">
      <c r="A53" s="26" t="s">
        <v>4</v>
      </c>
      <c r="B53" s="27" t="s">
        <v>58</v>
      </c>
      <c r="C53" s="27">
        <v>1</v>
      </c>
      <c r="D53" s="27" t="s">
        <v>298</v>
      </c>
      <c r="E53" s="6"/>
      <c r="F53" s="6"/>
    </row>
    <row r="54" spans="1:6" ht="12.75" customHeight="1" x14ac:dyDescent="0.15">
      <c r="A54" s="26" t="s">
        <v>4</v>
      </c>
      <c r="B54" s="27" t="s">
        <v>34</v>
      </c>
      <c r="C54" s="27">
        <v>1</v>
      </c>
      <c r="D54" s="27" t="s">
        <v>299</v>
      </c>
      <c r="E54" s="6"/>
      <c r="F54" s="6"/>
    </row>
    <row r="55" spans="1:6" ht="12.75" customHeight="1" x14ac:dyDescent="0.15">
      <c r="A55" s="26" t="s">
        <v>6</v>
      </c>
      <c r="B55" s="27" t="s">
        <v>59</v>
      </c>
      <c r="C55" s="27">
        <v>1</v>
      </c>
      <c r="D55" s="27" t="s">
        <v>300</v>
      </c>
      <c r="E55" s="6"/>
      <c r="F55" s="6"/>
    </row>
    <row r="56" spans="1:6" ht="12.75" customHeight="1" x14ac:dyDescent="0.15">
      <c r="A56" s="26" t="s">
        <v>15</v>
      </c>
      <c r="B56" s="27" t="s">
        <v>60</v>
      </c>
      <c r="C56" s="27">
        <v>1</v>
      </c>
      <c r="D56" s="27" t="s">
        <v>301</v>
      </c>
      <c r="E56" s="6"/>
      <c r="F56" s="6"/>
    </row>
    <row r="57" spans="1:6" ht="12.75" customHeight="1" x14ac:dyDescent="0.15">
      <c r="A57" s="26" t="s">
        <v>6</v>
      </c>
      <c r="B57" s="27" t="s">
        <v>47</v>
      </c>
      <c r="C57" s="27">
        <v>1</v>
      </c>
      <c r="D57" s="27" t="s">
        <v>302</v>
      </c>
      <c r="E57" s="6"/>
      <c r="F57" s="6"/>
    </row>
    <row r="58" spans="1:6" ht="12.75" customHeight="1" x14ac:dyDescent="0.15">
      <c r="A58" s="26" t="s">
        <v>15</v>
      </c>
      <c r="B58" s="27" t="s">
        <v>61</v>
      </c>
      <c r="C58" s="27">
        <v>1</v>
      </c>
      <c r="D58" s="27" t="s">
        <v>303</v>
      </c>
      <c r="E58" s="6"/>
      <c r="F58" s="6"/>
    </row>
    <row r="59" spans="1:6" ht="12.75" customHeight="1" x14ac:dyDescent="0.15">
      <c r="A59" s="26" t="s">
        <v>4</v>
      </c>
      <c r="B59" s="27" t="s">
        <v>48</v>
      </c>
      <c r="C59" s="27">
        <v>1</v>
      </c>
      <c r="D59" s="27" t="s">
        <v>304</v>
      </c>
      <c r="E59" s="6"/>
      <c r="F59" s="6"/>
    </row>
    <row r="60" spans="1:6" ht="12.75" customHeight="1" x14ac:dyDescent="0.15">
      <c r="A60" s="26" t="s">
        <v>15</v>
      </c>
      <c r="B60" s="27" t="s">
        <v>49</v>
      </c>
      <c r="C60" s="27">
        <v>1</v>
      </c>
      <c r="D60" s="27" t="s">
        <v>305</v>
      </c>
      <c r="E60" s="6"/>
      <c r="F60" s="6"/>
    </row>
    <row r="61" spans="1:6" ht="12.75" customHeight="1" x14ac:dyDescent="0.15">
      <c r="A61" s="26" t="s">
        <v>6</v>
      </c>
      <c r="B61" s="27" t="s">
        <v>62</v>
      </c>
      <c r="C61" s="27">
        <v>1</v>
      </c>
      <c r="D61" s="27" t="s">
        <v>306</v>
      </c>
      <c r="E61" s="6"/>
      <c r="F61" s="6"/>
    </row>
    <row r="62" spans="1:6" ht="12.75" customHeight="1" x14ac:dyDescent="0.15">
      <c r="A62" s="26" t="s">
        <v>15</v>
      </c>
      <c r="B62" s="27" t="s">
        <v>51</v>
      </c>
      <c r="C62" s="27">
        <v>1</v>
      </c>
      <c r="D62" s="27" t="s">
        <v>307</v>
      </c>
      <c r="E62" s="6"/>
      <c r="F62" s="6"/>
    </row>
    <row r="63" spans="1:6" ht="12.75" customHeight="1" x14ac:dyDescent="0.15">
      <c r="A63" s="26" t="s">
        <v>6</v>
      </c>
      <c r="B63" s="27" t="s">
        <v>52</v>
      </c>
      <c r="C63" s="27">
        <v>1</v>
      </c>
      <c r="D63" s="27" t="s">
        <v>308</v>
      </c>
      <c r="E63" s="6"/>
      <c r="F63" s="6"/>
    </row>
    <row r="64" spans="1:6" ht="12.75" customHeight="1" x14ac:dyDescent="0.15">
      <c r="A64" s="26" t="s">
        <v>4</v>
      </c>
      <c r="B64" s="27" t="s">
        <v>53</v>
      </c>
      <c r="C64" s="27">
        <v>1</v>
      </c>
      <c r="D64" s="27" t="s">
        <v>309</v>
      </c>
      <c r="E64" s="6"/>
      <c r="F64" s="6"/>
    </row>
    <row r="65" spans="1:6" ht="12.75" customHeight="1" x14ac:dyDescent="0.15">
      <c r="A65" s="26" t="s">
        <v>15</v>
      </c>
      <c r="B65" s="27" t="s">
        <v>54</v>
      </c>
      <c r="C65" s="27">
        <v>1</v>
      </c>
      <c r="D65" s="27" t="s">
        <v>310</v>
      </c>
      <c r="E65" s="6"/>
      <c r="F65" s="6"/>
    </row>
    <row r="66" spans="1:6" ht="12.75" customHeight="1" x14ac:dyDescent="0.15">
      <c r="A66" s="26" t="s">
        <v>6</v>
      </c>
      <c r="B66" s="27" t="s">
        <v>63</v>
      </c>
      <c r="C66" s="27">
        <v>1</v>
      </c>
      <c r="D66" s="27" t="s">
        <v>311</v>
      </c>
      <c r="E66" s="6"/>
      <c r="F66" s="6"/>
    </row>
    <row r="67" spans="1:6" ht="12.75" customHeight="1" x14ac:dyDescent="0.15">
      <c r="A67" s="26" t="s">
        <v>15</v>
      </c>
      <c r="B67" s="27" t="s">
        <v>64</v>
      </c>
      <c r="C67" s="27">
        <v>1</v>
      </c>
      <c r="D67" s="27" t="s">
        <v>312</v>
      </c>
      <c r="E67" s="6"/>
      <c r="F67" s="6"/>
    </row>
    <row r="68" spans="1:6" ht="12.75" customHeight="1" x14ac:dyDescent="0.15">
      <c r="A68" s="26" t="s">
        <v>6</v>
      </c>
      <c r="B68" s="27" t="s">
        <v>47</v>
      </c>
      <c r="C68" s="27">
        <v>1</v>
      </c>
      <c r="D68" s="27" t="s">
        <v>302</v>
      </c>
      <c r="E68" s="6"/>
      <c r="F68" s="6"/>
    </row>
    <row r="69" spans="1:6" ht="12.75" customHeight="1" x14ac:dyDescent="0.15">
      <c r="A69" s="26" t="s">
        <v>15</v>
      </c>
      <c r="B69" s="27" t="s">
        <v>61</v>
      </c>
      <c r="C69" s="27">
        <v>1</v>
      </c>
      <c r="D69" s="27" t="s">
        <v>313</v>
      </c>
    </row>
    <row r="70" spans="1:6" ht="12.75" customHeight="1" x14ac:dyDescent="0.15">
      <c r="A70" s="26" t="s">
        <v>8</v>
      </c>
      <c r="B70" s="27" t="s">
        <v>65</v>
      </c>
      <c r="C70" s="27">
        <v>1</v>
      </c>
      <c r="D70" s="27" t="s">
        <v>314</v>
      </c>
    </row>
    <row r="71" spans="1:6" ht="12.75" customHeight="1" x14ac:dyDescent="0.15">
      <c r="A71" s="26" t="s">
        <v>4</v>
      </c>
      <c r="B71" s="27" t="s">
        <v>66</v>
      </c>
      <c r="C71" s="27">
        <v>1</v>
      </c>
      <c r="D71" s="27" t="s">
        <v>315</v>
      </c>
    </row>
    <row r="72" spans="1:6" ht="12.75" customHeight="1" x14ac:dyDescent="0.15">
      <c r="A72" s="26" t="s">
        <v>4</v>
      </c>
      <c r="B72" s="27" t="s">
        <v>34</v>
      </c>
      <c r="C72" s="27">
        <v>1</v>
      </c>
      <c r="D72" s="27" t="s">
        <v>316</v>
      </c>
    </row>
    <row r="73" spans="1:6" ht="12.75" customHeight="1" x14ac:dyDescent="0.15">
      <c r="A73" s="26" t="s">
        <v>6</v>
      </c>
      <c r="B73" s="27" t="s">
        <v>67</v>
      </c>
      <c r="C73" s="27">
        <v>1</v>
      </c>
      <c r="D73" s="27" t="s">
        <v>317</v>
      </c>
    </row>
    <row r="74" spans="1:6" ht="12.75" customHeight="1" x14ac:dyDescent="0.15">
      <c r="A74" s="26" t="s">
        <v>15</v>
      </c>
      <c r="B74" s="27" t="s">
        <v>40</v>
      </c>
      <c r="C74" s="27">
        <v>1</v>
      </c>
      <c r="D74" s="27" t="s">
        <v>318</v>
      </c>
    </row>
    <row r="75" spans="1:6" ht="12.75" customHeight="1" x14ac:dyDescent="0.15">
      <c r="A75" s="26" t="s">
        <v>6</v>
      </c>
      <c r="B75" s="27" t="s">
        <v>41</v>
      </c>
      <c r="C75" s="27">
        <v>1</v>
      </c>
      <c r="D75" s="27" t="s">
        <v>319</v>
      </c>
    </row>
    <row r="76" spans="1:6" ht="12.75" customHeight="1" x14ac:dyDescent="0.15">
      <c r="A76" s="26" t="s">
        <v>15</v>
      </c>
      <c r="B76" s="27" t="s">
        <v>68</v>
      </c>
      <c r="C76" s="27">
        <v>1</v>
      </c>
      <c r="D76" s="27" t="s">
        <v>320</v>
      </c>
    </row>
    <row r="77" spans="1:6" ht="12.75" customHeight="1" x14ac:dyDescent="0.15">
      <c r="A77" s="26" t="s">
        <v>22</v>
      </c>
      <c r="B77" s="27" t="s">
        <v>69</v>
      </c>
      <c r="C77" s="27">
        <v>1</v>
      </c>
      <c r="D77" s="27" t="s">
        <v>321</v>
      </c>
    </row>
    <row r="78" spans="1:6" ht="12.75" customHeight="1" x14ac:dyDescent="0.15">
      <c r="A78" s="26" t="s">
        <v>6</v>
      </c>
      <c r="B78" s="27" t="s">
        <v>70</v>
      </c>
      <c r="C78" s="27">
        <v>1</v>
      </c>
      <c r="D78" s="27" t="s">
        <v>322</v>
      </c>
    </row>
    <row r="79" spans="1:6" ht="12.75" customHeight="1" x14ac:dyDescent="0.15">
      <c r="A79" s="26" t="s">
        <v>15</v>
      </c>
      <c r="B79" s="27" t="s">
        <v>71</v>
      </c>
      <c r="C79" s="27">
        <v>1</v>
      </c>
      <c r="D79" s="27" t="s">
        <v>323</v>
      </c>
    </row>
    <row r="80" spans="1:6" ht="12.75" customHeight="1" x14ac:dyDescent="0.15">
      <c r="A80" s="26" t="s">
        <v>4</v>
      </c>
      <c r="B80" s="27" t="s">
        <v>43</v>
      </c>
      <c r="C80" s="27">
        <v>1</v>
      </c>
      <c r="D80" s="27" t="s">
        <v>324</v>
      </c>
    </row>
    <row r="81" spans="1:4" ht="12.75" customHeight="1" x14ac:dyDescent="0.15">
      <c r="A81" s="26" t="s">
        <v>15</v>
      </c>
      <c r="B81" s="27" t="s">
        <v>44</v>
      </c>
      <c r="C81" s="27">
        <v>1</v>
      </c>
      <c r="D81" s="27" t="s">
        <v>325</v>
      </c>
    </row>
    <row r="82" spans="1:4" ht="12.75" customHeight="1" x14ac:dyDescent="0.15">
      <c r="A82" s="26" t="s">
        <v>6</v>
      </c>
      <c r="B82" s="27" t="s">
        <v>72</v>
      </c>
      <c r="C82" s="27">
        <v>1</v>
      </c>
      <c r="D82" s="27" t="s">
        <v>326</v>
      </c>
    </row>
    <row r="83" spans="1:4" ht="12.75" customHeight="1" x14ac:dyDescent="0.15">
      <c r="A83" s="26" t="s">
        <v>15</v>
      </c>
      <c r="B83" s="27" t="s">
        <v>46</v>
      </c>
      <c r="C83" s="27">
        <v>1</v>
      </c>
      <c r="D83" s="27" t="s">
        <v>327</v>
      </c>
    </row>
    <row r="84" spans="1:4" ht="12.75" customHeight="1" x14ac:dyDescent="0.15">
      <c r="A84" s="26" t="s">
        <v>6</v>
      </c>
      <c r="B84" s="27" t="s">
        <v>47</v>
      </c>
      <c r="C84" s="27">
        <v>1</v>
      </c>
      <c r="D84" s="27" t="s">
        <v>328</v>
      </c>
    </row>
    <row r="85" spans="1:4" ht="12.75" customHeight="1" x14ac:dyDescent="0.15">
      <c r="A85" s="26" t="s">
        <v>4</v>
      </c>
      <c r="B85" s="27" t="s">
        <v>48</v>
      </c>
      <c r="C85" s="27">
        <v>1</v>
      </c>
      <c r="D85" s="27" t="s">
        <v>329</v>
      </c>
    </row>
    <row r="86" spans="1:4" ht="12.75" customHeight="1" x14ac:dyDescent="0.15">
      <c r="A86" s="26" t="s">
        <v>15</v>
      </c>
      <c r="B86" s="27" t="s">
        <v>49</v>
      </c>
      <c r="C86" s="27">
        <v>1</v>
      </c>
      <c r="D86" s="27" t="s">
        <v>330</v>
      </c>
    </row>
    <row r="87" spans="1:4" ht="12.75" customHeight="1" x14ac:dyDescent="0.15">
      <c r="A87" s="26" t="s">
        <v>6</v>
      </c>
      <c r="B87" s="27" t="s">
        <v>73</v>
      </c>
      <c r="C87" s="27">
        <v>1</v>
      </c>
      <c r="D87" s="27" t="s">
        <v>331</v>
      </c>
    </row>
    <row r="88" spans="1:4" ht="12.75" customHeight="1" x14ac:dyDescent="0.15">
      <c r="A88" s="26" t="s">
        <v>15</v>
      </c>
      <c r="B88" s="27" t="s">
        <v>51</v>
      </c>
      <c r="C88" s="27">
        <v>1</v>
      </c>
      <c r="D88" s="27" t="s">
        <v>332</v>
      </c>
    </row>
    <row r="89" spans="1:4" ht="12.75" customHeight="1" x14ac:dyDescent="0.15">
      <c r="A89" s="26" t="s">
        <v>6</v>
      </c>
      <c r="B89" s="27" t="s">
        <v>52</v>
      </c>
      <c r="C89" s="27">
        <v>1</v>
      </c>
      <c r="D89" s="27" t="s">
        <v>333</v>
      </c>
    </row>
    <row r="90" spans="1:4" ht="12.75" customHeight="1" x14ac:dyDescent="0.15">
      <c r="A90" s="26" t="s">
        <v>4</v>
      </c>
      <c r="B90" s="27" t="s">
        <v>53</v>
      </c>
      <c r="C90" s="27">
        <v>1</v>
      </c>
      <c r="D90" s="27" t="s">
        <v>334</v>
      </c>
    </row>
    <row r="91" spans="1:4" ht="12.75" customHeight="1" x14ac:dyDescent="0.15">
      <c r="A91" s="26" t="s">
        <v>15</v>
      </c>
      <c r="B91" s="27" t="s">
        <v>54</v>
      </c>
      <c r="C91" s="27">
        <v>1</v>
      </c>
      <c r="D91" s="27" t="s">
        <v>335</v>
      </c>
    </row>
    <row r="92" spans="1:4" ht="12.75" customHeight="1" x14ac:dyDescent="0.15">
      <c r="A92" s="26" t="s">
        <v>6</v>
      </c>
      <c r="B92" s="27" t="s">
        <v>74</v>
      </c>
      <c r="C92" s="27">
        <v>1</v>
      </c>
      <c r="D92" s="27" t="s">
        <v>336</v>
      </c>
    </row>
    <row r="93" spans="1:4" ht="12.75" customHeight="1" x14ac:dyDescent="0.15">
      <c r="A93" s="26" t="s">
        <v>15</v>
      </c>
      <c r="B93" s="27" t="s">
        <v>56</v>
      </c>
      <c r="C93" s="27">
        <v>1</v>
      </c>
      <c r="D93" s="27" t="s">
        <v>337</v>
      </c>
    </row>
    <row r="94" spans="1:4" ht="12.75" customHeight="1" x14ac:dyDescent="0.15">
      <c r="A94" s="26" t="s">
        <v>6</v>
      </c>
      <c r="B94" s="27" t="s">
        <v>41</v>
      </c>
      <c r="C94" s="27">
        <v>1</v>
      </c>
      <c r="D94" s="27" t="s">
        <v>319</v>
      </c>
    </row>
    <row r="95" spans="1:4" ht="12.75" customHeight="1" x14ac:dyDescent="0.15">
      <c r="A95" s="26" t="s">
        <v>4</v>
      </c>
      <c r="B95" s="27" t="s">
        <v>75</v>
      </c>
      <c r="C95" s="27">
        <v>1</v>
      </c>
      <c r="D95" s="27" t="s">
        <v>338</v>
      </c>
    </row>
    <row r="96" spans="1:4" ht="12.75" customHeight="1" x14ac:dyDescent="0.15">
      <c r="A96" s="26" t="s">
        <v>6</v>
      </c>
      <c r="B96" s="27" t="s">
        <v>76</v>
      </c>
      <c r="C96" s="27">
        <v>1</v>
      </c>
      <c r="D96" s="27" t="s">
        <v>339</v>
      </c>
    </row>
    <row r="97" spans="1:4" ht="12.75" customHeight="1" x14ac:dyDescent="0.15">
      <c r="A97" s="26" t="s">
        <v>15</v>
      </c>
      <c r="B97" s="27" t="s">
        <v>77</v>
      </c>
      <c r="C97" s="27">
        <v>1</v>
      </c>
      <c r="D97" s="27" t="s">
        <v>340</v>
      </c>
    </row>
    <row r="98" spans="1:4" ht="12.75" customHeight="1" x14ac:dyDescent="0.15">
      <c r="A98" s="26" t="s">
        <v>6</v>
      </c>
      <c r="B98" s="27" t="s">
        <v>78</v>
      </c>
      <c r="C98" s="27">
        <v>1</v>
      </c>
      <c r="D98" s="27" t="s">
        <v>341</v>
      </c>
    </row>
    <row r="99" spans="1:4" ht="12.75" customHeight="1" x14ac:dyDescent="0.15">
      <c r="A99" s="26" t="s">
        <v>4</v>
      </c>
      <c r="B99" s="27" t="s">
        <v>79</v>
      </c>
      <c r="C99" s="27">
        <v>1</v>
      </c>
      <c r="D99" s="27" t="s">
        <v>342</v>
      </c>
    </row>
    <row r="100" spans="1:4" ht="12.75" customHeight="1" x14ac:dyDescent="0.15">
      <c r="A100" s="26" t="s">
        <v>6</v>
      </c>
      <c r="B100" s="27" t="s">
        <v>80</v>
      </c>
      <c r="C100" s="27">
        <v>1</v>
      </c>
      <c r="D100" s="27" t="s">
        <v>343</v>
      </c>
    </row>
    <row r="101" spans="1:4" ht="12.75" customHeight="1" x14ac:dyDescent="0.15">
      <c r="A101" s="26" t="s">
        <v>15</v>
      </c>
      <c r="B101" s="27" t="s">
        <v>81</v>
      </c>
      <c r="C101" s="27">
        <v>1</v>
      </c>
      <c r="D101" s="27" t="s">
        <v>344</v>
      </c>
    </row>
    <row r="102" spans="1:4" ht="12.75" customHeight="1" x14ac:dyDescent="0.15">
      <c r="A102" s="26" t="s">
        <v>82</v>
      </c>
      <c r="B102" s="27" t="s">
        <v>83</v>
      </c>
      <c r="C102" s="27">
        <v>1</v>
      </c>
      <c r="D102" s="27" t="s">
        <v>345</v>
      </c>
    </row>
    <row r="103" spans="1:4" ht="12.75" customHeight="1" x14ac:dyDescent="0.15">
      <c r="A103" s="26" t="s">
        <v>15</v>
      </c>
      <c r="B103" s="27" t="s">
        <v>84</v>
      </c>
      <c r="C103" s="27">
        <v>1</v>
      </c>
      <c r="D103" s="27" t="s">
        <v>346</v>
      </c>
    </row>
    <row r="104" spans="1:4" ht="12.75" customHeight="1" x14ac:dyDescent="0.15">
      <c r="A104" s="26" t="s">
        <v>6</v>
      </c>
      <c r="B104" s="27" t="s">
        <v>85</v>
      </c>
      <c r="C104" s="27">
        <v>0</v>
      </c>
      <c r="D104" s="27" t="s">
        <v>347</v>
      </c>
    </row>
    <row r="105" spans="1:4" ht="12.75" customHeight="1" x14ac:dyDescent="0.15">
      <c r="A105" s="26" t="s">
        <v>6</v>
      </c>
      <c r="B105" s="27" t="s">
        <v>78</v>
      </c>
      <c r="C105" s="27">
        <v>1</v>
      </c>
      <c r="D105" s="27" t="s">
        <v>348</v>
      </c>
    </row>
    <row r="106" spans="1:4" ht="12.75" customHeight="1" x14ac:dyDescent="0.15">
      <c r="A106" s="26" t="s">
        <v>4</v>
      </c>
      <c r="B106" s="27" t="s">
        <v>86</v>
      </c>
      <c r="C106" s="27">
        <v>1</v>
      </c>
      <c r="D106" s="27" t="s">
        <v>349</v>
      </c>
    </row>
    <row r="107" spans="1:4" ht="12.75" customHeight="1" x14ac:dyDescent="0.15">
      <c r="A107" s="26" t="s">
        <v>6</v>
      </c>
      <c r="B107" s="27" t="s">
        <v>87</v>
      </c>
      <c r="C107" s="27">
        <v>1</v>
      </c>
      <c r="D107" s="27" t="s">
        <v>350</v>
      </c>
    </row>
    <row r="108" spans="1:4" ht="12.75" customHeight="1" x14ac:dyDescent="0.15">
      <c r="A108" s="26" t="s">
        <v>6</v>
      </c>
      <c r="B108" s="27" t="s">
        <v>88</v>
      </c>
      <c r="C108" s="27">
        <v>0</v>
      </c>
      <c r="D108" s="27" t="s">
        <v>351</v>
      </c>
    </row>
    <row r="109" spans="1:4" ht="12.75" customHeight="1" x14ac:dyDescent="0.15">
      <c r="A109" s="26" t="s">
        <v>15</v>
      </c>
      <c r="B109" s="27" t="s">
        <v>89</v>
      </c>
      <c r="C109" s="27">
        <v>1</v>
      </c>
      <c r="D109" s="27" t="s">
        <v>352</v>
      </c>
    </row>
    <row r="110" spans="1:4" ht="12.75" customHeight="1" x14ac:dyDescent="0.15">
      <c r="A110" s="31" t="s">
        <v>4</v>
      </c>
      <c r="B110" s="32" t="s">
        <v>90</v>
      </c>
      <c r="C110" s="33">
        <v>0</v>
      </c>
      <c r="D110" s="33" t="s">
        <v>190</v>
      </c>
    </row>
    <row r="111" spans="1:4" ht="12.75" customHeight="1" x14ac:dyDescent="0.15">
      <c r="A111" s="34" t="s">
        <v>15</v>
      </c>
      <c r="B111" s="35" t="s">
        <v>90</v>
      </c>
      <c r="C111" s="27">
        <v>0</v>
      </c>
      <c r="D111" s="27" t="s">
        <v>191</v>
      </c>
    </row>
    <row r="112" spans="1:4" ht="12.75" customHeight="1" x14ac:dyDescent="0.15">
      <c r="A112" s="29" t="s">
        <v>22</v>
      </c>
      <c r="B112" s="30" t="s">
        <v>90</v>
      </c>
      <c r="C112" s="27">
        <v>0</v>
      </c>
      <c r="D112" s="27" t="s">
        <v>192</v>
      </c>
    </row>
    <row r="113" spans="1:4" ht="12.75" customHeight="1" x14ac:dyDescent="0.15">
      <c r="A113" s="34" t="s">
        <v>6</v>
      </c>
      <c r="B113" s="35" t="s">
        <v>90</v>
      </c>
      <c r="C113" s="27">
        <v>0</v>
      </c>
      <c r="D113" s="27" t="s">
        <v>193</v>
      </c>
    </row>
    <row r="114" spans="1:4" ht="12.75" customHeight="1" x14ac:dyDescent="0.15">
      <c r="A114" s="29" t="s">
        <v>8</v>
      </c>
      <c r="B114" s="30" t="s">
        <v>90</v>
      </c>
      <c r="C114" s="27">
        <v>0</v>
      </c>
      <c r="D114" s="27" t="s">
        <v>194</v>
      </c>
    </row>
    <row r="115" spans="1:4" ht="12.75" customHeight="1" x14ac:dyDescent="0.15">
      <c r="A115" s="34" t="s">
        <v>10</v>
      </c>
      <c r="B115" s="35" t="s">
        <v>90</v>
      </c>
      <c r="C115" s="27">
        <v>2</v>
      </c>
      <c r="D115" s="27" t="s">
        <v>353</v>
      </c>
    </row>
    <row r="116" spans="1:4" ht="12.75" customHeight="1" x14ac:dyDescent="0.15">
      <c r="A116" s="29" t="s">
        <v>82</v>
      </c>
      <c r="B116" s="30" t="s">
        <v>90</v>
      </c>
      <c r="C116" s="27">
        <v>0</v>
      </c>
      <c r="D116" s="27" t="s">
        <v>196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39"/>
      <c r="B1036" s="40"/>
      <c r="C1036" s="40"/>
      <c r="D1036" s="41"/>
    </row>
    <row r="1037" spans="1:4" ht="12.75" customHeight="1" x14ac:dyDescent="0.15">
      <c r="A1037" s="39"/>
      <c r="B1037" s="40"/>
      <c r="C1037" s="40"/>
      <c r="D1037" s="41"/>
    </row>
    <row r="1038" spans="1:4" ht="12.75" customHeight="1" x14ac:dyDescent="0.15">
      <c r="A1038" s="39"/>
      <c r="B1038" s="40"/>
      <c r="C1038" s="40"/>
      <c r="D1038" s="41"/>
    </row>
    <row r="1039" spans="1:4" ht="12.75" customHeight="1" x14ac:dyDescent="0.15">
      <c r="A1039" s="39"/>
      <c r="B1039" s="40"/>
      <c r="C1039" s="40"/>
      <c r="D1039" s="41"/>
    </row>
    <row r="1040" spans="1:4" ht="12.75" customHeight="1" x14ac:dyDescent="0.15">
      <c r="A1040" s="39"/>
      <c r="B1040" s="40"/>
      <c r="C1040" s="40"/>
      <c r="D1040" s="41"/>
    </row>
    <row r="1041" spans="1:4" ht="12.75" customHeight="1" x14ac:dyDescent="0.15">
      <c r="A1041" s="39"/>
      <c r="B1041" s="40"/>
      <c r="C1041" s="40"/>
      <c r="D1041" s="41"/>
    </row>
    <row r="1042" spans="1:4" ht="12.75" customHeight="1" x14ac:dyDescent="0.15">
      <c r="A1042" s="39"/>
      <c r="B1042" s="40"/>
      <c r="C1042" s="40"/>
      <c r="D1042" s="41"/>
    </row>
    <row r="1043" spans="1:4" ht="12.75" customHeight="1" x14ac:dyDescent="0.15">
      <c r="A1043" s="39"/>
      <c r="B1043" s="40"/>
      <c r="C1043" s="40"/>
      <c r="D1043" s="41"/>
    </row>
    <row r="1044" spans="1:4" ht="12.75" customHeight="1" x14ac:dyDescent="0.15">
      <c r="A1044" s="39"/>
      <c r="B1044" s="40"/>
      <c r="C1044" s="40"/>
      <c r="D1044" s="41"/>
    </row>
    <row r="1045" spans="1:4" ht="12.75" customHeight="1" x14ac:dyDescent="0.15">
      <c r="A1045" s="39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5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106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91</v>
      </c>
      <c r="D1" s="25" t="s">
        <v>3</v>
      </c>
      <c r="E1" s="3"/>
      <c r="F1" s="3"/>
    </row>
    <row r="2" spans="1:6" ht="12.75" customHeight="1" x14ac:dyDescent="0.15">
      <c r="A2" s="26" t="s">
        <v>4</v>
      </c>
      <c r="B2" s="27" t="s">
        <v>5</v>
      </c>
      <c r="C2" s="42">
        <v>1</v>
      </c>
      <c r="D2" s="21" t="s">
        <v>92</v>
      </c>
      <c r="E2" s="6"/>
      <c r="F2" s="6"/>
    </row>
    <row r="3" spans="1:6" ht="24.75" customHeight="1" x14ac:dyDescent="0.15">
      <c r="A3" s="26" t="s">
        <v>6</v>
      </c>
      <c r="B3" s="28" t="s">
        <v>7</v>
      </c>
      <c r="C3" s="42">
        <v>0</v>
      </c>
      <c r="D3" s="21" t="s">
        <v>93</v>
      </c>
      <c r="E3" s="6"/>
      <c r="F3" s="6"/>
    </row>
    <row r="4" spans="1:6" ht="12.75" customHeight="1" x14ac:dyDescent="0.15">
      <c r="A4" s="26" t="s">
        <v>8</v>
      </c>
      <c r="B4" s="27" t="s">
        <v>9</v>
      </c>
      <c r="C4" s="42">
        <v>1</v>
      </c>
      <c r="D4" s="21" t="s">
        <v>94</v>
      </c>
      <c r="E4" s="6"/>
      <c r="F4" s="6"/>
    </row>
    <row r="5" spans="1:6" ht="12.75" customHeight="1" x14ac:dyDescent="0.15">
      <c r="A5" s="26" t="s">
        <v>10</v>
      </c>
      <c r="B5" s="27" t="s">
        <v>11</v>
      </c>
      <c r="C5" s="42">
        <v>1</v>
      </c>
      <c r="D5" s="21" t="s">
        <v>95</v>
      </c>
      <c r="E5" s="6"/>
      <c r="F5" s="6"/>
    </row>
    <row r="6" spans="1:6" ht="12.75" customHeight="1" x14ac:dyDescent="0.15">
      <c r="A6" s="26" t="s">
        <v>4</v>
      </c>
      <c r="B6" s="27" t="s">
        <v>12</v>
      </c>
      <c r="C6" s="42">
        <v>1</v>
      </c>
      <c r="D6" s="21" t="s">
        <v>96</v>
      </c>
      <c r="E6" s="6"/>
      <c r="F6" s="6"/>
    </row>
    <row r="7" spans="1:6" ht="12.75" customHeight="1" x14ac:dyDescent="0.15">
      <c r="A7" s="26" t="s">
        <v>4</v>
      </c>
      <c r="B7" s="27" t="s">
        <v>13</v>
      </c>
      <c r="C7" s="42">
        <v>1</v>
      </c>
      <c r="D7" s="21" t="s">
        <v>97</v>
      </c>
      <c r="E7" s="6"/>
      <c r="F7" s="6"/>
    </row>
    <row r="8" spans="1:6" ht="12.75" customHeight="1" x14ac:dyDescent="0.15">
      <c r="A8" s="26" t="s">
        <v>6</v>
      </c>
      <c r="B8" s="27" t="s">
        <v>14</v>
      </c>
      <c r="C8" s="42">
        <v>0.5</v>
      </c>
      <c r="D8" s="21" t="s">
        <v>98</v>
      </c>
      <c r="E8" s="6"/>
      <c r="F8" s="6"/>
    </row>
    <row r="9" spans="1:6" ht="12.75" customHeight="1" x14ac:dyDescent="0.15">
      <c r="A9" s="26" t="s">
        <v>15</v>
      </c>
      <c r="B9" s="27" t="s">
        <v>16</v>
      </c>
      <c r="C9" s="42">
        <v>1</v>
      </c>
      <c r="D9" s="21" t="s">
        <v>99</v>
      </c>
      <c r="E9" s="6"/>
      <c r="F9" s="6"/>
    </row>
    <row r="10" spans="1:6" ht="12.75" customHeight="1" x14ac:dyDescent="0.15">
      <c r="A10" s="26" t="s">
        <v>4</v>
      </c>
      <c r="B10" s="27" t="s">
        <v>17</v>
      </c>
      <c r="C10" s="42">
        <v>1</v>
      </c>
      <c r="D10" s="21" t="s">
        <v>100</v>
      </c>
      <c r="E10" s="6"/>
      <c r="F10" s="6"/>
    </row>
    <row r="11" spans="1:6" ht="12.75" customHeight="1" x14ac:dyDescent="0.15">
      <c r="A11" s="26" t="s">
        <v>6</v>
      </c>
      <c r="B11" s="27" t="s">
        <v>18</v>
      </c>
      <c r="C11" s="42">
        <v>0.5</v>
      </c>
      <c r="D11" s="21" t="s">
        <v>101</v>
      </c>
      <c r="E11" s="6"/>
      <c r="F11" s="6"/>
    </row>
    <row r="12" spans="1:6" ht="12.75" customHeight="1" x14ac:dyDescent="0.15">
      <c r="A12" s="26" t="s">
        <v>15</v>
      </c>
      <c r="B12" s="27" t="s">
        <v>19</v>
      </c>
      <c r="C12" s="42">
        <v>1</v>
      </c>
      <c r="D12" s="21" t="s">
        <v>102</v>
      </c>
      <c r="E12" s="6"/>
      <c r="F12" s="6"/>
    </row>
    <row r="13" spans="1:6" ht="12.75" customHeight="1" x14ac:dyDescent="0.15">
      <c r="A13" s="26" t="s">
        <v>15</v>
      </c>
      <c r="B13" s="27" t="s">
        <v>20</v>
      </c>
      <c r="C13" s="42">
        <v>1</v>
      </c>
      <c r="D13" s="21" t="s">
        <v>103</v>
      </c>
      <c r="E13" s="6"/>
      <c r="F13" s="6"/>
    </row>
    <row r="14" spans="1:6" ht="12.75" customHeight="1" x14ac:dyDescent="0.15">
      <c r="A14" s="26" t="s">
        <v>15</v>
      </c>
      <c r="B14" s="27" t="s">
        <v>21</v>
      </c>
      <c r="C14" s="42">
        <v>0</v>
      </c>
      <c r="D14" s="21" t="s">
        <v>104</v>
      </c>
      <c r="E14" s="6"/>
      <c r="F14" s="6"/>
    </row>
    <row r="15" spans="1:6" ht="12.75" customHeight="1" x14ac:dyDescent="0.15">
      <c r="A15" s="26" t="s">
        <v>22</v>
      </c>
      <c r="B15" s="27" t="s">
        <v>23</v>
      </c>
      <c r="C15" s="42">
        <v>0</v>
      </c>
      <c r="D15" s="21" t="s">
        <v>105</v>
      </c>
      <c r="E15" s="6"/>
      <c r="F15" s="6"/>
    </row>
    <row r="16" spans="1:6" ht="12.75" customHeight="1" x14ac:dyDescent="0.15">
      <c r="A16" s="26" t="s">
        <v>4</v>
      </c>
      <c r="B16" s="27" t="s">
        <v>24</v>
      </c>
      <c r="C16" s="42">
        <v>0</v>
      </c>
      <c r="D16" s="21" t="s">
        <v>106</v>
      </c>
      <c r="E16" s="6"/>
      <c r="F16" s="6"/>
    </row>
    <row r="17" spans="1:24" ht="15" customHeight="1" x14ac:dyDescent="0.15">
      <c r="A17" s="26" t="s">
        <v>6</v>
      </c>
      <c r="B17" s="27" t="s">
        <v>25</v>
      </c>
      <c r="C17" s="42">
        <v>0</v>
      </c>
      <c r="D17" s="21" t="s">
        <v>107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15</v>
      </c>
      <c r="B18" s="27" t="s">
        <v>26</v>
      </c>
      <c r="C18" s="42">
        <v>0</v>
      </c>
      <c r="D18" s="21" t="s">
        <v>108</v>
      </c>
      <c r="E18" s="6"/>
      <c r="F18" s="6"/>
    </row>
    <row r="19" spans="1:24" ht="12.75" customHeight="1" x14ac:dyDescent="0.15">
      <c r="A19" s="26" t="s">
        <v>22</v>
      </c>
      <c r="B19" s="27" t="s">
        <v>23</v>
      </c>
      <c r="C19" s="42">
        <v>0</v>
      </c>
      <c r="D19" s="21" t="s">
        <v>109</v>
      </c>
      <c r="E19" s="6"/>
      <c r="F19" s="6"/>
    </row>
    <row r="20" spans="1:24" ht="12.75" customHeight="1" x14ac:dyDescent="0.15">
      <c r="A20" s="26" t="s">
        <v>15</v>
      </c>
      <c r="B20" s="27" t="s">
        <v>27</v>
      </c>
      <c r="C20" s="42">
        <v>0</v>
      </c>
      <c r="D20" s="21" t="s">
        <v>110</v>
      </c>
      <c r="E20" s="6"/>
      <c r="F20" s="6"/>
    </row>
    <row r="21" spans="1:24" ht="12.75" customHeight="1" x14ac:dyDescent="0.15">
      <c r="A21" s="26" t="s">
        <v>10</v>
      </c>
      <c r="B21" s="27" t="s">
        <v>28</v>
      </c>
      <c r="C21" s="42">
        <v>1</v>
      </c>
      <c r="D21" s="21" t="s">
        <v>111</v>
      </c>
      <c r="E21" s="6"/>
      <c r="F21" s="6"/>
    </row>
    <row r="22" spans="1:24" ht="12.75" customHeight="1" x14ac:dyDescent="0.15">
      <c r="A22" s="29" t="s">
        <v>4</v>
      </c>
      <c r="B22" s="30" t="s">
        <v>29</v>
      </c>
      <c r="C22" s="42">
        <v>0.5</v>
      </c>
      <c r="D22" s="21" t="s">
        <v>112</v>
      </c>
      <c r="E22" s="6"/>
      <c r="F22" s="6"/>
    </row>
    <row r="23" spans="1:24" ht="12.75" customHeight="1" x14ac:dyDescent="0.15">
      <c r="A23" s="26" t="s">
        <v>8</v>
      </c>
      <c r="B23" s="27" t="s">
        <v>30</v>
      </c>
      <c r="C23" s="42">
        <v>0</v>
      </c>
      <c r="D23" s="21" t="s">
        <v>113</v>
      </c>
      <c r="E23" s="6"/>
      <c r="F23" s="6"/>
    </row>
    <row r="24" spans="1:24" ht="12.75" customHeight="1" x14ac:dyDescent="0.15">
      <c r="A24" s="26" t="s">
        <v>4</v>
      </c>
      <c r="B24" s="27" t="s">
        <v>31</v>
      </c>
      <c r="C24" s="42">
        <v>1</v>
      </c>
      <c r="D24" s="21" t="s">
        <v>114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8</v>
      </c>
      <c r="B25" s="27" t="s">
        <v>32</v>
      </c>
      <c r="C25" s="42">
        <v>1</v>
      </c>
      <c r="D25" s="21" t="s">
        <v>115</v>
      </c>
      <c r="E25" s="6"/>
      <c r="F25" s="6"/>
    </row>
    <row r="26" spans="1:24" ht="12.75" customHeight="1" x14ac:dyDescent="0.15">
      <c r="A26" s="26" t="s">
        <v>4</v>
      </c>
      <c r="B26" s="27" t="s">
        <v>33</v>
      </c>
      <c r="C26" s="42">
        <v>1</v>
      </c>
      <c r="D26" s="21" t="s">
        <v>116</v>
      </c>
      <c r="E26" s="6"/>
      <c r="F26" s="6"/>
    </row>
    <row r="27" spans="1:24" ht="15" customHeight="1" x14ac:dyDescent="0.15">
      <c r="A27" s="26" t="s">
        <v>4</v>
      </c>
      <c r="B27" s="27" t="s">
        <v>34</v>
      </c>
      <c r="C27" s="42">
        <v>1</v>
      </c>
      <c r="D27" s="21" t="s">
        <v>117</v>
      </c>
      <c r="E27" s="6"/>
      <c r="F27" s="6"/>
    </row>
    <row r="28" spans="1:24" ht="12.75" customHeight="1" x14ac:dyDescent="0.15">
      <c r="A28" s="26" t="s">
        <v>6</v>
      </c>
      <c r="B28" s="27" t="s">
        <v>35</v>
      </c>
      <c r="C28" s="42">
        <v>0</v>
      </c>
      <c r="D28" s="21" t="s">
        <v>118</v>
      </c>
      <c r="E28" s="6"/>
      <c r="F28" s="6"/>
    </row>
    <row r="29" spans="1:24" ht="12.75" customHeight="1" x14ac:dyDescent="0.15">
      <c r="A29" s="26" t="s">
        <v>15</v>
      </c>
      <c r="B29" s="27" t="s">
        <v>36</v>
      </c>
      <c r="C29" s="42">
        <v>1</v>
      </c>
      <c r="D29" s="21" t="s">
        <v>119</v>
      </c>
      <c r="E29" s="6"/>
      <c r="F29" s="6"/>
    </row>
    <row r="30" spans="1:24" ht="12.75" customHeight="1" x14ac:dyDescent="0.15">
      <c r="A30" s="26" t="s">
        <v>6</v>
      </c>
      <c r="B30" s="27" t="s">
        <v>37</v>
      </c>
      <c r="C30" s="42">
        <v>0</v>
      </c>
      <c r="D30" s="21" t="s">
        <v>120</v>
      </c>
      <c r="E30" s="6"/>
      <c r="F30" s="6"/>
    </row>
    <row r="31" spans="1:24" ht="12.75" customHeight="1" x14ac:dyDescent="0.15">
      <c r="A31" s="26" t="s">
        <v>15</v>
      </c>
      <c r="B31" s="27" t="s">
        <v>38</v>
      </c>
      <c r="C31" s="42">
        <v>1</v>
      </c>
      <c r="D31" s="21" t="s">
        <v>121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6</v>
      </c>
      <c r="B32" s="27" t="s">
        <v>39</v>
      </c>
      <c r="C32" s="42">
        <v>0</v>
      </c>
      <c r="D32" s="21" t="s">
        <v>122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15</v>
      </c>
      <c r="B33" s="27" t="s">
        <v>40</v>
      </c>
      <c r="C33" s="42">
        <v>1</v>
      </c>
      <c r="D33" s="21" t="s">
        <v>123</v>
      </c>
      <c r="E33" s="6"/>
      <c r="F33" s="6"/>
    </row>
    <row r="34" spans="1:24" ht="12.75" customHeight="1" x14ac:dyDescent="0.15">
      <c r="A34" s="26" t="s">
        <v>6</v>
      </c>
      <c r="B34" s="27" t="s">
        <v>41</v>
      </c>
      <c r="C34" s="42">
        <v>0</v>
      </c>
      <c r="D34" s="21" t="s">
        <v>124</v>
      </c>
      <c r="E34" s="6"/>
      <c r="F34" s="6"/>
    </row>
    <row r="35" spans="1:24" ht="12.75" customHeight="1" x14ac:dyDescent="0.15">
      <c r="A35" s="26" t="s">
        <v>15</v>
      </c>
      <c r="B35" s="27" t="s">
        <v>42</v>
      </c>
      <c r="C35" s="42">
        <v>1</v>
      </c>
      <c r="D35" s="21" t="s">
        <v>125</v>
      </c>
      <c r="E35" s="6"/>
      <c r="F35" s="6"/>
    </row>
    <row r="36" spans="1:24" ht="12.75" customHeight="1" x14ac:dyDescent="0.15">
      <c r="A36" s="26" t="s">
        <v>4</v>
      </c>
      <c r="B36" s="27" t="s">
        <v>43</v>
      </c>
      <c r="C36" s="42">
        <v>1</v>
      </c>
      <c r="D36" s="21" t="s">
        <v>126</v>
      </c>
      <c r="E36" s="6"/>
      <c r="F36" s="6"/>
    </row>
    <row r="37" spans="1:24" ht="12.75" customHeight="1" x14ac:dyDescent="0.15">
      <c r="A37" s="26" t="s">
        <v>15</v>
      </c>
      <c r="B37" s="27" t="s">
        <v>44</v>
      </c>
      <c r="C37" s="42">
        <v>1</v>
      </c>
      <c r="D37" s="21" t="s">
        <v>127</v>
      </c>
      <c r="E37" s="6"/>
      <c r="F37" s="6"/>
    </row>
    <row r="38" spans="1:24" ht="12.75" customHeight="1" x14ac:dyDescent="0.15">
      <c r="A38" s="26" t="s">
        <v>6</v>
      </c>
      <c r="B38" s="27" t="s">
        <v>45</v>
      </c>
      <c r="C38" s="42">
        <v>0.5</v>
      </c>
      <c r="D38" s="21" t="s">
        <v>128</v>
      </c>
      <c r="E38" s="6"/>
      <c r="F38" s="6"/>
    </row>
    <row r="39" spans="1:24" ht="15" customHeight="1" x14ac:dyDescent="0.15">
      <c r="A39" s="26" t="s">
        <v>15</v>
      </c>
      <c r="B39" s="27" t="s">
        <v>46</v>
      </c>
      <c r="C39" s="42">
        <v>1</v>
      </c>
      <c r="D39" s="21" t="s">
        <v>129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6</v>
      </c>
      <c r="B40" s="27" t="s">
        <v>47</v>
      </c>
      <c r="C40" s="42">
        <v>0</v>
      </c>
      <c r="D40" s="21" t="s">
        <v>130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4</v>
      </c>
      <c r="B41" s="27" t="s">
        <v>48</v>
      </c>
      <c r="C41" s="42">
        <v>1</v>
      </c>
      <c r="D41" s="21" t="s">
        <v>131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15</v>
      </c>
      <c r="B42" s="27" t="s">
        <v>49</v>
      </c>
      <c r="C42" s="42">
        <v>1</v>
      </c>
      <c r="D42" s="21" t="s">
        <v>132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6</v>
      </c>
      <c r="B43" s="27" t="s">
        <v>50</v>
      </c>
      <c r="C43" s="42">
        <v>0.5</v>
      </c>
      <c r="D43" s="21" t="s">
        <v>133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15</v>
      </c>
      <c r="B44" s="27" t="s">
        <v>51</v>
      </c>
      <c r="C44" s="42">
        <v>1</v>
      </c>
      <c r="D44" s="21" t="s">
        <v>134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6</v>
      </c>
      <c r="B45" s="27" t="s">
        <v>52</v>
      </c>
      <c r="C45" s="42">
        <v>0</v>
      </c>
      <c r="D45" s="21" t="s">
        <v>135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4</v>
      </c>
      <c r="B46" s="27" t="s">
        <v>53</v>
      </c>
      <c r="C46" s="42">
        <v>1</v>
      </c>
      <c r="D46" s="21" t="s">
        <v>136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15</v>
      </c>
      <c r="B47" s="27" t="s">
        <v>54</v>
      </c>
      <c r="C47" s="42">
        <v>1</v>
      </c>
      <c r="D47" s="21" t="s">
        <v>137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6</v>
      </c>
      <c r="B48" s="27" t="s">
        <v>55</v>
      </c>
      <c r="C48" s="42">
        <v>0.5</v>
      </c>
      <c r="D48" s="21" t="s">
        <v>138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15</v>
      </c>
      <c r="B49" s="27" t="s">
        <v>56</v>
      </c>
      <c r="C49" s="42">
        <v>1</v>
      </c>
      <c r="D49" s="21" t="s">
        <v>139</v>
      </c>
      <c r="E49" s="6"/>
      <c r="F49" s="6"/>
    </row>
    <row r="50" spans="1:6" ht="12.75" customHeight="1" x14ac:dyDescent="0.15">
      <c r="A50" s="26" t="s">
        <v>6</v>
      </c>
      <c r="B50" s="27" t="s">
        <v>41</v>
      </c>
      <c r="C50" s="42">
        <v>0</v>
      </c>
      <c r="D50" s="21" t="s">
        <v>124</v>
      </c>
      <c r="E50" s="6"/>
      <c r="F50" s="6"/>
    </row>
    <row r="51" spans="1:6" ht="12.75" customHeight="1" x14ac:dyDescent="0.15">
      <c r="A51" s="26" t="s">
        <v>15</v>
      </c>
      <c r="B51" s="27" t="s">
        <v>42</v>
      </c>
      <c r="C51" s="42">
        <v>1</v>
      </c>
      <c r="D51" s="21" t="s">
        <v>140</v>
      </c>
      <c r="E51" s="6"/>
      <c r="F51" s="6"/>
    </row>
    <row r="52" spans="1:6" ht="12.75" customHeight="1" x14ac:dyDescent="0.15">
      <c r="A52" s="26" t="s">
        <v>8</v>
      </c>
      <c r="B52" s="27" t="s">
        <v>57</v>
      </c>
      <c r="C52" s="42">
        <v>1</v>
      </c>
      <c r="D52" s="21" t="s">
        <v>141</v>
      </c>
      <c r="E52" s="6"/>
      <c r="F52" s="6"/>
    </row>
    <row r="53" spans="1:6" ht="12.75" customHeight="1" x14ac:dyDescent="0.15">
      <c r="A53" s="26" t="s">
        <v>4</v>
      </c>
      <c r="B53" s="27" t="s">
        <v>58</v>
      </c>
      <c r="C53" s="42">
        <v>1</v>
      </c>
      <c r="D53" s="21" t="s">
        <v>142</v>
      </c>
      <c r="E53" s="6"/>
      <c r="F53" s="6"/>
    </row>
    <row r="54" spans="1:6" ht="12.75" customHeight="1" x14ac:dyDescent="0.15">
      <c r="A54" s="26" t="s">
        <v>4</v>
      </c>
      <c r="B54" s="27" t="s">
        <v>34</v>
      </c>
      <c r="C54" s="42">
        <v>1</v>
      </c>
      <c r="D54" s="21" t="s">
        <v>143</v>
      </c>
      <c r="E54" s="6"/>
      <c r="F54" s="6"/>
    </row>
    <row r="55" spans="1:6" ht="12.75" customHeight="1" x14ac:dyDescent="0.15">
      <c r="A55" s="26" t="s">
        <v>6</v>
      </c>
      <c r="B55" s="27" t="s">
        <v>59</v>
      </c>
      <c r="C55" s="42">
        <v>0</v>
      </c>
      <c r="D55" s="21" t="s">
        <v>144</v>
      </c>
      <c r="E55" s="6"/>
      <c r="F55" s="6"/>
    </row>
    <row r="56" spans="1:6" ht="12.75" customHeight="1" x14ac:dyDescent="0.15">
      <c r="A56" s="26" t="s">
        <v>15</v>
      </c>
      <c r="B56" s="27" t="s">
        <v>60</v>
      </c>
      <c r="C56" s="42">
        <v>1</v>
      </c>
      <c r="D56" s="21" t="s">
        <v>145</v>
      </c>
      <c r="E56" s="6"/>
      <c r="F56" s="6"/>
    </row>
    <row r="57" spans="1:6" ht="12.75" customHeight="1" x14ac:dyDescent="0.15">
      <c r="A57" s="26" t="s">
        <v>6</v>
      </c>
      <c r="B57" s="27" t="s">
        <v>47</v>
      </c>
      <c r="C57" s="42">
        <v>0</v>
      </c>
      <c r="D57" s="21" t="s">
        <v>130</v>
      </c>
      <c r="E57" s="6"/>
      <c r="F57" s="6"/>
    </row>
    <row r="58" spans="1:6" ht="12.75" customHeight="1" x14ac:dyDescent="0.15">
      <c r="A58" s="26" t="s">
        <v>15</v>
      </c>
      <c r="B58" s="27" t="s">
        <v>61</v>
      </c>
      <c r="C58" s="42">
        <v>0</v>
      </c>
      <c r="D58" s="21" t="s">
        <v>146</v>
      </c>
      <c r="E58" s="6"/>
      <c r="F58" s="6"/>
    </row>
    <row r="59" spans="1:6" ht="12.75" customHeight="1" x14ac:dyDescent="0.15">
      <c r="A59" s="26" t="s">
        <v>4</v>
      </c>
      <c r="B59" s="27" t="s">
        <v>48</v>
      </c>
      <c r="C59" s="42">
        <v>1</v>
      </c>
      <c r="D59" s="21" t="s">
        <v>147</v>
      </c>
      <c r="E59" s="6"/>
      <c r="F59" s="6"/>
    </row>
    <row r="60" spans="1:6" ht="12.75" customHeight="1" x14ac:dyDescent="0.15">
      <c r="A60" s="26" t="s">
        <v>15</v>
      </c>
      <c r="B60" s="27" t="s">
        <v>49</v>
      </c>
      <c r="C60" s="42">
        <v>1</v>
      </c>
      <c r="D60" s="21" t="s">
        <v>148</v>
      </c>
      <c r="E60" s="6"/>
      <c r="F60" s="6"/>
    </row>
    <row r="61" spans="1:6" ht="12.75" customHeight="1" x14ac:dyDescent="0.15">
      <c r="A61" s="26" t="s">
        <v>6</v>
      </c>
      <c r="B61" s="27" t="s">
        <v>62</v>
      </c>
      <c r="C61" s="42">
        <v>0.5</v>
      </c>
      <c r="D61" s="21" t="s">
        <v>149</v>
      </c>
      <c r="E61" s="6"/>
      <c r="F61" s="6"/>
    </row>
    <row r="62" spans="1:6" ht="12.75" customHeight="1" x14ac:dyDescent="0.15">
      <c r="A62" s="26" t="s">
        <v>15</v>
      </c>
      <c r="B62" s="27" t="s">
        <v>51</v>
      </c>
      <c r="C62" s="42">
        <v>1</v>
      </c>
      <c r="D62" s="21" t="s">
        <v>150</v>
      </c>
      <c r="E62" s="6"/>
      <c r="F62" s="6"/>
    </row>
    <row r="63" spans="1:6" ht="12.75" customHeight="1" x14ac:dyDescent="0.15">
      <c r="A63" s="26" t="s">
        <v>6</v>
      </c>
      <c r="B63" s="27" t="s">
        <v>52</v>
      </c>
      <c r="C63" s="42">
        <v>0</v>
      </c>
      <c r="D63" s="21" t="s">
        <v>135</v>
      </c>
      <c r="E63" s="6"/>
      <c r="F63" s="6"/>
    </row>
    <row r="64" spans="1:6" ht="12.75" customHeight="1" x14ac:dyDescent="0.15">
      <c r="A64" s="26" t="s">
        <v>4</v>
      </c>
      <c r="B64" s="27" t="s">
        <v>53</v>
      </c>
      <c r="C64" s="42">
        <v>1</v>
      </c>
      <c r="D64" s="21" t="s">
        <v>151</v>
      </c>
      <c r="E64" s="6"/>
      <c r="F64" s="6"/>
    </row>
    <row r="65" spans="1:6" ht="12.75" customHeight="1" x14ac:dyDescent="0.15">
      <c r="A65" s="26" t="s">
        <v>15</v>
      </c>
      <c r="B65" s="27" t="s">
        <v>54</v>
      </c>
      <c r="C65" s="42">
        <v>1</v>
      </c>
      <c r="D65" s="21" t="s">
        <v>152</v>
      </c>
      <c r="E65" s="6"/>
      <c r="F65" s="6"/>
    </row>
    <row r="66" spans="1:6" ht="12.75" customHeight="1" x14ac:dyDescent="0.15">
      <c r="A66" s="26" t="s">
        <v>6</v>
      </c>
      <c r="B66" s="27" t="s">
        <v>63</v>
      </c>
      <c r="C66" s="42">
        <v>0.5</v>
      </c>
      <c r="D66" s="21" t="s">
        <v>153</v>
      </c>
      <c r="E66" s="6"/>
      <c r="F66" s="6"/>
    </row>
    <row r="67" spans="1:6" ht="12.75" customHeight="1" x14ac:dyDescent="0.15">
      <c r="A67" s="26" t="s">
        <v>15</v>
      </c>
      <c r="B67" s="27" t="s">
        <v>64</v>
      </c>
      <c r="C67" s="42">
        <v>1</v>
      </c>
      <c r="D67" s="21" t="s">
        <v>154</v>
      </c>
      <c r="E67" s="6"/>
      <c r="F67" s="6"/>
    </row>
    <row r="68" spans="1:6" ht="12.75" customHeight="1" x14ac:dyDescent="0.15">
      <c r="A68" s="26" t="s">
        <v>6</v>
      </c>
      <c r="B68" s="27" t="s">
        <v>47</v>
      </c>
      <c r="C68" s="42">
        <v>0</v>
      </c>
      <c r="D68" s="21" t="s">
        <v>130</v>
      </c>
      <c r="E68" s="6"/>
      <c r="F68" s="6"/>
    </row>
    <row r="69" spans="1:6" ht="12.75" customHeight="1" x14ac:dyDescent="0.15">
      <c r="A69" s="26" t="s">
        <v>15</v>
      </c>
      <c r="B69" s="27" t="s">
        <v>61</v>
      </c>
      <c r="C69" s="42">
        <v>1</v>
      </c>
      <c r="D69" s="21" t="s">
        <v>155</v>
      </c>
    </row>
    <row r="70" spans="1:6" ht="12.75" customHeight="1" x14ac:dyDescent="0.15">
      <c r="A70" s="26" t="s">
        <v>8</v>
      </c>
      <c r="B70" s="27" t="s">
        <v>65</v>
      </c>
      <c r="C70" s="42">
        <v>1</v>
      </c>
      <c r="D70" s="21" t="s">
        <v>156</v>
      </c>
    </row>
    <row r="71" spans="1:6" ht="12.75" customHeight="1" x14ac:dyDescent="0.15">
      <c r="A71" s="26" t="s">
        <v>4</v>
      </c>
      <c r="B71" s="27" t="s">
        <v>66</v>
      </c>
      <c r="C71" s="42">
        <v>1</v>
      </c>
      <c r="D71" s="21" t="s">
        <v>157</v>
      </c>
    </row>
    <row r="72" spans="1:6" ht="12.75" customHeight="1" x14ac:dyDescent="0.15">
      <c r="A72" s="26" t="s">
        <v>4</v>
      </c>
      <c r="B72" s="27" t="s">
        <v>34</v>
      </c>
      <c r="C72" s="42">
        <v>1</v>
      </c>
      <c r="D72" s="21" t="s">
        <v>158</v>
      </c>
    </row>
    <row r="73" spans="1:6" ht="12.75" customHeight="1" x14ac:dyDescent="0.15">
      <c r="A73" s="26" t="s">
        <v>6</v>
      </c>
      <c r="B73" s="27" t="s">
        <v>67</v>
      </c>
      <c r="C73" s="42">
        <v>0</v>
      </c>
      <c r="D73" s="21" t="s">
        <v>159</v>
      </c>
    </row>
    <row r="74" spans="1:6" ht="12.75" customHeight="1" x14ac:dyDescent="0.15">
      <c r="A74" s="26" t="s">
        <v>15</v>
      </c>
      <c r="B74" s="27" t="s">
        <v>40</v>
      </c>
      <c r="C74" s="42">
        <v>1</v>
      </c>
      <c r="D74" s="21" t="s">
        <v>160</v>
      </c>
    </row>
    <row r="75" spans="1:6" ht="12.75" customHeight="1" x14ac:dyDescent="0.15">
      <c r="A75" s="26" t="s">
        <v>6</v>
      </c>
      <c r="B75" s="27" t="s">
        <v>41</v>
      </c>
      <c r="C75" s="42">
        <v>0</v>
      </c>
      <c r="D75" s="21" t="s">
        <v>124</v>
      </c>
    </row>
    <row r="76" spans="1:6" ht="12.75" customHeight="1" x14ac:dyDescent="0.15">
      <c r="A76" s="26" t="s">
        <v>15</v>
      </c>
      <c r="B76" s="27" t="s">
        <v>68</v>
      </c>
      <c r="C76" s="42">
        <v>1</v>
      </c>
      <c r="D76" s="21" t="s">
        <v>161</v>
      </c>
    </row>
    <row r="77" spans="1:6" ht="12.75" customHeight="1" x14ac:dyDescent="0.15">
      <c r="A77" s="26" t="s">
        <v>22</v>
      </c>
      <c r="B77" s="27" t="s">
        <v>69</v>
      </c>
      <c r="C77" s="42">
        <v>1</v>
      </c>
      <c r="D77" s="21" t="s">
        <v>162</v>
      </c>
    </row>
    <row r="78" spans="1:6" ht="12.75" customHeight="1" x14ac:dyDescent="0.15">
      <c r="A78" s="26" t="s">
        <v>6</v>
      </c>
      <c r="B78" s="27" t="s">
        <v>70</v>
      </c>
      <c r="C78" s="42">
        <v>0</v>
      </c>
      <c r="D78" s="21" t="s">
        <v>163</v>
      </c>
    </row>
    <row r="79" spans="1:6" ht="12.75" customHeight="1" x14ac:dyDescent="0.15">
      <c r="A79" s="26" t="s">
        <v>15</v>
      </c>
      <c r="B79" s="27" t="s">
        <v>71</v>
      </c>
      <c r="C79" s="42">
        <v>1</v>
      </c>
      <c r="D79" s="21" t="s">
        <v>164</v>
      </c>
    </row>
    <row r="80" spans="1:6" ht="12.75" customHeight="1" x14ac:dyDescent="0.15">
      <c r="A80" s="26" t="s">
        <v>4</v>
      </c>
      <c r="B80" s="27" t="s">
        <v>43</v>
      </c>
      <c r="C80" s="42">
        <v>1</v>
      </c>
      <c r="D80" s="21" t="s">
        <v>165</v>
      </c>
    </row>
    <row r="81" spans="1:4" ht="12.75" customHeight="1" x14ac:dyDescent="0.15">
      <c r="A81" s="26" t="s">
        <v>15</v>
      </c>
      <c r="B81" s="27" t="s">
        <v>44</v>
      </c>
      <c r="C81" s="42">
        <v>1</v>
      </c>
      <c r="D81" s="21" t="s">
        <v>166</v>
      </c>
    </row>
    <row r="82" spans="1:4" ht="12.75" customHeight="1" x14ac:dyDescent="0.15">
      <c r="A82" s="26" t="s">
        <v>6</v>
      </c>
      <c r="B82" s="27" t="s">
        <v>72</v>
      </c>
      <c r="C82" s="42">
        <v>0.5</v>
      </c>
      <c r="D82" s="21" t="s">
        <v>167</v>
      </c>
    </row>
    <row r="83" spans="1:4" ht="12.75" customHeight="1" x14ac:dyDescent="0.15">
      <c r="A83" s="26" t="s">
        <v>15</v>
      </c>
      <c r="B83" s="27" t="s">
        <v>46</v>
      </c>
      <c r="C83" s="42">
        <v>1</v>
      </c>
      <c r="D83" s="21" t="s">
        <v>168</v>
      </c>
    </row>
    <row r="84" spans="1:4" ht="12.75" customHeight="1" x14ac:dyDescent="0.15">
      <c r="A84" s="26" t="s">
        <v>6</v>
      </c>
      <c r="B84" s="27" t="s">
        <v>47</v>
      </c>
      <c r="C84" s="42">
        <v>0</v>
      </c>
      <c r="D84" s="21" t="s">
        <v>130</v>
      </c>
    </row>
    <row r="85" spans="1:4" ht="12.75" customHeight="1" x14ac:dyDescent="0.15">
      <c r="A85" s="26" t="s">
        <v>4</v>
      </c>
      <c r="B85" s="27" t="s">
        <v>48</v>
      </c>
      <c r="C85" s="42">
        <v>1</v>
      </c>
      <c r="D85" s="21" t="s">
        <v>169</v>
      </c>
    </row>
    <row r="86" spans="1:4" ht="12.75" customHeight="1" x14ac:dyDescent="0.15">
      <c r="A86" s="26" t="s">
        <v>15</v>
      </c>
      <c r="B86" s="27" t="s">
        <v>49</v>
      </c>
      <c r="C86" s="42">
        <v>1</v>
      </c>
      <c r="D86" s="21" t="s">
        <v>170</v>
      </c>
    </row>
    <row r="87" spans="1:4" ht="12.75" customHeight="1" x14ac:dyDescent="0.15">
      <c r="A87" s="26" t="s">
        <v>6</v>
      </c>
      <c r="B87" s="27" t="s">
        <v>73</v>
      </c>
      <c r="C87" s="42">
        <v>0.5</v>
      </c>
      <c r="D87" s="21" t="s">
        <v>171</v>
      </c>
    </row>
    <row r="88" spans="1:4" ht="12.75" customHeight="1" x14ac:dyDescent="0.15">
      <c r="A88" s="26" t="s">
        <v>15</v>
      </c>
      <c r="B88" s="27" t="s">
        <v>51</v>
      </c>
      <c r="C88" s="42">
        <v>1</v>
      </c>
      <c r="D88" s="21" t="s">
        <v>172</v>
      </c>
    </row>
    <row r="89" spans="1:4" ht="12.75" customHeight="1" x14ac:dyDescent="0.15">
      <c r="A89" s="26" t="s">
        <v>6</v>
      </c>
      <c r="B89" s="27" t="s">
        <v>52</v>
      </c>
      <c r="C89" s="42">
        <v>0</v>
      </c>
      <c r="D89" s="21" t="s">
        <v>135</v>
      </c>
    </row>
    <row r="90" spans="1:4" ht="12.75" customHeight="1" x14ac:dyDescent="0.15">
      <c r="A90" s="26" t="s">
        <v>4</v>
      </c>
      <c r="B90" s="27" t="s">
        <v>53</v>
      </c>
      <c r="C90" s="42">
        <v>1</v>
      </c>
      <c r="D90" s="21" t="s">
        <v>173</v>
      </c>
    </row>
    <row r="91" spans="1:4" ht="12.75" customHeight="1" x14ac:dyDescent="0.15">
      <c r="A91" s="26" t="s">
        <v>15</v>
      </c>
      <c r="B91" s="27" t="s">
        <v>54</v>
      </c>
      <c r="C91" s="42">
        <v>1</v>
      </c>
      <c r="D91" s="21" t="s">
        <v>174</v>
      </c>
    </row>
    <row r="92" spans="1:4" ht="12.75" customHeight="1" x14ac:dyDescent="0.15">
      <c r="A92" s="26" t="s">
        <v>6</v>
      </c>
      <c r="B92" s="27" t="s">
        <v>74</v>
      </c>
      <c r="C92" s="42">
        <v>0.5</v>
      </c>
      <c r="D92" s="21" t="s">
        <v>175</v>
      </c>
    </row>
    <row r="93" spans="1:4" ht="12.75" customHeight="1" x14ac:dyDescent="0.15">
      <c r="A93" s="26" t="s">
        <v>15</v>
      </c>
      <c r="B93" s="27" t="s">
        <v>56</v>
      </c>
      <c r="C93" s="42">
        <v>1</v>
      </c>
      <c r="D93" s="21" t="s">
        <v>176</v>
      </c>
    </row>
    <row r="94" spans="1:4" ht="12.75" customHeight="1" x14ac:dyDescent="0.15">
      <c r="A94" s="26" t="s">
        <v>6</v>
      </c>
      <c r="B94" s="27" t="s">
        <v>41</v>
      </c>
      <c r="C94" s="42">
        <v>0</v>
      </c>
      <c r="D94" s="21" t="s">
        <v>124</v>
      </c>
    </row>
    <row r="95" spans="1:4" ht="12.75" customHeight="1" x14ac:dyDescent="0.15">
      <c r="A95" s="26" t="s">
        <v>4</v>
      </c>
      <c r="B95" s="27" t="s">
        <v>75</v>
      </c>
      <c r="C95" s="42">
        <v>1</v>
      </c>
      <c r="D95" s="21" t="s">
        <v>177</v>
      </c>
    </row>
    <row r="96" spans="1:4" ht="12.75" customHeight="1" x14ac:dyDescent="0.15">
      <c r="A96" s="26" t="s">
        <v>6</v>
      </c>
      <c r="B96" s="27" t="s">
        <v>76</v>
      </c>
      <c r="C96" s="42">
        <v>0</v>
      </c>
      <c r="D96" s="21" t="s">
        <v>178</v>
      </c>
    </row>
    <row r="97" spans="1:4" ht="12.75" customHeight="1" x14ac:dyDescent="0.15">
      <c r="A97" s="26" t="s">
        <v>15</v>
      </c>
      <c r="B97" s="27" t="s">
        <v>77</v>
      </c>
      <c r="C97" s="42">
        <v>1</v>
      </c>
      <c r="D97" s="21" t="s">
        <v>179</v>
      </c>
    </row>
    <row r="98" spans="1:4" ht="12.75" customHeight="1" x14ac:dyDescent="0.15">
      <c r="A98" s="26" t="s">
        <v>6</v>
      </c>
      <c r="B98" s="27" t="s">
        <v>78</v>
      </c>
      <c r="C98" s="42">
        <v>0</v>
      </c>
      <c r="D98" s="21" t="s">
        <v>180</v>
      </c>
    </row>
    <row r="99" spans="1:4" ht="12.75" customHeight="1" x14ac:dyDescent="0.15">
      <c r="A99" s="26" t="s">
        <v>4</v>
      </c>
      <c r="B99" s="27" t="s">
        <v>79</v>
      </c>
      <c r="C99" s="42">
        <v>1</v>
      </c>
      <c r="D99" s="21" t="s">
        <v>181</v>
      </c>
    </row>
    <row r="100" spans="1:4" ht="12.75" customHeight="1" x14ac:dyDescent="0.15">
      <c r="A100" s="26" t="s">
        <v>6</v>
      </c>
      <c r="B100" s="27" t="s">
        <v>80</v>
      </c>
      <c r="C100" s="42">
        <v>0.5</v>
      </c>
      <c r="D100" s="21" t="s">
        <v>182</v>
      </c>
    </row>
    <row r="101" spans="1:4" ht="12.75" customHeight="1" x14ac:dyDescent="0.15">
      <c r="A101" s="26" t="s">
        <v>15</v>
      </c>
      <c r="B101" s="27" t="s">
        <v>81</v>
      </c>
      <c r="C101" s="42">
        <v>1</v>
      </c>
      <c r="D101" s="21" t="s">
        <v>183</v>
      </c>
    </row>
    <row r="102" spans="1:4" ht="12.75" customHeight="1" x14ac:dyDescent="0.15">
      <c r="A102" s="26" t="s">
        <v>82</v>
      </c>
      <c r="B102" s="27" t="s">
        <v>83</v>
      </c>
      <c r="C102" s="42">
        <v>1</v>
      </c>
      <c r="D102" s="21" t="s">
        <v>184</v>
      </c>
    </row>
    <row r="103" spans="1:4" ht="12.75" customHeight="1" x14ac:dyDescent="0.15">
      <c r="A103" s="26" t="s">
        <v>15</v>
      </c>
      <c r="B103" s="27" t="s">
        <v>84</v>
      </c>
      <c r="C103" s="42">
        <v>1</v>
      </c>
      <c r="D103" s="21" t="s">
        <v>185</v>
      </c>
    </row>
    <row r="104" spans="1:4" ht="12.75" customHeight="1" x14ac:dyDescent="0.15">
      <c r="A104" s="26" t="s">
        <v>6</v>
      </c>
      <c r="B104" s="27" t="s">
        <v>85</v>
      </c>
      <c r="C104" s="42">
        <v>0</v>
      </c>
      <c r="D104" s="21" t="s">
        <v>186</v>
      </c>
    </row>
    <row r="105" spans="1:4" ht="12.75" customHeight="1" x14ac:dyDescent="0.15">
      <c r="A105" s="26" t="s">
        <v>6</v>
      </c>
      <c r="B105" s="27" t="s">
        <v>78</v>
      </c>
      <c r="C105" s="42">
        <v>0</v>
      </c>
      <c r="D105" s="21" t="s">
        <v>180</v>
      </c>
    </row>
    <row r="106" spans="1:4" ht="12.75" customHeight="1" x14ac:dyDescent="0.15">
      <c r="A106" s="26" t="s">
        <v>4</v>
      </c>
      <c r="B106" s="27" t="s">
        <v>86</v>
      </c>
      <c r="C106" s="42">
        <v>1</v>
      </c>
      <c r="D106" s="21" t="s">
        <v>187</v>
      </c>
    </row>
    <row r="107" spans="1:4" ht="12.75" customHeight="1" x14ac:dyDescent="0.15">
      <c r="A107" s="26" t="s">
        <v>6</v>
      </c>
      <c r="B107" s="27" t="s">
        <v>87</v>
      </c>
      <c r="C107" s="42">
        <v>0.5</v>
      </c>
      <c r="D107" s="21" t="s">
        <v>182</v>
      </c>
    </row>
    <row r="108" spans="1:4" ht="12.75" customHeight="1" x14ac:dyDescent="0.15">
      <c r="A108" s="26" t="s">
        <v>6</v>
      </c>
      <c r="B108" s="27" t="s">
        <v>88</v>
      </c>
      <c r="C108" s="42">
        <v>0.5</v>
      </c>
      <c r="D108" s="21" t="s">
        <v>188</v>
      </c>
    </row>
    <row r="109" spans="1:4" ht="12.75" customHeight="1" x14ac:dyDescent="0.15">
      <c r="A109" s="26" t="s">
        <v>15</v>
      </c>
      <c r="B109" s="27" t="s">
        <v>89</v>
      </c>
      <c r="C109" s="42">
        <v>1</v>
      </c>
      <c r="D109" s="21" t="s">
        <v>189</v>
      </c>
    </row>
    <row r="110" spans="1:4" ht="12.75" customHeight="1" x14ac:dyDescent="0.15">
      <c r="A110" s="31" t="s">
        <v>4</v>
      </c>
      <c r="B110" s="32" t="s">
        <v>90</v>
      </c>
      <c r="C110" s="42">
        <v>0</v>
      </c>
      <c r="D110" s="21" t="s">
        <v>190</v>
      </c>
    </row>
    <row r="111" spans="1:4" ht="12.75" customHeight="1" x14ac:dyDescent="0.15">
      <c r="A111" s="34" t="s">
        <v>15</v>
      </c>
      <c r="B111" s="35" t="s">
        <v>90</v>
      </c>
      <c r="C111" s="42">
        <v>0</v>
      </c>
      <c r="D111" s="21" t="s">
        <v>191</v>
      </c>
    </row>
    <row r="112" spans="1:4" ht="12.75" customHeight="1" x14ac:dyDescent="0.15">
      <c r="A112" s="29" t="s">
        <v>22</v>
      </c>
      <c r="B112" s="30" t="s">
        <v>90</v>
      </c>
      <c r="C112" s="42">
        <v>0</v>
      </c>
      <c r="D112" s="21" t="s">
        <v>192</v>
      </c>
    </row>
    <row r="113" spans="1:4" ht="12.75" customHeight="1" x14ac:dyDescent="0.15">
      <c r="A113" s="34" t="s">
        <v>6</v>
      </c>
      <c r="B113" s="35" t="s">
        <v>90</v>
      </c>
      <c r="C113" s="42">
        <v>0</v>
      </c>
      <c r="D113" s="21" t="s">
        <v>193</v>
      </c>
    </row>
    <row r="114" spans="1:4" ht="12.75" customHeight="1" x14ac:dyDescent="0.15">
      <c r="A114" s="29" t="s">
        <v>8</v>
      </c>
      <c r="B114" s="30" t="s">
        <v>90</v>
      </c>
      <c r="C114" s="42">
        <v>0</v>
      </c>
      <c r="D114" s="21" t="s">
        <v>194</v>
      </c>
    </row>
    <row r="115" spans="1:4" ht="12.75" customHeight="1" x14ac:dyDescent="0.15">
      <c r="A115" s="34" t="s">
        <v>10</v>
      </c>
      <c r="B115" s="35" t="s">
        <v>90</v>
      </c>
      <c r="C115" s="42">
        <v>0</v>
      </c>
      <c r="D115" s="21" t="s">
        <v>195</v>
      </c>
    </row>
    <row r="116" spans="1:4" ht="12.75" customHeight="1" x14ac:dyDescent="0.15">
      <c r="A116" s="29" t="s">
        <v>82</v>
      </c>
      <c r="B116" s="30" t="s">
        <v>90</v>
      </c>
      <c r="C116" s="42">
        <v>0</v>
      </c>
      <c r="D116" s="21" t="s">
        <v>196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40"/>
      <c r="B1036" s="40"/>
      <c r="C1036" s="40"/>
      <c r="D1036" s="41"/>
    </row>
    <row r="1037" spans="1:4" ht="12.75" customHeight="1" x14ac:dyDescent="0.15">
      <c r="A1037" s="40"/>
      <c r="B1037" s="40"/>
      <c r="C1037" s="40"/>
      <c r="D1037" s="41"/>
    </row>
    <row r="1038" spans="1:4" ht="12.75" customHeight="1" x14ac:dyDescent="0.15">
      <c r="A1038" s="40"/>
      <c r="B1038" s="40"/>
      <c r="C1038" s="40"/>
      <c r="D1038" s="41"/>
    </row>
    <row r="1039" spans="1:4" ht="12.75" customHeight="1" x14ac:dyDescent="0.15">
      <c r="A1039" s="40"/>
      <c r="B1039" s="40"/>
      <c r="C1039" s="40"/>
      <c r="D1039" s="41"/>
    </row>
    <row r="1040" spans="1:4" ht="12.75" customHeight="1" x14ac:dyDescent="0.15">
      <c r="A1040" s="40"/>
      <c r="B1040" s="40"/>
      <c r="C1040" s="40"/>
      <c r="D1040" s="41"/>
    </row>
    <row r="1041" spans="1:4" ht="12.75" customHeight="1" x14ac:dyDescent="0.15">
      <c r="A1041" s="40"/>
      <c r="B1041" s="40"/>
      <c r="C1041" s="40"/>
      <c r="D1041" s="41"/>
    </row>
    <row r="1042" spans="1:4" ht="12.75" customHeight="1" x14ac:dyDescent="0.15">
      <c r="A1042" s="40"/>
      <c r="B1042" s="40"/>
      <c r="C1042" s="40"/>
      <c r="D1042" s="41"/>
    </row>
    <row r="1043" spans="1:4" ht="12.75" customHeight="1" x14ac:dyDescent="0.15">
      <c r="A1043" s="40"/>
      <c r="B1043" s="40"/>
      <c r="C1043" s="40"/>
      <c r="D1043" s="41"/>
    </row>
    <row r="1044" spans="1:4" ht="12.75" customHeight="1" x14ac:dyDescent="0.15">
      <c r="A1044" s="40"/>
      <c r="B1044" s="40"/>
      <c r="C1044" s="40"/>
      <c r="D1044" s="41"/>
    </row>
    <row r="1045" spans="1:4" ht="12.75" customHeight="1" x14ac:dyDescent="0.15">
      <c r="A1045" s="40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J8" sqref="J8:J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101" t="s">
        <v>197</v>
      </c>
      <c r="B1" s="100"/>
      <c r="C1" s="100"/>
      <c r="D1" s="100"/>
      <c r="E1" s="100"/>
      <c r="F1" s="100"/>
      <c r="G1" s="100"/>
      <c r="H1" s="100"/>
      <c r="J1" s="43" t="s">
        <v>198</v>
      </c>
    </row>
    <row r="2" spans="1:10" ht="15.75" customHeight="1" x14ac:dyDescent="0.15">
      <c r="A2" s="44" t="s">
        <v>0</v>
      </c>
      <c r="B2" s="44" t="s">
        <v>199</v>
      </c>
      <c r="C2" s="44" t="s">
        <v>200</v>
      </c>
      <c r="D2" s="44" t="s">
        <v>201</v>
      </c>
      <c r="E2" s="44" t="s">
        <v>202</v>
      </c>
      <c r="F2" s="44" t="s">
        <v>203</v>
      </c>
      <c r="G2" s="44" t="s">
        <v>204</v>
      </c>
      <c r="H2" s="44" t="s">
        <v>205</v>
      </c>
      <c r="J2" s="45" t="s">
        <v>206</v>
      </c>
    </row>
    <row r="3" spans="1:10" ht="15.75" customHeight="1" x14ac:dyDescent="0.2">
      <c r="A3" s="46" t="s">
        <v>8</v>
      </c>
      <c r="B3" s="47">
        <f>COUNTIF(Wumple!$A$2:$A$109, A3)</f>
        <v>5</v>
      </c>
      <c r="C3" s="47">
        <f>SUMIF('GPT-5 Generation'!$A$2:$A$109, $A3, 'GPT-5 Generation'!$C$2:$C$109)</f>
        <v>4</v>
      </c>
      <c r="D3" s="47">
        <f>SUMIF('GPT-5 Generation'!$A$110:$A$116, $A3, 'GPT-5 Generation'!$C$110:$C$116)</f>
        <v>0</v>
      </c>
      <c r="E3" s="47">
        <f>COUNTIFS('GPT-5 Generation'!$A$2:$A$109, $A3, 'GPT-5 Generation'!$C$2:$C$109,0)</f>
        <v>1</v>
      </c>
      <c r="F3" s="47">
        <f t="shared" ref="F3:F10" si="0">IFERROR(C3 / (C3 + D3), "Not Available")</f>
        <v>1</v>
      </c>
      <c r="G3" s="47">
        <f t="shared" ref="G3:G10" si="1">IFERROR(C3 / B3, "Not Available")</f>
        <v>0.8</v>
      </c>
      <c r="H3" s="47">
        <f t="shared" ref="H3:H10" si="2">IFERROR(2*((F3*G3)/(F3+G3)),"Not Available")</f>
        <v>0.88888888888888895</v>
      </c>
      <c r="J3" s="21"/>
    </row>
    <row r="4" spans="1:10" ht="15.75" customHeight="1" x14ac:dyDescent="0.15">
      <c r="A4" s="48" t="s">
        <v>4</v>
      </c>
      <c r="B4" s="47">
        <f>COUNTIF(Wumple!$A$2:$A$109, A4)</f>
        <v>24</v>
      </c>
      <c r="C4" s="47">
        <f>SUMIF('GPT-5 Generation'!$A$2:$A$109, $A4, 'GPT-5 Generation'!$C$2:$C$109)</f>
        <v>22.5</v>
      </c>
      <c r="D4" s="47">
        <f>SUMIF('GPT-5 Generation'!$A$110:$A$116, $A4, 'GPT-5 Generation'!$C$110:$C$116)</f>
        <v>0</v>
      </c>
      <c r="E4" s="47">
        <f>COUNTIFS('GPT-5 Generation'!$A$2:$A$109, $A4, 'GPT-5 Generation'!$C$2:$C$109,0)</f>
        <v>1</v>
      </c>
      <c r="F4" s="47">
        <f t="shared" si="0"/>
        <v>1</v>
      </c>
      <c r="G4" s="47">
        <f t="shared" si="1"/>
        <v>0.9375</v>
      </c>
      <c r="H4" s="47">
        <f t="shared" si="2"/>
        <v>0.967741935483871</v>
      </c>
      <c r="J4" s="43" t="s">
        <v>207</v>
      </c>
    </row>
    <row r="5" spans="1:10" ht="15.75" customHeight="1" x14ac:dyDescent="0.15">
      <c r="A5" s="48" t="s">
        <v>15</v>
      </c>
      <c r="B5" s="47">
        <f>COUNTIF(Wumple!$A$2:$A$109, A5)</f>
        <v>37</v>
      </c>
      <c r="C5" s="47">
        <f>SUMIF('GPT-5 Generation'!$A$2:$A$109, $A5, 'GPT-5 Generation'!$C$2:$C$109)</f>
        <v>33.5</v>
      </c>
      <c r="D5" s="47">
        <f>SUMIF('GPT-5 Generation'!$A$110:$A$116, $A5, 'GPT-5 Generation'!$C$110:$C$116)</f>
        <v>0</v>
      </c>
      <c r="E5" s="47">
        <f>COUNTIFS('GPT-5 Generation'!$A$2:$A$109, $A5, 'GPT-5 Generation'!$C$2:$C$109,0)</f>
        <v>3</v>
      </c>
      <c r="F5" s="47">
        <f t="shared" si="0"/>
        <v>1</v>
      </c>
      <c r="G5" s="47">
        <f t="shared" si="1"/>
        <v>0.90540540540540537</v>
      </c>
      <c r="H5" s="47">
        <f t="shared" si="2"/>
        <v>0.95035460992907805</v>
      </c>
      <c r="J5" s="45" t="s">
        <v>208</v>
      </c>
    </row>
    <row r="6" spans="1:10" ht="15.75" customHeight="1" x14ac:dyDescent="0.15">
      <c r="A6" s="48" t="s">
        <v>6</v>
      </c>
      <c r="B6" s="47">
        <f>COUNTIF(Wumple!$A$2:$A$109, A6)</f>
        <v>36</v>
      </c>
      <c r="C6" s="47">
        <f>SUMIF('GPT-5 Generation'!$A$2:$A$109, $A6, 'GPT-5 Generation'!$C$2:$C$109)</f>
        <v>31.5</v>
      </c>
      <c r="D6" s="47">
        <f>SUMIF('GPT-5 Generation'!$A$110:$A$116, $A6, 'GPT-5 Generation'!$C$110:$C$116)</f>
        <v>0</v>
      </c>
      <c r="E6" s="47">
        <f>COUNTIFS('GPT-5 Generation'!$A$2:$A$109, $A6, 'GPT-5 Generation'!$C$2:$C$109,0)</f>
        <v>4</v>
      </c>
      <c r="F6" s="47">
        <f t="shared" si="0"/>
        <v>1</v>
      </c>
      <c r="G6" s="47">
        <f t="shared" si="1"/>
        <v>0.875</v>
      </c>
      <c r="H6" s="47">
        <f t="shared" si="2"/>
        <v>0.93333333333333335</v>
      </c>
    </row>
    <row r="7" spans="1:10" ht="15.75" customHeight="1" x14ac:dyDescent="0.15">
      <c r="A7" s="48" t="s">
        <v>10</v>
      </c>
      <c r="B7" s="47">
        <f>COUNTIF(Wumple!$A$2:$A$109, A7)</f>
        <v>2</v>
      </c>
      <c r="C7" s="47">
        <f>SUMIF('GPT-5 Generation'!$A$2:$A$109, $A7, 'GPT-5 Generation'!$C$2:$C$109)</f>
        <v>1.5</v>
      </c>
      <c r="D7" s="47">
        <f>SUMIF('GPT-5 Generation'!$A$110:$A$116, $A7, 'GPT-5 Generation'!$C$110:$C$116)</f>
        <v>2</v>
      </c>
      <c r="E7" s="47">
        <f>COUNTIFS('GPT-5 Generation'!$A$2:$A$109, $A7, 'GPT-5 Generation'!$C$2:$C$109,0)</f>
        <v>0</v>
      </c>
      <c r="F7" s="47">
        <f t="shared" si="0"/>
        <v>0.42857142857142855</v>
      </c>
      <c r="G7" s="47">
        <f t="shared" si="1"/>
        <v>0.75</v>
      </c>
      <c r="H7" s="47">
        <f t="shared" si="2"/>
        <v>0.54545454545454541</v>
      </c>
      <c r="J7" s="105" t="s">
        <v>209</v>
      </c>
    </row>
    <row r="8" spans="1:10" ht="15.75" customHeight="1" x14ac:dyDescent="0.15">
      <c r="A8" s="48" t="s">
        <v>82</v>
      </c>
      <c r="B8" s="47">
        <f>COUNTIF(Wumple!$A$2:$A$109, A8)</f>
        <v>1</v>
      </c>
      <c r="C8" s="47">
        <f>SUMIF('GPT-5 Generation'!$A$2:$A$109, $A8, 'GPT-5 Generation'!$C$2:$C$109)</f>
        <v>1</v>
      </c>
      <c r="D8" s="47">
        <f>SUMIF('GPT-5 Generation'!$A$110:$A$116, $A8, 'GPT-5 Generation'!$C$110:$C$116)</f>
        <v>0</v>
      </c>
      <c r="E8" s="47">
        <f>COUNTIFS('GPT-5 Generation'!$A$2:$A$109, $A8, 'GPT-5 Generation'!$C$2:$C$109,0)</f>
        <v>0</v>
      </c>
      <c r="F8" s="47">
        <f t="shared" si="0"/>
        <v>1</v>
      </c>
      <c r="G8" s="47">
        <f t="shared" si="1"/>
        <v>1</v>
      </c>
      <c r="H8" s="47">
        <f t="shared" si="2"/>
        <v>1</v>
      </c>
      <c r="J8" s="106" t="s">
        <v>210</v>
      </c>
    </row>
    <row r="9" spans="1:10" ht="15.75" customHeight="1" x14ac:dyDescent="0.15">
      <c r="A9" s="48" t="s">
        <v>22</v>
      </c>
      <c r="B9" s="47">
        <f>COUNTIF(Wumple!$A$2:$A$109, A9)</f>
        <v>3</v>
      </c>
      <c r="C9" s="47">
        <f>SUMIF('GPT-5 Generation'!$A$2:$A$109, $A9, 'GPT-5 Generation'!$C$2:$C$109)</f>
        <v>1</v>
      </c>
      <c r="D9" s="47">
        <f>SUMIF('GPT-5 Generation'!$A$110:$A$116, $A9, 'GPT-5 Generation'!$C$110:$C$116)</f>
        <v>0</v>
      </c>
      <c r="E9" s="47">
        <f>COUNTIFS('GPT-5 Generation'!$A$2:$A$109, $A9, 'GPT-5 Generation'!$C$2:$C$109,0)</f>
        <v>2</v>
      </c>
      <c r="F9" s="47">
        <f t="shared" si="0"/>
        <v>1</v>
      </c>
      <c r="G9" s="47">
        <f t="shared" si="1"/>
        <v>0.33333333333333331</v>
      </c>
      <c r="H9" s="47">
        <f t="shared" si="2"/>
        <v>0.5</v>
      </c>
      <c r="J9" s="106" t="s">
        <v>208</v>
      </c>
    </row>
    <row r="10" spans="1:10" ht="15.75" customHeight="1" x14ac:dyDescent="0.15">
      <c r="A10" s="48" t="s">
        <v>211</v>
      </c>
      <c r="B10" s="47">
        <f>SUM(B3:B9)</f>
        <v>108</v>
      </c>
      <c r="C10" s="47">
        <f>SUM(C4:C9)</f>
        <v>91</v>
      </c>
      <c r="D10" s="47">
        <f>SUM(D3:D9)</f>
        <v>2</v>
      </c>
      <c r="E10" s="47">
        <f>SUM(E3:E9)</f>
        <v>11</v>
      </c>
      <c r="F10" s="47">
        <f t="shared" si="0"/>
        <v>0.978494623655914</v>
      </c>
      <c r="G10" s="47">
        <f t="shared" si="1"/>
        <v>0.84259259259259256</v>
      </c>
      <c r="H10" s="47">
        <f t="shared" si="2"/>
        <v>0.90547263681592038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>
      <c r="A12" s="101" t="s">
        <v>212</v>
      </c>
      <c r="B12" s="100"/>
      <c r="C12" s="100"/>
      <c r="D12" s="100"/>
      <c r="E12" s="100"/>
      <c r="F12" s="100"/>
      <c r="G12" s="100"/>
      <c r="H12" s="100"/>
    </row>
    <row r="13" spans="1:10" ht="15.75" customHeight="1" x14ac:dyDescent="0.15">
      <c r="A13" s="44" t="s">
        <v>0</v>
      </c>
      <c r="B13" s="44" t="s">
        <v>199</v>
      </c>
      <c r="C13" s="44" t="s">
        <v>200</v>
      </c>
      <c r="D13" s="44" t="s">
        <v>201</v>
      </c>
      <c r="E13" s="44" t="s">
        <v>202</v>
      </c>
      <c r="F13" s="44" t="s">
        <v>203</v>
      </c>
      <c r="G13" s="44" t="s">
        <v>204</v>
      </c>
      <c r="H13" s="44" t="s">
        <v>205</v>
      </c>
    </row>
    <row r="14" spans="1:10" ht="15.75" customHeight="1" x14ac:dyDescent="0.2">
      <c r="A14" s="46" t="s">
        <v>213</v>
      </c>
      <c r="B14" s="47">
        <f>COUNTIF(Wumple!$A$2:$A$109, A3)</f>
        <v>5</v>
      </c>
      <c r="C14" s="47">
        <f>SUMIF('Claude Sonnet 4.5 Gen'!$A$2:$A$109, $A14, 'Claude Sonnet 4.5 Gen'!$C$2:$C$109)</f>
        <v>4</v>
      </c>
      <c r="D14" s="47">
        <f>SUMIF('Claude Sonnet 4.5 Gen'!$A$110:$A$116, $A14, 'Claude Sonnet 4.5 Gen'!$C$110:$C$116)</f>
        <v>0</v>
      </c>
      <c r="E14" s="47">
        <f>COUNTIFS('Claude Sonnet 4.5 Gen'!$A$2:$A$109, $A14, 'Claude Sonnet 4.5 Gen'!$C$2:$C$109,0)</f>
        <v>1</v>
      </c>
      <c r="F14" s="47">
        <f t="shared" ref="F14:F21" si="3">IFERROR(C14 / (C14 + D14), "Not Available")</f>
        <v>1</v>
      </c>
      <c r="G14" s="47">
        <f t="shared" ref="G14:G21" si="4">IFERROR(C14 / B14, "Not Available")</f>
        <v>0.8</v>
      </c>
      <c r="H14" s="47">
        <f t="shared" ref="H14:H21" si="5">IFERROR(2*((F14*G14)/(F14+G14)),"Not Available")</f>
        <v>0.88888888888888895</v>
      </c>
    </row>
    <row r="15" spans="1:10" ht="15.75" customHeight="1" x14ac:dyDescent="0.15">
      <c r="A15" s="48" t="s">
        <v>4</v>
      </c>
      <c r="B15" s="47">
        <f>COUNTIF(Wumple!$A$2:$A$109, A4)</f>
        <v>24</v>
      </c>
      <c r="C15" s="47">
        <f>SUMIF('Claude Sonnet 4.5 Gen'!$A$2:$A$109, $A15, 'Claude Sonnet 4.5 Gen'!$C$2:$C$109)</f>
        <v>22.5</v>
      </c>
      <c r="D15" s="47">
        <f>SUMIF('Claude Sonnet 4.5 Gen'!$A$110:$A$116, $A15, 'Claude Sonnet 4.5 Gen'!$C$110:$C$116)</f>
        <v>0</v>
      </c>
      <c r="E15" s="47">
        <f>COUNTIFS('Claude Sonnet 4.5 Gen'!$A$2:$A$109, $A15, 'Claude Sonnet 4.5 Gen'!$C$2:$C$109,0)</f>
        <v>1</v>
      </c>
      <c r="F15" s="47">
        <f t="shared" si="3"/>
        <v>1</v>
      </c>
      <c r="G15" s="47">
        <f t="shared" si="4"/>
        <v>0.9375</v>
      </c>
      <c r="H15" s="47">
        <f t="shared" si="5"/>
        <v>0.967741935483871</v>
      </c>
    </row>
    <row r="16" spans="1:10" ht="15.75" customHeight="1" x14ac:dyDescent="0.15">
      <c r="A16" s="48" t="s">
        <v>15</v>
      </c>
      <c r="B16" s="47">
        <f>COUNTIF(Wumple!$A$2:$A$109, A5)</f>
        <v>37</v>
      </c>
      <c r="C16" s="47">
        <f>SUMIF('Claude Sonnet 4.5 Gen'!$A$2:$A$109, $A16, 'Claude Sonnet 4.5 Gen'!$C$2:$C$109)</f>
        <v>33</v>
      </c>
      <c r="D16" s="47">
        <f>SUMIF('Claude Sonnet 4.5 Gen'!$A$110:$A$116, $A16, 'Claude Sonnet 4.5 Gen'!$C$110:$C$116)</f>
        <v>0</v>
      </c>
      <c r="E16" s="47">
        <f>COUNTIFS('Claude Sonnet 4.5 Gen'!$A$2:$A$109, $A16, 'Claude Sonnet 4.5 Gen'!$C$2:$C$109,0)</f>
        <v>4</v>
      </c>
      <c r="F16" s="47">
        <f t="shared" si="3"/>
        <v>1</v>
      </c>
      <c r="G16" s="47">
        <f t="shared" si="4"/>
        <v>0.89189189189189189</v>
      </c>
      <c r="H16" s="47">
        <f t="shared" si="5"/>
        <v>0.94285714285714284</v>
      </c>
    </row>
    <row r="17" spans="1:8" ht="15.75" customHeight="1" x14ac:dyDescent="0.15">
      <c r="A17" s="48" t="s">
        <v>6</v>
      </c>
      <c r="B17" s="47">
        <f>COUNTIF(Wumple!$A$2:$A$109, A6)</f>
        <v>36</v>
      </c>
      <c r="C17" s="47">
        <f>SUMIF('Claude Sonnet 4.5 Gen'!$A$2:$A$109, $A17, 'Claude Sonnet 4.5 Gen'!$C$2:$C$109)</f>
        <v>6.5</v>
      </c>
      <c r="D17" s="47">
        <f>SUMIF('Claude Sonnet 4.5 Gen'!$A$110:$A$116, $A17, 'Claude Sonnet 4.5 Gen'!$C$110:$C$116)</f>
        <v>0</v>
      </c>
      <c r="E17" s="47">
        <f>COUNTIFS('Claude Sonnet 4.5 Gen'!$A$2:$A$109, $A17, 'Claude Sonnet 4.5 Gen'!$C$2:$C$109,0)</f>
        <v>23</v>
      </c>
      <c r="F17" s="47">
        <f t="shared" si="3"/>
        <v>1</v>
      </c>
      <c r="G17" s="47">
        <f t="shared" si="4"/>
        <v>0.18055555555555555</v>
      </c>
      <c r="H17" s="47">
        <f t="shared" si="5"/>
        <v>0.30588235294117644</v>
      </c>
    </row>
    <row r="18" spans="1:8" ht="15.75" customHeight="1" x14ac:dyDescent="0.15">
      <c r="A18" s="48" t="s">
        <v>10</v>
      </c>
      <c r="B18" s="47">
        <f>COUNTIF(Wumple!$A$2:$A$109, A7)</f>
        <v>2</v>
      </c>
      <c r="C18" s="47">
        <f>SUMIF('Claude Sonnet 4.5 Gen'!$A$2:$A$109, $A18, 'Claude Sonnet 4.5 Gen'!$C$2:$C$109)</f>
        <v>2</v>
      </c>
      <c r="D18" s="47">
        <f>SUMIF('Claude Sonnet 4.5 Gen'!$A$110:$A$116, $A18, 'Claude Sonnet 4.5 Gen'!$C$110:$C$116)</f>
        <v>0</v>
      </c>
      <c r="E18" s="47">
        <f>COUNTIFS('Claude Sonnet 4.5 Gen'!$A$2:$A$109, $A18, 'Claude Sonnet 4.5 Gen'!$C$2:$C$109,0)</f>
        <v>0</v>
      </c>
      <c r="F18" s="47">
        <f t="shared" si="3"/>
        <v>1</v>
      </c>
      <c r="G18" s="47">
        <f t="shared" si="4"/>
        <v>1</v>
      </c>
      <c r="H18" s="47">
        <f t="shared" si="5"/>
        <v>1</v>
      </c>
    </row>
    <row r="19" spans="1:8" ht="15.75" customHeight="1" x14ac:dyDescent="0.15">
      <c r="A19" s="48" t="s">
        <v>82</v>
      </c>
      <c r="B19" s="47">
        <f>COUNTIF(Wumple!$A$2:$A$109, A8)</f>
        <v>1</v>
      </c>
      <c r="C19" s="47">
        <f>SUMIF('Claude Sonnet 4.5 Gen'!$A$2:$A$109, $A19, 'Claude Sonnet 4.5 Gen'!$C$2:$C$109)</f>
        <v>1</v>
      </c>
      <c r="D19" s="47">
        <f>SUMIF('Claude Sonnet 4.5 Gen'!$A$110:$A$116, $A19, 'Claude Sonnet 4.5 Gen'!$C$110:$C$116)</f>
        <v>0</v>
      </c>
      <c r="E19" s="47">
        <f>COUNTIFS('Claude Sonnet 4.5 Gen'!$A$2:$A$109, $A19, 'Claude Sonnet 4.5 Gen'!$C$2:$C$109,0)</f>
        <v>0</v>
      </c>
      <c r="F19" s="47">
        <f t="shared" si="3"/>
        <v>1</v>
      </c>
      <c r="G19" s="47">
        <f t="shared" si="4"/>
        <v>1</v>
      </c>
      <c r="H19" s="47">
        <f t="shared" si="5"/>
        <v>1</v>
      </c>
    </row>
    <row r="20" spans="1:8" ht="15.75" customHeight="1" x14ac:dyDescent="0.15">
      <c r="A20" s="48" t="s">
        <v>22</v>
      </c>
      <c r="B20" s="47">
        <f>COUNTIF(Wumple!$A$2:$A$109, A9)</f>
        <v>3</v>
      </c>
      <c r="C20" s="47">
        <f>SUMIF('Claude Sonnet 4.5 Gen'!$A$2:$A$109, $A20, 'Claude Sonnet 4.5 Gen'!$C$2:$C$109)</f>
        <v>1</v>
      </c>
      <c r="D20" s="47">
        <f>SUMIF('Claude Sonnet 4.5 Gen'!$A$110:$A$116, $A20, 'Claude Sonnet 4.5 Gen'!$C$110:$C$116)</f>
        <v>0</v>
      </c>
      <c r="E20" s="47">
        <f>COUNTIFS('Claude Sonnet 4.5 Gen'!$A$2:$A$109, $A20, 'Claude Sonnet 4.5 Gen'!$C$2:$C$109,0)</f>
        <v>2</v>
      </c>
      <c r="F20" s="47">
        <f t="shared" si="3"/>
        <v>1</v>
      </c>
      <c r="G20" s="47">
        <f t="shared" si="4"/>
        <v>0.33333333333333331</v>
      </c>
      <c r="H20" s="47">
        <f t="shared" si="5"/>
        <v>0.5</v>
      </c>
    </row>
    <row r="21" spans="1:8" ht="15.75" customHeight="1" x14ac:dyDescent="0.15">
      <c r="A21" s="48" t="s">
        <v>211</v>
      </c>
      <c r="B21" s="49">
        <f>SUM(B14:B20)</f>
        <v>108</v>
      </c>
      <c r="C21" s="49">
        <f>SUM(C14:C20)</f>
        <v>70</v>
      </c>
      <c r="D21" s="49">
        <f>SUM(D14:D20)</f>
        <v>0</v>
      </c>
      <c r="E21" s="49">
        <f>SUM(E14:E20)</f>
        <v>31</v>
      </c>
      <c r="F21" s="47">
        <f t="shared" si="3"/>
        <v>1</v>
      </c>
      <c r="G21" s="47">
        <f t="shared" si="4"/>
        <v>0.64814814814814814</v>
      </c>
      <c r="H21" s="47">
        <f t="shared" si="5"/>
        <v>0.7865168539325843</v>
      </c>
    </row>
    <row r="22" spans="1:8" ht="15.75" customHeight="1" x14ac:dyDescent="0.15">
      <c r="H22" s="50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48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51" t="s">
        <v>210</v>
      </c>
      <c r="D1" s="51" t="s">
        <v>208</v>
      </c>
      <c r="E1" s="52"/>
      <c r="F1" s="104" t="s">
        <v>214</v>
      </c>
      <c r="G1" s="100"/>
      <c r="H1" s="100"/>
      <c r="I1" s="100"/>
      <c r="L1" s="102" t="s">
        <v>215</v>
      </c>
      <c r="M1" s="103"/>
      <c r="N1" s="103"/>
    </row>
    <row r="2" spans="1:1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'GPT-5 Generation'!C2</f>
        <v>1</v>
      </c>
      <c r="D2" s="5">
        <f>'Claude Sonnet 4.5 Gen'!C2</f>
        <v>1</v>
      </c>
      <c r="E2" s="52"/>
      <c r="F2" s="19" t="s">
        <v>216</v>
      </c>
      <c r="G2" s="54" t="s">
        <v>217</v>
      </c>
      <c r="H2" s="55" t="s">
        <v>218</v>
      </c>
      <c r="I2" s="56" t="s">
        <v>219</v>
      </c>
      <c r="J2" s="57" t="s">
        <v>220</v>
      </c>
      <c r="K2" s="19"/>
      <c r="L2" s="58" t="s">
        <v>221</v>
      </c>
      <c r="M2" s="58" t="s">
        <v>222</v>
      </c>
      <c r="N2" s="58" t="s">
        <v>223</v>
      </c>
    </row>
    <row r="3" spans="1:1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'GPT-5 Generation'!C3</f>
        <v>0</v>
      </c>
      <c r="D3" s="5">
        <f>'Claude Sonnet 4.5 Gen'!C3</f>
        <v>0</v>
      </c>
      <c r="E3" s="52"/>
      <c r="F3" s="59">
        <v>0</v>
      </c>
      <c r="G3" s="60">
        <f>COUNTIFS($C$2:$C$153, $F3, $D$2:$D$153, G$2)</f>
        <v>16</v>
      </c>
      <c r="H3" s="61">
        <f>COUNTIFS($C$2:$C$109, $F3, $D$2:$D$109, H$2)</f>
        <v>1</v>
      </c>
      <c r="I3" s="62">
        <f>COUNTIFS($C$2:$C$109, $F3, $D$2:$D$109, I$2)+MAX(D110-C110,0)+MAX(D111-C111,0)+MAX(D112-C112,0)+MAX(D113-C113,0)+MAX(D114-C114,0)+MAX(D115-C115,0)+MAX(D116-C116,0)</f>
        <v>0</v>
      </c>
      <c r="J3" s="19">
        <f>SUM(G3:I3)</f>
        <v>17</v>
      </c>
      <c r="K3" s="19"/>
      <c r="L3" s="63" t="s">
        <v>224</v>
      </c>
      <c r="M3" s="60">
        <f>(G3+H4+I5)/COUNTA($C$2:$C$163)</f>
        <v>0.67826086956521736</v>
      </c>
      <c r="N3" s="62" t="s">
        <v>225</v>
      </c>
    </row>
    <row r="4" spans="1:14" ht="15.75" customHeight="1" x14ac:dyDescent="0.15">
      <c r="A4" s="5" t="str">
        <f>Wumple!A4</f>
        <v>Composite State</v>
      </c>
      <c r="B4" s="5" t="str">
        <f>Wumple!B4</f>
        <v>Watch</v>
      </c>
      <c r="C4" s="5">
        <f>'GPT-5 Generation'!C4</f>
        <v>1</v>
      </c>
      <c r="D4" s="5">
        <f>'Claude Sonnet 4.5 Gen'!C4</f>
        <v>1</v>
      </c>
      <c r="E4" s="52"/>
      <c r="F4" s="59">
        <v>0.5</v>
      </c>
      <c r="G4" s="64">
        <f>COUNTIFS($C$2:$C$109, $F4, $D$2:$D$109, G$2)</f>
        <v>1</v>
      </c>
      <c r="H4" s="19">
        <f>COUNTIFS($C$2:$C$109, $F4, $D$2:$D$109, H$2)</f>
        <v>1</v>
      </c>
      <c r="I4" s="65">
        <f>COUNTIFS($C$2:$C$109, $F4, $D$2:$D$109, I$2)</f>
        <v>2</v>
      </c>
      <c r="J4" s="19">
        <f>SUM(G4:I4)</f>
        <v>4</v>
      </c>
      <c r="K4" s="19"/>
      <c r="L4" s="63" t="s">
        <v>226</v>
      </c>
      <c r="M4" s="64">
        <f t="array" ref="M4">SUMPRODUCT(J3:J5/COUNTA($C$2:$C$163), TRANSPOSE(G6:I6)/COUNTA($C$2:$C$163))</f>
        <v>0.50691871455576554</v>
      </c>
      <c r="N4" s="65" t="s">
        <v>227</v>
      </c>
    </row>
    <row r="5" spans="1:14" ht="15.75" customHeight="1" x14ac:dyDescent="0.15">
      <c r="A5" s="5" t="str">
        <f>Wumple!A5</f>
        <v>Region</v>
      </c>
      <c r="B5" s="5" t="str">
        <f>Wumple!B5</f>
        <v>Light</v>
      </c>
      <c r="C5" s="5">
        <f>'GPT-5 Generation'!C5</f>
        <v>0.5</v>
      </c>
      <c r="D5" s="5">
        <f>'Claude Sonnet 4.5 Gen'!C5</f>
        <v>1</v>
      </c>
      <c r="E5" s="52"/>
      <c r="F5" s="59">
        <v>1</v>
      </c>
      <c r="G5" s="66">
        <f>COUNTIFS($C$2:$C$109, $F5, $D$2:$D$109, G$2)+MAX(C110-D110,0)+MAX(C111-D111,0)+MAX(C112-D112,0)+MAX(C113-D113,0)+MAX(C114-D114,0)+MAX(C115-D115,0)+MAX(C116-D116,0)</f>
        <v>22</v>
      </c>
      <c r="H5" s="67">
        <f>COUNTIFS($C$2:$C$109, $F5, $D$2:$D$109, H$2)</f>
        <v>12</v>
      </c>
      <c r="I5" s="68">
        <f>COUNTIFS($C$2:$C$109, $F5, $D$2:$D$109, I$2)+ SUM(MIN(C110,D110), MIN(C111,D111), MIN(C112,D112), MIN(C113,D113), MIN(C114,D114), MIN(C115,D115), MIN(C116,D116))</f>
        <v>61</v>
      </c>
      <c r="J5" s="19">
        <f>SUM(G5:I5)</f>
        <v>95</v>
      </c>
      <c r="K5" s="19"/>
      <c r="L5" s="63" t="s">
        <v>215</v>
      </c>
      <c r="M5" s="66">
        <f>(M3-M4)/(1-M4)</f>
        <v>0.34749271584112867</v>
      </c>
      <c r="N5" s="68" t="s">
        <v>228</v>
      </c>
    </row>
    <row r="6" spans="1:1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'GPT-5 Generation'!C6</f>
        <v>1</v>
      </c>
      <c r="D6" s="5">
        <f>'Claude Sonnet 4.5 Gen'!C6</f>
        <v>1</v>
      </c>
      <c r="E6" s="52"/>
      <c r="F6" s="69" t="s">
        <v>229</v>
      </c>
      <c r="G6" s="19">
        <f>SUM(G3:G5)</f>
        <v>39</v>
      </c>
      <c r="H6" s="19">
        <f>SUM(H3:H5)</f>
        <v>14</v>
      </c>
      <c r="I6" s="19">
        <f>SUM(I3:I5)</f>
        <v>63</v>
      </c>
      <c r="J6" s="19"/>
      <c r="L6" s="19"/>
      <c r="M6" s="70"/>
    </row>
    <row r="7" spans="1:14" ht="15.75" customHeight="1" x14ac:dyDescent="0.15">
      <c r="A7" s="5" t="str">
        <f>Wumple!A7</f>
        <v>State</v>
      </c>
      <c r="B7" s="5" t="str">
        <f>Wumple!B7</f>
        <v>Off</v>
      </c>
      <c r="C7" s="5">
        <f>'GPT-5 Generation'!C7</f>
        <v>1</v>
      </c>
      <c r="D7" s="5">
        <f>'Claude Sonnet 4.5 Gen'!C7</f>
        <v>1</v>
      </c>
      <c r="E7" s="52"/>
      <c r="L7" s="19"/>
      <c r="M7" s="19"/>
      <c r="N7" s="19"/>
    </row>
    <row r="8" spans="1:1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'GPT-5 Generation'!C8</f>
        <v>1</v>
      </c>
      <c r="D8" s="5">
        <f>'Claude Sonnet 4.5 Gen'!C8</f>
        <v>0.5</v>
      </c>
      <c r="E8" s="52"/>
      <c r="F8" s="104" t="s">
        <v>230</v>
      </c>
      <c r="G8" s="100"/>
      <c r="H8" s="100"/>
      <c r="I8" s="100"/>
      <c r="L8" s="102" t="s">
        <v>231</v>
      </c>
      <c r="M8" s="103"/>
      <c r="N8" s="103"/>
    </row>
    <row r="9" spans="1:1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'GPT-5 Generation'!C9</f>
        <v>1</v>
      </c>
      <c r="D9" s="5">
        <f>'Claude Sonnet 4.5 Gen'!C9</f>
        <v>1</v>
      </c>
      <c r="E9" s="52"/>
      <c r="F9" s="19" t="s">
        <v>4</v>
      </c>
      <c r="G9" s="71" t="s">
        <v>217</v>
      </c>
      <c r="H9" s="71" t="s">
        <v>218</v>
      </c>
      <c r="I9" s="71" t="s">
        <v>219</v>
      </c>
      <c r="J9" s="72" t="s">
        <v>220</v>
      </c>
      <c r="K9" s="19"/>
      <c r="L9" s="58" t="s">
        <v>221</v>
      </c>
      <c r="M9" s="58" t="s">
        <v>222</v>
      </c>
      <c r="N9" s="58" t="s">
        <v>223</v>
      </c>
    </row>
    <row r="10" spans="1:14" ht="15.75" customHeight="1" x14ac:dyDescent="0.15">
      <c r="A10" s="5" t="str">
        <f>Wumple!A10</f>
        <v>State</v>
      </c>
      <c r="B10" s="5" t="str">
        <f>Wumple!B10</f>
        <v>On</v>
      </c>
      <c r="C10" s="5">
        <f>'GPT-5 Generation'!C10</f>
        <v>1</v>
      </c>
      <c r="D10" s="5">
        <f>'Claude Sonnet 4.5 Gen'!C10</f>
        <v>1</v>
      </c>
      <c r="E10" s="52"/>
      <c r="F10" s="59">
        <v>0</v>
      </c>
      <c r="G10" s="60">
        <f>COUNTIFS($A$2:$A$153,$F$9,$C$2:$C$153,$F10,$D$2:$D$153,G$9)</f>
        <v>2</v>
      </c>
      <c r="H10" s="61">
        <f>COUNTIFS($A$2:$A$153,$F$9,$C$2:$C$153,$F10,$D$2:$D$153,H$9)</f>
        <v>0</v>
      </c>
      <c r="I10" s="62">
        <f>COUNTIFS($A$2:$A$109,$F$9,$C$2:$C$109,$F10,$D$2:$D$109,I$9)+MAX(D110-C110,0)</f>
        <v>0</v>
      </c>
      <c r="J10" s="19">
        <f>SUM(G10:I10)</f>
        <v>2</v>
      </c>
      <c r="K10" s="19"/>
      <c r="L10" s="63" t="s">
        <v>224</v>
      </c>
      <c r="M10" s="60">
        <f>(G10+H11+I12)/COUNTIF($A$2:$A$163,F9)</f>
        <v>1</v>
      </c>
      <c r="N10" s="62" t="s">
        <v>225</v>
      </c>
    </row>
    <row r="11" spans="1:1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'GPT-5 Generation'!C11</f>
        <v>1</v>
      </c>
      <c r="D11" s="5">
        <f>'Claude Sonnet 4.5 Gen'!C11</f>
        <v>0.5</v>
      </c>
      <c r="E11" s="52"/>
      <c r="F11" s="59">
        <v>0.5</v>
      </c>
      <c r="G11" s="64">
        <f>COUNTIFS($A$2:$A$153,$F$9,$C$2:$C$153,$F11,$D$2:$D$153,G$9)</f>
        <v>0</v>
      </c>
      <c r="H11" s="19">
        <f>COUNTIFS($A$2:$A$153,$F$9,$C$2:$C$153,$F11,$D$2:$D$153,H$9)</f>
        <v>1</v>
      </c>
      <c r="I11" s="65">
        <f>COUNTIFS($A$2:$A$153,$F$9,$C$2:$C$153,$F11,$D$2:$D$153,I$9)</f>
        <v>0</v>
      </c>
      <c r="J11" s="19">
        <f>SUM(G11:I11)</f>
        <v>1</v>
      </c>
      <c r="K11" s="19"/>
      <c r="L11" s="63" t="s">
        <v>226</v>
      </c>
      <c r="M11" s="64">
        <f t="array" ref="M11">SUMPRODUCT(J10:J12/COUNTIF($A$2:$A$163,F9), TRANSPOSE(G13:I13)/COUNTIF($A$2:$A$163,F9))</f>
        <v>0.78239999999999998</v>
      </c>
      <c r="N11" s="65" t="s">
        <v>227</v>
      </c>
    </row>
    <row r="12" spans="1:1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'GPT-5 Generation'!C12</f>
        <v>1</v>
      </c>
      <c r="D12" s="5">
        <f>'Claude Sonnet 4.5 Gen'!C12</f>
        <v>1</v>
      </c>
      <c r="E12" s="52"/>
      <c r="F12" s="59">
        <v>1</v>
      </c>
      <c r="G12" s="66">
        <f>COUNTIFS($A$2:$A$109,$F$9,$C$2:$C$109,$F12,$D$2:$D$109,G$9)+MAX(C110-D110,0)</f>
        <v>0</v>
      </c>
      <c r="H12" s="67">
        <f>COUNTIFS($A$2:$A$153,$F$9,$C$2:$C$153,$F12,$D$2:$D$153,H$9)</f>
        <v>0</v>
      </c>
      <c r="I12" s="68">
        <f>COUNTIFS($A$2:$A$109,$F$9,$C$2:$C$109,$F12,$D$2:$D$109,I$9)+MIN(C110-D110)</f>
        <v>22</v>
      </c>
      <c r="J12" s="19">
        <f>SUM(G12:I12)</f>
        <v>22</v>
      </c>
      <c r="K12" s="19"/>
      <c r="L12" s="63" t="s">
        <v>215</v>
      </c>
      <c r="M12" s="66">
        <f>(M10-M11)/(1-M11)</f>
        <v>1</v>
      </c>
      <c r="N12" s="68" t="s">
        <v>228</v>
      </c>
    </row>
    <row r="13" spans="1:1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'GPT-5 Generation'!C13</f>
        <v>1</v>
      </c>
      <c r="D13" s="5">
        <f>'Claude Sonnet 4.5 Gen'!C13</f>
        <v>1</v>
      </c>
      <c r="E13" s="52"/>
      <c r="F13" s="69" t="s">
        <v>229</v>
      </c>
      <c r="G13" s="19">
        <f>SUM(G10:G12)</f>
        <v>2</v>
      </c>
      <c r="H13" s="19">
        <f>SUM(H10:H12)</f>
        <v>1</v>
      </c>
      <c r="I13" s="19">
        <f>SUM(I10:I12)</f>
        <v>22</v>
      </c>
      <c r="J13" s="19"/>
      <c r="L13" s="19"/>
      <c r="M13" s="70"/>
    </row>
    <row r="14" spans="1:1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'GPT-5 Generation'!C14</f>
        <v>0</v>
      </c>
      <c r="D14" s="5">
        <f>'Claude Sonnet 4.5 Gen'!C14</f>
        <v>0</v>
      </c>
      <c r="E14" s="52"/>
    </row>
    <row r="15" spans="1:14" ht="15.75" customHeight="1" x14ac:dyDescent="0.15">
      <c r="A15" s="5" t="str">
        <f>Wumple!A15</f>
        <v>Guard</v>
      </c>
      <c r="B15" s="5" t="str">
        <f>Wumple!B15</f>
        <v>[flashAlert]</v>
      </c>
      <c r="C15" s="5">
        <f>'GPT-5 Generation'!C15</f>
        <v>0</v>
      </c>
      <c r="D15" s="5">
        <f>'Claude Sonnet 4.5 Gen'!C15</f>
        <v>0</v>
      </c>
      <c r="E15" s="52"/>
      <c r="F15" s="104" t="s">
        <v>232</v>
      </c>
      <c r="G15" s="100"/>
      <c r="H15" s="100"/>
      <c r="I15" s="100"/>
      <c r="L15" s="102" t="s">
        <v>233</v>
      </c>
      <c r="M15" s="103"/>
      <c r="N15" s="103"/>
    </row>
    <row r="16" spans="1:14" ht="15.75" customHeight="1" x14ac:dyDescent="0.15">
      <c r="A16" s="5" t="str">
        <f>Wumple!A16</f>
        <v>State</v>
      </c>
      <c r="B16" s="5" t="str">
        <f>Wumple!B16</f>
        <v>Flash</v>
      </c>
      <c r="C16" s="5">
        <f>'GPT-5 Generation'!C16</f>
        <v>0</v>
      </c>
      <c r="D16" s="5">
        <f>'Claude Sonnet 4.5 Gen'!C16</f>
        <v>0</v>
      </c>
      <c r="E16" s="52"/>
      <c r="F16" s="19" t="s">
        <v>15</v>
      </c>
      <c r="G16" s="71" t="s">
        <v>217</v>
      </c>
      <c r="H16" s="71" t="s">
        <v>218</v>
      </c>
      <c r="I16" s="71" t="s">
        <v>219</v>
      </c>
      <c r="J16" s="72" t="s">
        <v>220</v>
      </c>
      <c r="K16" s="19"/>
      <c r="L16" s="58" t="s">
        <v>221</v>
      </c>
      <c r="M16" s="58" t="s">
        <v>222</v>
      </c>
      <c r="N16" s="58" t="s">
        <v>223</v>
      </c>
    </row>
    <row r="17" spans="1:1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'GPT-5 Generation'!C17</f>
        <v>0</v>
      </c>
      <c r="D17" s="5">
        <f>'Claude Sonnet 4.5 Gen'!C17</f>
        <v>0</v>
      </c>
      <c r="E17" s="52"/>
      <c r="F17" s="59">
        <v>0</v>
      </c>
      <c r="G17" s="60">
        <f>COUNTIFS($A$2:$A$153,$F$16,$C$2:$C$153,$F17,$D$2:$D$153,G$16)</f>
        <v>4</v>
      </c>
      <c r="H17" s="61">
        <f>COUNTIFS($A$2:$A$153,$F$16,$C$2:$C$153,$F17,$D$2:$D$153,H$16)</f>
        <v>0</v>
      </c>
      <c r="I17" s="62">
        <f>COUNTIFS($A$2:$A$109,$F$16,$C$2:$C$109,$F17,$D$2:$D$109,I$16) + MAX(D111-C111,0)</f>
        <v>0</v>
      </c>
      <c r="J17" s="19">
        <f>SUM(G17:I17)</f>
        <v>4</v>
      </c>
      <c r="K17" s="19"/>
      <c r="L17" s="63" t="s">
        <v>224</v>
      </c>
      <c r="M17" s="60">
        <f>(G17+H18+I19)/COUNTIF($A$2:$A$163,F16)</f>
        <v>0.94736842105263153</v>
      </c>
      <c r="N17" s="62" t="s">
        <v>225</v>
      </c>
    </row>
    <row r="18" spans="1:1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'GPT-5 Generation'!C18</f>
        <v>0</v>
      </c>
      <c r="D18" s="5">
        <f>'Claude Sonnet 4.5 Gen'!C18</f>
        <v>0</v>
      </c>
      <c r="E18" s="52"/>
      <c r="F18" s="59">
        <v>0.5</v>
      </c>
      <c r="G18" s="64">
        <f>COUNTIFS($A$2:$A$153,$F$16,$C$2:$C$153,$F18,$D$2:$D$153,G$16)</f>
        <v>0</v>
      </c>
      <c r="H18" s="19">
        <f>COUNTIFS($A$2:$A$153,$F$16,$C$2:$C$153,$F18,$D$2:$D$153,H$16)</f>
        <v>0</v>
      </c>
      <c r="I18" s="65">
        <f>COUNTIFS($A$2:$A$153,$F$16,$C$2:$C$153,$F18,$D$2:$D$153,I$16)</f>
        <v>1</v>
      </c>
      <c r="J18" s="19">
        <f>SUM(G18:I18)</f>
        <v>1</v>
      </c>
      <c r="K18" s="19"/>
      <c r="L18" s="63" t="s">
        <v>226</v>
      </c>
      <c r="M18" s="64">
        <f t="array" ref="M18">SUMPRODUCT(J17:J19/COUNTIF($A$2:$A$163,F16), TRANSPOSE(G20:I20)/COUNTIF($A$2:$A$163,F16))</f>
        <v>0.76800554016620504</v>
      </c>
      <c r="N18" s="65" t="s">
        <v>227</v>
      </c>
    </row>
    <row r="19" spans="1:14" ht="15.75" customHeight="1" x14ac:dyDescent="0.15">
      <c r="A19" s="5" t="str">
        <f>Wumple!A19</f>
        <v>Guard</v>
      </c>
      <c r="B19" s="5" t="str">
        <f>Wumple!B19</f>
        <v>[flashAlert]</v>
      </c>
      <c r="C19" s="5">
        <f>'GPT-5 Generation'!C19</f>
        <v>0</v>
      </c>
      <c r="D19" s="5">
        <f>'Claude Sonnet 4.5 Gen'!C19</f>
        <v>0</v>
      </c>
      <c r="E19" s="52"/>
      <c r="F19" s="59">
        <v>1</v>
      </c>
      <c r="G19" s="66">
        <f>COUNTIFS($A$2:$A$109,$F$16,$C$2:$C$109,$F19,$D$2:$D$109,G$16)+MAX(C111-D111,0)</f>
        <v>1</v>
      </c>
      <c r="H19" s="67">
        <f>COUNTIFS($A$2:$A$153,$F$16,$C$2:$C$153,$F19,$D$2:$D$153,H$16)</f>
        <v>0</v>
      </c>
      <c r="I19" s="68">
        <f>COUNTIFS($A$2:$A$109,$F$16,$C$2:$C$109,$F19,$D$2:$D$109,I$16) + MIN(C111,D111)</f>
        <v>32</v>
      </c>
      <c r="J19" s="19">
        <f>SUM(G19:I19)</f>
        <v>33</v>
      </c>
      <c r="K19" s="19"/>
      <c r="L19" s="63" t="s">
        <v>215</v>
      </c>
      <c r="M19" s="66">
        <f>(M17-M18)/(1-M18)</f>
        <v>0.77313432835820872</v>
      </c>
      <c r="N19" s="68" t="s">
        <v>228</v>
      </c>
    </row>
    <row r="20" spans="1:1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'GPT-5 Generation'!C20</f>
        <v>0</v>
      </c>
      <c r="D20" s="5">
        <f>'Claude Sonnet 4.5 Gen'!C20</f>
        <v>0</v>
      </c>
      <c r="E20" s="52"/>
      <c r="F20" s="69" t="s">
        <v>229</v>
      </c>
      <c r="G20" s="19">
        <f>SUM(G17:G19)</f>
        <v>5</v>
      </c>
      <c r="H20" s="19">
        <f>SUM(H17:H19)</f>
        <v>0</v>
      </c>
      <c r="I20" s="19">
        <f>SUM(I17:I19)</f>
        <v>33</v>
      </c>
      <c r="J20" s="19"/>
      <c r="L20" s="19"/>
      <c r="M20" s="70"/>
    </row>
    <row r="21" spans="1:14" ht="15.75" customHeight="1" x14ac:dyDescent="0.15">
      <c r="A21" s="5" t="str">
        <f>Wumple!A21</f>
        <v>Region</v>
      </c>
      <c r="B21" s="5" t="str">
        <f>Wumple!B21</f>
        <v>WatchMode</v>
      </c>
      <c r="C21" s="5">
        <f>'GPT-5 Generation'!C21</f>
        <v>1</v>
      </c>
      <c r="D21" s="5">
        <f>'Claude Sonnet 4.5 Gen'!C21</f>
        <v>1</v>
      </c>
      <c r="E21" s="52"/>
    </row>
    <row r="22" spans="1:1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'GPT-5 Generation'!C22</f>
        <v>0.5</v>
      </c>
      <c r="D22" s="5">
        <f>'Claude Sonnet 4.5 Gen'!C22</f>
        <v>0.5</v>
      </c>
      <c r="E22" s="52"/>
      <c r="F22" s="104" t="s">
        <v>234</v>
      </c>
      <c r="G22" s="100"/>
      <c r="H22" s="100"/>
      <c r="I22" s="100"/>
      <c r="L22" s="102" t="s">
        <v>235</v>
      </c>
      <c r="M22" s="103"/>
      <c r="N22" s="103"/>
    </row>
    <row r="23" spans="1:1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'GPT-5 Generation'!C23</f>
        <v>0</v>
      </c>
      <c r="D23" s="5">
        <f>'Claude Sonnet 4.5 Gen'!C23</f>
        <v>0</v>
      </c>
      <c r="E23" s="52"/>
      <c r="F23" s="19" t="s">
        <v>8</v>
      </c>
      <c r="G23" s="71" t="s">
        <v>217</v>
      </c>
      <c r="H23" s="71" t="s">
        <v>218</v>
      </c>
      <c r="I23" s="71" t="s">
        <v>219</v>
      </c>
      <c r="J23" s="72" t="s">
        <v>220</v>
      </c>
      <c r="K23" s="19"/>
      <c r="L23" s="58" t="s">
        <v>221</v>
      </c>
      <c r="M23" s="58" t="s">
        <v>222</v>
      </c>
      <c r="N23" s="58" t="s">
        <v>223</v>
      </c>
    </row>
    <row r="24" spans="1:1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'GPT-5 Generation'!C24</f>
        <v>1</v>
      </c>
      <c r="D24" s="5">
        <f>'Claude Sonnet 4.5 Gen'!C24</f>
        <v>1</v>
      </c>
      <c r="E24" s="52"/>
      <c r="F24" s="59">
        <v>0</v>
      </c>
      <c r="G24" s="60">
        <f>COUNTIFS($A$2:$A$153,$F$23,$C$2:$C$153,$F24,$D$2:$D$153,G$23)</f>
        <v>2</v>
      </c>
      <c r="H24" s="61">
        <f>COUNTIFS($A$2:$A$153,$F$23,$C$2:$C$153,$F24,$D$2:$D$153,H$23)</f>
        <v>0</v>
      </c>
      <c r="I24" s="62">
        <f>COUNTIFS($A$2:$A$109,$F$23,$C$2:$C$109,$F24,$D$2:$D$109,I$23) + MAX(D114-C114,0)</f>
        <v>0</v>
      </c>
      <c r="J24" s="19">
        <f>SUM(G24:I24)</f>
        <v>2</v>
      </c>
      <c r="K24" s="19"/>
      <c r="L24" s="63" t="s">
        <v>224</v>
      </c>
      <c r="M24" s="60">
        <f>(G24+H25+I26)/COUNTIF($A$2:$A$163,F23)</f>
        <v>1</v>
      </c>
      <c r="N24" s="62" t="s">
        <v>225</v>
      </c>
    </row>
    <row r="25" spans="1:1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'GPT-5 Generation'!C25</f>
        <v>1</v>
      </c>
      <c r="D25" s="5">
        <f>'Claude Sonnet 4.5 Gen'!C25</f>
        <v>1</v>
      </c>
      <c r="E25" s="52"/>
      <c r="F25" s="59">
        <v>0.5</v>
      </c>
      <c r="G25" s="64">
        <f>COUNTIFS($A$2:$A$153,$F$23,$C$2:$C$153,$F25,$D$2:$D$153,G$23)</f>
        <v>0</v>
      </c>
      <c r="H25" s="19">
        <f>COUNTIFS($A$2:$A$153,$F$23,$C$2:$C$153,$F25,$D$2:$D$153,H$23)</f>
        <v>0</v>
      </c>
      <c r="I25" s="65">
        <f>COUNTIFS($A$2:$A$153,$F$23,$C$2:$C$153,$F25,$D$2:$D$153,I$23)</f>
        <v>0</v>
      </c>
      <c r="J25" s="19">
        <f>SUM(G25:I25)</f>
        <v>0</v>
      </c>
      <c r="K25" s="19"/>
      <c r="L25" s="63" t="s">
        <v>226</v>
      </c>
      <c r="M25" s="64">
        <f t="array" ref="M25">SUMPRODUCT(J24:J26/COUNTIF($A$2:$A$163,F23), TRANSPOSE(G27:I27)/COUNTIF($A$2:$A$163,F23))</f>
        <v>0.55555555555555558</v>
      </c>
      <c r="N25" s="65" t="s">
        <v>227</v>
      </c>
    </row>
    <row r="26" spans="1:1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'GPT-5 Generation'!C26</f>
        <v>1</v>
      </c>
      <c r="D26" s="5">
        <f>'Claude Sonnet 4.5 Gen'!C26</f>
        <v>1</v>
      </c>
      <c r="E26" s="52"/>
      <c r="F26" s="59">
        <v>1</v>
      </c>
      <c r="G26" s="66">
        <f>COUNTIFS($A$2:$A$109,$F$23,$C$2:$C$109,$F26,$D$2:$D$109,G$23) + MAX(C114-D114,0)</f>
        <v>0</v>
      </c>
      <c r="H26" s="67">
        <f>COUNTIFS($A$2:$A$153,$F$23,$C$2:$C$153,$F26,$D$2:$D$153,H$23)</f>
        <v>0</v>
      </c>
      <c r="I26" s="68">
        <f>COUNTIFS($A$2:$A$109,$F$23,$C$2:$C$109,$F26,$D$2:$D$109,I$23) + MIN(C114,D114)</f>
        <v>4</v>
      </c>
      <c r="J26" s="19">
        <f>SUM(G26:I26)</f>
        <v>4</v>
      </c>
      <c r="K26" s="19"/>
      <c r="L26" s="63" t="s">
        <v>215</v>
      </c>
      <c r="M26" s="66">
        <f>(M24-M25)/(1-M25)</f>
        <v>1</v>
      </c>
      <c r="N26" s="68" t="s">
        <v>228</v>
      </c>
    </row>
    <row r="27" spans="1:14" ht="15.75" customHeight="1" x14ac:dyDescent="0.15">
      <c r="A27" s="5" t="str">
        <f>Wumple!A27</f>
        <v>State</v>
      </c>
      <c r="B27" s="5" t="str">
        <f>Wumple!B27</f>
        <v>Idle</v>
      </c>
      <c r="C27" s="5">
        <f>'GPT-5 Generation'!C27</f>
        <v>1</v>
      </c>
      <c r="D27" s="5">
        <f>'Claude Sonnet 4.5 Gen'!C27</f>
        <v>1</v>
      </c>
      <c r="E27" s="52"/>
      <c r="F27" s="69" t="s">
        <v>229</v>
      </c>
      <c r="G27" s="19">
        <f>SUM(G24:G26)</f>
        <v>2</v>
      </c>
      <c r="H27" s="19">
        <f>SUM(H24:H26)</f>
        <v>0</v>
      </c>
      <c r="I27" s="19">
        <f>SUM(I24:I26)</f>
        <v>4</v>
      </c>
      <c r="J27" s="19"/>
      <c r="L27" s="19"/>
      <c r="M27" s="70"/>
    </row>
    <row r="28" spans="1:1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'GPT-5 Generation'!C28</f>
        <v>1</v>
      </c>
      <c r="D28" s="5">
        <f>'Claude Sonnet 4.5 Gen'!C28</f>
        <v>0</v>
      </c>
      <c r="E28" s="52"/>
    </row>
    <row r="29" spans="1:1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'GPT-5 Generation'!C29</f>
        <v>0.5</v>
      </c>
      <c r="D29" s="5">
        <f>'Claude Sonnet 4.5 Gen'!C29</f>
        <v>1</v>
      </c>
      <c r="E29" s="52"/>
      <c r="F29" s="104" t="s">
        <v>236</v>
      </c>
      <c r="G29" s="100"/>
      <c r="H29" s="100"/>
      <c r="I29" s="100"/>
      <c r="L29" s="102" t="s">
        <v>237</v>
      </c>
      <c r="M29" s="103"/>
      <c r="N29" s="103"/>
    </row>
    <row r="30" spans="1:1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'GPT-5 Generation'!C30</f>
        <v>0.5</v>
      </c>
      <c r="D30" s="5">
        <f>'Claude Sonnet 4.5 Gen'!C30</f>
        <v>0</v>
      </c>
      <c r="E30" s="52"/>
      <c r="F30" s="19" t="s">
        <v>22</v>
      </c>
      <c r="G30" s="71" t="s">
        <v>217</v>
      </c>
      <c r="H30" s="71" t="s">
        <v>218</v>
      </c>
      <c r="I30" s="71" t="s">
        <v>219</v>
      </c>
      <c r="J30" s="72" t="s">
        <v>220</v>
      </c>
      <c r="K30" s="19"/>
      <c r="L30" s="58" t="s">
        <v>221</v>
      </c>
      <c r="M30" s="58" t="s">
        <v>222</v>
      </c>
      <c r="N30" s="58" t="s">
        <v>223</v>
      </c>
    </row>
    <row r="31" spans="1:1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'GPT-5 Generation'!C31</f>
        <v>1</v>
      </c>
      <c r="D31" s="5">
        <f>'Claude Sonnet 4.5 Gen'!C31</f>
        <v>1</v>
      </c>
      <c r="E31" s="52"/>
      <c r="F31" s="59">
        <v>0</v>
      </c>
      <c r="G31" s="60">
        <f>COUNTIFS($A$2:$A$153,$F$30,$C$2:$C$153,$F31,$D$2:$D$153,G$30)</f>
        <v>3</v>
      </c>
      <c r="H31" s="61">
        <f>COUNTIFS($A$2:$A$153,$F$30,$C$2:$C$153,$F31,$D$2:$D$153,H$30)</f>
        <v>0</v>
      </c>
      <c r="I31" s="62">
        <f>COUNTIFS($A$2:$A$109,$F$30,$C$2:$C$109,$F31,$D$2:$D$109,I$30) + MAX(D112-C112,0)</f>
        <v>0</v>
      </c>
      <c r="J31" s="19">
        <f>SUM(G31:I31)</f>
        <v>3</v>
      </c>
      <c r="K31" s="19"/>
      <c r="L31" s="63" t="s">
        <v>224</v>
      </c>
      <c r="M31" s="60">
        <f>(G31+H32+I33)/COUNTIF($A$2:$A$163,F30)</f>
        <v>1</v>
      </c>
      <c r="N31" s="62" t="s">
        <v>225</v>
      </c>
    </row>
    <row r="32" spans="1:1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'GPT-5 Generation'!C32</f>
        <v>1</v>
      </c>
      <c r="D32" s="5">
        <f>'Claude Sonnet 4.5 Gen'!C32</f>
        <v>0</v>
      </c>
      <c r="E32" s="52"/>
      <c r="F32" s="59">
        <v>0.5</v>
      </c>
      <c r="G32" s="64">
        <f>COUNTIFS($A$2:$A$153,$F$30,$C$2:$C$153,$F32,$D$2:$D$153,G$30)</f>
        <v>0</v>
      </c>
      <c r="H32" s="19">
        <f>COUNTIFS($A$2:$A$153,$F$30,$C$2:$C$153,$F32,$D$2:$D$153,H$30)</f>
        <v>0</v>
      </c>
      <c r="I32" s="65">
        <f>COUNTIFS($A$2:$A$153,$F$30,$C$2:$C$153,$F32,$D$2:$D$153,I$30)</f>
        <v>0</v>
      </c>
      <c r="J32" s="19">
        <f>SUM(G32:I32)</f>
        <v>0</v>
      </c>
      <c r="K32" s="19"/>
      <c r="L32" s="63" t="s">
        <v>226</v>
      </c>
      <c r="M32" s="64">
        <f t="array" ref="M32">SUMPRODUCT(J31:J33/COUNTIF($A$2:$A$163,F30), TRANSPOSE(G34:I34)/COUNTIF($A$2:$A$163,F30))</f>
        <v>0.625</v>
      </c>
      <c r="N32" s="65" t="s">
        <v>227</v>
      </c>
    </row>
    <row r="33" spans="1:1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'GPT-5 Generation'!C33</f>
        <v>1</v>
      </c>
      <c r="D33" s="5">
        <f>'Claude Sonnet 4.5 Gen'!C33</f>
        <v>1</v>
      </c>
      <c r="E33" s="52"/>
      <c r="F33" s="59">
        <v>1</v>
      </c>
      <c r="G33" s="66">
        <f>COUNTIFS($A$2:$A$109,$F$30,$C$2:$C$109,$F33,$D$2:$D$109,G$30) + MAX(C112-D112,0)</f>
        <v>0</v>
      </c>
      <c r="H33" s="67">
        <f>COUNTIFS($A$2:$A$153,$F$30,$C$2:$C$153,$F33,$D$2:$D$153,H$30)</f>
        <v>0</v>
      </c>
      <c r="I33" s="68">
        <f>COUNTIFS($A$2:$A$109,$F$30,$C$2:$C$109,$F33,$D$2:$D$109,I$30) + MIN(C112,D112)</f>
        <v>1</v>
      </c>
      <c r="J33" s="19">
        <f>SUM(G33:I33)</f>
        <v>1</v>
      </c>
      <c r="K33" s="19"/>
      <c r="L33" s="63" t="s">
        <v>215</v>
      </c>
      <c r="M33" s="66">
        <f>(M31-M32)/(1-M32)</f>
        <v>1</v>
      </c>
      <c r="N33" s="68" t="s">
        <v>228</v>
      </c>
    </row>
    <row r="34" spans="1:1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'GPT-5 Generation'!C34</f>
        <v>1</v>
      </c>
      <c r="D34" s="5">
        <f>'Claude Sonnet 4.5 Gen'!C34</f>
        <v>0</v>
      </c>
      <c r="E34" s="52"/>
      <c r="F34" s="69" t="s">
        <v>229</v>
      </c>
      <c r="G34" s="19">
        <f>SUM(G31:G33)</f>
        <v>3</v>
      </c>
      <c r="H34" s="19">
        <f>SUM(H31:H33)</f>
        <v>0</v>
      </c>
      <c r="I34" s="19">
        <f>SUM(I31:I33)</f>
        <v>1</v>
      </c>
      <c r="J34" s="19"/>
      <c r="L34" s="19"/>
      <c r="M34" s="70"/>
    </row>
    <row r="35" spans="1:1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'GPT-5 Generation'!C35</f>
        <v>1</v>
      </c>
      <c r="D35" s="5">
        <f>'Claude Sonnet 4.5 Gen'!C35</f>
        <v>1</v>
      </c>
      <c r="E35" s="52"/>
    </row>
    <row r="36" spans="1:14" ht="15.75" customHeight="1" x14ac:dyDescent="0.15">
      <c r="A36" s="5" t="str">
        <f>Wumple!A36</f>
        <v>State</v>
      </c>
      <c r="B36" s="5" t="str">
        <f>Wumple!B36</f>
        <v>Seconds</v>
      </c>
      <c r="C36" s="5">
        <f>'GPT-5 Generation'!C36</f>
        <v>1</v>
      </c>
      <c r="D36" s="5">
        <f>'Claude Sonnet 4.5 Gen'!C36</f>
        <v>1</v>
      </c>
      <c r="E36" s="52"/>
      <c r="F36" s="104" t="s">
        <v>238</v>
      </c>
      <c r="G36" s="100"/>
      <c r="H36" s="100"/>
      <c r="I36" s="100"/>
      <c r="L36" s="102" t="s">
        <v>239</v>
      </c>
      <c r="M36" s="103"/>
      <c r="N36" s="103"/>
    </row>
    <row r="37" spans="1:1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'GPT-5 Generation'!C37</f>
        <v>1</v>
      </c>
      <c r="D37" s="5">
        <f>'Claude Sonnet 4.5 Gen'!C37</f>
        <v>1</v>
      </c>
      <c r="E37" s="52"/>
      <c r="F37" s="19" t="s">
        <v>6</v>
      </c>
      <c r="G37" s="71" t="s">
        <v>217</v>
      </c>
      <c r="H37" s="71" t="s">
        <v>218</v>
      </c>
      <c r="I37" s="71" t="s">
        <v>219</v>
      </c>
      <c r="J37" s="72" t="s">
        <v>220</v>
      </c>
      <c r="K37" s="19"/>
      <c r="L37" s="58" t="s">
        <v>221</v>
      </c>
      <c r="M37" s="58" t="s">
        <v>222</v>
      </c>
      <c r="N37" s="58" t="s">
        <v>223</v>
      </c>
    </row>
    <row r="38" spans="1:14" ht="15.75" customHeight="1" x14ac:dyDescent="0.15">
      <c r="A38" s="5" t="str">
        <f>Wumple!A38</f>
        <v>Action</v>
      </c>
      <c r="B38" s="5" t="str">
        <f>Wumple!B38</f>
        <v>time+=1sec</v>
      </c>
      <c r="C38" s="5">
        <f>'GPT-5 Generation'!C38</f>
        <v>1</v>
      </c>
      <c r="D38" s="5">
        <f>'Claude Sonnet 4.5 Gen'!C38</f>
        <v>0.5</v>
      </c>
      <c r="E38" s="52"/>
      <c r="F38" s="59">
        <v>0</v>
      </c>
      <c r="G38" s="60">
        <f>COUNTIFS($A$2:$A$153,F37,$C$2:$C$153,$F38,$D$2:$D$153,G37)</f>
        <v>4</v>
      </c>
      <c r="H38" s="61">
        <f>COUNTIFS($A$2:$A$153,F37,$C$2:$C$153,$F38,$D$2:$D$153,H37)</f>
        <v>1</v>
      </c>
      <c r="I38" s="62">
        <f>COUNTIFS($A$2:$A$109,F37,$C$2:$C$109,$F38,$D$2:$D$109,I37)+MAX(D113-C113,0)</f>
        <v>0</v>
      </c>
      <c r="J38" s="19">
        <f>SUM(G38:I38)</f>
        <v>5</v>
      </c>
      <c r="K38" s="19"/>
      <c r="L38" s="63" t="s">
        <v>224</v>
      </c>
      <c r="M38" s="60">
        <f>(G38+H39+I40)/COUNTIF($A$2:$A$163,F37)</f>
        <v>0.10810810810810811</v>
      </c>
      <c r="N38" s="62" t="s">
        <v>225</v>
      </c>
    </row>
    <row r="39" spans="1:1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'GPT-5 Generation'!C39</f>
        <v>1</v>
      </c>
      <c r="D39" s="5">
        <f>'Claude Sonnet 4.5 Gen'!C39</f>
        <v>1</v>
      </c>
      <c r="E39" s="52"/>
      <c r="F39" s="59">
        <v>0.5</v>
      </c>
      <c r="G39" s="64">
        <f>COUNTIFS($A$2:$A$153,F37,$C$2:$C$153,$F39,$D$2:$D$153,G37)</f>
        <v>1</v>
      </c>
      <c r="H39" s="19">
        <f>COUNTIFS($A$2:$A$153,F37,$C$2:$C$153,$F39,$D$2:$D$153,H37)</f>
        <v>0</v>
      </c>
      <c r="I39" s="65">
        <f>COUNTIFS($A$2:$A$153,F37,$C$2:$C$153,$F39,$D$2:$D$153,I37)</f>
        <v>0</v>
      </c>
      <c r="J39" s="19">
        <f>SUM(G39:I39)</f>
        <v>1</v>
      </c>
      <c r="K39" s="19"/>
      <c r="L39" s="63" t="s">
        <v>226</v>
      </c>
      <c r="M39" s="64">
        <f t="array" ref="M39">SUMPRODUCT(J38:J40/COUNTIF($A$2:$A$163,F37), TRANSPOSE(G41:I41)/COUNTIF($A$2:$A$163,F37))</f>
        <v>9.7151205259313381E-2</v>
      </c>
      <c r="N39" s="65" t="s">
        <v>227</v>
      </c>
    </row>
    <row r="40" spans="1:1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'GPT-5 Generation'!C40</f>
        <v>1</v>
      </c>
      <c r="D40" s="5">
        <f>'Claude Sonnet 4.5 Gen'!C40</f>
        <v>0</v>
      </c>
      <c r="E40" s="52"/>
      <c r="F40" s="59">
        <v>1</v>
      </c>
      <c r="G40" s="66">
        <f>COUNTIFS($A$2:$A$109,F37,$C$2:$C$109,$F40,$D$2:$D$109,G37)+MAX(C113-D113,0)</f>
        <v>19</v>
      </c>
      <c r="H40" s="67">
        <f>COUNTIFS($A$2:$A$153,F37,$C$2:$C$153,$F40,$D$2:$D$153,H37)</f>
        <v>12</v>
      </c>
      <c r="I40" s="68">
        <f>COUNTIFS($A$2:$A$109,F37,$C$2:$C$109,$F40,$D$2:$D$109,I37) + MIN(C113,D113)</f>
        <v>0</v>
      </c>
      <c r="J40" s="19">
        <f>SUM(G40:I40)</f>
        <v>31</v>
      </c>
      <c r="K40" s="19"/>
      <c r="L40" s="63" t="s">
        <v>215</v>
      </c>
      <c r="M40" s="66">
        <f>(M38-M39)/(1-M39)</f>
        <v>1.213592233009708E-2</v>
      </c>
      <c r="N40" s="68" t="s">
        <v>228</v>
      </c>
    </row>
    <row r="41" spans="1:14" ht="15.75" customHeight="1" x14ac:dyDescent="0.15">
      <c r="A41" s="5" t="str">
        <f>Wumple!A41</f>
        <v>State</v>
      </c>
      <c r="B41" s="5" t="str">
        <f>Wumple!B41</f>
        <v>Minutes</v>
      </c>
      <c r="C41" s="5">
        <f>'GPT-5 Generation'!C41</f>
        <v>1</v>
      </c>
      <c r="D41" s="5">
        <f>'Claude Sonnet 4.5 Gen'!C41</f>
        <v>1</v>
      </c>
      <c r="E41" s="52"/>
      <c r="F41" s="69" t="s">
        <v>229</v>
      </c>
      <c r="G41" s="19">
        <f>SUM(G38:G40)</f>
        <v>24</v>
      </c>
      <c r="H41" s="19">
        <f>SUM(H38:H40)</f>
        <v>13</v>
      </c>
      <c r="I41" s="19">
        <f>SUM(I38:I40)</f>
        <v>0</v>
      </c>
      <c r="J41" s="19"/>
      <c r="L41" s="19"/>
      <c r="M41" s="70"/>
    </row>
    <row r="42" spans="1:1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'GPT-5 Generation'!C42</f>
        <v>1</v>
      </c>
      <c r="D42" s="5">
        <f>'Claude Sonnet 4.5 Gen'!C42</f>
        <v>1</v>
      </c>
      <c r="E42" s="52"/>
    </row>
    <row r="43" spans="1:14" ht="15.75" customHeight="1" x14ac:dyDescent="0.15">
      <c r="A43" s="5" t="str">
        <f>Wumple!A43</f>
        <v>Action</v>
      </c>
      <c r="B43" s="5" t="str">
        <f>Wumple!B43</f>
        <v>time+=1min</v>
      </c>
      <c r="C43" s="5">
        <f>'GPT-5 Generation'!C43</f>
        <v>1</v>
      </c>
      <c r="D43" s="5">
        <f>'Claude Sonnet 4.5 Gen'!C43</f>
        <v>0.5</v>
      </c>
      <c r="E43" s="52"/>
      <c r="F43" s="104" t="s">
        <v>240</v>
      </c>
      <c r="G43" s="100"/>
      <c r="H43" s="100"/>
      <c r="I43" s="100"/>
      <c r="L43" s="102" t="s">
        <v>241</v>
      </c>
      <c r="M43" s="103"/>
      <c r="N43" s="103"/>
    </row>
    <row r="44" spans="1:1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'GPT-5 Generation'!C44</f>
        <v>1</v>
      </c>
      <c r="D44" s="5">
        <f>'Claude Sonnet 4.5 Gen'!C44</f>
        <v>1</v>
      </c>
      <c r="E44" s="52"/>
      <c r="F44" s="19" t="s">
        <v>82</v>
      </c>
      <c r="G44" s="71" t="s">
        <v>217</v>
      </c>
      <c r="H44" s="71" t="s">
        <v>218</v>
      </c>
      <c r="I44" s="71" t="s">
        <v>219</v>
      </c>
      <c r="J44" s="72" t="s">
        <v>220</v>
      </c>
      <c r="K44" s="19"/>
      <c r="L44" s="58" t="s">
        <v>221</v>
      </c>
      <c r="M44" s="58" t="s">
        <v>222</v>
      </c>
      <c r="N44" s="58" t="s">
        <v>223</v>
      </c>
    </row>
    <row r="45" spans="1:14" ht="15.75" customHeight="1" x14ac:dyDescent="0.15">
      <c r="A45" s="5" t="str">
        <f>Wumple!A45</f>
        <v>Action</v>
      </c>
      <c r="B45" s="5" t="str">
        <f>Wumple!B45</f>
        <v>flashHours()</v>
      </c>
      <c r="C45" s="5">
        <f>'GPT-5 Generation'!C45</f>
        <v>1</v>
      </c>
      <c r="D45" s="5">
        <f>'Claude Sonnet 4.5 Gen'!C45</f>
        <v>0</v>
      </c>
      <c r="E45" s="52"/>
      <c r="F45" s="59">
        <v>0</v>
      </c>
      <c r="G45" s="60">
        <f>COUNTIFS($A$2:$A$153,$F$44,$C$2:$C$153,$F45,$D$2:$D$153,G$44)</f>
        <v>1</v>
      </c>
      <c r="H45" s="61">
        <f>COUNTIFS($A$2:$A$153,$F$44,$C$2:$C$153,$F45,$D$2:$D$153,H$44)</f>
        <v>0</v>
      </c>
      <c r="I45" s="62">
        <f>COUNTIFS($A$2:$A$109,$F$44,$C$2:$C$109,$F45,$D$2:$D$109,I$44) + MAX(D116-C116,0)</f>
        <v>0</v>
      </c>
      <c r="J45" s="19">
        <f>SUM(G45:I45)</f>
        <v>1</v>
      </c>
      <c r="K45" s="19"/>
      <c r="L45" s="63" t="s">
        <v>224</v>
      </c>
      <c r="M45" s="60">
        <f>(G45+H46+I47)/COUNTIF($A$2:$A$163,F44)</f>
        <v>1</v>
      </c>
      <c r="N45" s="62" t="s">
        <v>225</v>
      </c>
    </row>
    <row r="46" spans="1:14" ht="15.75" customHeight="1" x14ac:dyDescent="0.15">
      <c r="A46" s="5" t="str">
        <f>Wumple!A46</f>
        <v>State</v>
      </c>
      <c r="B46" s="5" t="str">
        <f>Wumple!B46</f>
        <v>Hours</v>
      </c>
      <c r="C46" s="5">
        <f>'GPT-5 Generation'!C46</f>
        <v>1</v>
      </c>
      <c r="D46" s="5">
        <f>'Claude Sonnet 4.5 Gen'!C46</f>
        <v>1</v>
      </c>
      <c r="E46" s="52"/>
      <c r="F46" s="59">
        <v>0.5</v>
      </c>
      <c r="G46" s="64">
        <f>COUNTIFS($A$2:$A$153,$F$44,$C$2:$C$153,$F46,$D$2:$D$153,G$44)</f>
        <v>0</v>
      </c>
      <c r="H46" s="19">
        <f>COUNTIFS($A$2:$A$153,$F$44,$C$2:$C$153,$F46,$D$2:$D$153,H$44)</f>
        <v>0</v>
      </c>
      <c r="I46" s="65">
        <f>COUNTIFS($A$2:$A$153,$F$44,$C$2:$C$153,$F46,$D$2:$D$153,I$44)</f>
        <v>0</v>
      </c>
      <c r="J46" s="19">
        <f>SUM(G46:I46)</f>
        <v>0</v>
      </c>
      <c r="K46" s="19"/>
      <c r="L46" s="63" t="s">
        <v>226</v>
      </c>
      <c r="M46" s="64">
        <f t="array" ref="M46">SUMPRODUCT(J45:J47/COUNTIF($A$2:$A$163,F44), TRANSPOSE(G48:I48)/COUNTIF($A$2:$A$163,F44))</f>
        <v>0.5</v>
      </c>
      <c r="N46" s="65" t="s">
        <v>227</v>
      </c>
    </row>
    <row r="47" spans="1:1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'GPT-5 Generation'!C47</f>
        <v>1</v>
      </c>
      <c r="D47" s="5">
        <f>'Claude Sonnet 4.5 Gen'!C47</f>
        <v>1</v>
      </c>
      <c r="E47" s="52"/>
      <c r="F47" s="59">
        <v>1</v>
      </c>
      <c r="G47" s="66">
        <f>COUNTIFS($A$2:$A$109,$F$44,$C$2:$C$109,$F47,$D$2:$D$109,G$44) + MAX(C116-D116,0)</f>
        <v>0</v>
      </c>
      <c r="H47" s="67">
        <f>COUNTIFS($A$2:$A$153,$F$44,$C$2:$C$153,$F47,$D$2:$D$153,H$44)</f>
        <v>0</v>
      </c>
      <c r="I47" s="68">
        <f>COUNTIFS($A$2:$A$109,$F$44,$C$2:$C$109,$F47,$D$2:$D$109,I$44) + MIN(C116,D116)</f>
        <v>1</v>
      </c>
      <c r="J47" s="19">
        <f>SUM(G47:I47)</f>
        <v>1</v>
      </c>
      <c r="K47" s="19"/>
      <c r="L47" s="63" t="s">
        <v>215</v>
      </c>
      <c r="M47" s="66">
        <f>(M45-M46)/(1-M46)</f>
        <v>1</v>
      </c>
      <c r="N47" s="68" t="s">
        <v>228</v>
      </c>
    </row>
    <row r="48" spans="1:14" ht="15.75" customHeight="1" x14ac:dyDescent="0.15">
      <c r="A48" s="5" t="str">
        <f>Wumple!A48</f>
        <v>Action</v>
      </c>
      <c r="B48" s="5" t="str">
        <f>Wumple!B48</f>
        <v>time+=1hr</v>
      </c>
      <c r="C48" s="5">
        <f>'GPT-5 Generation'!C48</f>
        <v>1</v>
      </c>
      <c r="D48" s="5">
        <f>'Claude Sonnet 4.5 Gen'!C48</f>
        <v>0.5</v>
      </c>
      <c r="E48" s="52"/>
      <c r="F48" s="69" t="s">
        <v>229</v>
      </c>
      <c r="G48" s="19">
        <f>SUM(G45:G47)</f>
        <v>1</v>
      </c>
      <c r="H48" s="19">
        <f>SUM(H45:H47)</f>
        <v>0</v>
      </c>
      <c r="I48" s="19">
        <f>SUM(I45:I47)</f>
        <v>1</v>
      </c>
      <c r="J48" s="19"/>
      <c r="L48" s="19"/>
      <c r="M48" s="70"/>
    </row>
    <row r="49" spans="1:1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'GPT-5 Generation'!C49</f>
        <v>1</v>
      </c>
      <c r="D49" s="5">
        <f>'Claude Sonnet 4.5 Gen'!C49</f>
        <v>1</v>
      </c>
      <c r="E49" s="52"/>
    </row>
    <row r="50" spans="1:1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'GPT-5 Generation'!C50</f>
        <v>1</v>
      </c>
      <c r="D50" s="5">
        <f>'Claude Sonnet 4.5 Gen'!C50</f>
        <v>0</v>
      </c>
      <c r="E50" s="52"/>
      <c r="F50" s="104" t="s">
        <v>242</v>
      </c>
      <c r="G50" s="100"/>
      <c r="H50" s="100"/>
      <c r="I50" s="100"/>
      <c r="L50" s="102" t="s">
        <v>243</v>
      </c>
      <c r="M50" s="103"/>
      <c r="N50" s="103"/>
    </row>
    <row r="51" spans="1:1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'GPT-5 Generation'!C51</f>
        <v>1</v>
      </c>
      <c r="D51" s="5">
        <f>'Claude Sonnet 4.5 Gen'!C51</f>
        <v>1</v>
      </c>
      <c r="E51" s="52"/>
      <c r="F51" s="19" t="s">
        <v>10</v>
      </c>
      <c r="G51" s="71" t="s">
        <v>217</v>
      </c>
      <c r="H51" s="71" t="s">
        <v>218</v>
      </c>
      <c r="I51" s="71" t="s">
        <v>219</v>
      </c>
      <c r="J51" s="72" t="s">
        <v>220</v>
      </c>
      <c r="K51" s="19"/>
      <c r="L51" s="58" t="s">
        <v>221</v>
      </c>
      <c r="M51" s="58" t="s">
        <v>222</v>
      </c>
      <c r="N51" s="58" t="s">
        <v>223</v>
      </c>
    </row>
    <row r="52" spans="1:1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'GPT-5 Generation'!C52</f>
        <v>1</v>
      </c>
      <c r="D52" s="5">
        <f>'Claude Sonnet 4.5 Gen'!C52</f>
        <v>1</v>
      </c>
      <c r="E52" s="52"/>
      <c r="F52" s="59">
        <v>0</v>
      </c>
      <c r="G52" s="60">
        <f>COUNTIFS($A$2:$A$153,$F$51,$C$2:$C$153,$F52,$D$2:$D$153,G$51)</f>
        <v>0</v>
      </c>
      <c r="H52" s="61">
        <f>COUNTIFS($A$2:$A$153,$F$51,$C$2:$C$153,$F52,$D$2:$D$153,H$51)</f>
        <v>0</v>
      </c>
      <c r="I52" s="62">
        <f>COUNTIFS($A$2:$A$109,$F$51,$C$2:$C$109,$F52,$D$2:$D$109,I$51)+MAX(D115-C115,0)</f>
        <v>0</v>
      </c>
      <c r="J52" s="19">
        <f>SUM(G52:I52)</f>
        <v>0</v>
      </c>
      <c r="K52" s="19"/>
      <c r="L52" s="63" t="s">
        <v>224</v>
      </c>
      <c r="M52" s="60">
        <f>(G52+H53+I54)/COUNTIF($A$2:$A$163,F51)</f>
        <v>0.33333333333333331</v>
      </c>
      <c r="N52" s="62" t="s">
        <v>225</v>
      </c>
    </row>
    <row r="53" spans="1:1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'GPT-5 Generation'!C53</f>
        <v>1</v>
      </c>
      <c r="D53" s="5">
        <f>'Claude Sonnet 4.5 Gen'!C53</f>
        <v>1</v>
      </c>
      <c r="E53" s="52"/>
      <c r="F53" s="59">
        <v>0.5</v>
      </c>
      <c r="G53" s="64">
        <f>COUNTIFS($A$2:$A$153,$F$51,$C$2:$C$153,$F53,$D$2:$D$153,G$51)</f>
        <v>0</v>
      </c>
      <c r="H53" s="19">
        <f>COUNTIFS($A$2:$A$153,$F$51,$C$2:$C$153,$F53,$D$2:$D$153,H$51)</f>
        <v>0</v>
      </c>
      <c r="I53" s="65">
        <f>COUNTIFS($A$2:$A$153,$F$51,$C$2:$C$153,$F53,$D$2:$D$153,I$51)</f>
        <v>1</v>
      </c>
      <c r="J53" s="19">
        <f>SUM(G53:I53)</f>
        <v>1</v>
      </c>
      <c r="K53" s="19"/>
      <c r="L53" s="63" t="s">
        <v>226</v>
      </c>
      <c r="M53" s="64">
        <f t="array" ref="M53">SUMPRODUCT(J52:J54/COUNTIF($A$2:$A$163,F51), TRANSPOSE(G55:I55)/COUNTIF($A$2:$A$163,F51))</f>
        <v>0.66666666666666663</v>
      </c>
      <c r="N53" s="65" t="s">
        <v>227</v>
      </c>
    </row>
    <row r="54" spans="1:14" ht="15.75" customHeight="1" x14ac:dyDescent="0.15">
      <c r="A54" s="5" t="str">
        <f>Wumple!A54</f>
        <v>State</v>
      </c>
      <c r="B54" s="5" t="str">
        <f>Wumple!B54</f>
        <v>Idle</v>
      </c>
      <c r="C54" s="5">
        <f>'GPT-5 Generation'!C54</f>
        <v>1</v>
      </c>
      <c r="D54" s="5">
        <f>'Claude Sonnet 4.5 Gen'!C54</f>
        <v>1</v>
      </c>
      <c r="E54" s="52"/>
      <c r="F54" s="59">
        <v>1</v>
      </c>
      <c r="G54" s="66">
        <f>COUNTIFS($A$2:$A$109,$F$51,$C$2:$C$109,$F54,$D$2:$D$109,G$51) + MAX(C115-D115,0)</f>
        <v>2</v>
      </c>
      <c r="H54" s="67">
        <f>COUNTIFS($A$2:$A$153,$F$51,$C$2:$C$153,$F54,$D$2:$D$153,H$51)</f>
        <v>0</v>
      </c>
      <c r="I54" s="68">
        <f>COUNTIFS($A$2:$A$109,$F$51,$C$2:$C$109,$F54,$D$2:$D$109,I$51)+MIN(C115,D115)</f>
        <v>1</v>
      </c>
      <c r="J54" s="19">
        <f>SUM(G54:I54)</f>
        <v>3</v>
      </c>
      <c r="K54" s="19"/>
      <c r="L54" s="63" t="s">
        <v>215</v>
      </c>
      <c r="M54" s="66">
        <f>(M52-M53)/(1-M53)</f>
        <v>-0.99999999999999989</v>
      </c>
      <c r="N54" s="68" t="s">
        <v>228</v>
      </c>
    </row>
    <row r="55" spans="1:1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'GPT-5 Generation'!C55</f>
        <v>1</v>
      </c>
      <c r="D55" s="5">
        <f>'Claude Sonnet 4.5 Gen'!C55</f>
        <v>0</v>
      </c>
      <c r="E55" s="52"/>
      <c r="F55" s="69" t="s">
        <v>229</v>
      </c>
      <c r="G55" s="19">
        <f>SUM(G52:G54)</f>
        <v>2</v>
      </c>
      <c r="H55" s="19">
        <f>SUM(H52:H54)</f>
        <v>0</v>
      </c>
      <c r="I55" s="19">
        <f>SUM(I52:I54)</f>
        <v>2</v>
      </c>
      <c r="J55" s="19"/>
      <c r="L55" s="19"/>
      <c r="M55" s="70"/>
    </row>
    <row r="56" spans="1:1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'GPT-5 Generation'!C56</f>
        <v>1</v>
      </c>
      <c r="D56" s="5">
        <f>'Claude Sonnet 4.5 Gen'!C56</f>
        <v>1</v>
      </c>
      <c r="E56" s="52"/>
    </row>
    <row r="57" spans="1:1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'GPT-5 Generation'!C57</f>
        <v>1</v>
      </c>
      <c r="D57" s="5">
        <f>'Claude Sonnet 4.5 Gen'!C57</f>
        <v>0</v>
      </c>
      <c r="E57" s="52"/>
    </row>
    <row r="58" spans="1:1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'GPT-5 Generation'!C58</f>
        <v>1</v>
      </c>
      <c r="D58" s="5">
        <f>'Claude Sonnet 4.5 Gen'!C58</f>
        <v>0</v>
      </c>
      <c r="E58" s="52"/>
    </row>
    <row r="59" spans="1:14" ht="15.75" customHeight="1" x14ac:dyDescent="0.15">
      <c r="A59" s="5" t="str">
        <f>Wumple!A59</f>
        <v>State</v>
      </c>
      <c r="B59" s="5" t="str">
        <f>Wumple!B59</f>
        <v>Minutes</v>
      </c>
      <c r="C59" s="5">
        <f>'GPT-5 Generation'!C59</f>
        <v>1</v>
      </c>
      <c r="D59" s="5">
        <f>'Claude Sonnet 4.5 Gen'!C59</f>
        <v>1</v>
      </c>
      <c r="E59" s="52"/>
    </row>
    <row r="60" spans="1:1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'GPT-5 Generation'!C60</f>
        <v>1</v>
      </c>
      <c r="D60" s="5">
        <f>'Claude Sonnet 4.5 Gen'!C60</f>
        <v>1</v>
      </c>
      <c r="E60" s="52"/>
    </row>
    <row r="61" spans="1:1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'GPT-5 Generation'!C61</f>
        <v>1</v>
      </c>
      <c r="D61" s="5">
        <f>'Claude Sonnet 4.5 Gen'!C61</f>
        <v>0.5</v>
      </c>
      <c r="E61" s="52"/>
    </row>
    <row r="62" spans="1:1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'GPT-5 Generation'!C62</f>
        <v>1</v>
      </c>
      <c r="D62" s="5">
        <f>'Claude Sonnet 4.5 Gen'!C62</f>
        <v>1</v>
      </c>
      <c r="E62" s="52"/>
    </row>
    <row r="63" spans="1:14" ht="15.75" customHeight="1" x14ac:dyDescent="0.15">
      <c r="A63" s="5" t="str">
        <f>Wumple!A63</f>
        <v>Action</v>
      </c>
      <c r="B63" s="5" t="str">
        <f>Wumple!B63</f>
        <v>flashHours()</v>
      </c>
      <c r="C63" s="5">
        <f>'GPT-5 Generation'!C63</f>
        <v>1</v>
      </c>
      <c r="D63" s="5">
        <f>'Claude Sonnet 4.5 Gen'!C63</f>
        <v>0</v>
      </c>
      <c r="E63" s="52"/>
    </row>
    <row r="64" spans="1:14" ht="15.75" customHeight="1" x14ac:dyDescent="0.15">
      <c r="A64" s="5" t="str">
        <f>Wumple!A64</f>
        <v>State</v>
      </c>
      <c r="B64" s="5" t="str">
        <f>Wumple!B64</f>
        <v>Hours</v>
      </c>
      <c r="C64" s="5">
        <f>'GPT-5 Generation'!C64</f>
        <v>1</v>
      </c>
      <c r="D64" s="5">
        <f>'Claude Sonnet 4.5 Gen'!C64</f>
        <v>1</v>
      </c>
      <c r="E64" s="52"/>
    </row>
    <row r="65" spans="1:5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'GPT-5 Generation'!C65</f>
        <v>1</v>
      </c>
      <c r="D65" s="5">
        <f>'Claude Sonnet 4.5 Gen'!C65</f>
        <v>1</v>
      </c>
      <c r="E65" s="52"/>
    </row>
    <row r="66" spans="1:5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'GPT-5 Generation'!C66</f>
        <v>1</v>
      </c>
      <c r="D66" s="5">
        <f>'Claude Sonnet 4.5 Gen'!C66</f>
        <v>0.5</v>
      </c>
      <c r="E66" s="52"/>
    </row>
    <row r="67" spans="1:5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'GPT-5 Generation'!C67</f>
        <v>1</v>
      </c>
      <c r="D67" s="5">
        <f>'Claude Sonnet 4.5 Gen'!C67</f>
        <v>1</v>
      </c>
      <c r="E67" s="52"/>
    </row>
    <row r="68" spans="1:5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'GPT-5 Generation'!C68</f>
        <v>1</v>
      </c>
      <c r="D68" s="5">
        <f>'Claude Sonnet 4.5 Gen'!C68</f>
        <v>0</v>
      </c>
      <c r="E68" s="52"/>
    </row>
    <row r="69" spans="1:5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'GPT-5 Generation'!C69</f>
        <v>1</v>
      </c>
      <c r="D69" s="5">
        <f>'Claude Sonnet 4.5 Gen'!C69</f>
        <v>1</v>
      </c>
      <c r="E69" s="52"/>
    </row>
    <row r="70" spans="1:5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'GPT-5 Generation'!C70</f>
        <v>1</v>
      </c>
      <c r="D70" s="5">
        <f>'Claude Sonnet 4.5 Gen'!C70</f>
        <v>1</v>
      </c>
      <c r="E70" s="52"/>
    </row>
    <row r="71" spans="1:5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'GPT-5 Generation'!C71</f>
        <v>1</v>
      </c>
      <c r="D71" s="5">
        <f>'Claude Sonnet 4.5 Gen'!C71</f>
        <v>1</v>
      </c>
      <c r="E71" s="52"/>
    </row>
    <row r="72" spans="1:5" ht="15.75" customHeight="1" x14ac:dyDescent="0.15">
      <c r="A72" s="5" t="str">
        <f>Wumple!A72</f>
        <v>State</v>
      </c>
      <c r="B72" s="5" t="str">
        <f>Wumple!B72</f>
        <v>Idle</v>
      </c>
      <c r="C72" s="5">
        <f>'GPT-5 Generation'!C72</f>
        <v>1</v>
      </c>
      <c r="D72" s="5">
        <f>'Claude Sonnet 4.5 Gen'!C72</f>
        <v>1</v>
      </c>
      <c r="E72" s="52"/>
    </row>
    <row r="73" spans="1:5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'GPT-5 Generation'!C73</f>
        <v>1</v>
      </c>
      <c r="D73" s="5">
        <f>'Claude Sonnet 4.5 Gen'!C73</f>
        <v>0</v>
      </c>
      <c r="E73" s="52"/>
    </row>
    <row r="74" spans="1:5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'GPT-5 Generation'!C74</f>
        <v>1</v>
      </c>
      <c r="D74" s="5">
        <f>'Claude Sonnet 4.5 Gen'!C74</f>
        <v>1</v>
      </c>
      <c r="E74" s="52"/>
    </row>
    <row r="75" spans="1:5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'GPT-5 Generation'!C75</f>
        <v>1</v>
      </c>
      <c r="D75" s="5">
        <f>'Claude Sonnet 4.5 Gen'!C75</f>
        <v>0</v>
      </c>
      <c r="E75" s="52"/>
    </row>
    <row r="76" spans="1:5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'GPT-5 Generation'!C76</f>
        <v>1</v>
      </c>
      <c r="D76" s="5">
        <f>'Claude Sonnet 4.5 Gen'!C76</f>
        <v>1</v>
      </c>
      <c r="E76" s="52"/>
    </row>
    <row r="77" spans="1:5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'GPT-5 Generation'!C77</f>
        <v>1</v>
      </c>
      <c r="D77" s="5">
        <f>'Claude Sonnet 4.5 Gen'!C77</f>
        <v>1</v>
      </c>
      <c r="E77" s="52"/>
    </row>
    <row r="78" spans="1:5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'GPT-5 Generation'!C78</f>
        <v>1</v>
      </c>
      <c r="D78" s="5">
        <f>'Claude Sonnet 4.5 Gen'!C78</f>
        <v>0</v>
      </c>
      <c r="E78" s="52"/>
    </row>
    <row r="79" spans="1:5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'GPT-5 Generation'!C79</f>
        <v>1</v>
      </c>
      <c r="D79" s="5">
        <f>'Claude Sonnet 4.5 Gen'!C79</f>
        <v>1</v>
      </c>
      <c r="E79" s="52"/>
    </row>
    <row r="80" spans="1:5" ht="15.75" customHeight="1" x14ac:dyDescent="0.15">
      <c r="A80" s="5" t="str">
        <f>Wumple!A80</f>
        <v>State</v>
      </c>
      <c r="B80" s="5" t="str">
        <f>Wumple!B80</f>
        <v>Seconds</v>
      </c>
      <c r="C80" s="5">
        <f>'GPT-5 Generation'!C80</f>
        <v>1</v>
      </c>
      <c r="D80" s="5">
        <f>'Claude Sonnet 4.5 Gen'!C80</f>
        <v>1</v>
      </c>
      <c r="E80" s="52"/>
    </row>
    <row r="81" spans="1:5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'GPT-5 Generation'!C81</f>
        <v>1</v>
      </c>
      <c r="D81" s="5">
        <f>'Claude Sonnet 4.5 Gen'!C81</f>
        <v>1</v>
      </c>
      <c r="E81" s="52"/>
    </row>
    <row r="82" spans="1:5" ht="15.75" customHeight="1" x14ac:dyDescent="0.15">
      <c r="A82" s="5" t="str">
        <f>Wumple!A82</f>
        <v>Action</v>
      </c>
      <c r="B82" s="5" t="str">
        <f>Wumple!B82</f>
        <v>cdTime+=1sec</v>
      </c>
      <c r="C82" s="5">
        <f>'GPT-5 Generation'!C82</f>
        <v>1</v>
      </c>
      <c r="D82" s="5">
        <f>'Claude Sonnet 4.5 Gen'!C82</f>
        <v>0.5</v>
      </c>
      <c r="E82" s="52"/>
    </row>
    <row r="83" spans="1:5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'GPT-5 Generation'!C83</f>
        <v>1</v>
      </c>
      <c r="D83" s="5">
        <f>'Claude Sonnet 4.5 Gen'!C83</f>
        <v>1</v>
      </c>
      <c r="E83" s="52"/>
    </row>
    <row r="84" spans="1:5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'GPT-5 Generation'!C84</f>
        <v>1</v>
      </c>
      <c r="D84" s="5">
        <f>'Claude Sonnet 4.5 Gen'!C84</f>
        <v>0</v>
      </c>
      <c r="E84" s="52"/>
    </row>
    <row r="85" spans="1:5" ht="15.75" customHeight="1" x14ac:dyDescent="0.15">
      <c r="A85" s="5" t="str">
        <f>Wumple!A85</f>
        <v>State</v>
      </c>
      <c r="B85" s="5" t="str">
        <f>Wumple!B85</f>
        <v>Minutes</v>
      </c>
      <c r="C85" s="5">
        <f>'GPT-5 Generation'!C85</f>
        <v>1</v>
      </c>
      <c r="D85" s="5">
        <f>'Claude Sonnet 4.5 Gen'!C85</f>
        <v>1</v>
      </c>
      <c r="E85" s="52"/>
    </row>
    <row r="86" spans="1:5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'GPT-5 Generation'!C86</f>
        <v>1</v>
      </c>
      <c r="D86" s="5">
        <f>'Claude Sonnet 4.5 Gen'!C86</f>
        <v>1</v>
      </c>
      <c r="E86" s="52"/>
    </row>
    <row r="87" spans="1:5" ht="15.75" customHeight="1" x14ac:dyDescent="0.15">
      <c r="A87" s="5" t="str">
        <f>Wumple!A87</f>
        <v>Action</v>
      </c>
      <c r="B87" s="5" t="str">
        <f>Wumple!B87</f>
        <v>cdTime+=1min</v>
      </c>
      <c r="C87" s="5">
        <f>'GPT-5 Generation'!C87</f>
        <v>1</v>
      </c>
      <c r="D87" s="5">
        <f>'Claude Sonnet 4.5 Gen'!C87</f>
        <v>0.5</v>
      </c>
      <c r="E87" s="52"/>
    </row>
    <row r="88" spans="1:5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'GPT-5 Generation'!C88</f>
        <v>1</v>
      </c>
      <c r="D88" s="5">
        <f>'Claude Sonnet 4.5 Gen'!C88</f>
        <v>1</v>
      </c>
      <c r="E88" s="52"/>
    </row>
    <row r="89" spans="1:5" ht="15.75" customHeight="1" x14ac:dyDescent="0.15">
      <c r="A89" s="5" t="str">
        <f>Wumple!A89</f>
        <v>Action</v>
      </c>
      <c r="B89" s="5" t="str">
        <f>Wumple!B89</f>
        <v>flashHours()</v>
      </c>
      <c r="C89" s="5">
        <f>'GPT-5 Generation'!C89</f>
        <v>1</v>
      </c>
      <c r="D89" s="5">
        <f>'Claude Sonnet 4.5 Gen'!C89</f>
        <v>0</v>
      </c>
      <c r="E89" s="52"/>
    </row>
    <row r="90" spans="1:5" ht="15.75" customHeight="1" x14ac:dyDescent="0.15">
      <c r="A90" s="5" t="str">
        <f>Wumple!A90</f>
        <v>State</v>
      </c>
      <c r="B90" s="5" t="str">
        <f>Wumple!B90</f>
        <v>Hours</v>
      </c>
      <c r="C90" s="5">
        <f>'GPT-5 Generation'!C90</f>
        <v>1</v>
      </c>
      <c r="D90" s="5">
        <f>'Claude Sonnet 4.5 Gen'!C90</f>
        <v>1</v>
      </c>
      <c r="E90" s="52"/>
    </row>
    <row r="91" spans="1:5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'GPT-5 Generation'!C91</f>
        <v>1</v>
      </c>
      <c r="D91" s="5">
        <f>'Claude Sonnet 4.5 Gen'!C91</f>
        <v>1</v>
      </c>
      <c r="E91" s="52"/>
    </row>
    <row r="92" spans="1:5" ht="15.75" customHeight="1" x14ac:dyDescent="0.15">
      <c r="A92" s="5" t="str">
        <f>Wumple!A92</f>
        <v>Action</v>
      </c>
      <c r="B92" s="5" t="str">
        <f>Wumple!B92</f>
        <v>cdTime+=1hr</v>
      </c>
      <c r="C92" s="5">
        <f>'GPT-5 Generation'!C92</f>
        <v>1</v>
      </c>
      <c r="D92" s="5">
        <f>'Claude Sonnet 4.5 Gen'!C92</f>
        <v>0.5</v>
      </c>
      <c r="E92" s="52"/>
    </row>
    <row r="93" spans="1:5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'GPT-5 Generation'!C93</f>
        <v>1</v>
      </c>
      <c r="D93" s="5">
        <f>'Claude Sonnet 4.5 Gen'!C93</f>
        <v>1</v>
      </c>
      <c r="E93" s="52"/>
    </row>
    <row r="94" spans="1:5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'GPT-5 Generation'!C94</f>
        <v>1</v>
      </c>
      <c r="D94" s="5">
        <f>'Claude Sonnet 4.5 Gen'!C94</f>
        <v>0</v>
      </c>
      <c r="E94" s="52"/>
    </row>
    <row r="95" spans="1:5" ht="15.75" customHeight="1" x14ac:dyDescent="0.15">
      <c r="A95" s="5" t="str">
        <f>Wumple!A95</f>
        <v>State</v>
      </c>
      <c r="B95" s="5" t="str">
        <f>Wumple!B95</f>
        <v>Countdown</v>
      </c>
      <c r="C95" s="5">
        <f>'GPT-5 Generation'!C95</f>
        <v>1</v>
      </c>
      <c r="D95" s="5">
        <f>'Claude Sonnet 4.5 Gen'!C95</f>
        <v>1</v>
      </c>
      <c r="E95" s="52"/>
    </row>
    <row r="96" spans="1:5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'GPT-5 Generation'!C96</f>
        <v>1</v>
      </c>
      <c r="D96" s="5">
        <f>'Claude Sonnet 4.5 Gen'!C96</f>
        <v>0</v>
      </c>
      <c r="E96" s="52"/>
    </row>
    <row r="97" spans="1:5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'GPT-5 Generation'!C97</f>
        <v>1</v>
      </c>
      <c r="D97" s="5">
        <f>'Claude Sonnet 4.5 Gen'!C97</f>
        <v>1</v>
      </c>
      <c r="E97" s="52"/>
    </row>
    <row r="98" spans="1:5" ht="15.75" customHeight="1" x14ac:dyDescent="0.15">
      <c r="A98" s="5" t="str">
        <f>Wumple!A98</f>
        <v>Action</v>
      </c>
      <c r="B98" s="5" t="str">
        <f>Wumple!B98</f>
        <v>flash()</v>
      </c>
      <c r="C98" s="5">
        <f>'GPT-5 Generation'!C98</f>
        <v>1</v>
      </c>
      <c r="D98" s="5">
        <f>'Claude Sonnet 4.5 Gen'!C98</f>
        <v>0</v>
      </c>
      <c r="E98" s="52"/>
    </row>
    <row r="99" spans="1:5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'GPT-5 Generation'!C99</f>
        <v>1</v>
      </c>
      <c r="D99" s="5">
        <f>'Claude Sonnet 4.5 Gen'!C99</f>
        <v>1</v>
      </c>
      <c r="E99" s="52"/>
    </row>
    <row r="100" spans="1:5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'GPT-5 Generation'!C100</f>
        <v>1</v>
      </c>
      <c r="D100" s="5">
        <f>'Claude Sonnet 4.5 Gen'!C100</f>
        <v>0.5</v>
      </c>
      <c r="E100" s="52"/>
    </row>
    <row r="101" spans="1:5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'GPT-5 Generation'!C101</f>
        <v>1</v>
      </c>
      <c r="D101" s="5">
        <f>'Claude Sonnet 4.5 Gen'!C101</f>
        <v>1</v>
      </c>
      <c r="E101" s="52"/>
    </row>
    <row r="102" spans="1:5" ht="15.75" customHeight="1" x14ac:dyDescent="0.15">
      <c r="A102" s="5" t="str">
        <f>Wumple!A102</f>
        <v>History State</v>
      </c>
      <c r="B102" s="5" t="str">
        <f>Wumple!B102</f>
        <v>H</v>
      </c>
      <c r="C102" s="5">
        <f>'GPT-5 Generation'!C102</f>
        <v>1</v>
      </c>
      <c r="D102" s="5">
        <f>'Claude Sonnet 4.5 Gen'!C102</f>
        <v>1</v>
      </c>
      <c r="E102" s="52"/>
    </row>
    <row r="103" spans="1:5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'GPT-5 Generation'!C103</f>
        <v>1</v>
      </c>
      <c r="D103" s="5">
        <f>'Claude Sonnet 4.5 Gen'!C103</f>
        <v>1</v>
      </c>
      <c r="E103" s="52"/>
    </row>
    <row r="104" spans="1:5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'GPT-5 Generation'!C104</f>
        <v>0</v>
      </c>
      <c r="D104" s="5">
        <f>'Claude Sonnet 4.5 Gen'!C104</f>
        <v>0</v>
      </c>
      <c r="E104" s="52"/>
    </row>
    <row r="105" spans="1:5" ht="15.75" customHeight="1" x14ac:dyDescent="0.15">
      <c r="A105" s="5" t="str">
        <f>Wumple!A105</f>
        <v>Action</v>
      </c>
      <c r="B105" s="5" t="str">
        <f>Wumple!B105</f>
        <v>flash()</v>
      </c>
      <c r="C105" s="5">
        <f>'GPT-5 Generation'!C105</f>
        <v>1</v>
      </c>
      <c r="D105" s="5">
        <f>'Claude Sonnet 4.5 Gen'!C105</f>
        <v>0</v>
      </c>
      <c r="E105" s="52"/>
    </row>
    <row r="106" spans="1:5" ht="15.75" customHeight="1" x14ac:dyDescent="0.15">
      <c r="A106" s="5" t="str">
        <f>Wumple!A106</f>
        <v>State</v>
      </c>
      <c r="B106" s="5" t="str">
        <f>Wumple!B106</f>
        <v>AlarmOn</v>
      </c>
      <c r="C106" s="5">
        <f>'GPT-5 Generation'!C106</f>
        <v>1</v>
      </c>
      <c r="D106" s="5">
        <f>'Claude Sonnet 4.5 Gen'!C106</f>
        <v>1</v>
      </c>
      <c r="E106" s="52"/>
    </row>
    <row r="107" spans="1:5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'GPT-5 Generation'!C107</f>
        <v>1</v>
      </c>
      <c r="D107" s="5">
        <f>'Claude Sonnet 4.5 Gen'!C107</f>
        <v>0.5</v>
      </c>
      <c r="E107" s="52"/>
    </row>
    <row r="108" spans="1:5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'GPT-5 Generation'!C108</f>
        <v>0</v>
      </c>
      <c r="D108" s="5">
        <f>'Claude Sonnet 4.5 Gen'!C108</f>
        <v>0.5</v>
      </c>
      <c r="E108" s="52"/>
    </row>
    <row r="109" spans="1:5" ht="15.75" customHeight="1" x14ac:dyDescent="0.15">
      <c r="A109" s="5" t="str">
        <f>Wumple!A109</f>
        <v>Transition</v>
      </c>
      <c r="B109" s="5" t="str">
        <f>Wumple!B109</f>
        <v>anyButton (AlarmOn ⇒ History State)</v>
      </c>
      <c r="C109" s="5">
        <f>'GPT-5 Generation'!C109</f>
        <v>1</v>
      </c>
      <c r="D109" s="73">
        <f>'Claude Sonnet 4.5 Gen'!C109</f>
        <v>1</v>
      </c>
      <c r="E109" s="52"/>
    </row>
    <row r="110" spans="1:5" ht="15.75" customHeight="1" x14ac:dyDescent="0.15">
      <c r="A110" s="74" t="str">
        <f>Wumple!A110</f>
        <v>State</v>
      </c>
      <c r="B110" s="74" t="str">
        <f>Wumple!B110</f>
        <v>additional elements</v>
      </c>
      <c r="C110" s="75">
        <f>'GPT-5 Generation'!C110</f>
        <v>0</v>
      </c>
      <c r="D110" s="27">
        <f>'Claude Sonnet 4.5 Gen'!C110</f>
        <v>0</v>
      </c>
      <c r="E110" s="52"/>
    </row>
    <row r="111" spans="1:5" ht="15.75" customHeight="1" x14ac:dyDescent="0.15">
      <c r="A111" s="5" t="str">
        <f>Wumple!A111</f>
        <v>Transition</v>
      </c>
      <c r="B111" s="5" t="str">
        <f>Wumple!B111</f>
        <v>additional elements</v>
      </c>
      <c r="C111" s="76">
        <f>'GPT-5 Generation'!C111</f>
        <v>0</v>
      </c>
      <c r="D111" s="27">
        <f>'Claude Sonnet 4.5 Gen'!C111</f>
        <v>0</v>
      </c>
      <c r="E111" s="52"/>
    </row>
    <row r="112" spans="1:5" ht="15.75" customHeight="1" x14ac:dyDescent="0.15">
      <c r="A112" s="5" t="str">
        <f>Wumple!A112</f>
        <v>Guard</v>
      </c>
      <c r="B112" s="5" t="str">
        <f>Wumple!B112</f>
        <v>additional elements</v>
      </c>
      <c r="C112" s="76">
        <f>'GPT-5 Generation'!C112</f>
        <v>0</v>
      </c>
      <c r="D112" s="27">
        <f>'Claude Sonnet 4.5 Gen'!C112</f>
        <v>0</v>
      </c>
      <c r="E112" s="52"/>
    </row>
    <row r="113" spans="1:5" ht="15.75" customHeight="1" x14ac:dyDescent="0.15">
      <c r="A113" s="5" t="str">
        <f>Wumple!A113</f>
        <v>Action</v>
      </c>
      <c r="B113" s="5" t="str">
        <f>Wumple!B113</f>
        <v>additional elements</v>
      </c>
      <c r="C113" s="76">
        <f>'GPT-5 Generation'!C113</f>
        <v>0</v>
      </c>
      <c r="D113" s="27">
        <f>'Claude Sonnet 4.5 Gen'!C113</f>
        <v>0</v>
      </c>
      <c r="E113" s="52"/>
    </row>
    <row r="114" spans="1:5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76">
        <f>'GPT-5 Generation'!C114</f>
        <v>0</v>
      </c>
      <c r="D114" s="27">
        <f>'Claude Sonnet 4.5 Gen'!C114</f>
        <v>0</v>
      </c>
      <c r="E114" s="52"/>
    </row>
    <row r="115" spans="1:5" ht="15.75" customHeight="1" x14ac:dyDescent="0.15">
      <c r="A115" s="5" t="str">
        <f>Wumple!A115</f>
        <v>Region</v>
      </c>
      <c r="B115" s="5" t="str">
        <f>Wumple!B115</f>
        <v>additional elements</v>
      </c>
      <c r="C115" s="76">
        <f>'GPT-5 Generation'!C115</f>
        <v>2</v>
      </c>
      <c r="D115" s="27">
        <f>'Claude Sonnet 4.5 Gen'!C115</f>
        <v>0</v>
      </c>
      <c r="E115" s="52"/>
    </row>
    <row r="116" spans="1:5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76">
        <f>'GPT-5 Generation'!C116</f>
        <v>0</v>
      </c>
      <c r="D116" s="27">
        <f>'Claude Sonnet 4.5 Gen'!C116</f>
        <v>0</v>
      </c>
      <c r="E116" s="52"/>
    </row>
    <row r="117" spans="1:5" ht="15.75" customHeight="1" x14ac:dyDescent="0.15">
      <c r="A117" s="53"/>
      <c r="B117" s="77"/>
      <c r="C117" s="52"/>
      <c r="D117" s="52"/>
      <c r="E117" s="52"/>
    </row>
    <row r="118" spans="1:5" ht="15.75" customHeight="1" x14ac:dyDescent="0.15">
      <c r="A118" s="53"/>
      <c r="B118" s="77"/>
      <c r="C118" s="52"/>
      <c r="D118" s="52"/>
      <c r="E118" s="52"/>
    </row>
    <row r="119" spans="1:5" ht="15.75" customHeight="1" x14ac:dyDescent="0.15">
      <c r="B119" s="77"/>
      <c r="D119" s="52"/>
      <c r="E119" s="52"/>
    </row>
    <row r="120" spans="1:5" ht="15.75" customHeight="1" x14ac:dyDescent="0.15">
      <c r="B120" s="77"/>
      <c r="D120" s="52"/>
    </row>
    <row r="121" spans="1:5" ht="15.75" customHeight="1" x14ac:dyDescent="0.15">
      <c r="D121" s="52"/>
    </row>
    <row r="122" spans="1:5" ht="15.75" customHeight="1" x14ac:dyDescent="0.15"/>
    <row r="123" spans="1:5" ht="15.75" customHeight="1" x14ac:dyDescent="0.15"/>
    <row r="124" spans="1:5" ht="15.75" customHeight="1" x14ac:dyDescent="0.15"/>
    <row r="125" spans="1:5" ht="15.75" customHeight="1" x14ac:dyDescent="0.15"/>
    <row r="126" spans="1:5" ht="15.75" customHeight="1" x14ac:dyDescent="0.15"/>
    <row r="127" spans="1:5" ht="15.75" customHeight="1" x14ac:dyDescent="0.15"/>
    <row r="128" spans="1:5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48"/>
  <sheetViews>
    <sheetView topLeftCell="O1"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3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78" t="s">
        <v>0</v>
      </c>
      <c r="B1" s="79" t="s">
        <v>1</v>
      </c>
      <c r="C1" s="51" t="s">
        <v>210</v>
      </c>
      <c r="D1" s="51" t="s">
        <v>208</v>
      </c>
      <c r="E1" s="21"/>
      <c r="F1" s="99" t="s">
        <v>214</v>
      </c>
      <c r="G1" s="100"/>
      <c r="H1" s="100"/>
      <c r="I1" s="100"/>
      <c r="J1" s="21"/>
      <c r="K1" s="21"/>
      <c r="L1" s="99" t="s">
        <v>244</v>
      </c>
      <c r="M1" s="100"/>
      <c r="N1" s="100"/>
      <c r="O1" s="100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'GPT-5 Generation'!C2</f>
        <v>1</v>
      </c>
      <c r="D2" s="5">
        <f>'Claude Sonnet 4.5 Gen'!C2</f>
        <v>1</v>
      </c>
      <c r="E2" s="21"/>
      <c r="F2" s="80" t="s">
        <v>216</v>
      </c>
      <c r="G2" s="81" t="s">
        <v>217</v>
      </c>
      <c r="H2" s="82" t="s">
        <v>218</v>
      </c>
      <c r="I2" s="83" t="s">
        <v>219</v>
      </c>
      <c r="J2" s="84" t="s">
        <v>220</v>
      </c>
      <c r="K2" s="21"/>
      <c r="L2" s="80" t="s">
        <v>216</v>
      </c>
      <c r="M2" s="85" t="s">
        <v>217</v>
      </c>
      <c r="N2" s="85" t="s">
        <v>218</v>
      </c>
      <c r="O2" s="85" t="s">
        <v>219</v>
      </c>
      <c r="P2" s="21"/>
      <c r="Q2" s="80" t="s">
        <v>216</v>
      </c>
      <c r="R2" s="85" t="s">
        <v>217</v>
      </c>
      <c r="S2" s="85" t="s">
        <v>218</v>
      </c>
      <c r="T2" s="85" t="s">
        <v>219</v>
      </c>
      <c r="U2" s="21"/>
      <c r="V2" s="58" t="str">
        <f>"Metrics" &amp; " " &amp; F2</f>
        <v>Metrics Global</v>
      </c>
      <c r="W2" s="86" t="s">
        <v>222</v>
      </c>
      <c r="X2" s="86" t="s">
        <v>223</v>
      </c>
    </row>
    <row r="3" spans="1:2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'GPT-5 Generation'!C3</f>
        <v>0</v>
      </c>
      <c r="D3" s="5">
        <f>'Claude Sonnet 4.5 Gen'!C3</f>
        <v>0</v>
      </c>
      <c r="E3" s="21"/>
      <c r="F3" s="87">
        <v>0</v>
      </c>
      <c r="G3" s="88">
        <f>COUNTIFS($C$2:$C$116, $F3, $D$2:$D$116, G$2)</f>
        <v>16</v>
      </c>
      <c r="H3" s="89">
        <f>COUNTIFS($C$2:$C$109, $F3, $D$2:$D$109, H$2)</f>
        <v>1</v>
      </c>
      <c r="I3" s="90">
        <f>COUNTIFS($C$2:$C$109, $F3, $D$2:$D$109, I$2)+MAX(D110-C110,0)+MAX(D111-C111,0)+MAX(D112-C112,0)+MAX(D113-C113,0)+MAX(D114-C114,0)+MAX(D115-C115,0)+MAX(D116-C116,0)</f>
        <v>0</v>
      </c>
      <c r="J3" s="80">
        <f>SUM(G3:I3)</f>
        <v>17</v>
      </c>
      <c r="K3" s="21"/>
      <c r="L3" s="87">
        <v>0</v>
      </c>
      <c r="M3" s="88">
        <f>ABS(G$2-$F3)/1</f>
        <v>0</v>
      </c>
      <c r="N3" s="89">
        <f>ABS(H$2-$F3)/1</f>
        <v>0.5</v>
      </c>
      <c r="O3" s="90">
        <f>ABS(I$2-$F3)/1</f>
        <v>1</v>
      </c>
      <c r="P3" s="21"/>
      <c r="Q3" s="87">
        <v>0</v>
      </c>
      <c r="R3" s="88">
        <f t="shared" ref="R3:T5" si="0">($J3/$J$6) * (G$6/$J$6)</f>
        <v>4.9271700356718191E-2</v>
      </c>
      <c r="S3" s="89">
        <f t="shared" si="0"/>
        <v>1.7687277051129605E-2</v>
      </c>
      <c r="T3" s="90">
        <f t="shared" si="0"/>
        <v>7.9592746730083236E-2</v>
      </c>
      <c r="U3" s="21"/>
      <c r="V3" s="86" t="s">
        <v>245</v>
      </c>
      <c r="W3" s="88">
        <f>SUMPRODUCT(G3:I5, M3:O5) /$J$6</f>
        <v>0.25862068965517243</v>
      </c>
      <c r="X3" s="90" t="s">
        <v>246</v>
      </c>
    </row>
    <row r="4" spans="1:24" ht="15.75" customHeight="1" x14ac:dyDescent="0.15">
      <c r="A4" s="5" t="str">
        <f>Wumple!A4</f>
        <v>Composite State</v>
      </c>
      <c r="B4" s="5" t="str">
        <f>Wumple!B4</f>
        <v>Watch</v>
      </c>
      <c r="C4" s="5">
        <f>'GPT-5 Generation'!C4</f>
        <v>1</v>
      </c>
      <c r="D4" s="5">
        <f>'Claude Sonnet 4.5 Gen'!C4</f>
        <v>1</v>
      </c>
      <c r="E4" s="21"/>
      <c r="F4" s="87">
        <v>0.5</v>
      </c>
      <c r="G4" s="91">
        <f>COUNTIFS($C$2:$C$109, $F4, $D$2:$D$109, G$2)</f>
        <v>1</v>
      </c>
      <c r="H4" s="80">
        <f>COUNTIFS($C$2:$C$109, $F4, $D$2:$D$109, H$2)</f>
        <v>1</v>
      </c>
      <c r="I4" s="92">
        <f>COUNTIFS($C$2:$C$109, $F4, $D$2:$D$109, I$2)</f>
        <v>2</v>
      </c>
      <c r="J4" s="80">
        <f>SUM(G4:I4)</f>
        <v>4</v>
      </c>
      <c r="K4" s="21"/>
      <c r="L4" s="87">
        <v>0.5</v>
      </c>
      <c r="M4" s="91">
        <f>ABS(G$2-$F4)/1</f>
        <v>0.5</v>
      </c>
      <c r="N4" s="80">
        <f>ABS(H$2-$F4)/3</f>
        <v>0</v>
      </c>
      <c r="O4" s="92">
        <f>ABS(I$2-$F4)/1</f>
        <v>0.5</v>
      </c>
      <c r="P4" s="21"/>
      <c r="Q4" s="87">
        <v>0.5</v>
      </c>
      <c r="R4" s="91">
        <f t="shared" si="0"/>
        <v>1.159334126040428E-2</v>
      </c>
      <c r="S4" s="80">
        <f t="shared" si="0"/>
        <v>4.1617122473246136E-3</v>
      </c>
      <c r="T4" s="92">
        <f t="shared" si="0"/>
        <v>1.8727705112960763E-2</v>
      </c>
      <c r="U4" s="21"/>
      <c r="V4" s="86" t="s">
        <v>247</v>
      </c>
      <c r="W4" s="91">
        <f>SUMPRODUCT(R3:T5, M3:O5)</f>
        <v>0.428359096313912</v>
      </c>
      <c r="X4" s="92" t="s">
        <v>248</v>
      </c>
    </row>
    <row r="5" spans="1:24" ht="15.75" customHeight="1" x14ac:dyDescent="0.15">
      <c r="A5" s="5" t="str">
        <f>Wumple!A5</f>
        <v>Region</v>
      </c>
      <c r="B5" s="5" t="str">
        <f>Wumple!B5</f>
        <v>Light</v>
      </c>
      <c r="C5" s="5">
        <f>'GPT-5 Generation'!C5</f>
        <v>0.5</v>
      </c>
      <c r="D5" s="5">
        <f>'Claude Sonnet 4.5 Gen'!C5</f>
        <v>1</v>
      </c>
      <c r="E5" s="21"/>
      <c r="F5" s="87">
        <v>1</v>
      </c>
      <c r="G5" s="93">
        <f>COUNTIFS($C$2:$C$109, $F5, $D$2:$D$109, G$2)+MAX(C110-D110,0)+MAX(C111-D111,0)+MAX(C112-D112,0)+MAX(C113-D113,0)+MAX(C114-D114,0)+MAX(C115-D115,0)+MAX(C116-D116,0)</f>
        <v>22</v>
      </c>
      <c r="H5" s="94">
        <f>COUNTIFS($C$2:$C$109, $F5, $D$2:$D$109, H$2)</f>
        <v>12</v>
      </c>
      <c r="I5" s="95">
        <f>COUNTIFS($C$2:$C$109, $F5, $D$2:$D$109, I$2)+ SUM(MIN(C110,D110), MIN(C111,D111), MIN(C112,D112), MIN(C113,D113), MIN(C114,D114), MIN(C115,D115), MIN(C116,D116))</f>
        <v>61</v>
      </c>
      <c r="J5" s="80">
        <f>SUM(G5:I5)</f>
        <v>95</v>
      </c>
      <c r="K5" s="21"/>
      <c r="L5" s="87">
        <v>1</v>
      </c>
      <c r="M5" s="93">
        <f>ABS(G$2-$F5)/1</f>
        <v>1</v>
      </c>
      <c r="N5" s="94">
        <f>ABS(H$2-$F5)/1</f>
        <v>0.5</v>
      </c>
      <c r="O5" s="95">
        <f>ABS(I$2-$F5)/1</f>
        <v>0</v>
      </c>
      <c r="P5" s="21"/>
      <c r="Q5" s="87">
        <v>1</v>
      </c>
      <c r="R5" s="93">
        <f t="shared" si="0"/>
        <v>0.27534185493460167</v>
      </c>
      <c r="S5" s="94">
        <f t="shared" si="0"/>
        <v>9.8840665873959579E-2</v>
      </c>
      <c r="T5" s="95">
        <f t="shared" si="0"/>
        <v>0.4447829964328181</v>
      </c>
      <c r="U5" s="21"/>
      <c r="V5" s="86" t="s">
        <v>215</v>
      </c>
      <c r="W5" s="93">
        <f>1-W3/W4</f>
        <v>0.39625260235947257</v>
      </c>
      <c r="X5" s="95" t="s">
        <v>249</v>
      </c>
    </row>
    <row r="6" spans="1:2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'GPT-5 Generation'!C6</f>
        <v>1</v>
      </c>
      <c r="D6" s="5">
        <f>'Claude Sonnet 4.5 Gen'!C6</f>
        <v>1</v>
      </c>
      <c r="E6" s="21"/>
      <c r="F6" s="96" t="s">
        <v>229</v>
      </c>
      <c r="G6" s="80">
        <f>SUM(G3:G5)</f>
        <v>39</v>
      </c>
      <c r="H6" s="80">
        <f>SUM(H3:H5)</f>
        <v>14</v>
      </c>
      <c r="I6" s="80">
        <f>SUM(I3:I5)</f>
        <v>63</v>
      </c>
      <c r="J6" s="80">
        <f>SUM(G3:I5)</f>
        <v>116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 x14ac:dyDescent="0.15">
      <c r="A7" s="5" t="str">
        <f>Wumple!A7</f>
        <v>State</v>
      </c>
      <c r="B7" s="5" t="str">
        <f>Wumple!B7</f>
        <v>Off</v>
      </c>
      <c r="C7" s="5">
        <f>'GPT-5 Generation'!C7</f>
        <v>1</v>
      </c>
      <c r="D7" s="5">
        <f>'Claude Sonnet 4.5 Gen'!C7</f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'GPT-5 Generation'!C8</f>
        <v>1</v>
      </c>
      <c r="D8" s="5">
        <f>'Claude Sonnet 4.5 Gen'!C8</f>
        <v>0.5</v>
      </c>
      <c r="E8" s="21"/>
      <c r="F8" s="99" t="s">
        <v>230</v>
      </c>
      <c r="G8" s="100"/>
      <c r="H8" s="100"/>
      <c r="I8" s="100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'GPT-5 Generation'!C9</f>
        <v>1</v>
      </c>
      <c r="D9" s="5">
        <f>'Claude Sonnet 4.5 Gen'!C9</f>
        <v>1</v>
      </c>
      <c r="E9" s="21"/>
      <c r="F9" s="80" t="s">
        <v>4</v>
      </c>
      <c r="G9" s="85" t="s">
        <v>217</v>
      </c>
      <c r="H9" s="85" t="s">
        <v>218</v>
      </c>
      <c r="I9" s="85" t="s">
        <v>219</v>
      </c>
      <c r="J9" s="84" t="s">
        <v>220</v>
      </c>
      <c r="K9" s="21"/>
      <c r="L9" s="80" t="s">
        <v>216</v>
      </c>
      <c r="M9" s="85" t="s">
        <v>217</v>
      </c>
      <c r="N9" s="85" t="s">
        <v>218</v>
      </c>
      <c r="O9" s="85" t="s">
        <v>219</v>
      </c>
      <c r="P9" s="21"/>
      <c r="Q9" s="80" t="s">
        <v>216</v>
      </c>
      <c r="R9" s="85" t="s">
        <v>217</v>
      </c>
      <c r="S9" s="85" t="s">
        <v>218</v>
      </c>
      <c r="T9" s="85" t="s">
        <v>219</v>
      </c>
      <c r="U9" s="21"/>
      <c r="V9" s="58" t="str">
        <f>"Metrics" &amp; " " &amp; F9</f>
        <v>Metrics State</v>
      </c>
      <c r="W9" s="86" t="s">
        <v>222</v>
      </c>
      <c r="X9" s="86" t="s">
        <v>223</v>
      </c>
    </row>
    <row r="10" spans="1:24" ht="15.75" customHeight="1" x14ac:dyDescent="0.15">
      <c r="A10" s="5" t="str">
        <f>Wumple!A10</f>
        <v>State</v>
      </c>
      <c r="B10" s="5" t="str">
        <f>Wumple!B10</f>
        <v>On</v>
      </c>
      <c r="C10" s="5">
        <f>'GPT-5 Generation'!C10</f>
        <v>1</v>
      </c>
      <c r="D10" s="5">
        <f>'Claude Sonnet 4.5 Gen'!C10</f>
        <v>1</v>
      </c>
      <c r="E10" s="21"/>
      <c r="F10" s="87">
        <v>0</v>
      </c>
      <c r="G10" s="88">
        <f>COUNTIFS($A$2:$A$116,$F$9,$C$2:$C$116,$F10,$D$2:$D$116,G$9)</f>
        <v>2</v>
      </c>
      <c r="H10" s="89">
        <f>COUNTIFS($A$2:$A$116,$F$9,$C$2:$C$116,$F10,$D$2:$D$116,H$9)</f>
        <v>0</v>
      </c>
      <c r="I10" s="90">
        <f>COUNTIFS($A$2:$A$109,$F$9,$C$2:$C$109,$F10,$D$2:$D$109,I$9)+MAX(D110-C110,0)</f>
        <v>0</v>
      </c>
      <c r="J10" s="80">
        <f>SUM(G10:I10)</f>
        <v>2</v>
      </c>
      <c r="K10" s="21"/>
      <c r="L10" s="87">
        <v>0</v>
      </c>
      <c r="M10" s="88">
        <f>ABS(G$2-$F10)/1</f>
        <v>0</v>
      </c>
      <c r="N10" s="89">
        <f>ABS(H$2-$F10)/1</f>
        <v>0.5</v>
      </c>
      <c r="O10" s="90">
        <f>ABS(I$2-$F10)/1</f>
        <v>1</v>
      </c>
      <c r="P10" s="21"/>
      <c r="Q10" s="87">
        <v>0</v>
      </c>
      <c r="R10" s="88">
        <f t="shared" ref="R10:T12" si="1">($J10/$J$13) * (G$13/$J$13)</f>
        <v>6.4000000000000003E-3</v>
      </c>
      <c r="S10" s="89">
        <f t="shared" si="1"/>
        <v>3.2000000000000002E-3</v>
      </c>
      <c r="T10" s="90">
        <f t="shared" si="1"/>
        <v>7.0400000000000004E-2</v>
      </c>
      <c r="U10" s="21"/>
      <c r="V10" s="86" t="s">
        <v>245</v>
      </c>
      <c r="W10" s="88">
        <f>SUMPRODUCT(G10:I12, M10:O12) /$J$13</f>
        <v>0</v>
      </c>
      <c r="X10" s="90" t="s">
        <v>246</v>
      </c>
    </row>
    <row r="11" spans="1:2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'GPT-5 Generation'!C11</f>
        <v>1</v>
      </c>
      <c r="D11" s="5">
        <f>'Claude Sonnet 4.5 Gen'!C11</f>
        <v>0.5</v>
      </c>
      <c r="E11" s="21"/>
      <c r="F11" s="87">
        <v>0.5</v>
      </c>
      <c r="G11" s="91">
        <f>COUNTIFS($A$2:$A$116,$F$9,$C$2:$C$116,$F11,$D$2:$D$116,G$9)</f>
        <v>0</v>
      </c>
      <c r="H11" s="80">
        <f>COUNTIFS($A$2:$A$116,$F$9,$C$2:$C$116,$F11,$D$2:$D$116,H$9)</f>
        <v>1</v>
      </c>
      <c r="I11" s="92">
        <f>COUNTIFS($A$2:$A$116,$F$9,$C$2:$C$116,$F11,$D$2:$D$116,I$9)</f>
        <v>0</v>
      </c>
      <c r="J11" s="80">
        <f>SUM(G11:I11)</f>
        <v>1</v>
      </c>
      <c r="K11" s="21"/>
      <c r="L11" s="87">
        <v>0.5</v>
      </c>
      <c r="M11" s="91">
        <f>ABS(G$2-$F11)/1</f>
        <v>0.5</v>
      </c>
      <c r="N11" s="80">
        <f>ABS(H$2-$F11)/3</f>
        <v>0</v>
      </c>
      <c r="O11" s="92">
        <f>ABS(I$2-$F11)/1</f>
        <v>0.5</v>
      </c>
      <c r="P11" s="21"/>
      <c r="Q11" s="87">
        <v>0.5</v>
      </c>
      <c r="R11" s="91">
        <f t="shared" si="1"/>
        <v>3.2000000000000002E-3</v>
      </c>
      <c r="S11" s="80">
        <f t="shared" si="1"/>
        <v>1.6000000000000001E-3</v>
      </c>
      <c r="T11" s="92">
        <f t="shared" si="1"/>
        <v>3.5200000000000002E-2</v>
      </c>
      <c r="U11" s="21"/>
      <c r="V11" s="86" t="s">
        <v>247</v>
      </c>
      <c r="W11" s="91">
        <f>SUMPRODUCT(R10:T12, M10:O12)</f>
        <v>0.17920000000000003</v>
      </c>
      <c r="X11" s="92" t="s">
        <v>248</v>
      </c>
    </row>
    <row r="12" spans="1:2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'GPT-5 Generation'!C12</f>
        <v>1</v>
      </c>
      <c r="D12" s="5">
        <f>'Claude Sonnet 4.5 Gen'!C12</f>
        <v>1</v>
      </c>
      <c r="E12" s="21"/>
      <c r="F12" s="87">
        <v>1</v>
      </c>
      <c r="G12" s="93">
        <f>COUNTIFS($A$2:$A$109,$F$9,$C$2:$C$109,$F12,$D$2:$D$109,G$9)+MAX(C110-D110,0)</f>
        <v>0</v>
      </c>
      <c r="H12" s="94">
        <f>COUNTIFS($A$2:$A$116,$F$9,$C$2:$C$116,$F12,$D$2:$D$116,H$9)</f>
        <v>0</v>
      </c>
      <c r="I12" s="95">
        <f>COUNTIFS($A$2:$A$109,$F$9,$C$2:$C$109,$F12,$D$2:$D$109,I$9)+MIN(C110-D110)</f>
        <v>22</v>
      </c>
      <c r="J12" s="80">
        <f>SUM(G12:I12)</f>
        <v>22</v>
      </c>
      <c r="K12" s="21"/>
      <c r="L12" s="87">
        <v>1</v>
      </c>
      <c r="M12" s="93">
        <f>ABS(G$2-$F12)/1</f>
        <v>1</v>
      </c>
      <c r="N12" s="94">
        <f>ABS(H$2-$F12)/1</f>
        <v>0.5</v>
      </c>
      <c r="O12" s="95">
        <f>ABS(I$2-$F12)/1</f>
        <v>0</v>
      </c>
      <c r="P12" s="21"/>
      <c r="Q12" s="87">
        <v>1</v>
      </c>
      <c r="R12" s="93">
        <f t="shared" si="1"/>
        <v>7.0400000000000004E-2</v>
      </c>
      <c r="S12" s="94">
        <f t="shared" si="1"/>
        <v>3.5200000000000002E-2</v>
      </c>
      <c r="T12" s="95">
        <f t="shared" si="1"/>
        <v>0.77439999999999998</v>
      </c>
      <c r="U12" s="21"/>
      <c r="V12" s="86" t="s">
        <v>215</v>
      </c>
      <c r="W12" s="93">
        <f>1-W10/W11</f>
        <v>1</v>
      </c>
      <c r="X12" s="95" t="s">
        <v>249</v>
      </c>
    </row>
    <row r="13" spans="1:2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'GPT-5 Generation'!C13</f>
        <v>1</v>
      </c>
      <c r="D13" s="5">
        <f>'Claude Sonnet 4.5 Gen'!C13</f>
        <v>1</v>
      </c>
      <c r="E13" s="21"/>
      <c r="F13" s="96" t="s">
        <v>229</v>
      </c>
      <c r="G13" s="80">
        <f>SUM(G10:G12)</f>
        <v>2</v>
      </c>
      <c r="H13" s="80">
        <f>SUM(H10:H12)</f>
        <v>1</v>
      </c>
      <c r="I13" s="80">
        <f>SUM(I10:I12)</f>
        <v>22</v>
      </c>
      <c r="J13" s="80">
        <f>SUM(G10:I12)</f>
        <v>25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'GPT-5 Generation'!C14</f>
        <v>0</v>
      </c>
      <c r="D14" s="5">
        <f>'Claude Sonnet 4.5 Gen'!C14</f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5.75" customHeight="1" x14ac:dyDescent="0.15">
      <c r="A15" s="5" t="str">
        <f>Wumple!A15</f>
        <v>Guard</v>
      </c>
      <c r="B15" s="5" t="str">
        <f>Wumple!B15</f>
        <v>[flashAlert]</v>
      </c>
      <c r="C15" s="5">
        <f>'GPT-5 Generation'!C15</f>
        <v>0</v>
      </c>
      <c r="D15" s="5">
        <f>'Claude Sonnet 4.5 Gen'!C15</f>
        <v>0</v>
      </c>
      <c r="E15" s="21"/>
      <c r="F15" s="99" t="s">
        <v>232</v>
      </c>
      <c r="G15" s="100"/>
      <c r="H15" s="100"/>
      <c r="I15" s="100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5.75" customHeight="1" x14ac:dyDescent="0.15">
      <c r="A16" s="5" t="str">
        <f>Wumple!A16</f>
        <v>State</v>
      </c>
      <c r="B16" s="5" t="str">
        <f>Wumple!B16</f>
        <v>Flash</v>
      </c>
      <c r="C16" s="5">
        <f>'GPT-5 Generation'!C16</f>
        <v>0</v>
      </c>
      <c r="D16" s="5">
        <f>'Claude Sonnet 4.5 Gen'!C16</f>
        <v>0</v>
      </c>
      <c r="E16" s="21"/>
      <c r="F16" s="80" t="s">
        <v>15</v>
      </c>
      <c r="G16" s="85" t="s">
        <v>217</v>
      </c>
      <c r="H16" s="85" t="s">
        <v>218</v>
      </c>
      <c r="I16" s="85" t="s">
        <v>219</v>
      </c>
      <c r="J16" s="84" t="s">
        <v>220</v>
      </c>
      <c r="K16" s="21"/>
      <c r="L16" s="80" t="s">
        <v>216</v>
      </c>
      <c r="M16" s="85" t="s">
        <v>217</v>
      </c>
      <c r="N16" s="85" t="s">
        <v>218</v>
      </c>
      <c r="O16" s="85" t="s">
        <v>219</v>
      </c>
      <c r="P16" s="21"/>
      <c r="Q16" s="80" t="s">
        <v>216</v>
      </c>
      <c r="R16" s="85" t="s">
        <v>217</v>
      </c>
      <c r="S16" s="85" t="s">
        <v>218</v>
      </c>
      <c r="T16" s="85" t="s">
        <v>219</v>
      </c>
      <c r="U16" s="21"/>
      <c r="V16" s="58" t="str">
        <f>"Metrics" &amp; " " &amp; F16</f>
        <v>Metrics Transition</v>
      </c>
      <c r="W16" s="86" t="s">
        <v>222</v>
      </c>
      <c r="X16" s="86" t="s">
        <v>223</v>
      </c>
    </row>
    <row r="17" spans="1:2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'GPT-5 Generation'!C17</f>
        <v>0</v>
      </c>
      <c r="D17" s="5">
        <f>'Claude Sonnet 4.5 Gen'!C17</f>
        <v>0</v>
      </c>
      <c r="E17" s="21"/>
      <c r="F17" s="87">
        <v>0</v>
      </c>
      <c r="G17" s="88">
        <f>COUNTIFS($A$2:$A$116,$F$16,$C$2:$C$116,$F17,$D$2:$D$116,G$16)</f>
        <v>4</v>
      </c>
      <c r="H17" s="89">
        <f>COUNTIFS($A$2:$A$116,$F$16,$C$2:$C$116,$F17,$D$2:$D$116,H$16)</f>
        <v>0</v>
      </c>
      <c r="I17" s="90">
        <f>COUNTIFS($A$2:$A$109,$F$16,$C$2:$C$109,$F17,$D$2:$D$109,I$16) + MAX(D111-C111,0)</f>
        <v>0</v>
      </c>
      <c r="J17" s="80">
        <f>SUM(G17:I17)</f>
        <v>4</v>
      </c>
      <c r="K17" s="21"/>
      <c r="L17" s="87">
        <v>0</v>
      </c>
      <c r="M17" s="88">
        <f>ABS(G$2-$F17)/1</f>
        <v>0</v>
      </c>
      <c r="N17" s="89">
        <f>ABS(H$2-$F17)/1</f>
        <v>0.5</v>
      </c>
      <c r="O17" s="90">
        <f>ABS(I$2-$F17)/1</f>
        <v>1</v>
      </c>
      <c r="P17" s="21"/>
      <c r="Q17" s="87">
        <v>0</v>
      </c>
      <c r="R17" s="88">
        <f t="shared" ref="R17:T19" si="2">($J17/$J$20) * (G$20/$J$20)</f>
        <v>1.3850415512465372E-2</v>
      </c>
      <c r="S17" s="89">
        <f t="shared" si="2"/>
        <v>0</v>
      </c>
      <c r="T17" s="90">
        <f t="shared" si="2"/>
        <v>9.141274238227147E-2</v>
      </c>
      <c r="U17" s="21"/>
      <c r="V17" s="86" t="s">
        <v>245</v>
      </c>
      <c r="W17" s="88">
        <f>SUMPRODUCT(G17:I19, M17:O19) /$J$20</f>
        <v>3.9473684210526314E-2</v>
      </c>
      <c r="X17" s="90" t="s">
        <v>246</v>
      </c>
    </row>
    <row r="18" spans="1:2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'GPT-5 Generation'!C18</f>
        <v>0</v>
      </c>
      <c r="D18" s="5">
        <f>'Claude Sonnet 4.5 Gen'!C18</f>
        <v>0</v>
      </c>
      <c r="E18" s="21"/>
      <c r="F18" s="87">
        <v>0.5</v>
      </c>
      <c r="G18" s="91">
        <f>COUNTIFS($A$2:$A$116,$F$16,$C$2:$C$116,$F18,$D$2:$D$116,G$16)</f>
        <v>0</v>
      </c>
      <c r="H18" s="80">
        <f>COUNTIFS($A$2:$A$116,$F$16,$C$2:$C$116,$F18,$D$2:$D$116,H$16)</f>
        <v>0</v>
      </c>
      <c r="I18" s="92">
        <f>COUNTIFS($A$2:$A$116,$F$16,$C$2:$C$116,$F18,$D$2:$D$116,I$16)</f>
        <v>1</v>
      </c>
      <c r="J18" s="80">
        <f>SUM(G18:I18)</f>
        <v>1</v>
      </c>
      <c r="K18" s="21"/>
      <c r="L18" s="87">
        <v>0.5</v>
      </c>
      <c r="M18" s="91">
        <f>ABS(G$2-$F18)/1</f>
        <v>0.5</v>
      </c>
      <c r="N18" s="80">
        <f>ABS(H$2-$F18)/3</f>
        <v>0</v>
      </c>
      <c r="O18" s="92">
        <f>ABS(I$2-$F18)/1</f>
        <v>0.5</v>
      </c>
      <c r="P18" s="21"/>
      <c r="Q18" s="87">
        <v>0.5</v>
      </c>
      <c r="R18" s="91">
        <f t="shared" si="2"/>
        <v>3.462603878116343E-3</v>
      </c>
      <c r="S18" s="80">
        <f t="shared" si="2"/>
        <v>0</v>
      </c>
      <c r="T18" s="92">
        <f t="shared" si="2"/>
        <v>2.2853185595567867E-2</v>
      </c>
      <c r="U18" s="21"/>
      <c r="V18" s="86" t="s">
        <v>247</v>
      </c>
      <c r="W18" s="91">
        <f>SUMPRODUCT(R17:T19, M17:O19)</f>
        <v>0.2188365650969529</v>
      </c>
      <c r="X18" s="92" t="s">
        <v>248</v>
      </c>
    </row>
    <row r="19" spans="1:24" ht="15.75" customHeight="1" x14ac:dyDescent="0.15">
      <c r="A19" s="5" t="str">
        <f>Wumple!A19</f>
        <v>Guard</v>
      </c>
      <c r="B19" s="5" t="str">
        <f>Wumple!B19</f>
        <v>[flashAlert]</v>
      </c>
      <c r="C19" s="5">
        <f>'GPT-5 Generation'!C19</f>
        <v>0</v>
      </c>
      <c r="D19" s="5">
        <f>'Claude Sonnet 4.5 Gen'!C19</f>
        <v>0</v>
      </c>
      <c r="E19" s="21"/>
      <c r="F19" s="87">
        <v>1</v>
      </c>
      <c r="G19" s="93">
        <f>COUNTIFS($A$2:$A$109,$F$16,$C$2:$C$109,$F19,$D$2:$D$109,G$16)+MAX(C111-D111,0)</f>
        <v>1</v>
      </c>
      <c r="H19" s="94">
        <f>COUNTIFS($A$2:$A$116,$F$16,$C$2:$C$116,$F19,$D$2:$D$116,H$16)</f>
        <v>0</v>
      </c>
      <c r="I19" s="95">
        <f>COUNTIFS($A$2:$A$109,$F$16,$C$2:$C$109,$F19,$D$2:$D$109,I$16) + MIN(C111,D111)</f>
        <v>32</v>
      </c>
      <c r="J19" s="80">
        <f>SUM(G19:I19)</f>
        <v>33</v>
      </c>
      <c r="K19" s="21"/>
      <c r="L19" s="87">
        <v>1</v>
      </c>
      <c r="M19" s="93">
        <f>ABS(G$2-$F19)/1</f>
        <v>1</v>
      </c>
      <c r="N19" s="94">
        <f>ABS(H$2-$F19)/1</f>
        <v>0.5</v>
      </c>
      <c r="O19" s="95">
        <f>ABS(I$2-$F19)/1</f>
        <v>0</v>
      </c>
      <c r="P19" s="21"/>
      <c r="Q19" s="87">
        <v>1</v>
      </c>
      <c r="R19" s="93">
        <f t="shared" si="2"/>
        <v>0.11426592797783933</v>
      </c>
      <c r="S19" s="94">
        <f t="shared" si="2"/>
        <v>0</v>
      </c>
      <c r="T19" s="95">
        <f t="shared" si="2"/>
        <v>0.75415512465373968</v>
      </c>
      <c r="U19" s="21"/>
      <c r="V19" s="86" t="s">
        <v>215</v>
      </c>
      <c r="W19" s="93">
        <f>1-W17/W18</f>
        <v>0.819620253164557</v>
      </c>
      <c r="X19" s="95" t="s">
        <v>249</v>
      </c>
    </row>
    <row r="20" spans="1:2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'GPT-5 Generation'!C20</f>
        <v>0</v>
      </c>
      <c r="D20" s="5">
        <f>'Claude Sonnet 4.5 Gen'!C20</f>
        <v>0</v>
      </c>
      <c r="E20" s="21"/>
      <c r="F20" s="96" t="s">
        <v>229</v>
      </c>
      <c r="G20" s="80">
        <f>SUM(G17:G19)</f>
        <v>5</v>
      </c>
      <c r="H20" s="80">
        <f>SUM(H17:H19)</f>
        <v>0</v>
      </c>
      <c r="I20" s="80">
        <f>SUM(I17:I19)</f>
        <v>33</v>
      </c>
      <c r="J20" s="80">
        <f>SUM(G17:I19)</f>
        <v>38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5.75" customHeight="1" x14ac:dyDescent="0.15">
      <c r="A21" s="5" t="str">
        <f>Wumple!A21</f>
        <v>Region</v>
      </c>
      <c r="B21" s="5" t="str">
        <f>Wumple!B21</f>
        <v>WatchMode</v>
      </c>
      <c r="C21" s="5">
        <f>'GPT-5 Generation'!C21</f>
        <v>1</v>
      </c>
      <c r="D21" s="5">
        <f>'Claude Sonnet 4.5 Gen'!C21</f>
        <v>1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'GPT-5 Generation'!C22</f>
        <v>0.5</v>
      </c>
      <c r="D22" s="5">
        <f>'Claude Sonnet 4.5 Gen'!C22</f>
        <v>0.5</v>
      </c>
      <c r="E22" s="21"/>
      <c r="F22" s="99" t="s">
        <v>234</v>
      </c>
      <c r="G22" s="100"/>
      <c r="H22" s="100"/>
      <c r="I22" s="100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'GPT-5 Generation'!C23</f>
        <v>0</v>
      </c>
      <c r="D23" s="5">
        <f>'Claude Sonnet 4.5 Gen'!C23</f>
        <v>0</v>
      </c>
      <c r="E23" s="21"/>
      <c r="F23" s="80" t="s">
        <v>8</v>
      </c>
      <c r="G23" s="85" t="s">
        <v>217</v>
      </c>
      <c r="H23" s="85" t="s">
        <v>218</v>
      </c>
      <c r="I23" s="85" t="s">
        <v>219</v>
      </c>
      <c r="J23" s="84" t="s">
        <v>220</v>
      </c>
      <c r="K23" s="21"/>
      <c r="L23" s="80" t="s">
        <v>216</v>
      </c>
      <c r="M23" s="85" t="s">
        <v>217</v>
      </c>
      <c r="N23" s="85" t="s">
        <v>218</v>
      </c>
      <c r="O23" s="85" t="s">
        <v>219</v>
      </c>
      <c r="P23" s="21"/>
      <c r="Q23" s="80" t="s">
        <v>216</v>
      </c>
      <c r="R23" s="85" t="s">
        <v>217</v>
      </c>
      <c r="S23" s="85" t="s">
        <v>218</v>
      </c>
      <c r="T23" s="85" t="s">
        <v>219</v>
      </c>
      <c r="U23" s="21"/>
      <c r="V23" s="58" t="str">
        <f>"Metrics" &amp; " " &amp; F23</f>
        <v>Metrics Composite State</v>
      </c>
      <c r="W23" s="86" t="s">
        <v>222</v>
      </c>
      <c r="X23" s="86" t="s">
        <v>223</v>
      </c>
    </row>
    <row r="24" spans="1:2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'GPT-5 Generation'!C24</f>
        <v>1</v>
      </c>
      <c r="D24" s="5">
        <f>'Claude Sonnet 4.5 Gen'!C24</f>
        <v>1</v>
      </c>
      <c r="E24" s="21"/>
      <c r="F24" s="87">
        <v>0</v>
      </c>
      <c r="G24" s="88">
        <f>COUNTIFS($A$2:$A$116,$F$23,$C$2:$C$116,$F24,$D$2:$D$116,G$23)</f>
        <v>2</v>
      </c>
      <c r="H24" s="89">
        <f>COUNTIFS($A$2:$A$116,$F$23,$C$2:$C$116,$F24,$D$2:$D$116,H$23)</f>
        <v>0</v>
      </c>
      <c r="I24" s="90">
        <f>COUNTIFS($A$2:$A$109,$F$23,$C$2:$C$109,$F24,$D$2:$D$109,I$23) + MAX(D114-C114,0)</f>
        <v>0</v>
      </c>
      <c r="J24" s="80">
        <f>SUM(G24:I24)</f>
        <v>2</v>
      </c>
      <c r="K24" s="21"/>
      <c r="L24" s="87">
        <v>0</v>
      </c>
      <c r="M24" s="88">
        <f>ABS(G$2-$F24)/1</f>
        <v>0</v>
      </c>
      <c r="N24" s="89">
        <f>ABS(H$2-$F24)/1</f>
        <v>0.5</v>
      </c>
      <c r="O24" s="90">
        <f>ABS(I$2-$F24)/1</f>
        <v>1</v>
      </c>
      <c r="P24" s="21"/>
      <c r="Q24" s="87">
        <v>0</v>
      </c>
      <c r="R24" s="88">
        <f t="shared" ref="R24:T26" si="3">($J24/$J$27) * (G$27/$J$27)</f>
        <v>0.1111111111111111</v>
      </c>
      <c r="S24" s="89">
        <f t="shared" si="3"/>
        <v>0</v>
      </c>
      <c r="T24" s="90">
        <f t="shared" si="3"/>
        <v>0.22222222222222221</v>
      </c>
      <c r="U24" s="21"/>
      <c r="V24" s="86" t="s">
        <v>245</v>
      </c>
      <c r="W24" s="88">
        <f>SUMPRODUCT(G24:I26, M24:O26) /$J$27</f>
        <v>0</v>
      </c>
      <c r="X24" s="90" t="s">
        <v>246</v>
      </c>
    </row>
    <row r="25" spans="1:2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'GPT-5 Generation'!C25</f>
        <v>1</v>
      </c>
      <c r="D25" s="5">
        <f>'Claude Sonnet 4.5 Gen'!C25</f>
        <v>1</v>
      </c>
      <c r="E25" s="21"/>
      <c r="F25" s="87">
        <v>0.5</v>
      </c>
      <c r="G25" s="91">
        <f>COUNTIFS($A$2:$A$116,$F$23,$C$2:$C$116,$F25,$D$2:$D$116,G$23)</f>
        <v>0</v>
      </c>
      <c r="H25" s="80">
        <f>COUNTIFS($A$2:$A$116,$F$23,$C$2:$C$116,$F25,$D$2:$D$116,H$23)</f>
        <v>0</v>
      </c>
      <c r="I25" s="92">
        <f>COUNTIFS($A$2:$A$116,$F$23,$C$2:$C$116,$F25,$D$2:$D$116,I$23)</f>
        <v>0</v>
      </c>
      <c r="J25" s="80">
        <f>SUM(G25:I25)</f>
        <v>0</v>
      </c>
      <c r="K25" s="21"/>
      <c r="L25" s="87">
        <v>0.5</v>
      </c>
      <c r="M25" s="91">
        <f>ABS(G$2-$F25)/1</f>
        <v>0.5</v>
      </c>
      <c r="N25" s="80">
        <f>ABS(H$2-$F25)/3</f>
        <v>0</v>
      </c>
      <c r="O25" s="92">
        <f>ABS(I$2-$F25)/1</f>
        <v>0.5</v>
      </c>
      <c r="P25" s="21"/>
      <c r="Q25" s="87">
        <v>0.5</v>
      </c>
      <c r="R25" s="91">
        <f t="shared" si="3"/>
        <v>0</v>
      </c>
      <c r="S25" s="80">
        <f t="shared" si="3"/>
        <v>0</v>
      </c>
      <c r="T25" s="92">
        <f t="shared" si="3"/>
        <v>0</v>
      </c>
      <c r="U25" s="21"/>
      <c r="V25" s="86" t="s">
        <v>247</v>
      </c>
      <c r="W25" s="91">
        <f>SUMPRODUCT(R24:T26, M24:O26)</f>
        <v>0.44444444444444442</v>
      </c>
      <c r="X25" s="92" t="s">
        <v>248</v>
      </c>
    </row>
    <row r="26" spans="1:2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'GPT-5 Generation'!C26</f>
        <v>1</v>
      </c>
      <c r="D26" s="5">
        <f>'Claude Sonnet 4.5 Gen'!C26</f>
        <v>1</v>
      </c>
      <c r="E26" s="21"/>
      <c r="F26" s="87">
        <v>1</v>
      </c>
      <c r="G26" s="93">
        <f>COUNTIFS($A$2:$A$109,$F$23,$C$2:$C$109,$F26,$D$2:$D$109,G$23) + MAX(C114-D114,0)</f>
        <v>0</v>
      </c>
      <c r="H26" s="94">
        <f>COUNTIFS($A$2:$A$116,$F$23,$C$2:$C$116,$F26,$D$2:$D$116,H$23)</f>
        <v>0</v>
      </c>
      <c r="I26" s="95">
        <f>COUNTIFS($A$2:$A$109,$F$23,$C$2:$C$109,$F26,$D$2:$D$109,I$23) + MIN(C114,D114)</f>
        <v>4</v>
      </c>
      <c r="J26" s="80">
        <f>SUM(G26:I26)</f>
        <v>4</v>
      </c>
      <c r="K26" s="21"/>
      <c r="L26" s="87">
        <v>1</v>
      </c>
      <c r="M26" s="93">
        <f>ABS(G$2-$F26)/1</f>
        <v>1</v>
      </c>
      <c r="N26" s="94">
        <f>ABS(H$2-$F26)/1</f>
        <v>0.5</v>
      </c>
      <c r="O26" s="95">
        <f>ABS(I$2-$F26)/1</f>
        <v>0</v>
      </c>
      <c r="P26" s="21"/>
      <c r="Q26" s="87">
        <v>1</v>
      </c>
      <c r="R26" s="93">
        <f t="shared" si="3"/>
        <v>0.22222222222222221</v>
      </c>
      <c r="S26" s="94">
        <f t="shared" si="3"/>
        <v>0</v>
      </c>
      <c r="T26" s="95">
        <f t="shared" si="3"/>
        <v>0.44444444444444442</v>
      </c>
      <c r="U26" s="21"/>
      <c r="V26" s="86" t="s">
        <v>215</v>
      </c>
      <c r="W26" s="93">
        <f>1-W24/W25</f>
        <v>1</v>
      </c>
      <c r="X26" s="95" t="s">
        <v>249</v>
      </c>
    </row>
    <row r="27" spans="1:24" ht="15.75" customHeight="1" x14ac:dyDescent="0.15">
      <c r="A27" s="5" t="str">
        <f>Wumple!A27</f>
        <v>State</v>
      </c>
      <c r="B27" s="5" t="str">
        <f>Wumple!B27</f>
        <v>Idle</v>
      </c>
      <c r="C27" s="5">
        <f>'GPT-5 Generation'!C27</f>
        <v>1</v>
      </c>
      <c r="D27" s="5">
        <f>'Claude Sonnet 4.5 Gen'!C27</f>
        <v>1</v>
      </c>
      <c r="E27" s="21"/>
      <c r="F27" s="96" t="s">
        <v>229</v>
      </c>
      <c r="G27" s="80">
        <f>SUM(G24:G26)</f>
        <v>2</v>
      </c>
      <c r="H27" s="80">
        <f>SUM(H24:H26)</f>
        <v>0</v>
      </c>
      <c r="I27" s="80">
        <f>SUM(I24:I26)</f>
        <v>4</v>
      </c>
      <c r="J27" s="80">
        <f>SUM(G24:I26)</f>
        <v>6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'GPT-5 Generation'!C28</f>
        <v>1</v>
      </c>
      <c r="D28" s="5">
        <f>'Claude Sonnet 4.5 Gen'!C28</f>
        <v>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'GPT-5 Generation'!C29</f>
        <v>0.5</v>
      </c>
      <c r="D29" s="5">
        <f>'Claude Sonnet 4.5 Gen'!C29</f>
        <v>1</v>
      </c>
      <c r="E29" s="21"/>
      <c r="F29" s="99" t="s">
        <v>236</v>
      </c>
      <c r="G29" s="100"/>
      <c r="H29" s="100"/>
      <c r="I29" s="100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'GPT-5 Generation'!C30</f>
        <v>0.5</v>
      </c>
      <c r="D30" s="5">
        <f>'Claude Sonnet 4.5 Gen'!C30</f>
        <v>0</v>
      </c>
      <c r="E30" s="21"/>
      <c r="F30" s="80" t="s">
        <v>22</v>
      </c>
      <c r="G30" s="85" t="s">
        <v>217</v>
      </c>
      <c r="H30" s="85" t="s">
        <v>218</v>
      </c>
      <c r="I30" s="85" t="s">
        <v>219</v>
      </c>
      <c r="J30" s="84" t="s">
        <v>220</v>
      </c>
      <c r="K30" s="21"/>
      <c r="L30" s="80" t="s">
        <v>216</v>
      </c>
      <c r="M30" s="85">
        <v>0</v>
      </c>
      <c r="N30" s="85" t="s">
        <v>218</v>
      </c>
      <c r="O30" s="85" t="s">
        <v>219</v>
      </c>
      <c r="P30" s="21"/>
      <c r="Q30" s="80" t="s">
        <v>216</v>
      </c>
      <c r="R30" s="85" t="s">
        <v>217</v>
      </c>
      <c r="S30" s="85" t="s">
        <v>218</v>
      </c>
      <c r="T30" s="85" t="s">
        <v>219</v>
      </c>
      <c r="U30" s="21"/>
      <c r="V30" s="58" t="str">
        <f>"Metrics" &amp; " " &amp; F30</f>
        <v>Metrics Guard</v>
      </c>
      <c r="W30" s="86" t="s">
        <v>222</v>
      </c>
      <c r="X30" s="86" t="s">
        <v>223</v>
      </c>
    </row>
    <row r="31" spans="1:2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'GPT-5 Generation'!C31</f>
        <v>1</v>
      </c>
      <c r="D31" s="5">
        <f>'Claude Sonnet 4.5 Gen'!C31</f>
        <v>1</v>
      </c>
      <c r="E31" s="21"/>
      <c r="F31" s="87">
        <v>0</v>
      </c>
      <c r="G31" s="88">
        <f>COUNTIFS($A$2:$A$116,$F$30,$C$2:$C$116,$F31,$D$2:$D$116,G$30)</f>
        <v>3</v>
      </c>
      <c r="H31" s="89">
        <f>COUNTIFS($A$2:$A$116,$F$30,$C$2:$C$116,$F31,$D$2:$D$116,H$30)</f>
        <v>0</v>
      </c>
      <c r="I31" s="90">
        <f>COUNTIFS($A$2:$A$109,$F$30,$C$2:$C$109,$F31,$D$2:$D$109,I$30) + MAX(D112-C112,0)</f>
        <v>0</v>
      </c>
      <c r="J31" s="80">
        <f>SUM(G31:I31)</f>
        <v>3</v>
      </c>
      <c r="K31" s="21"/>
      <c r="L31" s="87">
        <v>0</v>
      </c>
      <c r="M31" s="88">
        <f>ABS(G$2-$F31)/1</f>
        <v>0</v>
      </c>
      <c r="N31" s="89">
        <f>ABS(H$2-$F31)/1</f>
        <v>0.5</v>
      </c>
      <c r="O31" s="90">
        <f>ABS(I$2-$F31)/1</f>
        <v>1</v>
      </c>
      <c r="P31" s="21"/>
      <c r="Q31" s="87">
        <v>0</v>
      </c>
      <c r="R31" s="88">
        <f t="shared" ref="R31:T33" si="4">($J31/$J$34) * (G$34/$J$34)</f>
        <v>0.5625</v>
      </c>
      <c r="S31" s="89">
        <f t="shared" si="4"/>
        <v>0</v>
      </c>
      <c r="T31" s="90">
        <f t="shared" si="4"/>
        <v>0.1875</v>
      </c>
      <c r="U31" s="21"/>
      <c r="V31" s="86" t="s">
        <v>245</v>
      </c>
      <c r="W31" s="88">
        <f>SUMPRODUCT(G31:I33, M31:O33) /$J$34</f>
        <v>0</v>
      </c>
      <c r="X31" s="90" t="s">
        <v>246</v>
      </c>
    </row>
    <row r="32" spans="1:2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'GPT-5 Generation'!C32</f>
        <v>1</v>
      </c>
      <c r="D32" s="5">
        <f>'Claude Sonnet 4.5 Gen'!C32</f>
        <v>0</v>
      </c>
      <c r="E32" s="21"/>
      <c r="F32" s="87">
        <v>0.5</v>
      </c>
      <c r="G32" s="91">
        <f>COUNTIFS($A$2:$A$116,$F$30,$C$2:$C$116,$F32,$D$2:$D$116,G$30)</f>
        <v>0</v>
      </c>
      <c r="H32" s="80">
        <f>COUNTIFS($A$2:$A$116,$F$30,$C$2:$C$116,$F32,$D$2:$D$116,H$30)</f>
        <v>0</v>
      </c>
      <c r="I32" s="92">
        <f>COUNTIFS($A$2:$A$116,$F$30,$C$2:$C$116,$F32,$D$2:$D$116,I$30)</f>
        <v>0</v>
      </c>
      <c r="J32" s="80">
        <f>SUM(G32:I32)</f>
        <v>0</v>
      </c>
      <c r="K32" s="21"/>
      <c r="L32" s="87">
        <v>0.5</v>
      </c>
      <c r="M32" s="91">
        <f>ABS(G$2-$F32)/1</f>
        <v>0.5</v>
      </c>
      <c r="N32" s="80">
        <f>ABS(H$2-$F32)/3</f>
        <v>0</v>
      </c>
      <c r="O32" s="92">
        <f>ABS(I$2-$F32)/1</f>
        <v>0.5</v>
      </c>
      <c r="P32" s="21"/>
      <c r="Q32" s="87">
        <v>0.5</v>
      </c>
      <c r="R32" s="91">
        <f t="shared" si="4"/>
        <v>0</v>
      </c>
      <c r="S32" s="80">
        <f t="shared" si="4"/>
        <v>0</v>
      </c>
      <c r="T32" s="92">
        <f t="shared" si="4"/>
        <v>0</v>
      </c>
      <c r="U32" s="21"/>
      <c r="V32" s="86" t="s">
        <v>247</v>
      </c>
      <c r="W32" s="91">
        <f>SUMPRODUCT(R31:T33, M31:O33)</f>
        <v>0.375</v>
      </c>
      <c r="X32" s="92" t="s">
        <v>248</v>
      </c>
    </row>
    <row r="33" spans="1:2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'GPT-5 Generation'!C33</f>
        <v>1</v>
      </c>
      <c r="D33" s="5">
        <f>'Claude Sonnet 4.5 Gen'!C33</f>
        <v>1</v>
      </c>
      <c r="E33" s="21"/>
      <c r="F33" s="87">
        <v>1</v>
      </c>
      <c r="G33" s="93">
        <f>COUNTIFS($A$2:$A$109,$F$30,$C$2:$C$109,$F33,$D$2:$D$109,G$30) + MAX(C112-D112,0)</f>
        <v>0</v>
      </c>
      <c r="H33" s="94">
        <f>COUNTIFS($A$2:$A$116,$F$30,$C$2:$C$116,$F33,$D$2:$D$116,H$30)</f>
        <v>0</v>
      </c>
      <c r="I33" s="95">
        <f>COUNTIFS($A$2:$A$109,$F$30,$C$2:$C$109,$F33,$D$2:$D$109,I$30) + MIN(C112,D112)</f>
        <v>1</v>
      </c>
      <c r="J33" s="80">
        <f>SUM(G33:I33)</f>
        <v>1</v>
      </c>
      <c r="K33" s="21"/>
      <c r="L33" s="87">
        <v>1</v>
      </c>
      <c r="M33" s="93">
        <f>ABS(G$2-$F33)/1</f>
        <v>1</v>
      </c>
      <c r="N33" s="94">
        <f>ABS(H$2-$F33)/1</f>
        <v>0.5</v>
      </c>
      <c r="O33" s="95">
        <f>ABS(I$2-$F33)/1</f>
        <v>0</v>
      </c>
      <c r="P33" s="21"/>
      <c r="Q33" s="87">
        <v>1</v>
      </c>
      <c r="R33" s="93">
        <f t="shared" si="4"/>
        <v>0.1875</v>
      </c>
      <c r="S33" s="94">
        <f t="shared" si="4"/>
        <v>0</v>
      </c>
      <c r="T33" s="95">
        <f t="shared" si="4"/>
        <v>6.25E-2</v>
      </c>
      <c r="U33" s="21"/>
      <c r="V33" s="86" t="s">
        <v>215</v>
      </c>
      <c r="W33" s="93">
        <f>1-W31/W32</f>
        <v>1</v>
      </c>
      <c r="X33" s="95" t="s">
        <v>249</v>
      </c>
    </row>
    <row r="34" spans="1:2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'GPT-5 Generation'!C34</f>
        <v>1</v>
      </c>
      <c r="D34" s="5">
        <f>'Claude Sonnet 4.5 Gen'!C34</f>
        <v>0</v>
      </c>
      <c r="E34" s="21"/>
      <c r="F34" s="96" t="s">
        <v>229</v>
      </c>
      <c r="G34" s="80">
        <f>SUM(G31:G33)</f>
        <v>3</v>
      </c>
      <c r="H34" s="80">
        <f>SUM(H31:H33)</f>
        <v>0</v>
      </c>
      <c r="I34" s="80">
        <f>SUM(I31:I33)</f>
        <v>1</v>
      </c>
      <c r="J34" s="80">
        <f>SUM(G31:I33)</f>
        <v>4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'GPT-5 Generation'!C35</f>
        <v>1</v>
      </c>
      <c r="D35" s="5">
        <f>'Claude Sonnet 4.5 Gen'!C35</f>
        <v>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5.75" customHeight="1" x14ac:dyDescent="0.15">
      <c r="A36" s="5" t="str">
        <f>Wumple!A36</f>
        <v>State</v>
      </c>
      <c r="B36" s="5" t="str">
        <f>Wumple!B36</f>
        <v>Seconds</v>
      </c>
      <c r="C36" s="5">
        <f>'GPT-5 Generation'!C36</f>
        <v>1</v>
      </c>
      <c r="D36" s="5">
        <f>'Claude Sonnet 4.5 Gen'!C36</f>
        <v>1</v>
      </c>
      <c r="E36" s="21"/>
      <c r="F36" s="99" t="s">
        <v>238</v>
      </c>
      <c r="G36" s="100"/>
      <c r="H36" s="100"/>
      <c r="I36" s="100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'GPT-5 Generation'!C37</f>
        <v>1</v>
      </c>
      <c r="D37" s="5">
        <f>'Claude Sonnet 4.5 Gen'!C37</f>
        <v>1</v>
      </c>
      <c r="E37" s="21"/>
      <c r="F37" s="80" t="s">
        <v>6</v>
      </c>
      <c r="G37" s="97" t="s">
        <v>217</v>
      </c>
      <c r="H37" s="97" t="s">
        <v>218</v>
      </c>
      <c r="I37" s="97" t="s">
        <v>219</v>
      </c>
      <c r="J37" s="84" t="s">
        <v>220</v>
      </c>
      <c r="K37" s="21"/>
      <c r="L37" s="80" t="s">
        <v>216</v>
      </c>
      <c r="M37" s="85">
        <v>0</v>
      </c>
      <c r="N37" s="85" t="s">
        <v>218</v>
      </c>
      <c r="O37" s="85" t="s">
        <v>219</v>
      </c>
      <c r="P37" s="21"/>
      <c r="Q37" s="80" t="s">
        <v>216</v>
      </c>
      <c r="R37" s="85" t="s">
        <v>217</v>
      </c>
      <c r="S37" s="85" t="s">
        <v>218</v>
      </c>
      <c r="T37" s="85" t="s">
        <v>219</v>
      </c>
      <c r="U37" s="21"/>
      <c r="V37" s="58" t="str">
        <f>"Metrics" &amp; " " &amp; F37</f>
        <v>Metrics Action</v>
      </c>
      <c r="W37" s="86" t="s">
        <v>222</v>
      </c>
      <c r="X37" s="86" t="s">
        <v>223</v>
      </c>
    </row>
    <row r="38" spans="1:24" ht="15.75" customHeight="1" x14ac:dyDescent="0.15">
      <c r="A38" s="5" t="str">
        <f>Wumple!A38</f>
        <v>Action</v>
      </c>
      <c r="B38" s="5" t="str">
        <f>Wumple!B38</f>
        <v>time+=1sec</v>
      </c>
      <c r="C38" s="5">
        <f>'GPT-5 Generation'!C38</f>
        <v>1</v>
      </c>
      <c r="D38" s="5">
        <f>'Claude Sonnet 4.5 Gen'!C38</f>
        <v>0.5</v>
      </c>
      <c r="E38" s="21"/>
      <c r="F38" s="98">
        <v>0</v>
      </c>
      <c r="G38" s="88">
        <f>COUNTIFS($A$2:$A$116,F37,$C$2:$C$116,$F38,$D$2:$D$116,G37)</f>
        <v>4</v>
      </c>
      <c r="H38" s="89">
        <f>COUNTIFS($A$2:$A$116,F37,$C$2:$C$116,$F38,$D$2:$D$116,H37)</f>
        <v>1</v>
      </c>
      <c r="I38" s="90">
        <f>COUNTIFS($A$2:$A$109,F37,$C$2:$C$109,$F38,$D$2:$D$109,I37)+MAX(D113-C113,0)</f>
        <v>0</v>
      </c>
      <c r="J38" s="80">
        <f>SUM(G38:I38)</f>
        <v>5</v>
      </c>
      <c r="K38" s="21"/>
      <c r="L38" s="87">
        <v>0</v>
      </c>
      <c r="M38" s="88">
        <f>ABS(G$2-$F38)/1</f>
        <v>0</v>
      </c>
      <c r="N38" s="89">
        <f>ABS(H$2-$F38)/1</f>
        <v>0.5</v>
      </c>
      <c r="O38" s="90">
        <f>ABS(I$2-$F38)/1</f>
        <v>1</v>
      </c>
      <c r="P38" s="21"/>
      <c r="Q38" s="87">
        <v>0</v>
      </c>
      <c r="R38" s="88">
        <f t="shared" ref="R38:T40" si="5">($J38/$J$41) * (G$41/$J$41)</f>
        <v>8.3102493074792241E-2</v>
      </c>
      <c r="S38" s="89">
        <f t="shared" si="5"/>
        <v>4.5013850415512466E-2</v>
      </c>
      <c r="T38" s="90">
        <f t="shared" si="5"/>
        <v>0</v>
      </c>
      <c r="U38" s="21"/>
      <c r="V38" s="86" t="s">
        <v>245</v>
      </c>
      <c r="W38" s="88">
        <f>SUMPRODUCT(G38:I40, M38:O40) /$J$41</f>
        <v>0.68421052631578949</v>
      </c>
      <c r="X38" s="90" t="s">
        <v>246</v>
      </c>
    </row>
    <row r="39" spans="1:2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'GPT-5 Generation'!C39</f>
        <v>1</v>
      </c>
      <c r="D39" s="5">
        <f>'Claude Sonnet 4.5 Gen'!C39</f>
        <v>1</v>
      </c>
      <c r="E39" s="21"/>
      <c r="F39" s="98">
        <v>0.5</v>
      </c>
      <c r="G39" s="91">
        <f>COUNTIFS($A$2:$A$116,F37,$C$2:$C$116,$F39,$D$2:$D$116,G37)</f>
        <v>1</v>
      </c>
      <c r="H39" s="80">
        <f>COUNTIFS($A$2:$A$116,F37,$C$2:$C$116,$F38,$D$2:$D$116,H37)</f>
        <v>1</v>
      </c>
      <c r="I39" s="92">
        <f>COUNTIFS($A$2:$A$116,F37,$C$2:$C$116,$F39,$D$2:$D$116,I37)</f>
        <v>0</v>
      </c>
      <c r="J39" s="80">
        <f>SUM(G39:I39)</f>
        <v>2</v>
      </c>
      <c r="K39" s="21"/>
      <c r="L39" s="87">
        <v>0.5</v>
      </c>
      <c r="M39" s="91">
        <f>ABS(G$2-$F39)/1</f>
        <v>0.5</v>
      </c>
      <c r="N39" s="80">
        <f>ABS(H$2-$F39)/3</f>
        <v>0</v>
      </c>
      <c r="O39" s="92">
        <f>ABS(I$2-$F39)/1</f>
        <v>0.5</v>
      </c>
      <c r="P39" s="21"/>
      <c r="Q39" s="87">
        <v>0.5</v>
      </c>
      <c r="R39" s="91">
        <f t="shared" si="5"/>
        <v>3.3240997229916892E-2</v>
      </c>
      <c r="S39" s="80">
        <f t="shared" si="5"/>
        <v>1.8005540166204984E-2</v>
      </c>
      <c r="T39" s="92">
        <f t="shared" si="5"/>
        <v>0</v>
      </c>
      <c r="U39" s="21"/>
      <c r="V39" s="86" t="s">
        <v>247</v>
      </c>
      <c r="W39" s="91">
        <f>SUMPRODUCT(R38:T40, M38:O40)</f>
        <v>0.69390581717451527</v>
      </c>
      <c r="X39" s="92" t="s">
        <v>248</v>
      </c>
    </row>
    <row r="40" spans="1:2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'GPT-5 Generation'!C40</f>
        <v>1</v>
      </c>
      <c r="D40" s="5">
        <f>'Claude Sonnet 4.5 Gen'!C40</f>
        <v>0</v>
      </c>
      <c r="E40" s="21"/>
      <c r="F40" s="98">
        <v>1</v>
      </c>
      <c r="G40" s="93">
        <f>COUNTIFS($A$2:$A$109,F37,$C$2:$C$109,$F40,$D$2:$D$109,G37)+MAX(C113-D113,0)</f>
        <v>19</v>
      </c>
      <c r="H40" s="94">
        <f>COUNTIFS($A$2:$A$116,F37,$C$2:$C$116,$F40,$D$2:$D$116,H37)</f>
        <v>12</v>
      </c>
      <c r="I40" s="95">
        <f>COUNTIFS($A$2:$A$109,F37,$C$2:$C$109,$F40,$D$2:$D$109,I37) + MIN(C113,D113)</f>
        <v>0</v>
      </c>
      <c r="J40" s="80">
        <f>SUM(G40:I40)</f>
        <v>31</v>
      </c>
      <c r="K40" s="21"/>
      <c r="L40" s="87">
        <v>1</v>
      </c>
      <c r="M40" s="93">
        <f>ABS(G$2-$F40)/1</f>
        <v>1</v>
      </c>
      <c r="N40" s="94">
        <f>ABS(H$2-$F40)/1</f>
        <v>0.5</v>
      </c>
      <c r="O40" s="95">
        <f>ABS(I$2-$F40)/1</f>
        <v>0</v>
      </c>
      <c r="P40" s="21"/>
      <c r="Q40" s="87">
        <v>1</v>
      </c>
      <c r="R40" s="93">
        <f t="shared" si="5"/>
        <v>0.51523545706371188</v>
      </c>
      <c r="S40" s="94">
        <f t="shared" si="5"/>
        <v>0.27908587257617729</v>
      </c>
      <c r="T40" s="95">
        <f t="shared" si="5"/>
        <v>0</v>
      </c>
      <c r="U40" s="21"/>
      <c r="V40" s="86" t="s">
        <v>215</v>
      </c>
      <c r="W40" s="93">
        <f>1-W38/W39</f>
        <v>1.3972055888223589E-2</v>
      </c>
      <c r="X40" s="95" t="s">
        <v>249</v>
      </c>
    </row>
    <row r="41" spans="1:24" ht="15.75" customHeight="1" x14ac:dyDescent="0.15">
      <c r="A41" s="5" t="str">
        <f>Wumple!A41</f>
        <v>State</v>
      </c>
      <c r="B41" s="5" t="str">
        <f>Wumple!B41</f>
        <v>Minutes</v>
      </c>
      <c r="C41" s="5">
        <f>'GPT-5 Generation'!C41</f>
        <v>1</v>
      </c>
      <c r="D41" s="5">
        <f>'Claude Sonnet 4.5 Gen'!C41</f>
        <v>1</v>
      </c>
      <c r="E41" s="21"/>
      <c r="F41" s="96" t="s">
        <v>229</v>
      </c>
      <c r="G41" s="80">
        <f>SUM(G38:G40)</f>
        <v>24</v>
      </c>
      <c r="H41" s="80">
        <f>SUM(H39:H40)</f>
        <v>13</v>
      </c>
      <c r="I41" s="80">
        <f>SUM(I38:I40)</f>
        <v>0</v>
      </c>
      <c r="J41" s="80">
        <f>SUM(G38:I40)</f>
        <v>38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'GPT-5 Generation'!C42</f>
        <v>1</v>
      </c>
      <c r="D42" s="5">
        <f>'Claude Sonnet 4.5 Gen'!C42</f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5.75" customHeight="1" x14ac:dyDescent="0.15">
      <c r="A43" s="5" t="str">
        <f>Wumple!A43</f>
        <v>Action</v>
      </c>
      <c r="B43" s="5" t="str">
        <f>Wumple!B43</f>
        <v>time+=1min</v>
      </c>
      <c r="C43" s="5">
        <f>'GPT-5 Generation'!C43</f>
        <v>1</v>
      </c>
      <c r="D43" s="5">
        <f>'Claude Sonnet 4.5 Gen'!C43</f>
        <v>0.5</v>
      </c>
      <c r="E43" s="21"/>
      <c r="F43" s="99" t="s">
        <v>240</v>
      </c>
      <c r="G43" s="100"/>
      <c r="H43" s="100"/>
      <c r="I43" s="10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'GPT-5 Generation'!C44</f>
        <v>1</v>
      </c>
      <c r="D44" s="5">
        <f>'Claude Sonnet 4.5 Gen'!C44</f>
        <v>1</v>
      </c>
      <c r="E44" s="21"/>
      <c r="F44" s="80" t="s">
        <v>82</v>
      </c>
      <c r="G44" s="85" t="s">
        <v>217</v>
      </c>
      <c r="H44" s="85" t="s">
        <v>218</v>
      </c>
      <c r="I44" s="85" t="s">
        <v>219</v>
      </c>
      <c r="J44" s="84" t="s">
        <v>220</v>
      </c>
      <c r="K44" s="21"/>
      <c r="L44" s="80" t="s">
        <v>216</v>
      </c>
      <c r="M44" s="85" t="s">
        <v>217</v>
      </c>
      <c r="N44" s="85" t="s">
        <v>218</v>
      </c>
      <c r="O44" s="85" t="s">
        <v>219</v>
      </c>
      <c r="P44" s="21"/>
      <c r="Q44" s="80" t="s">
        <v>216</v>
      </c>
      <c r="R44" s="85" t="s">
        <v>217</v>
      </c>
      <c r="S44" s="85" t="s">
        <v>218</v>
      </c>
      <c r="T44" s="85" t="s">
        <v>219</v>
      </c>
      <c r="U44" s="21"/>
      <c r="V44" s="58" t="str">
        <f>"Metrics" &amp; " " &amp; F44</f>
        <v>Metrics History State</v>
      </c>
      <c r="W44" s="86" t="s">
        <v>222</v>
      </c>
      <c r="X44" s="86" t="s">
        <v>223</v>
      </c>
    </row>
    <row r="45" spans="1:24" ht="15.75" customHeight="1" x14ac:dyDescent="0.15">
      <c r="A45" s="5" t="str">
        <f>Wumple!A45</f>
        <v>Action</v>
      </c>
      <c r="B45" s="5" t="str">
        <f>Wumple!B45</f>
        <v>flashHours()</v>
      </c>
      <c r="C45" s="5">
        <f>'GPT-5 Generation'!C45</f>
        <v>1</v>
      </c>
      <c r="D45" s="5">
        <f>'Claude Sonnet 4.5 Gen'!C45</f>
        <v>0</v>
      </c>
      <c r="E45" s="21"/>
      <c r="F45" s="87">
        <v>0</v>
      </c>
      <c r="G45" s="88">
        <f>COUNTIFS($A$2:$A$116,$F$44,$C$2:$C$116,$F45,$D$2:$D$116,G$44)</f>
        <v>1</v>
      </c>
      <c r="H45" s="89">
        <f>COUNTIFS($A$2:$A$116,$F$44,$C$2:$C$116,$F45,$D$2:$D$116,H$44)</f>
        <v>0</v>
      </c>
      <c r="I45" s="90">
        <f>COUNTIFS($A$2:$A$109,$F$44,$C$2:$C$109,$F45,$D$2:$D$109,I$44) + MAX(D116-C116,0)</f>
        <v>0</v>
      </c>
      <c r="J45" s="80">
        <f>SUM(G45:I45)</f>
        <v>1</v>
      </c>
      <c r="K45" s="21"/>
      <c r="L45" s="87">
        <v>0</v>
      </c>
      <c r="M45" s="88">
        <f>ABS(G$2-$F45)/1</f>
        <v>0</v>
      </c>
      <c r="N45" s="89">
        <f>ABS(H$2-$F45)/1</f>
        <v>0.5</v>
      </c>
      <c r="O45" s="90">
        <f>ABS(I$2-$F45)/1</f>
        <v>1</v>
      </c>
      <c r="P45" s="21"/>
      <c r="Q45" s="87">
        <v>0</v>
      </c>
      <c r="R45" s="88">
        <f t="shared" ref="R45:T47" si="6">($J45/$J$48) * (G$48/$J$48)</f>
        <v>0.25</v>
      </c>
      <c r="S45" s="89">
        <f t="shared" si="6"/>
        <v>0</v>
      </c>
      <c r="T45" s="90">
        <f t="shared" si="6"/>
        <v>0.25</v>
      </c>
      <c r="U45" s="21"/>
      <c r="V45" s="86" t="s">
        <v>245</v>
      </c>
      <c r="W45" s="88">
        <f>SUMPRODUCT(G45:I47, M45:O47) /$J$48</f>
        <v>0</v>
      </c>
      <c r="X45" s="90" t="s">
        <v>246</v>
      </c>
    </row>
    <row r="46" spans="1:24" ht="15.75" customHeight="1" x14ac:dyDescent="0.15">
      <c r="A46" s="5" t="str">
        <f>Wumple!A46</f>
        <v>State</v>
      </c>
      <c r="B46" s="5" t="str">
        <f>Wumple!B46</f>
        <v>Hours</v>
      </c>
      <c r="C46" s="5">
        <f>'GPT-5 Generation'!C46</f>
        <v>1</v>
      </c>
      <c r="D46" s="5">
        <f>'Claude Sonnet 4.5 Gen'!C46</f>
        <v>1</v>
      </c>
      <c r="E46" s="21"/>
      <c r="F46" s="87">
        <v>0.5</v>
      </c>
      <c r="G46" s="91">
        <f>COUNTIFS($A$2:$A$116,$F$44,$C$2:$C$116,$F46,$D$2:$D$116,G$44)</f>
        <v>0</v>
      </c>
      <c r="H46" s="80">
        <f>COUNTIFS($A$2:$A$116,$F$44,$C$2:$C$116,$F46,$D$2:$D$116,H$44)</f>
        <v>0</v>
      </c>
      <c r="I46" s="92">
        <f>COUNTIFS($A$2:$A$116,$F$44,$C$2:$C$116,$F46,$D$2:$D$116,I$44)</f>
        <v>0</v>
      </c>
      <c r="J46" s="80">
        <f>SUM(G46:I46)</f>
        <v>0</v>
      </c>
      <c r="K46" s="21"/>
      <c r="L46" s="87">
        <v>0.5</v>
      </c>
      <c r="M46" s="91">
        <f>ABS(G$2-$F46)/1</f>
        <v>0.5</v>
      </c>
      <c r="N46" s="80">
        <f>ABS(H$2-$F46)/3</f>
        <v>0</v>
      </c>
      <c r="O46" s="92">
        <f>ABS(I$2-$F46)/1</f>
        <v>0.5</v>
      </c>
      <c r="P46" s="21"/>
      <c r="Q46" s="87">
        <v>0.5</v>
      </c>
      <c r="R46" s="91">
        <f t="shared" si="6"/>
        <v>0</v>
      </c>
      <c r="S46" s="80">
        <f t="shared" si="6"/>
        <v>0</v>
      </c>
      <c r="T46" s="92">
        <f t="shared" si="6"/>
        <v>0</v>
      </c>
      <c r="U46" s="21"/>
      <c r="V46" s="86" t="s">
        <v>247</v>
      </c>
      <c r="W46" s="91">
        <f>SUMPRODUCT(R45:T47, M45:O47)</f>
        <v>0.5</v>
      </c>
      <c r="X46" s="92" t="s">
        <v>248</v>
      </c>
    </row>
    <row r="47" spans="1:2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'GPT-5 Generation'!C47</f>
        <v>1</v>
      </c>
      <c r="D47" s="5">
        <f>'Claude Sonnet 4.5 Gen'!C47</f>
        <v>1</v>
      </c>
      <c r="E47" s="21"/>
      <c r="F47" s="87">
        <v>1</v>
      </c>
      <c r="G47" s="93">
        <f>COUNTIFS($A$2:$A$109,$F$44,$C$2:$C$109,$F47,$D$2:$D$109,G$44) + MAX(C116-D116,0)</f>
        <v>0</v>
      </c>
      <c r="H47" s="94">
        <f>COUNTIFS($A$2:$A$116,$F$44,$C$2:$C$116,$F47,$D$2:$D$116,H$44)</f>
        <v>0</v>
      </c>
      <c r="I47" s="95">
        <f>COUNTIFS($A$2:$A$109,$F$44,$C$2:$C$109,$F47,$D$2:$D$109,I$44) + MIN(C116,D116)</f>
        <v>1</v>
      </c>
      <c r="J47" s="80">
        <f>SUM(G47:I47)</f>
        <v>1</v>
      </c>
      <c r="K47" s="21"/>
      <c r="L47" s="87">
        <v>1</v>
      </c>
      <c r="M47" s="93">
        <f>ABS(G$2-$F47)/1</f>
        <v>1</v>
      </c>
      <c r="N47" s="94">
        <f>ABS(H$2-$F47)/1</f>
        <v>0.5</v>
      </c>
      <c r="O47" s="95">
        <f>ABS(I$2-$F47)/1</f>
        <v>0</v>
      </c>
      <c r="P47" s="21"/>
      <c r="Q47" s="87">
        <v>1</v>
      </c>
      <c r="R47" s="93">
        <f t="shared" si="6"/>
        <v>0.25</v>
      </c>
      <c r="S47" s="94">
        <f t="shared" si="6"/>
        <v>0</v>
      </c>
      <c r="T47" s="95">
        <f t="shared" si="6"/>
        <v>0.25</v>
      </c>
      <c r="U47" s="21"/>
      <c r="V47" s="86" t="s">
        <v>215</v>
      </c>
      <c r="W47" s="93">
        <f>1-W45/W46</f>
        <v>1</v>
      </c>
      <c r="X47" s="95" t="s">
        <v>249</v>
      </c>
    </row>
    <row r="48" spans="1:24" ht="15.75" customHeight="1" x14ac:dyDescent="0.15">
      <c r="A48" s="5" t="str">
        <f>Wumple!A48</f>
        <v>Action</v>
      </c>
      <c r="B48" s="5" t="str">
        <f>Wumple!B48</f>
        <v>time+=1hr</v>
      </c>
      <c r="C48" s="5">
        <f>'GPT-5 Generation'!C48</f>
        <v>1</v>
      </c>
      <c r="D48" s="5">
        <f>'Claude Sonnet 4.5 Gen'!C48</f>
        <v>0.5</v>
      </c>
      <c r="E48" s="21"/>
      <c r="F48" s="96" t="s">
        <v>229</v>
      </c>
      <c r="G48" s="80">
        <f>SUM(G45:G47)</f>
        <v>1</v>
      </c>
      <c r="H48" s="80">
        <f>SUM(H45:H47)</f>
        <v>0</v>
      </c>
      <c r="I48" s="80">
        <f>SUM(I45:I47)</f>
        <v>1</v>
      </c>
      <c r="J48" s="80">
        <f>SUM(G45:I47)</f>
        <v>2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'GPT-5 Generation'!C49</f>
        <v>1</v>
      </c>
      <c r="D49" s="5">
        <f>'Claude Sonnet 4.5 Gen'!C49</f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'GPT-5 Generation'!C50</f>
        <v>1</v>
      </c>
      <c r="D50" s="5">
        <f>'Claude Sonnet 4.5 Gen'!C50</f>
        <v>0</v>
      </c>
      <c r="E50" s="21"/>
      <c r="F50" s="99" t="s">
        <v>242</v>
      </c>
      <c r="G50" s="100"/>
      <c r="H50" s="100"/>
      <c r="I50" s="100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'GPT-5 Generation'!C51</f>
        <v>1</v>
      </c>
      <c r="D51" s="5">
        <f>'Claude Sonnet 4.5 Gen'!C51</f>
        <v>1</v>
      </c>
      <c r="E51" s="21"/>
      <c r="F51" s="80" t="s">
        <v>10</v>
      </c>
      <c r="G51" s="85" t="s">
        <v>217</v>
      </c>
      <c r="H51" s="85" t="s">
        <v>218</v>
      </c>
      <c r="I51" s="85" t="s">
        <v>219</v>
      </c>
      <c r="J51" s="84" t="s">
        <v>220</v>
      </c>
      <c r="K51" s="21"/>
      <c r="L51" s="80" t="s">
        <v>216</v>
      </c>
      <c r="M51" s="85" t="s">
        <v>217</v>
      </c>
      <c r="N51" s="85" t="s">
        <v>218</v>
      </c>
      <c r="O51" s="85" t="s">
        <v>219</v>
      </c>
      <c r="P51" s="21"/>
      <c r="Q51" s="80" t="s">
        <v>216</v>
      </c>
      <c r="R51" s="85" t="s">
        <v>217</v>
      </c>
      <c r="S51" s="85" t="s">
        <v>218</v>
      </c>
      <c r="T51" s="85" t="s">
        <v>219</v>
      </c>
      <c r="U51" s="21"/>
      <c r="V51" s="58" t="str">
        <f>"Metrics" &amp; " " &amp; F51</f>
        <v>Metrics Region</v>
      </c>
      <c r="W51" s="86" t="s">
        <v>222</v>
      </c>
      <c r="X51" s="86" t="s">
        <v>223</v>
      </c>
    </row>
    <row r="52" spans="1:2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'GPT-5 Generation'!C52</f>
        <v>1</v>
      </c>
      <c r="D52" s="5">
        <f>'Claude Sonnet 4.5 Gen'!C52</f>
        <v>1</v>
      </c>
      <c r="E52" s="21"/>
      <c r="F52" s="87">
        <v>0</v>
      </c>
      <c r="G52" s="88">
        <f>COUNTIFS($A$2:$A$116,$F$51,$C$2:$C$116,$F52,$D$2:$D$116,G$51)</f>
        <v>0</v>
      </c>
      <c r="H52" s="89">
        <f>COUNTIFS($A$2:$A$116,$F$51,$C$2:$C$116,$F52,$D$2:$D$116,H$51)</f>
        <v>0</v>
      </c>
      <c r="I52" s="90">
        <f>COUNTIFS($A$2:$A$109,$F$51,$C$2:$C$109,$F52,$D$2:$D$109,I$51)+MAX(D115-C115,0)</f>
        <v>0</v>
      </c>
      <c r="J52" s="80">
        <f>SUM(G52:I52)</f>
        <v>0</v>
      </c>
      <c r="K52" s="21"/>
      <c r="L52" s="87">
        <v>0</v>
      </c>
      <c r="M52" s="88">
        <f>ABS(G$2-$F52)/1</f>
        <v>0</v>
      </c>
      <c r="N52" s="89">
        <f>ABS(H$2-$F52)/1</f>
        <v>0.5</v>
      </c>
      <c r="O52" s="90">
        <f>ABS(I$2-$F52)/1</f>
        <v>1</v>
      </c>
      <c r="P52" s="21"/>
      <c r="Q52" s="87">
        <v>0</v>
      </c>
      <c r="R52" s="88">
        <f t="shared" ref="R52:T54" si="7">($J52/$J$55) * (G$55/$J$55)</f>
        <v>0</v>
      </c>
      <c r="S52" s="89">
        <f t="shared" si="7"/>
        <v>0</v>
      </c>
      <c r="T52" s="90">
        <f t="shared" si="7"/>
        <v>0</v>
      </c>
      <c r="U52" s="21"/>
      <c r="V52" s="86" t="s">
        <v>245</v>
      </c>
      <c r="W52" s="88">
        <f>SUMPRODUCT(G52:I54, M52:O54) /$J$55</f>
        <v>0.625</v>
      </c>
      <c r="X52" s="90" t="s">
        <v>246</v>
      </c>
    </row>
    <row r="53" spans="1:2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'GPT-5 Generation'!C53</f>
        <v>1</v>
      </c>
      <c r="D53" s="5">
        <f>'Claude Sonnet 4.5 Gen'!C53</f>
        <v>1</v>
      </c>
      <c r="E53" s="21"/>
      <c r="F53" s="87">
        <v>0.5</v>
      </c>
      <c r="G53" s="91">
        <f>COUNTIFS($A$2:$A$116,$F$51,$C$2:$C$116,$F53,$D$2:$D$116,G$51)</f>
        <v>0</v>
      </c>
      <c r="H53" s="80">
        <f>COUNTIFS($A$2:$A$116,$F$51,$C$2:$C$116,$F53,$D$2:$D$116,H$51)</f>
        <v>0</v>
      </c>
      <c r="I53" s="92">
        <f>COUNTIFS($A$2:$A$116,$F$51,$C$2:$C$116,$F53,$D$2:$D$116,I$51)</f>
        <v>1</v>
      </c>
      <c r="J53" s="80">
        <f>SUM(G53:I53)</f>
        <v>1</v>
      </c>
      <c r="K53" s="21"/>
      <c r="L53" s="87">
        <v>0.5</v>
      </c>
      <c r="M53" s="91">
        <f>ABS(G$2-$F53)/1</f>
        <v>0.5</v>
      </c>
      <c r="N53" s="80">
        <f>ABS(H$2-$F53)/3</f>
        <v>0</v>
      </c>
      <c r="O53" s="92">
        <f>ABS(I$2-$F53)/1</f>
        <v>0.5</v>
      </c>
      <c r="P53" s="21"/>
      <c r="Q53" s="87">
        <v>0.5</v>
      </c>
      <c r="R53" s="91">
        <f t="shared" si="7"/>
        <v>0.125</v>
      </c>
      <c r="S53" s="80">
        <f t="shared" si="7"/>
        <v>0</v>
      </c>
      <c r="T53" s="92">
        <f t="shared" si="7"/>
        <v>0.125</v>
      </c>
      <c r="U53" s="21"/>
      <c r="V53" s="86" t="s">
        <v>247</v>
      </c>
      <c r="W53" s="91">
        <f>SUMPRODUCT(R52:T54, M52:O54)</f>
        <v>0.5</v>
      </c>
      <c r="X53" s="92" t="s">
        <v>248</v>
      </c>
    </row>
    <row r="54" spans="1:24" ht="15.75" customHeight="1" x14ac:dyDescent="0.15">
      <c r="A54" s="5" t="str">
        <f>Wumple!A54</f>
        <v>State</v>
      </c>
      <c r="B54" s="5" t="str">
        <f>Wumple!B54</f>
        <v>Idle</v>
      </c>
      <c r="C54" s="5">
        <f>'GPT-5 Generation'!C54</f>
        <v>1</v>
      </c>
      <c r="D54" s="5">
        <f>'Claude Sonnet 4.5 Gen'!C54</f>
        <v>1</v>
      </c>
      <c r="E54" s="21"/>
      <c r="F54" s="87">
        <v>1</v>
      </c>
      <c r="G54" s="93">
        <f>COUNTIFS($A$2:$A$109,$F$51,$C$2:$C$109,$F54,$D$2:$D$109,G$51) + MAX(C115-D115,0)</f>
        <v>2</v>
      </c>
      <c r="H54" s="94">
        <f>COUNTIFS($A$2:$A$116,$F$51,$C$2:$C$116,$F54,$D$2:$D$116,H$51)</f>
        <v>0</v>
      </c>
      <c r="I54" s="95">
        <f>COUNTIFS($A$2:$A$109,$F$51,$C$2:$C$109,$F54,$D$2:$D$109,I$51)+MIN(C115,D115)</f>
        <v>1</v>
      </c>
      <c r="J54" s="80">
        <f>SUM(G54:I54)</f>
        <v>3</v>
      </c>
      <c r="K54" s="21"/>
      <c r="L54" s="87">
        <v>1</v>
      </c>
      <c r="M54" s="93">
        <f>ABS(G$2-$F54)/1</f>
        <v>1</v>
      </c>
      <c r="N54" s="94">
        <f>ABS(H$2-$F54)/1</f>
        <v>0.5</v>
      </c>
      <c r="O54" s="95">
        <f>ABS(I$2-$F54)/1</f>
        <v>0</v>
      </c>
      <c r="P54" s="21"/>
      <c r="Q54" s="87">
        <v>1</v>
      </c>
      <c r="R54" s="93">
        <f t="shared" si="7"/>
        <v>0.375</v>
      </c>
      <c r="S54" s="94">
        <f t="shared" si="7"/>
        <v>0</v>
      </c>
      <c r="T54" s="95">
        <f t="shared" si="7"/>
        <v>0.375</v>
      </c>
      <c r="U54" s="21"/>
      <c r="V54" s="86" t="s">
        <v>215</v>
      </c>
      <c r="W54" s="93">
        <f>1-W52/W53</f>
        <v>-0.25</v>
      </c>
      <c r="X54" s="95" t="s">
        <v>249</v>
      </c>
    </row>
    <row r="55" spans="1:2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'GPT-5 Generation'!C55</f>
        <v>1</v>
      </c>
      <c r="D55" s="5">
        <f>'Claude Sonnet 4.5 Gen'!C55</f>
        <v>0</v>
      </c>
      <c r="E55" s="21"/>
      <c r="F55" s="96" t="s">
        <v>229</v>
      </c>
      <c r="G55" s="80">
        <f>SUM(G52:G54)</f>
        <v>2</v>
      </c>
      <c r="H55" s="80">
        <f>SUM(H52:H54)</f>
        <v>0</v>
      </c>
      <c r="I55" s="80">
        <f>SUM(I52:I54)</f>
        <v>2</v>
      </c>
      <c r="J55" s="80">
        <f>SUM(G52:I54)</f>
        <v>4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'GPT-5 Generation'!C56</f>
        <v>1</v>
      </c>
      <c r="D56" s="5">
        <f>'Claude Sonnet 4.5 Gen'!C56</f>
        <v>1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'GPT-5 Generation'!C57</f>
        <v>1</v>
      </c>
      <c r="D57" s="5">
        <f>'Claude Sonnet 4.5 Gen'!C57</f>
        <v>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'GPT-5 Generation'!C58</f>
        <v>1</v>
      </c>
      <c r="D58" s="5">
        <f>'Claude Sonnet 4.5 Gen'!C58</f>
        <v>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5.75" customHeight="1" x14ac:dyDescent="0.15">
      <c r="A59" s="5" t="str">
        <f>Wumple!A59</f>
        <v>State</v>
      </c>
      <c r="B59" s="5" t="str">
        <f>Wumple!B59</f>
        <v>Minutes</v>
      </c>
      <c r="C59" s="5">
        <f>'GPT-5 Generation'!C59</f>
        <v>1</v>
      </c>
      <c r="D59" s="5">
        <f>'Claude Sonnet 4.5 Gen'!C59</f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'GPT-5 Generation'!C60</f>
        <v>1</v>
      </c>
      <c r="D60" s="5">
        <f>'Claude Sonnet 4.5 Gen'!C60</f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'GPT-5 Generation'!C61</f>
        <v>1</v>
      </c>
      <c r="D61" s="5">
        <f>'Claude Sonnet 4.5 Gen'!C61</f>
        <v>0.5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'GPT-5 Generation'!C62</f>
        <v>1</v>
      </c>
      <c r="D62" s="5">
        <f>'Claude Sonnet 4.5 Gen'!C62</f>
        <v>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.75" customHeight="1" x14ac:dyDescent="0.15">
      <c r="A63" s="5" t="str">
        <f>Wumple!A63</f>
        <v>Action</v>
      </c>
      <c r="B63" s="5" t="str">
        <f>Wumple!B63</f>
        <v>flashHours()</v>
      </c>
      <c r="C63" s="5">
        <f>'GPT-5 Generation'!C63</f>
        <v>1</v>
      </c>
      <c r="D63" s="5">
        <f>'Claude Sonnet 4.5 Gen'!C63</f>
        <v>0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5.75" customHeight="1" x14ac:dyDescent="0.15">
      <c r="A64" s="5" t="str">
        <f>Wumple!A64</f>
        <v>State</v>
      </c>
      <c r="B64" s="5" t="str">
        <f>Wumple!B64</f>
        <v>Hours</v>
      </c>
      <c r="C64" s="5">
        <f>'GPT-5 Generation'!C64</f>
        <v>1</v>
      </c>
      <c r="D64" s="5">
        <f>'Claude Sonnet 4.5 Gen'!C64</f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'GPT-5 Generation'!C65</f>
        <v>1</v>
      </c>
      <c r="D65" s="5">
        <f>'Claude Sonnet 4.5 Gen'!C65</f>
        <v>1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'GPT-5 Generation'!C66</f>
        <v>1</v>
      </c>
      <c r="D66" s="5">
        <f>'Claude Sonnet 4.5 Gen'!C66</f>
        <v>0.5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'GPT-5 Generation'!C67</f>
        <v>1</v>
      </c>
      <c r="D67" s="5">
        <f>'Claude Sonnet 4.5 Gen'!C67</f>
        <v>1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'GPT-5 Generation'!C68</f>
        <v>1</v>
      </c>
      <c r="D68" s="5">
        <f>'Claude Sonnet 4.5 Gen'!C68</f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'GPT-5 Generation'!C69</f>
        <v>1</v>
      </c>
      <c r="D69" s="5">
        <f>'Claude Sonnet 4.5 Gen'!C69</f>
        <v>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'GPT-5 Generation'!C70</f>
        <v>1</v>
      </c>
      <c r="D70" s="5">
        <f>'Claude Sonnet 4.5 Gen'!C70</f>
        <v>1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'GPT-5 Generation'!C71</f>
        <v>1</v>
      </c>
      <c r="D71" s="5">
        <f>'Claude Sonnet 4.5 Gen'!C71</f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5.75" customHeight="1" x14ac:dyDescent="0.15">
      <c r="A72" s="5" t="str">
        <f>Wumple!A72</f>
        <v>State</v>
      </c>
      <c r="B72" s="5" t="str">
        <f>Wumple!B72</f>
        <v>Idle</v>
      </c>
      <c r="C72" s="5">
        <f>'GPT-5 Generation'!C72</f>
        <v>1</v>
      </c>
      <c r="D72" s="5">
        <f>'Claude Sonnet 4.5 Gen'!C72</f>
        <v>1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'GPT-5 Generation'!C73</f>
        <v>1</v>
      </c>
      <c r="D73" s="5">
        <f>'Claude Sonnet 4.5 Gen'!C73</f>
        <v>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'GPT-5 Generation'!C74</f>
        <v>1</v>
      </c>
      <c r="D74" s="5">
        <f>'Claude Sonnet 4.5 Gen'!C74</f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'GPT-5 Generation'!C75</f>
        <v>1</v>
      </c>
      <c r="D75" s="5">
        <f>'Claude Sonnet 4.5 Gen'!C75</f>
        <v>0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'GPT-5 Generation'!C76</f>
        <v>1</v>
      </c>
      <c r="D76" s="5">
        <f>'Claude Sonnet 4.5 Gen'!C76</f>
        <v>1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'GPT-5 Generation'!C77</f>
        <v>1</v>
      </c>
      <c r="D77" s="5">
        <f>'Claude Sonnet 4.5 Gen'!C77</f>
        <v>1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'GPT-5 Generation'!C78</f>
        <v>1</v>
      </c>
      <c r="D78" s="5">
        <f>'Claude Sonnet 4.5 Gen'!C78</f>
        <v>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'GPT-5 Generation'!C79</f>
        <v>1</v>
      </c>
      <c r="D79" s="5">
        <f>'Claude Sonnet 4.5 Gen'!C79</f>
        <v>1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ht="15.75" customHeight="1" x14ac:dyDescent="0.15">
      <c r="A80" s="5" t="str">
        <f>Wumple!A80</f>
        <v>State</v>
      </c>
      <c r="B80" s="5" t="str">
        <f>Wumple!B80</f>
        <v>Seconds</v>
      </c>
      <c r="C80" s="5">
        <f>'GPT-5 Generation'!C80</f>
        <v>1</v>
      </c>
      <c r="D80" s="5">
        <f>'Claude Sonnet 4.5 Gen'!C80</f>
        <v>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'GPT-5 Generation'!C81</f>
        <v>1</v>
      </c>
      <c r="D81" s="5">
        <f>'Claude Sonnet 4.5 Gen'!C81</f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ht="15.75" customHeight="1" x14ac:dyDescent="0.15">
      <c r="A82" s="5" t="str">
        <f>Wumple!A82</f>
        <v>Action</v>
      </c>
      <c r="B82" s="5" t="str">
        <f>Wumple!B82</f>
        <v>cdTime+=1sec</v>
      </c>
      <c r="C82" s="5">
        <f>'GPT-5 Generation'!C82</f>
        <v>1</v>
      </c>
      <c r="D82" s="5">
        <f>'Claude Sonnet 4.5 Gen'!C82</f>
        <v>0.5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'GPT-5 Generation'!C83</f>
        <v>1</v>
      </c>
      <c r="D83" s="5">
        <f>'Claude Sonnet 4.5 Gen'!C83</f>
        <v>1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'GPT-5 Generation'!C84</f>
        <v>1</v>
      </c>
      <c r="D84" s="5">
        <f>'Claude Sonnet 4.5 Gen'!C84</f>
        <v>0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ht="15.75" customHeight="1" x14ac:dyDescent="0.15">
      <c r="A85" s="5" t="str">
        <f>Wumple!A85</f>
        <v>State</v>
      </c>
      <c r="B85" s="5" t="str">
        <f>Wumple!B85</f>
        <v>Minutes</v>
      </c>
      <c r="C85" s="5">
        <f>'GPT-5 Generation'!C85</f>
        <v>1</v>
      </c>
      <c r="D85" s="5">
        <f>'Claude Sonnet 4.5 Gen'!C85</f>
        <v>1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'GPT-5 Generation'!C86</f>
        <v>1</v>
      </c>
      <c r="D86" s="5">
        <f>'Claude Sonnet 4.5 Gen'!C86</f>
        <v>1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5.75" customHeight="1" x14ac:dyDescent="0.15">
      <c r="A87" s="5" t="str">
        <f>Wumple!A87</f>
        <v>Action</v>
      </c>
      <c r="B87" s="5" t="str">
        <f>Wumple!B87</f>
        <v>cdTime+=1min</v>
      </c>
      <c r="C87" s="5">
        <f>'GPT-5 Generation'!C87</f>
        <v>1</v>
      </c>
      <c r="D87" s="5">
        <f>'Claude Sonnet 4.5 Gen'!C87</f>
        <v>0.5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'GPT-5 Generation'!C88</f>
        <v>1</v>
      </c>
      <c r="D88" s="5">
        <f>'Claude Sonnet 4.5 Gen'!C88</f>
        <v>1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15.75" customHeight="1" x14ac:dyDescent="0.15">
      <c r="A89" s="5" t="str">
        <f>Wumple!A89</f>
        <v>Action</v>
      </c>
      <c r="B89" s="5" t="str">
        <f>Wumple!B89</f>
        <v>flashHours()</v>
      </c>
      <c r="C89" s="5">
        <f>'GPT-5 Generation'!C89</f>
        <v>1</v>
      </c>
      <c r="D89" s="5">
        <f>'Claude Sonnet 4.5 Gen'!C89</f>
        <v>0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15.75" customHeight="1" x14ac:dyDescent="0.15">
      <c r="A90" s="5" t="str">
        <f>Wumple!A90</f>
        <v>State</v>
      </c>
      <c r="B90" s="5" t="str">
        <f>Wumple!B90</f>
        <v>Hours</v>
      </c>
      <c r="C90" s="5">
        <f>'GPT-5 Generation'!C90</f>
        <v>1</v>
      </c>
      <c r="D90" s="5">
        <f>'Claude Sonnet 4.5 Gen'!C90</f>
        <v>1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'GPT-5 Generation'!C91</f>
        <v>1</v>
      </c>
      <c r="D91" s="5">
        <f>'Claude Sonnet 4.5 Gen'!C91</f>
        <v>1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15.75" customHeight="1" x14ac:dyDescent="0.15">
      <c r="A92" s="5" t="str">
        <f>Wumple!A92</f>
        <v>Action</v>
      </c>
      <c r="B92" s="5" t="str">
        <f>Wumple!B92</f>
        <v>cdTime+=1hr</v>
      </c>
      <c r="C92" s="5">
        <f>'GPT-5 Generation'!C92</f>
        <v>1</v>
      </c>
      <c r="D92" s="5">
        <f>'Claude Sonnet 4.5 Gen'!C92</f>
        <v>0.5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'GPT-5 Generation'!C93</f>
        <v>1</v>
      </c>
      <c r="D93" s="5">
        <f>'Claude Sonnet 4.5 Gen'!C93</f>
        <v>1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'GPT-5 Generation'!C94</f>
        <v>1</v>
      </c>
      <c r="D94" s="5">
        <f>'Claude Sonnet 4.5 Gen'!C94</f>
        <v>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ht="15.75" customHeight="1" x14ac:dyDescent="0.15">
      <c r="A95" s="5" t="str">
        <f>Wumple!A95</f>
        <v>State</v>
      </c>
      <c r="B95" s="5" t="str">
        <f>Wumple!B95</f>
        <v>Countdown</v>
      </c>
      <c r="C95" s="5">
        <f>'GPT-5 Generation'!C95</f>
        <v>1</v>
      </c>
      <c r="D95" s="5">
        <f>'Claude Sonnet 4.5 Gen'!C95</f>
        <v>1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'GPT-5 Generation'!C96</f>
        <v>1</v>
      </c>
      <c r="D96" s="5">
        <f>'Claude Sonnet 4.5 Gen'!C96</f>
        <v>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'GPT-5 Generation'!C97</f>
        <v>1</v>
      </c>
      <c r="D97" s="5">
        <f>'Claude Sonnet 4.5 Gen'!C97</f>
        <v>1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15.75" customHeight="1" x14ac:dyDescent="0.15">
      <c r="A98" s="5" t="str">
        <f>Wumple!A98</f>
        <v>Action</v>
      </c>
      <c r="B98" s="5" t="str">
        <f>Wumple!B98</f>
        <v>flash()</v>
      </c>
      <c r="C98" s="5">
        <f>'GPT-5 Generation'!C98</f>
        <v>1</v>
      </c>
      <c r="D98" s="5">
        <f>'Claude Sonnet 4.5 Gen'!C98</f>
        <v>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'GPT-5 Generation'!C99</f>
        <v>1</v>
      </c>
      <c r="D99" s="5">
        <f>'Claude Sonnet 4.5 Gen'!C99</f>
        <v>1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'GPT-5 Generation'!C100</f>
        <v>1</v>
      </c>
      <c r="D100" s="5">
        <f>'Claude Sonnet 4.5 Gen'!C100</f>
        <v>0.5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'GPT-5 Generation'!C101</f>
        <v>1</v>
      </c>
      <c r="D101" s="5">
        <f>'Claude Sonnet 4.5 Gen'!C101</f>
        <v>1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15.75" customHeight="1" x14ac:dyDescent="0.15">
      <c r="A102" s="5" t="str">
        <f>Wumple!A102</f>
        <v>History State</v>
      </c>
      <c r="B102" s="5" t="str">
        <f>Wumple!B102</f>
        <v>H</v>
      </c>
      <c r="C102" s="5">
        <f>'GPT-5 Generation'!C102</f>
        <v>1</v>
      </c>
      <c r="D102" s="5">
        <f>'Claude Sonnet 4.5 Gen'!C102</f>
        <v>1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'GPT-5 Generation'!C103</f>
        <v>1</v>
      </c>
      <c r="D103" s="5">
        <f>'Claude Sonnet 4.5 Gen'!C103</f>
        <v>1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'GPT-5 Generation'!C104</f>
        <v>0</v>
      </c>
      <c r="D104" s="5">
        <f>'Claude Sonnet 4.5 Gen'!C104</f>
        <v>0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15.75" customHeight="1" x14ac:dyDescent="0.15">
      <c r="A105" s="5" t="str">
        <f>Wumple!A105</f>
        <v>Action</v>
      </c>
      <c r="B105" s="5" t="str">
        <f>Wumple!B105</f>
        <v>flash()</v>
      </c>
      <c r="C105" s="5">
        <f>'GPT-5 Generation'!C105</f>
        <v>1</v>
      </c>
      <c r="D105" s="5">
        <f>'Claude Sonnet 4.5 Gen'!C105</f>
        <v>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5.75" customHeight="1" x14ac:dyDescent="0.15">
      <c r="A106" s="5" t="str">
        <f>Wumple!A106</f>
        <v>State</v>
      </c>
      <c r="B106" s="5" t="str">
        <f>Wumple!B106</f>
        <v>AlarmOn</v>
      </c>
      <c r="C106" s="5">
        <f>'GPT-5 Generation'!C106</f>
        <v>1</v>
      </c>
      <c r="D106" s="5">
        <f>'Claude Sonnet 4.5 Gen'!C106</f>
        <v>1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'GPT-5 Generation'!C107</f>
        <v>1</v>
      </c>
      <c r="D107" s="5">
        <f>'Claude Sonnet 4.5 Gen'!C107</f>
        <v>0.5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'GPT-5 Generation'!C108</f>
        <v>0</v>
      </c>
      <c r="D108" s="5">
        <f>'Claude Sonnet 4.5 Gen'!C108</f>
        <v>0.5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5.75" customHeight="1" x14ac:dyDescent="0.15">
      <c r="A109" s="5" t="str">
        <f>Wumple!A109</f>
        <v>Transition</v>
      </c>
      <c r="B109" s="5" t="str">
        <f>Wumple!B109</f>
        <v>anyButton (AlarmOn ⇒ History State)</v>
      </c>
      <c r="C109" s="5">
        <f>'GPT-5 Generation'!C109</f>
        <v>1</v>
      </c>
      <c r="D109" s="5">
        <f>'Claude Sonnet 4.5 Gen'!C109</f>
        <v>1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5.75" customHeight="1" x14ac:dyDescent="0.15">
      <c r="A110" s="74" t="str">
        <f>Wumple!A110</f>
        <v>State</v>
      </c>
      <c r="B110" s="74" t="str">
        <f>Wumple!B110</f>
        <v>additional elements</v>
      </c>
      <c r="C110" s="74">
        <f>'GPT-5 Generation'!C110</f>
        <v>0</v>
      </c>
      <c r="D110" s="74">
        <f>'Claude Sonnet 4.5 Gen'!C110</f>
        <v>0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15.75" customHeight="1" x14ac:dyDescent="0.15">
      <c r="A111" s="5" t="str">
        <f>Wumple!A111</f>
        <v>Transition</v>
      </c>
      <c r="B111" s="5" t="str">
        <f>Wumple!B111</f>
        <v>additional elements</v>
      </c>
      <c r="C111" s="5">
        <f>'GPT-5 Generation'!C111</f>
        <v>0</v>
      </c>
      <c r="D111" s="5">
        <f>'Claude Sonnet 4.5 Gen'!C111</f>
        <v>0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15.75" customHeight="1" x14ac:dyDescent="0.15">
      <c r="A112" s="5" t="str">
        <f>Wumple!A112</f>
        <v>Guard</v>
      </c>
      <c r="B112" s="5" t="str">
        <f>Wumple!B112</f>
        <v>additional elements</v>
      </c>
      <c r="C112" s="5">
        <f>'GPT-5 Generation'!C112</f>
        <v>0</v>
      </c>
      <c r="D112" s="5">
        <f>'Claude Sonnet 4.5 Gen'!C112</f>
        <v>0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15.75" customHeight="1" x14ac:dyDescent="0.15">
      <c r="A113" s="5" t="str">
        <f>Wumple!A113</f>
        <v>Action</v>
      </c>
      <c r="B113" s="5" t="str">
        <f>Wumple!B113</f>
        <v>additional elements</v>
      </c>
      <c r="C113" s="5">
        <f>'GPT-5 Generation'!C113</f>
        <v>0</v>
      </c>
      <c r="D113" s="5">
        <f>'Claude Sonnet 4.5 Gen'!C113</f>
        <v>0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5">
        <f>'GPT-5 Generation'!C114</f>
        <v>0</v>
      </c>
      <c r="D114" s="5">
        <f>'Claude Sonnet 4.5 Gen'!C114</f>
        <v>0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15.75" customHeight="1" x14ac:dyDescent="0.15">
      <c r="A115" s="5" t="str">
        <f>Wumple!A115</f>
        <v>Region</v>
      </c>
      <c r="B115" s="5" t="str">
        <f>Wumple!B115</f>
        <v>additional elements</v>
      </c>
      <c r="C115" s="5">
        <f>'GPT-5 Generation'!C115</f>
        <v>2</v>
      </c>
      <c r="D115" s="5">
        <f>'Claude Sonnet 4.5 Gen'!C115</f>
        <v>0</v>
      </c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5">
        <f>'GPT-5 Generation'!C116</f>
        <v>0</v>
      </c>
      <c r="D116" s="5">
        <f>'Claude Sonnet 4.5 Gen'!C116</f>
        <v>0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15.75" customHeight="1" x14ac:dyDescent="0.15">
      <c r="A117" s="53"/>
      <c r="B117" s="77"/>
      <c r="C117" s="52"/>
      <c r="D117" s="52"/>
      <c r="E117" s="52"/>
    </row>
    <row r="118" spans="1:24" ht="15.75" customHeight="1" x14ac:dyDescent="0.15">
      <c r="A118" s="53"/>
      <c r="B118" s="77"/>
      <c r="C118" s="52"/>
      <c r="D118" s="52"/>
      <c r="E118" s="52"/>
    </row>
    <row r="119" spans="1:24" ht="15.75" customHeight="1" x14ac:dyDescent="0.15">
      <c r="B119" s="77"/>
      <c r="D119" s="52"/>
      <c r="E119" s="52"/>
    </row>
    <row r="120" spans="1:24" ht="15.75" customHeight="1" x14ac:dyDescent="0.15">
      <c r="B120" s="77"/>
      <c r="D120" s="52"/>
    </row>
    <row r="121" spans="1:24" ht="15.75" customHeight="1" x14ac:dyDescent="0.15">
      <c r="D121" s="52"/>
    </row>
    <row r="122" spans="1:24" ht="15.75" customHeight="1" x14ac:dyDescent="0.15"/>
    <row r="123" spans="1:24" ht="15.75" customHeight="1" x14ac:dyDescent="0.15"/>
    <row r="124" spans="1:24" ht="15.75" customHeight="1" x14ac:dyDescent="0.15"/>
    <row r="125" spans="1:24" ht="15.75" customHeight="1" x14ac:dyDescent="0.15"/>
    <row r="126" spans="1:24" ht="15.75" customHeight="1" x14ac:dyDescent="0.15"/>
    <row r="127" spans="1:24" ht="15.75" customHeight="1" x14ac:dyDescent="0.15"/>
    <row r="128" spans="1:24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Wumple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2026-05-06T15:04:26Z</dcterms:modified>
</cp:coreProperties>
</file>