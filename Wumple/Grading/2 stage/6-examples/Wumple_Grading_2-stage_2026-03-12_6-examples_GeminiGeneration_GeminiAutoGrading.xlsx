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GPT-5 Generation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Represented as [*] --&gt; Watch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 on the initial transition to Watch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Watch is correctly modeled as a composite state with multiple regions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0.5</v>
      </c>
      <c r="D5" s="27" t="inlineStr">
        <is>
          <t>Represented as region Backlight which captures similar functionality but differs in structure (missing Flash state)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Represented as [*] --&gt; BacklightOff in Backlight region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Represented as BacklightOff state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Represented as entry / turnBacklightOff() which is semantically equivalent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Represented as BacklightOff --&gt; BacklightOn : D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Represented as BacklightOn state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Represented as entry / turnBacklightOn() which is semantically equivalent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Represented as BacklightOn --&gt; BacklightOff : D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Represented as BacklightOn --&gt; BacklightOff : after10sec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0</v>
      </c>
      <c r="D14" s="27" t="inlineStr">
        <is>
          <t>No Flash state or transition to Flash state in Backlight region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0</v>
      </c>
      <c r="D15" s="27" t="inlineStr">
        <is>
          <t>No guard condition for flash transition (Flash state not present)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0</v>
      </c>
      <c r="D16" s="27" t="inlineStr">
        <is>
          <t>No Flash state in the Backlight region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0</v>
      </c>
      <c r="D18" s="27" t="inlineStr">
        <is>
          <t>No transition from Flash to Off (Flash state not present)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inlineStr">
        <is>
          <t>No guard condition for flash transition (Flash state not present)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0</v>
      </c>
      <c r="D20" s="27" t="inlineStr">
        <is>
          <t>No anyButton transition from Flash (Flash state not present)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Represented as region UserInterface which contains the watch mode logic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0.5</v>
      </c>
      <c r="D22" s="30" t="inlineStr">
        <is>
          <t>Initial state goes to NormalOperation which contains modes but no explicit AlarmOff composite state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0</v>
      </c>
      <c r="D23" s="27" t="inlineStr">
        <is>
          <t>No AlarmOff composite state; alarm on/off is modeled in separate AlarmSwitch region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NormalOperation starts with [*] --&gt; TimekeepingMode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Represented as TimekeepingMode composite state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TimekeepingMode starts with [*] --&gt; TimeDisplay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Represented as TimeDisplay state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Represented as do: showCurrentTime() which is semantically equivalent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0.5</v>
      </c>
      <c r="D29" s="27" t="inlineStr">
        <is>
          <t>B held for 2 seconds is in FlashAlertSwitch region as Bheld2sec but not as self-transition on TimeDisplay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0.5</v>
      </c>
      <c r="D30" s="27" t="inlineStr">
        <is>
          <t>B press for alarm toggle is in AlarmSwitch region but not as self-transition on TimeDisplay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Represented as enableFlashAlert() / disableFlashAlert() in FlashAlertSwitch region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Represented as enableAlarm() / disableAlarm() in AlarmSwitch region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Represented as TimeDisplay --&gt; TimeSetSeconds : C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Represented as do: flashCurrentSeconds() in TimeSetSeconds state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Represented as TimeDisplay --&gt; AlarmMode : A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Represented as TimeSetSeconds state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Represented as TimeSetSeconds --&gt; TimeSetSeconds : B / incrementCurrentSeconds()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Represented as incrementCurrentSeconds() which is semantically equivalent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Represented as TimeSetSeconds --&gt; TimeSetMinutes : C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Represented as do: flashCurrentMinutes() in TimeSetMinutes state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Represented as TimeSetMinutes state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Represented as TimeSetMinutes --&gt; TimeSetMinutes : B / incrementCurrentMinutes()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Represented as incrementCurrentMinutes() which is semantically equivalent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Represented as TimeSetMinutes --&gt; TimeSetHours : C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Represented as do: flashCurrentHours() in TimeSetHours state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Represented as TimeSetHours state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Represented as TimeSetHours --&gt; TimeSetHours : B / incrementCurrentHours()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Represented as incrementCurrentHours() which is semantically equivalent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Represented as TimeSetHours --&gt; TimeSetSeconds : C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Represented as do: flashCurrentSeconds() in TimeSetSeconds state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Represented as transitions from TimeSet states to TimeDisplay : A then TimeDisplay --&gt; AlarmMode : A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Represented as AlarmMode composite state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AlarmMode starts with [*] --&gt; AlarmDisplay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Represented as AlarmDisplay state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Represented as do: showAlarmTime() which is semantically equivalent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Represented as AlarmDisplay --&gt; AlarmSetMinutes : C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Represented as do: flashAlarmMinutes() in AlarmSetMinutes state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Represented as AlarmDisplay --&gt; CountdownMode : A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Represented as AlarmSetMinutes state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Represented as AlarmSetMinutes --&gt; AlarmSetMinutes : B / incrementAlarmMinutes()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Represented as incrementAlarmMinutes() which is semantically equivalent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Represented as AlarmSetMinutes --&gt; AlarmSetHours : C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Represented as do: flashAlarmHours() in AlarmSetHours state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Represented as AlarmSetHours state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Represented as AlarmSetHours --&gt; AlarmSetHours : B / incrementAlarmHours()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Represented as incrementAlarmHours() which is semantically equivalent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Represented as AlarmSetHours --&gt; AlarmSetMinutes : C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Represented as do: flashAlarmMinutes() in AlarmSetMinutes state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Represented as transitions from AlarmSet states to TimekeepingMode : A then AlarmDisplay --&gt; CountdownMode : A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Represented as CountdownMode composite state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CountdownMode starts with [*] --&gt; CountdownDisplay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Represented as CountdownDisplay state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Represented as do: showCountdownTime() which is semantically equivalent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Represented as CountdownDisplay --&gt; CountdownSetSeconds : C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Represented as do: flashCountdownSeconds() in CountdownSetSeconds state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Represented as CountdownDisplay --&gt; CountdownRunning : B [countdownTimeSet()] / startCountdown()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Represented as [countdownTimeSet()] which is semantically equivalent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Represented as startCountdown() which implies setting target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Represented as CountdownDisplay --&gt; TimekeepingMode : A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Represented as CountdownSetSeconds state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Represented as CountdownSetSeconds --&gt; CountdownSetSeconds : B / incrementCountdownSeconds()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Represented as incrementCountdownSeconds() which is semantically equivalent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Represented as CountdownSetSeconds --&gt; CountdownSetMinutes : C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Represented as do: flashCountdownMinutes() in CountdownSetMinutes state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Represented as CountdownSetMinutes state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Represented as CountdownSetMinutes --&gt; CountdownSetMinutes : B / incrementCountdownMinutes()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Represented as incrementCountdownMinutes() which is semantically equivalent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Represented as CountdownSetMinutes --&gt; CountdownSetHours : C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Represented as do: flashCountdownHours() in CountdownSetHours state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Represented as CountdownSetHours state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Represented as CountdownSetHours --&gt; CountdownSetHours : B / incrementCountdownHours()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Represented as incrementCountdownHours() which is semantically equivalent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Represented as CountdownSetHours --&gt; CountdownSetSeconds : C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Represented as do: flashCountdownSeconds() in CountdownSetSeconds state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Represented as CountdownRunning state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1</v>
      </c>
      <c r="D96" s="27" t="inlineStr">
        <is>
          <t>Represented as do: showCountdownTime() in CountdownRunning state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Represented as CountdownRunning --&gt; CountdownNotification : after1sec [countdownRemaining() &lt;= 1] / setCountdownZero()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Represented as do: flashCountdownZero() in CountdownNotification state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Represented as CountdownNotification state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Represented as entry / startCountdownBeep() and do: flashCountdownZero() which captures the behavior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Represented as multiple button transitions from CountdownNotification to CountdownDisplay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Represented as state H in NormalOperation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Represented as NormalOperation --&gt; AlarmNotification : alarmDue [alarmEnabled()]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explicit saveDisplay() action; history state H is used instead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Represented as do: flashAlarmTime() in AlarmNotification state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Represented as AlarmNotification state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Represented as entry / startAlarmBeep() and do: flashAlarmTime() which captures the behavior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explicit restoreDisplay() action; transitions to H handle return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Represented as multiple button transitions from AlarmNotification to H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states present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transitions present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guards present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actions present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composite states present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2</v>
      </c>
      <c r="D115" s="27" t="inlineStr">
        <is>
          <t>AlarmSwitch and FlashAlertSwitch regions are unnecessary separate regions; Clock region is also unnecessary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history states present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GPT-5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SUMIF('GPT-5 Generation'!$A$2:$A$109, $A3, 'GPT-5 Generation'!$C$2:$C$109)</f>
        <v/>
      </c>
      <c r="D3" s="47">
        <f>SUMIF('GPT-5 Generation'!$A$110:$A$116, $A3, 'GPT-5 Generation'!$C$110:$C$116)</f>
        <v/>
      </c>
      <c r="E3" s="47">
        <f>COUNTIFS('GPT-5 Generation'!$A$2:$A$109, $A3, 'GPT-5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SUMIF('GPT-5 Generation'!$A$2:$A$109, $A4, 'GPT-5 Generation'!$C$2:$C$109)</f>
        <v/>
      </c>
      <c r="D4" s="47">
        <f>SUMIF('GPT-5 Generation'!$A$110:$A$116, $A4, 'GPT-5 Generation'!$C$110:$C$116)</f>
        <v/>
      </c>
      <c r="E4" s="47">
        <f>COUNTIFS('GPT-5 Generation'!$A$2:$A$109, $A4, 'GPT-5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SUMIF('GPT-5 Generation'!$A$2:$A$109, $A5, 'GPT-5 Generation'!$C$2:$C$109)</f>
        <v/>
      </c>
      <c r="D5" s="47">
        <f>SUMIF('GPT-5 Generation'!$A$110:$A$116, $A5, 'GPT-5 Generation'!$C$110:$C$116)</f>
        <v/>
      </c>
      <c r="E5" s="47">
        <f>COUNTIFS('GPT-5 Generation'!$A$2:$A$109, $A5, 'GPT-5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Gemini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SUMIF('GPT-5 Generation'!$A$2:$A$109, $A6, 'GPT-5 Generation'!$C$2:$C$109)</f>
        <v/>
      </c>
      <c r="D6" s="47">
        <f>SUMIF('GPT-5 Generation'!$A$110:$A$116, $A6, 'GPT-5 Generation'!$C$110:$C$116)</f>
        <v/>
      </c>
      <c r="E6" s="47">
        <f>COUNTIFS('GPT-5 Generation'!$A$2:$A$109, $A6, 'GPT-5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SUMIF('GPT-5 Generation'!$A$2:$A$109, $A7, 'GPT-5 Generation'!$C$2:$C$109)</f>
        <v/>
      </c>
      <c r="D7" s="47">
        <f>SUMIF('GPT-5 Generation'!$A$110:$A$116, $A7, 'GPT-5 Generation'!$C$110:$C$116)</f>
        <v/>
      </c>
      <c r="E7" s="47">
        <f>COUNTIFS('GPT-5 Generation'!$A$2:$A$109, $A7, 'GPT-5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SUMIF('GPT-5 Generation'!$A$2:$A$109, $A8, 'GPT-5 Generation'!$C$2:$C$109)</f>
        <v/>
      </c>
      <c r="D8" s="47">
        <f>SUMIF('GPT-5 Generation'!$A$110:$A$116, $A8, 'GPT-5 Generation'!$C$110:$C$116)</f>
        <v/>
      </c>
      <c r="E8" s="47">
        <f>COUNTIFS('GPT-5 Generation'!$A$2:$A$109, $A8, 'GPT-5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Gemini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SUMIF('GPT-5 Generation'!$A$2:$A$109, $A9, 'GPT-5 Generation'!$C$2:$C$109)</f>
        <v/>
      </c>
      <c r="D9" s="47">
        <f>SUMIF('GPT-5 Generation'!$A$110:$A$116, $A9, 'GPT-5 Generation'!$C$110:$C$116)</f>
        <v/>
      </c>
      <c r="E9" s="47">
        <f>COUNTIFS('GPT-5 Generation'!$A$2:$A$109, $A9, 'GPT-5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n"/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n"/>
    </row>
    <row r="13" ht="15.75" customHeight="1" s="100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 ht="15.75" customHeight="1" s="100">
      <c r="A14" s="46" t="n"/>
      <c r="B14" s="47" t="n"/>
      <c r="C14" s="47" t="n"/>
      <c r="D14" s="47" t="n"/>
      <c r="E14" s="47" t="n"/>
      <c r="F14" s="47" t="n"/>
      <c r="G14" s="47" t="n"/>
      <c r="H14" s="47" t="n"/>
    </row>
    <row r="15" ht="15.75" customHeight="1" s="100">
      <c r="A15" s="48" t="n"/>
      <c r="B15" s="47" t="n"/>
      <c r="C15" s="47" t="n"/>
      <c r="D15" s="47" t="n"/>
      <c r="E15" s="47" t="n"/>
      <c r="F15" s="47" t="n"/>
      <c r="G15" s="47" t="n"/>
      <c r="H15" s="47" t="n"/>
    </row>
    <row r="16" ht="15.75" customHeight="1" s="100">
      <c r="A16" s="48" t="n"/>
      <c r="B16" s="47" t="n"/>
      <c r="C16" s="47" t="n"/>
      <c r="D16" s="47" t="n"/>
      <c r="E16" s="47" t="n"/>
      <c r="F16" s="47" t="n"/>
      <c r="G16" s="47" t="n"/>
      <c r="H16" s="47" t="n"/>
    </row>
    <row r="17" ht="15.75" customHeight="1" s="100">
      <c r="A17" s="48" t="n"/>
      <c r="B17" s="47" t="n"/>
      <c r="C17" s="47" t="n"/>
      <c r="D17" s="47" t="n"/>
      <c r="E17" s="47" t="n"/>
      <c r="F17" s="47" t="n"/>
      <c r="G17" s="47" t="n"/>
      <c r="H17" s="47" t="n"/>
    </row>
    <row r="18" ht="15.75" customHeight="1" s="100">
      <c r="A18" s="48" t="n"/>
      <c r="B18" s="47" t="n"/>
      <c r="C18" s="47" t="n"/>
      <c r="D18" s="47" t="n"/>
      <c r="E18" s="47" t="n"/>
      <c r="F18" s="47" t="n"/>
      <c r="G18" s="47" t="n"/>
      <c r="H18" s="47" t="n"/>
    </row>
    <row r="19" ht="15.75" customHeight="1" s="100">
      <c r="A19" s="48" t="n"/>
      <c r="B19" s="47" t="n"/>
      <c r="C19" s="47" t="n"/>
      <c r="D19" s="47" t="n"/>
      <c r="E19" s="47" t="n"/>
      <c r="F19" s="47" t="n"/>
      <c r="G19" s="47" t="n"/>
      <c r="H19" s="47" t="n"/>
    </row>
    <row r="20" ht="15.75" customHeight="1" s="100">
      <c r="A20" s="48" t="n"/>
      <c r="B20" s="47" t="n"/>
      <c r="C20" s="47" t="n"/>
      <c r="D20" s="47" t="n"/>
      <c r="E20" s="47" t="n"/>
      <c r="F20" s="47" t="n"/>
      <c r="G20" s="47" t="n"/>
      <c r="H20" s="47" t="n"/>
    </row>
    <row r="21" ht="15.75" customHeight="1" s="100">
      <c r="A21" s="48" t="n"/>
      <c r="B21" s="49" t="n"/>
      <c r="C21" s="49" t="n"/>
      <c r="D21" s="49" t="n"/>
      <c r="E21" s="49" t="n"/>
      <c r="F21" s="47" t="n"/>
      <c r="G21" s="47" t="n"/>
      <c r="H21" s="47" t="n"/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