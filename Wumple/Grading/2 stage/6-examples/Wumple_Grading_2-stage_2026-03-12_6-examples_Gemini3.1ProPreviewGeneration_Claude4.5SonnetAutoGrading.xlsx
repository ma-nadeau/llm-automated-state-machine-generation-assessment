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480" yWindow="-20420" windowWidth="30240" windowHeight="17300" tabRatio="600" firstSheet="0" activeTab="1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0" fillId="0" borderId="0" pivotButton="0" quotePrefix="0" xfId="0"/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abSelected="1" workbookViewId="0">
      <selection activeCell="C3" sqref="C3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Gemini 3 Pro Generation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Present as [*] --&gt; Watch</t>
        </is>
      </c>
      <c r="E2" s="6" t="n"/>
      <c r="F2" s="6" t="n"/>
    </row>
    <row r="3" ht="28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No initialization action shown on initial transition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Present as composite state containing regions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0.5</v>
      </c>
      <c r="D5" s="27" t="inlineStr">
        <is>
          <t>Region named 'Backlight' instead of 'Light' but serves same purpose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Present as [*] --&gt; BacklightOff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Present as BacklightOff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0</v>
      </c>
      <c r="D8" s="27" t="inlineStr">
        <is>
          <t>No entry action shown for BacklightOff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Present as D transition from BacklightOff to BacklightOn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Present as BacklightOn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0</v>
      </c>
      <c r="D11" s="27" t="inlineStr">
        <is>
          <t>No entry action shown for BacklightOn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Present as D transition from BacklightOn to BacklightOff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Present as after_10s transition from BacklightOn to BacklightOff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0.5</v>
      </c>
      <c r="D14" s="27" t="inlineStr">
        <is>
          <t>Transitions to BacklightFlashing exist but triggered by alarmTimeReached/countdownReachedZero events rather than flash event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1</v>
      </c>
      <c r="D15" s="27" t="inlineStr">
        <is>
          <t>Present as [flashAlertOn] guard on transitions to BacklightFlashing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1</v>
      </c>
      <c r="D16" s="27" t="inlineStr">
        <is>
          <t>Present as BacklightFlashing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inlineStr">
        <is>
          <t>No do action shown for BacklightFlashing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0</v>
      </c>
      <c r="D18" s="27" t="inlineStr">
        <is>
          <t>No flash event transition from BacklightFlashing; uses anyButton and after_5s instead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inlineStr">
        <is>
          <t>No guard on exit from BacklightFlashing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1</v>
      </c>
      <c r="D20" s="27" t="inlineStr">
        <is>
          <t>Present as anyButton transition from BacklightFlashing to BacklightOff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Present as region 'Main'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0.5</v>
      </c>
      <c r="D22" s="30" t="inlineStr">
        <is>
          <t>Initial state goes to NormalOperation composite which contains modes but no explicit AlarmOff state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0</v>
      </c>
      <c r="D23" s="27" t="inlineStr">
        <is>
          <t>No AlarmOff composite state; alarm on/off handled differently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Initial state in NormalOperation goes to Timekeeping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Present as Timekeeping composite state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Present as [*] --&gt; ShowTime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Present as ShowTime state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0</v>
      </c>
      <c r="D28" s="27" t="inlineStr">
        <is>
          <t>No do action shown for ShowTime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1</v>
      </c>
      <c r="D29" s="27" t="inlineStr">
        <is>
          <t>Present as B_held_2s self-transition on ShowTime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1</v>
      </c>
      <c r="D30" s="27" t="inlineStr">
        <is>
          <t>Present as action on B_held_2s transition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Present as B self-transition on ShowTime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Present as action on B transition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Present as C transition from ShowTime to SetTime which starts at SetSeconds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0</v>
      </c>
      <c r="D34" s="27" t="inlineStr">
        <is>
          <t>No explicit flashSeconds action on transition; flashing shown in note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Present as A transition from ShowTime to Alarm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Present as SetSeconds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Present as B self-transition on SetSeconds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Present as incrementSeconds() action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Present as C transition from SetSeconds to SetMinutes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0</v>
      </c>
      <c r="D40" s="27" t="inlineStr">
        <is>
          <t>No explicit flashMinutes action on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Present as SetMinutes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Present as B self-transition on SetMinutes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Present as incrementMinutes() action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Present as C transition from SetMinutes to SetHours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0</v>
      </c>
      <c r="D45" s="27" t="inlineStr">
        <is>
          <t>No explicit flashHours action on transition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Present as SetHours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Present as B self-transition on SetHours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Present as incrementHours() action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Present as C transition from SetHours to SetSeconds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0</v>
      </c>
      <c r="D50" s="27" t="inlineStr">
        <is>
          <t>No explicit flashSeconds action on transition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Present as A transition from SetTime to ShowTime then ShowTime to Alarm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Present as Alarm composite state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Present as [*] --&gt; ShowAlarm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Present as ShowAlarm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0</v>
      </c>
      <c r="D55" s="27" t="inlineStr">
        <is>
          <t>No entry action shown for ShowAlarm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Present as C transition from ShowAlarm to SetAlarm which starts at SetAlarmMinutes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0</v>
      </c>
      <c r="D57" s="27" t="inlineStr">
        <is>
          <t>No explicit flashMinutes action on transition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Present as A transition from ShowAlarm to Countdown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Present as SetAlarmMinutes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Present as B self-transition on SetAlarmMinutes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Present as incrementMinutes() action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Present as C transition from SetAlarmMinutes to SetAlarmHours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0</v>
      </c>
      <c r="D63" s="27" t="inlineStr">
        <is>
          <t>No explicit flashHours action on transition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Present as SetAlarmHours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Present as B self-transition on SetAlarmHours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Present as incrementHours() action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Present as C transition from SetAlarmHours to SetAlarmMinutes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0</v>
      </c>
      <c r="D68" s="27" t="inlineStr">
        <is>
          <t>No explicit flashMinutes action on transition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Present as A transition from SetAlarm to Timekeeping then eventually to Countdown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Present as Countdown composite state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Present as [*] --&gt; ShowCountdown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Present as ShowCountdown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0</v>
      </c>
      <c r="D73" s="27" t="inlineStr">
        <is>
          <t>No entry action shown for ShowCountdown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Present as C transition from ShowCountdown to SetCountdown which starts at SetCDSeconds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0</v>
      </c>
      <c r="D75" s="27" t="inlineStr">
        <is>
          <t>No explicit flashSeconds action on transition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Present as B transition from ShowCountdown to CountdownRunning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Present as [countdownTimeSet] guard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Present as startCountdown() action which implies setting target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Present as A transition from ShowCountdown to Timekeeping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Present as SetCDSeconds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Present as B self-transition on SetCDSeconds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Present as incrementSeconds() action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Present as C transition from SetCDSeconds to SetCDMinutes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0</v>
      </c>
      <c r="D84" s="27" t="inlineStr">
        <is>
          <t>No explicit flashMinutes action on transition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Present as SetCDMinutes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Present as B self-transition on SetCDMinutes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Present as incrementMinutes() action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Present as C transition from SetCDMinutes to SetCDHours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0</v>
      </c>
      <c r="D89" s="27" t="inlineStr">
        <is>
          <t>No explicit flashHours action on transition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Present as SetCDHours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Present as B self-transition on SetCDHours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Present as incrementHours() action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Present as C transition from SetCDHours to SetCDSeconds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0</v>
      </c>
      <c r="D94" s="27" t="inlineStr">
        <is>
          <t>No explicit flashSeconds action on transition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Present as CountdownRunning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0</v>
      </c>
      <c r="D96" s="27" t="inlineStr">
        <is>
          <t>No do action shown for CountdownRunning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Present as countdownReachedZero event transition to CountdownRinging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0</v>
      </c>
      <c r="D98" s="27" t="inlineStr">
        <is>
          <t>No flash action on transition to CountdownRinging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Present as CountdownRinging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Present as beepAndFlashZeros() in note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Present as anyButton transition from CountdownRinging to Countdown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inlineStr">
        <is>
          <t>Present as state H in NormalOperation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inlineStr">
        <is>
          <t>Present as alarmTimeReached transition from NormalOperation to AlarmRinging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saveDisplay action on transition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0</v>
      </c>
      <c r="D105" s="27" t="inlineStr">
        <is>
          <t>No flash action on transition to AlarmRinging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Present as AlarmRinging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Present as beepAndFlashAlarmTime() in note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exit action shown for AlarmRinging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inlineStr">
        <is>
          <t>Present as anyButton transition from AlarmRinging to H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states present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transitions present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guards present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actions present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composite states present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0</v>
      </c>
      <c r="D115" s="27" t="inlineStr">
        <is>
          <t>No fundamentally incorrect regions present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history states present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9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99" t="inlineStr">
        <is>
          <t>Generated by Gemini 3 Pro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SUMIF('Gemini 3 Pro Generation'!$A$2:$A$109, $A3, 'Gemini 3 Pro Generation'!$C$2:$C$109)</f>
        <v/>
      </c>
      <c r="D3" s="47">
        <f>SUMIF('Gemini 3 Pro Generation'!$A$110:$A$116, $A3, 'Gemini 3 Pro Generation'!$C$110:$C$116)</f>
        <v/>
      </c>
      <c r="E3" s="47">
        <f>COUNTIFS('Gemini 3 Pro Generation'!$A$2:$A$109, $A3, 'Gemini 3 Pro Generation'!$C$2:$C$109,0)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SUMIF('Gemini 3 Pro Generation'!$A$2:$A$109, $A4, 'Gemini 3 Pro Generation'!$C$2:$C$109)</f>
        <v/>
      </c>
      <c r="D4" s="47">
        <f>SUMIF('Gemini 3 Pro Generation'!$A$110:$A$116, $A4, 'Gemini 3 Pro Generation'!$C$110:$C$116)</f>
        <v/>
      </c>
      <c r="E4" s="47">
        <f>COUNTIFS('Gemini 3 Pro Generation'!$A$2:$A$109, $A4, 'Gemini 3 Pro Generation'!$C$2:$C$109,0)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SUMIF('Gemini 3 Pro Generation'!$A$2:$A$109, $A5, 'Gemini 3 Pro Generation'!$C$2:$C$109)</f>
        <v/>
      </c>
      <c r="D5" s="47">
        <f>SUMIF('Gemini 3 Pro Generation'!$A$110:$A$116, $A5, 'Gemini 3 Pro Generation'!$C$110:$C$116)</f>
        <v/>
      </c>
      <c r="E5" s="47">
        <f>COUNTIFS('Gemini 3 Pro Generation'!$A$2:$A$109, $A5, 'Gemini 3 Pro Generation'!$C$2:$C$109,0)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Sonnet 4.5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SUMIF('Gemini 3 Pro Generation'!$A$2:$A$109, $A6, 'Gemini 3 Pro Generation'!$C$2:$C$109)</f>
        <v/>
      </c>
      <c r="D6" s="47">
        <f>SUMIF('Gemini 3 Pro Generation'!$A$110:$A$116, $A6, 'Gemini 3 Pro Generation'!$C$110:$C$116)</f>
        <v/>
      </c>
      <c r="E6" s="47">
        <f>COUNTIFS('Gemini 3 Pro Generation'!$A$2:$A$109, $A6, 'Gemini 3 Pro Generation'!$C$2:$C$109,0)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SUMIF('Gemini 3 Pro Generation'!$A$2:$A$109, $A7, 'Gemini 3 Pro Generation'!$C$2:$C$109)</f>
        <v/>
      </c>
      <c r="D7" s="47">
        <f>SUMIF('Gemini 3 Pro Generation'!$A$110:$A$116, $A7, 'Gemini 3 Pro Generation'!$C$110:$C$116)</f>
        <v/>
      </c>
      <c r="E7" s="47">
        <f>COUNTIFS('Gemini 3 Pro Generation'!$A$2:$A$109, $A7, 'Gemini 3 Pro Generation'!$C$2:$C$109,0)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SUMIF('Gemini 3 Pro Generation'!$A$2:$A$109, $A8, 'Gemini 3 Pro Generation'!$C$2:$C$109)</f>
        <v/>
      </c>
      <c r="D8" s="47">
        <f>SUMIF('Gemini 3 Pro Generation'!$A$110:$A$116, $A8, 'Gemini 3 Pro Generation'!$C$110:$C$116)</f>
        <v/>
      </c>
      <c r="E8" s="47">
        <f>COUNTIFS('Gemini 3 Pro Generation'!$A$2:$A$109, $A8, 'Gemini 3 Pro Generation'!$C$2:$C$109,0)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Gemini 3 Pro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SUMIF('Gemini 3 Pro Generation'!$A$2:$A$109, $A9, 'Gemini 3 Pro Generation'!$C$2:$C$109)</f>
        <v/>
      </c>
      <c r="D9" s="47">
        <f>SUMIF('Gemini 3 Pro Generation'!$A$110:$A$116, $A9, 'Gemini 3 Pro Generation'!$C$110:$C$116)</f>
        <v/>
      </c>
      <c r="E9" s="47">
        <f>COUNTIFS('Gemini 3 Pro Generation'!$A$2:$A$109, $A9, 'Gemini 3 Pro Generation'!$C$2:$C$109,0)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inlineStr">
        <is>
          <t>Claude Sonnet 4.5</t>
        </is>
      </c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99" t="inlineStr">
        <is>
          <t>Generated by Claude Sonnet 4.5</t>
        </is>
      </c>
    </row>
    <row r="13" ht="15.75" customHeight="1" s="100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0">
      <c r="A14" s="46" t="inlineStr">
        <is>
          <t>Composite state</t>
        </is>
      </c>
      <c r="B14" s="47">
        <f>COUNTIF(Wumple!$A$2:$A$109, A3)</f>
        <v/>
      </c>
      <c r="C14" s="47">
        <f>SUMIF('Claude Sonnet 4.5 Gen'!$A$2:$A$109, $A14, 'Claude Sonnet 4.5 Gen'!$C$2:$C$109)</f>
        <v/>
      </c>
      <c r="D14" s="47">
        <f>SUMIF('Claude Sonnet 4.5 Gen'!$A$110:$A$116, $A14, 'Claude Sonnet 4.5 Gen'!$C$110:$C$116)</f>
        <v/>
      </c>
      <c r="E14" s="47">
        <f>COUNTIFS('Claude Sonnet 4.5 Gen'!$A$2:$A$109, $A14, 'Claude Sonnet 4.5 Gen'!$C$2:$C$109,0)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0">
      <c r="A15" s="48" t="inlineStr">
        <is>
          <t>State</t>
        </is>
      </c>
      <c r="B15" s="47">
        <f>COUNTIF(Wumple!$A$2:$A$109, A4)</f>
        <v/>
      </c>
      <c r="C15" s="47">
        <f>SUMIF('Claude Sonnet 4.5 Gen'!$A$2:$A$109, $A15, 'Claude Sonnet 4.5 Gen'!$C$2:$C$109)</f>
        <v/>
      </c>
      <c r="D15" s="47">
        <f>SUMIF('Claude Sonnet 4.5 Gen'!$A$110:$A$116, $A15, 'Claude Sonnet 4.5 Gen'!$C$110:$C$116)</f>
        <v/>
      </c>
      <c r="E15" s="47">
        <f>COUNTIFS('Claude Sonnet 4.5 Gen'!$A$2:$A$109, $A15, 'Claude Sonnet 4.5 Gen'!$C$2:$C$109,0)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0">
      <c r="A16" s="48" t="inlineStr">
        <is>
          <t>Transition</t>
        </is>
      </c>
      <c r="B16" s="47">
        <f>COUNTIF(Wumple!$A$2:$A$109, A5)</f>
        <v/>
      </c>
      <c r="C16" s="47">
        <f>SUMIF('Claude Sonnet 4.5 Gen'!$A$2:$A$109, $A16, 'Claude Sonnet 4.5 Gen'!$C$2:$C$109)</f>
        <v/>
      </c>
      <c r="D16" s="47">
        <f>SUMIF('Claude Sonnet 4.5 Gen'!$A$110:$A$116, $A16, 'Claude Sonnet 4.5 Gen'!$C$110:$C$116)</f>
        <v/>
      </c>
      <c r="E16" s="47">
        <f>COUNTIFS('Claude Sonnet 4.5 Gen'!$A$2:$A$109, $A16, 'Claude Sonnet 4.5 Gen'!$C$2:$C$109,0)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0">
      <c r="A17" s="48" t="inlineStr">
        <is>
          <t>Action</t>
        </is>
      </c>
      <c r="B17" s="47">
        <f>COUNTIF(Wumple!$A$2:$A$109, A6)</f>
        <v/>
      </c>
      <c r="C17" s="47">
        <f>SUMIF('Claude Sonnet 4.5 Gen'!$A$2:$A$109, $A17, 'Claude Sonnet 4.5 Gen'!$C$2:$C$109)</f>
        <v/>
      </c>
      <c r="D17" s="47">
        <f>SUMIF('Claude Sonnet 4.5 Gen'!$A$110:$A$116, $A17, 'Claude Sonnet 4.5 Gen'!$C$110:$C$116)</f>
        <v/>
      </c>
      <c r="E17" s="47">
        <f>COUNTIFS('Claude Sonnet 4.5 Gen'!$A$2:$A$109, $A17, 'Claude Sonnet 4.5 Gen'!$C$2:$C$109,0)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0">
      <c r="A18" s="48" t="inlineStr">
        <is>
          <t>Region</t>
        </is>
      </c>
      <c r="B18" s="47">
        <f>COUNTIF(Wumple!$A$2:$A$109, A7)</f>
        <v/>
      </c>
      <c r="C18" s="47">
        <f>SUMIF('Claude Sonnet 4.5 Gen'!$A$2:$A$109, $A18, 'Claude Sonnet 4.5 Gen'!$C$2:$C$109)</f>
        <v/>
      </c>
      <c r="D18" s="47">
        <f>SUMIF('Claude Sonnet 4.5 Gen'!$A$110:$A$116, $A18, 'Claude Sonnet 4.5 Gen'!$C$110:$C$116)</f>
        <v/>
      </c>
      <c r="E18" s="47">
        <f>COUNTIFS('Claude Sonnet 4.5 Gen'!$A$2:$A$109, $A18, 'Claude Sonnet 4.5 Gen'!$C$2:$C$109,0)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0">
      <c r="A19" s="48" t="inlineStr">
        <is>
          <t>History State</t>
        </is>
      </c>
      <c r="B19" s="47">
        <f>COUNTIF(Wumple!$A$2:$A$109, A8)</f>
        <v/>
      </c>
      <c r="C19" s="47">
        <f>SUMIF('Claude Sonnet 4.5 Gen'!$A$2:$A$109, $A19, 'Claude Sonnet 4.5 Gen'!$C$2:$C$109)</f>
        <v/>
      </c>
      <c r="D19" s="47">
        <f>SUMIF('Claude Sonnet 4.5 Gen'!$A$110:$A$116, $A19, 'Claude Sonnet 4.5 Gen'!$C$110:$C$116)</f>
        <v/>
      </c>
      <c r="E19" s="47">
        <f>COUNTIFS('Claude Sonnet 4.5 Gen'!$A$2:$A$109, $A19, 'Claude Sonnet 4.5 Gen'!$C$2:$C$109,0)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0">
      <c r="A20" s="48" t="inlineStr">
        <is>
          <t>Guard</t>
        </is>
      </c>
      <c r="B20" s="47">
        <f>COUNTIF(Wumple!$A$2:$A$109, A9)</f>
        <v/>
      </c>
      <c r="C20" s="47">
        <f>SUMIF('Claude Sonnet 4.5 Gen'!$A$2:$A$109, $A20, 'Claude Sonnet 4.5 Gen'!$C$2:$C$109)</f>
        <v/>
      </c>
      <c r="D20" s="47">
        <f>SUMIF('Claude Sonnet 4.5 Gen'!$A$110:$A$116, $A20, 'Claude Sonnet 4.5 Gen'!$C$110:$C$116)</f>
        <v/>
      </c>
      <c r="E20" s="47">
        <f>COUNTIFS('Claude Sonnet 4.5 Gen'!$A$2:$A$109, $A20, 'Claude Sonnet 4.5 Gen'!$C$2:$C$109,0)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0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2026-05-12T19:20:45Z</dcterms:modified>
  <cp:lastModifiedBy>Marc-Antoine Nadeau</cp:lastModifiedBy>
</cp:coreProperties>
</file>