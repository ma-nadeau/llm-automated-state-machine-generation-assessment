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Automatic Bread Maker/"/>
    </mc:Choice>
  </mc:AlternateContent>
  <xr:revisionPtr revIDLastSave="0" documentId="8_{D370494D-2CC2-3D4B-85D5-960168B34E00}" xr6:coauthVersionLast="47" xr6:coauthVersionMax="47" xr10:uidLastSave="{00000000-0000-0000-0000-000000000000}"/>
  <bookViews>
    <workbookView xWindow="0" yWindow="660" windowWidth="30240" windowHeight="17440" activeTab="3" xr2:uid="{00000000-000D-0000-FFFF-FFFF00000000}"/>
  </bookViews>
  <sheets>
    <sheet name="Automatic Bread Maker" sheetId="1" r:id="rId1"/>
    <sheet name="Automatic Bread Maker Grader #1" sheetId="2" r:id="rId2"/>
    <sheet name="Automatic Bread Maker Grader #2" sheetId="3" r:id="rId3"/>
    <sheet name="Metrics" sheetId="4" r:id="rId4"/>
    <sheet name="Inter-rater" sheetId="5" r:id="rId5"/>
    <sheet name="Weighted Cohens Kappa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+x/CU9PpMiMgkQmbhK3XocVxAxGLJ56KfRtSOX4LmhM="/>
    </ext>
  </extLst>
</workbook>
</file>

<file path=xl/calcChain.xml><?xml version="1.0" encoding="utf-8"?>
<calcChain xmlns="http://schemas.openxmlformats.org/spreadsheetml/2006/main">
  <c r="B3" i="4" l="1"/>
  <c r="B9" i="4"/>
  <c r="O54" i="6"/>
  <c r="N54" i="6"/>
  <c r="M54" i="6"/>
  <c r="C54" i="6"/>
  <c r="B54" i="6"/>
  <c r="A54" i="6"/>
  <c r="O53" i="6"/>
  <c r="N53" i="6"/>
  <c r="M53" i="6"/>
  <c r="C53" i="6"/>
  <c r="I52" i="6" s="1"/>
  <c r="I55" i="6" s="1"/>
  <c r="B53" i="6"/>
  <c r="A53" i="6"/>
  <c r="O52" i="6"/>
  <c r="N52" i="6"/>
  <c r="M52" i="6"/>
  <c r="C52" i="6"/>
  <c r="B52" i="6"/>
  <c r="A52" i="6"/>
  <c r="C51" i="6"/>
  <c r="B51" i="6"/>
  <c r="A51" i="6"/>
  <c r="C50" i="6"/>
  <c r="B50" i="6"/>
  <c r="A50" i="6"/>
  <c r="C49" i="6"/>
  <c r="B49" i="6"/>
  <c r="A49" i="6"/>
  <c r="C48" i="6"/>
  <c r="B48" i="6"/>
  <c r="A48" i="6"/>
  <c r="O47" i="6"/>
  <c r="N47" i="6"/>
  <c r="M47" i="6"/>
  <c r="C47" i="6"/>
  <c r="B47" i="6"/>
  <c r="A47" i="6"/>
  <c r="O46" i="6"/>
  <c r="N46" i="6"/>
  <c r="M46" i="6"/>
  <c r="C46" i="6"/>
  <c r="B46" i="6"/>
  <c r="A46" i="6"/>
  <c r="O45" i="6"/>
  <c r="N45" i="6"/>
  <c r="M45" i="6"/>
  <c r="C45" i="6"/>
  <c r="B45" i="6"/>
  <c r="A45" i="6"/>
  <c r="C44" i="6"/>
  <c r="B44" i="6"/>
  <c r="A44" i="6"/>
  <c r="C43" i="6"/>
  <c r="B43" i="6"/>
  <c r="A43" i="6"/>
  <c r="C42" i="6"/>
  <c r="B42" i="6"/>
  <c r="A42" i="6"/>
  <c r="C41" i="6"/>
  <c r="B41" i="6"/>
  <c r="A41" i="6"/>
  <c r="O40" i="6"/>
  <c r="N40" i="6"/>
  <c r="M40" i="6"/>
  <c r="C40" i="6"/>
  <c r="B40" i="6"/>
  <c r="A40" i="6"/>
  <c r="O39" i="6"/>
  <c r="N39" i="6"/>
  <c r="M39" i="6"/>
  <c r="C39" i="6"/>
  <c r="B39" i="6"/>
  <c r="A39" i="6"/>
  <c r="O38" i="6"/>
  <c r="N38" i="6"/>
  <c r="M38" i="6"/>
  <c r="C38" i="6"/>
  <c r="B38" i="6"/>
  <c r="A38" i="6"/>
  <c r="C37" i="6"/>
  <c r="B37" i="6"/>
  <c r="A37" i="6"/>
  <c r="C36" i="6"/>
  <c r="B36" i="6"/>
  <c r="A36" i="6"/>
  <c r="C35" i="6"/>
  <c r="B35" i="6"/>
  <c r="A35" i="6"/>
  <c r="C34" i="6"/>
  <c r="B34" i="6"/>
  <c r="A34" i="6"/>
  <c r="O33" i="6"/>
  <c r="N33" i="6"/>
  <c r="M33" i="6"/>
  <c r="C33" i="6"/>
  <c r="B33" i="6"/>
  <c r="A33" i="6"/>
  <c r="O32" i="6"/>
  <c r="N32" i="6"/>
  <c r="M32" i="6"/>
  <c r="C32" i="6"/>
  <c r="B32" i="6"/>
  <c r="A32" i="6"/>
  <c r="O31" i="6"/>
  <c r="N31" i="6"/>
  <c r="M31" i="6"/>
  <c r="C31" i="6"/>
  <c r="B31" i="6"/>
  <c r="A31" i="6"/>
  <c r="C30" i="6"/>
  <c r="B30" i="6"/>
  <c r="A30" i="6"/>
  <c r="C29" i="6"/>
  <c r="B29" i="6"/>
  <c r="A29" i="6"/>
  <c r="C28" i="6"/>
  <c r="B28" i="6"/>
  <c r="A28" i="6"/>
  <c r="C27" i="6"/>
  <c r="B27" i="6"/>
  <c r="A27" i="6"/>
  <c r="O26" i="6"/>
  <c r="N26" i="6"/>
  <c r="M26" i="6"/>
  <c r="C26" i="6"/>
  <c r="B26" i="6"/>
  <c r="A26" i="6"/>
  <c r="O25" i="6"/>
  <c r="N25" i="6"/>
  <c r="M25" i="6"/>
  <c r="C25" i="6"/>
  <c r="B25" i="6"/>
  <c r="A25" i="6"/>
  <c r="O24" i="6"/>
  <c r="N24" i="6"/>
  <c r="M24" i="6"/>
  <c r="C24" i="6"/>
  <c r="B24" i="6"/>
  <c r="A24" i="6"/>
  <c r="C23" i="6"/>
  <c r="B23" i="6"/>
  <c r="A23" i="6"/>
  <c r="G45" i="6" s="1"/>
  <c r="C22" i="6"/>
  <c r="B22" i="6"/>
  <c r="A22" i="6"/>
  <c r="C21" i="6"/>
  <c r="B21" i="6"/>
  <c r="A21" i="6"/>
  <c r="C20" i="6"/>
  <c r="B20" i="6"/>
  <c r="A20" i="6"/>
  <c r="O19" i="6"/>
  <c r="N19" i="6"/>
  <c r="M19" i="6"/>
  <c r="C19" i="6"/>
  <c r="B19" i="6"/>
  <c r="A19" i="6"/>
  <c r="O18" i="6"/>
  <c r="N18" i="6"/>
  <c r="M18" i="6"/>
  <c r="C18" i="6"/>
  <c r="B18" i="6"/>
  <c r="A18" i="6"/>
  <c r="O17" i="6"/>
  <c r="N17" i="6"/>
  <c r="M17" i="6"/>
  <c r="C17" i="6"/>
  <c r="B17" i="6"/>
  <c r="A17" i="6"/>
  <c r="C16" i="6"/>
  <c r="B16" i="6"/>
  <c r="A16" i="6"/>
  <c r="C15" i="6"/>
  <c r="B15" i="6"/>
  <c r="A15" i="6"/>
  <c r="C14" i="6"/>
  <c r="B14" i="6"/>
  <c r="A14" i="6"/>
  <c r="C13" i="6"/>
  <c r="B13" i="6"/>
  <c r="A13" i="6"/>
  <c r="O12" i="6"/>
  <c r="N12" i="6"/>
  <c r="M12" i="6"/>
  <c r="C12" i="6"/>
  <c r="B12" i="6"/>
  <c r="A12" i="6"/>
  <c r="O11" i="6"/>
  <c r="N11" i="6"/>
  <c r="M11" i="6"/>
  <c r="C11" i="6"/>
  <c r="B11" i="6"/>
  <c r="A11" i="6"/>
  <c r="O10" i="6"/>
  <c r="N10" i="6"/>
  <c r="M10" i="6"/>
  <c r="C10" i="6"/>
  <c r="B10" i="6"/>
  <c r="A10" i="6"/>
  <c r="C9" i="6"/>
  <c r="B9" i="6"/>
  <c r="A9" i="6"/>
  <c r="C8" i="6"/>
  <c r="B8" i="6"/>
  <c r="A8" i="6"/>
  <c r="C7" i="6"/>
  <c r="B7" i="6"/>
  <c r="A7" i="6"/>
  <c r="C6" i="6"/>
  <c r="B6" i="6"/>
  <c r="A6" i="6"/>
  <c r="O5" i="6"/>
  <c r="N5" i="6"/>
  <c r="M5" i="6"/>
  <c r="C5" i="6"/>
  <c r="B5" i="6"/>
  <c r="A5" i="6"/>
  <c r="I47" i="6" s="1"/>
  <c r="O4" i="6"/>
  <c r="N4" i="6"/>
  <c r="M4" i="6"/>
  <c r="C4" i="6"/>
  <c r="B4" i="6"/>
  <c r="A4" i="6"/>
  <c r="O3" i="6"/>
  <c r="N3" i="6"/>
  <c r="M3" i="6"/>
  <c r="C3" i="6"/>
  <c r="I17" i="6" s="1"/>
  <c r="I20" i="6" s="1"/>
  <c r="B3" i="6"/>
  <c r="A3" i="6"/>
  <c r="C2" i="6"/>
  <c r="G12" i="6" s="1"/>
  <c r="J12" i="6" s="1"/>
  <c r="B2" i="6"/>
  <c r="A2" i="6"/>
  <c r="H52" i="6" s="1"/>
  <c r="I54" i="5"/>
  <c r="C54" i="5"/>
  <c r="B54" i="5"/>
  <c r="A54" i="5"/>
  <c r="H53" i="5"/>
  <c r="C53" i="5"/>
  <c r="G54" i="5" s="1"/>
  <c r="J54" i="5" s="1"/>
  <c r="B53" i="5"/>
  <c r="A53" i="5"/>
  <c r="C52" i="5"/>
  <c r="B52" i="5"/>
  <c r="A52" i="5"/>
  <c r="C51" i="5"/>
  <c r="B51" i="5"/>
  <c r="A51" i="5"/>
  <c r="C50" i="5"/>
  <c r="B50" i="5"/>
  <c r="A50" i="5"/>
  <c r="C49" i="5"/>
  <c r="B49" i="5"/>
  <c r="A49" i="5"/>
  <c r="C48" i="5"/>
  <c r="B48" i="5"/>
  <c r="A48" i="5"/>
  <c r="C47" i="5"/>
  <c r="B47" i="5"/>
  <c r="A47" i="5"/>
  <c r="H46" i="5"/>
  <c r="C46" i="5"/>
  <c r="B46" i="5"/>
  <c r="A46" i="5"/>
  <c r="C45" i="5"/>
  <c r="B45" i="5"/>
  <c r="A45" i="5"/>
  <c r="C44" i="5"/>
  <c r="B44" i="5"/>
  <c r="A44" i="5"/>
  <c r="C43" i="5"/>
  <c r="B43" i="5"/>
  <c r="A43" i="5"/>
  <c r="C42" i="5"/>
  <c r="B42" i="5"/>
  <c r="A42" i="5"/>
  <c r="C41" i="5"/>
  <c r="B41" i="5"/>
  <c r="A41" i="5"/>
  <c r="C40" i="5"/>
  <c r="B40" i="5"/>
  <c r="A40" i="5"/>
  <c r="C39" i="5"/>
  <c r="B39" i="5"/>
  <c r="A39" i="5"/>
  <c r="C38" i="5"/>
  <c r="B38" i="5"/>
  <c r="A38" i="5"/>
  <c r="C37" i="5"/>
  <c r="B37" i="5"/>
  <c r="A37" i="5"/>
  <c r="C36" i="5"/>
  <c r="B36" i="5"/>
  <c r="A36" i="5"/>
  <c r="C35" i="5"/>
  <c r="B35" i="5"/>
  <c r="A35" i="5"/>
  <c r="C34" i="5"/>
  <c r="B34" i="5"/>
  <c r="A34" i="5"/>
  <c r="C33" i="5"/>
  <c r="B33" i="5"/>
  <c r="A33" i="5"/>
  <c r="C32" i="5"/>
  <c r="B32" i="5"/>
  <c r="A32" i="5"/>
  <c r="C31" i="5"/>
  <c r="B31" i="5"/>
  <c r="A31" i="5"/>
  <c r="C30" i="5"/>
  <c r="B30" i="5"/>
  <c r="A30" i="5"/>
  <c r="C29" i="5"/>
  <c r="B29" i="5"/>
  <c r="A29" i="5"/>
  <c r="C28" i="5"/>
  <c r="B28" i="5"/>
  <c r="A28" i="5"/>
  <c r="C27" i="5"/>
  <c r="I33" i="5" s="1"/>
  <c r="B27" i="5"/>
  <c r="A27" i="5"/>
  <c r="C26" i="5"/>
  <c r="B26" i="5"/>
  <c r="A26" i="5"/>
  <c r="C25" i="5"/>
  <c r="B25" i="5"/>
  <c r="A25" i="5"/>
  <c r="C24" i="5"/>
  <c r="B24" i="5"/>
  <c r="A24" i="5"/>
  <c r="C23" i="5"/>
  <c r="B23" i="5"/>
  <c r="A23" i="5"/>
  <c r="C22" i="5"/>
  <c r="B22" i="5"/>
  <c r="A22" i="5"/>
  <c r="C21" i="5"/>
  <c r="B21" i="5"/>
  <c r="A21" i="5"/>
  <c r="C20" i="5"/>
  <c r="B20" i="5"/>
  <c r="A20" i="5"/>
  <c r="C19" i="5"/>
  <c r="H32" i="5" s="1"/>
  <c r="B19" i="5"/>
  <c r="A19" i="5"/>
  <c r="C18" i="5"/>
  <c r="B18" i="5"/>
  <c r="A18" i="5"/>
  <c r="C17" i="5"/>
  <c r="B17" i="5"/>
  <c r="A17" i="5"/>
  <c r="C16" i="5"/>
  <c r="B16" i="5"/>
  <c r="A16" i="5"/>
  <c r="C15" i="5"/>
  <c r="I47" i="5" s="1"/>
  <c r="B15" i="5"/>
  <c r="A15" i="5"/>
  <c r="C14" i="5"/>
  <c r="B14" i="5"/>
  <c r="A14" i="5"/>
  <c r="C13" i="5"/>
  <c r="B13" i="5"/>
  <c r="A13" i="5"/>
  <c r="C12" i="5"/>
  <c r="B12" i="5"/>
  <c r="A12" i="5"/>
  <c r="C11" i="5"/>
  <c r="B11" i="5"/>
  <c r="A11" i="5"/>
  <c r="C10" i="5"/>
  <c r="B10" i="5"/>
  <c r="A10" i="5"/>
  <c r="C9" i="5"/>
  <c r="B9" i="5"/>
  <c r="A9" i="5"/>
  <c r="C8" i="5"/>
  <c r="B8" i="5"/>
  <c r="A8" i="5"/>
  <c r="C7" i="5"/>
  <c r="B7" i="5"/>
  <c r="A7" i="5"/>
  <c r="C6" i="5"/>
  <c r="H25" i="5" s="1"/>
  <c r="B6" i="5"/>
  <c r="A6" i="5"/>
  <c r="C5" i="5"/>
  <c r="H11" i="5" s="1"/>
  <c r="B5" i="5"/>
  <c r="A5" i="5"/>
  <c r="C4" i="5"/>
  <c r="I26" i="5" s="1"/>
  <c r="B4" i="5"/>
  <c r="A4" i="5"/>
  <c r="C3" i="5"/>
  <c r="B3" i="5"/>
  <c r="A3" i="5"/>
  <c r="H26" i="5" s="1"/>
  <c r="C2" i="5"/>
  <c r="B2" i="5"/>
  <c r="A2" i="5"/>
  <c r="H54" i="5" s="1"/>
  <c r="D21" i="4"/>
  <c r="E20" i="4"/>
  <c r="D20" i="4"/>
  <c r="C20" i="4"/>
  <c r="G20" i="4" s="1"/>
  <c r="B20" i="4"/>
  <c r="E19" i="4"/>
  <c r="D19" i="4"/>
  <c r="C19" i="4"/>
  <c r="G19" i="4" s="1"/>
  <c r="B19" i="4"/>
  <c r="E18" i="4"/>
  <c r="D18" i="4"/>
  <c r="F18" i="4" s="1"/>
  <c r="C18" i="4"/>
  <c r="B18" i="4"/>
  <c r="G18" i="4" s="1"/>
  <c r="E17" i="4"/>
  <c r="D17" i="4"/>
  <c r="C17" i="4"/>
  <c r="F17" i="4" s="1"/>
  <c r="B17" i="4"/>
  <c r="F16" i="4"/>
  <c r="E16" i="4"/>
  <c r="D16" i="4"/>
  <c r="C16" i="4"/>
  <c r="G16" i="4" s="1"/>
  <c r="H16" i="4" s="1"/>
  <c r="B16" i="4"/>
  <c r="F15" i="4"/>
  <c r="E15" i="4"/>
  <c r="D15" i="4"/>
  <c r="C15" i="4"/>
  <c r="G15" i="4" s="1"/>
  <c r="B15" i="4"/>
  <c r="E14" i="4"/>
  <c r="E21" i="4" s="1"/>
  <c r="D14" i="4"/>
  <c r="C14" i="4"/>
  <c r="C21" i="4" s="1"/>
  <c r="B14" i="4"/>
  <c r="B21" i="4" s="1"/>
  <c r="E9" i="4"/>
  <c r="D9" i="4"/>
  <c r="C9" i="4"/>
  <c r="E8" i="4"/>
  <c r="D8" i="4"/>
  <c r="C8" i="4"/>
  <c r="G8" i="4" s="1"/>
  <c r="B8" i="4"/>
  <c r="E7" i="4"/>
  <c r="D7" i="4"/>
  <c r="C7" i="4"/>
  <c r="G7" i="4" s="1"/>
  <c r="B7" i="4"/>
  <c r="G6" i="4"/>
  <c r="E6" i="4"/>
  <c r="D6" i="4"/>
  <c r="C6" i="4"/>
  <c r="F6" i="4" s="1"/>
  <c r="H6" i="4" s="1"/>
  <c r="B6" i="4"/>
  <c r="E5" i="4"/>
  <c r="D5" i="4"/>
  <c r="C5" i="4"/>
  <c r="G5" i="4" s="1"/>
  <c r="B5" i="4"/>
  <c r="E4" i="4"/>
  <c r="D4" i="4"/>
  <c r="D10" i="4" s="1"/>
  <c r="C4" i="4"/>
  <c r="F4" i="4" s="1"/>
  <c r="B4" i="4"/>
  <c r="E3" i="4"/>
  <c r="E10" i="4" s="1"/>
  <c r="D3" i="4"/>
  <c r="C3" i="4"/>
  <c r="C10" i="4" s="1"/>
  <c r="B10" i="4" l="1"/>
  <c r="G9" i="4"/>
  <c r="H10" i="5"/>
  <c r="I12" i="5"/>
  <c r="G33" i="5"/>
  <c r="J33" i="5" s="1"/>
  <c r="I12" i="6"/>
  <c r="G19" i="6"/>
  <c r="J19" i="6" s="1"/>
  <c r="F3" i="4"/>
  <c r="F9" i="4"/>
  <c r="H9" i="4" s="1"/>
  <c r="I38" i="5"/>
  <c r="I41" i="5" s="1"/>
  <c r="I45" i="5"/>
  <c r="I48" i="5" s="1"/>
  <c r="I17" i="5"/>
  <c r="I20" i="5" s="1"/>
  <c r="H5" i="5"/>
  <c r="H39" i="5"/>
  <c r="I33" i="6"/>
  <c r="G3" i="4"/>
  <c r="G26" i="5"/>
  <c r="J26" i="5" s="1"/>
  <c r="G10" i="4"/>
  <c r="F10" i="4"/>
  <c r="H15" i="4"/>
  <c r="H18" i="4"/>
  <c r="G21" i="4"/>
  <c r="F21" i="4"/>
  <c r="H21" i="4" s="1"/>
  <c r="I40" i="5"/>
  <c r="G3" i="5"/>
  <c r="I4" i="5"/>
  <c r="G10" i="5"/>
  <c r="I11" i="5"/>
  <c r="G17" i="5"/>
  <c r="I18" i="5"/>
  <c r="G24" i="5"/>
  <c r="I25" i="5"/>
  <c r="G31" i="5"/>
  <c r="I32" i="5"/>
  <c r="G38" i="5"/>
  <c r="I39" i="5"/>
  <c r="G45" i="5"/>
  <c r="I46" i="5"/>
  <c r="G52" i="5"/>
  <c r="I53" i="5"/>
  <c r="H5" i="6"/>
  <c r="H10" i="6"/>
  <c r="H25" i="6"/>
  <c r="H40" i="6"/>
  <c r="H45" i="6"/>
  <c r="H4" i="5"/>
  <c r="G5" i="6"/>
  <c r="J5" i="6" s="1"/>
  <c r="F8" i="4"/>
  <c r="H8" i="4" s="1"/>
  <c r="H3" i="5"/>
  <c r="H6" i="5" s="1"/>
  <c r="H17" i="5"/>
  <c r="H24" i="5"/>
  <c r="H27" i="5" s="1"/>
  <c r="H31" i="5"/>
  <c r="H34" i="5" s="1"/>
  <c r="H38" i="5"/>
  <c r="H45" i="5"/>
  <c r="H52" i="5"/>
  <c r="H55" i="5" s="1"/>
  <c r="G3" i="6"/>
  <c r="I5" i="6"/>
  <c r="I10" i="6"/>
  <c r="I13" i="6" s="1"/>
  <c r="G18" i="6"/>
  <c r="I25" i="6"/>
  <c r="G33" i="6"/>
  <c r="J33" i="6" s="1"/>
  <c r="G38" i="6"/>
  <c r="I40" i="6"/>
  <c r="I45" i="6"/>
  <c r="I48" i="6" s="1"/>
  <c r="G53" i="6"/>
  <c r="I19" i="5"/>
  <c r="G10" i="6"/>
  <c r="F5" i="4"/>
  <c r="H5" i="4" s="1"/>
  <c r="F14" i="4"/>
  <c r="I3" i="5"/>
  <c r="I6" i="5" s="1"/>
  <c r="I10" i="5"/>
  <c r="I13" i="5" s="1"/>
  <c r="I24" i="5"/>
  <c r="I27" i="5" s="1"/>
  <c r="I31" i="5"/>
  <c r="I34" i="5" s="1"/>
  <c r="I52" i="5"/>
  <c r="I55" i="5" s="1"/>
  <c r="H3" i="6"/>
  <c r="H18" i="6"/>
  <c r="H33" i="6"/>
  <c r="H38" i="6"/>
  <c r="H53" i="6"/>
  <c r="H55" i="6" s="1"/>
  <c r="I3" i="6"/>
  <c r="I6" i="6" s="1"/>
  <c r="G11" i="6"/>
  <c r="I18" i="6"/>
  <c r="G26" i="6"/>
  <c r="J26" i="6" s="1"/>
  <c r="G31" i="6"/>
  <c r="I38" i="6"/>
  <c r="I41" i="6" s="1"/>
  <c r="G46" i="6"/>
  <c r="G48" i="6" s="1"/>
  <c r="I53" i="6"/>
  <c r="I5" i="5"/>
  <c r="G4" i="4"/>
  <c r="H4" i="4" s="1"/>
  <c r="F7" i="4"/>
  <c r="H7" i="4" s="1"/>
  <c r="G17" i="4"/>
  <c r="H17" i="4" s="1"/>
  <c r="F20" i="4"/>
  <c r="H20" i="4" s="1"/>
  <c r="H11" i="6"/>
  <c r="H26" i="6"/>
  <c r="H31" i="6"/>
  <c r="H46" i="6"/>
  <c r="G14" i="4"/>
  <c r="G4" i="6"/>
  <c r="I11" i="6"/>
  <c r="G24" i="6"/>
  <c r="I26" i="6"/>
  <c r="I31" i="6"/>
  <c r="I34" i="6" s="1"/>
  <c r="G39" i="6"/>
  <c r="I46" i="6"/>
  <c r="G54" i="6"/>
  <c r="J54" i="6" s="1"/>
  <c r="H4" i="6"/>
  <c r="H19" i="6"/>
  <c r="H24" i="6"/>
  <c r="H27" i="6" s="1"/>
  <c r="H39" i="6"/>
  <c r="H54" i="6"/>
  <c r="H18" i="5"/>
  <c r="F19" i="4"/>
  <c r="H19" i="4" s="1"/>
  <c r="G5" i="5"/>
  <c r="J5" i="5" s="1"/>
  <c r="G12" i="5"/>
  <c r="J12" i="5" s="1"/>
  <c r="G19" i="5"/>
  <c r="J19" i="5" s="1"/>
  <c r="G40" i="5"/>
  <c r="J40" i="5" s="1"/>
  <c r="G47" i="5"/>
  <c r="J47" i="5" s="1"/>
  <c r="I4" i="6"/>
  <c r="G17" i="6"/>
  <c r="I19" i="6"/>
  <c r="I24" i="6"/>
  <c r="I27" i="6" s="1"/>
  <c r="G32" i="6"/>
  <c r="J32" i="6" s="1"/>
  <c r="I39" i="6"/>
  <c r="G47" i="6"/>
  <c r="J47" i="6" s="1"/>
  <c r="G52" i="6"/>
  <c r="I54" i="6"/>
  <c r="G4" i="5"/>
  <c r="J4" i="5" s="1"/>
  <c r="G11" i="5"/>
  <c r="J11" i="5" s="1"/>
  <c r="H12" i="5"/>
  <c r="H13" i="5" s="1"/>
  <c r="G18" i="5"/>
  <c r="J18" i="5" s="1"/>
  <c r="H19" i="5"/>
  <c r="G25" i="5"/>
  <c r="J25" i="5" s="1"/>
  <c r="G32" i="5"/>
  <c r="J32" i="5" s="1"/>
  <c r="H33" i="5"/>
  <c r="G39" i="5"/>
  <c r="J39" i="5" s="1"/>
  <c r="H40" i="5"/>
  <c r="G46" i="5"/>
  <c r="H47" i="5"/>
  <c r="G53" i="5"/>
  <c r="H12" i="6"/>
  <c r="H17" i="6"/>
  <c r="H32" i="6"/>
  <c r="H47" i="6"/>
  <c r="G25" i="6"/>
  <c r="I32" i="6"/>
  <c r="G40" i="6"/>
  <c r="J40" i="6" s="1"/>
  <c r="H3" i="4" l="1"/>
  <c r="H13" i="6"/>
  <c r="H20" i="6"/>
  <c r="H20" i="5"/>
  <c r="H10" i="4"/>
  <c r="J46" i="5"/>
  <c r="J53" i="6"/>
  <c r="H6" i="6"/>
  <c r="J39" i="6"/>
  <c r="H41" i="5"/>
  <c r="G34" i="5"/>
  <c r="M31" i="5"/>
  <c r="J31" i="5"/>
  <c r="M32" i="5" s="1" a="1"/>
  <c r="M32" i="5" s="1"/>
  <c r="J45" i="6"/>
  <c r="J11" i="6"/>
  <c r="G27" i="5"/>
  <c r="M24" i="5"/>
  <c r="J24" i="5"/>
  <c r="M25" i="5" s="1" a="1"/>
  <c r="M25" i="5" s="1"/>
  <c r="J48" i="6"/>
  <c r="W45" i="6" s="1"/>
  <c r="J41" i="6"/>
  <c r="R40" i="6" s="1"/>
  <c r="J38" i="6"/>
  <c r="G41" i="6"/>
  <c r="W38" i="6"/>
  <c r="J24" i="6"/>
  <c r="G27" i="6"/>
  <c r="J27" i="6"/>
  <c r="T26" i="6" s="1"/>
  <c r="H14" i="4"/>
  <c r="J18" i="6"/>
  <c r="M52" i="5"/>
  <c r="J52" i="5"/>
  <c r="M53" i="5" s="1" a="1"/>
  <c r="M53" i="5" s="1"/>
  <c r="G55" i="5"/>
  <c r="G20" i="5"/>
  <c r="M17" i="5"/>
  <c r="J17" i="5"/>
  <c r="M18" i="5" s="1" a="1"/>
  <c r="M18" i="5" s="1"/>
  <c r="H41" i="6"/>
  <c r="J13" i="6"/>
  <c r="W10" i="6" s="1"/>
  <c r="J10" i="6"/>
  <c r="G13" i="6"/>
  <c r="T5" i="6"/>
  <c r="S5" i="6"/>
  <c r="G48" i="5"/>
  <c r="M45" i="5"/>
  <c r="J45" i="5"/>
  <c r="M46" i="5" s="1" a="1"/>
  <c r="M46" i="5" s="1"/>
  <c r="G13" i="5"/>
  <c r="M10" i="5"/>
  <c r="J10" i="5"/>
  <c r="M11" i="5" s="1" a="1"/>
  <c r="M11" i="5" s="1"/>
  <c r="J53" i="5"/>
  <c r="G20" i="6"/>
  <c r="J20" i="6"/>
  <c r="J17" i="6"/>
  <c r="J4" i="6"/>
  <c r="T40" i="6"/>
  <c r="S40" i="6"/>
  <c r="J46" i="6"/>
  <c r="J6" i="6"/>
  <c r="R5" i="6" s="1"/>
  <c r="J3" i="6"/>
  <c r="G6" i="6"/>
  <c r="W3" i="6"/>
  <c r="J55" i="6"/>
  <c r="W52" i="6"/>
  <c r="G55" i="6"/>
  <c r="J52" i="6"/>
  <c r="S54" i="6"/>
  <c r="H34" i="6"/>
  <c r="H48" i="6"/>
  <c r="S47" i="6" s="1"/>
  <c r="G41" i="5"/>
  <c r="M38" i="5"/>
  <c r="J38" i="5"/>
  <c r="M39" i="5" s="1" a="1"/>
  <c r="M39" i="5" s="1"/>
  <c r="G6" i="5"/>
  <c r="M3" i="5"/>
  <c r="J3" i="5"/>
  <c r="M4" i="5" s="1" a="1"/>
  <c r="M4" i="5" s="1"/>
  <c r="J25" i="6"/>
  <c r="T47" i="6"/>
  <c r="R47" i="6"/>
  <c r="J34" i="6"/>
  <c r="S32" i="6" s="1"/>
  <c r="J31" i="6"/>
  <c r="G34" i="6"/>
  <c r="W31" i="6"/>
  <c r="H48" i="5"/>
  <c r="R54" i="6" l="1"/>
  <c r="T54" i="6"/>
  <c r="S18" i="6"/>
  <c r="R18" i="6"/>
  <c r="T18" i="6"/>
  <c r="T32" i="6"/>
  <c r="T45" i="6"/>
  <c r="S45" i="6"/>
  <c r="R45" i="6"/>
  <c r="W46" i="6" s="1"/>
  <c r="W47" i="6" s="1"/>
  <c r="T10" i="6"/>
  <c r="S10" i="6"/>
  <c r="R10" i="6"/>
  <c r="W11" i="6" s="1"/>
  <c r="W12" i="6" s="1"/>
  <c r="T31" i="6"/>
  <c r="S31" i="6"/>
  <c r="R31" i="6"/>
  <c r="W32" i="6" s="1"/>
  <c r="W33" i="6" s="1"/>
  <c r="T52" i="6"/>
  <c r="S52" i="6"/>
  <c r="R52" i="6"/>
  <c r="W53" i="6" s="1"/>
  <c r="W54" i="6" s="1"/>
  <c r="M33" i="5"/>
  <c r="T33" i="6"/>
  <c r="T46" i="6"/>
  <c r="S46" i="6"/>
  <c r="R46" i="6"/>
  <c r="T12" i="6"/>
  <c r="S12" i="6"/>
  <c r="R12" i="6"/>
  <c r="M26" i="5"/>
  <c r="M19" i="5"/>
  <c r="T24" i="6"/>
  <c r="S24" i="6"/>
  <c r="R24" i="6"/>
  <c r="W25" i="6" s="1"/>
  <c r="R33" i="6"/>
  <c r="M12" i="5"/>
  <c r="M40" i="5"/>
  <c r="M47" i="5"/>
  <c r="W40" i="6"/>
  <c r="S33" i="6"/>
  <c r="R26" i="6"/>
  <c r="W24" i="6"/>
  <c r="T4" i="6"/>
  <c r="S4" i="6"/>
  <c r="R4" i="6"/>
  <c r="T53" i="6"/>
  <c r="T17" i="6"/>
  <c r="S17" i="6"/>
  <c r="R17" i="6"/>
  <c r="W18" i="6" s="1"/>
  <c r="R53" i="6"/>
  <c r="T19" i="6"/>
  <c r="S19" i="6"/>
  <c r="R19" i="6"/>
  <c r="T25" i="6"/>
  <c r="S25" i="6"/>
  <c r="R25" i="6"/>
  <c r="S53" i="6"/>
  <c r="W17" i="6"/>
  <c r="T11" i="6"/>
  <c r="S11" i="6"/>
  <c r="R11" i="6"/>
  <c r="S26" i="6"/>
  <c r="S38" i="6"/>
  <c r="R38" i="6"/>
  <c r="W39" i="6" s="1"/>
  <c r="T38" i="6"/>
  <c r="R32" i="6"/>
  <c r="R3" i="6"/>
  <c r="W4" i="6" s="1"/>
  <c r="W5" i="6" s="1"/>
  <c r="S3" i="6"/>
  <c r="T3" i="6"/>
  <c r="M5" i="5"/>
  <c r="M54" i="5"/>
  <c r="T39" i="6"/>
  <c r="S39" i="6"/>
  <c r="R39" i="6"/>
  <c r="W19" i="6" l="1"/>
  <c r="W26" i="6"/>
</calcChain>
</file>

<file path=xl/sharedStrings.xml><?xml version="1.0" encoding="utf-8"?>
<sst xmlns="http://schemas.openxmlformats.org/spreadsheetml/2006/main" count="817" uniqueCount="109">
  <si>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</si>
  <si>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</si>
  <si>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</si>
  <si>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</si>
  <si>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</si>
  <si>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</si>
  <si>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</si>
  <si>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</si>
  <si>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</si>
  <si>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</si>
  <si>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</si>
  <si>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</si>
  <si>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</si>
  <si>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</si>
  <si>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</si>
  <si>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</si>
  <si>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</si>
  <si>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</si>
  <si>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</si>
  <si>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</si>
  <si>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</si>
  <si>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</si>
  <si>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</si>
  <si>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</si>
  <si>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</si>
  <si>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</si>
  <si>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</si>
  <si>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</si>
  <si>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</si>
  <si>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</si>
  <si>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</si>
  <si>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</si>
  <si>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</si>
  <si>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</si>
  <si>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</si>
  <si>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</si>
  <si>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</si>
  <si>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</si>
  <si>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</si>
  <si>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</si>
  <si>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</si>
  <si>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</si>
  <si>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</si>
  <si>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</si>
  <si>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</si>
  <si>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</si>
  <si>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</si>
  <si>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</si>
  <si>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</si>
  <si>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</si>
  <si>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</si>
  <si>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</si>
  <si>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</si>
  <si>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</si>
  <si>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</si>
  <si>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</si>
  <si>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Claude</t>
  </si>
  <si>
    <t>Notes</t>
  </si>
  <si>
    <t>Claude Grader #1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</si>
  <si>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</si>
  <si>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</si>
  <si>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</si>
  <si>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</si>
  <si>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</si>
  <si>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</si>
  <si>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</si>
  <si>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</si>
  <si>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Overall Score</t>
  </si>
  <si>
    <t>Claude Grader #2</t>
  </si>
  <si>
    <t>Composite state</t>
  </si>
  <si>
    <t>Rater 1</t>
  </si>
  <si>
    <t>Rater 2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</si>
  <si>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</si>
  <si>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</si>
  <si>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</si>
  <si>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</si>
  <si>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</si>
  <si>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</si>
  <si>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</si>
  <si>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</si>
  <si>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</si>
  <si>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</si>
  <si>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</si>
  <si>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</si>
  <si>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</si>
  <si>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</si>
  <si>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</si>
  <si>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</si>
  <si>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</si>
  <si>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</si>
  <si>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</si>
  <si>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</si>
  <si>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</si>
  <si>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</si>
  <si>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</si>
  <si>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</si>
  <si>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</si>
  <si>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</si>
  <si>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</si>
  <si>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</si>
  <si>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</si>
  <si>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</si>
  <si>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</si>
  <si>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</si>
  <si>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</si>
  <si>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</si>
  <si>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</si>
  <si>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</si>
  <si>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#REF!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</si>
</sst>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2" fillId="4" borderId="1" xfId="0" applyFont="1" applyFill="1" applyBorder="1"/>
    <xf numFmtId="0" fontId="2" fillId="3" borderId="1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/>
    <xf numFmtId="0" fontId="2" fillId="4" borderId="5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/>
    <xf numFmtId="0" fontId="2" fillId="4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4" borderId="8" xfId="0" applyFont="1" applyFill="1" applyBorder="1"/>
    <xf numFmtId="0" fontId="2" fillId="3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2" xfId="0" applyFont="1" applyFill="1" applyBorder="1"/>
    <xf numFmtId="0" fontId="5" fillId="0" borderId="0" xfId="0" applyFont="1" applyAlignment="1">
      <alignment horizontal="center"/>
    </xf>
    <xf numFmtId="0" fontId="4" fillId="0" borderId="0" xfId="0" applyFont="1"/>
    <xf numFmtId="0" fontId="3" fillId="5" borderId="12" xfId="0" applyFont="1" applyFill="1" applyBorder="1" applyAlignment="1">
      <alignment horizontal="center"/>
    </xf>
    <xf numFmtId="0" fontId="7" fillId="6" borderId="12" xfId="0" applyFont="1" applyFill="1" applyBorder="1" applyAlignment="1">
      <alignment vertical="center" wrapText="1"/>
    </xf>
    <xf numFmtId="0" fontId="2" fillId="0" borderId="12" xfId="0" applyFont="1" applyBorder="1"/>
    <xf numFmtId="0" fontId="4" fillId="0" borderId="12" xfId="0" applyFont="1" applyBorder="1"/>
    <xf numFmtId="0" fontId="3" fillId="0" borderId="12" xfId="0" applyFont="1" applyBorder="1"/>
    <xf numFmtId="0" fontId="4" fillId="0" borderId="13" xfId="0" applyFont="1" applyBorder="1"/>
    <xf numFmtId="0" fontId="3" fillId="0" borderId="0" xfId="0" applyFont="1" applyAlignment="1">
      <alignment horizontal="center"/>
    </xf>
    <xf numFmtId="0" fontId="4" fillId="7" borderId="15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4" fillId="7" borderId="17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7" borderId="19" xfId="0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7" borderId="28" xfId="0" applyFont="1" applyFill="1" applyBorder="1" applyAlignment="1">
      <alignment horizontal="center" vertical="center"/>
    </xf>
    <xf numFmtId="0" fontId="4" fillId="7" borderId="29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5" fillId="7" borderId="28" xfId="0" applyFont="1" applyFill="1" applyBorder="1" applyAlignment="1">
      <alignment horizontal="center"/>
    </xf>
    <xf numFmtId="0" fontId="5" fillId="7" borderId="19" xfId="0" applyFont="1" applyFill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3" fillId="5" borderId="6" xfId="0" applyFont="1" applyFill="1" applyBorder="1" applyAlignment="1">
      <alignment horizontal="center"/>
    </xf>
    <xf numFmtId="0" fontId="6" fillId="0" borderId="11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3" fillId="0" borderId="14" xfId="0" applyFont="1" applyBorder="1" applyAlignment="1">
      <alignment horizontal="center"/>
    </xf>
    <xf numFmtId="0" fontId="6" fillId="0" borderId="14" xfId="0" applyFont="1" applyBorder="1"/>
  </cellXfs>
  <cellStyles count="1">
    <cellStyle name="Normal" xfId="0" builtinId="0"/>
  </cellStyles>
  <dxfs count="18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6">
    <tableStyle name="Automatic Bread Maker-style" pivot="0" count="3" xr9:uid="{00000000-0011-0000-FFFF-FFFF00000000}">
      <tableStyleElement type="headerRow" dxfId="17"/>
      <tableStyleElement type="firstRowStripe" dxfId="16"/>
      <tableStyleElement type="secondRowStripe" dxfId="15"/>
    </tableStyle>
    <tableStyle name="Automatic Bread Maker Grader #1-style" pivot="0" count="3" xr9:uid="{00000000-0011-0000-FFFF-FFFF01000000}">
      <tableStyleElement type="headerRow" dxfId="14"/>
      <tableStyleElement type="firstRowStripe" dxfId="13"/>
      <tableStyleElement type="secondRowStripe" dxfId="12"/>
    </tableStyle>
    <tableStyle name="Automatic Bread Maker Grader #2-style" pivot="0" count="3" xr9:uid="{00000000-0011-0000-FFFF-FFFF02000000}">
      <tableStyleElement type="headerRow" dxfId="11"/>
      <tableStyleElement type="firstRowStripe" dxfId="10"/>
      <tableStyleElement type="secondRowStripe" dxfId="9"/>
    </tableStyle>
    <tableStyle name="Metrics-style" pivot="0" count="3" xr9:uid="{00000000-0011-0000-FFFF-FFFF03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4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5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Claude"/>
    <tableColumn id="4" xr3:uid="{00000000-0010-0000-0100-000004000000}" name="Notes"/>
  </tableColumns>
  <tableStyleInfo name="Automatic Bread Maker Grader #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6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Claude"/>
    <tableColumn id="4" xr3:uid="{00000000-0010-0000-0200-000004000000}" name="Notes"/>
  </tableColumns>
  <tableStyleInfo name="Automatic Bread Maker Grader #2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A1:D54">
  <tableColumns count="4">
    <tableColumn id="1" xr3:uid="{00000000-0010-0000-0400-000001000000}" name="Type"/>
    <tableColumn id="2" xr3:uid="{00000000-0010-0000-0400-000002000000}" name="Element"/>
    <tableColumn id="3" xr3:uid="{00000000-0010-0000-0400-000003000000}" name="Rater 1"/>
    <tableColumn id="4" xr3:uid="{00000000-0010-0000-0400-000004000000}" name="Rater 2"/>
  </tableColumns>
  <tableStyleInfo name="Inter-rater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4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Rater 1"/>
    <tableColumn id="4" xr3:uid="{00000000-0010-0000-0500-000004000000}" name="Rater 2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>
      <selection activeCell="A3" sqref="A3"/>
    </sheetView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3" ht="13.5" customHeight="1" x14ac:dyDescent="0.15">
      <c r="A1" s="1" t="s">
        <v>0</v>
      </c>
      <c r="B1" s="2" t="s">
        <v>1</v>
      </c>
      <c r="C1" s="3"/>
    </row>
    <row r="2" spans="1:3" ht="12.75" customHeight="1" x14ac:dyDescent="0.15">
      <c r="A2" s="4" t="s">
        <v>2</v>
      </c>
      <c r="B2" s="5" t="s">
        <v>3</v>
      </c>
      <c r="C2" s="6"/>
    </row>
    <row r="3" spans="1:3" ht="12.75" customHeight="1" x14ac:dyDescent="0.15">
      <c r="A3" s="7" t="s">
        <v>2</v>
      </c>
      <c r="B3" s="8" t="s">
        <v>4</v>
      </c>
      <c r="C3" s="6"/>
    </row>
    <row r="4" spans="1:3" ht="12.75" customHeight="1" x14ac:dyDescent="0.15">
      <c r="A4" s="4" t="s">
        <v>5</v>
      </c>
      <c r="B4" s="5" t="s">
        <v>6</v>
      </c>
      <c r="C4" s="6"/>
    </row>
    <row r="5" spans="1:3" ht="12.75" customHeight="1" x14ac:dyDescent="0.15">
      <c r="A5" s="7" t="s">
        <v>7</v>
      </c>
      <c r="B5" s="8" t="s">
        <v>8</v>
      </c>
      <c r="C5" s="6"/>
    </row>
    <row r="6" spans="1:3" ht="12.75" customHeight="1" x14ac:dyDescent="0.15">
      <c r="A6" s="4" t="s">
        <v>5</v>
      </c>
      <c r="B6" s="5" t="s">
        <v>9</v>
      </c>
      <c r="C6" s="6"/>
    </row>
    <row r="7" spans="1:3" ht="12.75" customHeight="1" x14ac:dyDescent="0.15">
      <c r="A7" s="7" t="s">
        <v>7</v>
      </c>
      <c r="B7" s="8" t="s">
        <v>10</v>
      </c>
      <c r="C7" s="6"/>
    </row>
    <row r="8" spans="1:3" ht="12.75" customHeight="1" x14ac:dyDescent="0.15">
      <c r="A8" s="4" t="s">
        <v>2</v>
      </c>
      <c r="B8" s="5" t="s">
        <v>11</v>
      </c>
      <c r="C8" s="6"/>
    </row>
    <row r="9" spans="1:3" ht="12.75" customHeight="1" x14ac:dyDescent="0.15">
      <c r="A9" s="7" t="s">
        <v>12</v>
      </c>
      <c r="B9" s="8" t="s">
        <v>13</v>
      </c>
      <c r="C9" s="6"/>
    </row>
    <row r="10" spans="1:3" ht="12.75" customHeight="1" x14ac:dyDescent="0.15">
      <c r="A10" s="4" t="s">
        <v>2</v>
      </c>
      <c r="B10" s="5" t="s">
        <v>14</v>
      </c>
      <c r="C10" s="6"/>
    </row>
    <row r="11" spans="1:3" ht="12.75" customHeight="1" x14ac:dyDescent="0.15">
      <c r="A11" s="7" t="s">
        <v>5</v>
      </c>
      <c r="B11" s="8" t="s">
        <v>15</v>
      </c>
      <c r="C11" s="6"/>
    </row>
    <row r="12" spans="1:3" ht="12.75" customHeight="1" x14ac:dyDescent="0.15">
      <c r="A12" s="4" t="s">
        <v>5</v>
      </c>
      <c r="B12" s="5" t="s">
        <v>16</v>
      </c>
      <c r="C12" s="6"/>
    </row>
    <row r="13" spans="1:3" ht="12.75" customHeight="1" x14ac:dyDescent="0.15">
      <c r="A13" s="7" t="s">
        <v>2</v>
      </c>
      <c r="B13" s="8" t="s">
        <v>17</v>
      </c>
      <c r="C13" s="6"/>
    </row>
    <row r="14" spans="1:3" ht="12.75" customHeight="1" x14ac:dyDescent="0.15">
      <c r="A14" s="4" t="s">
        <v>5</v>
      </c>
      <c r="B14" s="5" t="s">
        <v>18</v>
      </c>
      <c r="C14" s="6"/>
    </row>
    <row r="15" spans="1:3" ht="12.75" customHeight="1" x14ac:dyDescent="0.15">
      <c r="A15" s="7" t="s">
        <v>2</v>
      </c>
      <c r="B15" s="8" t="s">
        <v>19</v>
      </c>
      <c r="C15" s="6"/>
    </row>
    <row r="16" spans="1:3" ht="12.75" customHeight="1" x14ac:dyDescent="0.15">
      <c r="A16" s="4" t="s">
        <v>20</v>
      </c>
      <c r="B16" s="5" t="s">
        <v>21</v>
      </c>
      <c r="C16" s="6"/>
    </row>
    <row r="17" spans="1:22" ht="15" customHeight="1" x14ac:dyDescent="0.15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12</v>
      </c>
      <c r="B18" s="5" t="s">
        <v>23</v>
      </c>
      <c r="C18" s="6"/>
    </row>
    <row r="19" spans="1:22" ht="12.75" customHeight="1" x14ac:dyDescent="0.15">
      <c r="A19" s="7" t="s">
        <v>5</v>
      </c>
      <c r="B19" s="8" t="s">
        <v>24</v>
      </c>
      <c r="C19" s="6"/>
    </row>
    <row r="20" spans="1:22" ht="12.75" customHeight="1" x14ac:dyDescent="0.15">
      <c r="A20" s="4" t="s">
        <v>25</v>
      </c>
      <c r="B20" s="5" t="s">
        <v>26</v>
      </c>
      <c r="C20" s="6"/>
    </row>
    <row r="21" spans="1:22" ht="12.75" customHeight="1" x14ac:dyDescent="0.15">
      <c r="A21" s="7" t="s">
        <v>12</v>
      </c>
      <c r="B21" s="8" t="s">
        <v>27</v>
      </c>
      <c r="C21" s="6"/>
    </row>
    <row r="22" spans="1:22" ht="12.75" customHeight="1" x14ac:dyDescent="0.15">
      <c r="A22" s="4" t="s">
        <v>5</v>
      </c>
      <c r="B22" s="5" t="s">
        <v>28</v>
      </c>
      <c r="C22" s="6"/>
    </row>
    <row r="23" spans="1:22" ht="12.75" customHeight="1" x14ac:dyDescent="0.15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2.75" customHeight="1" x14ac:dyDescent="0.15">
      <c r="A24" s="4" t="s">
        <v>12</v>
      </c>
      <c r="B24" s="5" t="s">
        <v>30</v>
      </c>
      <c r="C24" s="6"/>
    </row>
    <row r="25" spans="1:22" ht="12.75" customHeight="1" x14ac:dyDescent="0.15">
      <c r="A25" s="7" t="s">
        <v>5</v>
      </c>
      <c r="B25" s="8" t="s">
        <v>31</v>
      </c>
      <c r="C25" s="6"/>
    </row>
    <row r="26" spans="1:22" ht="15" customHeight="1" x14ac:dyDescent="0.15">
      <c r="A26" s="4" t="s">
        <v>25</v>
      </c>
      <c r="B26" s="5" t="s">
        <v>32</v>
      </c>
      <c r="C26" s="6"/>
    </row>
    <row r="27" spans="1:22" ht="12.75" customHeight="1" x14ac:dyDescent="0.15">
      <c r="A27" s="7" t="s">
        <v>5</v>
      </c>
      <c r="B27" s="8" t="s">
        <v>33</v>
      </c>
      <c r="C27" s="6"/>
    </row>
    <row r="28" spans="1:22" ht="12.75" customHeight="1" x14ac:dyDescent="0.15">
      <c r="A28" s="4" t="s">
        <v>25</v>
      </c>
      <c r="B28" s="5" t="s">
        <v>34</v>
      </c>
      <c r="C28" s="6"/>
    </row>
    <row r="29" spans="1:22" ht="12.75" customHeight="1" x14ac:dyDescent="0.15">
      <c r="A29" s="7" t="s">
        <v>2</v>
      </c>
      <c r="B29" s="8" t="s">
        <v>35</v>
      </c>
      <c r="C29" s="6"/>
    </row>
    <row r="30" spans="1:22" ht="12.75" customHeight="1" x14ac:dyDescent="0.15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2.75" customHeight="1" x14ac:dyDescent="0.15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5</v>
      </c>
      <c r="B32" s="5" t="s">
        <v>38</v>
      </c>
      <c r="C32" s="6"/>
    </row>
    <row r="33" spans="1:22" ht="12.75" customHeight="1" x14ac:dyDescent="0.15">
      <c r="A33" s="7" t="s">
        <v>12</v>
      </c>
      <c r="B33" s="8" t="s">
        <v>36</v>
      </c>
      <c r="C33" s="6"/>
    </row>
    <row r="34" spans="1:22" ht="12.75" customHeight="1" x14ac:dyDescent="0.15">
      <c r="A34" s="4" t="s">
        <v>7</v>
      </c>
      <c r="B34" s="5" t="s">
        <v>39</v>
      </c>
      <c r="C34" s="6"/>
    </row>
    <row r="35" spans="1:22" ht="12.75" customHeight="1" x14ac:dyDescent="0.15">
      <c r="A35" s="7" t="s">
        <v>2</v>
      </c>
      <c r="B35" s="8" t="s">
        <v>40</v>
      </c>
      <c r="C35" s="6"/>
    </row>
    <row r="36" spans="1:22" ht="12.75" customHeight="1" x14ac:dyDescent="0.15">
      <c r="A36" s="4" t="s">
        <v>2</v>
      </c>
      <c r="B36" s="5" t="s">
        <v>41</v>
      </c>
      <c r="C36" s="6"/>
    </row>
    <row r="37" spans="1:22" ht="12.75" customHeight="1" x14ac:dyDescent="0.15">
      <c r="A37" s="7" t="s">
        <v>12</v>
      </c>
      <c r="B37" s="8" t="s">
        <v>42</v>
      </c>
      <c r="C37" s="6"/>
    </row>
    <row r="38" spans="1:22" ht="12.75" customHeight="1" x14ac:dyDescent="0.15">
      <c r="A38" s="4" t="s">
        <v>12</v>
      </c>
      <c r="B38" s="5" t="s">
        <v>43</v>
      </c>
      <c r="C38" s="6"/>
    </row>
    <row r="39" spans="1:22" ht="15" customHeight="1" x14ac:dyDescent="0.15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6"/>
    </row>
    <row r="52" spans="1:22" ht="12.75" customHeight="1" x14ac:dyDescent="0.15">
      <c r="A52" s="4" t="s">
        <v>25</v>
      </c>
      <c r="B52" s="5" t="s">
        <v>54</v>
      </c>
      <c r="C52" s="6"/>
    </row>
    <row r="53" spans="1:22" ht="12.75" customHeight="1" x14ac:dyDescent="0.15">
      <c r="A53" s="7" t="s">
        <v>12</v>
      </c>
      <c r="B53" s="8" t="s">
        <v>54</v>
      </c>
      <c r="C53" s="6"/>
    </row>
    <row r="54" spans="1:22" ht="12.75" customHeight="1" x14ac:dyDescent="0.15">
      <c r="A54" s="4" t="s">
        <v>7</v>
      </c>
      <c r="B54" s="5" t="s">
        <v>54</v>
      </c>
      <c r="C54" s="6"/>
    </row>
    <row r="55" spans="1:22" ht="12.75" customHeight="1" x14ac:dyDescent="0.15">
      <c r="A55" s="7" t="s">
        <v>55</v>
      </c>
      <c r="B55" s="8" t="s">
        <v>54</v>
      </c>
      <c r="C55" s="6"/>
    </row>
    <row r="56" spans="1:22" ht="12.75" customHeight="1" x14ac:dyDescent="0.15">
      <c r="A56" s="4" t="s">
        <v>20</v>
      </c>
      <c r="B56" s="5" t="s">
        <v>54</v>
      </c>
      <c r="C56" s="6"/>
    </row>
    <row r="57" spans="1:22" ht="12.75" customHeight="1" x14ac:dyDescent="0.15">
      <c r="A57" s="13"/>
      <c r="B57" s="14"/>
    </row>
    <row r="58" spans="1:22" ht="12.75" customHeight="1" x14ac:dyDescent="0.15">
      <c r="A58" s="13"/>
      <c r="B58" s="14"/>
    </row>
    <row r="59" spans="1:22" ht="12.75" customHeight="1" x14ac:dyDescent="0.15">
      <c r="A59" s="13"/>
      <c r="B59" s="14"/>
    </row>
    <row r="60" spans="1:22" ht="12.75" customHeight="1" x14ac:dyDescent="0.15">
      <c r="A60" s="13"/>
      <c r="B60" s="14"/>
    </row>
    <row r="61" spans="1:22" ht="12.75" customHeight="1" x14ac:dyDescent="0.15">
      <c r="A61" s="13"/>
      <c r="B61" s="14"/>
    </row>
    <row r="62" spans="1:22" ht="12.75" customHeight="1" x14ac:dyDescent="0.15">
      <c r="A62" s="13"/>
      <c r="B62" s="14"/>
    </row>
    <row r="63" spans="1:22" ht="12.75" customHeight="1" x14ac:dyDescent="0.15">
      <c r="A63" s="13"/>
      <c r="B63" s="14"/>
    </row>
    <row r="64" spans="1:22" ht="12.75" customHeight="1" x14ac:dyDescent="0.15">
      <c r="A64" s="13"/>
      <c r="B64" s="14"/>
    </row>
    <row r="65" spans="1:2" ht="12.75" customHeight="1" x14ac:dyDescent="0.15">
      <c r="A65" s="13"/>
      <c r="B65" s="14"/>
    </row>
    <row r="66" spans="1:2" ht="12.75" customHeight="1" x14ac:dyDescent="0.15">
      <c r="A66" s="13"/>
      <c r="B66" s="14"/>
    </row>
    <row r="67" spans="1:2" ht="12.75" customHeight="1" x14ac:dyDescent="0.15">
      <c r="A67" s="13"/>
      <c r="B67" s="14"/>
    </row>
    <row r="68" spans="1:2" ht="12.75" customHeight="1" x14ac:dyDescent="0.15">
      <c r="A68" s="13"/>
      <c r="B68" s="14"/>
    </row>
    <row r="69" spans="1:2" ht="12.75" customHeight="1" x14ac:dyDescent="0.15">
      <c r="A69" s="13"/>
      <c r="B69" s="14"/>
    </row>
    <row r="70" spans="1:2" ht="12.75" customHeight="1" x14ac:dyDescent="0.15">
      <c r="A70" s="13"/>
      <c r="B70" s="14"/>
    </row>
    <row r="71" spans="1:2" ht="12.75" customHeight="1" x14ac:dyDescent="0.15">
      <c r="A71" s="13"/>
      <c r="B71" s="14"/>
    </row>
    <row r="72" spans="1:2" ht="12.75" customHeight="1" x14ac:dyDescent="0.15">
      <c r="A72" s="13"/>
      <c r="B72" s="14"/>
    </row>
    <row r="73" spans="1:2" ht="12.75" customHeight="1" x14ac:dyDescent="0.15">
      <c r="A73" s="13"/>
      <c r="B73" s="14"/>
    </row>
    <row r="74" spans="1:2" ht="12.75" customHeight="1" x14ac:dyDescent="0.15">
      <c r="A74" s="13"/>
      <c r="B74" s="14"/>
    </row>
    <row r="75" spans="1:2" ht="12.75" customHeight="1" x14ac:dyDescent="0.15">
      <c r="A75" s="13"/>
      <c r="B75" s="14"/>
    </row>
    <row r="76" spans="1:2" ht="12.75" customHeight="1" x14ac:dyDescent="0.15">
      <c r="A76" s="13"/>
      <c r="B76" s="14"/>
    </row>
    <row r="77" spans="1:2" ht="12.75" customHeight="1" x14ac:dyDescent="0.15">
      <c r="A77" s="13"/>
      <c r="B77" s="14"/>
    </row>
    <row r="78" spans="1:2" ht="12.75" customHeight="1" x14ac:dyDescent="0.15">
      <c r="A78" s="13"/>
      <c r="B78" s="14"/>
    </row>
    <row r="79" spans="1:2" ht="12.75" customHeight="1" x14ac:dyDescent="0.15">
      <c r="A79" s="13"/>
      <c r="B79" s="14"/>
    </row>
    <row r="80" spans="1:2" ht="12.75" customHeight="1" x14ac:dyDescent="0.15">
      <c r="A80" s="13"/>
      <c r="B80" s="14"/>
    </row>
    <row r="81" spans="1:2" ht="12.75" customHeight="1" x14ac:dyDescent="0.15">
      <c r="A81" s="13"/>
      <c r="B81" s="14"/>
    </row>
    <row r="82" spans="1:2" ht="12.75" customHeight="1" x14ac:dyDescent="0.15">
      <c r="A82" s="13"/>
      <c r="B82" s="14"/>
    </row>
    <row r="83" spans="1:2" ht="12.75" customHeight="1" x14ac:dyDescent="0.15">
      <c r="A83" s="13"/>
      <c r="B83" s="14"/>
    </row>
    <row r="84" spans="1:2" ht="12.75" customHeight="1" x14ac:dyDescent="0.15">
      <c r="A84" s="13"/>
      <c r="B84" s="14"/>
    </row>
    <row r="85" spans="1:2" ht="12.75" customHeight="1" x14ac:dyDescent="0.15">
      <c r="A85" s="13"/>
      <c r="B85" s="14"/>
    </row>
    <row r="86" spans="1:2" ht="12.75" customHeight="1" x14ac:dyDescent="0.15">
      <c r="A86" s="13"/>
      <c r="B86" s="14"/>
    </row>
    <row r="87" spans="1:2" ht="12.75" customHeight="1" x14ac:dyDescent="0.15">
      <c r="A87" s="13"/>
      <c r="B87" s="14"/>
    </row>
    <row r="88" spans="1:2" ht="12.75" customHeight="1" x14ac:dyDescent="0.15">
      <c r="A88" s="13"/>
      <c r="B88" s="14"/>
    </row>
    <row r="89" spans="1:2" ht="12.75" customHeight="1" x14ac:dyDescent="0.15">
      <c r="A89" s="13"/>
      <c r="B89" s="14"/>
    </row>
    <row r="90" spans="1:2" ht="12.75" customHeight="1" x14ac:dyDescent="0.15">
      <c r="A90" s="13"/>
      <c r="B90" s="14"/>
    </row>
    <row r="91" spans="1:2" ht="12.75" customHeight="1" x14ac:dyDescent="0.15">
      <c r="A91" s="13"/>
      <c r="B91" s="14"/>
    </row>
    <row r="92" spans="1:2" ht="12.75" customHeight="1" x14ac:dyDescent="0.15">
      <c r="A92" s="13"/>
      <c r="B92" s="14"/>
    </row>
    <row r="93" spans="1:2" ht="12.75" customHeight="1" x14ac:dyDescent="0.15">
      <c r="A93" s="13"/>
      <c r="B93" s="14"/>
    </row>
    <row r="94" spans="1:2" ht="12.75" customHeight="1" x14ac:dyDescent="0.15">
      <c r="A94" s="13"/>
      <c r="B94" s="14"/>
    </row>
    <row r="95" spans="1:2" ht="12.75" customHeight="1" x14ac:dyDescent="0.15">
      <c r="A95" s="13"/>
      <c r="B95" s="14"/>
    </row>
    <row r="96" spans="1:2" ht="12.75" customHeight="1" x14ac:dyDescent="0.15">
      <c r="A96" s="13"/>
      <c r="B96" s="14"/>
    </row>
    <row r="97" spans="1:2" ht="12.75" customHeight="1" x14ac:dyDescent="0.15">
      <c r="A97" s="13"/>
      <c r="B97" s="14"/>
    </row>
    <row r="98" spans="1:2" ht="12.75" customHeight="1" x14ac:dyDescent="0.15">
      <c r="A98" s="13"/>
      <c r="B98" s="14"/>
    </row>
    <row r="99" spans="1:2" ht="12.75" customHeight="1" x14ac:dyDescent="0.15">
      <c r="A99" s="13"/>
      <c r="B99" s="14"/>
    </row>
    <row r="100" spans="1:2" ht="12.75" customHeight="1" x14ac:dyDescent="0.15">
      <c r="A100" s="13"/>
      <c r="B100" s="14"/>
    </row>
    <row r="101" spans="1:2" ht="12.75" customHeight="1" x14ac:dyDescent="0.15">
      <c r="A101" s="13"/>
      <c r="B101" s="14"/>
    </row>
    <row r="102" spans="1:2" ht="12.75" customHeight="1" x14ac:dyDescent="0.15">
      <c r="A102" s="13"/>
      <c r="B102" s="14"/>
    </row>
    <row r="103" spans="1:2" ht="12.75" customHeight="1" x14ac:dyDescent="0.15">
      <c r="A103" s="13"/>
      <c r="B103" s="14"/>
    </row>
    <row r="104" spans="1:2" ht="12.75" customHeight="1" x14ac:dyDescent="0.15">
      <c r="A104" s="13"/>
      <c r="B104" s="14"/>
    </row>
    <row r="105" spans="1:2" ht="12.75" customHeight="1" x14ac:dyDescent="0.15">
      <c r="A105" s="13"/>
      <c r="B105" s="14"/>
    </row>
    <row r="106" spans="1:2" ht="12.75" customHeight="1" x14ac:dyDescent="0.15">
      <c r="A106" s="13"/>
      <c r="B106" s="14"/>
    </row>
    <row r="107" spans="1:2" ht="12.75" customHeight="1" x14ac:dyDescent="0.15">
      <c r="A107" s="13"/>
      <c r="B107" s="14"/>
    </row>
    <row r="108" spans="1:2" ht="12.75" customHeight="1" x14ac:dyDescent="0.15">
      <c r="A108" s="13"/>
      <c r="B108" s="14"/>
    </row>
    <row r="109" spans="1:2" ht="12.75" customHeight="1" x14ac:dyDescent="0.15">
      <c r="A109" s="13"/>
      <c r="B109" s="14"/>
    </row>
    <row r="110" spans="1:2" ht="12.75" customHeight="1" x14ac:dyDescent="0.15">
      <c r="A110" s="13"/>
      <c r="B110" s="14"/>
    </row>
    <row r="111" spans="1:2" ht="12.75" customHeight="1" x14ac:dyDescent="0.15">
      <c r="A111" s="13"/>
      <c r="B111" s="14"/>
    </row>
    <row r="112" spans="1:2" ht="12.75" customHeight="1" x14ac:dyDescent="0.15">
      <c r="A112" s="13"/>
      <c r="B112" s="14"/>
    </row>
    <row r="113" spans="1:2" ht="12.75" customHeight="1" x14ac:dyDescent="0.15">
      <c r="A113" s="13"/>
      <c r="B113" s="14"/>
    </row>
    <row r="114" spans="1:2" ht="12.75" customHeight="1" x14ac:dyDescent="0.15">
      <c r="A114" s="13"/>
      <c r="B114" s="14"/>
    </row>
    <row r="115" spans="1:2" ht="12.75" customHeight="1" x14ac:dyDescent="0.15">
      <c r="A115" s="13"/>
      <c r="B115" s="14"/>
    </row>
    <row r="116" spans="1:2" ht="12.75" customHeight="1" x14ac:dyDescent="0.15">
      <c r="A116" s="13"/>
      <c r="B116" s="14"/>
    </row>
    <row r="117" spans="1:2" ht="12.75" customHeight="1" x14ac:dyDescent="0.15">
      <c r="A117" s="13"/>
      <c r="B117" s="14"/>
    </row>
    <row r="118" spans="1:2" ht="12.75" customHeight="1" x14ac:dyDescent="0.15">
      <c r="A118" s="13"/>
      <c r="B118" s="14"/>
    </row>
    <row r="119" spans="1:2" ht="12.75" customHeight="1" x14ac:dyDescent="0.15">
      <c r="A119" s="13"/>
      <c r="B119" s="14"/>
    </row>
    <row r="120" spans="1:2" ht="12.75" customHeight="1" x14ac:dyDescent="0.15">
      <c r="A120" s="13"/>
      <c r="B120" s="14"/>
    </row>
    <row r="121" spans="1:2" ht="12.75" customHeight="1" x14ac:dyDescent="0.15">
      <c r="A121" s="13"/>
      <c r="B121" s="14"/>
    </row>
    <row r="122" spans="1:2" ht="12.75" customHeight="1" x14ac:dyDescent="0.15">
      <c r="A122" s="13"/>
      <c r="B122" s="14"/>
    </row>
    <row r="123" spans="1:2" ht="12.75" customHeight="1" x14ac:dyDescent="0.15">
      <c r="A123" s="13"/>
      <c r="B123" s="14"/>
    </row>
    <row r="124" spans="1:2" ht="12.75" customHeight="1" x14ac:dyDescent="0.15">
      <c r="A124" s="13"/>
      <c r="B124" s="14"/>
    </row>
    <row r="125" spans="1:2" ht="12.75" customHeight="1" x14ac:dyDescent="0.15">
      <c r="A125" s="13"/>
      <c r="B125" s="14"/>
    </row>
    <row r="126" spans="1:2" ht="12.75" customHeight="1" x14ac:dyDescent="0.15">
      <c r="A126" s="13"/>
      <c r="B126" s="14"/>
    </row>
    <row r="127" spans="1:2" ht="12.75" customHeight="1" x14ac:dyDescent="0.15">
      <c r="A127" s="13"/>
      <c r="B127" s="14"/>
    </row>
    <row r="128" spans="1:2" ht="12.75" customHeight="1" x14ac:dyDescent="0.15">
      <c r="A128" s="13"/>
      <c r="B128" s="14"/>
    </row>
    <row r="129" spans="1:2" ht="12.75" customHeight="1" x14ac:dyDescent="0.15">
      <c r="A129" s="13"/>
      <c r="B129" s="14"/>
    </row>
    <row r="130" spans="1:2" ht="12.75" customHeight="1" x14ac:dyDescent="0.15">
      <c r="A130" s="13"/>
      <c r="B130" s="14"/>
    </row>
    <row r="131" spans="1:2" ht="12.75" customHeight="1" x14ac:dyDescent="0.15">
      <c r="A131" s="13"/>
      <c r="B131" s="14"/>
    </row>
    <row r="132" spans="1:2" ht="12.75" customHeight="1" x14ac:dyDescent="0.15">
      <c r="A132" s="13"/>
      <c r="B132" s="14"/>
    </row>
    <row r="133" spans="1:2" ht="12.75" customHeight="1" x14ac:dyDescent="0.15">
      <c r="A133" s="13"/>
      <c r="B133" s="14"/>
    </row>
    <row r="134" spans="1:2" ht="12.75" customHeight="1" x14ac:dyDescent="0.15">
      <c r="A134" s="13"/>
      <c r="B134" s="14"/>
    </row>
    <row r="135" spans="1:2" ht="12.75" customHeight="1" x14ac:dyDescent="0.15">
      <c r="A135" s="13"/>
      <c r="B135" s="14"/>
    </row>
    <row r="136" spans="1:2" ht="12.75" customHeight="1" x14ac:dyDescent="0.15">
      <c r="A136" s="13"/>
      <c r="B136" s="14"/>
    </row>
    <row r="137" spans="1:2" ht="12.75" customHeight="1" x14ac:dyDescent="0.15">
      <c r="A137" s="13"/>
      <c r="B137" s="14"/>
    </row>
    <row r="138" spans="1:2" ht="12.75" customHeight="1" x14ac:dyDescent="0.15">
      <c r="A138" s="13"/>
      <c r="B138" s="14"/>
    </row>
    <row r="139" spans="1:2" ht="12.75" customHeight="1" x14ac:dyDescent="0.15">
      <c r="A139" s="13"/>
      <c r="B139" s="14"/>
    </row>
    <row r="140" spans="1:2" ht="12.75" customHeight="1" x14ac:dyDescent="0.15">
      <c r="A140" s="13"/>
      <c r="B140" s="14"/>
    </row>
    <row r="141" spans="1:2" ht="12.75" customHeight="1" x14ac:dyDescent="0.15">
      <c r="A141" s="13"/>
      <c r="B141" s="14"/>
    </row>
    <row r="142" spans="1:2" ht="12.75" customHeight="1" x14ac:dyDescent="0.15">
      <c r="A142" s="13"/>
      <c r="B142" s="14"/>
    </row>
    <row r="143" spans="1:2" ht="12.75" customHeight="1" x14ac:dyDescent="0.15">
      <c r="A143" s="13"/>
      <c r="B143" s="14"/>
    </row>
    <row r="144" spans="1:2" ht="12.75" customHeight="1" x14ac:dyDescent="0.15">
      <c r="A144" s="13"/>
      <c r="B144" s="14"/>
    </row>
    <row r="145" spans="1:2" ht="12.75" customHeight="1" x14ac:dyDescent="0.15">
      <c r="A145" s="13"/>
      <c r="B145" s="14"/>
    </row>
    <row r="146" spans="1:2" ht="12.75" customHeight="1" x14ac:dyDescent="0.15">
      <c r="A146" s="13"/>
      <c r="B146" s="14"/>
    </row>
    <row r="147" spans="1:2" ht="12.75" customHeight="1" x14ac:dyDescent="0.15">
      <c r="A147" s="13"/>
      <c r="B147" s="14"/>
    </row>
    <row r="148" spans="1:2" ht="12.75" customHeight="1" x14ac:dyDescent="0.15">
      <c r="A148" s="13"/>
      <c r="B148" s="14"/>
    </row>
    <row r="149" spans="1:2" ht="12.75" customHeight="1" x14ac:dyDescent="0.15">
      <c r="A149" s="13"/>
      <c r="B149" s="14"/>
    </row>
    <row r="150" spans="1:2" ht="12.75" customHeight="1" x14ac:dyDescent="0.15">
      <c r="A150" s="13"/>
      <c r="B150" s="14"/>
    </row>
    <row r="151" spans="1:2" ht="12.75" customHeight="1" x14ac:dyDescent="0.15">
      <c r="A151" s="13"/>
      <c r="B151" s="14"/>
    </row>
    <row r="152" spans="1:2" ht="12.75" customHeight="1" x14ac:dyDescent="0.15">
      <c r="A152" s="13"/>
      <c r="B152" s="14"/>
    </row>
    <row r="153" spans="1:2" ht="12.75" customHeight="1" x14ac:dyDescent="0.15">
      <c r="A153" s="13"/>
      <c r="B153" s="14"/>
    </row>
    <row r="154" spans="1:2" ht="12.75" customHeight="1" x14ac:dyDescent="0.15">
      <c r="A154" s="13"/>
      <c r="B154" s="14"/>
    </row>
    <row r="155" spans="1:2" ht="12.75" customHeight="1" x14ac:dyDescent="0.15">
      <c r="A155" s="13"/>
      <c r="B155" s="14"/>
    </row>
    <row r="156" spans="1:2" ht="12.75" customHeight="1" x14ac:dyDescent="0.15">
      <c r="A156" s="13"/>
      <c r="B156" s="14"/>
    </row>
    <row r="157" spans="1:2" ht="12.75" customHeight="1" x14ac:dyDescent="0.15">
      <c r="A157" s="13"/>
      <c r="B157" s="14"/>
    </row>
    <row r="158" spans="1:2" ht="12.75" customHeight="1" x14ac:dyDescent="0.15">
      <c r="A158" s="13"/>
      <c r="B158" s="14"/>
    </row>
    <row r="159" spans="1:2" ht="12.75" customHeight="1" x14ac:dyDescent="0.15">
      <c r="A159" s="13"/>
      <c r="B159" s="14"/>
    </row>
    <row r="160" spans="1:2" ht="12.75" customHeight="1" x14ac:dyDescent="0.15">
      <c r="A160" s="13"/>
      <c r="B160" s="14"/>
    </row>
    <row r="161" spans="1:2" ht="12.75" customHeight="1" x14ac:dyDescent="0.15">
      <c r="A161" s="13"/>
      <c r="B161" s="14"/>
    </row>
    <row r="162" spans="1:2" ht="12.75" customHeight="1" x14ac:dyDescent="0.15">
      <c r="A162" s="13"/>
      <c r="B162" s="14"/>
    </row>
    <row r="163" spans="1:2" ht="12.75" customHeight="1" x14ac:dyDescent="0.15">
      <c r="A163" s="13"/>
      <c r="B163" s="14"/>
    </row>
    <row r="164" spans="1:2" ht="12.75" customHeight="1" x14ac:dyDescent="0.15">
      <c r="A164" s="13"/>
      <c r="B164" s="14"/>
    </row>
    <row r="165" spans="1:2" ht="12.75" customHeight="1" x14ac:dyDescent="0.15">
      <c r="A165" s="13"/>
      <c r="B165" s="14"/>
    </row>
    <row r="166" spans="1:2" ht="12.75" customHeight="1" x14ac:dyDescent="0.15">
      <c r="A166" s="13"/>
      <c r="B166" s="14"/>
    </row>
    <row r="167" spans="1:2" ht="12.75" customHeight="1" x14ac:dyDescent="0.15">
      <c r="A167" s="13"/>
      <c r="B167" s="14"/>
    </row>
    <row r="168" spans="1:2" ht="12.75" customHeight="1" x14ac:dyDescent="0.15">
      <c r="A168" s="13"/>
      <c r="B168" s="14"/>
    </row>
    <row r="169" spans="1:2" ht="12.75" customHeight="1" x14ac:dyDescent="0.15">
      <c r="A169" s="13"/>
      <c r="B169" s="14"/>
    </row>
    <row r="170" spans="1:2" ht="12.75" customHeight="1" x14ac:dyDescent="0.15">
      <c r="A170" s="13"/>
      <c r="B170" s="14"/>
    </row>
    <row r="171" spans="1:2" ht="12.75" customHeight="1" x14ac:dyDescent="0.15">
      <c r="A171" s="13"/>
      <c r="B171" s="14"/>
    </row>
    <row r="172" spans="1:2" ht="12.75" customHeight="1" x14ac:dyDescent="0.15">
      <c r="A172" s="13"/>
      <c r="B172" s="14"/>
    </row>
    <row r="173" spans="1:2" ht="12.75" customHeight="1" x14ac:dyDescent="0.15">
      <c r="A173" s="13"/>
      <c r="B173" s="14"/>
    </row>
    <row r="174" spans="1:2" ht="12.75" customHeight="1" x14ac:dyDescent="0.15">
      <c r="A174" s="13"/>
      <c r="B174" s="14"/>
    </row>
    <row r="175" spans="1:2" ht="12.75" customHeight="1" x14ac:dyDescent="0.15">
      <c r="A175" s="13"/>
      <c r="B175" s="14"/>
    </row>
    <row r="176" spans="1:2" ht="12.75" customHeight="1" x14ac:dyDescent="0.15">
      <c r="A176" s="13"/>
      <c r="B176" s="14"/>
    </row>
    <row r="177" spans="1:2" ht="12.75" customHeight="1" x14ac:dyDescent="0.15">
      <c r="A177" s="13"/>
      <c r="B177" s="14"/>
    </row>
    <row r="178" spans="1:2" ht="12.75" customHeight="1" x14ac:dyDescent="0.15">
      <c r="A178" s="13"/>
      <c r="B178" s="14"/>
    </row>
    <row r="179" spans="1:2" ht="12.75" customHeight="1" x14ac:dyDescent="0.15">
      <c r="A179" s="13"/>
      <c r="B179" s="14"/>
    </row>
    <row r="180" spans="1:2" ht="12.75" customHeight="1" x14ac:dyDescent="0.15">
      <c r="A180" s="13"/>
      <c r="B180" s="14"/>
    </row>
    <row r="181" spans="1:2" ht="12.75" customHeight="1" x14ac:dyDescent="0.15">
      <c r="A181" s="13"/>
      <c r="B181" s="14"/>
    </row>
    <row r="182" spans="1:2" ht="12.75" customHeight="1" x14ac:dyDescent="0.15">
      <c r="A182" s="13"/>
      <c r="B182" s="14"/>
    </row>
    <row r="183" spans="1:2" ht="12.75" customHeight="1" x14ac:dyDescent="0.15">
      <c r="A183" s="13"/>
      <c r="B183" s="14"/>
    </row>
    <row r="184" spans="1:2" ht="12.75" customHeight="1" x14ac:dyDescent="0.15">
      <c r="A184" s="13"/>
      <c r="B184" s="14"/>
    </row>
    <row r="185" spans="1:2" ht="12.75" customHeight="1" x14ac:dyDescent="0.15">
      <c r="A185" s="13"/>
      <c r="B185" s="14"/>
    </row>
    <row r="186" spans="1:2" ht="12.75" customHeight="1" x14ac:dyDescent="0.15">
      <c r="A186" s="13"/>
      <c r="B186" s="14"/>
    </row>
    <row r="187" spans="1:2" ht="12.75" customHeight="1" x14ac:dyDescent="0.15">
      <c r="A187" s="13"/>
      <c r="B187" s="14"/>
    </row>
    <row r="188" spans="1:2" ht="12.75" customHeight="1" x14ac:dyDescent="0.15">
      <c r="A188" s="13"/>
      <c r="B188" s="14"/>
    </row>
    <row r="189" spans="1:2" ht="12.75" customHeight="1" x14ac:dyDescent="0.15">
      <c r="A189" s="13"/>
      <c r="B189" s="14"/>
    </row>
    <row r="190" spans="1:2" ht="12.75" customHeight="1" x14ac:dyDescent="0.15">
      <c r="A190" s="13"/>
      <c r="B190" s="14"/>
    </row>
    <row r="191" spans="1:2" ht="12.75" customHeight="1" x14ac:dyDescent="0.15">
      <c r="A191" s="13"/>
      <c r="B191" s="14"/>
    </row>
    <row r="192" spans="1:2" ht="12.75" customHeight="1" x14ac:dyDescent="0.15">
      <c r="A192" s="13"/>
      <c r="B192" s="14"/>
    </row>
    <row r="193" spans="1:2" ht="12.75" customHeight="1" x14ac:dyDescent="0.15">
      <c r="A193" s="13"/>
      <c r="B193" s="14"/>
    </row>
    <row r="194" spans="1:2" ht="12.75" customHeight="1" x14ac:dyDescent="0.15">
      <c r="A194" s="13"/>
      <c r="B194" s="14"/>
    </row>
    <row r="195" spans="1:2" ht="12.75" customHeight="1" x14ac:dyDescent="0.15">
      <c r="A195" s="13"/>
      <c r="B195" s="14"/>
    </row>
    <row r="196" spans="1:2" ht="12.75" customHeight="1" x14ac:dyDescent="0.15">
      <c r="A196" s="13"/>
      <c r="B196" s="14"/>
    </row>
    <row r="197" spans="1:2" ht="12.75" customHeight="1" x14ac:dyDescent="0.15">
      <c r="A197" s="13"/>
      <c r="B197" s="14"/>
    </row>
    <row r="198" spans="1:2" ht="12.75" customHeight="1" x14ac:dyDescent="0.15">
      <c r="A198" s="13"/>
      <c r="B198" s="14"/>
    </row>
    <row r="199" spans="1:2" ht="12.75" customHeight="1" x14ac:dyDescent="0.15">
      <c r="A199" s="13"/>
      <c r="B199" s="14"/>
    </row>
    <row r="200" spans="1:2" ht="12.75" customHeight="1" x14ac:dyDescent="0.15">
      <c r="A200" s="13"/>
      <c r="B200" s="14"/>
    </row>
    <row r="201" spans="1:2" ht="12.75" customHeight="1" x14ac:dyDescent="0.15">
      <c r="A201" s="13"/>
      <c r="B201" s="14"/>
    </row>
    <row r="202" spans="1:2" ht="12.75" customHeight="1" x14ac:dyDescent="0.15">
      <c r="A202" s="13"/>
      <c r="B202" s="14"/>
    </row>
    <row r="203" spans="1:2" ht="12.75" customHeight="1" x14ac:dyDescent="0.15">
      <c r="A203" s="13"/>
      <c r="B203" s="14"/>
    </row>
    <row r="204" spans="1:2" ht="12.75" customHeight="1" x14ac:dyDescent="0.15">
      <c r="A204" s="13"/>
      <c r="B204" s="14"/>
    </row>
    <row r="205" spans="1:2" ht="12.75" customHeight="1" x14ac:dyDescent="0.15">
      <c r="A205" s="13"/>
      <c r="B205" s="14"/>
    </row>
    <row r="206" spans="1:2" ht="12.75" customHeight="1" x14ac:dyDescent="0.15">
      <c r="A206" s="13"/>
      <c r="B206" s="14"/>
    </row>
    <row r="207" spans="1:2" ht="12.75" customHeight="1" x14ac:dyDescent="0.15">
      <c r="A207" s="13"/>
      <c r="B207" s="14"/>
    </row>
    <row r="208" spans="1:2" ht="12.75" customHeight="1" x14ac:dyDescent="0.15">
      <c r="A208" s="13"/>
      <c r="B208" s="14"/>
    </row>
    <row r="209" spans="1:2" ht="12.75" customHeight="1" x14ac:dyDescent="0.15">
      <c r="A209" s="13"/>
      <c r="B209" s="14"/>
    </row>
    <row r="210" spans="1:2" ht="12.75" customHeight="1" x14ac:dyDescent="0.15">
      <c r="A210" s="13"/>
      <c r="B210" s="14"/>
    </row>
    <row r="211" spans="1:2" ht="12.75" customHeight="1" x14ac:dyDescent="0.15">
      <c r="A211" s="13"/>
      <c r="B211" s="14"/>
    </row>
    <row r="212" spans="1:2" ht="12.75" customHeight="1" x14ac:dyDescent="0.15">
      <c r="A212" s="13"/>
      <c r="B212" s="14"/>
    </row>
    <row r="213" spans="1:2" ht="12.75" customHeight="1" x14ac:dyDescent="0.15">
      <c r="A213" s="13"/>
      <c r="B213" s="14"/>
    </row>
    <row r="214" spans="1:2" ht="12.75" customHeight="1" x14ac:dyDescent="0.15">
      <c r="A214" s="13"/>
      <c r="B214" s="14"/>
    </row>
    <row r="215" spans="1:2" ht="12.75" customHeight="1" x14ac:dyDescent="0.15">
      <c r="A215" s="13"/>
      <c r="B215" s="14"/>
    </row>
    <row r="216" spans="1:2" ht="12.75" customHeight="1" x14ac:dyDescent="0.15">
      <c r="A216" s="13"/>
      <c r="B216" s="14"/>
    </row>
    <row r="217" spans="1:2" ht="12.75" customHeight="1" x14ac:dyDescent="0.15">
      <c r="A217" s="13"/>
      <c r="B217" s="14"/>
    </row>
    <row r="218" spans="1:2" ht="12.75" customHeight="1" x14ac:dyDescent="0.15">
      <c r="A218" s="13"/>
      <c r="B218" s="14"/>
    </row>
    <row r="219" spans="1:2" ht="12.75" customHeight="1" x14ac:dyDescent="0.15">
      <c r="A219" s="13"/>
      <c r="B219" s="14"/>
    </row>
    <row r="220" spans="1:2" ht="12.75" customHeight="1" x14ac:dyDescent="0.15">
      <c r="A220" s="13"/>
      <c r="B220" s="14"/>
    </row>
    <row r="221" spans="1:2" ht="12.75" customHeight="1" x14ac:dyDescent="0.15">
      <c r="A221" s="13"/>
      <c r="B221" s="14"/>
    </row>
    <row r="222" spans="1:2" ht="12.75" customHeight="1" x14ac:dyDescent="0.15">
      <c r="A222" s="13"/>
      <c r="B222" s="14"/>
    </row>
    <row r="223" spans="1:2" ht="12.75" customHeight="1" x14ac:dyDescent="0.15">
      <c r="A223" s="13"/>
      <c r="B223" s="14"/>
    </row>
    <row r="224" spans="1:2" ht="12.75" customHeight="1" x14ac:dyDescent="0.15">
      <c r="A224" s="13"/>
      <c r="B224" s="14"/>
    </row>
    <row r="225" spans="1:2" ht="12.75" customHeight="1" x14ac:dyDescent="0.15">
      <c r="A225" s="13"/>
      <c r="B225" s="14"/>
    </row>
    <row r="226" spans="1:2" ht="12.75" customHeight="1" x14ac:dyDescent="0.15">
      <c r="A226" s="13"/>
      <c r="B226" s="14"/>
    </row>
    <row r="227" spans="1:2" ht="12.75" customHeight="1" x14ac:dyDescent="0.15">
      <c r="A227" s="13"/>
      <c r="B227" s="14"/>
    </row>
    <row r="228" spans="1:2" ht="12.75" customHeight="1" x14ac:dyDescent="0.15">
      <c r="A228" s="13"/>
      <c r="B228" s="14"/>
    </row>
    <row r="229" spans="1:2" ht="12.75" customHeight="1" x14ac:dyDescent="0.15">
      <c r="A229" s="13"/>
      <c r="B229" s="14"/>
    </row>
    <row r="230" spans="1:2" ht="12.75" customHeight="1" x14ac:dyDescent="0.15">
      <c r="A230" s="13"/>
      <c r="B230" s="14"/>
    </row>
    <row r="231" spans="1:2" ht="12.75" customHeight="1" x14ac:dyDescent="0.15">
      <c r="A231" s="13"/>
      <c r="B231" s="14"/>
    </row>
    <row r="232" spans="1:2" ht="12.75" customHeight="1" x14ac:dyDescent="0.15">
      <c r="A232" s="13"/>
      <c r="B232" s="14"/>
    </row>
    <row r="233" spans="1:2" ht="12.75" customHeight="1" x14ac:dyDescent="0.15">
      <c r="A233" s="13"/>
      <c r="B233" s="14"/>
    </row>
    <row r="234" spans="1:2" ht="12.75" customHeight="1" x14ac:dyDescent="0.15">
      <c r="A234" s="13"/>
      <c r="B234" s="14"/>
    </row>
    <row r="235" spans="1:2" ht="12.75" customHeight="1" x14ac:dyDescent="0.15">
      <c r="A235" s="13"/>
      <c r="B235" s="14"/>
    </row>
    <row r="236" spans="1:2" ht="12.75" customHeight="1" x14ac:dyDescent="0.15">
      <c r="A236" s="13"/>
      <c r="B236" s="14"/>
    </row>
    <row r="237" spans="1:2" ht="12.75" customHeight="1" x14ac:dyDescent="0.15">
      <c r="A237" s="13"/>
      <c r="B237" s="14"/>
    </row>
    <row r="238" spans="1:2" ht="12.75" customHeight="1" x14ac:dyDescent="0.15">
      <c r="A238" s="13"/>
      <c r="B238" s="14"/>
    </row>
    <row r="239" spans="1:2" ht="12.75" customHeight="1" x14ac:dyDescent="0.15">
      <c r="A239" s="13"/>
      <c r="B239" s="14"/>
    </row>
    <row r="240" spans="1:2" ht="12.75" customHeight="1" x14ac:dyDescent="0.15">
      <c r="A240" s="13"/>
      <c r="B240" s="14"/>
    </row>
    <row r="241" spans="1:2" ht="12.75" customHeight="1" x14ac:dyDescent="0.15">
      <c r="A241" s="13"/>
      <c r="B241" s="14"/>
    </row>
    <row r="242" spans="1:2" ht="12.75" customHeight="1" x14ac:dyDescent="0.15">
      <c r="A242" s="13"/>
      <c r="B242" s="14"/>
    </row>
    <row r="243" spans="1:2" ht="12.75" customHeight="1" x14ac:dyDescent="0.15">
      <c r="A243" s="13"/>
      <c r="B243" s="14"/>
    </row>
    <row r="244" spans="1:2" ht="12.75" customHeight="1" x14ac:dyDescent="0.15">
      <c r="A244" s="13"/>
      <c r="B244" s="14"/>
    </row>
    <row r="245" spans="1:2" ht="12.75" customHeight="1" x14ac:dyDescent="0.15">
      <c r="A245" s="13"/>
      <c r="B245" s="14"/>
    </row>
    <row r="246" spans="1:2" ht="12.75" customHeight="1" x14ac:dyDescent="0.15">
      <c r="A246" s="13"/>
      <c r="B246" s="14"/>
    </row>
    <row r="247" spans="1:2" ht="12.75" customHeight="1" x14ac:dyDescent="0.15">
      <c r="A247" s="13"/>
      <c r="B247" s="14"/>
    </row>
    <row r="248" spans="1:2" ht="12.75" customHeight="1" x14ac:dyDescent="0.15">
      <c r="A248" s="13"/>
      <c r="B248" s="14"/>
    </row>
    <row r="249" spans="1:2" ht="12.75" customHeight="1" x14ac:dyDescent="0.15">
      <c r="A249" s="13"/>
      <c r="B249" s="14"/>
    </row>
    <row r="250" spans="1:2" ht="12.75" customHeight="1" x14ac:dyDescent="0.15">
      <c r="A250" s="13"/>
      <c r="B250" s="14"/>
    </row>
    <row r="251" spans="1:2" ht="12.75" customHeight="1" x14ac:dyDescent="0.15">
      <c r="A251" s="13"/>
      <c r="B251" s="14"/>
    </row>
    <row r="252" spans="1:2" ht="12.75" customHeight="1" x14ac:dyDescent="0.15">
      <c r="A252" s="13"/>
      <c r="B252" s="14"/>
    </row>
    <row r="253" spans="1:2" ht="12.75" customHeight="1" x14ac:dyDescent="0.15">
      <c r="A253" s="13"/>
      <c r="B253" s="14"/>
    </row>
    <row r="254" spans="1:2" ht="12.75" customHeight="1" x14ac:dyDescent="0.15">
      <c r="A254" s="13"/>
      <c r="B254" s="14"/>
    </row>
    <row r="255" spans="1:2" ht="12.75" customHeight="1" x14ac:dyDescent="0.15">
      <c r="A255" s="13"/>
      <c r="B255" s="14"/>
    </row>
    <row r="256" spans="1:2" ht="12.75" customHeight="1" x14ac:dyDescent="0.15">
      <c r="A256" s="13"/>
      <c r="B256" s="14"/>
    </row>
    <row r="257" spans="1:2" ht="12.75" customHeight="1" x14ac:dyDescent="0.15">
      <c r="A257" s="13"/>
      <c r="B257" s="14"/>
    </row>
    <row r="258" spans="1:2" ht="12.75" customHeight="1" x14ac:dyDescent="0.15">
      <c r="A258" s="13"/>
      <c r="B258" s="14"/>
    </row>
    <row r="259" spans="1:2" ht="12.75" customHeight="1" x14ac:dyDescent="0.15">
      <c r="A259" s="13"/>
      <c r="B259" s="14"/>
    </row>
    <row r="260" spans="1:2" ht="12.75" customHeight="1" x14ac:dyDescent="0.15">
      <c r="A260" s="13"/>
      <c r="B260" s="14"/>
    </row>
    <row r="261" spans="1:2" ht="12.75" customHeight="1" x14ac:dyDescent="0.15">
      <c r="A261" s="13"/>
      <c r="B261" s="14"/>
    </row>
    <row r="262" spans="1:2" ht="12.75" customHeight="1" x14ac:dyDescent="0.15">
      <c r="A262" s="13"/>
      <c r="B262" s="14"/>
    </row>
    <row r="263" spans="1:2" ht="12.75" customHeight="1" x14ac:dyDescent="0.15">
      <c r="A263" s="13"/>
      <c r="B263" s="14"/>
    </row>
    <row r="264" spans="1:2" ht="12.75" customHeight="1" x14ac:dyDescent="0.15">
      <c r="A264" s="13"/>
      <c r="B264" s="14"/>
    </row>
    <row r="265" spans="1:2" ht="12.75" customHeight="1" x14ac:dyDescent="0.15">
      <c r="A265" s="13"/>
      <c r="B265" s="14"/>
    </row>
    <row r="266" spans="1:2" ht="12.75" customHeight="1" x14ac:dyDescent="0.15">
      <c r="A266" s="13"/>
      <c r="B266" s="14"/>
    </row>
    <row r="267" spans="1:2" ht="12.75" customHeight="1" x14ac:dyDescent="0.15">
      <c r="A267" s="13"/>
      <c r="B267" s="14"/>
    </row>
    <row r="268" spans="1:2" ht="12.75" customHeight="1" x14ac:dyDescent="0.15">
      <c r="A268" s="13"/>
      <c r="B268" s="14"/>
    </row>
    <row r="269" spans="1:2" ht="12.75" customHeight="1" x14ac:dyDescent="0.15">
      <c r="A269" s="13"/>
      <c r="B269" s="14"/>
    </row>
    <row r="270" spans="1:2" ht="12.75" customHeight="1" x14ac:dyDescent="0.15">
      <c r="A270" s="13"/>
      <c r="B270" s="14"/>
    </row>
    <row r="271" spans="1:2" ht="12.75" customHeight="1" x14ac:dyDescent="0.15">
      <c r="A271" s="13"/>
      <c r="B271" s="14"/>
    </row>
    <row r="272" spans="1:2" ht="12.75" customHeight="1" x14ac:dyDescent="0.15">
      <c r="A272" s="13"/>
      <c r="B272" s="14"/>
    </row>
    <row r="273" spans="1:2" ht="12.75" customHeight="1" x14ac:dyDescent="0.15">
      <c r="A273" s="13"/>
      <c r="B273" s="14"/>
    </row>
    <row r="274" spans="1:2" ht="12.75" customHeight="1" x14ac:dyDescent="0.15">
      <c r="A274" s="13"/>
      <c r="B274" s="14"/>
    </row>
    <row r="275" spans="1:2" ht="12.75" customHeight="1" x14ac:dyDescent="0.15">
      <c r="A275" s="13"/>
      <c r="B275" s="14"/>
    </row>
    <row r="276" spans="1:2" ht="12.75" customHeight="1" x14ac:dyDescent="0.15">
      <c r="A276" s="13"/>
      <c r="B276" s="14"/>
    </row>
    <row r="277" spans="1:2" ht="12.75" customHeight="1" x14ac:dyDescent="0.15">
      <c r="A277" s="13"/>
      <c r="B277" s="14"/>
    </row>
    <row r="278" spans="1:2" ht="12.75" customHeight="1" x14ac:dyDescent="0.15">
      <c r="A278" s="13"/>
      <c r="B278" s="14"/>
    </row>
    <row r="279" spans="1:2" ht="12.75" customHeight="1" x14ac:dyDescent="0.15">
      <c r="A279" s="13"/>
      <c r="B279" s="14"/>
    </row>
    <row r="280" spans="1:2" ht="12.75" customHeight="1" x14ac:dyDescent="0.15">
      <c r="A280" s="13"/>
      <c r="B280" s="14"/>
    </row>
    <row r="281" spans="1:2" ht="12.75" customHeight="1" x14ac:dyDescent="0.15">
      <c r="A281" s="13"/>
      <c r="B281" s="14"/>
    </row>
    <row r="282" spans="1:2" ht="12.75" customHeight="1" x14ac:dyDescent="0.15">
      <c r="A282" s="13"/>
      <c r="B282" s="14"/>
    </row>
    <row r="283" spans="1:2" ht="12.75" customHeight="1" x14ac:dyDescent="0.15">
      <c r="A283" s="13"/>
      <c r="B283" s="14"/>
    </row>
    <row r="284" spans="1:2" ht="12.75" customHeight="1" x14ac:dyDescent="0.15">
      <c r="A284" s="13"/>
      <c r="B284" s="14"/>
    </row>
    <row r="285" spans="1:2" ht="12.75" customHeight="1" x14ac:dyDescent="0.15">
      <c r="A285" s="13"/>
      <c r="B285" s="14"/>
    </row>
    <row r="286" spans="1:2" ht="12.75" customHeight="1" x14ac:dyDescent="0.15">
      <c r="A286" s="13"/>
      <c r="B286" s="14"/>
    </row>
    <row r="287" spans="1:2" ht="12.75" customHeight="1" x14ac:dyDescent="0.15">
      <c r="A287" s="13"/>
      <c r="B287" s="14"/>
    </row>
    <row r="288" spans="1:2" ht="12.75" customHeight="1" x14ac:dyDescent="0.15">
      <c r="A288" s="13"/>
      <c r="B288" s="14"/>
    </row>
    <row r="289" spans="1:2" ht="12.75" customHeight="1" x14ac:dyDescent="0.15">
      <c r="A289" s="13"/>
      <c r="B289" s="14"/>
    </row>
    <row r="290" spans="1:2" ht="12.75" customHeight="1" x14ac:dyDescent="0.15">
      <c r="A290" s="13"/>
      <c r="B290" s="14"/>
    </row>
    <row r="291" spans="1:2" ht="12.75" customHeight="1" x14ac:dyDescent="0.15">
      <c r="A291" s="13"/>
      <c r="B291" s="14"/>
    </row>
    <row r="292" spans="1:2" ht="12.75" customHeight="1" x14ac:dyDescent="0.15">
      <c r="A292" s="13"/>
      <c r="B292" s="14"/>
    </row>
    <row r="293" spans="1:2" ht="12.75" customHeight="1" x14ac:dyDescent="0.15">
      <c r="A293" s="13"/>
      <c r="B293" s="14"/>
    </row>
    <row r="294" spans="1:2" ht="12.75" customHeight="1" x14ac:dyDescent="0.15">
      <c r="A294" s="13"/>
      <c r="B294" s="14"/>
    </row>
    <row r="295" spans="1:2" ht="12.75" customHeight="1" x14ac:dyDescent="0.15">
      <c r="A295" s="13"/>
      <c r="B295" s="14"/>
    </row>
    <row r="296" spans="1:2" ht="12.75" customHeight="1" x14ac:dyDescent="0.15">
      <c r="A296" s="13"/>
      <c r="B296" s="14"/>
    </row>
    <row r="297" spans="1:2" ht="12.75" customHeight="1" x14ac:dyDescent="0.15">
      <c r="A297" s="13"/>
      <c r="B297" s="14"/>
    </row>
    <row r="298" spans="1:2" ht="12.75" customHeight="1" x14ac:dyDescent="0.15">
      <c r="A298" s="13"/>
      <c r="B298" s="14"/>
    </row>
    <row r="299" spans="1:2" ht="12.75" customHeight="1" x14ac:dyDescent="0.15">
      <c r="A299" s="13"/>
      <c r="B299" s="14"/>
    </row>
    <row r="300" spans="1:2" ht="12.75" customHeight="1" x14ac:dyDescent="0.15">
      <c r="A300" s="13"/>
      <c r="B300" s="14"/>
    </row>
    <row r="301" spans="1:2" ht="12.75" customHeight="1" x14ac:dyDescent="0.15">
      <c r="A301" s="13"/>
      <c r="B301" s="14"/>
    </row>
    <row r="302" spans="1:2" ht="12.75" customHeight="1" x14ac:dyDescent="0.15">
      <c r="A302" s="13"/>
      <c r="B302" s="14"/>
    </row>
    <row r="303" spans="1:2" ht="12.75" customHeight="1" x14ac:dyDescent="0.15">
      <c r="A303" s="13"/>
      <c r="B303" s="14"/>
    </row>
    <row r="304" spans="1:2" ht="12.75" customHeight="1" x14ac:dyDescent="0.15">
      <c r="A304" s="13"/>
      <c r="B304" s="14"/>
    </row>
    <row r="305" spans="1:2" ht="12.75" customHeight="1" x14ac:dyDescent="0.15">
      <c r="A305" s="13"/>
      <c r="B305" s="14"/>
    </row>
    <row r="306" spans="1:2" ht="12.75" customHeight="1" x14ac:dyDescent="0.15">
      <c r="A306" s="13"/>
      <c r="B306" s="14"/>
    </row>
    <row r="307" spans="1:2" ht="12.75" customHeight="1" x14ac:dyDescent="0.15">
      <c r="A307" s="13"/>
      <c r="B307" s="14"/>
    </row>
    <row r="308" spans="1:2" ht="12.75" customHeight="1" x14ac:dyDescent="0.15">
      <c r="A308" s="13"/>
      <c r="B308" s="14"/>
    </row>
    <row r="309" spans="1:2" ht="12.75" customHeight="1" x14ac:dyDescent="0.15">
      <c r="A309" s="13"/>
      <c r="B309" s="14"/>
    </row>
    <row r="310" spans="1:2" ht="12.75" customHeight="1" x14ac:dyDescent="0.15">
      <c r="A310" s="13"/>
      <c r="B310" s="14"/>
    </row>
    <row r="311" spans="1:2" ht="12.75" customHeight="1" x14ac:dyDescent="0.15">
      <c r="A311" s="13"/>
      <c r="B311" s="14"/>
    </row>
    <row r="312" spans="1:2" ht="12.75" customHeight="1" x14ac:dyDescent="0.15">
      <c r="A312" s="13"/>
      <c r="B312" s="14"/>
    </row>
    <row r="313" spans="1:2" ht="12.75" customHeight="1" x14ac:dyDescent="0.15">
      <c r="A313" s="13"/>
      <c r="B313" s="14"/>
    </row>
    <row r="314" spans="1:2" ht="12.75" customHeight="1" x14ac:dyDescent="0.15">
      <c r="A314" s="13"/>
      <c r="B314" s="14"/>
    </row>
    <row r="315" spans="1:2" ht="12.75" customHeight="1" x14ac:dyDescent="0.15">
      <c r="A315" s="13"/>
      <c r="B315" s="14"/>
    </row>
    <row r="316" spans="1:2" ht="12.75" customHeight="1" x14ac:dyDescent="0.15">
      <c r="A316" s="13"/>
      <c r="B316" s="14"/>
    </row>
    <row r="317" spans="1:2" ht="12.75" customHeight="1" x14ac:dyDescent="0.15">
      <c r="A317" s="13"/>
      <c r="B317" s="14"/>
    </row>
    <row r="318" spans="1:2" ht="12.75" customHeight="1" x14ac:dyDescent="0.15">
      <c r="A318" s="13"/>
      <c r="B318" s="14"/>
    </row>
    <row r="319" spans="1:2" ht="12.75" customHeight="1" x14ac:dyDescent="0.15">
      <c r="A319" s="13"/>
      <c r="B319" s="14"/>
    </row>
    <row r="320" spans="1:2" ht="12.75" customHeight="1" x14ac:dyDescent="0.15">
      <c r="A320" s="13"/>
      <c r="B320" s="14"/>
    </row>
    <row r="321" spans="1:2" ht="12.75" customHeight="1" x14ac:dyDescent="0.15">
      <c r="A321" s="13"/>
      <c r="B321" s="14"/>
    </row>
    <row r="322" spans="1:2" ht="12.75" customHeight="1" x14ac:dyDescent="0.15">
      <c r="A322" s="13"/>
      <c r="B322" s="14"/>
    </row>
    <row r="323" spans="1:2" ht="12.75" customHeight="1" x14ac:dyDescent="0.15">
      <c r="A323" s="13"/>
      <c r="B323" s="14"/>
    </row>
    <row r="324" spans="1:2" ht="12.75" customHeight="1" x14ac:dyDescent="0.15">
      <c r="A324" s="13"/>
      <c r="B324" s="14"/>
    </row>
    <row r="325" spans="1:2" ht="12.75" customHeight="1" x14ac:dyDescent="0.15">
      <c r="A325" s="13"/>
      <c r="B325" s="14"/>
    </row>
    <row r="326" spans="1:2" ht="12.75" customHeight="1" x14ac:dyDescent="0.15">
      <c r="A326" s="13"/>
      <c r="B326" s="14"/>
    </row>
    <row r="327" spans="1:2" ht="12.75" customHeight="1" x14ac:dyDescent="0.15">
      <c r="A327" s="13"/>
      <c r="B327" s="14"/>
    </row>
    <row r="328" spans="1:2" ht="12.75" customHeight="1" x14ac:dyDescent="0.15">
      <c r="A328" s="13"/>
      <c r="B328" s="14"/>
    </row>
    <row r="329" spans="1:2" ht="12.75" customHeight="1" x14ac:dyDescent="0.15">
      <c r="A329" s="13"/>
      <c r="B329" s="14"/>
    </row>
    <row r="330" spans="1:2" ht="12.75" customHeight="1" x14ac:dyDescent="0.15">
      <c r="A330" s="13"/>
      <c r="B330" s="14"/>
    </row>
    <row r="331" spans="1:2" ht="12.75" customHeight="1" x14ac:dyDescent="0.15">
      <c r="A331" s="13"/>
      <c r="B331" s="14"/>
    </row>
    <row r="332" spans="1:2" ht="12.75" customHeight="1" x14ac:dyDescent="0.15">
      <c r="A332" s="13"/>
      <c r="B332" s="14"/>
    </row>
    <row r="333" spans="1:2" ht="12.75" customHeight="1" x14ac:dyDescent="0.15">
      <c r="A333" s="13"/>
      <c r="B333" s="14"/>
    </row>
    <row r="334" spans="1:2" ht="12.75" customHeight="1" x14ac:dyDescent="0.15">
      <c r="A334" s="13"/>
      <c r="B334" s="14"/>
    </row>
    <row r="335" spans="1:2" ht="12.75" customHeight="1" x14ac:dyDescent="0.15">
      <c r="A335" s="13"/>
      <c r="B335" s="14"/>
    </row>
    <row r="336" spans="1:2" ht="12.75" customHeight="1" x14ac:dyDescent="0.15">
      <c r="A336" s="13"/>
      <c r="B336" s="14"/>
    </row>
    <row r="337" spans="1:2" ht="12.75" customHeight="1" x14ac:dyDescent="0.15">
      <c r="A337" s="13"/>
      <c r="B337" s="14"/>
    </row>
    <row r="338" spans="1:2" ht="12.75" customHeight="1" x14ac:dyDescent="0.15">
      <c r="A338" s="13"/>
      <c r="B338" s="14"/>
    </row>
    <row r="339" spans="1:2" ht="12.75" customHeight="1" x14ac:dyDescent="0.15">
      <c r="A339" s="13"/>
      <c r="B339" s="14"/>
    </row>
    <row r="340" spans="1:2" ht="12.75" customHeight="1" x14ac:dyDescent="0.15">
      <c r="A340" s="13"/>
      <c r="B340" s="14"/>
    </row>
    <row r="341" spans="1:2" ht="12.75" customHeight="1" x14ac:dyDescent="0.15">
      <c r="A341" s="13"/>
      <c r="B341" s="14"/>
    </row>
    <row r="342" spans="1:2" ht="12.75" customHeight="1" x14ac:dyDescent="0.15">
      <c r="A342" s="13"/>
      <c r="B342" s="14"/>
    </row>
    <row r="343" spans="1:2" ht="12.75" customHeight="1" x14ac:dyDescent="0.15">
      <c r="A343" s="13"/>
      <c r="B343" s="14"/>
    </row>
    <row r="344" spans="1:2" ht="12.75" customHeight="1" x14ac:dyDescent="0.15">
      <c r="A344" s="13"/>
      <c r="B344" s="14"/>
    </row>
    <row r="345" spans="1:2" ht="12.75" customHeight="1" x14ac:dyDescent="0.15">
      <c r="A345" s="13"/>
      <c r="B345" s="14"/>
    </row>
    <row r="346" spans="1:2" ht="12.75" customHeight="1" x14ac:dyDescent="0.15">
      <c r="A346" s="13"/>
      <c r="B346" s="14"/>
    </row>
    <row r="347" spans="1:2" ht="12.75" customHeight="1" x14ac:dyDescent="0.15">
      <c r="A347" s="13"/>
      <c r="B347" s="14"/>
    </row>
    <row r="348" spans="1:2" ht="12.75" customHeight="1" x14ac:dyDescent="0.15">
      <c r="A348" s="13"/>
      <c r="B348" s="14"/>
    </row>
    <row r="349" spans="1:2" ht="12.75" customHeight="1" x14ac:dyDescent="0.15">
      <c r="A349" s="13"/>
      <c r="B349" s="14"/>
    </row>
    <row r="350" spans="1:2" ht="12.75" customHeight="1" x14ac:dyDescent="0.15">
      <c r="A350" s="13"/>
      <c r="B350" s="14"/>
    </row>
    <row r="351" spans="1:2" ht="12.75" customHeight="1" x14ac:dyDescent="0.15">
      <c r="A351" s="13"/>
      <c r="B351" s="14"/>
    </row>
    <row r="352" spans="1:2" ht="12.75" customHeight="1" x14ac:dyDescent="0.15">
      <c r="A352" s="13"/>
      <c r="B352" s="14"/>
    </row>
    <row r="353" spans="1:2" ht="12.75" customHeight="1" x14ac:dyDescent="0.15">
      <c r="A353" s="13"/>
      <c r="B353" s="14"/>
    </row>
    <row r="354" spans="1:2" ht="12.75" customHeight="1" x14ac:dyDescent="0.15">
      <c r="A354" s="13"/>
      <c r="B354" s="14"/>
    </row>
    <row r="355" spans="1:2" ht="12.75" customHeight="1" x14ac:dyDescent="0.15">
      <c r="A355" s="13"/>
      <c r="B355" s="14"/>
    </row>
    <row r="356" spans="1:2" ht="12.75" customHeight="1" x14ac:dyDescent="0.15">
      <c r="A356" s="13"/>
      <c r="B356" s="14"/>
    </row>
    <row r="357" spans="1:2" ht="12.75" customHeight="1" x14ac:dyDescent="0.15">
      <c r="A357" s="13"/>
      <c r="B357" s="14"/>
    </row>
    <row r="358" spans="1:2" ht="12.75" customHeight="1" x14ac:dyDescent="0.15">
      <c r="A358" s="13"/>
      <c r="B358" s="14"/>
    </row>
    <row r="359" spans="1:2" ht="12.75" customHeight="1" x14ac:dyDescent="0.15">
      <c r="A359" s="13"/>
      <c r="B359" s="14"/>
    </row>
    <row r="360" spans="1:2" ht="12.75" customHeight="1" x14ac:dyDescent="0.15">
      <c r="A360" s="13"/>
      <c r="B360" s="14"/>
    </row>
    <row r="361" spans="1:2" ht="12.75" customHeight="1" x14ac:dyDescent="0.15">
      <c r="A361" s="13"/>
      <c r="B361" s="14"/>
    </row>
    <row r="362" spans="1:2" ht="12.75" customHeight="1" x14ac:dyDescent="0.15">
      <c r="A362" s="13"/>
      <c r="B362" s="14"/>
    </row>
    <row r="363" spans="1:2" ht="12.75" customHeight="1" x14ac:dyDescent="0.15">
      <c r="A363" s="13"/>
      <c r="B363" s="14"/>
    </row>
    <row r="364" spans="1:2" ht="12.75" customHeight="1" x14ac:dyDescent="0.15">
      <c r="A364" s="13"/>
      <c r="B364" s="14"/>
    </row>
    <row r="365" spans="1:2" ht="12.75" customHeight="1" x14ac:dyDescent="0.15">
      <c r="A365" s="13"/>
      <c r="B365" s="14"/>
    </row>
    <row r="366" spans="1:2" ht="12.75" customHeight="1" x14ac:dyDescent="0.15">
      <c r="A366" s="13"/>
      <c r="B366" s="14"/>
    </row>
    <row r="367" spans="1:2" ht="12.75" customHeight="1" x14ac:dyDescent="0.15">
      <c r="A367" s="13"/>
      <c r="B367" s="14"/>
    </row>
    <row r="368" spans="1:2" ht="12.75" customHeight="1" x14ac:dyDescent="0.15">
      <c r="A368" s="13"/>
      <c r="B368" s="14"/>
    </row>
    <row r="369" spans="1:2" ht="12.75" customHeight="1" x14ac:dyDescent="0.15">
      <c r="A369" s="13"/>
      <c r="B369" s="14"/>
    </row>
    <row r="370" spans="1:2" ht="12.75" customHeight="1" x14ac:dyDescent="0.15">
      <c r="A370" s="13"/>
      <c r="B370" s="14"/>
    </row>
    <row r="371" spans="1:2" ht="12.75" customHeight="1" x14ac:dyDescent="0.15">
      <c r="A371" s="13"/>
      <c r="B371" s="14"/>
    </row>
    <row r="372" spans="1:2" ht="12.75" customHeight="1" x14ac:dyDescent="0.15">
      <c r="A372" s="13"/>
      <c r="B372" s="14"/>
    </row>
    <row r="373" spans="1:2" ht="12.75" customHeight="1" x14ac:dyDescent="0.15">
      <c r="A373" s="13"/>
      <c r="B373" s="14"/>
    </row>
    <row r="374" spans="1:2" ht="12.75" customHeight="1" x14ac:dyDescent="0.15">
      <c r="A374" s="13"/>
      <c r="B374" s="14"/>
    </row>
    <row r="375" spans="1:2" ht="12.75" customHeight="1" x14ac:dyDescent="0.15">
      <c r="A375" s="13"/>
      <c r="B375" s="14"/>
    </row>
    <row r="376" spans="1:2" ht="12.75" customHeight="1" x14ac:dyDescent="0.15">
      <c r="A376" s="13"/>
      <c r="B376" s="14"/>
    </row>
    <row r="377" spans="1:2" ht="12.75" customHeight="1" x14ac:dyDescent="0.15">
      <c r="A377" s="13"/>
      <c r="B377" s="14"/>
    </row>
    <row r="378" spans="1:2" ht="12.75" customHeight="1" x14ac:dyDescent="0.15">
      <c r="A378" s="13"/>
      <c r="B378" s="14"/>
    </row>
    <row r="379" spans="1:2" ht="12.75" customHeight="1" x14ac:dyDescent="0.15">
      <c r="A379" s="13"/>
      <c r="B379" s="14"/>
    </row>
    <row r="380" spans="1:2" ht="12.75" customHeight="1" x14ac:dyDescent="0.15">
      <c r="A380" s="13"/>
      <c r="B380" s="14"/>
    </row>
    <row r="381" spans="1:2" ht="12.75" customHeight="1" x14ac:dyDescent="0.15">
      <c r="A381" s="13"/>
      <c r="B381" s="14"/>
    </row>
    <row r="382" spans="1:2" ht="12.75" customHeight="1" x14ac:dyDescent="0.15">
      <c r="A382" s="13"/>
      <c r="B382" s="14"/>
    </row>
    <row r="383" spans="1:2" ht="12.75" customHeight="1" x14ac:dyDescent="0.15">
      <c r="A383" s="13"/>
      <c r="B383" s="14"/>
    </row>
    <row r="384" spans="1:2" ht="12.75" customHeight="1" x14ac:dyDescent="0.15">
      <c r="A384" s="13"/>
      <c r="B384" s="14"/>
    </row>
    <row r="385" spans="1:2" ht="12.75" customHeight="1" x14ac:dyDescent="0.15">
      <c r="A385" s="13"/>
      <c r="B385" s="14"/>
    </row>
    <row r="386" spans="1:2" ht="12.75" customHeight="1" x14ac:dyDescent="0.15">
      <c r="A386" s="13"/>
      <c r="B386" s="14"/>
    </row>
    <row r="387" spans="1:2" ht="12.75" customHeight="1" x14ac:dyDescent="0.15">
      <c r="A387" s="13"/>
      <c r="B387" s="14"/>
    </row>
    <row r="388" spans="1:2" ht="12.75" customHeight="1" x14ac:dyDescent="0.15">
      <c r="A388" s="13"/>
      <c r="B388" s="14"/>
    </row>
    <row r="389" spans="1:2" ht="12.75" customHeight="1" x14ac:dyDescent="0.15">
      <c r="A389" s="13"/>
      <c r="B389" s="14"/>
    </row>
    <row r="390" spans="1:2" ht="12.75" customHeight="1" x14ac:dyDescent="0.15">
      <c r="A390" s="13"/>
      <c r="B390" s="14"/>
    </row>
    <row r="391" spans="1:2" ht="12.75" customHeight="1" x14ac:dyDescent="0.15">
      <c r="A391" s="13"/>
      <c r="B391" s="14"/>
    </row>
    <row r="392" spans="1:2" ht="12.75" customHeight="1" x14ac:dyDescent="0.15">
      <c r="A392" s="13"/>
      <c r="B392" s="14"/>
    </row>
    <row r="393" spans="1:2" ht="12.75" customHeight="1" x14ac:dyDescent="0.15">
      <c r="A393" s="13"/>
      <c r="B393" s="14"/>
    </row>
    <row r="394" spans="1:2" ht="12.75" customHeight="1" x14ac:dyDescent="0.15">
      <c r="A394" s="13"/>
      <c r="B394" s="14"/>
    </row>
    <row r="395" spans="1:2" ht="12.75" customHeight="1" x14ac:dyDescent="0.15">
      <c r="A395" s="13"/>
      <c r="B395" s="14"/>
    </row>
    <row r="396" spans="1:2" ht="12.75" customHeight="1" x14ac:dyDescent="0.15">
      <c r="A396" s="13"/>
      <c r="B396" s="14"/>
    </row>
    <row r="397" spans="1:2" ht="12.75" customHeight="1" x14ac:dyDescent="0.15">
      <c r="A397" s="13"/>
      <c r="B397" s="14"/>
    </row>
    <row r="398" spans="1:2" ht="12.75" customHeight="1" x14ac:dyDescent="0.15">
      <c r="A398" s="13"/>
      <c r="B398" s="14"/>
    </row>
    <row r="399" spans="1:2" ht="12.75" customHeight="1" x14ac:dyDescent="0.15">
      <c r="A399" s="13"/>
      <c r="B399" s="14"/>
    </row>
    <row r="400" spans="1:2" ht="12.75" customHeight="1" x14ac:dyDescent="0.15">
      <c r="A400" s="13"/>
      <c r="B400" s="14"/>
    </row>
    <row r="401" spans="1:2" ht="12.75" customHeight="1" x14ac:dyDescent="0.15">
      <c r="A401" s="13"/>
      <c r="B401" s="14"/>
    </row>
    <row r="402" spans="1:2" ht="12.75" customHeight="1" x14ac:dyDescent="0.15">
      <c r="A402" s="13"/>
      <c r="B402" s="14"/>
    </row>
    <row r="403" spans="1:2" ht="12.75" customHeight="1" x14ac:dyDescent="0.15">
      <c r="A403" s="13"/>
      <c r="B403" s="14"/>
    </row>
    <row r="404" spans="1:2" ht="12.75" customHeight="1" x14ac:dyDescent="0.15">
      <c r="A404" s="13"/>
      <c r="B404" s="14"/>
    </row>
    <row r="405" spans="1:2" ht="12.75" customHeight="1" x14ac:dyDescent="0.15">
      <c r="A405" s="13"/>
      <c r="B405" s="14"/>
    </row>
    <row r="406" spans="1:2" ht="12.75" customHeight="1" x14ac:dyDescent="0.15">
      <c r="A406" s="13"/>
      <c r="B406" s="14"/>
    </row>
    <row r="407" spans="1:2" ht="12.75" customHeight="1" x14ac:dyDescent="0.15">
      <c r="A407" s="13"/>
      <c r="B407" s="14"/>
    </row>
    <row r="408" spans="1:2" ht="12.75" customHeight="1" x14ac:dyDescent="0.15">
      <c r="A408" s="13"/>
      <c r="B408" s="14"/>
    </row>
    <row r="409" spans="1:2" ht="12.75" customHeight="1" x14ac:dyDescent="0.15">
      <c r="A409" s="13"/>
      <c r="B409" s="14"/>
    </row>
    <row r="410" spans="1:2" ht="12.75" customHeight="1" x14ac:dyDescent="0.15">
      <c r="A410" s="13"/>
      <c r="B410" s="14"/>
    </row>
    <row r="411" spans="1:2" ht="12.75" customHeight="1" x14ac:dyDescent="0.15">
      <c r="A411" s="13"/>
      <c r="B411" s="14"/>
    </row>
    <row r="412" spans="1:2" ht="12.75" customHeight="1" x14ac:dyDescent="0.15">
      <c r="A412" s="13"/>
      <c r="B412" s="14"/>
    </row>
    <row r="413" spans="1:2" ht="12.75" customHeight="1" x14ac:dyDescent="0.15">
      <c r="A413" s="13"/>
      <c r="B413" s="14"/>
    </row>
    <row r="414" spans="1:2" ht="12.75" customHeight="1" x14ac:dyDescent="0.15">
      <c r="A414" s="13"/>
      <c r="B414" s="14"/>
    </row>
    <row r="415" spans="1:2" ht="12.75" customHeight="1" x14ac:dyDescent="0.15">
      <c r="A415" s="13"/>
      <c r="B415" s="14"/>
    </row>
    <row r="416" spans="1:2" ht="12.75" customHeight="1" x14ac:dyDescent="0.15">
      <c r="A416" s="13"/>
      <c r="B416" s="14"/>
    </row>
    <row r="417" spans="1:2" ht="12.75" customHeight="1" x14ac:dyDescent="0.15">
      <c r="A417" s="13"/>
      <c r="B417" s="14"/>
    </row>
    <row r="418" spans="1:2" ht="12.75" customHeight="1" x14ac:dyDescent="0.15">
      <c r="A418" s="13"/>
      <c r="B418" s="14"/>
    </row>
    <row r="419" spans="1:2" ht="12.75" customHeight="1" x14ac:dyDescent="0.15">
      <c r="A419" s="13"/>
      <c r="B419" s="14"/>
    </row>
    <row r="420" spans="1:2" ht="12.75" customHeight="1" x14ac:dyDescent="0.15">
      <c r="A420" s="13"/>
      <c r="B420" s="14"/>
    </row>
    <row r="421" spans="1:2" ht="12.75" customHeight="1" x14ac:dyDescent="0.15">
      <c r="A421" s="13"/>
      <c r="B421" s="14"/>
    </row>
    <row r="422" spans="1:2" ht="12.75" customHeight="1" x14ac:dyDescent="0.15">
      <c r="A422" s="13"/>
      <c r="B422" s="14"/>
    </row>
    <row r="423" spans="1:2" ht="12.75" customHeight="1" x14ac:dyDescent="0.15">
      <c r="A423" s="13"/>
      <c r="B423" s="14"/>
    </row>
    <row r="424" spans="1:2" ht="12.75" customHeight="1" x14ac:dyDescent="0.15">
      <c r="A424" s="13"/>
      <c r="B424" s="14"/>
    </row>
    <row r="425" spans="1:2" ht="12.75" customHeight="1" x14ac:dyDescent="0.15">
      <c r="A425" s="13"/>
      <c r="B425" s="14"/>
    </row>
    <row r="426" spans="1:2" ht="12.75" customHeight="1" x14ac:dyDescent="0.15">
      <c r="A426" s="13"/>
      <c r="B426" s="14"/>
    </row>
    <row r="427" spans="1:2" ht="12.75" customHeight="1" x14ac:dyDescent="0.15">
      <c r="A427" s="13"/>
      <c r="B427" s="14"/>
    </row>
    <row r="428" spans="1:2" ht="12.75" customHeight="1" x14ac:dyDescent="0.15">
      <c r="A428" s="13"/>
      <c r="B428" s="14"/>
    </row>
    <row r="429" spans="1:2" ht="12.75" customHeight="1" x14ac:dyDescent="0.15">
      <c r="A429" s="13"/>
      <c r="B429" s="14"/>
    </row>
    <row r="430" spans="1:2" ht="12.75" customHeight="1" x14ac:dyDescent="0.15">
      <c r="A430" s="13"/>
      <c r="B430" s="14"/>
    </row>
    <row r="431" spans="1:2" ht="12.75" customHeight="1" x14ac:dyDescent="0.15">
      <c r="A431" s="13"/>
      <c r="B431" s="14"/>
    </row>
    <row r="432" spans="1:2" ht="12.75" customHeight="1" x14ac:dyDescent="0.15">
      <c r="A432" s="13"/>
      <c r="B432" s="14"/>
    </row>
    <row r="433" spans="1:2" ht="12.75" customHeight="1" x14ac:dyDescent="0.15">
      <c r="A433" s="13"/>
      <c r="B433" s="14"/>
    </row>
    <row r="434" spans="1:2" ht="12.75" customHeight="1" x14ac:dyDescent="0.15">
      <c r="A434" s="13"/>
      <c r="B434" s="14"/>
    </row>
    <row r="435" spans="1:2" ht="12.75" customHeight="1" x14ac:dyDescent="0.15">
      <c r="A435" s="13"/>
      <c r="B435" s="14"/>
    </row>
    <row r="436" spans="1:2" ht="12.75" customHeight="1" x14ac:dyDescent="0.15">
      <c r="A436" s="13"/>
      <c r="B436" s="14"/>
    </row>
    <row r="437" spans="1:2" ht="12.75" customHeight="1" x14ac:dyDescent="0.15">
      <c r="A437" s="13"/>
      <c r="B437" s="14"/>
    </row>
    <row r="438" spans="1:2" ht="12.75" customHeight="1" x14ac:dyDescent="0.15">
      <c r="A438" s="13"/>
      <c r="B438" s="14"/>
    </row>
    <row r="439" spans="1:2" ht="12.75" customHeight="1" x14ac:dyDescent="0.15">
      <c r="A439" s="13"/>
      <c r="B439" s="14"/>
    </row>
    <row r="440" spans="1:2" ht="12.75" customHeight="1" x14ac:dyDescent="0.15">
      <c r="A440" s="13"/>
      <c r="B440" s="14"/>
    </row>
    <row r="441" spans="1:2" ht="12.75" customHeight="1" x14ac:dyDescent="0.15">
      <c r="A441" s="13"/>
      <c r="B441" s="14"/>
    </row>
    <row r="442" spans="1:2" ht="12.75" customHeight="1" x14ac:dyDescent="0.15">
      <c r="A442" s="13"/>
      <c r="B442" s="14"/>
    </row>
    <row r="443" spans="1:2" ht="12.75" customHeight="1" x14ac:dyDescent="0.15">
      <c r="A443" s="13"/>
      <c r="B443" s="14"/>
    </row>
    <row r="444" spans="1:2" ht="12.75" customHeight="1" x14ac:dyDescent="0.15">
      <c r="A444" s="13"/>
      <c r="B444" s="14"/>
    </row>
    <row r="445" spans="1:2" ht="12.75" customHeight="1" x14ac:dyDescent="0.15">
      <c r="A445" s="13"/>
      <c r="B445" s="14"/>
    </row>
    <row r="446" spans="1:2" ht="12.75" customHeight="1" x14ac:dyDescent="0.15">
      <c r="A446" s="13"/>
      <c r="B446" s="14"/>
    </row>
    <row r="447" spans="1:2" ht="12.75" customHeight="1" x14ac:dyDescent="0.15">
      <c r="A447" s="13"/>
      <c r="B447" s="14"/>
    </row>
    <row r="448" spans="1:2" ht="12.75" customHeight="1" x14ac:dyDescent="0.15">
      <c r="A448" s="13"/>
      <c r="B448" s="14"/>
    </row>
    <row r="449" spans="1:2" ht="12.75" customHeight="1" x14ac:dyDescent="0.15">
      <c r="A449" s="13"/>
      <c r="B449" s="14"/>
    </row>
    <row r="450" spans="1:2" ht="12.75" customHeight="1" x14ac:dyDescent="0.15">
      <c r="A450" s="13"/>
      <c r="B450" s="14"/>
    </row>
    <row r="451" spans="1:2" ht="12.75" customHeight="1" x14ac:dyDescent="0.15">
      <c r="A451" s="13"/>
      <c r="B451" s="14"/>
    </row>
    <row r="452" spans="1:2" ht="12.75" customHeight="1" x14ac:dyDescent="0.15">
      <c r="A452" s="13"/>
      <c r="B452" s="14"/>
    </row>
    <row r="453" spans="1:2" ht="12.75" customHeight="1" x14ac:dyDescent="0.15">
      <c r="A453" s="13"/>
      <c r="B453" s="14"/>
    </row>
    <row r="454" spans="1:2" ht="12.75" customHeight="1" x14ac:dyDescent="0.15">
      <c r="A454" s="13"/>
      <c r="B454" s="14"/>
    </row>
    <row r="455" spans="1:2" ht="12.75" customHeight="1" x14ac:dyDescent="0.15">
      <c r="A455" s="13"/>
      <c r="B455" s="14"/>
    </row>
    <row r="456" spans="1:2" ht="12.75" customHeight="1" x14ac:dyDescent="0.15">
      <c r="A456" s="13"/>
      <c r="B456" s="14"/>
    </row>
    <row r="457" spans="1:2" ht="12.75" customHeight="1" x14ac:dyDescent="0.15">
      <c r="A457" s="13"/>
      <c r="B457" s="14"/>
    </row>
    <row r="458" spans="1:2" ht="12.75" customHeight="1" x14ac:dyDescent="0.15">
      <c r="A458" s="13"/>
      <c r="B458" s="14"/>
    </row>
    <row r="459" spans="1:2" ht="12.75" customHeight="1" x14ac:dyDescent="0.15">
      <c r="A459" s="13"/>
      <c r="B459" s="14"/>
    </row>
    <row r="460" spans="1:2" ht="12.75" customHeight="1" x14ac:dyDescent="0.15">
      <c r="A460" s="13"/>
      <c r="B460" s="14"/>
    </row>
    <row r="461" spans="1:2" ht="12.75" customHeight="1" x14ac:dyDescent="0.15">
      <c r="A461" s="13"/>
      <c r="B461" s="14"/>
    </row>
    <row r="462" spans="1:2" ht="12.75" customHeight="1" x14ac:dyDescent="0.15">
      <c r="A462" s="13"/>
      <c r="B462" s="14"/>
    </row>
    <row r="463" spans="1:2" ht="12.75" customHeight="1" x14ac:dyDescent="0.15">
      <c r="A463" s="13"/>
      <c r="B463" s="14"/>
    </row>
    <row r="464" spans="1:2" ht="12.75" customHeight="1" x14ac:dyDescent="0.15">
      <c r="A464" s="13"/>
      <c r="B464" s="14"/>
    </row>
    <row r="465" spans="1:2" ht="12.75" customHeight="1" x14ac:dyDescent="0.15">
      <c r="A465" s="13"/>
      <c r="B465" s="14"/>
    </row>
    <row r="466" spans="1:2" ht="12.75" customHeight="1" x14ac:dyDescent="0.15">
      <c r="A466" s="13"/>
      <c r="B466" s="14"/>
    </row>
    <row r="467" spans="1:2" ht="12.75" customHeight="1" x14ac:dyDescent="0.15">
      <c r="A467" s="13"/>
      <c r="B467" s="14"/>
    </row>
    <row r="468" spans="1:2" ht="12.75" customHeight="1" x14ac:dyDescent="0.15">
      <c r="A468" s="13"/>
      <c r="B468" s="14"/>
    </row>
    <row r="469" spans="1:2" ht="12.75" customHeight="1" x14ac:dyDescent="0.15">
      <c r="A469" s="13"/>
      <c r="B469" s="14"/>
    </row>
    <row r="470" spans="1:2" ht="12.75" customHeight="1" x14ac:dyDescent="0.15">
      <c r="A470" s="13"/>
      <c r="B470" s="14"/>
    </row>
    <row r="471" spans="1:2" ht="12.75" customHeight="1" x14ac:dyDescent="0.15">
      <c r="A471" s="13"/>
      <c r="B471" s="14"/>
    </row>
    <row r="472" spans="1:2" ht="12.75" customHeight="1" x14ac:dyDescent="0.15">
      <c r="A472" s="13"/>
      <c r="B472" s="14"/>
    </row>
    <row r="473" spans="1:2" ht="12.75" customHeight="1" x14ac:dyDescent="0.15">
      <c r="A473" s="13"/>
      <c r="B473" s="14"/>
    </row>
    <row r="474" spans="1:2" ht="12.75" customHeight="1" x14ac:dyDescent="0.15">
      <c r="A474" s="13"/>
      <c r="B474" s="14"/>
    </row>
    <row r="475" spans="1:2" ht="12.75" customHeight="1" x14ac:dyDescent="0.15">
      <c r="A475" s="13"/>
      <c r="B475" s="14"/>
    </row>
    <row r="476" spans="1:2" ht="12.75" customHeight="1" x14ac:dyDescent="0.15">
      <c r="A476" s="13"/>
      <c r="B476" s="14"/>
    </row>
    <row r="477" spans="1:2" ht="12.75" customHeight="1" x14ac:dyDescent="0.15">
      <c r="A477" s="13"/>
      <c r="B477" s="14"/>
    </row>
    <row r="478" spans="1:2" ht="12.75" customHeight="1" x14ac:dyDescent="0.15">
      <c r="A478" s="13"/>
      <c r="B478" s="14"/>
    </row>
    <row r="479" spans="1:2" ht="12.75" customHeight="1" x14ac:dyDescent="0.15">
      <c r="A479" s="13"/>
      <c r="B479" s="14"/>
    </row>
    <row r="480" spans="1:2" ht="12.75" customHeight="1" x14ac:dyDescent="0.15">
      <c r="A480" s="13"/>
      <c r="B480" s="14"/>
    </row>
    <row r="481" spans="1:2" ht="12.75" customHeight="1" x14ac:dyDescent="0.15">
      <c r="A481" s="13"/>
      <c r="B481" s="14"/>
    </row>
    <row r="482" spans="1:2" ht="12.75" customHeight="1" x14ac:dyDescent="0.15">
      <c r="A482" s="13"/>
      <c r="B482" s="14"/>
    </row>
    <row r="483" spans="1:2" ht="12.75" customHeight="1" x14ac:dyDescent="0.15">
      <c r="A483" s="13"/>
      <c r="B483" s="14"/>
    </row>
    <row r="484" spans="1:2" ht="12.75" customHeight="1" x14ac:dyDescent="0.15">
      <c r="A484" s="13"/>
      <c r="B484" s="14"/>
    </row>
    <row r="485" spans="1:2" ht="12.75" customHeight="1" x14ac:dyDescent="0.15">
      <c r="A485" s="13"/>
      <c r="B485" s="14"/>
    </row>
    <row r="486" spans="1:2" ht="12.75" customHeight="1" x14ac:dyDescent="0.15">
      <c r="A486" s="13"/>
      <c r="B486" s="14"/>
    </row>
    <row r="487" spans="1:2" ht="12.75" customHeight="1" x14ac:dyDescent="0.15">
      <c r="A487" s="13"/>
      <c r="B487" s="14"/>
    </row>
    <row r="488" spans="1:2" ht="12.75" customHeight="1" x14ac:dyDescent="0.15">
      <c r="A488" s="13"/>
      <c r="B488" s="14"/>
    </row>
    <row r="489" spans="1:2" ht="12.75" customHeight="1" x14ac:dyDescent="0.15">
      <c r="A489" s="13"/>
      <c r="B489" s="14"/>
    </row>
    <row r="490" spans="1:2" ht="12.75" customHeight="1" x14ac:dyDescent="0.15">
      <c r="A490" s="13"/>
      <c r="B490" s="14"/>
    </row>
    <row r="491" spans="1:2" ht="12.75" customHeight="1" x14ac:dyDescent="0.15">
      <c r="A491" s="13"/>
      <c r="B491" s="14"/>
    </row>
    <row r="492" spans="1:2" ht="12.75" customHeight="1" x14ac:dyDescent="0.15">
      <c r="A492" s="13"/>
      <c r="B492" s="14"/>
    </row>
    <row r="493" spans="1:2" ht="12.75" customHeight="1" x14ac:dyDescent="0.15">
      <c r="A493" s="13"/>
      <c r="B493" s="14"/>
    </row>
    <row r="494" spans="1:2" ht="12.75" customHeight="1" x14ac:dyDescent="0.15">
      <c r="A494" s="13"/>
      <c r="B494" s="14"/>
    </row>
    <row r="495" spans="1:2" ht="12.75" customHeight="1" x14ac:dyDescent="0.15">
      <c r="A495" s="13"/>
      <c r="B495" s="14"/>
    </row>
    <row r="496" spans="1:2" ht="12.75" customHeight="1" x14ac:dyDescent="0.15">
      <c r="A496" s="13"/>
      <c r="B496" s="14"/>
    </row>
    <row r="497" spans="1:2" ht="12.75" customHeight="1" x14ac:dyDescent="0.15">
      <c r="A497" s="13"/>
      <c r="B497" s="14"/>
    </row>
    <row r="498" spans="1:2" ht="12.75" customHeight="1" x14ac:dyDescent="0.15">
      <c r="A498" s="13"/>
      <c r="B498" s="14"/>
    </row>
    <row r="499" spans="1:2" ht="12.75" customHeight="1" x14ac:dyDescent="0.15">
      <c r="A499" s="13"/>
      <c r="B499" s="14"/>
    </row>
    <row r="500" spans="1:2" ht="12.75" customHeight="1" x14ac:dyDescent="0.15">
      <c r="A500" s="13"/>
      <c r="B500" s="14"/>
    </row>
    <row r="501" spans="1:2" ht="12.75" customHeight="1" x14ac:dyDescent="0.15">
      <c r="A501" s="13"/>
      <c r="B501" s="14"/>
    </row>
    <row r="502" spans="1:2" ht="12.75" customHeight="1" x14ac:dyDescent="0.15">
      <c r="A502" s="13"/>
      <c r="B502" s="14"/>
    </row>
    <row r="503" spans="1:2" ht="12.75" customHeight="1" x14ac:dyDescent="0.15">
      <c r="A503" s="13"/>
      <c r="B503" s="14"/>
    </row>
    <row r="504" spans="1:2" ht="12.75" customHeight="1" x14ac:dyDescent="0.15">
      <c r="A504" s="13"/>
      <c r="B504" s="14"/>
    </row>
    <row r="505" spans="1:2" ht="12.75" customHeight="1" x14ac:dyDescent="0.15">
      <c r="A505" s="13"/>
      <c r="B505" s="14"/>
    </row>
    <row r="506" spans="1:2" ht="12.75" customHeight="1" x14ac:dyDescent="0.15">
      <c r="A506" s="13"/>
      <c r="B506" s="14"/>
    </row>
    <row r="507" spans="1:2" ht="12.75" customHeight="1" x14ac:dyDescent="0.15">
      <c r="A507" s="13"/>
      <c r="B507" s="14"/>
    </row>
    <row r="508" spans="1:2" ht="12.75" customHeight="1" x14ac:dyDescent="0.15">
      <c r="A508" s="13"/>
      <c r="B508" s="14"/>
    </row>
    <row r="509" spans="1:2" ht="12.75" customHeight="1" x14ac:dyDescent="0.15">
      <c r="A509" s="13"/>
      <c r="B509" s="14"/>
    </row>
    <row r="510" spans="1:2" ht="12.75" customHeight="1" x14ac:dyDescent="0.15">
      <c r="A510" s="13"/>
      <c r="B510" s="14"/>
    </row>
    <row r="511" spans="1:2" ht="12.75" customHeight="1" x14ac:dyDescent="0.15">
      <c r="A511" s="13"/>
      <c r="B511" s="14"/>
    </row>
    <row r="512" spans="1:2" ht="12.75" customHeight="1" x14ac:dyDescent="0.15">
      <c r="A512" s="13"/>
      <c r="B512" s="14"/>
    </row>
    <row r="513" spans="1:2" ht="12.75" customHeight="1" x14ac:dyDescent="0.15">
      <c r="A513" s="13"/>
      <c r="B513" s="14"/>
    </row>
    <row r="514" spans="1:2" ht="12.75" customHeight="1" x14ac:dyDescent="0.15">
      <c r="A514" s="13"/>
      <c r="B514" s="14"/>
    </row>
    <row r="515" spans="1:2" ht="12.75" customHeight="1" x14ac:dyDescent="0.15">
      <c r="A515" s="13"/>
      <c r="B515" s="14"/>
    </row>
    <row r="516" spans="1:2" ht="12.75" customHeight="1" x14ac:dyDescent="0.15">
      <c r="A516" s="13"/>
      <c r="B516" s="14"/>
    </row>
    <row r="517" spans="1:2" ht="12.75" customHeight="1" x14ac:dyDescent="0.15">
      <c r="A517" s="13"/>
      <c r="B517" s="14"/>
    </row>
    <row r="518" spans="1:2" ht="12.75" customHeight="1" x14ac:dyDescent="0.15">
      <c r="A518" s="13"/>
      <c r="B518" s="14"/>
    </row>
    <row r="519" spans="1:2" ht="12.75" customHeight="1" x14ac:dyDescent="0.15">
      <c r="A519" s="13"/>
      <c r="B519" s="14"/>
    </row>
    <row r="520" spans="1:2" ht="12.75" customHeight="1" x14ac:dyDescent="0.15">
      <c r="A520" s="13"/>
      <c r="B520" s="14"/>
    </row>
    <row r="521" spans="1:2" ht="12.75" customHeight="1" x14ac:dyDescent="0.15">
      <c r="A521" s="13"/>
      <c r="B521" s="14"/>
    </row>
    <row r="522" spans="1:2" ht="12.75" customHeight="1" x14ac:dyDescent="0.15">
      <c r="A522" s="13"/>
      <c r="B522" s="14"/>
    </row>
    <row r="523" spans="1:2" ht="12.75" customHeight="1" x14ac:dyDescent="0.15">
      <c r="A523" s="13"/>
      <c r="B523" s="14"/>
    </row>
    <row r="524" spans="1:2" ht="12.75" customHeight="1" x14ac:dyDescent="0.15">
      <c r="A524" s="13"/>
      <c r="B524" s="14"/>
    </row>
    <row r="525" spans="1:2" ht="12.75" customHeight="1" x14ac:dyDescent="0.15">
      <c r="A525" s="13"/>
      <c r="B525" s="14"/>
    </row>
    <row r="526" spans="1:2" ht="12.75" customHeight="1" x14ac:dyDescent="0.15">
      <c r="A526" s="13"/>
      <c r="B526" s="14"/>
    </row>
    <row r="527" spans="1:2" ht="12.75" customHeight="1" x14ac:dyDescent="0.15">
      <c r="A527" s="13"/>
      <c r="B527" s="14"/>
    </row>
    <row r="528" spans="1:2" ht="12.75" customHeight="1" x14ac:dyDescent="0.15">
      <c r="A528" s="13"/>
      <c r="B528" s="14"/>
    </row>
    <row r="529" spans="1:2" ht="12.75" customHeight="1" x14ac:dyDescent="0.15">
      <c r="A529" s="13"/>
      <c r="B529" s="14"/>
    </row>
    <row r="530" spans="1:2" ht="12.75" customHeight="1" x14ac:dyDescent="0.15">
      <c r="A530" s="13"/>
      <c r="B530" s="14"/>
    </row>
    <row r="531" spans="1:2" ht="12.75" customHeight="1" x14ac:dyDescent="0.15">
      <c r="A531" s="13"/>
      <c r="B531" s="14"/>
    </row>
    <row r="532" spans="1:2" ht="12.75" customHeight="1" x14ac:dyDescent="0.15">
      <c r="A532" s="13"/>
      <c r="B532" s="14"/>
    </row>
    <row r="533" spans="1:2" ht="12.75" customHeight="1" x14ac:dyDescent="0.15">
      <c r="A533" s="13"/>
      <c r="B533" s="14"/>
    </row>
    <row r="534" spans="1:2" ht="12.75" customHeight="1" x14ac:dyDescent="0.15">
      <c r="A534" s="13"/>
      <c r="B534" s="14"/>
    </row>
    <row r="535" spans="1:2" ht="12.75" customHeight="1" x14ac:dyDescent="0.15">
      <c r="A535" s="13"/>
      <c r="B535" s="14"/>
    </row>
    <row r="536" spans="1:2" ht="12.75" customHeight="1" x14ac:dyDescent="0.15">
      <c r="A536" s="13"/>
      <c r="B536" s="14"/>
    </row>
    <row r="537" spans="1:2" ht="12.75" customHeight="1" x14ac:dyDescent="0.15">
      <c r="A537" s="13"/>
      <c r="B537" s="14"/>
    </row>
    <row r="538" spans="1:2" ht="12.75" customHeight="1" x14ac:dyDescent="0.15">
      <c r="A538" s="13"/>
      <c r="B538" s="14"/>
    </row>
    <row r="539" spans="1:2" ht="12.75" customHeight="1" x14ac:dyDescent="0.15">
      <c r="A539" s="13"/>
      <c r="B539" s="14"/>
    </row>
    <row r="540" spans="1:2" ht="12.75" customHeight="1" x14ac:dyDescent="0.15">
      <c r="A540" s="13"/>
      <c r="B540" s="14"/>
    </row>
    <row r="541" spans="1:2" ht="12.75" customHeight="1" x14ac:dyDescent="0.15">
      <c r="A541" s="13"/>
      <c r="B541" s="14"/>
    </row>
    <row r="542" spans="1:2" ht="12.75" customHeight="1" x14ac:dyDescent="0.15">
      <c r="A542" s="13"/>
      <c r="B542" s="14"/>
    </row>
    <row r="543" spans="1:2" ht="12.75" customHeight="1" x14ac:dyDescent="0.15">
      <c r="A543" s="13"/>
      <c r="B543" s="14"/>
    </row>
    <row r="544" spans="1:2" ht="12.75" customHeight="1" x14ac:dyDescent="0.15">
      <c r="A544" s="13"/>
      <c r="B544" s="14"/>
    </row>
    <row r="545" spans="1:2" ht="12.75" customHeight="1" x14ac:dyDescent="0.15">
      <c r="A545" s="13"/>
      <c r="B545" s="14"/>
    </row>
    <row r="546" spans="1:2" ht="12.75" customHeight="1" x14ac:dyDescent="0.15">
      <c r="A546" s="13"/>
      <c r="B546" s="14"/>
    </row>
    <row r="547" spans="1:2" ht="12.75" customHeight="1" x14ac:dyDescent="0.15">
      <c r="A547" s="13"/>
      <c r="B547" s="14"/>
    </row>
    <row r="548" spans="1:2" ht="12.75" customHeight="1" x14ac:dyDescent="0.15">
      <c r="A548" s="13"/>
      <c r="B548" s="14"/>
    </row>
    <row r="549" spans="1:2" ht="12.75" customHeight="1" x14ac:dyDescent="0.15">
      <c r="A549" s="13"/>
      <c r="B549" s="14"/>
    </row>
    <row r="550" spans="1:2" ht="12.75" customHeight="1" x14ac:dyDescent="0.15">
      <c r="A550" s="13"/>
      <c r="B550" s="14"/>
    </row>
    <row r="551" spans="1:2" ht="12.75" customHeight="1" x14ac:dyDescent="0.15">
      <c r="A551" s="13"/>
      <c r="B551" s="14"/>
    </row>
    <row r="552" spans="1:2" ht="12.75" customHeight="1" x14ac:dyDescent="0.15">
      <c r="A552" s="13"/>
      <c r="B552" s="14"/>
    </row>
    <row r="553" spans="1:2" ht="12.75" customHeight="1" x14ac:dyDescent="0.15">
      <c r="A553" s="13"/>
      <c r="B553" s="14"/>
    </row>
    <row r="554" spans="1:2" ht="12.75" customHeight="1" x14ac:dyDescent="0.15">
      <c r="A554" s="13"/>
      <c r="B554" s="14"/>
    </row>
    <row r="555" spans="1:2" ht="12.75" customHeight="1" x14ac:dyDescent="0.15">
      <c r="A555" s="13"/>
      <c r="B555" s="14"/>
    </row>
    <row r="556" spans="1:2" ht="12.75" customHeight="1" x14ac:dyDescent="0.15">
      <c r="A556" s="13"/>
      <c r="B556" s="14"/>
    </row>
    <row r="557" spans="1:2" ht="12.75" customHeight="1" x14ac:dyDescent="0.15">
      <c r="A557" s="13"/>
      <c r="B557" s="14"/>
    </row>
    <row r="558" spans="1:2" ht="12.75" customHeight="1" x14ac:dyDescent="0.15">
      <c r="A558" s="13"/>
      <c r="B558" s="14"/>
    </row>
    <row r="559" spans="1:2" ht="12.75" customHeight="1" x14ac:dyDescent="0.15">
      <c r="A559" s="13"/>
      <c r="B559" s="14"/>
    </row>
    <row r="560" spans="1:2" ht="12.75" customHeight="1" x14ac:dyDescent="0.15">
      <c r="A560" s="13"/>
      <c r="B560" s="14"/>
    </row>
    <row r="561" spans="1:2" ht="12.75" customHeight="1" x14ac:dyDescent="0.15">
      <c r="A561" s="13"/>
      <c r="B561" s="14"/>
    </row>
    <row r="562" spans="1:2" ht="12.75" customHeight="1" x14ac:dyDescent="0.15">
      <c r="A562" s="13"/>
      <c r="B562" s="14"/>
    </row>
    <row r="563" spans="1:2" ht="12.75" customHeight="1" x14ac:dyDescent="0.15">
      <c r="A563" s="13"/>
      <c r="B563" s="14"/>
    </row>
    <row r="564" spans="1:2" ht="12.75" customHeight="1" x14ac:dyDescent="0.15">
      <c r="A564" s="13"/>
      <c r="B564" s="14"/>
    </row>
    <row r="565" spans="1:2" ht="12.75" customHeight="1" x14ac:dyDescent="0.15">
      <c r="A565" s="13"/>
      <c r="B565" s="14"/>
    </row>
    <row r="566" spans="1:2" ht="12.75" customHeight="1" x14ac:dyDescent="0.15">
      <c r="A566" s="13"/>
      <c r="B566" s="14"/>
    </row>
    <row r="567" spans="1:2" ht="12.75" customHeight="1" x14ac:dyDescent="0.15">
      <c r="A567" s="13"/>
      <c r="B567" s="14"/>
    </row>
    <row r="568" spans="1:2" ht="12.75" customHeight="1" x14ac:dyDescent="0.15">
      <c r="A568" s="13"/>
      <c r="B568" s="14"/>
    </row>
    <row r="569" spans="1:2" ht="12.75" customHeight="1" x14ac:dyDescent="0.15">
      <c r="A569" s="13"/>
      <c r="B569" s="14"/>
    </row>
    <row r="570" spans="1:2" ht="12.75" customHeight="1" x14ac:dyDescent="0.15">
      <c r="A570" s="13"/>
      <c r="B570" s="14"/>
    </row>
    <row r="571" spans="1:2" ht="12.75" customHeight="1" x14ac:dyDescent="0.15">
      <c r="A571" s="13"/>
      <c r="B571" s="14"/>
    </row>
    <row r="572" spans="1:2" ht="12.75" customHeight="1" x14ac:dyDescent="0.15">
      <c r="A572" s="13"/>
      <c r="B572" s="14"/>
    </row>
    <row r="573" spans="1:2" ht="12.75" customHeight="1" x14ac:dyDescent="0.15">
      <c r="A573" s="13"/>
      <c r="B573" s="14"/>
    </row>
    <row r="574" spans="1:2" ht="12.75" customHeight="1" x14ac:dyDescent="0.15">
      <c r="A574" s="13"/>
      <c r="B574" s="14"/>
    </row>
    <row r="575" spans="1:2" ht="12.75" customHeight="1" x14ac:dyDescent="0.15">
      <c r="A575" s="13"/>
      <c r="B575" s="14"/>
    </row>
    <row r="576" spans="1:2" ht="12.75" customHeight="1" x14ac:dyDescent="0.15">
      <c r="A576" s="13"/>
      <c r="B576" s="14"/>
    </row>
    <row r="577" spans="1:2" ht="12.75" customHeight="1" x14ac:dyDescent="0.15">
      <c r="A577" s="13"/>
      <c r="B577" s="14"/>
    </row>
    <row r="578" spans="1:2" ht="12.75" customHeight="1" x14ac:dyDescent="0.15">
      <c r="A578" s="13"/>
      <c r="B578" s="14"/>
    </row>
    <row r="579" spans="1:2" ht="12.75" customHeight="1" x14ac:dyDescent="0.15">
      <c r="A579" s="13"/>
      <c r="B579" s="14"/>
    </row>
    <row r="580" spans="1:2" ht="12.75" customHeight="1" x14ac:dyDescent="0.15">
      <c r="A580" s="13"/>
      <c r="B580" s="14"/>
    </row>
    <row r="581" spans="1:2" ht="12.75" customHeight="1" x14ac:dyDescent="0.15">
      <c r="A581" s="13"/>
      <c r="B581" s="14"/>
    </row>
    <row r="582" spans="1:2" ht="12.75" customHeight="1" x14ac:dyDescent="0.15">
      <c r="A582" s="13"/>
      <c r="B582" s="14"/>
    </row>
    <row r="583" spans="1:2" ht="12.75" customHeight="1" x14ac:dyDescent="0.15">
      <c r="A583" s="13"/>
      <c r="B583" s="14"/>
    </row>
    <row r="584" spans="1:2" ht="12.75" customHeight="1" x14ac:dyDescent="0.15">
      <c r="A584" s="13"/>
      <c r="B584" s="14"/>
    </row>
    <row r="585" spans="1:2" ht="12.75" customHeight="1" x14ac:dyDescent="0.15">
      <c r="A585" s="13"/>
      <c r="B585" s="14"/>
    </row>
    <row r="586" spans="1:2" ht="12.75" customHeight="1" x14ac:dyDescent="0.15">
      <c r="A586" s="13"/>
      <c r="B586" s="14"/>
    </row>
    <row r="587" spans="1:2" ht="12.75" customHeight="1" x14ac:dyDescent="0.15">
      <c r="A587" s="13"/>
      <c r="B587" s="14"/>
    </row>
    <row r="588" spans="1:2" ht="12.75" customHeight="1" x14ac:dyDescent="0.15">
      <c r="A588" s="13"/>
      <c r="B588" s="14"/>
    </row>
    <row r="589" spans="1:2" ht="12.75" customHeight="1" x14ac:dyDescent="0.15">
      <c r="A589" s="13"/>
      <c r="B589" s="14"/>
    </row>
    <row r="590" spans="1:2" ht="12.75" customHeight="1" x14ac:dyDescent="0.15">
      <c r="A590" s="13"/>
      <c r="B590" s="14"/>
    </row>
    <row r="591" spans="1:2" ht="12.75" customHeight="1" x14ac:dyDescent="0.15">
      <c r="A591" s="13"/>
      <c r="B591" s="14"/>
    </row>
    <row r="592" spans="1:2" ht="12.75" customHeight="1" x14ac:dyDescent="0.15">
      <c r="A592" s="13"/>
      <c r="B592" s="14"/>
    </row>
    <row r="593" spans="1:2" ht="12.75" customHeight="1" x14ac:dyDescent="0.15">
      <c r="A593" s="13"/>
      <c r="B593" s="14"/>
    </row>
    <row r="594" spans="1:2" ht="12.75" customHeight="1" x14ac:dyDescent="0.15">
      <c r="A594" s="13"/>
      <c r="B594" s="14"/>
    </row>
    <row r="595" spans="1:2" ht="12.75" customHeight="1" x14ac:dyDescent="0.15">
      <c r="A595" s="13"/>
      <c r="B595" s="14"/>
    </row>
    <row r="596" spans="1:2" ht="12.75" customHeight="1" x14ac:dyDescent="0.15">
      <c r="A596" s="13"/>
      <c r="B596" s="14"/>
    </row>
    <row r="597" spans="1:2" ht="12.75" customHeight="1" x14ac:dyDescent="0.15">
      <c r="A597" s="13"/>
      <c r="B597" s="14"/>
    </row>
    <row r="598" spans="1:2" ht="12.75" customHeight="1" x14ac:dyDescent="0.15">
      <c r="A598" s="13"/>
      <c r="B598" s="14"/>
    </row>
    <row r="599" spans="1:2" ht="12.75" customHeight="1" x14ac:dyDescent="0.15">
      <c r="A599" s="13"/>
      <c r="B599" s="14"/>
    </row>
    <row r="600" spans="1:2" ht="12.75" customHeight="1" x14ac:dyDescent="0.15">
      <c r="A600" s="13"/>
      <c r="B600" s="14"/>
    </row>
    <row r="601" spans="1:2" ht="12.75" customHeight="1" x14ac:dyDescent="0.15">
      <c r="A601" s="13"/>
      <c r="B601" s="14"/>
    </row>
    <row r="602" spans="1:2" ht="12.75" customHeight="1" x14ac:dyDescent="0.15">
      <c r="A602" s="13"/>
      <c r="B602" s="14"/>
    </row>
    <row r="603" spans="1:2" ht="12.75" customHeight="1" x14ac:dyDescent="0.15">
      <c r="A603" s="13"/>
      <c r="B603" s="14"/>
    </row>
    <row r="604" spans="1:2" ht="12.75" customHeight="1" x14ac:dyDescent="0.15">
      <c r="A604" s="13"/>
      <c r="B604" s="14"/>
    </row>
    <row r="605" spans="1:2" ht="12.75" customHeight="1" x14ac:dyDescent="0.15">
      <c r="A605" s="13"/>
      <c r="B605" s="14"/>
    </row>
    <row r="606" spans="1:2" ht="12.75" customHeight="1" x14ac:dyDescent="0.15">
      <c r="A606" s="13"/>
      <c r="B606" s="14"/>
    </row>
    <row r="607" spans="1:2" ht="12.75" customHeight="1" x14ac:dyDescent="0.15">
      <c r="A607" s="13"/>
      <c r="B607" s="14"/>
    </row>
    <row r="608" spans="1:2" ht="12.75" customHeight="1" x14ac:dyDescent="0.15">
      <c r="A608" s="13"/>
      <c r="B608" s="14"/>
    </row>
    <row r="609" spans="1:2" ht="12.75" customHeight="1" x14ac:dyDescent="0.15">
      <c r="A609" s="13"/>
      <c r="B609" s="14"/>
    </row>
    <row r="610" spans="1:2" ht="12.75" customHeight="1" x14ac:dyDescent="0.15">
      <c r="A610" s="13"/>
      <c r="B610" s="14"/>
    </row>
    <row r="611" spans="1:2" ht="12.75" customHeight="1" x14ac:dyDescent="0.15">
      <c r="A611" s="13"/>
      <c r="B611" s="14"/>
    </row>
    <row r="612" spans="1:2" ht="12.75" customHeight="1" x14ac:dyDescent="0.15">
      <c r="A612" s="13"/>
      <c r="B612" s="14"/>
    </row>
    <row r="613" spans="1:2" ht="12.75" customHeight="1" x14ac:dyDescent="0.15">
      <c r="A613" s="13"/>
      <c r="B613" s="14"/>
    </row>
    <row r="614" spans="1:2" ht="12.75" customHeight="1" x14ac:dyDescent="0.15">
      <c r="A614" s="13"/>
      <c r="B614" s="14"/>
    </row>
    <row r="615" spans="1:2" ht="12.75" customHeight="1" x14ac:dyDescent="0.15">
      <c r="A615" s="13"/>
      <c r="B615" s="14"/>
    </row>
    <row r="616" spans="1:2" ht="12.75" customHeight="1" x14ac:dyDescent="0.15">
      <c r="A616" s="13"/>
      <c r="B616" s="14"/>
    </row>
    <row r="617" spans="1:2" ht="12.75" customHeight="1" x14ac:dyDescent="0.15">
      <c r="A617" s="13"/>
      <c r="B617" s="14"/>
    </row>
    <row r="618" spans="1:2" ht="12.75" customHeight="1" x14ac:dyDescent="0.15">
      <c r="A618" s="13"/>
      <c r="B618" s="14"/>
    </row>
    <row r="619" spans="1:2" ht="12.75" customHeight="1" x14ac:dyDescent="0.15">
      <c r="A619" s="13"/>
      <c r="B619" s="14"/>
    </row>
    <row r="620" spans="1:2" ht="12.75" customHeight="1" x14ac:dyDescent="0.15">
      <c r="A620" s="13"/>
      <c r="B620" s="14"/>
    </row>
    <row r="621" spans="1:2" ht="12.75" customHeight="1" x14ac:dyDescent="0.15">
      <c r="A621" s="13"/>
      <c r="B621" s="14"/>
    </row>
    <row r="622" spans="1:2" ht="12.75" customHeight="1" x14ac:dyDescent="0.15">
      <c r="A622" s="13"/>
      <c r="B622" s="14"/>
    </row>
    <row r="623" spans="1:2" ht="12.75" customHeight="1" x14ac:dyDescent="0.15">
      <c r="A623" s="13"/>
      <c r="B623" s="14"/>
    </row>
    <row r="624" spans="1:2" ht="12.75" customHeight="1" x14ac:dyDescent="0.15">
      <c r="A624" s="13"/>
      <c r="B624" s="14"/>
    </row>
    <row r="625" spans="1:2" ht="12.75" customHeight="1" x14ac:dyDescent="0.15">
      <c r="A625" s="13"/>
      <c r="B625" s="14"/>
    </row>
    <row r="626" spans="1:2" ht="12.75" customHeight="1" x14ac:dyDescent="0.15">
      <c r="A626" s="13"/>
      <c r="B626" s="14"/>
    </row>
    <row r="627" spans="1:2" ht="12.75" customHeight="1" x14ac:dyDescent="0.15">
      <c r="A627" s="13"/>
      <c r="B627" s="14"/>
    </row>
    <row r="628" spans="1:2" ht="12.75" customHeight="1" x14ac:dyDescent="0.15">
      <c r="A628" s="13"/>
      <c r="B628" s="14"/>
    </row>
    <row r="629" spans="1:2" ht="12.75" customHeight="1" x14ac:dyDescent="0.15">
      <c r="A629" s="13"/>
      <c r="B629" s="14"/>
    </row>
    <row r="630" spans="1:2" ht="12.75" customHeight="1" x14ac:dyDescent="0.15">
      <c r="A630" s="13"/>
      <c r="B630" s="14"/>
    </row>
    <row r="631" spans="1:2" ht="12.75" customHeight="1" x14ac:dyDescent="0.15">
      <c r="A631" s="13"/>
      <c r="B631" s="14"/>
    </row>
    <row r="632" spans="1:2" ht="12.75" customHeight="1" x14ac:dyDescent="0.15">
      <c r="A632" s="13"/>
      <c r="B632" s="14"/>
    </row>
    <row r="633" spans="1:2" ht="12.75" customHeight="1" x14ac:dyDescent="0.15">
      <c r="A633" s="13"/>
      <c r="B633" s="14"/>
    </row>
    <row r="634" spans="1:2" ht="12.75" customHeight="1" x14ac:dyDescent="0.15">
      <c r="A634" s="13"/>
      <c r="B634" s="14"/>
    </row>
    <row r="635" spans="1:2" ht="12.75" customHeight="1" x14ac:dyDescent="0.15">
      <c r="A635" s="13"/>
      <c r="B635" s="14"/>
    </row>
    <row r="636" spans="1:2" ht="12.75" customHeight="1" x14ac:dyDescent="0.15">
      <c r="A636" s="13"/>
      <c r="B636" s="14"/>
    </row>
    <row r="637" spans="1:2" ht="12.75" customHeight="1" x14ac:dyDescent="0.15">
      <c r="A637" s="13"/>
      <c r="B637" s="14"/>
    </row>
    <row r="638" spans="1:2" ht="12.75" customHeight="1" x14ac:dyDescent="0.15">
      <c r="A638" s="13"/>
      <c r="B638" s="14"/>
    </row>
    <row r="639" spans="1:2" ht="12.75" customHeight="1" x14ac:dyDescent="0.15">
      <c r="A639" s="13"/>
      <c r="B639" s="14"/>
    </row>
    <row r="640" spans="1:2" ht="12.75" customHeight="1" x14ac:dyDescent="0.15">
      <c r="A640" s="13"/>
      <c r="B640" s="14"/>
    </row>
    <row r="641" spans="1:2" ht="12.75" customHeight="1" x14ac:dyDescent="0.15">
      <c r="A641" s="13"/>
      <c r="B641" s="14"/>
    </row>
    <row r="642" spans="1:2" ht="12.75" customHeight="1" x14ac:dyDescent="0.15">
      <c r="A642" s="13"/>
      <c r="B642" s="14"/>
    </row>
    <row r="643" spans="1:2" ht="12.75" customHeight="1" x14ac:dyDescent="0.15">
      <c r="A643" s="13"/>
      <c r="B643" s="14"/>
    </row>
    <row r="644" spans="1:2" ht="12.75" customHeight="1" x14ac:dyDescent="0.15">
      <c r="A644" s="13"/>
      <c r="B644" s="14"/>
    </row>
    <row r="645" spans="1:2" ht="12.75" customHeight="1" x14ac:dyDescent="0.15">
      <c r="A645" s="13"/>
      <c r="B645" s="14"/>
    </row>
    <row r="646" spans="1:2" ht="12.75" customHeight="1" x14ac:dyDescent="0.15">
      <c r="A646" s="13"/>
      <c r="B646" s="14"/>
    </row>
    <row r="647" spans="1:2" ht="12.75" customHeight="1" x14ac:dyDescent="0.15">
      <c r="A647" s="13"/>
      <c r="B647" s="14"/>
    </row>
    <row r="648" spans="1:2" ht="12.75" customHeight="1" x14ac:dyDescent="0.15">
      <c r="A648" s="13"/>
      <c r="B648" s="14"/>
    </row>
    <row r="649" spans="1:2" ht="12.75" customHeight="1" x14ac:dyDescent="0.15">
      <c r="A649" s="13"/>
      <c r="B649" s="14"/>
    </row>
    <row r="650" spans="1:2" ht="12.75" customHeight="1" x14ac:dyDescent="0.15">
      <c r="A650" s="13"/>
      <c r="B650" s="14"/>
    </row>
    <row r="651" spans="1:2" ht="12.75" customHeight="1" x14ac:dyDescent="0.15">
      <c r="A651" s="13"/>
      <c r="B651" s="14"/>
    </row>
    <row r="652" spans="1:2" ht="12.75" customHeight="1" x14ac:dyDescent="0.15">
      <c r="A652" s="13"/>
      <c r="B652" s="14"/>
    </row>
    <row r="653" spans="1:2" ht="12.75" customHeight="1" x14ac:dyDescent="0.15">
      <c r="A653" s="13"/>
      <c r="B653" s="14"/>
    </row>
    <row r="654" spans="1:2" ht="12.75" customHeight="1" x14ac:dyDescent="0.15">
      <c r="A654" s="13"/>
      <c r="B654" s="14"/>
    </row>
    <row r="655" spans="1:2" ht="12.75" customHeight="1" x14ac:dyDescent="0.15">
      <c r="A655" s="13"/>
      <c r="B655" s="14"/>
    </row>
    <row r="656" spans="1:2" ht="12.75" customHeight="1" x14ac:dyDescent="0.15">
      <c r="A656" s="13"/>
      <c r="B656" s="14"/>
    </row>
    <row r="657" spans="1:2" ht="12.75" customHeight="1" x14ac:dyDescent="0.15">
      <c r="A657" s="13"/>
      <c r="B657" s="14"/>
    </row>
    <row r="658" spans="1:2" ht="12.75" customHeight="1" x14ac:dyDescent="0.15">
      <c r="A658" s="13"/>
      <c r="B658" s="14"/>
    </row>
    <row r="659" spans="1:2" ht="12.75" customHeight="1" x14ac:dyDescent="0.15">
      <c r="A659" s="13"/>
      <c r="B659" s="14"/>
    </row>
    <row r="660" spans="1:2" ht="12.75" customHeight="1" x14ac:dyDescent="0.15">
      <c r="A660" s="13"/>
      <c r="B660" s="14"/>
    </row>
    <row r="661" spans="1:2" ht="12.75" customHeight="1" x14ac:dyDescent="0.15">
      <c r="A661" s="13"/>
      <c r="B661" s="14"/>
    </row>
    <row r="662" spans="1:2" ht="12.75" customHeight="1" x14ac:dyDescent="0.15">
      <c r="A662" s="13"/>
      <c r="B662" s="14"/>
    </row>
    <row r="663" spans="1:2" ht="12.75" customHeight="1" x14ac:dyDescent="0.15">
      <c r="A663" s="13"/>
      <c r="B663" s="14"/>
    </row>
    <row r="664" spans="1:2" ht="12.75" customHeight="1" x14ac:dyDescent="0.15">
      <c r="A664" s="13"/>
      <c r="B664" s="14"/>
    </row>
    <row r="665" spans="1:2" ht="12.75" customHeight="1" x14ac:dyDescent="0.15">
      <c r="A665" s="13"/>
      <c r="B665" s="14"/>
    </row>
    <row r="666" spans="1:2" ht="12.75" customHeight="1" x14ac:dyDescent="0.15">
      <c r="A666" s="13"/>
      <c r="B666" s="14"/>
    </row>
    <row r="667" spans="1:2" ht="12.75" customHeight="1" x14ac:dyDescent="0.15">
      <c r="A667" s="13"/>
      <c r="B667" s="14"/>
    </row>
    <row r="668" spans="1:2" ht="12.75" customHeight="1" x14ac:dyDescent="0.15">
      <c r="A668" s="13"/>
      <c r="B668" s="14"/>
    </row>
    <row r="669" spans="1:2" ht="12.75" customHeight="1" x14ac:dyDescent="0.15">
      <c r="A669" s="13"/>
      <c r="B669" s="14"/>
    </row>
    <row r="670" spans="1:2" ht="12.75" customHeight="1" x14ac:dyDescent="0.15">
      <c r="A670" s="13"/>
      <c r="B670" s="14"/>
    </row>
    <row r="671" spans="1:2" ht="12.75" customHeight="1" x14ac:dyDescent="0.15">
      <c r="A671" s="13"/>
      <c r="B671" s="14"/>
    </row>
    <row r="672" spans="1:2" ht="12.75" customHeight="1" x14ac:dyDescent="0.15">
      <c r="A672" s="13"/>
      <c r="B672" s="14"/>
    </row>
    <row r="673" spans="1:2" ht="12.75" customHeight="1" x14ac:dyDescent="0.15">
      <c r="A673" s="13"/>
      <c r="B673" s="14"/>
    </row>
    <row r="674" spans="1:2" ht="12.75" customHeight="1" x14ac:dyDescent="0.15">
      <c r="A674" s="13"/>
      <c r="B674" s="14"/>
    </row>
    <row r="675" spans="1:2" ht="12.75" customHeight="1" x14ac:dyDescent="0.15">
      <c r="A675" s="13"/>
      <c r="B675" s="14"/>
    </row>
    <row r="676" spans="1:2" ht="12.75" customHeight="1" x14ac:dyDescent="0.15">
      <c r="A676" s="13"/>
      <c r="B676" s="14"/>
    </row>
    <row r="677" spans="1:2" ht="12.75" customHeight="1" x14ac:dyDescent="0.15">
      <c r="A677" s="13"/>
      <c r="B677" s="14"/>
    </row>
    <row r="678" spans="1:2" ht="12.75" customHeight="1" x14ac:dyDescent="0.15">
      <c r="A678" s="13"/>
      <c r="B678" s="14"/>
    </row>
    <row r="679" spans="1:2" ht="12.75" customHeight="1" x14ac:dyDescent="0.15">
      <c r="A679" s="13"/>
      <c r="B679" s="14"/>
    </row>
    <row r="680" spans="1:2" ht="12.75" customHeight="1" x14ac:dyDescent="0.15">
      <c r="A680" s="13"/>
      <c r="B680" s="14"/>
    </row>
    <row r="681" spans="1:2" ht="12.75" customHeight="1" x14ac:dyDescent="0.15">
      <c r="A681" s="13"/>
      <c r="B681" s="14"/>
    </row>
    <row r="682" spans="1:2" ht="12.75" customHeight="1" x14ac:dyDescent="0.15">
      <c r="A682" s="13"/>
      <c r="B682" s="14"/>
    </row>
    <row r="683" spans="1:2" ht="12.75" customHeight="1" x14ac:dyDescent="0.15">
      <c r="A683" s="13"/>
      <c r="B683" s="14"/>
    </row>
    <row r="684" spans="1:2" ht="12.75" customHeight="1" x14ac:dyDescent="0.15">
      <c r="A684" s="13"/>
      <c r="B684" s="14"/>
    </row>
    <row r="685" spans="1:2" ht="12.75" customHeight="1" x14ac:dyDescent="0.15">
      <c r="A685" s="13"/>
      <c r="B685" s="14"/>
    </row>
    <row r="686" spans="1:2" ht="12.75" customHeight="1" x14ac:dyDescent="0.15">
      <c r="A686" s="13"/>
      <c r="B686" s="14"/>
    </row>
    <row r="687" spans="1:2" ht="12.75" customHeight="1" x14ac:dyDescent="0.15">
      <c r="A687" s="13"/>
      <c r="B687" s="14"/>
    </row>
    <row r="688" spans="1:2" ht="12.75" customHeight="1" x14ac:dyDescent="0.15">
      <c r="A688" s="13"/>
      <c r="B688" s="14"/>
    </row>
    <row r="689" spans="1:2" ht="12.75" customHeight="1" x14ac:dyDescent="0.15">
      <c r="A689" s="13"/>
      <c r="B689" s="14"/>
    </row>
    <row r="690" spans="1:2" ht="12.75" customHeight="1" x14ac:dyDescent="0.15">
      <c r="A690" s="13"/>
      <c r="B690" s="14"/>
    </row>
    <row r="691" spans="1:2" ht="12.75" customHeight="1" x14ac:dyDescent="0.15">
      <c r="A691" s="13"/>
      <c r="B691" s="14"/>
    </row>
    <row r="692" spans="1:2" ht="12.75" customHeight="1" x14ac:dyDescent="0.15">
      <c r="A692" s="13"/>
      <c r="B692" s="14"/>
    </row>
    <row r="693" spans="1:2" ht="12.75" customHeight="1" x14ac:dyDescent="0.15">
      <c r="A693" s="13"/>
      <c r="B693" s="14"/>
    </row>
    <row r="694" spans="1:2" ht="12.75" customHeight="1" x14ac:dyDescent="0.15">
      <c r="A694" s="13"/>
      <c r="B694" s="14"/>
    </row>
    <row r="695" spans="1:2" ht="12.75" customHeight="1" x14ac:dyDescent="0.15">
      <c r="A695" s="13"/>
      <c r="B695" s="14"/>
    </row>
    <row r="696" spans="1:2" ht="12.75" customHeight="1" x14ac:dyDescent="0.15">
      <c r="A696" s="13"/>
      <c r="B696" s="14"/>
    </row>
    <row r="697" spans="1:2" ht="12.75" customHeight="1" x14ac:dyDescent="0.15">
      <c r="A697" s="13"/>
      <c r="B697" s="14"/>
    </row>
    <row r="698" spans="1:2" ht="12.75" customHeight="1" x14ac:dyDescent="0.15">
      <c r="A698" s="13"/>
      <c r="B698" s="14"/>
    </row>
    <row r="699" spans="1:2" ht="12.75" customHeight="1" x14ac:dyDescent="0.15">
      <c r="A699" s="13"/>
      <c r="B699" s="14"/>
    </row>
    <row r="700" spans="1:2" ht="12.75" customHeight="1" x14ac:dyDescent="0.15">
      <c r="A700" s="13"/>
      <c r="B700" s="14"/>
    </row>
    <row r="701" spans="1:2" ht="12.75" customHeight="1" x14ac:dyDescent="0.15">
      <c r="A701" s="13"/>
      <c r="B701" s="14"/>
    </row>
    <row r="702" spans="1:2" ht="12.75" customHeight="1" x14ac:dyDescent="0.15">
      <c r="A702" s="13"/>
      <c r="B702" s="14"/>
    </row>
    <row r="703" spans="1:2" ht="12.75" customHeight="1" x14ac:dyDescent="0.15">
      <c r="A703" s="13"/>
      <c r="B703" s="14"/>
    </row>
    <row r="704" spans="1:2" ht="12.75" customHeight="1" x14ac:dyDescent="0.15">
      <c r="A704" s="13"/>
      <c r="B704" s="14"/>
    </row>
    <row r="705" spans="1:2" ht="12.75" customHeight="1" x14ac:dyDescent="0.15">
      <c r="A705" s="13"/>
      <c r="B705" s="14"/>
    </row>
    <row r="706" spans="1:2" ht="12.75" customHeight="1" x14ac:dyDescent="0.15">
      <c r="A706" s="13"/>
      <c r="B706" s="14"/>
    </row>
    <row r="707" spans="1:2" ht="12.75" customHeight="1" x14ac:dyDescent="0.15">
      <c r="A707" s="13"/>
      <c r="B707" s="14"/>
    </row>
    <row r="708" spans="1:2" ht="12.75" customHeight="1" x14ac:dyDescent="0.15">
      <c r="A708" s="13"/>
      <c r="B708" s="14"/>
    </row>
    <row r="709" spans="1:2" ht="12.75" customHeight="1" x14ac:dyDescent="0.15">
      <c r="A709" s="13"/>
      <c r="B709" s="14"/>
    </row>
    <row r="710" spans="1:2" ht="12.75" customHeight="1" x14ac:dyDescent="0.15">
      <c r="A710" s="13"/>
      <c r="B710" s="14"/>
    </row>
    <row r="711" spans="1:2" ht="12.75" customHeight="1" x14ac:dyDescent="0.15">
      <c r="A711" s="13"/>
      <c r="B711" s="14"/>
    </row>
    <row r="712" spans="1:2" ht="12.75" customHeight="1" x14ac:dyDescent="0.15">
      <c r="A712" s="13"/>
      <c r="B712" s="14"/>
    </row>
    <row r="713" spans="1:2" ht="12.75" customHeight="1" x14ac:dyDescent="0.15">
      <c r="A713" s="13"/>
      <c r="B713" s="14"/>
    </row>
    <row r="714" spans="1:2" ht="12.75" customHeight="1" x14ac:dyDescent="0.15">
      <c r="A714" s="13"/>
      <c r="B714" s="14"/>
    </row>
    <row r="715" spans="1:2" ht="12.75" customHeight="1" x14ac:dyDescent="0.15">
      <c r="A715" s="13"/>
      <c r="B715" s="14"/>
    </row>
    <row r="716" spans="1:2" ht="12.75" customHeight="1" x14ac:dyDescent="0.15">
      <c r="A716" s="13"/>
      <c r="B716" s="14"/>
    </row>
    <row r="717" spans="1:2" ht="12.75" customHeight="1" x14ac:dyDescent="0.15">
      <c r="A717" s="13"/>
      <c r="B717" s="14"/>
    </row>
    <row r="718" spans="1:2" ht="12.75" customHeight="1" x14ac:dyDescent="0.15">
      <c r="A718" s="13"/>
      <c r="B718" s="14"/>
    </row>
    <row r="719" spans="1:2" ht="12.75" customHeight="1" x14ac:dyDescent="0.15">
      <c r="A719" s="13"/>
      <c r="B719" s="14"/>
    </row>
    <row r="720" spans="1:2" ht="12.75" customHeight="1" x14ac:dyDescent="0.15">
      <c r="A720" s="13"/>
      <c r="B720" s="14"/>
    </row>
    <row r="721" spans="1:2" ht="12.75" customHeight="1" x14ac:dyDescent="0.15">
      <c r="A721" s="13"/>
      <c r="B721" s="14"/>
    </row>
    <row r="722" spans="1:2" ht="12.75" customHeight="1" x14ac:dyDescent="0.15">
      <c r="A722" s="13"/>
      <c r="B722" s="14"/>
    </row>
    <row r="723" spans="1:2" ht="12.75" customHeight="1" x14ac:dyDescent="0.15">
      <c r="A723" s="13"/>
      <c r="B723" s="14"/>
    </row>
    <row r="724" spans="1:2" ht="12.75" customHeight="1" x14ac:dyDescent="0.15">
      <c r="A724" s="13"/>
      <c r="B724" s="14"/>
    </row>
    <row r="725" spans="1:2" ht="12.75" customHeight="1" x14ac:dyDescent="0.15">
      <c r="A725" s="13"/>
      <c r="B725" s="14"/>
    </row>
    <row r="726" spans="1:2" ht="12.75" customHeight="1" x14ac:dyDescent="0.15">
      <c r="A726" s="13"/>
      <c r="B726" s="14"/>
    </row>
    <row r="727" spans="1:2" ht="12.75" customHeight="1" x14ac:dyDescent="0.15">
      <c r="A727" s="13"/>
      <c r="B727" s="14"/>
    </row>
    <row r="728" spans="1:2" ht="12.75" customHeight="1" x14ac:dyDescent="0.15">
      <c r="A728" s="13"/>
      <c r="B728" s="14"/>
    </row>
    <row r="729" spans="1:2" ht="12.75" customHeight="1" x14ac:dyDescent="0.15">
      <c r="A729" s="13"/>
      <c r="B729" s="14"/>
    </row>
    <row r="730" spans="1:2" ht="12.75" customHeight="1" x14ac:dyDescent="0.15">
      <c r="A730" s="13"/>
      <c r="B730" s="14"/>
    </row>
    <row r="731" spans="1:2" ht="12.75" customHeight="1" x14ac:dyDescent="0.15">
      <c r="A731" s="13"/>
      <c r="B731" s="14"/>
    </row>
    <row r="732" spans="1:2" ht="12.75" customHeight="1" x14ac:dyDescent="0.15">
      <c r="A732" s="13"/>
      <c r="B732" s="14"/>
    </row>
    <row r="733" spans="1:2" ht="12.75" customHeight="1" x14ac:dyDescent="0.15">
      <c r="A733" s="13"/>
      <c r="B733" s="14"/>
    </row>
    <row r="734" spans="1:2" ht="12.75" customHeight="1" x14ac:dyDescent="0.15">
      <c r="A734" s="13"/>
      <c r="B734" s="14"/>
    </row>
    <row r="735" spans="1:2" ht="12.75" customHeight="1" x14ac:dyDescent="0.15">
      <c r="A735" s="13"/>
      <c r="B735" s="14"/>
    </row>
    <row r="736" spans="1:2" ht="12.75" customHeight="1" x14ac:dyDescent="0.15">
      <c r="A736" s="13"/>
      <c r="B736" s="14"/>
    </row>
    <row r="737" spans="1:2" ht="12.75" customHeight="1" x14ac:dyDescent="0.15">
      <c r="A737" s="13"/>
      <c r="B737" s="14"/>
    </row>
    <row r="738" spans="1:2" ht="12.75" customHeight="1" x14ac:dyDescent="0.15">
      <c r="A738" s="13"/>
      <c r="B738" s="14"/>
    </row>
    <row r="739" spans="1:2" ht="12.75" customHeight="1" x14ac:dyDescent="0.15">
      <c r="A739" s="13"/>
      <c r="B739" s="14"/>
    </row>
    <row r="740" spans="1:2" ht="12.75" customHeight="1" x14ac:dyDescent="0.15">
      <c r="A740" s="13"/>
      <c r="B740" s="14"/>
    </row>
    <row r="741" spans="1:2" ht="12.75" customHeight="1" x14ac:dyDescent="0.15">
      <c r="A741" s="13"/>
      <c r="B741" s="14"/>
    </row>
    <row r="742" spans="1:2" ht="12.75" customHeight="1" x14ac:dyDescent="0.15">
      <c r="A742" s="13"/>
      <c r="B742" s="14"/>
    </row>
    <row r="743" spans="1:2" ht="12.75" customHeight="1" x14ac:dyDescent="0.15">
      <c r="A743" s="13"/>
      <c r="B743" s="14"/>
    </row>
    <row r="744" spans="1:2" ht="12.75" customHeight="1" x14ac:dyDescent="0.15">
      <c r="A744" s="13"/>
      <c r="B744" s="14"/>
    </row>
    <row r="745" spans="1:2" ht="12.75" customHeight="1" x14ac:dyDescent="0.15">
      <c r="A745" s="13"/>
      <c r="B745" s="14"/>
    </row>
    <row r="746" spans="1:2" ht="12.75" customHeight="1" x14ac:dyDescent="0.15">
      <c r="A746" s="13"/>
      <c r="B746" s="14"/>
    </row>
    <row r="747" spans="1:2" ht="12.75" customHeight="1" x14ac:dyDescent="0.15">
      <c r="A747" s="13"/>
      <c r="B747" s="14"/>
    </row>
    <row r="748" spans="1:2" ht="12.75" customHeight="1" x14ac:dyDescent="0.15">
      <c r="A748" s="13"/>
      <c r="B748" s="14"/>
    </row>
    <row r="749" spans="1:2" ht="12.75" customHeight="1" x14ac:dyDescent="0.15">
      <c r="A749" s="13"/>
      <c r="B749" s="14"/>
    </row>
    <row r="750" spans="1:2" ht="12.75" customHeight="1" x14ac:dyDescent="0.15">
      <c r="A750" s="13"/>
      <c r="B750" s="14"/>
    </row>
    <row r="751" spans="1:2" ht="12.75" customHeight="1" x14ac:dyDescent="0.15">
      <c r="A751" s="13"/>
      <c r="B751" s="14"/>
    </row>
    <row r="752" spans="1:2" ht="12.75" customHeight="1" x14ac:dyDescent="0.15">
      <c r="A752" s="13"/>
      <c r="B752" s="14"/>
    </row>
    <row r="753" spans="1:2" ht="12.75" customHeight="1" x14ac:dyDescent="0.15">
      <c r="A753" s="13"/>
      <c r="B753" s="14"/>
    </row>
    <row r="754" spans="1:2" ht="12.75" customHeight="1" x14ac:dyDescent="0.15">
      <c r="A754" s="13"/>
      <c r="B754" s="14"/>
    </row>
    <row r="755" spans="1:2" ht="12.75" customHeight="1" x14ac:dyDescent="0.15">
      <c r="A755" s="13"/>
      <c r="B755" s="14"/>
    </row>
    <row r="756" spans="1:2" ht="12.75" customHeight="1" x14ac:dyDescent="0.15">
      <c r="A756" s="13"/>
      <c r="B756" s="14"/>
    </row>
    <row r="757" spans="1:2" ht="12.75" customHeight="1" x14ac:dyDescent="0.15">
      <c r="A757" s="13"/>
      <c r="B757" s="14"/>
    </row>
    <row r="758" spans="1:2" ht="12.75" customHeight="1" x14ac:dyDescent="0.15">
      <c r="A758" s="13"/>
      <c r="B758" s="14"/>
    </row>
    <row r="759" spans="1:2" ht="12.75" customHeight="1" x14ac:dyDescent="0.15">
      <c r="A759" s="13"/>
      <c r="B759" s="14"/>
    </row>
    <row r="760" spans="1:2" ht="12.75" customHeight="1" x14ac:dyDescent="0.15">
      <c r="A760" s="13"/>
      <c r="B760" s="14"/>
    </row>
    <row r="761" spans="1:2" ht="12.75" customHeight="1" x14ac:dyDescent="0.15">
      <c r="A761" s="13"/>
      <c r="B761" s="14"/>
    </row>
    <row r="762" spans="1:2" ht="12.75" customHeight="1" x14ac:dyDescent="0.15">
      <c r="A762" s="13"/>
      <c r="B762" s="14"/>
    </row>
    <row r="763" spans="1:2" ht="12.75" customHeight="1" x14ac:dyDescent="0.15">
      <c r="A763" s="13"/>
      <c r="B763" s="14"/>
    </row>
    <row r="764" spans="1:2" ht="12.75" customHeight="1" x14ac:dyDescent="0.15">
      <c r="A764" s="13"/>
      <c r="B764" s="14"/>
    </row>
    <row r="765" spans="1:2" ht="12.75" customHeight="1" x14ac:dyDescent="0.15">
      <c r="A765" s="13"/>
      <c r="B765" s="14"/>
    </row>
    <row r="766" spans="1:2" ht="12.75" customHeight="1" x14ac:dyDescent="0.15">
      <c r="A766" s="13"/>
      <c r="B766" s="14"/>
    </row>
    <row r="767" spans="1:2" ht="12.75" customHeight="1" x14ac:dyDescent="0.15">
      <c r="A767" s="13"/>
      <c r="B767" s="14"/>
    </row>
    <row r="768" spans="1:2" ht="12.75" customHeight="1" x14ac:dyDescent="0.15">
      <c r="A768" s="13"/>
      <c r="B768" s="14"/>
    </row>
    <row r="769" spans="1:2" ht="12.75" customHeight="1" x14ac:dyDescent="0.15">
      <c r="A769" s="13"/>
      <c r="B769" s="14"/>
    </row>
    <row r="770" spans="1:2" ht="12.75" customHeight="1" x14ac:dyDescent="0.15">
      <c r="A770" s="13"/>
      <c r="B770" s="14"/>
    </row>
    <row r="771" spans="1:2" ht="12.75" customHeight="1" x14ac:dyDescent="0.15">
      <c r="A771" s="13"/>
      <c r="B771" s="14"/>
    </row>
    <row r="772" spans="1:2" ht="12.75" customHeight="1" x14ac:dyDescent="0.15">
      <c r="A772" s="13"/>
      <c r="B772" s="14"/>
    </row>
    <row r="773" spans="1:2" ht="12.75" customHeight="1" x14ac:dyDescent="0.15">
      <c r="A773" s="13"/>
      <c r="B773" s="14"/>
    </row>
    <row r="774" spans="1:2" ht="12.75" customHeight="1" x14ac:dyDescent="0.15">
      <c r="A774" s="13"/>
      <c r="B774" s="14"/>
    </row>
    <row r="775" spans="1:2" ht="12.75" customHeight="1" x14ac:dyDescent="0.15">
      <c r="A775" s="13"/>
      <c r="B775" s="14"/>
    </row>
    <row r="776" spans="1:2" ht="12.75" customHeight="1" x14ac:dyDescent="0.15">
      <c r="A776" s="13"/>
      <c r="B776" s="14"/>
    </row>
    <row r="777" spans="1:2" ht="12.75" customHeight="1" x14ac:dyDescent="0.15">
      <c r="A777" s="13"/>
      <c r="B777" s="14"/>
    </row>
    <row r="778" spans="1:2" ht="12.75" customHeight="1" x14ac:dyDescent="0.15">
      <c r="A778" s="13"/>
      <c r="B778" s="14"/>
    </row>
    <row r="779" spans="1:2" ht="12.75" customHeight="1" x14ac:dyDescent="0.15">
      <c r="A779" s="13"/>
      <c r="B779" s="14"/>
    </row>
    <row r="780" spans="1:2" ht="12.75" customHeight="1" x14ac:dyDescent="0.15">
      <c r="A780" s="13"/>
      <c r="B780" s="14"/>
    </row>
    <row r="781" spans="1:2" ht="12.75" customHeight="1" x14ac:dyDescent="0.15">
      <c r="A781" s="13"/>
      <c r="B781" s="14"/>
    </row>
    <row r="782" spans="1:2" ht="12.75" customHeight="1" x14ac:dyDescent="0.15">
      <c r="A782" s="13"/>
      <c r="B782" s="14"/>
    </row>
    <row r="783" spans="1:2" ht="12.75" customHeight="1" x14ac:dyDescent="0.15">
      <c r="A783" s="13"/>
      <c r="B783" s="14"/>
    </row>
    <row r="784" spans="1:2" ht="12.75" customHeight="1" x14ac:dyDescent="0.15">
      <c r="A784" s="13"/>
      <c r="B784" s="14"/>
    </row>
    <row r="785" spans="1:2" ht="12.75" customHeight="1" x14ac:dyDescent="0.15">
      <c r="A785" s="13"/>
      <c r="B785" s="14"/>
    </row>
    <row r="786" spans="1:2" ht="12.75" customHeight="1" x14ac:dyDescent="0.15">
      <c r="A786" s="13"/>
      <c r="B786" s="14"/>
    </row>
    <row r="787" spans="1:2" ht="12.75" customHeight="1" x14ac:dyDescent="0.15">
      <c r="A787" s="13"/>
      <c r="B787" s="14"/>
    </row>
    <row r="788" spans="1:2" ht="12.75" customHeight="1" x14ac:dyDescent="0.15">
      <c r="A788" s="13"/>
      <c r="B788" s="14"/>
    </row>
    <row r="789" spans="1:2" ht="12.75" customHeight="1" x14ac:dyDescent="0.15">
      <c r="A789" s="13"/>
      <c r="B789" s="14"/>
    </row>
    <row r="790" spans="1:2" ht="12.75" customHeight="1" x14ac:dyDescent="0.15">
      <c r="A790" s="13"/>
      <c r="B790" s="14"/>
    </row>
    <row r="791" spans="1:2" ht="12.75" customHeight="1" x14ac:dyDescent="0.15">
      <c r="A791" s="13"/>
      <c r="B791" s="14"/>
    </row>
    <row r="792" spans="1:2" ht="12.75" customHeight="1" x14ac:dyDescent="0.15">
      <c r="A792" s="13"/>
      <c r="B792" s="14"/>
    </row>
    <row r="793" spans="1:2" ht="12.75" customHeight="1" x14ac:dyDescent="0.15">
      <c r="A793" s="13"/>
      <c r="B793" s="14"/>
    </row>
    <row r="794" spans="1:2" ht="12.75" customHeight="1" x14ac:dyDescent="0.15">
      <c r="A794" s="13"/>
      <c r="B794" s="14"/>
    </row>
    <row r="795" spans="1:2" ht="12.75" customHeight="1" x14ac:dyDescent="0.15">
      <c r="A795" s="13"/>
      <c r="B795" s="14"/>
    </row>
    <row r="796" spans="1:2" ht="12.75" customHeight="1" x14ac:dyDescent="0.15">
      <c r="A796" s="13"/>
      <c r="B796" s="14"/>
    </row>
    <row r="797" spans="1:2" ht="12.75" customHeight="1" x14ac:dyDescent="0.15">
      <c r="A797" s="13"/>
      <c r="B797" s="14"/>
    </row>
    <row r="798" spans="1:2" ht="12.75" customHeight="1" x14ac:dyDescent="0.15">
      <c r="A798" s="13"/>
      <c r="B798" s="14"/>
    </row>
    <row r="799" spans="1:2" ht="12.75" customHeight="1" x14ac:dyDescent="0.15">
      <c r="A799" s="13"/>
      <c r="B799" s="14"/>
    </row>
    <row r="800" spans="1:2" ht="12.75" customHeight="1" x14ac:dyDescent="0.15">
      <c r="A800" s="13"/>
      <c r="B800" s="14"/>
    </row>
    <row r="801" spans="1:2" ht="12.75" customHeight="1" x14ac:dyDescent="0.15">
      <c r="A801" s="13"/>
      <c r="B801" s="14"/>
    </row>
    <row r="802" spans="1:2" ht="12.75" customHeight="1" x14ac:dyDescent="0.15">
      <c r="A802" s="13"/>
      <c r="B802" s="14"/>
    </row>
    <row r="803" spans="1:2" ht="12.75" customHeight="1" x14ac:dyDescent="0.15">
      <c r="A803" s="13"/>
      <c r="B803" s="14"/>
    </row>
    <row r="804" spans="1:2" ht="12.75" customHeight="1" x14ac:dyDescent="0.15">
      <c r="A804" s="13"/>
      <c r="B804" s="14"/>
    </row>
    <row r="805" spans="1:2" ht="12.75" customHeight="1" x14ac:dyDescent="0.15">
      <c r="A805" s="13"/>
      <c r="B805" s="14"/>
    </row>
    <row r="806" spans="1:2" ht="12.75" customHeight="1" x14ac:dyDescent="0.15">
      <c r="A806" s="13"/>
      <c r="B806" s="14"/>
    </row>
    <row r="807" spans="1:2" ht="12.75" customHeight="1" x14ac:dyDescent="0.15">
      <c r="A807" s="13"/>
      <c r="B807" s="14"/>
    </row>
    <row r="808" spans="1:2" ht="12.75" customHeight="1" x14ac:dyDescent="0.15">
      <c r="A808" s="13"/>
      <c r="B808" s="14"/>
    </row>
    <row r="809" spans="1:2" ht="12.75" customHeight="1" x14ac:dyDescent="0.15">
      <c r="A809" s="13"/>
      <c r="B809" s="14"/>
    </row>
    <row r="810" spans="1:2" ht="12.75" customHeight="1" x14ac:dyDescent="0.15">
      <c r="A810" s="13"/>
      <c r="B810" s="14"/>
    </row>
    <row r="811" spans="1:2" ht="12.75" customHeight="1" x14ac:dyDescent="0.15">
      <c r="A811" s="13"/>
      <c r="B811" s="14"/>
    </row>
    <row r="812" spans="1:2" ht="12.75" customHeight="1" x14ac:dyDescent="0.15">
      <c r="A812" s="13"/>
      <c r="B812" s="14"/>
    </row>
    <row r="813" spans="1:2" ht="12.75" customHeight="1" x14ac:dyDescent="0.15">
      <c r="A813" s="13"/>
      <c r="B813" s="14"/>
    </row>
    <row r="814" spans="1:2" ht="12.75" customHeight="1" x14ac:dyDescent="0.15">
      <c r="A814" s="13"/>
      <c r="B814" s="14"/>
    </row>
    <row r="815" spans="1:2" ht="12.75" customHeight="1" x14ac:dyDescent="0.15">
      <c r="A815" s="13"/>
      <c r="B815" s="14"/>
    </row>
    <row r="816" spans="1:2" ht="12.75" customHeight="1" x14ac:dyDescent="0.15">
      <c r="A816" s="13"/>
      <c r="B816" s="14"/>
    </row>
    <row r="817" spans="1:2" ht="12.75" customHeight="1" x14ac:dyDescent="0.15">
      <c r="A817" s="13"/>
      <c r="B817" s="14"/>
    </row>
    <row r="818" spans="1:2" ht="12.75" customHeight="1" x14ac:dyDescent="0.15">
      <c r="A818" s="13"/>
      <c r="B818" s="14"/>
    </row>
    <row r="819" spans="1:2" ht="12.75" customHeight="1" x14ac:dyDescent="0.15">
      <c r="A819" s="13"/>
      <c r="B819" s="14"/>
    </row>
    <row r="820" spans="1:2" ht="12.75" customHeight="1" x14ac:dyDescent="0.15">
      <c r="A820" s="13"/>
      <c r="B820" s="14"/>
    </row>
    <row r="821" spans="1:2" ht="12.75" customHeight="1" x14ac:dyDescent="0.15">
      <c r="A821" s="13"/>
      <c r="B821" s="14"/>
    </row>
    <row r="822" spans="1:2" ht="12.75" customHeight="1" x14ac:dyDescent="0.15">
      <c r="A822" s="13"/>
      <c r="B822" s="14"/>
    </row>
    <row r="823" spans="1:2" ht="12.75" customHeight="1" x14ac:dyDescent="0.15">
      <c r="A823" s="13"/>
      <c r="B823" s="14"/>
    </row>
    <row r="824" spans="1:2" ht="12.75" customHeight="1" x14ac:dyDescent="0.15">
      <c r="A824" s="13"/>
      <c r="B824" s="14"/>
    </row>
    <row r="825" spans="1:2" ht="12.75" customHeight="1" x14ac:dyDescent="0.15">
      <c r="A825" s="13"/>
      <c r="B825" s="14"/>
    </row>
    <row r="826" spans="1:2" ht="12.75" customHeight="1" x14ac:dyDescent="0.15">
      <c r="A826" s="13"/>
      <c r="B826" s="14"/>
    </row>
    <row r="827" spans="1:2" ht="12.75" customHeight="1" x14ac:dyDescent="0.15">
      <c r="A827" s="13"/>
      <c r="B827" s="14"/>
    </row>
    <row r="828" spans="1:2" ht="12.75" customHeight="1" x14ac:dyDescent="0.15">
      <c r="A828" s="13"/>
      <c r="B828" s="14"/>
    </row>
    <row r="829" spans="1:2" ht="12.75" customHeight="1" x14ac:dyDescent="0.15">
      <c r="A829" s="13"/>
      <c r="B829" s="14"/>
    </row>
    <row r="830" spans="1:2" ht="12.75" customHeight="1" x14ac:dyDescent="0.15">
      <c r="A830" s="13"/>
      <c r="B830" s="14"/>
    </row>
    <row r="831" spans="1:2" ht="12.75" customHeight="1" x14ac:dyDescent="0.15">
      <c r="A831" s="13"/>
      <c r="B831" s="14"/>
    </row>
    <row r="832" spans="1:2" ht="12.75" customHeight="1" x14ac:dyDescent="0.15">
      <c r="A832" s="13"/>
      <c r="B832" s="14"/>
    </row>
    <row r="833" spans="1:2" ht="12.75" customHeight="1" x14ac:dyDescent="0.15">
      <c r="A833" s="13"/>
      <c r="B833" s="14"/>
    </row>
    <row r="834" spans="1:2" ht="12.75" customHeight="1" x14ac:dyDescent="0.15">
      <c r="A834" s="13"/>
      <c r="B834" s="14"/>
    </row>
    <row r="835" spans="1:2" ht="12.75" customHeight="1" x14ac:dyDescent="0.15">
      <c r="A835" s="13"/>
      <c r="B835" s="14"/>
    </row>
    <row r="836" spans="1:2" ht="12.75" customHeight="1" x14ac:dyDescent="0.15">
      <c r="A836" s="13"/>
      <c r="B836" s="14"/>
    </row>
    <row r="837" spans="1:2" ht="12.75" customHeight="1" x14ac:dyDescent="0.15">
      <c r="A837" s="13"/>
      <c r="B837" s="14"/>
    </row>
    <row r="838" spans="1:2" ht="12.75" customHeight="1" x14ac:dyDescent="0.15">
      <c r="A838" s="13"/>
      <c r="B838" s="14"/>
    </row>
    <row r="839" spans="1:2" ht="12.75" customHeight="1" x14ac:dyDescent="0.15">
      <c r="A839" s="13"/>
      <c r="B839" s="14"/>
    </row>
    <row r="840" spans="1:2" ht="12.75" customHeight="1" x14ac:dyDescent="0.15">
      <c r="A840" s="13"/>
      <c r="B840" s="14"/>
    </row>
    <row r="841" spans="1:2" ht="12.75" customHeight="1" x14ac:dyDescent="0.15">
      <c r="A841" s="13"/>
      <c r="B841" s="14"/>
    </row>
    <row r="842" spans="1:2" ht="12.75" customHeight="1" x14ac:dyDescent="0.15">
      <c r="A842" s="13"/>
      <c r="B842" s="14"/>
    </row>
    <row r="843" spans="1:2" ht="12.75" customHeight="1" x14ac:dyDescent="0.15">
      <c r="A843" s="13"/>
      <c r="B843" s="14"/>
    </row>
    <row r="844" spans="1:2" ht="12.75" customHeight="1" x14ac:dyDescent="0.15">
      <c r="A844" s="13"/>
      <c r="B844" s="14"/>
    </row>
    <row r="845" spans="1:2" ht="12.75" customHeight="1" x14ac:dyDescent="0.15">
      <c r="A845" s="13"/>
      <c r="B845" s="14"/>
    </row>
    <row r="846" spans="1:2" ht="12.75" customHeight="1" x14ac:dyDescent="0.15">
      <c r="A846" s="13"/>
      <c r="B846" s="14"/>
    </row>
    <row r="847" spans="1:2" ht="12.75" customHeight="1" x14ac:dyDescent="0.15">
      <c r="A847" s="13"/>
      <c r="B847" s="14"/>
    </row>
    <row r="848" spans="1:2" ht="12.75" customHeight="1" x14ac:dyDescent="0.15">
      <c r="A848" s="13"/>
      <c r="B848" s="14"/>
    </row>
    <row r="849" spans="1:2" ht="12.75" customHeight="1" x14ac:dyDescent="0.15">
      <c r="A849" s="13"/>
      <c r="B849" s="14"/>
    </row>
    <row r="850" spans="1:2" ht="12.75" customHeight="1" x14ac:dyDescent="0.15">
      <c r="A850" s="13"/>
      <c r="B850" s="14"/>
    </row>
    <row r="851" spans="1:2" ht="12.75" customHeight="1" x14ac:dyDescent="0.15">
      <c r="A851" s="13"/>
      <c r="B851" s="14"/>
    </row>
    <row r="852" spans="1:2" ht="12.75" customHeight="1" x14ac:dyDescent="0.15">
      <c r="A852" s="13"/>
      <c r="B852" s="14"/>
    </row>
    <row r="853" spans="1:2" ht="12.75" customHeight="1" x14ac:dyDescent="0.15">
      <c r="A853" s="13"/>
      <c r="B853" s="14"/>
    </row>
    <row r="854" spans="1:2" ht="12.75" customHeight="1" x14ac:dyDescent="0.15">
      <c r="A854" s="13"/>
      <c r="B854" s="14"/>
    </row>
    <row r="855" spans="1:2" ht="12.75" customHeight="1" x14ac:dyDescent="0.15">
      <c r="A855" s="13"/>
      <c r="B855" s="14"/>
    </row>
    <row r="856" spans="1:2" ht="12.75" customHeight="1" x14ac:dyDescent="0.15">
      <c r="A856" s="13"/>
      <c r="B856" s="14"/>
    </row>
    <row r="857" spans="1:2" ht="12.75" customHeight="1" x14ac:dyDescent="0.15">
      <c r="A857" s="13"/>
      <c r="B857" s="14"/>
    </row>
    <row r="858" spans="1:2" ht="12.75" customHeight="1" x14ac:dyDescent="0.15">
      <c r="A858" s="13"/>
      <c r="B858" s="14"/>
    </row>
    <row r="859" spans="1:2" ht="12.75" customHeight="1" x14ac:dyDescent="0.15">
      <c r="A859" s="13"/>
      <c r="B859" s="14"/>
    </row>
    <row r="860" spans="1:2" ht="12.75" customHeight="1" x14ac:dyDescent="0.15">
      <c r="A860" s="13"/>
      <c r="B860" s="14"/>
    </row>
    <row r="861" spans="1:2" ht="12.75" customHeight="1" x14ac:dyDescent="0.15">
      <c r="A861" s="13"/>
      <c r="B861" s="14"/>
    </row>
    <row r="862" spans="1:2" ht="12.75" customHeight="1" x14ac:dyDescent="0.15">
      <c r="A862" s="13"/>
      <c r="B862" s="14"/>
    </row>
    <row r="863" spans="1:2" ht="12.75" customHeight="1" x14ac:dyDescent="0.15">
      <c r="A863" s="13"/>
      <c r="B863" s="14"/>
    </row>
    <row r="864" spans="1:2" ht="12.75" customHeight="1" x14ac:dyDescent="0.15">
      <c r="A864" s="13"/>
      <c r="B864" s="14"/>
    </row>
    <row r="865" spans="1:2" ht="12.75" customHeight="1" x14ac:dyDescent="0.15">
      <c r="A865" s="13"/>
      <c r="B865" s="14"/>
    </row>
    <row r="866" spans="1:2" ht="12.75" customHeight="1" x14ac:dyDescent="0.15">
      <c r="A866" s="13"/>
      <c r="B866" s="14"/>
    </row>
    <row r="867" spans="1:2" ht="12.75" customHeight="1" x14ac:dyDescent="0.15">
      <c r="A867" s="13"/>
      <c r="B867" s="14"/>
    </row>
    <row r="868" spans="1:2" ht="12.75" customHeight="1" x14ac:dyDescent="0.15">
      <c r="A868" s="13"/>
      <c r="B868" s="14"/>
    </row>
    <row r="869" spans="1:2" ht="12.75" customHeight="1" x14ac:dyDescent="0.15">
      <c r="A869" s="13"/>
      <c r="B869" s="14"/>
    </row>
    <row r="870" spans="1:2" ht="12.75" customHeight="1" x14ac:dyDescent="0.15">
      <c r="A870" s="13"/>
      <c r="B870" s="14"/>
    </row>
    <row r="871" spans="1:2" ht="12.75" customHeight="1" x14ac:dyDescent="0.15">
      <c r="A871" s="13"/>
      <c r="B871" s="14"/>
    </row>
    <row r="872" spans="1:2" ht="12.75" customHeight="1" x14ac:dyDescent="0.15">
      <c r="A872" s="13"/>
      <c r="B872" s="14"/>
    </row>
    <row r="873" spans="1:2" ht="12.75" customHeight="1" x14ac:dyDescent="0.15">
      <c r="A873" s="13"/>
      <c r="B873" s="14"/>
    </row>
    <row r="874" spans="1:2" ht="12.75" customHeight="1" x14ac:dyDescent="0.15">
      <c r="A874" s="13"/>
      <c r="B874" s="14"/>
    </row>
    <row r="875" spans="1:2" ht="12.75" customHeight="1" x14ac:dyDescent="0.15">
      <c r="A875" s="13"/>
      <c r="B875" s="14"/>
    </row>
    <row r="876" spans="1:2" ht="12.75" customHeight="1" x14ac:dyDescent="0.15">
      <c r="A876" s="13"/>
      <c r="B876" s="14"/>
    </row>
    <row r="877" spans="1:2" ht="12.75" customHeight="1" x14ac:dyDescent="0.15">
      <c r="A877" s="13"/>
      <c r="B877" s="14"/>
    </row>
    <row r="878" spans="1:2" ht="12.75" customHeight="1" x14ac:dyDescent="0.15">
      <c r="A878" s="13"/>
      <c r="B878" s="14"/>
    </row>
    <row r="879" spans="1:2" ht="12.75" customHeight="1" x14ac:dyDescent="0.15">
      <c r="A879" s="13"/>
      <c r="B879" s="14"/>
    </row>
    <row r="880" spans="1:2" ht="12.75" customHeight="1" x14ac:dyDescent="0.15">
      <c r="A880" s="13"/>
      <c r="B880" s="14"/>
    </row>
    <row r="881" spans="1:2" ht="12.75" customHeight="1" x14ac:dyDescent="0.15">
      <c r="A881" s="13"/>
      <c r="B881" s="14"/>
    </row>
    <row r="882" spans="1:2" ht="12.75" customHeight="1" x14ac:dyDescent="0.15">
      <c r="A882" s="13"/>
      <c r="B882" s="14"/>
    </row>
    <row r="883" spans="1:2" ht="12.75" customHeight="1" x14ac:dyDescent="0.15">
      <c r="A883" s="13"/>
      <c r="B883" s="14"/>
    </row>
    <row r="884" spans="1:2" ht="12.75" customHeight="1" x14ac:dyDescent="0.15">
      <c r="A884" s="13"/>
      <c r="B884" s="14"/>
    </row>
    <row r="885" spans="1:2" ht="12.75" customHeight="1" x14ac:dyDescent="0.15">
      <c r="A885" s="13"/>
      <c r="B885" s="14"/>
    </row>
    <row r="886" spans="1:2" ht="12.75" customHeight="1" x14ac:dyDescent="0.15">
      <c r="A886" s="13"/>
      <c r="B886" s="14"/>
    </row>
    <row r="887" spans="1:2" ht="12.75" customHeight="1" x14ac:dyDescent="0.15">
      <c r="A887" s="13"/>
      <c r="B887" s="14"/>
    </row>
    <row r="888" spans="1:2" ht="12.75" customHeight="1" x14ac:dyDescent="0.15">
      <c r="A888" s="13"/>
      <c r="B888" s="14"/>
    </row>
    <row r="889" spans="1:2" ht="12.75" customHeight="1" x14ac:dyDescent="0.15">
      <c r="A889" s="13"/>
      <c r="B889" s="14"/>
    </row>
    <row r="890" spans="1:2" ht="12.75" customHeight="1" x14ac:dyDescent="0.15">
      <c r="A890" s="13"/>
      <c r="B890" s="14"/>
    </row>
    <row r="891" spans="1:2" ht="12.75" customHeight="1" x14ac:dyDescent="0.15">
      <c r="A891" s="13"/>
      <c r="B891" s="14"/>
    </row>
    <row r="892" spans="1:2" ht="12.75" customHeight="1" x14ac:dyDescent="0.15">
      <c r="A892" s="13"/>
      <c r="B892" s="14"/>
    </row>
    <row r="893" spans="1:2" ht="12.75" customHeight="1" x14ac:dyDescent="0.15">
      <c r="A893" s="13"/>
      <c r="B893" s="14"/>
    </row>
    <row r="894" spans="1:2" ht="12.75" customHeight="1" x14ac:dyDescent="0.15">
      <c r="A894" s="13"/>
      <c r="B894" s="14"/>
    </row>
    <row r="895" spans="1:2" ht="12.75" customHeight="1" x14ac:dyDescent="0.15">
      <c r="A895" s="13"/>
      <c r="B895" s="14"/>
    </row>
    <row r="896" spans="1:2" ht="12.75" customHeight="1" x14ac:dyDescent="0.15">
      <c r="A896" s="13"/>
      <c r="B896" s="14"/>
    </row>
    <row r="897" spans="1:2" ht="12.75" customHeight="1" x14ac:dyDescent="0.15">
      <c r="A897" s="13"/>
      <c r="B897" s="14"/>
    </row>
    <row r="898" spans="1:2" ht="12.75" customHeight="1" x14ac:dyDescent="0.15">
      <c r="A898" s="13"/>
      <c r="B898" s="14"/>
    </row>
    <row r="899" spans="1:2" ht="12.75" customHeight="1" x14ac:dyDescent="0.15">
      <c r="A899" s="13"/>
      <c r="B899" s="14"/>
    </row>
    <row r="900" spans="1:2" ht="12.75" customHeight="1" x14ac:dyDescent="0.15">
      <c r="A900" s="13"/>
      <c r="B900" s="14"/>
    </row>
    <row r="901" spans="1:2" ht="12.75" customHeight="1" x14ac:dyDescent="0.15">
      <c r="A901" s="13"/>
      <c r="B901" s="14"/>
    </row>
    <row r="902" spans="1:2" ht="12.75" customHeight="1" x14ac:dyDescent="0.15">
      <c r="A902" s="13"/>
      <c r="B902" s="14"/>
    </row>
    <row r="903" spans="1:2" ht="12.75" customHeight="1" x14ac:dyDescent="0.15">
      <c r="A903" s="13"/>
      <c r="B903" s="14"/>
    </row>
    <row r="904" spans="1:2" ht="12.75" customHeight="1" x14ac:dyDescent="0.15">
      <c r="A904" s="13"/>
      <c r="B904" s="14"/>
    </row>
    <row r="905" spans="1:2" ht="12.75" customHeight="1" x14ac:dyDescent="0.15">
      <c r="A905" s="13"/>
      <c r="B905" s="14"/>
    </row>
    <row r="906" spans="1:2" ht="12.75" customHeight="1" x14ac:dyDescent="0.15">
      <c r="A906" s="13"/>
      <c r="B906" s="14"/>
    </row>
    <row r="907" spans="1:2" ht="12.75" customHeight="1" x14ac:dyDescent="0.15">
      <c r="A907" s="13"/>
      <c r="B907" s="14"/>
    </row>
    <row r="908" spans="1:2" ht="12.75" customHeight="1" x14ac:dyDescent="0.15">
      <c r="A908" s="13"/>
      <c r="B908" s="14"/>
    </row>
    <row r="909" spans="1:2" ht="12.75" customHeight="1" x14ac:dyDescent="0.15">
      <c r="A909" s="13"/>
      <c r="B909" s="14"/>
    </row>
    <row r="910" spans="1:2" ht="12.75" customHeight="1" x14ac:dyDescent="0.15">
      <c r="A910" s="13"/>
      <c r="B910" s="14"/>
    </row>
    <row r="911" spans="1:2" ht="12.75" customHeight="1" x14ac:dyDescent="0.15">
      <c r="A911" s="13"/>
      <c r="B911" s="14"/>
    </row>
    <row r="912" spans="1:2" ht="12.75" customHeight="1" x14ac:dyDescent="0.15">
      <c r="A912" s="13"/>
      <c r="B912" s="14"/>
    </row>
    <row r="913" spans="1:2" ht="12.75" customHeight="1" x14ac:dyDescent="0.15">
      <c r="A913" s="13"/>
      <c r="B913" s="14"/>
    </row>
    <row r="914" spans="1:2" ht="12.75" customHeight="1" x14ac:dyDescent="0.15">
      <c r="A914" s="13"/>
      <c r="B914" s="14"/>
    </row>
    <row r="915" spans="1:2" ht="12.75" customHeight="1" x14ac:dyDescent="0.15">
      <c r="A915" s="13"/>
      <c r="B915" s="14"/>
    </row>
    <row r="916" spans="1:2" ht="12.75" customHeight="1" x14ac:dyDescent="0.15">
      <c r="A916" s="13"/>
      <c r="B916" s="14"/>
    </row>
    <row r="917" spans="1:2" ht="12.75" customHeight="1" x14ac:dyDescent="0.15">
      <c r="A917" s="13"/>
      <c r="B917" s="14"/>
    </row>
    <row r="918" spans="1:2" ht="12.75" customHeight="1" x14ac:dyDescent="0.15">
      <c r="A918" s="13"/>
      <c r="B918" s="14"/>
    </row>
    <row r="919" spans="1:2" ht="12.75" customHeight="1" x14ac:dyDescent="0.15">
      <c r="A919" s="13"/>
      <c r="B919" s="14"/>
    </row>
    <row r="920" spans="1:2" ht="12.75" customHeight="1" x14ac:dyDescent="0.15">
      <c r="A920" s="13"/>
      <c r="B920" s="14"/>
    </row>
    <row r="921" spans="1:2" ht="12.75" customHeight="1" x14ac:dyDescent="0.15">
      <c r="A921" s="13"/>
      <c r="B921" s="14"/>
    </row>
    <row r="922" spans="1:2" ht="12.75" customHeight="1" x14ac:dyDescent="0.15">
      <c r="A922" s="13"/>
      <c r="B922" s="14"/>
    </row>
    <row r="923" spans="1:2" ht="12.75" customHeight="1" x14ac:dyDescent="0.15">
      <c r="A923" s="13"/>
      <c r="B923" s="14"/>
    </row>
    <row r="924" spans="1:2" ht="12.75" customHeight="1" x14ac:dyDescent="0.15">
      <c r="A924" s="13"/>
      <c r="B924" s="14"/>
    </row>
    <row r="925" spans="1:2" ht="12.75" customHeight="1" x14ac:dyDescent="0.15">
      <c r="A925" s="13"/>
      <c r="B925" s="14"/>
    </row>
    <row r="926" spans="1:2" ht="12.75" customHeight="1" x14ac:dyDescent="0.15">
      <c r="A926" s="13"/>
      <c r="B926" s="14"/>
    </row>
    <row r="927" spans="1:2" ht="12.75" customHeight="1" x14ac:dyDescent="0.15">
      <c r="A927" s="13"/>
      <c r="B927" s="14"/>
    </row>
    <row r="928" spans="1:2" ht="12.75" customHeight="1" x14ac:dyDescent="0.15">
      <c r="A928" s="13"/>
      <c r="B928" s="14"/>
    </row>
    <row r="929" spans="1:2" ht="12.75" customHeight="1" x14ac:dyDescent="0.15">
      <c r="A929" s="13"/>
      <c r="B929" s="14"/>
    </row>
    <row r="930" spans="1:2" ht="12.75" customHeight="1" x14ac:dyDescent="0.15">
      <c r="A930" s="13"/>
      <c r="B930" s="14"/>
    </row>
    <row r="931" spans="1:2" ht="12.75" customHeight="1" x14ac:dyDescent="0.15">
      <c r="A931" s="13"/>
      <c r="B931" s="14"/>
    </row>
    <row r="932" spans="1:2" ht="12.75" customHeight="1" x14ac:dyDescent="0.15">
      <c r="A932" s="13"/>
      <c r="B932" s="14"/>
    </row>
    <row r="933" spans="1:2" ht="12.75" customHeight="1" x14ac:dyDescent="0.15">
      <c r="A933" s="13"/>
      <c r="B933" s="14"/>
    </row>
    <row r="934" spans="1:2" ht="12.75" customHeight="1" x14ac:dyDescent="0.15">
      <c r="A934" s="13"/>
      <c r="B934" s="14"/>
    </row>
    <row r="935" spans="1:2" ht="12.75" customHeight="1" x14ac:dyDescent="0.15">
      <c r="A935" s="13"/>
      <c r="B935" s="14"/>
    </row>
    <row r="936" spans="1:2" ht="12.75" customHeight="1" x14ac:dyDescent="0.15">
      <c r="A936" s="13"/>
      <c r="B936" s="14"/>
    </row>
    <row r="937" spans="1:2" ht="12.75" customHeight="1" x14ac:dyDescent="0.15">
      <c r="A937" s="13"/>
      <c r="B937" s="14"/>
    </row>
    <row r="938" spans="1:2" ht="12.75" customHeight="1" x14ac:dyDescent="0.15">
      <c r="A938" s="13"/>
      <c r="B938" s="14"/>
    </row>
    <row r="939" spans="1:2" ht="12.75" customHeight="1" x14ac:dyDescent="0.15">
      <c r="A939" s="13"/>
      <c r="B939" s="14"/>
    </row>
    <row r="940" spans="1:2" ht="12.75" customHeight="1" x14ac:dyDescent="0.15">
      <c r="A940" s="13"/>
      <c r="B940" s="14"/>
    </row>
    <row r="941" spans="1:2" ht="12.75" customHeight="1" x14ac:dyDescent="0.15">
      <c r="A941" s="13"/>
      <c r="B941" s="14"/>
    </row>
    <row r="942" spans="1:2" ht="12.75" customHeight="1" x14ac:dyDescent="0.15">
      <c r="A942" s="13"/>
      <c r="B942" s="14"/>
    </row>
    <row r="943" spans="1:2" ht="12.75" customHeight="1" x14ac:dyDescent="0.15">
      <c r="A943" s="13"/>
      <c r="B943" s="14"/>
    </row>
    <row r="944" spans="1:2" ht="12.75" customHeight="1" x14ac:dyDescent="0.15">
      <c r="A944" s="13"/>
      <c r="B944" s="14"/>
    </row>
    <row r="945" spans="1:2" ht="12.75" customHeight="1" x14ac:dyDescent="0.15">
      <c r="A945" s="13"/>
      <c r="B945" s="14"/>
    </row>
    <row r="946" spans="1:2" ht="12.75" customHeight="1" x14ac:dyDescent="0.15">
      <c r="A946" s="13"/>
      <c r="B946" s="14"/>
    </row>
    <row r="947" spans="1:2" ht="12.75" customHeight="1" x14ac:dyDescent="0.15">
      <c r="A947" s="13"/>
      <c r="B947" s="14"/>
    </row>
    <row r="948" spans="1:2" ht="12.75" customHeight="1" x14ac:dyDescent="0.15">
      <c r="A948" s="13"/>
      <c r="B948" s="14"/>
    </row>
    <row r="949" spans="1:2" ht="12.75" customHeight="1" x14ac:dyDescent="0.15">
      <c r="A949" s="13"/>
      <c r="B949" s="14"/>
    </row>
    <row r="950" spans="1:2" ht="12.75" customHeight="1" x14ac:dyDescent="0.15">
      <c r="A950" s="13"/>
      <c r="B950" s="14"/>
    </row>
    <row r="951" spans="1:2" ht="12.75" customHeight="1" x14ac:dyDescent="0.15">
      <c r="A951" s="13"/>
      <c r="B951" s="14"/>
    </row>
    <row r="952" spans="1:2" ht="12.75" customHeight="1" x14ac:dyDescent="0.15">
      <c r="A952" s="13"/>
      <c r="B952" s="14"/>
    </row>
    <row r="953" spans="1:2" ht="12.75" customHeight="1" x14ac:dyDescent="0.15">
      <c r="A953" s="13"/>
      <c r="B953" s="14"/>
    </row>
    <row r="954" spans="1:2" ht="12.75" customHeight="1" x14ac:dyDescent="0.15">
      <c r="A954" s="13"/>
      <c r="B954" s="14"/>
    </row>
    <row r="955" spans="1:2" ht="12.75" customHeight="1" x14ac:dyDescent="0.15">
      <c r="A955" s="13"/>
      <c r="B955" s="14"/>
    </row>
    <row r="956" spans="1:2" ht="12.75" customHeight="1" x14ac:dyDescent="0.15">
      <c r="A956" s="13"/>
      <c r="B956" s="14"/>
    </row>
    <row r="957" spans="1:2" ht="12.75" customHeight="1" x14ac:dyDescent="0.15">
      <c r="A957" s="13"/>
      <c r="B957" s="14"/>
    </row>
    <row r="958" spans="1:2" ht="12.75" customHeight="1" x14ac:dyDescent="0.15">
      <c r="A958" s="13"/>
      <c r="B958" s="14"/>
    </row>
    <row r="959" spans="1:2" ht="12.75" customHeight="1" x14ac:dyDescent="0.15">
      <c r="A959" s="13"/>
      <c r="B959" s="14"/>
    </row>
    <row r="960" spans="1:2" ht="12.75" customHeight="1" x14ac:dyDescent="0.15">
      <c r="A960" s="13"/>
      <c r="B960" s="14"/>
    </row>
    <row r="961" spans="1:2" ht="12.75" customHeight="1" x14ac:dyDescent="0.15">
      <c r="A961" s="13"/>
      <c r="B961" s="14"/>
    </row>
    <row r="962" spans="1:2" ht="12.75" customHeight="1" x14ac:dyDescent="0.15">
      <c r="A962" s="13"/>
      <c r="B962" s="14"/>
    </row>
    <row r="963" spans="1:2" ht="12.75" customHeight="1" x14ac:dyDescent="0.15">
      <c r="A963" s="13"/>
      <c r="B963" s="14"/>
    </row>
    <row r="964" spans="1:2" ht="12.75" customHeight="1" x14ac:dyDescent="0.15">
      <c r="A964" s="13"/>
      <c r="B964" s="14"/>
    </row>
    <row r="965" spans="1:2" ht="12.75" customHeight="1" x14ac:dyDescent="0.15">
      <c r="A965" s="13"/>
      <c r="B965" s="14"/>
    </row>
    <row r="966" spans="1:2" ht="12.75" customHeight="1" x14ac:dyDescent="0.15">
      <c r="A966" s="13"/>
      <c r="B966" s="14"/>
    </row>
    <row r="967" spans="1:2" ht="12.75" customHeight="1" x14ac:dyDescent="0.15">
      <c r="A967" s="13"/>
      <c r="B967" s="14"/>
    </row>
    <row r="968" spans="1:2" ht="12.75" customHeight="1" x14ac:dyDescent="0.15">
      <c r="A968" s="13"/>
      <c r="B968" s="14"/>
    </row>
    <row r="969" spans="1:2" ht="12.75" customHeight="1" x14ac:dyDescent="0.15">
      <c r="A969" s="13"/>
      <c r="B969" s="14"/>
    </row>
    <row r="970" spans="1:2" ht="12.75" customHeight="1" x14ac:dyDescent="0.15">
      <c r="A970" s="13"/>
      <c r="B970" s="14"/>
    </row>
    <row r="971" spans="1:2" ht="12.75" customHeight="1" x14ac:dyDescent="0.15">
      <c r="A971" s="13"/>
      <c r="B971" s="14"/>
    </row>
    <row r="972" spans="1:2" ht="12.75" customHeight="1" x14ac:dyDescent="0.15">
      <c r="A972" s="13"/>
      <c r="B972" s="14"/>
    </row>
    <row r="973" spans="1:2" ht="12.75" customHeight="1" x14ac:dyDescent="0.15">
      <c r="A973" s="13"/>
      <c r="B973" s="14"/>
    </row>
    <row r="974" spans="1:2" ht="12.75" customHeight="1" x14ac:dyDescent="0.15">
      <c r="A974" s="13"/>
      <c r="B974" s="14"/>
    </row>
    <row r="975" spans="1:2" ht="12.75" customHeight="1" x14ac:dyDescent="0.15">
      <c r="A975" s="13"/>
      <c r="B975" s="14"/>
    </row>
    <row r="976" spans="1:2" ht="12.75" customHeight="1" x14ac:dyDescent="0.15">
      <c r="A976" s="13"/>
      <c r="B976" s="14"/>
    </row>
    <row r="977" spans="1:2" ht="12.75" customHeight="1" x14ac:dyDescent="0.15">
      <c r="A977" s="13"/>
      <c r="B977" s="14"/>
    </row>
    <row r="978" spans="1:2" ht="12.75" customHeight="1" x14ac:dyDescent="0.15">
      <c r="A978" s="13"/>
      <c r="B978" s="14"/>
    </row>
    <row r="979" spans="1:2" ht="12.75" customHeight="1" x14ac:dyDescent="0.15">
      <c r="A979" s="13"/>
      <c r="B979" s="14"/>
    </row>
    <row r="980" spans="1:2" ht="12.75" customHeight="1" x14ac:dyDescent="0.15">
      <c r="A980" s="13"/>
      <c r="B980" s="14"/>
    </row>
    <row r="981" spans="1:2" ht="12.75" customHeight="1" x14ac:dyDescent="0.15">
      <c r="A981" s="13"/>
      <c r="B981" s="14"/>
    </row>
    <row r="982" spans="1:2" ht="12.75" customHeight="1" x14ac:dyDescent="0.15">
      <c r="A982" s="13"/>
      <c r="B982" s="14"/>
    </row>
    <row r="983" spans="1:2" ht="12.75" customHeight="1" x14ac:dyDescent="0.15">
      <c r="A983" s="13"/>
      <c r="B983" s="14"/>
    </row>
    <row r="984" spans="1:2" ht="12.75" customHeight="1" x14ac:dyDescent="0.15">
      <c r="A984" s="13"/>
      <c r="B984" s="14"/>
    </row>
    <row r="985" spans="1:2" ht="12.75" customHeight="1" x14ac:dyDescent="0.15">
      <c r="A985" s="13"/>
      <c r="B985" s="14"/>
    </row>
    <row r="986" spans="1:2" ht="12.75" customHeight="1" x14ac:dyDescent="0.15">
      <c r="A986" s="13"/>
      <c r="B986" s="14"/>
    </row>
    <row r="987" spans="1:2" ht="12.75" customHeight="1" x14ac:dyDescent="0.15">
      <c r="A987" s="13"/>
      <c r="B987" s="14"/>
    </row>
    <row r="988" spans="1:2" ht="12.75" customHeight="1" x14ac:dyDescent="0.15">
      <c r="A988" s="13"/>
      <c r="B988" s="14"/>
    </row>
    <row r="989" spans="1:2" ht="12.75" customHeight="1" x14ac:dyDescent="0.15">
      <c r="A989" s="13"/>
      <c r="B989" s="14"/>
    </row>
    <row r="990" spans="1:2" ht="12.75" customHeight="1" x14ac:dyDescent="0.15">
      <c r="A990" s="13"/>
      <c r="B990" s="14"/>
    </row>
    <row r="991" spans="1:2" ht="12.75" customHeight="1" x14ac:dyDescent="0.15">
      <c r="A991" s="13"/>
      <c r="B991" s="14"/>
    </row>
    <row r="992" spans="1:2" ht="12.75" customHeight="1" x14ac:dyDescent="0.15">
      <c r="A992" s="13"/>
      <c r="B992" s="14"/>
    </row>
    <row r="993" spans="1:2" ht="12.75" customHeight="1" x14ac:dyDescent="0.15">
      <c r="A993" s="13"/>
      <c r="B993" s="14"/>
    </row>
    <row r="994" spans="1:2" ht="12.75" customHeight="1" x14ac:dyDescent="0.15">
      <c r="A994" s="13"/>
      <c r="B994" s="14"/>
    </row>
    <row r="995" spans="1:2" ht="12.75" customHeight="1" x14ac:dyDescent="0.15">
      <c r="A995" s="13"/>
      <c r="B995" s="14"/>
    </row>
    <row r="996" spans="1:2" ht="12.75" customHeight="1" x14ac:dyDescent="0.15">
      <c r="A996" s="13"/>
      <c r="B996" s="14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6"/>
  <sheetViews>
    <sheetView workbookViewId="0">
      <selection activeCell="C2" sqref="C2:C56"/>
    </sheetView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8"/>
      <c r="D2" s="16"/>
    </row>
    <row r="3" spans="1:22" ht="12.75" customHeight="1" x14ac:dyDescent="0.15">
      <c r="A3" s="4" t="s">
        <v>2</v>
      </c>
      <c r="B3" s="5" t="s">
        <v>4</v>
      </c>
      <c r="C3" s="5"/>
      <c r="D3" s="17"/>
    </row>
    <row r="4" spans="1:22" ht="12.75" customHeight="1" x14ac:dyDescent="0.15">
      <c r="A4" s="7" t="s">
        <v>5</v>
      </c>
      <c r="B4" s="8" t="s">
        <v>6</v>
      </c>
      <c r="C4" s="8"/>
      <c r="D4" s="16"/>
    </row>
    <row r="5" spans="1:22" ht="12.75" customHeight="1" x14ac:dyDescent="0.15">
      <c r="A5" s="4" t="s">
        <v>7</v>
      </c>
      <c r="B5" s="5" t="s">
        <v>8</v>
      </c>
      <c r="C5" s="18"/>
      <c r="D5" s="19"/>
    </row>
    <row r="6" spans="1:22" ht="15" customHeight="1" x14ac:dyDescent="0.15">
      <c r="A6" s="9" t="s">
        <v>5</v>
      </c>
      <c r="B6" s="20" t="s">
        <v>9</v>
      </c>
      <c r="C6" s="8"/>
      <c r="D6" s="1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1"/>
      <c r="D7" s="22"/>
    </row>
    <row r="8" spans="1:22" ht="12.75" customHeight="1" x14ac:dyDescent="0.15">
      <c r="A8" s="7" t="s">
        <v>2</v>
      </c>
      <c r="B8" s="8" t="s">
        <v>11</v>
      </c>
      <c r="C8" s="8"/>
      <c r="D8" s="16"/>
    </row>
    <row r="9" spans="1:22" ht="12.75" customHeight="1" x14ac:dyDescent="0.15">
      <c r="A9" s="4" t="s">
        <v>12</v>
      </c>
      <c r="B9" s="5" t="s">
        <v>13</v>
      </c>
      <c r="C9" s="5"/>
      <c r="D9" s="17"/>
    </row>
    <row r="10" spans="1:22" ht="12.75" customHeight="1" x14ac:dyDescent="0.15">
      <c r="A10" s="7" t="s">
        <v>2</v>
      </c>
      <c r="B10" s="8" t="s">
        <v>14</v>
      </c>
      <c r="C10" s="8"/>
      <c r="D10" s="16"/>
    </row>
    <row r="11" spans="1:22" ht="12.75" customHeight="1" x14ac:dyDescent="0.15">
      <c r="A11" s="4" t="s">
        <v>5</v>
      </c>
      <c r="B11" s="5" t="s">
        <v>15</v>
      </c>
      <c r="C11" s="5"/>
      <c r="D11" s="17"/>
    </row>
    <row r="12" spans="1:22" ht="12.75" customHeight="1" x14ac:dyDescent="0.15">
      <c r="A12" s="7" t="s">
        <v>5</v>
      </c>
      <c r="B12" s="8" t="s">
        <v>16</v>
      </c>
      <c r="C12" s="8"/>
      <c r="D12" s="16"/>
    </row>
    <row r="13" spans="1:22" ht="12.75" customHeight="1" x14ac:dyDescent="0.15">
      <c r="A13" s="4" t="s">
        <v>2</v>
      </c>
      <c r="B13" s="5" t="s">
        <v>17</v>
      </c>
      <c r="C13" s="5"/>
      <c r="D13" s="17"/>
    </row>
    <row r="14" spans="1:22" ht="12.75" customHeight="1" x14ac:dyDescent="0.15">
      <c r="A14" s="7" t="s">
        <v>5</v>
      </c>
      <c r="B14" s="8" t="s">
        <v>18</v>
      </c>
      <c r="C14" s="8"/>
      <c r="D14" s="16"/>
    </row>
    <row r="15" spans="1:22" ht="12.75" customHeight="1" x14ac:dyDescent="0.15">
      <c r="A15" s="4" t="s">
        <v>2</v>
      </c>
      <c r="B15" s="5" t="s">
        <v>19</v>
      </c>
      <c r="C15" s="5"/>
      <c r="D15" s="17"/>
    </row>
    <row r="16" spans="1:22" ht="12.75" customHeight="1" x14ac:dyDescent="0.15">
      <c r="A16" s="7" t="s">
        <v>20</v>
      </c>
      <c r="B16" s="8" t="s">
        <v>21</v>
      </c>
      <c r="C16" s="8"/>
      <c r="D16" s="16"/>
    </row>
    <row r="17" spans="1:22" ht="12.75" customHeight="1" x14ac:dyDescent="0.15">
      <c r="A17" s="4" t="s">
        <v>5</v>
      </c>
      <c r="B17" s="5" t="s">
        <v>22</v>
      </c>
      <c r="C17" s="5"/>
      <c r="D17" s="17"/>
    </row>
    <row r="18" spans="1:22" ht="15" customHeight="1" x14ac:dyDescent="0.15">
      <c r="A18" s="7" t="s">
        <v>12</v>
      </c>
      <c r="B18" s="8" t="s">
        <v>23</v>
      </c>
      <c r="C18" s="8"/>
      <c r="D18" s="1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5"/>
      <c r="D19" s="17"/>
    </row>
    <row r="20" spans="1:22" ht="12.75" customHeight="1" x14ac:dyDescent="0.15">
      <c r="A20" s="7" t="s">
        <v>25</v>
      </c>
      <c r="B20" s="8" t="s">
        <v>26</v>
      </c>
      <c r="C20" s="8"/>
      <c r="D20" s="16"/>
    </row>
    <row r="21" spans="1:22" ht="12.75" customHeight="1" x14ac:dyDescent="0.15">
      <c r="A21" s="4" t="s">
        <v>12</v>
      </c>
      <c r="B21" s="5" t="s">
        <v>27</v>
      </c>
      <c r="C21" s="5"/>
      <c r="D21" s="17"/>
    </row>
    <row r="22" spans="1:22" ht="12.75" customHeight="1" x14ac:dyDescent="0.15">
      <c r="A22" s="7" t="s">
        <v>5</v>
      </c>
      <c r="B22" s="8" t="s">
        <v>28</v>
      </c>
      <c r="C22" s="8"/>
      <c r="D22" s="16"/>
    </row>
    <row r="23" spans="1:22" ht="12.75" customHeight="1" x14ac:dyDescent="0.15">
      <c r="A23" s="4" t="s">
        <v>25</v>
      </c>
      <c r="B23" s="5" t="s">
        <v>29</v>
      </c>
      <c r="C23" s="5"/>
      <c r="D23" s="17"/>
    </row>
    <row r="24" spans="1:22" ht="12.75" customHeight="1" x14ac:dyDescent="0.15">
      <c r="A24" s="7" t="s">
        <v>12</v>
      </c>
      <c r="B24" s="8" t="s">
        <v>30</v>
      </c>
      <c r="C24" s="8"/>
      <c r="D24" s="1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5"/>
      <c r="D25" s="17"/>
    </row>
    <row r="26" spans="1:22" ht="12.75" customHeight="1" x14ac:dyDescent="0.15">
      <c r="A26" s="7" t="s">
        <v>25</v>
      </c>
      <c r="B26" s="8" t="s">
        <v>32</v>
      </c>
      <c r="C26" s="8"/>
      <c r="D26" s="16"/>
    </row>
    <row r="27" spans="1:22" ht="15" customHeight="1" x14ac:dyDescent="0.15">
      <c r="A27" s="4" t="s">
        <v>5</v>
      </c>
      <c r="B27" s="5" t="s">
        <v>33</v>
      </c>
      <c r="C27" s="5"/>
      <c r="D27" s="17"/>
    </row>
    <row r="28" spans="1:22" ht="12.75" customHeight="1" x14ac:dyDescent="0.15">
      <c r="A28" s="7" t="s">
        <v>25</v>
      </c>
      <c r="B28" s="8" t="s">
        <v>34</v>
      </c>
      <c r="C28" s="8"/>
      <c r="D28" s="16"/>
    </row>
    <row r="29" spans="1:22" ht="12.75" customHeight="1" x14ac:dyDescent="0.15">
      <c r="A29" s="4" t="s">
        <v>2</v>
      </c>
      <c r="B29" s="5" t="s">
        <v>35</v>
      </c>
      <c r="C29" s="5"/>
      <c r="D29" s="17"/>
    </row>
    <row r="30" spans="1:22" ht="12.75" customHeight="1" x14ac:dyDescent="0.15">
      <c r="A30" s="7" t="s">
        <v>12</v>
      </c>
      <c r="B30" s="8" t="s">
        <v>36</v>
      </c>
      <c r="C30" s="8"/>
      <c r="D30" s="16"/>
    </row>
    <row r="31" spans="1:22" ht="12.75" customHeight="1" x14ac:dyDescent="0.15">
      <c r="A31" s="4" t="s">
        <v>5</v>
      </c>
      <c r="B31" s="5" t="s">
        <v>37</v>
      </c>
      <c r="C31" s="5"/>
      <c r="D31" s="1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8"/>
      <c r="D32" s="1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5"/>
      <c r="D33" s="17"/>
    </row>
    <row r="34" spans="1:22" ht="12.75" customHeight="1" x14ac:dyDescent="0.15">
      <c r="A34" s="7" t="s">
        <v>7</v>
      </c>
      <c r="B34" s="8" t="s">
        <v>39</v>
      </c>
      <c r="C34" s="8"/>
      <c r="D34" s="16"/>
    </row>
    <row r="35" spans="1:22" ht="12.75" customHeight="1" x14ac:dyDescent="0.15">
      <c r="A35" s="4" t="s">
        <v>2</v>
      </c>
      <c r="B35" s="5" t="s">
        <v>40</v>
      </c>
      <c r="C35" s="5"/>
      <c r="D35" s="17"/>
    </row>
    <row r="36" spans="1:22" ht="12.75" customHeight="1" x14ac:dyDescent="0.15">
      <c r="A36" s="7" t="s">
        <v>2</v>
      </c>
      <c r="B36" s="8" t="s">
        <v>41</v>
      </c>
      <c r="C36" s="8"/>
      <c r="D36" s="16"/>
    </row>
    <row r="37" spans="1:22" ht="12.75" customHeight="1" x14ac:dyDescent="0.15">
      <c r="A37" s="4" t="s">
        <v>12</v>
      </c>
      <c r="B37" s="5" t="s">
        <v>42</v>
      </c>
      <c r="C37" s="5"/>
      <c r="D37" s="17"/>
    </row>
    <row r="38" spans="1:22" ht="12.75" customHeight="1" x14ac:dyDescent="0.15">
      <c r="A38" s="4" t="s">
        <v>12</v>
      </c>
      <c r="B38" s="8" t="s">
        <v>43</v>
      </c>
      <c r="C38" s="8"/>
      <c r="D38" s="16"/>
    </row>
    <row r="39" spans="1:22" ht="12.75" customHeight="1" x14ac:dyDescent="0.15">
      <c r="A39" s="4" t="s">
        <v>5</v>
      </c>
      <c r="B39" s="5" t="s">
        <v>44</v>
      </c>
      <c r="C39" s="5"/>
      <c r="D39" s="17"/>
    </row>
    <row r="40" spans="1:22" ht="15" customHeight="1" x14ac:dyDescent="0.15">
      <c r="A40" s="7" t="s">
        <v>5</v>
      </c>
      <c r="B40" s="8" t="s">
        <v>45</v>
      </c>
      <c r="C40" s="8"/>
      <c r="D40" s="1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5"/>
      <c r="D41" s="1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8"/>
      <c r="D42" s="1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5"/>
      <c r="D43" s="1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8"/>
      <c r="D44" s="1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5"/>
      <c r="D45" s="1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8"/>
      <c r="D46" s="1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18"/>
      <c r="D47" s="1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3" t="s">
        <v>52</v>
      </c>
      <c r="C48" s="18"/>
      <c r="D48" s="1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0" t="s">
        <v>53</v>
      </c>
      <c r="C49" s="24"/>
      <c r="D49" s="2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6" t="s">
        <v>54</v>
      </c>
      <c r="C50" s="27"/>
      <c r="D50" s="28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10"/>
      <c r="D51" s="29"/>
    </row>
    <row r="52" spans="1:22" ht="12.75" customHeight="1" x14ac:dyDescent="0.15">
      <c r="A52" s="4" t="s">
        <v>25</v>
      </c>
      <c r="B52" s="5" t="s">
        <v>54</v>
      </c>
      <c r="C52" s="5"/>
      <c r="D52" s="17"/>
    </row>
    <row r="53" spans="1:22" ht="12.75" customHeight="1" x14ac:dyDescent="0.15">
      <c r="A53" s="7" t="s">
        <v>12</v>
      </c>
      <c r="B53" s="8" t="s">
        <v>54</v>
      </c>
      <c r="C53" s="8"/>
      <c r="D53" s="16"/>
    </row>
    <row r="54" spans="1:22" ht="12.75" customHeight="1" x14ac:dyDescent="0.15">
      <c r="A54" s="4" t="s">
        <v>7</v>
      </c>
      <c r="B54" s="5" t="s">
        <v>54</v>
      </c>
      <c r="C54" s="5"/>
      <c r="D54" s="17"/>
    </row>
    <row r="55" spans="1:22" ht="12.75" customHeight="1" x14ac:dyDescent="0.15">
      <c r="A55" s="7" t="s">
        <v>55</v>
      </c>
      <c r="B55" s="8" t="s">
        <v>54</v>
      </c>
      <c r="C55" s="8"/>
      <c r="D55" s="16"/>
    </row>
    <row r="56" spans="1:22" ht="12.75" customHeight="1" x14ac:dyDescent="0.15">
      <c r="A56" s="4" t="s">
        <v>20</v>
      </c>
      <c r="B56" s="5" t="s">
        <v>54</v>
      </c>
      <c r="C56" s="5"/>
      <c r="D56" s="17"/>
    </row>
    <row r="57" spans="1:22" ht="12.75" customHeight="1" x14ac:dyDescent="0.15">
      <c r="A57" s="13"/>
      <c r="B57" s="14"/>
      <c r="C57" s="30"/>
    </row>
    <row r="58" spans="1:22" ht="12.75" customHeight="1" x14ac:dyDescent="0.15">
      <c r="A58" s="13"/>
      <c r="B58" s="14"/>
      <c r="C58" s="30"/>
    </row>
    <row r="59" spans="1:22" ht="12.75" customHeight="1" x14ac:dyDescent="0.15">
      <c r="A59" s="13"/>
      <c r="B59" s="14"/>
      <c r="C59" s="30"/>
    </row>
    <row r="60" spans="1:22" ht="12.75" customHeight="1" x14ac:dyDescent="0.15">
      <c r="A60" s="13"/>
      <c r="B60" s="14"/>
      <c r="C60" s="30"/>
    </row>
    <row r="61" spans="1:22" ht="12.75" customHeight="1" x14ac:dyDescent="0.15">
      <c r="A61" s="13"/>
      <c r="B61" s="14"/>
      <c r="C61" s="30"/>
    </row>
    <row r="62" spans="1:22" ht="12.75" customHeight="1" x14ac:dyDescent="0.15">
      <c r="A62" s="13"/>
      <c r="B62" s="14"/>
      <c r="C62" s="30"/>
    </row>
    <row r="63" spans="1:22" ht="12.75" customHeight="1" x14ac:dyDescent="0.15">
      <c r="A63" s="13"/>
      <c r="B63" s="14"/>
      <c r="C63" s="30"/>
    </row>
    <row r="64" spans="1:22" ht="12.75" customHeight="1" x14ac:dyDescent="0.15">
      <c r="A64" s="13"/>
      <c r="B64" s="14"/>
      <c r="C64" s="30"/>
    </row>
    <row r="65" spans="1:3" ht="12.75" customHeight="1" x14ac:dyDescent="0.15">
      <c r="A65" s="13"/>
      <c r="B65" s="14"/>
      <c r="C65" s="30"/>
    </row>
    <row r="66" spans="1:3" ht="12.75" customHeight="1" x14ac:dyDescent="0.15">
      <c r="A66" s="13"/>
      <c r="B66" s="14"/>
      <c r="C66" s="30"/>
    </row>
    <row r="67" spans="1:3" ht="12.75" customHeight="1" x14ac:dyDescent="0.15">
      <c r="A67" s="13"/>
      <c r="B67" s="14"/>
      <c r="C67" s="30"/>
    </row>
    <row r="68" spans="1:3" ht="12.75" customHeight="1" x14ac:dyDescent="0.15">
      <c r="A68" s="13"/>
      <c r="B68" s="14"/>
      <c r="C68" s="30"/>
    </row>
    <row r="69" spans="1:3" ht="12.75" customHeight="1" x14ac:dyDescent="0.15">
      <c r="A69" s="13"/>
      <c r="B69" s="14"/>
      <c r="C69" s="30"/>
    </row>
    <row r="70" spans="1:3" ht="12.75" customHeight="1" x14ac:dyDescent="0.15">
      <c r="A70" s="13"/>
      <c r="B70" s="14"/>
      <c r="C70" s="30"/>
    </row>
    <row r="71" spans="1:3" ht="12.75" customHeight="1" x14ac:dyDescent="0.15">
      <c r="A71" s="13"/>
      <c r="B71" s="14"/>
      <c r="C71" s="30"/>
    </row>
    <row r="72" spans="1:3" ht="12.75" customHeight="1" x14ac:dyDescent="0.15">
      <c r="A72" s="13"/>
      <c r="B72" s="14"/>
      <c r="C72" s="30"/>
    </row>
    <row r="73" spans="1:3" ht="12.75" customHeight="1" x14ac:dyDescent="0.15">
      <c r="A73" s="13"/>
      <c r="B73" s="14"/>
      <c r="C73" s="30"/>
    </row>
    <row r="74" spans="1:3" ht="12.75" customHeight="1" x14ac:dyDescent="0.15">
      <c r="A74" s="13"/>
      <c r="B74" s="14"/>
      <c r="C74" s="30"/>
    </row>
    <row r="75" spans="1:3" ht="12.75" customHeight="1" x14ac:dyDescent="0.15">
      <c r="A75" s="13"/>
      <c r="B75" s="14"/>
      <c r="C75" s="30"/>
    </row>
    <row r="76" spans="1:3" ht="12.75" customHeight="1" x14ac:dyDescent="0.15">
      <c r="A76" s="13"/>
      <c r="B76" s="14"/>
      <c r="C76" s="30"/>
    </row>
    <row r="77" spans="1:3" ht="12.75" customHeight="1" x14ac:dyDescent="0.15">
      <c r="A77" s="13"/>
      <c r="B77" s="14"/>
      <c r="C77" s="30"/>
    </row>
    <row r="78" spans="1:3" ht="12.75" customHeight="1" x14ac:dyDescent="0.15">
      <c r="A78" s="13"/>
      <c r="B78" s="14"/>
      <c r="C78" s="30"/>
    </row>
    <row r="79" spans="1:3" ht="12.75" customHeight="1" x14ac:dyDescent="0.15">
      <c r="A79" s="13"/>
      <c r="B79" s="14"/>
      <c r="C79" s="30"/>
    </row>
    <row r="80" spans="1:3" ht="12.75" customHeight="1" x14ac:dyDescent="0.15">
      <c r="A80" s="13"/>
      <c r="B80" s="14"/>
      <c r="C80" s="30"/>
    </row>
    <row r="81" spans="1:3" ht="12.75" customHeight="1" x14ac:dyDescent="0.15">
      <c r="A81" s="13"/>
      <c r="B81" s="14"/>
      <c r="C81" s="30"/>
    </row>
    <row r="82" spans="1:3" ht="12.75" customHeight="1" x14ac:dyDescent="0.15">
      <c r="A82" s="13"/>
      <c r="B82" s="14"/>
      <c r="C82" s="30"/>
    </row>
    <row r="83" spans="1:3" ht="12.75" customHeight="1" x14ac:dyDescent="0.15">
      <c r="A83" s="13"/>
      <c r="B83" s="14"/>
      <c r="C83" s="30"/>
    </row>
    <row r="84" spans="1:3" ht="12.75" customHeight="1" x14ac:dyDescent="0.15">
      <c r="A84" s="13"/>
      <c r="B84" s="14"/>
      <c r="C84" s="30"/>
    </row>
    <row r="85" spans="1:3" ht="12.75" customHeight="1" x14ac:dyDescent="0.15">
      <c r="A85" s="13"/>
      <c r="B85" s="14"/>
      <c r="C85" s="30"/>
    </row>
    <row r="86" spans="1:3" ht="12.75" customHeight="1" x14ac:dyDescent="0.15">
      <c r="A86" s="13"/>
      <c r="B86" s="14"/>
      <c r="C86" s="30"/>
    </row>
    <row r="87" spans="1:3" ht="12.75" customHeight="1" x14ac:dyDescent="0.15">
      <c r="A87" s="13"/>
      <c r="B87" s="14"/>
      <c r="C87" s="30"/>
    </row>
    <row r="88" spans="1:3" ht="12.75" customHeight="1" x14ac:dyDescent="0.15">
      <c r="A88" s="13"/>
      <c r="B88" s="14"/>
      <c r="C88" s="30"/>
    </row>
    <row r="89" spans="1:3" ht="12.75" customHeight="1" x14ac:dyDescent="0.15">
      <c r="A89" s="13"/>
      <c r="B89" s="14"/>
      <c r="C89" s="30"/>
    </row>
    <row r="90" spans="1:3" ht="12.75" customHeight="1" x14ac:dyDescent="0.15">
      <c r="A90" s="13"/>
      <c r="B90" s="14"/>
      <c r="C90" s="30"/>
    </row>
    <row r="91" spans="1:3" ht="12.75" customHeight="1" x14ac:dyDescent="0.15">
      <c r="A91" s="13"/>
      <c r="B91" s="14"/>
      <c r="C91" s="30"/>
    </row>
    <row r="92" spans="1:3" ht="12.75" customHeight="1" x14ac:dyDescent="0.15">
      <c r="A92" s="13"/>
      <c r="B92" s="14"/>
      <c r="C92" s="30"/>
    </row>
    <row r="93" spans="1:3" ht="12.75" customHeight="1" x14ac:dyDescent="0.15">
      <c r="A93" s="13"/>
      <c r="B93" s="14"/>
      <c r="C93" s="30"/>
    </row>
    <row r="94" spans="1:3" ht="12.75" customHeight="1" x14ac:dyDescent="0.15">
      <c r="A94" s="13"/>
      <c r="B94" s="14"/>
      <c r="C94" s="30"/>
    </row>
    <row r="95" spans="1:3" ht="12.75" customHeight="1" x14ac:dyDescent="0.15">
      <c r="A95" s="13"/>
      <c r="B95" s="14"/>
      <c r="C95" s="30"/>
    </row>
    <row r="96" spans="1:3" ht="12.75" customHeight="1" x14ac:dyDescent="0.15">
      <c r="A96" s="13"/>
      <c r="B96" s="14"/>
      <c r="C96" s="30"/>
    </row>
    <row r="97" spans="1:3" ht="12.75" customHeight="1" x14ac:dyDescent="0.15">
      <c r="A97" s="13"/>
      <c r="B97" s="14"/>
      <c r="C97" s="30"/>
    </row>
    <row r="98" spans="1:3" ht="12.75" customHeight="1" x14ac:dyDescent="0.15">
      <c r="A98" s="13"/>
      <c r="B98" s="14"/>
      <c r="C98" s="30"/>
    </row>
    <row r="99" spans="1:3" ht="12.75" customHeight="1" x14ac:dyDescent="0.15">
      <c r="A99" s="13"/>
      <c r="B99" s="14"/>
      <c r="C99" s="30"/>
    </row>
    <row r="100" spans="1:3" ht="12.75" customHeight="1" x14ac:dyDescent="0.15">
      <c r="A100" s="13"/>
      <c r="B100" s="14"/>
      <c r="C100" s="30"/>
    </row>
    <row r="101" spans="1:3" ht="12.75" customHeight="1" x14ac:dyDescent="0.15">
      <c r="A101" s="13"/>
      <c r="B101" s="14"/>
      <c r="C101" s="30"/>
    </row>
    <row r="102" spans="1:3" ht="12.75" customHeight="1" x14ac:dyDescent="0.15">
      <c r="A102" s="13"/>
      <c r="B102" s="14"/>
      <c r="C102" s="30"/>
    </row>
    <row r="103" spans="1:3" ht="12.75" customHeight="1" x14ac:dyDescent="0.15">
      <c r="A103" s="13"/>
      <c r="B103" s="14"/>
      <c r="C103" s="30"/>
    </row>
    <row r="104" spans="1:3" ht="12.75" customHeight="1" x14ac:dyDescent="0.15">
      <c r="A104" s="13"/>
      <c r="B104" s="14"/>
      <c r="C104" s="30"/>
    </row>
    <row r="105" spans="1:3" ht="12.75" customHeight="1" x14ac:dyDescent="0.15">
      <c r="A105" s="13"/>
      <c r="B105" s="14"/>
      <c r="C105" s="30"/>
    </row>
    <row r="106" spans="1:3" ht="12.75" customHeight="1" x14ac:dyDescent="0.15">
      <c r="A106" s="13"/>
      <c r="B106" s="14"/>
      <c r="C106" s="30"/>
    </row>
    <row r="107" spans="1:3" ht="12.75" customHeight="1" x14ac:dyDescent="0.15">
      <c r="A107" s="13"/>
      <c r="B107" s="14"/>
      <c r="C107" s="30"/>
    </row>
    <row r="108" spans="1:3" ht="12.75" customHeight="1" x14ac:dyDescent="0.15">
      <c r="A108" s="13"/>
      <c r="B108" s="14"/>
      <c r="C108" s="30"/>
    </row>
    <row r="109" spans="1:3" ht="12.75" customHeight="1" x14ac:dyDescent="0.15">
      <c r="A109" s="13"/>
      <c r="B109" s="14"/>
      <c r="C109" s="30"/>
    </row>
    <row r="110" spans="1:3" ht="12.75" customHeight="1" x14ac:dyDescent="0.15">
      <c r="A110" s="13"/>
      <c r="B110" s="14"/>
      <c r="C110" s="30"/>
    </row>
    <row r="111" spans="1:3" ht="12.75" customHeight="1" x14ac:dyDescent="0.15">
      <c r="A111" s="13"/>
      <c r="B111" s="14"/>
      <c r="C111" s="30"/>
    </row>
    <row r="112" spans="1:3" ht="12.75" customHeight="1" x14ac:dyDescent="0.15">
      <c r="A112" s="13"/>
      <c r="B112" s="14"/>
      <c r="C112" s="30"/>
    </row>
    <row r="113" spans="1:3" ht="12.75" customHeight="1" x14ac:dyDescent="0.15">
      <c r="A113" s="13"/>
      <c r="B113" s="14"/>
      <c r="C113" s="30"/>
    </row>
    <row r="114" spans="1:3" ht="12.75" customHeight="1" x14ac:dyDescent="0.15">
      <c r="A114" s="13"/>
      <c r="B114" s="14"/>
      <c r="C114" s="30"/>
    </row>
    <row r="115" spans="1:3" ht="12.75" customHeight="1" x14ac:dyDescent="0.15">
      <c r="A115" s="13"/>
      <c r="B115" s="14"/>
      <c r="C115" s="30"/>
    </row>
    <row r="116" spans="1:3" ht="12.75" customHeight="1" x14ac:dyDescent="0.15">
      <c r="A116" s="13"/>
      <c r="B116" s="14"/>
      <c r="C116" s="30"/>
    </row>
    <row r="117" spans="1:3" ht="12.75" customHeight="1" x14ac:dyDescent="0.15">
      <c r="A117" s="13"/>
      <c r="B117" s="14"/>
      <c r="C117" s="30"/>
    </row>
    <row r="118" spans="1:3" ht="12.75" customHeight="1" x14ac:dyDescent="0.15">
      <c r="A118" s="13"/>
      <c r="B118" s="14"/>
      <c r="C118" s="30"/>
    </row>
    <row r="119" spans="1:3" ht="12.75" customHeight="1" x14ac:dyDescent="0.15">
      <c r="A119" s="13"/>
      <c r="B119" s="14"/>
      <c r="C119" s="30"/>
    </row>
    <row r="120" spans="1:3" ht="12.75" customHeight="1" x14ac:dyDescent="0.15">
      <c r="A120" s="13"/>
      <c r="B120" s="14"/>
      <c r="C120" s="30"/>
    </row>
    <row r="121" spans="1:3" ht="12.75" customHeight="1" x14ac:dyDescent="0.15">
      <c r="A121" s="13"/>
      <c r="B121" s="14"/>
      <c r="C121" s="30"/>
    </row>
    <row r="122" spans="1:3" ht="12.75" customHeight="1" x14ac:dyDescent="0.15">
      <c r="A122" s="13"/>
      <c r="B122" s="14"/>
      <c r="C122" s="30"/>
    </row>
    <row r="123" spans="1:3" ht="12.75" customHeight="1" x14ac:dyDescent="0.15">
      <c r="A123" s="13"/>
      <c r="B123" s="14"/>
      <c r="C123" s="30"/>
    </row>
    <row r="124" spans="1:3" ht="12.75" customHeight="1" x14ac:dyDescent="0.15">
      <c r="A124" s="13"/>
      <c r="B124" s="14"/>
      <c r="C124" s="30"/>
    </row>
    <row r="125" spans="1:3" ht="12.75" customHeight="1" x14ac:dyDescent="0.15">
      <c r="A125" s="13"/>
      <c r="B125" s="14"/>
      <c r="C125" s="30"/>
    </row>
    <row r="126" spans="1:3" ht="12.75" customHeight="1" x14ac:dyDescent="0.15">
      <c r="A126" s="13"/>
      <c r="B126" s="14"/>
      <c r="C126" s="30"/>
    </row>
    <row r="127" spans="1:3" ht="12.75" customHeight="1" x14ac:dyDescent="0.15">
      <c r="A127" s="13"/>
      <c r="B127" s="14"/>
      <c r="C127" s="30"/>
    </row>
    <row r="128" spans="1:3" ht="12.75" customHeight="1" x14ac:dyDescent="0.15">
      <c r="A128" s="13"/>
      <c r="B128" s="14"/>
      <c r="C128" s="30"/>
    </row>
    <row r="129" spans="1:3" ht="12.75" customHeight="1" x14ac:dyDescent="0.15">
      <c r="A129" s="13"/>
      <c r="B129" s="14"/>
      <c r="C129" s="30"/>
    </row>
    <row r="130" spans="1:3" ht="12.75" customHeight="1" x14ac:dyDescent="0.15">
      <c r="A130" s="13"/>
      <c r="B130" s="14"/>
      <c r="C130" s="30"/>
    </row>
    <row r="131" spans="1:3" ht="12.75" customHeight="1" x14ac:dyDescent="0.15">
      <c r="A131" s="13"/>
      <c r="B131" s="14"/>
      <c r="C131" s="30"/>
    </row>
    <row r="132" spans="1:3" ht="12.75" customHeight="1" x14ac:dyDescent="0.15">
      <c r="A132" s="13"/>
      <c r="B132" s="14"/>
      <c r="C132" s="30"/>
    </row>
    <row r="133" spans="1:3" ht="12.75" customHeight="1" x14ac:dyDescent="0.15">
      <c r="A133" s="13"/>
      <c r="B133" s="14"/>
      <c r="C133" s="30"/>
    </row>
    <row r="134" spans="1:3" ht="12.75" customHeight="1" x14ac:dyDescent="0.15">
      <c r="A134" s="13"/>
      <c r="B134" s="14"/>
      <c r="C134" s="30"/>
    </row>
    <row r="135" spans="1:3" ht="12.75" customHeight="1" x14ac:dyDescent="0.15">
      <c r="A135" s="13"/>
      <c r="B135" s="14"/>
      <c r="C135" s="30"/>
    </row>
    <row r="136" spans="1:3" ht="12.75" customHeight="1" x14ac:dyDescent="0.15">
      <c r="A136" s="13"/>
      <c r="B136" s="14"/>
      <c r="C136" s="30"/>
    </row>
    <row r="137" spans="1:3" ht="12.75" customHeight="1" x14ac:dyDescent="0.15">
      <c r="A137" s="13"/>
      <c r="B137" s="14"/>
      <c r="C137" s="30"/>
    </row>
    <row r="138" spans="1:3" ht="12.75" customHeight="1" x14ac:dyDescent="0.15">
      <c r="A138" s="13"/>
      <c r="B138" s="14"/>
      <c r="C138" s="30"/>
    </row>
    <row r="139" spans="1:3" ht="12.75" customHeight="1" x14ac:dyDescent="0.15">
      <c r="A139" s="13"/>
      <c r="B139" s="14"/>
      <c r="C139" s="30"/>
    </row>
    <row r="140" spans="1:3" ht="12.75" customHeight="1" x14ac:dyDescent="0.15">
      <c r="A140" s="13"/>
      <c r="B140" s="14"/>
      <c r="C140" s="30"/>
    </row>
    <row r="141" spans="1:3" ht="12.75" customHeight="1" x14ac:dyDescent="0.15">
      <c r="A141" s="13"/>
      <c r="B141" s="14"/>
      <c r="C141" s="30"/>
    </row>
    <row r="142" spans="1:3" ht="12.75" customHeight="1" x14ac:dyDescent="0.15">
      <c r="A142" s="13"/>
      <c r="B142" s="14"/>
      <c r="C142" s="30"/>
    </row>
    <row r="143" spans="1:3" ht="12.75" customHeight="1" x14ac:dyDescent="0.15">
      <c r="A143" s="13"/>
      <c r="B143" s="14"/>
      <c r="C143" s="30"/>
    </row>
    <row r="144" spans="1:3" ht="12.75" customHeight="1" x14ac:dyDescent="0.15">
      <c r="A144" s="13"/>
      <c r="B144" s="14"/>
      <c r="C144" s="30"/>
    </row>
    <row r="145" spans="1:3" ht="12.75" customHeight="1" x14ac:dyDescent="0.15">
      <c r="A145" s="13"/>
      <c r="B145" s="14"/>
      <c r="C145" s="30"/>
    </row>
    <row r="146" spans="1:3" ht="12.75" customHeight="1" x14ac:dyDescent="0.15">
      <c r="A146" s="13"/>
      <c r="B146" s="14"/>
      <c r="C146" s="30"/>
    </row>
    <row r="147" spans="1:3" ht="12.75" customHeight="1" x14ac:dyDescent="0.15">
      <c r="A147" s="13"/>
      <c r="B147" s="14"/>
      <c r="C147" s="30"/>
    </row>
    <row r="148" spans="1:3" ht="12.75" customHeight="1" x14ac:dyDescent="0.15">
      <c r="A148" s="13"/>
      <c r="B148" s="14"/>
      <c r="C148" s="30"/>
    </row>
    <row r="149" spans="1:3" ht="12.75" customHeight="1" x14ac:dyDescent="0.15">
      <c r="A149" s="13"/>
      <c r="B149" s="14"/>
      <c r="C149" s="30"/>
    </row>
    <row r="150" spans="1:3" ht="12.75" customHeight="1" x14ac:dyDescent="0.15">
      <c r="A150" s="13"/>
      <c r="B150" s="14"/>
      <c r="C150" s="30"/>
    </row>
    <row r="151" spans="1:3" ht="12.75" customHeight="1" x14ac:dyDescent="0.15">
      <c r="A151" s="13"/>
      <c r="B151" s="14"/>
      <c r="C151" s="30"/>
    </row>
    <row r="152" spans="1:3" ht="12.75" customHeight="1" x14ac:dyDescent="0.15">
      <c r="A152" s="13"/>
      <c r="B152" s="14"/>
      <c r="C152" s="30"/>
    </row>
    <row r="153" spans="1:3" ht="12.75" customHeight="1" x14ac:dyDescent="0.15">
      <c r="A153" s="13"/>
      <c r="B153" s="14"/>
      <c r="C153" s="30"/>
    </row>
    <row r="154" spans="1:3" ht="12.75" customHeight="1" x14ac:dyDescent="0.15">
      <c r="A154" s="13"/>
      <c r="B154" s="14"/>
      <c r="C154" s="30"/>
    </row>
    <row r="155" spans="1:3" ht="12.75" customHeight="1" x14ac:dyDescent="0.15">
      <c r="A155" s="13"/>
      <c r="B155" s="14"/>
      <c r="C155" s="30"/>
    </row>
    <row r="156" spans="1:3" ht="12.75" customHeight="1" x14ac:dyDescent="0.15">
      <c r="A156" s="13"/>
      <c r="B156" s="14"/>
      <c r="C156" s="30"/>
    </row>
    <row r="157" spans="1:3" ht="12.75" customHeight="1" x14ac:dyDescent="0.15">
      <c r="A157" s="13"/>
      <c r="B157" s="14"/>
      <c r="C157" s="30"/>
    </row>
    <row r="158" spans="1:3" ht="12.75" customHeight="1" x14ac:dyDescent="0.15">
      <c r="A158" s="13"/>
      <c r="B158" s="14"/>
      <c r="C158" s="30"/>
    </row>
    <row r="159" spans="1:3" ht="12.75" customHeight="1" x14ac:dyDescent="0.15">
      <c r="A159" s="13"/>
      <c r="B159" s="14"/>
      <c r="C159" s="30"/>
    </row>
    <row r="160" spans="1:3" ht="12.75" customHeight="1" x14ac:dyDescent="0.15">
      <c r="A160" s="13"/>
      <c r="B160" s="14"/>
      <c r="C160" s="30"/>
    </row>
    <row r="161" spans="1:3" ht="12.75" customHeight="1" x14ac:dyDescent="0.15">
      <c r="A161" s="13"/>
      <c r="B161" s="14"/>
      <c r="C161" s="30"/>
    </row>
    <row r="162" spans="1:3" ht="12.75" customHeight="1" x14ac:dyDescent="0.15">
      <c r="A162" s="13"/>
      <c r="B162" s="14"/>
      <c r="C162" s="30"/>
    </row>
    <row r="163" spans="1:3" ht="12.75" customHeight="1" x14ac:dyDescent="0.15">
      <c r="A163" s="13"/>
      <c r="B163" s="14"/>
      <c r="C163" s="30"/>
    </row>
    <row r="164" spans="1:3" ht="12.75" customHeight="1" x14ac:dyDescent="0.15">
      <c r="A164" s="13"/>
      <c r="B164" s="14"/>
      <c r="C164" s="30"/>
    </row>
    <row r="165" spans="1:3" ht="12.75" customHeight="1" x14ac:dyDescent="0.15">
      <c r="A165" s="13"/>
      <c r="B165" s="14"/>
      <c r="C165" s="30"/>
    </row>
    <row r="166" spans="1:3" ht="12.75" customHeight="1" x14ac:dyDescent="0.15">
      <c r="A166" s="13"/>
      <c r="B166" s="14"/>
      <c r="C166" s="30"/>
    </row>
    <row r="167" spans="1:3" ht="12.75" customHeight="1" x14ac:dyDescent="0.15">
      <c r="A167" s="13"/>
      <c r="B167" s="14"/>
      <c r="C167" s="30"/>
    </row>
    <row r="168" spans="1:3" ht="12.75" customHeight="1" x14ac:dyDescent="0.15">
      <c r="A168" s="13"/>
      <c r="B168" s="14"/>
      <c r="C168" s="30"/>
    </row>
    <row r="169" spans="1:3" ht="12.75" customHeight="1" x14ac:dyDescent="0.15">
      <c r="A169" s="13"/>
      <c r="B169" s="14"/>
      <c r="C169" s="30"/>
    </row>
    <row r="170" spans="1:3" ht="12.75" customHeight="1" x14ac:dyDescent="0.15">
      <c r="A170" s="13"/>
      <c r="B170" s="14"/>
      <c r="C170" s="30"/>
    </row>
    <row r="171" spans="1:3" ht="12.75" customHeight="1" x14ac:dyDescent="0.15">
      <c r="A171" s="13"/>
      <c r="B171" s="14"/>
      <c r="C171" s="30"/>
    </row>
    <row r="172" spans="1:3" ht="12.75" customHeight="1" x14ac:dyDescent="0.15">
      <c r="A172" s="13"/>
      <c r="B172" s="14"/>
      <c r="C172" s="30"/>
    </row>
    <row r="173" spans="1:3" ht="12.75" customHeight="1" x14ac:dyDescent="0.15">
      <c r="A173" s="13"/>
      <c r="B173" s="14"/>
      <c r="C173" s="30"/>
    </row>
    <row r="174" spans="1:3" ht="12.75" customHeight="1" x14ac:dyDescent="0.15">
      <c r="A174" s="13"/>
      <c r="B174" s="14"/>
      <c r="C174" s="30"/>
    </row>
    <row r="175" spans="1:3" ht="12.75" customHeight="1" x14ac:dyDescent="0.15">
      <c r="A175" s="13"/>
      <c r="B175" s="14"/>
      <c r="C175" s="30"/>
    </row>
    <row r="176" spans="1:3" ht="12.75" customHeight="1" x14ac:dyDescent="0.15">
      <c r="A176" s="13"/>
      <c r="B176" s="14"/>
      <c r="C176" s="30"/>
    </row>
    <row r="177" spans="1:3" ht="12.75" customHeight="1" x14ac:dyDescent="0.15">
      <c r="A177" s="13"/>
      <c r="B177" s="14"/>
      <c r="C177" s="30"/>
    </row>
    <row r="178" spans="1:3" ht="12.75" customHeight="1" x14ac:dyDescent="0.15">
      <c r="A178" s="13"/>
      <c r="B178" s="14"/>
      <c r="C178" s="30"/>
    </row>
    <row r="179" spans="1:3" ht="12.75" customHeight="1" x14ac:dyDescent="0.15">
      <c r="A179" s="13"/>
      <c r="B179" s="14"/>
      <c r="C179" s="30"/>
    </row>
    <row r="180" spans="1:3" ht="12.75" customHeight="1" x14ac:dyDescent="0.15">
      <c r="A180" s="13"/>
      <c r="B180" s="14"/>
      <c r="C180" s="30"/>
    </row>
    <row r="181" spans="1:3" ht="12.75" customHeight="1" x14ac:dyDescent="0.15">
      <c r="A181" s="13"/>
      <c r="B181" s="14"/>
      <c r="C181" s="30"/>
    </row>
    <row r="182" spans="1:3" ht="12.75" customHeight="1" x14ac:dyDescent="0.15">
      <c r="A182" s="13"/>
      <c r="B182" s="14"/>
      <c r="C182" s="30"/>
    </row>
    <row r="183" spans="1:3" ht="12.75" customHeight="1" x14ac:dyDescent="0.15">
      <c r="A183" s="13"/>
      <c r="B183" s="14"/>
      <c r="C183" s="30"/>
    </row>
    <row r="184" spans="1:3" ht="12.75" customHeight="1" x14ac:dyDescent="0.15">
      <c r="A184" s="13"/>
      <c r="B184" s="14"/>
      <c r="C184" s="30"/>
    </row>
    <row r="185" spans="1:3" ht="12.75" customHeight="1" x14ac:dyDescent="0.15">
      <c r="A185" s="13"/>
      <c r="B185" s="14"/>
      <c r="C185" s="30"/>
    </row>
    <row r="186" spans="1:3" ht="12.75" customHeight="1" x14ac:dyDescent="0.15">
      <c r="A186" s="13"/>
      <c r="B186" s="14"/>
      <c r="C186" s="30"/>
    </row>
    <row r="187" spans="1:3" ht="12.75" customHeight="1" x14ac:dyDescent="0.15">
      <c r="A187" s="13"/>
      <c r="B187" s="14"/>
      <c r="C187" s="30"/>
    </row>
    <row r="188" spans="1:3" ht="12.75" customHeight="1" x14ac:dyDescent="0.15">
      <c r="A188" s="13"/>
      <c r="B188" s="14"/>
      <c r="C188" s="30"/>
    </row>
    <row r="189" spans="1:3" ht="12.75" customHeight="1" x14ac:dyDescent="0.15">
      <c r="A189" s="13"/>
      <c r="B189" s="14"/>
      <c r="C189" s="30"/>
    </row>
    <row r="190" spans="1:3" ht="12.75" customHeight="1" x14ac:dyDescent="0.15">
      <c r="A190" s="13"/>
      <c r="B190" s="14"/>
      <c r="C190" s="30"/>
    </row>
    <row r="191" spans="1:3" ht="12.75" customHeight="1" x14ac:dyDescent="0.15">
      <c r="A191" s="13"/>
      <c r="B191" s="14"/>
      <c r="C191" s="30"/>
    </row>
    <row r="192" spans="1:3" ht="12.75" customHeight="1" x14ac:dyDescent="0.15">
      <c r="A192" s="13"/>
      <c r="B192" s="14"/>
      <c r="C192" s="30"/>
    </row>
    <row r="193" spans="1:3" ht="12.75" customHeight="1" x14ac:dyDescent="0.15">
      <c r="A193" s="13"/>
      <c r="B193" s="14"/>
      <c r="C193" s="30"/>
    </row>
    <row r="194" spans="1:3" ht="12.75" customHeight="1" x14ac:dyDescent="0.15">
      <c r="A194" s="13"/>
      <c r="B194" s="14"/>
      <c r="C194" s="30"/>
    </row>
    <row r="195" spans="1:3" ht="12.75" customHeight="1" x14ac:dyDescent="0.15">
      <c r="A195" s="13"/>
      <c r="B195" s="14"/>
      <c r="C195" s="30"/>
    </row>
    <row r="196" spans="1:3" ht="12.75" customHeight="1" x14ac:dyDescent="0.15">
      <c r="A196" s="13"/>
      <c r="B196" s="14"/>
      <c r="C196" s="30"/>
    </row>
    <row r="197" spans="1:3" ht="12.75" customHeight="1" x14ac:dyDescent="0.15">
      <c r="A197" s="13"/>
      <c r="B197" s="14"/>
      <c r="C197" s="30"/>
    </row>
    <row r="198" spans="1:3" ht="12.75" customHeight="1" x14ac:dyDescent="0.15">
      <c r="A198" s="13"/>
      <c r="B198" s="14"/>
      <c r="C198" s="30"/>
    </row>
    <row r="199" spans="1:3" ht="12.75" customHeight="1" x14ac:dyDescent="0.15">
      <c r="A199" s="13"/>
      <c r="B199" s="14"/>
      <c r="C199" s="30"/>
    </row>
    <row r="200" spans="1:3" ht="12.75" customHeight="1" x14ac:dyDescent="0.15">
      <c r="A200" s="13"/>
      <c r="B200" s="14"/>
      <c r="C200" s="30"/>
    </row>
    <row r="201" spans="1:3" ht="12.75" customHeight="1" x14ac:dyDescent="0.15">
      <c r="A201" s="13"/>
      <c r="B201" s="14"/>
      <c r="C201" s="30"/>
    </row>
    <row r="202" spans="1:3" ht="12.75" customHeight="1" x14ac:dyDescent="0.15">
      <c r="A202" s="13"/>
      <c r="B202" s="14"/>
      <c r="C202" s="30"/>
    </row>
    <row r="203" spans="1:3" ht="12.75" customHeight="1" x14ac:dyDescent="0.15">
      <c r="A203" s="13"/>
      <c r="B203" s="14"/>
      <c r="C203" s="30"/>
    </row>
    <row r="204" spans="1:3" ht="12.75" customHeight="1" x14ac:dyDescent="0.15">
      <c r="A204" s="13"/>
      <c r="B204" s="14"/>
      <c r="C204" s="30"/>
    </row>
    <row r="205" spans="1:3" ht="12.75" customHeight="1" x14ac:dyDescent="0.15">
      <c r="A205" s="13"/>
      <c r="B205" s="14"/>
      <c r="C205" s="30"/>
    </row>
    <row r="206" spans="1:3" ht="12.75" customHeight="1" x14ac:dyDescent="0.15">
      <c r="A206" s="13"/>
      <c r="B206" s="14"/>
      <c r="C206" s="30"/>
    </row>
    <row r="207" spans="1:3" ht="12.75" customHeight="1" x14ac:dyDescent="0.15">
      <c r="A207" s="13"/>
      <c r="B207" s="14"/>
      <c r="C207" s="30"/>
    </row>
    <row r="208" spans="1:3" ht="12.75" customHeight="1" x14ac:dyDescent="0.15">
      <c r="A208" s="13"/>
      <c r="B208" s="14"/>
      <c r="C208" s="30"/>
    </row>
    <row r="209" spans="1:3" ht="12.75" customHeight="1" x14ac:dyDescent="0.15">
      <c r="A209" s="13"/>
      <c r="B209" s="14"/>
      <c r="C209" s="30"/>
    </row>
    <row r="210" spans="1:3" ht="12.75" customHeight="1" x14ac:dyDescent="0.15">
      <c r="A210" s="13"/>
      <c r="B210" s="14"/>
      <c r="C210" s="30"/>
    </row>
    <row r="211" spans="1:3" ht="12.75" customHeight="1" x14ac:dyDescent="0.15">
      <c r="A211" s="13"/>
      <c r="B211" s="14"/>
      <c r="C211" s="30"/>
    </row>
    <row r="212" spans="1:3" ht="12.75" customHeight="1" x14ac:dyDescent="0.15">
      <c r="A212" s="13"/>
      <c r="B212" s="14"/>
      <c r="C212" s="30"/>
    </row>
    <row r="213" spans="1:3" ht="12.75" customHeight="1" x14ac:dyDescent="0.15">
      <c r="A213" s="13"/>
      <c r="B213" s="14"/>
      <c r="C213" s="30"/>
    </row>
    <row r="214" spans="1:3" ht="12.75" customHeight="1" x14ac:dyDescent="0.15">
      <c r="A214" s="13"/>
      <c r="B214" s="14"/>
      <c r="C214" s="30"/>
    </row>
    <row r="215" spans="1:3" ht="12.75" customHeight="1" x14ac:dyDescent="0.15">
      <c r="A215" s="13"/>
      <c r="B215" s="14"/>
      <c r="C215" s="30"/>
    </row>
    <row r="216" spans="1:3" ht="12.75" customHeight="1" x14ac:dyDescent="0.15">
      <c r="A216" s="13"/>
      <c r="B216" s="14"/>
      <c r="C216" s="30"/>
    </row>
    <row r="217" spans="1:3" ht="12.75" customHeight="1" x14ac:dyDescent="0.15">
      <c r="A217" s="13"/>
      <c r="B217" s="14"/>
      <c r="C217" s="30"/>
    </row>
    <row r="218" spans="1:3" ht="12.75" customHeight="1" x14ac:dyDescent="0.15">
      <c r="A218" s="13"/>
      <c r="B218" s="14"/>
      <c r="C218" s="30"/>
    </row>
    <row r="219" spans="1:3" ht="12.75" customHeight="1" x14ac:dyDescent="0.15">
      <c r="A219" s="13"/>
      <c r="B219" s="14"/>
      <c r="C219" s="30"/>
    </row>
    <row r="220" spans="1:3" ht="12.75" customHeight="1" x14ac:dyDescent="0.15">
      <c r="A220" s="13"/>
      <c r="B220" s="14"/>
      <c r="C220" s="30"/>
    </row>
    <row r="221" spans="1:3" ht="12.75" customHeight="1" x14ac:dyDescent="0.15">
      <c r="A221" s="13"/>
      <c r="B221" s="14"/>
      <c r="C221" s="30"/>
    </row>
    <row r="222" spans="1:3" ht="12.75" customHeight="1" x14ac:dyDescent="0.15">
      <c r="A222" s="13"/>
      <c r="B222" s="14"/>
      <c r="C222" s="30"/>
    </row>
    <row r="223" spans="1:3" ht="12.75" customHeight="1" x14ac:dyDescent="0.15">
      <c r="A223" s="13"/>
      <c r="B223" s="14"/>
      <c r="C223" s="30"/>
    </row>
    <row r="224" spans="1:3" ht="12.75" customHeight="1" x14ac:dyDescent="0.15">
      <c r="A224" s="13"/>
      <c r="B224" s="14"/>
      <c r="C224" s="30"/>
    </row>
    <row r="225" spans="1:3" ht="12.75" customHeight="1" x14ac:dyDescent="0.15">
      <c r="A225" s="13"/>
      <c r="B225" s="14"/>
      <c r="C225" s="30"/>
    </row>
    <row r="226" spans="1:3" ht="12.75" customHeight="1" x14ac:dyDescent="0.15">
      <c r="A226" s="13"/>
      <c r="B226" s="14"/>
      <c r="C226" s="30"/>
    </row>
    <row r="227" spans="1:3" ht="12.75" customHeight="1" x14ac:dyDescent="0.15">
      <c r="A227" s="13"/>
      <c r="B227" s="14"/>
      <c r="C227" s="30"/>
    </row>
    <row r="228" spans="1:3" ht="12.75" customHeight="1" x14ac:dyDescent="0.15">
      <c r="A228" s="13"/>
      <c r="B228" s="14"/>
      <c r="C228" s="30"/>
    </row>
    <row r="229" spans="1:3" ht="12.75" customHeight="1" x14ac:dyDescent="0.15">
      <c r="A229" s="13"/>
      <c r="B229" s="14"/>
      <c r="C229" s="30"/>
    </row>
    <row r="230" spans="1:3" ht="12.75" customHeight="1" x14ac:dyDescent="0.15">
      <c r="A230" s="13"/>
      <c r="B230" s="14"/>
      <c r="C230" s="30"/>
    </row>
    <row r="231" spans="1:3" ht="12.75" customHeight="1" x14ac:dyDescent="0.15">
      <c r="A231" s="13"/>
      <c r="B231" s="14"/>
      <c r="C231" s="30"/>
    </row>
    <row r="232" spans="1:3" ht="12.75" customHeight="1" x14ac:dyDescent="0.15">
      <c r="A232" s="13"/>
      <c r="B232" s="14"/>
      <c r="C232" s="30"/>
    </row>
    <row r="233" spans="1:3" ht="12.75" customHeight="1" x14ac:dyDescent="0.15">
      <c r="A233" s="13"/>
      <c r="B233" s="14"/>
      <c r="C233" s="30"/>
    </row>
    <row r="234" spans="1:3" ht="12.75" customHeight="1" x14ac:dyDescent="0.15">
      <c r="A234" s="13"/>
      <c r="B234" s="14"/>
      <c r="C234" s="30"/>
    </row>
    <row r="235" spans="1:3" ht="12.75" customHeight="1" x14ac:dyDescent="0.15">
      <c r="A235" s="13"/>
      <c r="B235" s="14"/>
      <c r="C235" s="30"/>
    </row>
    <row r="236" spans="1:3" ht="12.75" customHeight="1" x14ac:dyDescent="0.15">
      <c r="A236" s="13"/>
      <c r="B236" s="14"/>
      <c r="C236" s="30"/>
    </row>
    <row r="237" spans="1:3" ht="12.75" customHeight="1" x14ac:dyDescent="0.15">
      <c r="A237" s="13"/>
      <c r="B237" s="14"/>
      <c r="C237" s="30"/>
    </row>
    <row r="238" spans="1:3" ht="12.75" customHeight="1" x14ac:dyDescent="0.15">
      <c r="A238" s="13"/>
      <c r="B238" s="14"/>
      <c r="C238" s="30"/>
    </row>
    <row r="239" spans="1:3" ht="12.75" customHeight="1" x14ac:dyDescent="0.15">
      <c r="A239" s="13"/>
      <c r="B239" s="14"/>
      <c r="C239" s="30"/>
    </row>
    <row r="240" spans="1:3" ht="12.75" customHeight="1" x14ac:dyDescent="0.15">
      <c r="A240" s="13"/>
      <c r="B240" s="14"/>
      <c r="C240" s="30"/>
    </row>
    <row r="241" spans="1:3" ht="12.75" customHeight="1" x14ac:dyDescent="0.15">
      <c r="A241" s="13"/>
      <c r="B241" s="14"/>
      <c r="C241" s="30"/>
    </row>
    <row r="242" spans="1:3" ht="12.75" customHeight="1" x14ac:dyDescent="0.15">
      <c r="A242" s="13"/>
      <c r="B242" s="14"/>
      <c r="C242" s="30"/>
    </row>
    <row r="243" spans="1:3" ht="12.75" customHeight="1" x14ac:dyDescent="0.15">
      <c r="A243" s="13"/>
      <c r="B243" s="14"/>
      <c r="C243" s="30"/>
    </row>
    <row r="244" spans="1:3" ht="12.75" customHeight="1" x14ac:dyDescent="0.15">
      <c r="A244" s="13"/>
      <c r="B244" s="14"/>
      <c r="C244" s="30"/>
    </row>
    <row r="245" spans="1:3" ht="12.75" customHeight="1" x14ac:dyDescent="0.15">
      <c r="A245" s="13"/>
      <c r="B245" s="14"/>
      <c r="C245" s="30"/>
    </row>
    <row r="246" spans="1:3" ht="12.75" customHeight="1" x14ac:dyDescent="0.15">
      <c r="A246" s="13"/>
      <c r="B246" s="14"/>
      <c r="C246" s="30"/>
    </row>
    <row r="247" spans="1:3" ht="12.75" customHeight="1" x14ac:dyDescent="0.15">
      <c r="A247" s="13"/>
      <c r="B247" s="14"/>
      <c r="C247" s="30"/>
    </row>
    <row r="248" spans="1:3" ht="12.75" customHeight="1" x14ac:dyDescent="0.15">
      <c r="A248" s="13"/>
      <c r="B248" s="14"/>
      <c r="C248" s="30"/>
    </row>
    <row r="249" spans="1:3" ht="12.75" customHeight="1" x14ac:dyDescent="0.15">
      <c r="A249" s="13"/>
      <c r="B249" s="14"/>
      <c r="C249" s="30"/>
    </row>
    <row r="250" spans="1:3" ht="12.75" customHeight="1" x14ac:dyDescent="0.15">
      <c r="A250" s="13"/>
      <c r="B250" s="14"/>
      <c r="C250" s="30"/>
    </row>
    <row r="251" spans="1:3" ht="12.75" customHeight="1" x14ac:dyDescent="0.15">
      <c r="A251" s="13"/>
      <c r="B251" s="14"/>
      <c r="C251" s="30"/>
    </row>
    <row r="252" spans="1:3" ht="12.75" customHeight="1" x14ac:dyDescent="0.15">
      <c r="A252" s="13"/>
      <c r="B252" s="14"/>
      <c r="C252" s="30"/>
    </row>
    <row r="253" spans="1:3" ht="12.75" customHeight="1" x14ac:dyDescent="0.15">
      <c r="A253" s="13"/>
      <c r="B253" s="14"/>
      <c r="C253" s="30"/>
    </row>
    <row r="254" spans="1:3" ht="12.75" customHeight="1" x14ac:dyDescent="0.15">
      <c r="A254" s="13"/>
      <c r="B254" s="14"/>
      <c r="C254" s="30"/>
    </row>
    <row r="255" spans="1:3" ht="12.75" customHeight="1" x14ac:dyDescent="0.15">
      <c r="A255" s="13"/>
      <c r="B255" s="14"/>
      <c r="C255" s="30"/>
    </row>
    <row r="256" spans="1:3" ht="12.75" customHeight="1" x14ac:dyDescent="0.15">
      <c r="A256" s="13"/>
      <c r="B256" s="14"/>
      <c r="C256" s="30"/>
    </row>
    <row r="257" spans="1:3" ht="12.75" customHeight="1" x14ac:dyDescent="0.15">
      <c r="A257" s="13"/>
      <c r="B257" s="14"/>
      <c r="C257" s="30"/>
    </row>
    <row r="258" spans="1:3" ht="12.75" customHeight="1" x14ac:dyDescent="0.15">
      <c r="A258" s="13"/>
      <c r="B258" s="14"/>
      <c r="C258" s="30"/>
    </row>
    <row r="259" spans="1:3" ht="12.75" customHeight="1" x14ac:dyDescent="0.15">
      <c r="A259" s="13"/>
      <c r="B259" s="14"/>
      <c r="C259" s="30"/>
    </row>
    <row r="260" spans="1:3" ht="12.75" customHeight="1" x14ac:dyDescent="0.15">
      <c r="A260" s="13"/>
      <c r="B260" s="14"/>
      <c r="C260" s="30"/>
    </row>
    <row r="261" spans="1:3" ht="12.75" customHeight="1" x14ac:dyDescent="0.15">
      <c r="A261" s="13"/>
      <c r="B261" s="14"/>
      <c r="C261" s="30"/>
    </row>
    <row r="262" spans="1:3" ht="12.75" customHeight="1" x14ac:dyDescent="0.15">
      <c r="A262" s="13"/>
      <c r="B262" s="14"/>
      <c r="C262" s="30"/>
    </row>
    <row r="263" spans="1:3" ht="12.75" customHeight="1" x14ac:dyDescent="0.15">
      <c r="A263" s="13"/>
      <c r="B263" s="14"/>
      <c r="C263" s="30"/>
    </row>
    <row r="264" spans="1:3" ht="12.75" customHeight="1" x14ac:dyDescent="0.15">
      <c r="A264" s="13"/>
      <c r="B264" s="14"/>
      <c r="C264" s="30"/>
    </row>
    <row r="265" spans="1:3" ht="12.75" customHeight="1" x14ac:dyDescent="0.15">
      <c r="A265" s="13"/>
      <c r="B265" s="14"/>
      <c r="C265" s="30"/>
    </row>
    <row r="266" spans="1:3" ht="12.75" customHeight="1" x14ac:dyDescent="0.15">
      <c r="A266" s="13"/>
      <c r="B266" s="14"/>
      <c r="C266" s="30"/>
    </row>
    <row r="267" spans="1:3" ht="12.75" customHeight="1" x14ac:dyDescent="0.15">
      <c r="A267" s="13"/>
      <c r="B267" s="14"/>
      <c r="C267" s="30"/>
    </row>
    <row r="268" spans="1:3" ht="12.75" customHeight="1" x14ac:dyDescent="0.15">
      <c r="A268" s="13"/>
      <c r="B268" s="14"/>
      <c r="C268" s="30"/>
    </row>
    <row r="269" spans="1:3" ht="12.75" customHeight="1" x14ac:dyDescent="0.15">
      <c r="A269" s="13"/>
      <c r="B269" s="14"/>
      <c r="C269" s="30"/>
    </row>
    <row r="270" spans="1:3" ht="12.75" customHeight="1" x14ac:dyDescent="0.15">
      <c r="A270" s="13"/>
      <c r="B270" s="14"/>
      <c r="C270" s="30"/>
    </row>
    <row r="271" spans="1:3" ht="12.75" customHeight="1" x14ac:dyDescent="0.15">
      <c r="A271" s="13"/>
      <c r="B271" s="14"/>
      <c r="C271" s="30"/>
    </row>
    <row r="272" spans="1:3" ht="12.75" customHeight="1" x14ac:dyDescent="0.15">
      <c r="A272" s="13"/>
      <c r="B272" s="14"/>
      <c r="C272" s="30"/>
    </row>
    <row r="273" spans="1:3" ht="12.75" customHeight="1" x14ac:dyDescent="0.15">
      <c r="A273" s="13"/>
      <c r="B273" s="14"/>
      <c r="C273" s="30"/>
    </row>
    <row r="274" spans="1:3" ht="12.75" customHeight="1" x14ac:dyDescent="0.15">
      <c r="A274" s="13"/>
      <c r="B274" s="14"/>
      <c r="C274" s="30"/>
    </row>
    <row r="275" spans="1:3" ht="12.75" customHeight="1" x14ac:dyDescent="0.15">
      <c r="A275" s="13"/>
      <c r="B275" s="14"/>
      <c r="C275" s="30"/>
    </row>
    <row r="276" spans="1:3" ht="12.75" customHeight="1" x14ac:dyDescent="0.15">
      <c r="A276" s="13"/>
      <c r="B276" s="14"/>
      <c r="C276" s="30"/>
    </row>
    <row r="277" spans="1:3" ht="12.75" customHeight="1" x14ac:dyDescent="0.15">
      <c r="A277" s="13"/>
      <c r="B277" s="14"/>
      <c r="C277" s="30"/>
    </row>
    <row r="278" spans="1:3" ht="12.75" customHeight="1" x14ac:dyDescent="0.15">
      <c r="A278" s="13"/>
      <c r="B278" s="14"/>
      <c r="C278" s="30"/>
    </row>
    <row r="279" spans="1:3" ht="12.75" customHeight="1" x14ac:dyDescent="0.15">
      <c r="A279" s="13"/>
      <c r="B279" s="14"/>
      <c r="C279" s="30"/>
    </row>
    <row r="280" spans="1:3" ht="12.75" customHeight="1" x14ac:dyDescent="0.15">
      <c r="A280" s="13"/>
      <c r="B280" s="14"/>
      <c r="C280" s="30"/>
    </row>
    <row r="281" spans="1:3" ht="12.75" customHeight="1" x14ac:dyDescent="0.15">
      <c r="A281" s="13"/>
      <c r="B281" s="14"/>
      <c r="C281" s="30"/>
    </row>
    <row r="282" spans="1:3" ht="12.75" customHeight="1" x14ac:dyDescent="0.15">
      <c r="A282" s="13"/>
      <c r="B282" s="14"/>
      <c r="C282" s="30"/>
    </row>
    <row r="283" spans="1:3" ht="12.75" customHeight="1" x14ac:dyDescent="0.15">
      <c r="A283" s="13"/>
      <c r="B283" s="14"/>
      <c r="C283" s="30"/>
    </row>
    <row r="284" spans="1:3" ht="12.75" customHeight="1" x14ac:dyDescent="0.15">
      <c r="A284" s="13"/>
      <c r="B284" s="14"/>
      <c r="C284" s="30"/>
    </row>
    <row r="285" spans="1:3" ht="12.75" customHeight="1" x14ac:dyDescent="0.15">
      <c r="A285" s="13"/>
      <c r="B285" s="14"/>
      <c r="C285" s="30"/>
    </row>
    <row r="286" spans="1:3" ht="12.75" customHeight="1" x14ac:dyDescent="0.15">
      <c r="A286" s="13"/>
      <c r="B286" s="14"/>
      <c r="C286" s="30"/>
    </row>
    <row r="287" spans="1:3" ht="12.75" customHeight="1" x14ac:dyDescent="0.15">
      <c r="A287" s="13"/>
      <c r="B287" s="14"/>
      <c r="C287" s="30"/>
    </row>
    <row r="288" spans="1:3" ht="12.75" customHeight="1" x14ac:dyDescent="0.15">
      <c r="A288" s="13"/>
      <c r="B288" s="14"/>
      <c r="C288" s="30"/>
    </row>
    <row r="289" spans="1:3" ht="12.75" customHeight="1" x14ac:dyDescent="0.15">
      <c r="A289" s="13"/>
      <c r="B289" s="14"/>
      <c r="C289" s="30"/>
    </row>
    <row r="290" spans="1:3" ht="12.75" customHeight="1" x14ac:dyDescent="0.15">
      <c r="A290" s="13"/>
      <c r="B290" s="14"/>
      <c r="C290" s="30"/>
    </row>
    <row r="291" spans="1:3" ht="12.75" customHeight="1" x14ac:dyDescent="0.15">
      <c r="A291" s="13"/>
      <c r="B291" s="14"/>
      <c r="C291" s="30"/>
    </row>
    <row r="292" spans="1:3" ht="12.75" customHeight="1" x14ac:dyDescent="0.15">
      <c r="A292" s="13"/>
      <c r="B292" s="14"/>
      <c r="C292" s="30"/>
    </row>
    <row r="293" spans="1:3" ht="12.75" customHeight="1" x14ac:dyDescent="0.15">
      <c r="A293" s="13"/>
      <c r="B293" s="14"/>
      <c r="C293" s="30"/>
    </row>
    <row r="294" spans="1:3" ht="12.75" customHeight="1" x14ac:dyDescent="0.15">
      <c r="A294" s="13"/>
      <c r="B294" s="14"/>
      <c r="C294" s="30"/>
    </row>
    <row r="295" spans="1:3" ht="12.75" customHeight="1" x14ac:dyDescent="0.15">
      <c r="A295" s="13"/>
      <c r="B295" s="14"/>
      <c r="C295" s="30"/>
    </row>
    <row r="296" spans="1:3" ht="12.75" customHeight="1" x14ac:dyDescent="0.15">
      <c r="A296" s="13"/>
      <c r="B296" s="14"/>
      <c r="C296" s="30"/>
    </row>
    <row r="297" spans="1:3" ht="12.75" customHeight="1" x14ac:dyDescent="0.15">
      <c r="A297" s="13"/>
      <c r="B297" s="14"/>
      <c r="C297" s="30"/>
    </row>
    <row r="298" spans="1:3" ht="12.75" customHeight="1" x14ac:dyDescent="0.15">
      <c r="A298" s="13"/>
      <c r="B298" s="14"/>
      <c r="C298" s="30"/>
    </row>
    <row r="299" spans="1:3" ht="12.75" customHeight="1" x14ac:dyDescent="0.15">
      <c r="A299" s="13"/>
      <c r="B299" s="14"/>
      <c r="C299" s="30"/>
    </row>
    <row r="300" spans="1:3" ht="12.75" customHeight="1" x14ac:dyDescent="0.15">
      <c r="A300" s="13"/>
      <c r="B300" s="14"/>
      <c r="C300" s="30"/>
    </row>
    <row r="301" spans="1:3" ht="12.75" customHeight="1" x14ac:dyDescent="0.15">
      <c r="A301" s="13"/>
      <c r="B301" s="14"/>
      <c r="C301" s="30"/>
    </row>
    <row r="302" spans="1:3" ht="12.75" customHeight="1" x14ac:dyDescent="0.15">
      <c r="A302" s="13"/>
      <c r="B302" s="14"/>
      <c r="C302" s="30"/>
    </row>
    <row r="303" spans="1:3" ht="12.75" customHeight="1" x14ac:dyDescent="0.15">
      <c r="A303" s="13"/>
      <c r="B303" s="14"/>
      <c r="C303" s="30"/>
    </row>
    <row r="304" spans="1:3" ht="12.75" customHeight="1" x14ac:dyDescent="0.15">
      <c r="A304" s="13"/>
      <c r="B304" s="14"/>
      <c r="C304" s="30"/>
    </row>
    <row r="305" spans="1:3" ht="12.75" customHeight="1" x14ac:dyDescent="0.15">
      <c r="A305" s="13"/>
      <c r="B305" s="14"/>
      <c r="C305" s="30"/>
    </row>
    <row r="306" spans="1:3" ht="12.75" customHeight="1" x14ac:dyDescent="0.15">
      <c r="A306" s="13"/>
      <c r="B306" s="14"/>
      <c r="C306" s="30"/>
    </row>
    <row r="307" spans="1:3" ht="12.75" customHeight="1" x14ac:dyDescent="0.15">
      <c r="A307" s="13"/>
      <c r="B307" s="14"/>
      <c r="C307" s="30"/>
    </row>
    <row r="308" spans="1:3" ht="12.75" customHeight="1" x14ac:dyDescent="0.15">
      <c r="A308" s="13"/>
      <c r="B308" s="14"/>
      <c r="C308" s="30"/>
    </row>
    <row r="309" spans="1:3" ht="12.75" customHeight="1" x14ac:dyDescent="0.15">
      <c r="A309" s="13"/>
      <c r="B309" s="14"/>
      <c r="C309" s="30"/>
    </row>
    <row r="310" spans="1:3" ht="12.75" customHeight="1" x14ac:dyDescent="0.15">
      <c r="A310" s="13"/>
      <c r="B310" s="14"/>
      <c r="C310" s="30"/>
    </row>
    <row r="311" spans="1:3" ht="12.75" customHeight="1" x14ac:dyDescent="0.15">
      <c r="A311" s="13"/>
      <c r="B311" s="14"/>
      <c r="C311" s="30"/>
    </row>
    <row r="312" spans="1:3" ht="12.75" customHeight="1" x14ac:dyDescent="0.15">
      <c r="A312" s="13"/>
      <c r="B312" s="14"/>
      <c r="C312" s="30"/>
    </row>
    <row r="313" spans="1:3" ht="12.75" customHeight="1" x14ac:dyDescent="0.15">
      <c r="A313" s="13"/>
      <c r="B313" s="14"/>
      <c r="C313" s="30"/>
    </row>
    <row r="314" spans="1:3" ht="12.75" customHeight="1" x14ac:dyDescent="0.15">
      <c r="A314" s="13"/>
      <c r="B314" s="14"/>
      <c r="C314" s="30"/>
    </row>
    <row r="315" spans="1:3" ht="12.75" customHeight="1" x14ac:dyDescent="0.15">
      <c r="A315" s="13"/>
      <c r="B315" s="14"/>
      <c r="C315" s="30"/>
    </row>
    <row r="316" spans="1:3" ht="12.75" customHeight="1" x14ac:dyDescent="0.15">
      <c r="A316" s="13"/>
      <c r="B316" s="14"/>
      <c r="C316" s="30"/>
    </row>
    <row r="317" spans="1:3" ht="12.75" customHeight="1" x14ac:dyDescent="0.15">
      <c r="A317" s="13"/>
      <c r="B317" s="14"/>
      <c r="C317" s="30"/>
    </row>
    <row r="318" spans="1:3" ht="12.75" customHeight="1" x14ac:dyDescent="0.15">
      <c r="A318" s="13"/>
      <c r="B318" s="14"/>
      <c r="C318" s="30"/>
    </row>
    <row r="319" spans="1:3" ht="12.75" customHeight="1" x14ac:dyDescent="0.15">
      <c r="A319" s="13"/>
      <c r="B319" s="14"/>
      <c r="C319" s="30"/>
    </row>
    <row r="320" spans="1:3" ht="12.75" customHeight="1" x14ac:dyDescent="0.15">
      <c r="A320" s="13"/>
      <c r="B320" s="14"/>
      <c r="C320" s="30"/>
    </row>
    <row r="321" spans="1:3" ht="12.75" customHeight="1" x14ac:dyDescent="0.15">
      <c r="A321" s="13"/>
      <c r="B321" s="14"/>
      <c r="C321" s="30"/>
    </row>
    <row r="322" spans="1:3" ht="12.75" customHeight="1" x14ac:dyDescent="0.15">
      <c r="A322" s="13"/>
      <c r="B322" s="14"/>
      <c r="C322" s="30"/>
    </row>
    <row r="323" spans="1:3" ht="12.75" customHeight="1" x14ac:dyDescent="0.15">
      <c r="A323" s="13"/>
      <c r="B323" s="14"/>
      <c r="C323" s="30"/>
    </row>
    <row r="324" spans="1:3" ht="12.75" customHeight="1" x14ac:dyDescent="0.15">
      <c r="A324" s="13"/>
      <c r="B324" s="14"/>
      <c r="C324" s="30"/>
    </row>
    <row r="325" spans="1:3" ht="12.75" customHeight="1" x14ac:dyDescent="0.15">
      <c r="A325" s="13"/>
      <c r="B325" s="14"/>
      <c r="C325" s="30"/>
    </row>
    <row r="326" spans="1:3" ht="12.75" customHeight="1" x14ac:dyDescent="0.15">
      <c r="A326" s="13"/>
      <c r="B326" s="14"/>
      <c r="C326" s="30"/>
    </row>
    <row r="327" spans="1:3" ht="12.75" customHeight="1" x14ac:dyDescent="0.15">
      <c r="A327" s="13"/>
      <c r="B327" s="14"/>
      <c r="C327" s="30"/>
    </row>
    <row r="328" spans="1:3" ht="12.75" customHeight="1" x14ac:dyDescent="0.15">
      <c r="A328" s="13"/>
      <c r="B328" s="14"/>
      <c r="C328" s="30"/>
    </row>
    <row r="329" spans="1:3" ht="12.75" customHeight="1" x14ac:dyDescent="0.15">
      <c r="A329" s="13"/>
      <c r="B329" s="14"/>
      <c r="C329" s="30"/>
    </row>
    <row r="330" spans="1:3" ht="12.75" customHeight="1" x14ac:dyDescent="0.15">
      <c r="A330" s="13"/>
      <c r="B330" s="14"/>
      <c r="C330" s="30"/>
    </row>
    <row r="331" spans="1:3" ht="12.75" customHeight="1" x14ac:dyDescent="0.15">
      <c r="A331" s="13"/>
      <c r="B331" s="14"/>
      <c r="C331" s="30"/>
    </row>
    <row r="332" spans="1:3" ht="12.75" customHeight="1" x14ac:dyDescent="0.15">
      <c r="A332" s="13"/>
      <c r="B332" s="14"/>
      <c r="C332" s="30"/>
    </row>
    <row r="333" spans="1:3" ht="12.75" customHeight="1" x14ac:dyDescent="0.15">
      <c r="A333" s="13"/>
      <c r="B333" s="14"/>
      <c r="C333" s="30"/>
    </row>
    <row r="334" spans="1:3" ht="12.75" customHeight="1" x14ac:dyDescent="0.15">
      <c r="A334" s="13"/>
      <c r="B334" s="14"/>
      <c r="C334" s="30"/>
    </row>
    <row r="335" spans="1:3" ht="12.75" customHeight="1" x14ac:dyDescent="0.15">
      <c r="A335" s="13"/>
      <c r="B335" s="14"/>
      <c r="C335" s="30"/>
    </row>
    <row r="336" spans="1:3" ht="12.75" customHeight="1" x14ac:dyDescent="0.15">
      <c r="A336" s="13"/>
      <c r="B336" s="14"/>
      <c r="C336" s="30"/>
    </row>
    <row r="337" spans="1:3" ht="12.75" customHeight="1" x14ac:dyDescent="0.15">
      <c r="A337" s="13"/>
      <c r="B337" s="14"/>
      <c r="C337" s="30"/>
    </row>
    <row r="338" spans="1:3" ht="12.75" customHeight="1" x14ac:dyDescent="0.15">
      <c r="A338" s="13"/>
      <c r="B338" s="14"/>
      <c r="C338" s="30"/>
    </row>
    <row r="339" spans="1:3" ht="12.75" customHeight="1" x14ac:dyDescent="0.15">
      <c r="A339" s="13"/>
      <c r="B339" s="14"/>
      <c r="C339" s="30"/>
    </row>
    <row r="340" spans="1:3" ht="12.75" customHeight="1" x14ac:dyDescent="0.15">
      <c r="A340" s="13"/>
      <c r="B340" s="14"/>
      <c r="C340" s="30"/>
    </row>
    <row r="341" spans="1:3" ht="12.75" customHeight="1" x14ac:dyDescent="0.15">
      <c r="A341" s="13"/>
      <c r="B341" s="14"/>
      <c r="C341" s="30"/>
    </row>
    <row r="342" spans="1:3" ht="12.75" customHeight="1" x14ac:dyDescent="0.15">
      <c r="A342" s="13"/>
      <c r="B342" s="14"/>
      <c r="C342" s="30"/>
    </row>
    <row r="343" spans="1:3" ht="12.75" customHeight="1" x14ac:dyDescent="0.15">
      <c r="A343" s="13"/>
      <c r="B343" s="14"/>
      <c r="C343" s="30"/>
    </row>
    <row r="344" spans="1:3" ht="12.75" customHeight="1" x14ac:dyDescent="0.15">
      <c r="A344" s="13"/>
      <c r="B344" s="14"/>
      <c r="C344" s="30"/>
    </row>
    <row r="345" spans="1:3" ht="12.75" customHeight="1" x14ac:dyDescent="0.15">
      <c r="A345" s="13"/>
      <c r="B345" s="14"/>
      <c r="C345" s="30"/>
    </row>
    <row r="346" spans="1:3" ht="12.75" customHeight="1" x14ac:dyDescent="0.15">
      <c r="A346" s="13"/>
      <c r="B346" s="14"/>
      <c r="C346" s="30"/>
    </row>
    <row r="347" spans="1:3" ht="12.75" customHeight="1" x14ac:dyDescent="0.15">
      <c r="A347" s="13"/>
      <c r="B347" s="14"/>
      <c r="C347" s="30"/>
    </row>
    <row r="348" spans="1:3" ht="12.75" customHeight="1" x14ac:dyDescent="0.15">
      <c r="A348" s="13"/>
      <c r="B348" s="14"/>
      <c r="C348" s="30"/>
    </row>
    <row r="349" spans="1:3" ht="12.75" customHeight="1" x14ac:dyDescent="0.15">
      <c r="A349" s="13"/>
      <c r="B349" s="14"/>
      <c r="C349" s="30"/>
    </row>
    <row r="350" spans="1:3" ht="12.75" customHeight="1" x14ac:dyDescent="0.15">
      <c r="A350" s="13"/>
      <c r="B350" s="14"/>
      <c r="C350" s="30"/>
    </row>
    <row r="351" spans="1:3" ht="12.75" customHeight="1" x14ac:dyDescent="0.15">
      <c r="A351" s="13"/>
      <c r="B351" s="14"/>
      <c r="C351" s="30"/>
    </row>
    <row r="352" spans="1:3" ht="12.75" customHeight="1" x14ac:dyDescent="0.15">
      <c r="A352" s="13"/>
      <c r="B352" s="14"/>
      <c r="C352" s="30"/>
    </row>
    <row r="353" spans="1:3" ht="12.75" customHeight="1" x14ac:dyDescent="0.15">
      <c r="A353" s="13"/>
      <c r="B353" s="14"/>
      <c r="C353" s="30"/>
    </row>
    <row r="354" spans="1:3" ht="12.75" customHeight="1" x14ac:dyDescent="0.15">
      <c r="A354" s="13"/>
      <c r="B354" s="14"/>
      <c r="C354" s="30"/>
    </row>
    <row r="355" spans="1:3" ht="12.75" customHeight="1" x14ac:dyDescent="0.15">
      <c r="A355" s="13"/>
      <c r="B355" s="14"/>
      <c r="C355" s="30"/>
    </row>
    <row r="356" spans="1:3" ht="12.75" customHeight="1" x14ac:dyDescent="0.15">
      <c r="A356" s="13"/>
      <c r="B356" s="14"/>
      <c r="C356" s="30"/>
    </row>
    <row r="357" spans="1:3" ht="12.75" customHeight="1" x14ac:dyDescent="0.15">
      <c r="A357" s="13"/>
      <c r="B357" s="14"/>
      <c r="C357" s="30"/>
    </row>
    <row r="358" spans="1:3" ht="12.75" customHeight="1" x14ac:dyDescent="0.15">
      <c r="A358" s="13"/>
      <c r="B358" s="14"/>
      <c r="C358" s="30"/>
    </row>
    <row r="359" spans="1:3" ht="12.75" customHeight="1" x14ac:dyDescent="0.15">
      <c r="A359" s="13"/>
      <c r="B359" s="14"/>
      <c r="C359" s="30"/>
    </row>
    <row r="360" spans="1:3" ht="12.75" customHeight="1" x14ac:dyDescent="0.15">
      <c r="A360" s="13"/>
      <c r="B360" s="14"/>
      <c r="C360" s="30"/>
    </row>
    <row r="361" spans="1:3" ht="12.75" customHeight="1" x14ac:dyDescent="0.15">
      <c r="A361" s="13"/>
      <c r="B361" s="14"/>
      <c r="C361" s="30"/>
    </row>
    <row r="362" spans="1:3" ht="12.75" customHeight="1" x14ac:dyDescent="0.15">
      <c r="A362" s="13"/>
      <c r="B362" s="14"/>
      <c r="C362" s="30"/>
    </row>
    <row r="363" spans="1:3" ht="12.75" customHeight="1" x14ac:dyDescent="0.15">
      <c r="A363" s="13"/>
      <c r="B363" s="14"/>
      <c r="C363" s="30"/>
    </row>
    <row r="364" spans="1:3" ht="12.75" customHeight="1" x14ac:dyDescent="0.15">
      <c r="A364" s="13"/>
      <c r="B364" s="14"/>
      <c r="C364" s="30"/>
    </row>
    <row r="365" spans="1:3" ht="12.75" customHeight="1" x14ac:dyDescent="0.15">
      <c r="A365" s="13"/>
      <c r="B365" s="14"/>
      <c r="C365" s="30"/>
    </row>
    <row r="366" spans="1:3" ht="12.75" customHeight="1" x14ac:dyDescent="0.15">
      <c r="A366" s="13"/>
      <c r="B366" s="14"/>
      <c r="C366" s="30"/>
    </row>
    <row r="367" spans="1:3" ht="12.75" customHeight="1" x14ac:dyDescent="0.15">
      <c r="A367" s="13"/>
      <c r="B367" s="14"/>
      <c r="C367" s="30"/>
    </row>
    <row r="368" spans="1:3" ht="12.75" customHeight="1" x14ac:dyDescent="0.15">
      <c r="A368" s="13"/>
      <c r="B368" s="14"/>
      <c r="C368" s="30"/>
    </row>
    <row r="369" spans="1:3" ht="12.75" customHeight="1" x14ac:dyDescent="0.15">
      <c r="A369" s="13"/>
      <c r="B369" s="14"/>
      <c r="C369" s="30"/>
    </row>
    <row r="370" spans="1:3" ht="12.75" customHeight="1" x14ac:dyDescent="0.15">
      <c r="A370" s="13"/>
      <c r="B370" s="14"/>
      <c r="C370" s="30"/>
    </row>
    <row r="371" spans="1:3" ht="12.75" customHeight="1" x14ac:dyDescent="0.15">
      <c r="A371" s="13"/>
      <c r="B371" s="14"/>
      <c r="C371" s="30"/>
    </row>
    <row r="372" spans="1:3" ht="12.75" customHeight="1" x14ac:dyDescent="0.15">
      <c r="A372" s="13"/>
      <c r="B372" s="14"/>
      <c r="C372" s="30"/>
    </row>
    <row r="373" spans="1:3" ht="12.75" customHeight="1" x14ac:dyDescent="0.15">
      <c r="A373" s="13"/>
      <c r="B373" s="14"/>
      <c r="C373" s="30"/>
    </row>
    <row r="374" spans="1:3" ht="12.75" customHeight="1" x14ac:dyDescent="0.15">
      <c r="A374" s="13"/>
      <c r="B374" s="14"/>
      <c r="C374" s="30"/>
    </row>
    <row r="375" spans="1:3" ht="12.75" customHeight="1" x14ac:dyDescent="0.15">
      <c r="A375" s="13"/>
      <c r="B375" s="14"/>
      <c r="C375" s="30"/>
    </row>
    <row r="376" spans="1:3" ht="12.75" customHeight="1" x14ac:dyDescent="0.15">
      <c r="A376" s="13"/>
      <c r="B376" s="14"/>
      <c r="C376" s="30"/>
    </row>
    <row r="377" spans="1:3" ht="12.75" customHeight="1" x14ac:dyDescent="0.15">
      <c r="A377" s="13"/>
      <c r="B377" s="14"/>
      <c r="C377" s="30"/>
    </row>
    <row r="378" spans="1:3" ht="12.75" customHeight="1" x14ac:dyDescent="0.15">
      <c r="A378" s="13"/>
      <c r="B378" s="14"/>
      <c r="C378" s="30"/>
    </row>
    <row r="379" spans="1:3" ht="12.75" customHeight="1" x14ac:dyDescent="0.15">
      <c r="A379" s="13"/>
      <c r="B379" s="14"/>
      <c r="C379" s="30"/>
    </row>
    <row r="380" spans="1:3" ht="12.75" customHeight="1" x14ac:dyDescent="0.15">
      <c r="A380" s="13"/>
      <c r="B380" s="14"/>
      <c r="C380" s="30"/>
    </row>
    <row r="381" spans="1:3" ht="12.75" customHeight="1" x14ac:dyDescent="0.15">
      <c r="A381" s="13"/>
      <c r="B381" s="14"/>
      <c r="C381" s="30"/>
    </row>
    <row r="382" spans="1:3" ht="12.75" customHeight="1" x14ac:dyDescent="0.15">
      <c r="A382" s="13"/>
      <c r="B382" s="14"/>
      <c r="C382" s="30"/>
    </row>
    <row r="383" spans="1:3" ht="12.75" customHeight="1" x14ac:dyDescent="0.15">
      <c r="A383" s="13"/>
      <c r="B383" s="14"/>
      <c r="C383" s="30"/>
    </row>
    <row r="384" spans="1:3" ht="12.75" customHeight="1" x14ac:dyDescent="0.15">
      <c r="A384" s="13"/>
      <c r="B384" s="14"/>
      <c r="C384" s="30"/>
    </row>
    <row r="385" spans="1:3" ht="12.75" customHeight="1" x14ac:dyDescent="0.15">
      <c r="A385" s="13"/>
      <c r="B385" s="14"/>
      <c r="C385" s="30"/>
    </row>
    <row r="386" spans="1:3" ht="12.75" customHeight="1" x14ac:dyDescent="0.15">
      <c r="A386" s="13"/>
      <c r="B386" s="14"/>
      <c r="C386" s="30"/>
    </row>
    <row r="387" spans="1:3" ht="12.75" customHeight="1" x14ac:dyDescent="0.15">
      <c r="A387" s="13"/>
      <c r="B387" s="14"/>
      <c r="C387" s="30"/>
    </row>
    <row r="388" spans="1:3" ht="12.75" customHeight="1" x14ac:dyDescent="0.15">
      <c r="A388" s="13"/>
      <c r="B388" s="14"/>
      <c r="C388" s="30"/>
    </row>
    <row r="389" spans="1:3" ht="12.75" customHeight="1" x14ac:dyDescent="0.15">
      <c r="A389" s="13"/>
      <c r="B389" s="14"/>
      <c r="C389" s="30"/>
    </row>
    <row r="390" spans="1:3" ht="12.75" customHeight="1" x14ac:dyDescent="0.15">
      <c r="A390" s="13"/>
      <c r="B390" s="14"/>
      <c r="C390" s="30"/>
    </row>
    <row r="391" spans="1:3" ht="12.75" customHeight="1" x14ac:dyDescent="0.15">
      <c r="A391" s="13"/>
      <c r="B391" s="14"/>
      <c r="C391" s="30"/>
    </row>
    <row r="392" spans="1:3" ht="12.75" customHeight="1" x14ac:dyDescent="0.15">
      <c r="A392" s="13"/>
      <c r="B392" s="14"/>
      <c r="C392" s="30"/>
    </row>
    <row r="393" spans="1:3" ht="12.75" customHeight="1" x14ac:dyDescent="0.15">
      <c r="A393" s="13"/>
      <c r="B393" s="14"/>
      <c r="C393" s="30"/>
    </row>
    <row r="394" spans="1:3" ht="12.75" customHeight="1" x14ac:dyDescent="0.15">
      <c r="A394" s="13"/>
      <c r="B394" s="14"/>
      <c r="C394" s="30"/>
    </row>
    <row r="395" spans="1:3" ht="12.75" customHeight="1" x14ac:dyDescent="0.15">
      <c r="A395" s="13"/>
      <c r="B395" s="14"/>
      <c r="C395" s="30"/>
    </row>
    <row r="396" spans="1:3" ht="12.75" customHeight="1" x14ac:dyDescent="0.15">
      <c r="A396" s="13"/>
      <c r="B396" s="14"/>
      <c r="C396" s="30"/>
    </row>
    <row r="397" spans="1:3" ht="12.75" customHeight="1" x14ac:dyDescent="0.15">
      <c r="A397" s="13"/>
      <c r="B397" s="14"/>
      <c r="C397" s="30"/>
    </row>
    <row r="398" spans="1:3" ht="12.75" customHeight="1" x14ac:dyDescent="0.15">
      <c r="A398" s="13"/>
      <c r="B398" s="14"/>
      <c r="C398" s="30"/>
    </row>
    <row r="399" spans="1:3" ht="12.75" customHeight="1" x14ac:dyDescent="0.15">
      <c r="A399" s="13"/>
      <c r="B399" s="14"/>
      <c r="C399" s="30"/>
    </row>
    <row r="400" spans="1:3" ht="12.75" customHeight="1" x14ac:dyDescent="0.15">
      <c r="A400" s="13"/>
      <c r="B400" s="14"/>
      <c r="C400" s="30"/>
    </row>
    <row r="401" spans="1:3" ht="12.75" customHeight="1" x14ac:dyDescent="0.15">
      <c r="A401" s="13"/>
      <c r="B401" s="14"/>
      <c r="C401" s="30"/>
    </row>
    <row r="402" spans="1:3" ht="12.75" customHeight="1" x14ac:dyDescent="0.15">
      <c r="A402" s="13"/>
      <c r="B402" s="14"/>
      <c r="C402" s="30"/>
    </row>
    <row r="403" spans="1:3" ht="12.75" customHeight="1" x14ac:dyDescent="0.15">
      <c r="A403" s="13"/>
      <c r="B403" s="14"/>
      <c r="C403" s="30"/>
    </row>
    <row r="404" spans="1:3" ht="12.75" customHeight="1" x14ac:dyDescent="0.15">
      <c r="A404" s="13"/>
      <c r="B404" s="14"/>
      <c r="C404" s="30"/>
    </row>
    <row r="405" spans="1:3" ht="12.75" customHeight="1" x14ac:dyDescent="0.15">
      <c r="A405" s="13"/>
      <c r="B405" s="14"/>
      <c r="C405" s="30"/>
    </row>
    <row r="406" spans="1:3" ht="12.75" customHeight="1" x14ac:dyDescent="0.15">
      <c r="A406" s="13"/>
      <c r="B406" s="14"/>
      <c r="C406" s="30"/>
    </row>
    <row r="407" spans="1:3" ht="12.75" customHeight="1" x14ac:dyDescent="0.15">
      <c r="A407" s="13"/>
      <c r="B407" s="14"/>
      <c r="C407" s="30"/>
    </row>
    <row r="408" spans="1:3" ht="12.75" customHeight="1" x14ac:dyDescent="0.15">
      <c r="A408" s="13"/>
      <c r="B408" s="14"/>
      <c r="C408" s="30"/>
    </row>
    <row r="409" spans="1:3" ht="12.75" customHeight="1" x14ac:dyDescent="0.15">
      <c r="A409" s="13"/>
      <c r="B409" s="14"/>
      <c r="C409" s="30"/>
    </row>
    <row r="410" spans="1:3" ht="12.75" customHeight="1" x14ac:dyDescent="0.15">
      <c r="A410" s="13"/>
      <c r="B410" s="14"/>
      <c r="C410" s="30"/>
    </row>
    <row r="411" spans="1:3" ht="12.75" customHeight="1" x14ac:dyDescent="0.15">
      <c r="A411" s="13"/>
      <c r="B411" s="14"/>
      <c r="C411" s="30"/>
    </row>
    <row r="412" spans="1:3" ht="12.75" customHeight="1" x14ac:dyDescent="0.15">
      <c r="A412" s="13"/>
      <c r="B412" s="14"/>
      <c r="C412" s="30"/>
    </row>
    <row r="413" spans="1:3" ht="12.75" customHeight="1" x14ac:dyDescent="0.15">
      <c r="A413" s="13"/>
      <c r="B413" s="14"/>
      <c r="C413" s="30"/>
    </row>
    <row r="414" spans="1:3" ht="12.75" customHeight="1" x14ac:dyDescent="0.15">
      <c r="A414" s="13"/>
      <c r="B414" s="14"/>
      <c r="C414" s="30"/>
    </row>
    <row r="415" spans="1:3" ht="12.75" customHeight="1" x14ac:dyDescent="0.15">
      <c r="A415" s="13"/>
      <c r="B415" s="14"/>
      <c r="C415" s="30"/>
    </row>
    <row r="416" spans="1:3" ht="12.75" customHeight="1" x14ac:dyDescent="0.15">
      <c r="A416" s="13"/>
      <c r="B416" s="14"/>
      <c r="C416" s="30"/>
    </row>
    <row r="417" spans="1:3" ht="12.75" customHeight="1" x14ac:dyDescent="0.15">
      <c r="A417" s="13"/>
      <c r="B417" s="14"/>
      <c r="C417" s="30"/>
    </row>
    <row r="418" spans="1:3" ht="12.75" customHeight="1" x14ac:dyDescent="0.15">
      <c r="A418" s="13"/>
      <c r="B418" s="14"/>
      <c r="C418" s="30"/>
    </row>
    <row r="419" spans="1:3" ht="12.75" customHeight="1" x14ac:dyDescent="0.15">
      <c r="A419" s="13"/>
      <c r="B419" s="14"/>
      <c r="C419" s="30"/>
    </row>
    <row r="420" spans="1:3" ht="12.75" customHeight="1" x14ac:dyDescent="0.15">
      <c r="A420" s="13"/>
      <c r="B420" s="14"/>
      <c r="C420" s="30"/>
    </row>
    <row r="421" spans="1:3" ht="12.75" customHeight="1" x14ac:dyDescent="0.15">
      <c r="A421" s="13"/>
      <c r="B421" s="14"/>
      <c r="C421" s="30"/>
    </row>
    <row r="422" spans="1:3" ht="12.75" customHeight="1" x14ac:dyDescent="0.15">
      <c r="A422" s="13"/>
      <c r="B422" s="14"/>
      <c r="C422" s="30"/>
    </row>
    <row r="423" spans="1:3" ht="12.75" customHeight="1" x14ac:dyDescent="0.15">
      <c r="A423" s="13"/>
      <c r="B423" s="14"/>
      <c r="C423" s="30"/>
    </row>
    <row r="424" spans="1:3" ht="12.75" customHeight="1" x14ac:dyDescent="0.15">
      <c r="A424" s="13"/>
      <c r="B424" s="14"/>
      <c r="C424" s="30"/>
    </row>
    <row r="425" spans="1:3" ht="12.75" customHeight="1" x14ac:dyDescent="0.15">
      <c r="A425" s="13"/>
      <c r="B425" s="14"/>
      <c r="C425" s="30"/>
    </row>
    <row r="426" spans="1:3" ht="12.75" customHeight="1" x14ac:dyDescent="0.15">
      <c r="A426" s="13"/>
      <c r="B426" s="14"/>
      <c r="C426" s="30"/>
    </row>
    <row r="427" spans="1:3" ht="12.75" customHeight="1" x14ac:dyDescent="0.15">
      <c r="A427" s="13"/>
      <c r="B427" s="14"/>
      <c r="C427" s="30"/>
    </row>
    <row r="428" spans="1:3" ht="12.75" customHeight="1" x14ac:dyDescent="0.15">
      <c r="A428" s="13"/>
      <c r="B428" s="14"/>
      <c r="C428" s="30"/>
    </row>
    <row r="429" spans="1:3" ht="12.75" customHeight="1" x14ac:dyDescent="0.15">
      <c r="A429" s="13"/>
      <c r="B429" s="14"/>
      <c r="C429" s="30"/>
    </row>
    <row r="430" spans="1:3" ht="12.75" customHeight="1" x14ac:dyDescent="0.15">
      <c r="A430" s="13"/>
      <c r="B430" s="14"/>
      <c r="C430" s="30"/>
    </row>
    <row r="431" spans="1:3" ht="12.75" customHeight="1" x14ac:dyDescent="0.15">
      <c r="A431" s="13"/>
      <c r="B431" s="14"/>
      <c r="C431" s="30"/>
    </row>
    <row r="432" spans="1:3" ht="12.75" customHeight="1" x14ac:dyDescent="0.15">
      <c r="A432" s="13"/>
      <c r="B432" s="14"/>
      <c r="C432" s="30"/>
    </row>
    <row r="433" spans="1:3" ht="12.75" customHeight="1" x14ac:dyDescent="0.15">
      <c r="A433" s="13"/>
      <c r="B433" s="14"/>
      <c r="C433" s="30"/>
    </row>
    <row r="434" spans="1:3" ht="12.75" customHeight="1" x14ac:dyDescent="0.15">
      <c r="A434" s="13"/>
      <c r="B434" s="14"/>
      <c r="C434" s="30"/>
    </row>
    <row r="435" spans="1:3" ht="12.75" customHeight="1" x14ac:dyDescent="0.15">
      <c r="A435" s="13"/>
      <c r="B435" s="14"/>
      <c r="C435" s="30"/>
    </row>
    <row r="436" spans="1:3" ht="12.75" customHeight="1" x14ac:dyDescent="0.15">
      <c r="A436" s="13"/>
      <c r="B436" s="14"/>
      <c r="C436" s="30"/>
    </row>
    <row r="437" spans="1:3" ht="12.75" customHeight="1" x14ac:dyDescent="0.15">
      <c r="A437" s="13"/>
      <c r="B437" s="14"/>
      <c r="C437" s="30"/>
    </row>
    <row r="438" spans="1:3" ht="12.75" customHeight="1" x14ac:dyDescent="0.15">
      <c r="A438" s="13"/>
      <c r="B438" s="14"/>
      <c r="C438" s="30"/>
    </row>
    <row r="439" spans="1:3" ht="12.75" customHeight="1" x14ac:dyDescent="0.15">
      <c r="A439" s="13"/>
      <c r="B439" s="14"/>
      <c r="C439" s="30"/>
    </row>
    <row r="440" spans="1:3" ht="12.75" customHeight="1" x14ac:dyDescent="0.15">
      <c r="A440" s="13"/>
      <c r="B440" s="14"/>
      <c r="C440" s="30"/>
    </row>
    <row r="441" spans="1:3" ht="12.75" customHeight="1" x14ac:dyDescent="0.15">
      <c r="A441" s="13"/>
      <c r="B441" s="14"/>
      <c r="C441" s="30"/>
    </row>
    <row r="442" spans="1:3" ht="12.75" customHeight="1" x14ac:dyDescent="0.15">
      <c r="A442" s="13"/>
      <c r="B442" s="14"/>
      <c r="C442" s="30"/>
    </row>
    <row r="443" spans="1:3" ht="12.75" customHeight="1" x14ac:dyDescent="0.15">
      <c r="A443" s="13"/>
      <c r="B443" s="14"/>
      <c r="C443" s="30"/>
    </row>
    <row r="444" spans="1:3" ht="12.75" customHeight="1" x14ac:dyDescent="0.15">
      <c r="A444" s="13"/>
      <c r="B444" s="14"/>
      <c r="C444" s="30"/>
    </row>
    <row r="445" spans="1:3" ht="12.75" customHeight="1" x14ac:dyDescent="0.15">
      <c r="A445" s="13"/>
      <c r="B445" s="14"/>
      <c r="C445" s="30"/>
    </row>
    <row r="446" spans="1:3" ht="12.75" customHeight="1" x14ac:dyDescent="0.15">
      <c r="A446" s="13"/>
      <c r="B446" s="14"/>
      <c r="C446" s="30"/>
    </row>
    <row r="447" spans="1:3" ht="12.75" customHeight="1" x14ac:dyDescent="0.15">
      <c r="A447" s="13"/>
      <c r="B447" s="14"/>
      <c r="C447" s="30"/>
    </row>
    <row r="448" spans="1:3" ht="12.75" customHeight="1" x14ac:dyDescent="0.15">
      <c r="A448" s="13"/>
      <c r="B448" s="14"/>
      <c r="C448" s="30"/>
    </row>
    <row r="449" spans="1:3" ht="12.75" customHeight="1" x14ac:dyDescent="0.15">
      <c r="A449" s="13"/>
      <c r="B449" s="14"/>
      <c r="C449" s="30"/>
    </row>
    <row r="450" spans="1:3" ht="12.75" customHeight="1" x14ac:dyDescent="0.15">
      <c r="A450" s="13"/>
      <c r="B450" s="14"/>
      <c r="C450" s="30"/>
    </row>
    <row r="451" spans="1:3" ht="12.75" customHeight="1" x14ac:dyDescent="0.15">
      <c r="A451" s="13"/>
      <c r="B451" s="14"/>
      <c r="C451" s="30"/>
    </row>
    <row r="452" spans="1:3" ht="12.75" customHeight="1" x14ac:dyDescent="0.15">
      <c r="A452" s="13"/>
      <c r="B452" s="14"/>
      <c r="C452" s="30"/>
    </row>
    <row r="453" spans="1:3" ht="12.75" customHeight="1" x14ac:dyDescent="0.15">
      <c r="A453" s="13"/>
      <c r="B453" s="14"/>
      <c r="C453" s="30"/>
    </row>
    <row r="454" spans="1:3" ht="12.75" customHeight="1" x14ac:dyDescent="0.15">
      <c r="A454" s="13"/>
      <c r="B454" s="14"/>
      <c r="C454" s="30"/>
    </row>
    <row r="455" spans="1:3" ht="12.75" customHeight="1" x14ac:dyDescent="0.15">
      <c r="A455" s="13"/>
      <c r="B455" s="14"/>
      <c r="C455" s="30"/>
    </row>
    <row r="456" spans="1:3" ht="12.75" customHeight="1" x14ac:dyDescent="0.15">
      <c r="A456" s="13"/>
      <c r="B456" s="14"/>
      <c r="C456" s="30"/>
    </row>
    <row r="457" spans="1:3" ht="12.75" customHeight="1" x14ac:dyDescent="0.15">
      <c r="A457" s="13"/>
      <c r="B457" s="14"/>
      <c r="C457" s="30"/>
    </row>
    <row r="458" spans="1:3" ht="12.75" customHeight="1" x14ac:dyDescent="0.15">
      <c r="A458" s="13"/>
      <c r="B458" s="14"/>
      <c r="C458" s="30"/>
    </row>
    <row r="459" spans="1:3" ht="12.75" customHeight="1" x14ac:dyDescent="0.15">
      <c r="A459" s="13"/>
      <c r="B459" s="14"/>
      <c r="C459" s="30"/>
    </row>
    <row r="460" spans="1:3" ht="12.75" customHeight="1" x14ac:dyDescent="0.15">
      <c r="A460" s="13"/>
      <c r="B460" s="14"/>
      <c r="C460" s="30"/>
    </row>
    <row r="461" spans="1:3" ht="12.75" customHeight="1" x14ac:dyDescent="0.15">
      <c r="A461" s="13"/>
      <c r="B461" s="14"/>
      <c r="C461" s="30"/>
    </row>
    <row r="462" spans="1:3" ht="12.75" customHeight="1" x14ac:dyDescent="0.15">
      <c r="A462" s="13"/>
      <c r="B462" s="14"/>
      <c r="C462" s="30"/>
    </row>
    <row r="463" spans="1:3" ht="12.75" customHeight="1" x14ac:dyDescent="0.15">
      <c r="A463" s="13"/>
      <c r="B463" s="14"/>
      <c r="C463" s="30"/>
    </row>
    <row r="464" spans="1:3" ht="12.75" customHeight="1" x14ac:dyDescent="0.15">
      <c r="A464" s="13"/>
      <c r="B464" s="14"/>
      <c r="C464" s="30"/>
    </row>
    <row r="465" spans="1:3" ht="12.75" customHeight="1" x14ac:dyDescent="0.15">
      <c r="A465" s="13"/>
      <c r="B465" s="14"/>
      <c r="C465" s="30"/>
    </row>
    <row r="466" spans="1:3" ht="12.75" customHeight="1" x14ac:dyDescent="0.15">
      <c r="A466" s="13"/>
      <c r="B466" s="14"/>
      <c r="C466" s="30"/>
    </row>
    <row r="467" spans="1:3" ht="12.75" customHeight="1" x14ac:dyDescent="0.15">
      <c r="A467" s="13"/>
      <c r="B467" s="14"/>
      <c r="C467" s="30"/>
    </row>
    <row r="468" spans="1:3" ht="12.75" customHeight="1" x14ac:dyDescent="0.15">
      <c r="A468" s="13"/>
      <c r="B468" s="14"/>
      <c r="C468" s="30"/>
    </row>
    <row r="469" spans="1:3" ht="12.75" customHeight="1" x14ac:dyDescent="0.15">
      <c r="A469" s="13"/>
      <c r="B469" s="14"/>
      <c r="C469" s="30"/>
    </row>
    <row r="470" spans="1:3" ht="12.75" customHeight="1" x14ac:dyDescent="0.15">
      <c r="A470" s="13"/>
      <c r="B470" s="14"/>
      <c r="C470" s="30"/>
    </row>
    <row r="471" spans="1:3" ht="12.75" customHeight="1" x14ac:dyDescent="0.15">
      <c r="A471" s="13"/>
      <c r="B471" s="14"/>
      <c r="C471" s="30"/>
    </row>
    <row r="472" spans="1:3" ht="12.75" customHeight="1" x14ac:dyDescent="0.15">
      <c r="A472" s="13"/>
      <c r="B472" s="14"/>
      <c r="C472" s="30"/>
    </row>
    <row r="473" spans="1:3" ht="12.75" customHeight="1" x14ac:dyDescent="0.15">
      <c r="A473" s="13"/>
      <c r="B473" s="14"/>
      <c r="C473" s="30"/>
    </row>
    <row r="474" spans="1:3" ht="12.75" customHeight="1" x14ac:dyDescent="0.15">
      <c r="A474" s="13"/>
      <c r="B474" s="14"/>
      <c r="C474" s="30"/>
    </row>
    <row r="475" spans="1:3" ht="12.75" customHeight="1" x14ac:dyDescent="0.15">
      <c r="A475" s="13"/>
      <c r="B475" s="14"/>
      <c r="C475" s="30"/>
    </row>
    <row r="476" spans="1:3" ht="12.75" customHeight="1" x14ac:dyDescent="0.15">
      <c r="A476" s="13"/>
      <c r="B476" s="14"/>
      <c r="C476" s="30"/>
    </row>
    <row r="477" spans="1:3" ht="12.75" customHeight="1" x14ac:dyDescent="0.15">
      <c r="A477" s="13"/>
      <c r="B477" s="14"/>
      <c r="C477" s="30"/>
    </row>
    <row r="478" spans="1:3" ht="12.75" customHeight="1" x14ac:dyDescent="0.15">
      <c r="A478" s="13"/>
      <c r="B478" s="14"/>
      <c r="C478" s="30"/>
    </row>
    <row r="479" spans="1:3" ht="12.75" customHeight="1" x14ac:dyDescent="0.15">
      <c r="A479" s="13"/>
      <c r="B479" s="14"/>
      <c r="C479" s="30"/>
    </row>
    <row r="480" spans="1:3" ht="12.75" customHeight="1" x14ac:dyDescent="0.15">
      <c r="A480" s="13"/>
      <c r="B480" s="14"/>
      <c r="C480" s="30"/>
    </row>
    <row r="481" spans="1:3" ht="12.75" customHeight="1" x14ac:dyDescent="0.15">
      <c r="A481" s="13"/>
      <c r="B481" s="14"/>
      <c r="C481" s="30"/>
    </row>
    <row r="482" spans="1:3" ht="12.75" customHeight="1" x14ac:dyDescent="0.15">
      <c r="A482" s="13"/>
      <c r="B482" s="14"/>
      <c r="C482" s="30"/>
    </row>
    <row r="483" spans="1:3" ht="12.75" customHeight="1" x14ac:dyDescent="0.15">
      <c r="A483" s="13"/>
      <c r="B483" s="14"/>
      <c r="C483" s="30"/>
    </row>
    <row r="484" spans="1:3" ht="12.75" customHeight="1" x14ac:dyDescent="0.15">
      <c r="A484" s="13"/>
      <c r="B484" s="14"/>
      <c r="C484" s="30"/>
    </row>
    <row r="485" spans="1:3" ht="12.75" customHeight="1" x14ac:dyDescent="0.15">
      <c r="A485" s="13"/>
      <c r="B485" s="14"/>
      <c r="C485" s="30"/>
    </row>
    <row r="486" spans="1:3" ht="12.75" customHeight="1" x14ac:dyDescent="0.15">
      <c r="A486" s="13"/>
      <c r="B486" s="14"/>
      <c r="C486" s="30"/>
    </row>
    <row r="487" spans="1:3" ht="12.75" customHeight="1" x14ac:dyDescent="0.15">
      <c r="A487" s="13"/>
      <c r="B487" s="14"/>
      <c r="C487" s="30"/>
    </row>
    <row r="488" spans="1:3" ht="12.75" customHeight="1" x14ac:dyDescent="0.15">
      <c r="A488" s="13"/>
      <c r="B488" s="14"/>
      <c r="C488" s="30"/>
    </row>
    <row r="489" spans="1:3" ht="12.75" customHeight="1" x14ac:dyDescent="0.15">
      <c r="A489" s="13"/>
      <c r="B489" s="14"/>
      <c r="C489" s="30"/>
    </row>
    <row r="490" spans="1:3" ht="12.75" customHeight="1" x14ac:dyDescent="0.15">
      <c r="A490" s="13"/>
      <c r="B490" s="14"/>
      <c r="C490" s="30"/>
    </row>
    <row r="491" spans="1:3" ht="12.75" customHeight="1" x14ac:dyDescent="0.15">
      <c r="A491" s="13"/>
      <c r="B491" s="14"/>
      <c r="C491" s="30"/>
    </row>
    <row r="492" spans="1:3" ht="12.75" customHeight="1" x14ac:dyDescent="0.15">
      <c r="A492" s="13"/>
      <c r="B492" s="14"/>
      <c r="C492" s="30"/>
    </row>
    <row r="493" spans="1:3" ht="12.75" customHeight="1" x14ac:dyDescent="0.15">
      <c r="A493" s="13"/>
      <c r="B493" s="14"/>
      <c r="C493" s="30"/>
    </row>
    <row r="494" spans="1:3" ht="12.75" customHeight="1" x14ac:dyDescent="0.15">
      <c r="A494" s="13"/>
      <c r="B494" s="14"/>
      <c r="C494" s="30"/>
    </row>
    <row r="495" spans="1:3" ht="12.75" customHeight="1" x14ac:dyDescent="0.15">
      <c r="A495" s="13"/>
      <c r="B495" s="14"/>
      <c r="C495" s="30"/>
    </row>
    <row r="496" spans="1:3" ht="12.75" customHeight="1" x14ac:dyDescent="0.15">
      <c r="A496" s="13"/>
      <c r="B496" s="14"/>
      <c r="C496" s="30"/>
    </row>
    <row r="497" spans="1:3" ht="12.75" customHeight="1" x14ac:dyDescent="0.15">
      <c r="A497" s="13"/>
      <c r="B497" s="14"/>
      <c r="C497" s="30"/>
    </row>
    <row r="498" spans="1:3" ht="12.75" customHeight="1" x14ac:dyDescent="0.15">
      <c r="A498" s="13"/>
      <c r="B498" s="14"/>
      <c r="C498" s="30"/>
    </row>
    <row r="499" spans="1:3" ht="12.75" customHeight="1" x14ac:dyDescent="0.15">
      <c r="A499" s="13"/>
      <c r="B499" s="14"/>
      <c r="C499" s="30"/>
    </row>
    <row r="500" spans="1:3" ht="12.75" customHeight="1" x14ac:dyDescent="0.15">
      <c r="A500" s="13"/>
      <c r="B500" s="14"/>
      <c r="C500" s="30"/>
    </row>
    <row r="501" spans="1:3" ht="12.75" customHeight="1" x14ac:dyDescent="0.15">
      <c r="A501" s="13"/>
      <c r="B501" s="14"/>
      <c r="C501" s="30"/>
    </row>
    <row r="502" spans="1:3" ht="12.75" customHeight="1" x14ac:dyDescent="0.15">
      <c r="A502" s="13"/>
      <c r="B502" s="14"/>
      <c r="C502" s="30"/>
    </row>
    <row r="503" spans="1:3" ht="12.75" customHeight="1" x14ac:dyDescent="0.15">
      <c r="A503" s="13"/>
      <c r="B503" s="14"/>
      <c r="C503" s="30"/>
    </row>
    <row r="504" spans="1:3" ht="12.75" customHeight="1" x14ac:dyDescent="0.15">
      <c r="A504" s="13"/>
      <c r="B504" s="14"/>
      <c r="C504" s="30"/>
    </row>
    <row r="505" spans="1:3" ht="12.75" customHeight="1" x14ac:dyDescent="0.15">
      <c r="A505" s="13"/>
      <c r="B505" s="14"/>
      <c r="C505" s="30"/>
    </row>
    <row r="506" spans="1:3" ht="12.75" customHeight="1" x14ac:dyDescent="0.15">
      <c r="A506" s="13"/>
      <c r="B506" s="14"/>
      <c r="C506" s="30"/>
    </row>
    <row r="507" spans="1:3" ht="12.75" customHeight="1" x14ac:dyDescent="0.15">
      <c r="A507" s="13"/>
      <c r="B507" s="14"/>
      <c r="C507" s="30"/>
    </row>
    <row r="508" spans="1:3" ht="12.75" customHeight="1" x14ac:dyDescent="0.15">
      <c r="A508" s="13"/>
      <c r="B508" s="14"/>
      <c r="C508" s="30"/>
    </row>
    <row r="509" spans="1:3" ht="12.75" customHeight="1" x14ac:dyDescent="0.15">
      <c r="A509" s="13"/>
      <c r="B509" s="14"/>
      <c r="C509" s="30"/>
    </row>
    <row r="510" spans="1:3" ht="12.75" customHeight="1" x14ac:dyDescent="0.15">
      <c r="A510" s="13"/>
      <c r="B510" s="14"/>
      <c r="C510" s="30"/>
    </row>
    <row r="511" spans="1:3" ht="12.75" customHeight="1" x14ac:dyDescent="0.15">
      <c r="A511" s="13"/>
      <c r="B511" s="14"/>
      <c r="C511" s="30"/>
    </row>
    <row r="512" spans="1:3" ht="12.75" customHeight="1" x14ac:dyDescent="0.15">
      <c r="A512" s="13"/>
      <c r="B512" s="14"/>
      <c r="C512" s="30"/>
    </row>
    <row r="513" spans="1:3" ht="12.75" customHeight="1" x14ac:dyDescent="0.15">
      <c r="A513" s="13"/>
      <c r="B513" s="14"/>
      <c r="C513" s="30"/>
    </row>
    <row r="514" spans="1:3" ht="12.75" customHeight="1" x14ac:dyDescent="0.15">
      <c r="A514" s="13"/>
      <c r="B514" s="14"/>
      <c r="C514" s="30"/>
    </row>
    <row r="515" spans="1:3" ht="12.75" customHeight="1" x14ac:dyDescent="0.15">
      <c r="A515" s="13"/>
      <c r="B515" s="14"/>
      <c r="C515" s="30"/>
    </row>
    <row r="516" spans="1:3" ht="12.75" customHeight="1" x14ac:dyDescent="0.15">
      <c r="A516" s="13"/>
      <c r="B516" s="14"/>
      <c r="C516" s="30"/>
    </row>
    <row r="517" spans="1:3" ht="12.75" customHeight="1" x14ac:dyDescent="0.15">
      <c r="A517" s="13"/>
      <c r="B517" s="14"/>
      <c r="C517" s="30"/>
    </row>
    <row r="518" spans="1:3" ht="12.75" customHeight="1" x14ac:dyDescent="0.15">
      <c r="A518" s="13"/>
      <c r="B518" s="14"/>
      <c r="C518" s="30"/>
    </row>
    <row r="519" spans="1:3" ht="12.75" customHeight="1" x14ac:dyDescent="0.15">
      <c r="A519" s="13"/>
      <c r="B519" s="14"/>
      <c r="C519" s="30"/>
    </row>
    <row r="520" spans="1:3" ht="12.75" customHeight="1" x14ac:dyDescent="0.15">
      <c r="A520" s="13"/>
      <c r="B520" s="14"/>
      <c r="C520" s="30"/>
    </row>
    <row r="521" spans="1:3" ht="12.75" customHeight="1" x14ac:dyDescent="0.15">
      <c r="A521" s="13"/>
      <c r="B521" s="14"/>
      <c r="C521" s="30"/>
    </row>
    <row r="522" spans="1:3" ht="12.75" customHeight="1" x14ac:dyDescent="0.15">
      <c r="A522" s="13"/>
      <c r="B522" s="14"/>
      <c r="C522" s="30"/>
    </row>
    <row r="523" spans="1:3" ht="12.75" customHeight="1" x14ac:dyDescent="0.15">
      <c r="A523" s="13"/>
      <c r="B523" s="14"/>
      <c r="C523" s="30"/>
    </row>
    <row r="524" spans="1:3" ht="12.75" customHeight="1" x14ac:dyDescent="0.15">
      <c r="A524" s="13"/>
      <c r="B524" s="14"/>
      <c r="C524" s="30"/>
    </row>
    <row r="525" spans="1:3" ht="12.75" customHeight="1" x14ac:dyDescent="0.15">
      <c r="A525" s="13"/>
      <c r="B525" s="14"/>
      <c r="C525" s="30"/>
    </row>
    <row r="526" spans="1:3" ht="12.75" customHeight="1" x14ac:dyDescent="0.15">
      <c r="A526" s="13"/>
      <c r="B526" s="14"/>
      <c r="C526" s="30"/>
    </row>
    <row r="527" spans="1:3" ht="12.75" customHeight="1" x14ac:dyDescent="0.15">
      <c r="A527" s="13"/>
      <c r="B527" s="14"/>
      <c r="C527" s="30"/>
    </row>
    <row r="528" spans="1:3" ht="12.75" customHeight="1" x14ac:dyDescent="0.15">
      <c r="A528" s="13"/>
      <c r="B528" s="14"/>
      <c r="C528" s="30"/>
    </row>
    <row r="529" spans="1:3" ht="12.75" customHeight="1" x14ac:dyDescent="0.15">
      <c r="A529" s="13"/>
      <c r="B529" s="14"/>
      <c r="C529" s="30"/>
    </row>
    <row r="530" spans="1:3" ht="12.75" customHeight="1" x14ac:dyDescent="0.15">
      <c r="A530" s="13"/>
      <c r="B530" s="14"/>
      <c r="C530" s="30"/>
    </row>
    <row r="531" spans="1:3" ht="12.75" customHeight="1" x14ac:dyDescent="0.15">
      <c r="A531" s="13"/>
      <c r="B531" s="14"/>
      <c r="C531" s="30"/>
    </row>
    <row r="532" spans="1:3" ht="12.75" customHeight="1" x14ac:dyDescent="0.15">
      <c r="A532" s="13"/>
      <c r="B532" s="14"/>
      <c r="C532" s="30"/>
    </row>
    <row r="533" spans="1:3" ht="12.75" customHeight="1" x14ac:dyDescent="0.15">
      <c r="A533" s="13"/>
      <c r="B533" s="14"/>
      <c r="C533" s="30"/>
    </row>
    <row r="534" spans="1:3" ht="12.75" customHeight="1" x14ac:dyDescent="0.15">
      <c r="A534" s="13"/>
      <c r="B534" s="14"/>
      <c r="C534" s="30"/>
    </row>
    <row r="535" spans="1:3" ht="12.75" customHeight="1" x14ac:dyDescent="0.15">
      <c r="A535" s="13"/>
      <c r="B535" s="14"/>
      <c r="C535" s="30"/>
    </row>
    <row r="536" spans="1:3" ht="12.75" customHeight="1" x14ac:dyDescent="0.15">
      <c r="A536" s="13"/>
      <c r="B536" s="14"/>
      <c r="C536" s="30"/>
    </row>
    <row r="537" spans="1:3" ht="12.75" customHeight="1" x14ac:dyDescent="0.15">
      <c r="A537" s="13"/>
      <c r="B537" s="14"/>
      <c r="C537" s="30"/>
    </row>
    <row r="538" spans="1:3" ht="12.75" customHeight="1" x14ac:dyDescent="0.15">
      <c r="A538" s="13"/>
      <c r="B538" s="14"/>
      <c r="C538" s="30"/>
    </row>
    <row r="539" spans="1:3" ht="12.75" customHeight="1" x14ac:dyDescent="0.15">
      <c r="A539" s="13"/>
      <c r="B539" s="14"/>
      <c r="C539" s="30"/>
    </row>
    <row r="540" spans="1:3" ht="12.75" customHeight="1" x14ac:dyDescent="0.15">
      <c r="A540" s="13"/>
      <c r="B540" s="14"/>
      <c r="C540" s="30"/>
    </row>
    <row r="541" spans="1:3" ht="12.75" customHeight="1" x14ac:dyDescent="0.15">
      <c r="A541" s="13"/>
      <c r="B541" s="14"/>
      <c r="C541" s="30"/>
    </row>
    <row r="542" spans="1:3" ht="12.75" customHeight="1" x14ac:dyDescent="0.15">
      <c r="A542" s="13"/>
      <c r="B542" s="14"/>
      <c r="C542" s="30"/>
    </row>
    <row r="543" spans="1:3" ht="12.75" customHeight="1" x14ac:dyDescent="0.15">
      <c r="A543" s="13"/>
      <c r="B543" s="14"/>
      <c r="C543" s="30"/>
    </row>
    <row r="544" spans="1:3" ht="12.75" customHeight="1" x14ac:dyDescent="0.15">
      <c r="A544" s="13"/>
      <c r="B544" s="14"/>
      <c r="C544" s="30"/>
    </row>
    <row r="545" spans="1:3" ht="12.75" customHeight="1" x14ac:dyDescent="0.15">
      <c r="A545" s="13"/>
      <c r="B545" s="14"/>
      <c r="C545" s="30"/>
    </row>
    <row r="546" spans="1:3" ht="12.75" customHeight="1" x14ac:dyDescent="0.15">
      <c r="A546" s="13"/>
      <c r="B546" s="14"/>
      <c r="C546" s="30"/>
    </row>
    <row r="547" spans="1:3" ht="12.75" customHeight="1" x14ac:dyDescent="0.15">
      <c r="A547" s="13"/>
      <c r="B547" s="14"/>
      <c r="C547" s="30"/>
    </row>
    <row r="548" spans="1:3" ht="12.75" customHeight="1" x14ac:dyDescent="0.15">
      <c r="A548" s="13"/>
      <c r="B548" s="14"/>
      <c r="C548" s="30"/>
    </row>
    <row r="549" spans="1:3" ht="12.75" customHeight="1" x14ac:dyDescent="0.15">
      <c r="A549" s="13"/>
      <c r="B549" s="14"/>
      <c r="C549" s="30"/>
    </row>
    <row r="550" spans="1:3" ht="12.75" customHeight="1" x14ac:dyDescent="0.15">
      <c r="A550" s="13"/>
      <c r="B550" s="14"/>
      <c r="C550" s="30"/>
    </row>
    <row r="551" spans="1:3" ht="12.75" customHeight="1" x14ac:dyDescent="0.15">
      <c r="A551" s="13"/>
      <c r="B551" s="14"/>
      <c r="C551" s="30"/>
    </row>
    <row r="552" spans="1:3" ht="12.75" customHeight="1" x14ac:dyDescent="0.15">
      <c r="A552" s="13"/>
      <c r="B552" s="14"/>
      <c r="C552" s="30"/>
    </row>
    <row r="553" spans="1:3" ht="12.75" customHeight="1" x14ac:dyDescent="0.15">
      <c r="A553" s="13"/>
      <c r="B553" s="14"/>
      <c r="C553" s="30"/>
    </row>
    <row r="554" spans="1:3" ht="12.75" customHeight="1" x14ac:dyDescent="0.15">
      <c r="A554" s="13"/>
      <c r="B554" s="14"/>
      <c r="C554" s="30"/>
    </row>
    <row r="555" spans="1:3" ht="12.75" customHeight="1" x14ac:dyDescent="0.15">
      <c r="A555" s="13"/>
      <c r="B555" s="14"/>
      <c r="C555" s="30"/>
    </row>
    <row r="556" spans="1:3" ht="12.75" customHeight="1" x14ac:dyDescent="0.15">
      <c r="A556" s="13"/>
      <c r="B556" s="14"/>
      <c r="C556" s="30"/>
    </row>
    <row r="557" spans="1:3" ht="12.75" customHeight="1" x14ac:dyDescent="0.15">
      <c r="A557" s="13"/>
      <c r="B557" s="14"/>
      <c r="C557" s="30"/>
    </row>
    <row r="558" spans="1:3" ht="12.75" customHeight="1" x14ac:dyDescent="0.15">
      <c r="A558" s="13"/>
      <c r="B558" s="14"/>
      <c r="C558" s="30"/>
    </row>
    <row r="559" spans="1:3" ht="12.75" customHeight="1" x14ac:dyDescent="0.15">
      <c r="A559" s="13"/>
      <c r="B559" s="14"/>
      <c r="C559" s="30"/>
    </row>
    <row r="560" spans="1:3" ht="12.75" customHeight="1" x14ac:dyDescent="0.15">
      <c r="A560" s="13"/>
      <c r="B560" s="14"/>
      <c r="C560" s="30"/>
    </row>
    <row r="561" spans="1:3" ht="12.75" customHeight="1" x14ac:dyDescent="0.15">
      <c r="A561" s="13"/>
      <c r="B561" s="14"/>
      <c r="C561" s="30"/>
    </row>
    <row r="562" spans="1:3" ht="12.75" customHeight="1" x14ac:dyDescent="0.15">
      <c r="A562" s="13"/>
      <c r="B562" s="14"/>
      <c r="C562" s="30"/>
    </row>
    <row r="563" spans="1:3" ht="12.75" customHeight="1" x14ac:dyDescent="0.15">
      <c r="A563" s="13"/>
      <c r="B563" s="14"/>
      <c r="C563" s="30"/>
    </row>
    <row r="564" spans="1:3" ht="12.75" customHeight="1" x14ac:dyDescent="0.15">
      <c r="A564" s="13"/>
      <c r="B564" s="14"/>
      <c r="C564" s="30"/>
    </row>
    <row r="565" spans="1:3" ht="12.75" customHeight="1" x14ac:dyDescent="0.15">
      <c r="A565" s="13"/>
      <c r="B565" s="14"/>
      <c r="C565" s="30"/>
    </row>
    <row r="566" spans="1:3" ht="12.75" customHeight="1" x14ac:dyDescent="0.15">
      <c r="A566" s="13"/>
      <c r="B566" s="14"/>
      <c r="C566" s="30"/>
    </row>
    <row r="567" spans="1:3" ht="12.75" customHeight="1" x14ac:dyDescent="0.15">
      <c r="A567" s="13"/>
      <c r="B567" s="14"/>
      <c r="C567" s="30"/>
    </row>
    <row r="568" spans="1:3" ht="12.75" customHeight="1" x14ac:dyDescent="0.15">
      <c r="A568" s="13"/>
      <c r="B568" s="14"/>
      <c r="C568" s="30"/>
    </row>
    <row r="569" spans="1:3" ht="12.75" customHeight="1" x14ac:dyDescent="0.15">
      <c r="A569" s="13"/>
      <c r="B569" s="14"/>
      <c r="C569" s="30"/>
    </row>
    <row r="570" spans="1:3" ht="12.75" customHeight="1" x14ac:dyDescent="0.15">
      <c r="A570" s="13"/>
      <c r="B570" s="14"/>
      <c r="C570" s="30"/>
    </row>
    <row r="571" spans="1:3" ht="12.75" customHeight="1" x14ac:dyDescent="0.15">
      <c r="A571" s="13"/>
      <c r="B571" s="14"/>
      <c r="C571" s="30"/>
    </row>
    <row r="572" spans="1:3" ht="12.75" customHeight="1" x14ac:dyDescent="0.15">
      <c r="A572" s="13"/>
      <c r="B572" s="14"/>
      <c r="C572" s="30"/>
    </row>
    <row r="573" spans="1:3" ht="12.75" customHeight="1" x14ac:dyDescent="0.15">
      <c r="A573" s="13"/>
      <c r="B573" s="14"/>
      <c r="C573" s="30"/>
    </row>
    <row r="574" spans="1:3" ht="12.75" customHeight="1" x14ac:dyDescent="0.15">
      <c r="A574" s="13"/>
      <c r="B574" s="14"/>
      <c r="C574" s="30"/>
    </row>
    <row r="575" spans="1:3" ht="12.75" customHeight="1" x14ac:dyDescent="0.15">
      <c r="A575" s="13"/>
      <c r="B575" s="14"/>
      <c r="C575" s="30"/>
    </row>
    <row r="576" spans="1:3" ht="12.75" customHeight="1" x14ac:dyDescent="0.15">
      <c r="A576" s="13"/>
      <c r="B576" s="14"/>
      <c r="C576" s="30"/>
    </row>
    <row r="577" spans="1:3" ht="12.75" customHeight="1" x14ac:dyDescent="0.15">
      <c r="A577" s="13"/>
      <c r="B577" s="14"/>
      <c r="C577" s="30"/>
    </row>
    <row r="578" spans="1:3" ht="12.75" customHeight="1" x14ac:dyDescent="0.15">
      <c r="A578" s="13"/>
      <c r="B578" s="14"/>
      <c r="C578" s="30"/>
    </row>
    <row r="579" spans="1:3" ht="12.75" customHeight="1" x14ac:dyDescent="0.15">
      <c r="A579" s="13"/>
      <c r="B579" s="14"/>
      <c r="C579" s="30"/>
    </row>
    <row r="580" spans="1:3" ht="12.75" customHeight="1" x14ac:dyDescent="0.15">
      <c r="A580" s="13"/>
      <c r="B580" s="14"/>
      <c r="C580" s="30"/>
    </row>
    <row r="581" spans="1:3" ht="12.75" customHeight="1" x14ac:dyDescent="0.15">
      <c r="A581" s="13"/>
      <c r="B581" s="14"/>
      <c r="C581" s="30"/>
    </row>
    <row r="582" spans="1:3" ht="12.75" customHeight="1" x14ac:dyDescent="0.15">
      <c r="A582" s="13"/>
      <c r="B582" s="14"/>
      <c r="C582" s="30"/>
    </row>
    <row r="583" spans="1:3" ht="12.75" customHeight="1" x14ac:dyDescent="0.15">
      <c r="A583" s="13"/>
      <c r="B583" s="14"/>
      <c r="C583" s="30"/>
    </row>
    <row r="584" spans="1:3" ht="12.75" customHeight="1" x14ac:dyDescent="0.15">
      <c r="A584" s="13"/>
      <c r="B584" s="14"/>
      <c r="C584" s="30"/>
    </row>
    <row r="585" spans="1:3" ht="12.75" customHeight="1" x14ac:dyDescent="0.15">
      <c r="A585" s="13"/>
      <c r="B585" s="14"/>
      <c r="C585" s="30"/>
    </row>
    <row r="586" spans="1:3" ht="12.75" customHeight="1" x14ac:dyDescent="0.15">
      <c r="A586" s="13"/>
      <c r="B586" s="14"/>
      <c r="C586" s="30"/>
    </row>
    <row r="587" spans="1:3" ht="12.75" customHeight="1" x14ac:dyDescent="0.15">
      <c r="A587" s="13"/>
      <c r="B587" s="14"/>
      <c r="C587" s="30"/>
    </row>
    <row r="588" spans="1:3" ht="12.75" customHeight="1" x14ac:dyDescent="0.15">
      <c r="A588" s="13"/>
      <c r="B588" s="14"/>
      <c r="C588" s="30"/>
    </row>
    <row r="589" spans="1:3" ht="12.75" customHeight="1" x14ac:dyDescent="0.15">
      <c r="A589" s="13"/>
      <c r="B589" s="14"/>
      <c r="C589" s="30"/>
    </row>
    <row r="590" spans="1:3" ht="12.75" customHeight="1" x14ac:dyDescent="0.15">
      <c r="A590" s="13"/>
      <c r="B590" s="14"/>
      <c r="C590" s="30"/>
    </row>
    <row r="591" spans="1:3" ht="12.75" customHeight="1" x14ac:dyDescent="0.15">
      <c r="A591" s="13"/>
      <c r="B591" s="14"/>
      <c r="C591" s="30"/>
    </row>
    <row r="592" spans="1:3" ht="12.75" customHeight="1" x14ac:dyDescent="0.15">
      <c r="A592" s="13"/>
      <c r="B592" s="14"/>
      <c r="C592" s="30"/>
    </row>
    <row r="593" spans="1:3" ht="12.75" customHeight="1" x14ac:dyDescent="0.15">
      <c r="A593" s="13"/>
      <c r="B593" s="14"/>
      <c r="C593" s="30"/>
    </row>
    <row r="594" spans="1:3" ht="12.75" customHeight="1" x14ac:dyDescent="0.15">
      <c r="A594" s="13"/>
      <c r="B594" s="14"/>
      <c r="C594" s="30"/>
    </row>
    <row r="595" spans="1:3" ht="12.75" customHeight="1" x14ac:dyDescent="0.15">
      <c r="A595" s="13"/>
      <c r="B595" s="14"/>
      <c r="C595" s="30"/>
    </row>
    <row r="596" spans="1:3" ht="12.75" customHeight="1" x14ac:dyDescent="0.15">
      <c r="A596" s="13"/>
      <c r="B596" s="14"/>
      <c r="C596" s="30"/>
    </row>
    <row r="597" spans="1:3" ht="12.75" customHeight="1" x14ac:dyDescent="0.15">
      <c r="A597" s="13"/>
      <c r="B597" s="14"/>
      <c r="C597" s="30"/>
    </row>
    <row r="598" spans="1:3" ht="12.75" customHeight="1" x14ac:dyDescent="0.15">
      <c r="A598" s="13"/>
      <c r="B598" s="14"/>
      <c r="C598" s="30"/>
    </row>
    <row r="599" spans="1:3" ht="12.75" customHeight="1" x14ac:dyDescent="0.15">
      <c r="A599" s="13"/>
      <c r="B599" s="14"/>
      <c r="C599" s="30"/>
    </row>
    <row r="600" spans="1:3" ht="12.75" customHeight="1" x14ac:dyDescent="0.15">
      <c r="A600" s="13"/>
      <c r="B600" s="14"/>
      <c r="C600" s="30"/>
    </row>
    <row r="601" spans="1:3" ht="12.75" customHeight="1" x14ac:dyDescent="0.15">
      <c r="A601" s="13"/>
      <c r="B601" s="14"/>
      <c r="C601" s="30"/>
    </row>
    <row r="602" spans="1:3" ht="12.75" customHeight="1" x14ac:dyDescent="0.15">
      <c r="A602" s="13"/>
      <c r="B602" s="14"/>
      <c r="C602" s="30"/>
    </row>
    <row r="603" spans="1:3" ht="12.75" customHeight="1" x14ac:dyDescent="0.15">
      <c r="A603" s="13"/>
      <c r="B603" s="14"/>
      <c r="C603" s="30"/>
    </row>
    <row r="604" spans="1:3" ht="12.75" customHeight="1" x14ac:dyDescent="0.15">
      <c r="A604" s="13"/>
      <c r="B604" s="14"/>
      <c r="C604" s="30"/>
    </row>
    <row r="605" spans="1:3" ht="12.75" customHeight="1" x14ac:dyDescent="0.15">
      <c r="A605" s="13"/>
      <c r="B605" s="14"/>
      <c r="C605" s="30"/>
    </row>
    <row r="606" spans="1:3" ht="12.75" customHeight="1" x14ac:dyDescent="0.15">
      <c r="A606" s="13"/>
      <c r="B606" s="14"/>
      <c r="C606" s="30"/>
    </row>
    <row r="607" spans="1:3" ht="12.75" customHeight="1" x14ac:dyDescent="0.15">
      <c r="A607" s="13"/>
      <c r="B607" s="14"/>
      <c r="C607" s="30"/>
    </row>
    <row r="608" spans="1:3" ht="12.75" customHeight="1" x14ac:dyDescent="0.15">
      <c r="A608" s="13"/>
      <c r="B608" s="14"/>
      <c r="C608" s="30"/>
    </row>
    <row r="609" spans="1:3" ht="12.75" customHeight="1" x14ac:dyDescent="0.15">
      <c r="A609" s="13"/>
      <c r="B609" s="14"/>
      <c r="C609" s="30"/>
    </row>
    <row r="610" spans="1:3" ht="12.75" customHeight="1" x14ac:dyDescent="0.15">
      <c r="A610" s="13"/>
      <c r="B610" s="14"/>
      <c r="C610" s="30"/>
    </row>
    <row r="611" spans="1:3" ht="12.75" customHeight="1" x14ac:dyDescent="0.15">
      <c r="A611" s="13"/>
      <c r="B611" s="14"/>
      <c r="C611" s="30"/>
    </row>
    <row r="612" spans="1:3" ht="12.75" customHeight="1" x14ac:dyDescent="0.15">
      <c r="A612" s="13"/>
      <c r="B612" s="14"/>
      <c r="C612" s="30"/>
    </row>
    <row r="613" spans="1:3" ht="12.75" customHeight="1" x14ac:dyDescent="0.15">
      <c r="A613" s="13"/>
      <c r="B613" s="14"/>
      <c r="C613" s="30"/>
    </row>
    <row r="614" spans="1:3" ht="12.75" customHeight="1" x14ac:dyDescent="0.15">
      <c r="A614" s="13"/>
      <c r="B614" s="14"/>
      <c r="C614" s="30"/>
    </row>
    <row r="615" spans="1:3" ht="12.75" customHeight="1" x14ac:dyDescent="0.15">
      <c r="A615" s="13"/>
      <c r="B615" s="14"/>
      <c r="C615" s="30"/>
    </row>
    <row r="616" spans="1:3" ht="12.75" customHeight="1" x14ac:dyDescent="0.15">
      <c r="A616" s="13"/>
      <c r="B616" s="14"/>
      <c r="C616" s="30"/>
    </row>
    <row r="617" spans="1:3" ht="12.75" customHeight="1" x14ac:dyDescent="0.15">
      <c r="A617" s="13"/>
      <c r="B617" s="14"/>
      <c r="C617" s="30"/>
    </row>
    <row r="618" spans="1:3" ht="12.75" customHeight="1" x14ac:dyDescent="0.15">
      <c r="A618" s="13"/>
      <c r="B618" s="14"/>
      <c r="C618" s="30"/>
    </row>
    <row r="619" spans="1:3" ht="12.75" customHeight="1" x14ac:dyDescent="0.15">
      <c r="A619" s="13"/>
      <c r="B619" s="14"/>
      <c r="C619" s="30"/>
    </row>
    <row r="620" spans="1:3" ht="12.75" customHeight="1" x14ac:dyDescent="0.15">
      <c r="A620" s="13"/>
      <c r="B620" s="14"/>
      <c r="C620" s="30"/>
    </row>
    <row r="621" spans="1:3" ht="12.75" customHeight="1" x14ac:dyDescent="0.15">
      <c r="A621" s="13"/>
      <c r="B621" s="14"/>
      <c r="C621" s="30"/>
    </row>
    <row r="622" spans="1:3" ht="12.75" customHeight="1" x14ac:dyDescent="0.15">
      <c r="A622" s="13"/>
      <c r="B622" s="14"/>
      <c r="C622" s="30"/>
    </row>
    <row r="623" spans="1:3" ht="12.75" customHeight="1" x14ac:dyDescent="0.15">
      <c r="A623" s="13"/>
      <c r="B623" s="14"/>
      <c r="C623" s="30"/>
    </row>
    <row r="624" spans="1:3" ht="12.75" customHeight="1" x14ac:dyDescent="0.15">
      <c r="A624" s="13"/>
      <c r="B624" s="14"/>
      <c r="C624" s="30"/>
    </row>
    <row r="625" spans="1:3" ht="12.75" customHeight="1" x14ac:dyDescent="0.15">
      <c r="A625" s="13"/>
      <c r="B625" s="14"/>
      <c r="C625" s="30"/>
    </row>
    <row r="626" spans="1:3" ht="12.75" customHeight="1" x14ac:dyDescent="0.15">
      <c r="A626" s="13"/>
      <c r="B626" s="14"/>
      <c r="C626" s="30"/>
    </row>
    <row r="627" spans="1:3" ht="12.75" customHeight="1" x14ac:dyDescent="0.15">
      <c r="A627" s="13"/>
      <c r="B627" s="14"/>
      <c r="C627" s="30"/>
    </row>
    <row r="628" spans="1:3" ht="12.75" customHeight="1" x14ac:dyDescent="0.15">
      <c r="A628" s="13"/>
      <c r="B628" s="14"/>
      <c r="C628" s="30"/>
    </row>
    <row r="629" spans="1:3" ht="12.75" customHeight="1" x14ac:dyDescent="0.15">
      <c r="A629" s="13"/>
      <c r="B629" s="14"/>
      <c r="C629" s="30"/>
    </row>
    <row r="630" spans="1:3" ht="12.75" customHeight="1" x14ac:dyDescent="0.15">
      <c r="A630" s="13"/>
      <c r="B630" s="14"/>
      <c r="C630" s="30"/>
    </row>
    <row r="631" spans="1:3" ht="12.75" customHeight="1" x14ac:dyDescent="0.15">
      <c r="A631" s="13"/>
      <c r="B631" s="14"/>
      <c r="C631" s="30"/>
    </row>
    <row r="632" spans="1:3" ht="12.75" customHeight="1" x14ac:dyDescent="0.15">
      <c r="A632" s="13"/>
      <c r="B632" s="14"/>
      <c r="C632" s="30"/>
    </row>
    <row r="633" spans="1:3" ht="12.75" customHeight="1" x14ac:dyDescent="0.15">
      <c r="A633" s="13"/>
      <c r="B633" s="14"/>
      <c r="C633" s="30"/>
    </row>
    <row r="634" spans="1:3" ht="12.75" customHeight="1" x14ac:dyDescent="0.15">
      <c r="A634" s="13"/>
      <c r="B634" s="14"/>
      <c r="C634" s="30"/>
    </row>
    <row r="635" spans="1:3" ht="12.75" customHeight="1" x14ac:dyDescent="0.15">
      <c r="A635" s="13"/>
      <c r="B635" s="14"/>
      <c r="C635" s="30"/>
    </row>
    <row r="636" spans="1:3" ht="12.75" customHeight="1" x14ac:dyDescent="0.15">
      <c r="A636" s="13"/>
      <c r="B636" s="14"/>
      <c r="C636" s="30"/>
    </row>
    <row r="637" spans="1:3" ht="12.75" customHeight="1" x14ac:dyDescent="0.15">
      <c r="A637" s="13"/>
      <c r="B637" s="14"/>
      <c r="C637" s="30"/>
    </row>
    <row r="638" spans="1:3" ht="12.75" customHeight="1" x14ac:dyDescent="0.15">
      <c r="A638" s="13"/>
      <c r="B638" s="14"/>
      <c r="C638" s="30"/>
    </row>
    <row r="639" spans="1:3" ht="12.75" customHeight="1" x14ac:dyDescent="0.15">
      <c r="A639" s="13"/>
      <c r="B639" s="14"/>
      <c r="C639" s="30"/>
    </row>
    <row r="640" spans="1:3" ht="12.75" customHeight="1" x14ac:dyDescent="0.15">
      <c r="A640" s="13"/>
      <c r="B640" s="14"/>
      <c r="C640" s="30"/>
    </row>
    <row r="641" spans="1:3" ht="12.75" customHeight="1" x14ac:dyDescent="0.15">
      <c r="A641" s="13"/>
      <c r="B641" s="14"/>
      <c r="C641" s="30"/>
    </row>
    <row r="642" spans="1:3" ht="12.75" customHeight="1" x14ac:dyDescent="0.15">
      <c r="A642" s="13"/>
      <c r="B642" s="14"/>
      <c r="C642" s="30"/>
    </row>
    <row r="643" spans="1:3" ht="12.75" customHeight="1" x14ac:dyDescent="0.15">
      <c r="A643" s="13"/>
      <c r="B643" s="14"/>
      <c r="C643" s="30"/>
    </row>
    <row r="644" spans="1:3" ht="12.75" customHeight="1" x14ac:dyDescent="0.15">
      <c r="A644" s="13"/>
      <c r="B644" s="14"/>
      <c r="C644" s="30"/>
    </row>
    <row r="645" spans="1:3" ht="12.75" customHeight="1" x14ac:dyDescent="0.15">
      <c r="A645" s="13"/>
      <c r="B645" s="14"/>
      <c r="C645" s="30"/>
    </row>
    <row r="646" spans="1:3" ht="12.75" customHeight="1" x14ac:dyDescent="0.15">
      <c r="A646" s="13"/>
      <c r="B646" s="14"/>
      <c r="C646" s="30"/>
    </row>
    <row r="647" spans="1:3" ht="12.75" customHeight="1" x14ac:dyDescent="0.15">
      <c r="A647" s="13"/>
      <c r="B647" s="14"/>
      <c r="C647" s="30"/>
    </row>
    <row r="648" spans="1:3" ht="12.75" customHeight="1" x14ac:dyDescent="0.15">
      <c r="A648" s="13"/>
      <c r="B648" s="14"/>
      <c r="C648" s="30"/>
    </row>
    <row r="649" spans="1:3" ht="12.75" customHeight="1" x14ac:dyDescent="0.15">
      <c r="A649" s="13"/>
      <c r="B649" s="14"/>
      <c r="C649" s="30"/>
    </row>
    <row r="650" spans="1:3" ht="12.75" customHeight="1" x14ac:dyDescent="0.15">
      <c r="A650" s="13"/>
      <c r="B650" s="14"/>
      <c r="C650" s="30"/>
    </row>
    <row r="651" spans="1:3" ht="12.75" customHeight="1" x14ac:dyDescent="0.15">
      <c r="A651" s="13"/>
      <c r="B651" s="14"/>
      <c r="C651" s="30"/>
    </row>
    <row r="652" spans="1:3" ht="12.75" customHeight="1" x14ac:dyDescent="0.15">
      <c r="A652" s="13"/>
      <c r="B652" s="14"/>
      <c r="C652" s="30"/>
    </row>
    <row r="653" spans="1:3" ht="12.75" customHeight="1" x14ac:dyDescent="0.15">
      <c r="A653" s="13"/>
      <c r="B653" s="14"/>
      <c r="C653" s="30"/>
    </row>
    <row r="654" spans="1:3" ht="12.75" customHeight="1" x14ac:dyDescent="0.15">
      <c r="A654" s="13"/>
      <c r="B654" s="14"/>
      <c r="C654" s="30"/>
    </row>
    <row r="655" spans="1:3" ht="12.75" customHeight="1" x14ac:dyDescent="0.15">
      <c r="A655" s="13"/>
      <c r="B655" s="14"/>
      <c r="C655" s="30"/>
    </row>
    <row r="656" spans="1:3" ht="12.75" customHeight="1" x14ac:dyDescent="0.15">
      <c r="A656" s="13"/>
      <c r="B656" s="14"/>
      <c r="C656" s="30"/>
    </row>
    <row r="657" spans="1:3" ht="12.75" customHeight="1" x14ac:dyDescent="0.15">
      <c r="A657" s="13"/>
      <c r="B657" s="14"/>
      <c r="C657" s="30"/>
    </row>
    <row r="658" spans="1:3" ht="12.75" customHeight="1" x14ac:dyDescent="0.15">
      <c r="A658" s="13"/>
      <c r="B658" s="14"/>
      <c r="C658" s="30"/>
    </row>
    <row r="659" spans="1:3" ht="12.75" customHeight="1" x14ac:dyDescent="0.15">
      <c r="A659" s="13"/>
      <c r="B659" s="14"/>
      <c r="C659" s="30"/>
    </row>
    <row r="660" spans="1:3" ht="12.75" customHeight="1" x14ac:dyDescent="0.15">
      <c r="A660" s="13"/>
      <c r="B660" s="14"/>
      <c r="C660" s="30"/>
    </row>
    <row r="661" spans="1:3" ht="12.75" customHeight="1" x14ac:dyDescent="0.15">
      <c r="A661" s="13"/>
      <c r="B661" s="14"/>
      <c r="C661" s="30"/>
    </row>
    <row r="662" spans="1:3" ht="12.75" customHeight="1" x14ac:dyDescent="0.15">
      <c r="A662" s="13"/>
      <c r="B662" s="14"/>
      <c r="C662" s="30"/>
    </row>
    <row r="663" spans="1:3" ht="12.75" customHeight="1" x14ac:dyDescent="0.15">
      <c r="A663" s="13"/>
      <c r="B663" s="14"/>
      <c r="C663" s="30"/>
    </row>
    <row r="664" spans="1:3" ht="12.75" customHeight="1" x14ac:dyDescent="0.15">
      <c r="A664" s="13"/>
      <c r="B664" s="14"/>
      <c r="C664" s="30"/>
    </row>
    <row r="665" spans="1:3" ht="12.75" customHeight="1" x14ac:dyDescent="0.15">
      <c r="A665" s="13"/>
      <c r="B665" s="14"/>
      <c r="C665" s="30"/>
    </row>
    <row r="666" spans="1:3" ht="12.75" customHeight="1" x14ac:dyDescent="0.15">
      <c r="A666" s="13"/>
      <c r="B666" s="14"/>
      <c r="C666" s="30"/>
    </row>
    <row r="667" spans="1:3" ht="12.75" customHeight="1" x14ac:dyDescent="0.15">
      <c r="A667" s="13"/>
      <c r="B667" s="14"/>
      <c r="C667" s="30"/>
    </row>
    <row r="668" spans="1:3" ht="12.75" customHeight="1" x14ac:dyDescent="0.15">
      <c r="A668" s="13"/>
      <c r="B668" s="14"/>
      <c r="C668" s="30"/>
    </row>
    <row r="669" spans="1:3" ht="12.75" customHeight="1" x14ac:dyDescent="0.15">
      <c r="A669" s="13"/>
      <c r="B669" s="14"/>
      <c r="C669" s="30"/>
    </row>
    <row r="670" spans="1:3" ht="12.75" customHeight="1" x14ac:dyDescent="0.15">
      <c r="A670" s="13"/>
      <c r="B670" s="14"/>
      <c r="C670" s="30"/>
    </row>
    <row r="671" spans="1:3" ht="12.75" customHeight="1" x14ac:dyDescent="0.15">
      <c r="A671" s="13"/>
      <c r="B671" s="14"/>
      <c r="C671" s="30"/>
    </row>
    <row r="672" spans="1:3" ht="12.75" customHeight="1" x14ac:dyDescent="0.15">
      <c r="A672" s="13"/>
      <c r="B672" s="14"/>
      <c r="C672" s="30"/>
    </row>
    <row r="673" spans="1:3" ht="12.75" customHeight="1" x14ac:dyDescent="0.15">
      <c r="A673" s="13"/>
      <c r="B673" s="14"/>
      <c r="C673" s="30"/>
    </row>
    <row r="674" spans="1:3" ht="12.75" customHeight="1" x14ac:dyDescent="0.15">
      <c r="A674" s="13"/>
      <c r="B674" s="14"/>
      <c r="C674" s="30"/>
    </row>
    <row r="675" spans="1:3" ht="12.75" customHeight="1" x14ac:dyDescent="0.15">
      <c r="A675" s="13"/>
      <c r="B675" s="14"/>
      <c r="C675" s="30"/>
    </row>
    <row r="676" spans="1:3" ht="12.75" customHeight="1" x14ac:dyDescent="0.15">
      <c r="A676" s="13"/>
      <c r="B676" s="14"/>
      <c r="C676" s="30"/>
    </row>
    <row r="677" spans="1:3" ht="12.75" customHeight="1" x14ac:dyDescent="0.15">
      <c r="A677" s="13"/>
      <c r="B677" s="14"/>
      <c r="C677" s="30"/>
    </row>
    <row r="678" spans="1:3" ht="12.75" customHeight="1" x14ac:dyDescent="0.15">
      <c r="A678" s="13"/>
      <c r="B678" s="14"/>
      <c r="C678" s="30"/>
    </row>
    <row r="679" spans="1:3" ht="12.75" customHeight="1" x14ac:dyDescent="0.15">
      <c r="A679" s="13"/>
      <c r="B679" s="14"/>
      <c r="C679" s="30"/>
    </row>
    <row r="680" spans="1:3" ht="12.75" customHeight="1" x14ac:dyDescent="0.15">
      <c r="A680" s="13"/>
      <c r="B680" s="14"/>
      <c r="C680" s="30"/>
    </row>
    <row r="681" spans="1:3" ht="12.75" customHeight="1" x14ac:dyDescent="0.15">
      <c r="A681" s="13"/>
      <c r="B681" s="14"/>
      <c r="C681" s="30"/>
    </row>
    <row r="682" spans="1:3" ht="12.75" customHeight="1" x14ac:dyDescent="0.15">
      <c r="A682" s="13"/>
      <c r="B682" s="14"/>
      <c r="C682" s="30"/>
    </row>
    <row r="683" spans="1:3" ht="12.75" customHeight="1" x14ac:dyDescent="0.15">
      <c r="A683" s="13"/>
      <c r="B683" s="14"/>
      <c r="C683" s="30"/>
    </row>
    <row r="684" spans="1:3" ht="12.75" customHeight="1" x14ac:dyDescent="0.15">
      <c r="A684" s="13"/>
      <c r="B684" s="14"/>
      <c r="C684" s="30"/>
    </row>
    <row r="685" spans="1:3" ht="12.75" customHeight="1" x14ac:dyDescent="0.15">
      <c r="A685" s="13"/>
      <c r="B685" s="14"/>
      <c r="C685" s="30"/>
    </row>
    <row r="686" spans="1:3" ht="12.75" customHeight="1" x14ac:dyDescent="0.15">
      <c r="A686" s="13"/>
      <c r="B686" s="14"/>
      <c r="C686" s="30"/>
    </row>
    <row r="687" spans="1:3" ht="12.75" customHeight="1" x14ac:dyDescent="0.15">
      <c r="A687" s="13"/>
      <c r="B687" s="14"/>
      <c r="C687" s="30"/>
    </row>
    <row r="688" spans="1:3" ht="12.75" customHeight="1" x14ac:dyDescent="0.15">
      <c r="A688" s="13"/>
      <c r="B688" s="14"/>
      <c r="C688" s="30"/>
    </row>
    <row r="689" spans="1:3" ht="12.75" customHeight="1" x14ac:dyDescent="0.15">
      <c r="A689" s="13"/>
      <c r="B689" s="14"/>
      <c r="C689" s="30"/>
    </row>
    <row r="690" spans="1:3" ht="12.75" customHeight="1" x14ac:dyDescent="0.15">
      <c r="A690" s="13"/>
      <c r="B690" s="14"/>
      <c r="C690" s="30"/>
    </row>
    <row r="691" spans="1:3" ht="12.75" customHeight="1" x14ac:dyDescent="0.15">
      <c r="A691" s="13"/>
      <c r="B691" s="14"/>
      <c r="C691" s="30"/>
    </row>
    <row r="692" spans="1:3" ht="12.75" customHeight="1" x14ac:dyDescent="0.15">
      <c r="A692" s="13"/>
      <c r="B692" s="14"/>
      <c r="C692" s="30"/>
    </row>
    <row r="693" spans="1:3" ht="12.75" customHeight="1" x14ac:dyDescent="0.15">
      <c r="A693" s="13"/>
      <c r="B693" s="14"/>
      <c r="C693" s="30"/>
    </row>
    <row r="694" spans="1:3" ht="12.75" customHeight="1" x14ac:dyDescent="0.15">
      <c r="A694" s="13"/>
      <c r="B694" s="14"/>
      <c r="C694" s="30"/>
    </row>
    <row r="695" spans="1:3" ht="12.75" customHeight="1" x14ac:dyDescent="0.15">
      <c r="A695" s="13"/>
      <c r="B695" s="14"/>
      <c r="C695" s="30"/>
    </row>
    <row r="696" spans="1:3" ht="12.75" customHeight="1" x14ac:dyDescent="0.15">
      <c r="A696" s="13"/>
      <c r="B696" s="14"/>
      <c r="C696" s="30"/>
    </row>
    <row r="697" spans="1:3" ht="12.75" customHeight="1" x14ac:dyDescent="0.15">
      <c r="A697" s="13"/>
      <c r="B697" s="14"/>
      <c r="C697" s="30"/>
    </row>
    <row r="698" spans="1:3" ht="12.75" customHeight="1" x14ac:dyDescent="0.15">
      <c r="A698" s="13"/>
      <c r="B698" s="14"/>
      <c r="C698" s="30"/>
    </row>
    <row r="699" spans="1:3" ht="12.75" customHeight="1" x14ac:dyDescent="0.15">
      <c r="A699" s="13"/>
      <c r="B699" s="14"/>
      <c r="C699" s="30"/>
    </row>
    <row r="700" spans="1:3" ht="12.75" customHeight="1" x14ac:dyDescent="0.15">
      <c r="A700" s="13"/>
      <c r="B700" s="14"/>
      <c r="C700" s="30"/>
    </row>
    <row r="701" spans="1:3" ht="12.75" customHeight="1" x14ac:dyDescent="0.15">
      <c r="A701" s="13"/>
      <c r="B701" s="14"/>
      <c r="C701" s="30"/>
    </row>
    <row r="702" spans="1:3" ht="12.75" customHeight="1" x14ac:dyDescent="0.15">
      <c r="A702" s="13"/>
      <c r="B702" s="14"/>
      <c r="C702" s="30"/>
    </row>
    <row r="703" spans="1:3" ht="12.75" customHeight="1" x14ac:dyDescent="0.15">
      <c r="A703" s="13"/>
      <c r="B703" s="14"/>
      <c r="C703" s="30"/>
    </row>
    <row r="704" spans="1:3" ht="12.75" customHeight="1" x14ac:dyDescent="0.15">
      <c r="A704" s="13"/>
      <c r="B704" s="14"/>
      <c r="C704" s="30"/>
    </row>
    <row r="705" spans="1:3" ht="12.75" customHeight="1" x14ac:dyDescent="0.15">
      <c r="A705" s="13"/>
      <c r="B705" s="14"/>
      <c r="C705" s="30"/>
    </row>
    <row r="706" spans="1:3" ht="12.75" customHeight="1" x14ac:dyDescent="0.15">
      <c r="A706" s="13"/>
      <c r="B706" s="14"/>
      <c r="C706" s="30"/>
    </row>
    <row r="707" spans="1:3" ht="12.75" customHeight="1" x14ac:dyDescent="0.15">
      <c r="A707" s="13"/>
      <c r="B707" s="14"/>
      <c r="C707" s="30"/>
    </row>
    <row r="708" spans="1:3" ht="12.75" customHeight="1" x14ac:dyDescent="0.15">
      <c r="A708" s="13"/>
      <c r="B708" s="14"/>
      <c r="C708" s="30"/>
    </row>
    <row r="709" spans="1:3" ht="12.75" customHeight="1" x14ac:dyDescent="0.15">
      <c r="A709" s="13"/>
      <c r="B709" s="14"/>
      <c r="C709" s="30"/>
    </row>
    <row r="710" spans="1:3" ht="12.75" customHeight="1" x14ac:dyDescent="0.15">
      <c r="A710" s="13"/>
      <c r="B710" s="14"/>
      <c r="C710" s="30"/>
    </row>
    <row r="711" spans="1:3" ht="12.75" customHeight="1" x14ac:dyDescent="0.15">
      <c r="A711" s="13"/>
      <c r="B711" s="14"/>
      <c r="C711" s="30"/>
    </row>
    <row r="712" spans="1:3" ht="12.75" customHeight="1" x14ac:dyDescent="0.15">
      <c r="A712" s="13"/>
      <c r="B712" s="14"/>
      <c r="C712" s="30"/>
    </row>
    <row r="713" spans="1:3" ht="12.75" customHeight="1" x14ac:dyDescent="0.15">
      <c r="A713" s="13"/>
      <c r="B713" s="14"/>
      <c r="C713" s="30"/>
    </row>
    <row r="714" spans="1:3" ht="12.75" customHeight="1" x14ac:dyDescent="0.15">
      <c r="A714" s="13"/>
      <c r="B714" s="14"/>
      <c r="C714" s="30"/>
    </row>
    <row r="715" spans="1:3" ht="12.75" customHeight="1" x14ac:dyDescent="0.15">
      <c r="A715" s="13"/>
      <c r="B715" s="14"/>
      <c r="C715" s="30"/>
    </row>
    <row r="716" spans="1:3" ht="12.75" customHeight="1" x14ac:dyDescent="0.15">
      <c r="A716" s="13"/>
      <c r="B716" s="14"/>
      <c r="C716" s="30"/>
    </row>
    <row r="717" spans="1:3" ht="12.75" customHeight="1" x14ac:dyDescent="0.15">
      <c r="A717" s="13"/>
      <c r="B717" s="14"/>
      <c r="C717" s="30"/>
    </row>
    <row r="718" spans="1:3" ht="12.75" customHeight="1" x14ac:dyDescent="0.15">
      <c r="A718" s="13"/>
      <c r="B718" s="14"/>
      <c r="C718" s="30"/>
    </row>
    <row r="719" spans="1:3" ht="12.75" customHeight="1" x14ac:dyDescent="0.15">
      <c r="A719" s="13"/>
      <c r="B719" s="14"/>
      <c r="C719" s="30"/>
    </row>
    <row r="720" spans="1:3" ht="12.75" customHeight="1" x14ac:dyDescent="0.15">
      <c r="A720" s="13"/>
      <c r="B720" s="14"/>
      <c r="C720" s="30"/>
    </row>
    <row r="721" spans="1:3" ht="12.75" customHeight="1" x14ac:dyDescent="0.15">
      <c r="A721" s="13"/>
      <c r="B721" s="14"/>
      <c r="C721" s="30"/>
    </row>
    <row r="722" spans="1:3" ht="12.75" customHeight="1" x14ac:dyDescent="0.15">
      <c r="A722" s="13"/>
      <c r="B722" s="14"/>
      <c r="C722" s="30"/>
    </row>
    <row r="723" spans="1:3" ht="12.75" customHeight="1" x14ac:dyDescent="0.15">
      <c r="A723" s="13"/>
      <c r="B723" s="14"/>
      <c r="C723" s="30"/>
    </row>
    <row r="724" spans="1:3" ht="12.75" customHeight="1" x14ac:dyDescent="0.15">
      <c r="A724" s="13"/>
      <c r="B724" s="14"/>
      <c r="C724" s="30"/>
    </row>
    <row r="725" spans="1:3" ht="12.75" customHeight="1" x14ac:dyDescent="0.15">
      <c r="A725" s="13"/>
      <c r="B725" s="14"/>
      <c r="C725" s="30"/>
    </row>
    <row r="726" spans="1:3" ht="12.75" customHeight="1" x14ac:dyDescent="0.15">
      <c r="A726" s="13"/>
      <c r="B726" s="14"/>
      <c r="C726" s="30"/>
    </row>
    <row r="727" spans="1:3" ht="12.75" customHeight="1" x14ac:dyDescent="0.15">
      <c r="A727" s="13"/>
      <c r="B727" s="14"/>
      <c r="C727" s="30"/>
    </row>
    <row r="728" spans="1:3" ht="12.75" customHeight="1" x14ac:dyDescent="0.15">
      <c r="A728" s="13"/>
      <c r="B728" s="14"/>
      <c r="C728" s="30"/>
    </row>
    <row r="729" spans="1:3" ht="12.75" customHeight="1" x14ac:dyDescent="0.15">
      <c r="A729" s="13"/>
      <c r="B729" s="14"/>
      <c r="C729" s="30"/>
    </row>
    <row r="730" spans="1:3" ht="12.75" customHeight="1" x14ac:dyDescent="0.15">
      <c r="A730" s="13"/>
      <c r="B730" s="14"/>
      <c r="C730" s="30"/>
    </row>
    <row r="731" spans="1:3" ht="12.75" customHeight="1" x14ac:dyDescent="0.15">
      <c r="A731" s="13"/>
      <c r="B731" s="14"/>
      <c r="C731" s="30"/>
    </row>
    <row r="732" spans="1:3" ht="12.75" customHeight="1" x14ac:dyDescent="0.15">
      <c r="A732" s="13"/>
      <c r="B732" s="14"/>
      <c r="C732" s="30"/>
    </row>
    <row r="733" spans="1:3" ht="12.75" customHeight="1" x14ac:dyDescent="0.15">
      <c r="A733" s="13"/>
      <c r="B733" s="14"/>
      <c r="C733" s="30"/>
    </row>
    <row r="734" spans="1:3" ht="12.75" customHeight="1" x14ac:dyDescent="0.15">
      <c r="A734" s="13"/>
      <c r="B734" s="14"/>
      <c r="C734" s="30"/>
    </row>
    <row r="735" spans="1:3" ht="12.75" customHeight="1" x14ac:dyDescent="0.15">
      <c r="A735" s="13"/>
      <c r="B735" s="14"/>
      <c r="C735" s="30"/>
    </row>
    <row r="736" spans="1:3" ht="12.75" customHeight="1" x14ac:dyDescent="0.15">
      <c r="A736" s="13"/>
      <c r="B736" s="14"/>
      <c r="C736" s="30"/>
    </row>
    <row r="737" spans="1:3" ht="12.75" customHeight="1" x14ac:dyDescent="0.15">
      <c r="A737" s="13"/>
      <c r="B737" s="14"/>
      <c r="C737" s="30"/>
    </row>
    <row r="738" spans="1:3" ht="12.75" customHeight="1" x14ac:dyDescent="0.15">
      <c r="A738" s="13"/>
      <c r="B738" s="14"/>
      <c r="C738" s="30"/>
    </row>
    <row r="739" spans="1:3" ht="12.75" customHeight="1" x14ac:dyDescent="0.15">
      <c r="A739" s="13"/>
      <c r="B739" s="14"/>
      <c r="C739" s="30"/>
    </row>
    <row r="740" spans="1:3" ht="12.75" customHeight="1" x14ac:dyDescent="0.15">
      <c r="A740" s="13"/>
      <c r="B740" s="14"/>
      <c r="C740" s="30"/>
    </row>
    <row r="741" spans="1:3" ht="12.75" customHeight="1" x14ac:dyDescent="0.15">
      <c r="A741" s="13"/>
      <c r="B741" s="14"/>
      <c r="C741" s="30"/>
    </row>
    <row r="742" spans="1:3" ht="12.75" customHeight="1" x14ac:dyDescent="0.15">
      <c r="A742" s="13"/>
      <c r="B742" s="14"/>
      <c r="C742" s="30"/>
    </row>
    <row r="743" spans="1:3" ht="12.75" customHeight="1" x14ac:dyDescent="0.15">
      <c r="A743" s="13"/>
      <c r="B743" s="14"/>
      <c r="C743" s="30"/>
    </row>
    <row r="744" spans="1:3" ht="12.75" customHeight="1" x14ac:dyDescent="0.15">
      <c r="A744" s="13"/>
      <c r="B744" s="14"/>
      <c r="C744" s="30"/>
    </row>
    <row r="745" spans="1:3" ht="12.75" customHeight="1" x14ac:dyDescent="0.15">
      <c r="A745" s="13"/>
      <c r="B745" s="14"/>
      <c r="C745" s="30"/>
    </row>
    <row r="746" spans="1:3" ht="12.75" customHeight="1" x14ac:dyDescent="0.15">
      <c r="A746" s="13"/>
      <c r="B746" s="14"/>
      <c r="C746" s="30"/>
    </row>
    <row r="747" spans="1:3" ht="12.75" customHeight="1" x14ac:dyDescent="0.15">
      <c r="A747" s="13"/>
      <c r="B747" s="14"/>
      <c r="C747" s="30"/>
    </row>
    <row r="748" spans="1:3" ht="12.75" customHeight="1" x14ac:dyDescent="0.15">
      <c r="A748" s="13"/>
      <c r="B748" s="14"/>
      <c r="C748" s="30"/>
    </row>
    <row r="749" spans="1:3" ht="12.75" customHeight="1" x14ac:dyDescent="0.15">
      <c r="A749" s="13"/>
      <c r="B749" s="14"/>
      <c r="C749" s="30"/>
    </row>
    <row r="750" spans="1:3" ht="12.75" customHeight="1" x14ac:dyDescent="0.15">
      <c r="A750" s="13"/>
      <c r="B750" s="14"/>
      <c r="C750" s="30"/>
    </row>
    <row r="751" spans="1:3" ht="12.75" customHeight="1" x14ac:dyDescent="0.15">
      <c r="A751" s="13"/>
      <c r="B751" s="14"/>
      <c r="C751" s="30"/>
    </row>
    <row r="752" spans="1:3" ht="12.75" customHeight="1" x14ac:dyDescent="0.15">
      <c r="A752" s="13"/>
      <c r="B752" s="14"/>
      <c r="C752" s="30"/>
    </row>
    <row r="753" spans="1:3" ht="12.75" customHeight="1" x14ac:dyDescent="0.15">
      <c r="A753" s="13"/>
      <c r="B753" s="14"/>
      <c r="C753" s="30"/>
    </row>
    <row r="754" spans="1:3" ht="12.75" customHeight="1" x14ac:dyDescent="0.15">
      <c r="A754" s="13"/>
      <c r="B754" s="14"/>
      <c r="C754" s="30"/>
    </row>
    <row r="755" spans="1:3" ht="12.75" customHeight="1" x14ac:dyDescent="0.15">
      <c r="A755" s="13"/>
      <c r="B755" s="14"/>
      <c r="C755" s="30"/>
    </row>
    <row r="756" spans="1:3" ht="12.75" customHeight="1" x14ac:dyDescent="0.15">
      <c r="A756" s="13"/>
      <c r="B756" s="14"/>
      <c r="C756" s="30"/>
    </row>
    <row r="757" spans="1:3" ht="12.75" customHeight="1" x14ac:dyDescent="0.15">
      <c r="A757" s="13"/>
      <c r="B757" s="14"/>
      <c r="C757" s="30"/>
    </row>
    <row r="758" spans="1:3" ht="12.75" customHeight="1" x14ac:dyDescent="0.15">
      <c r="A758" s="13"/>
      <c r="B758" s="14"/>
      <c r="C758" s="30"/>
    </row>
    <row r="759" spans="1:3" ht="12.75" customHeight="1" x14ac:dyDescent="0.15">
      <c r="A759" s="13"/>
      <c r="B759" s="14"/>
      <c r="C759" s="30"/>
    </row>
    <row r="760" spans="1:3" ht="12.75" customHeight="1" x14ac:dyDescent="0.15">
      <c r="A760" s="13"/>
      <c r="B760" s="14"/>
      <c r="C760" s="30"/>
    </row>
    <row r="761" spans="1:3" ht="12.75" customHeight="1" x14ac:dyDescent="0.15">
      <c r="A761" s="13"/>
      <c r="B761" s="14"/>
      <c r="C761" s="30"/>
    </row>
    <row r="762" spans="1:3" ht="12.75" customHeight="1" x14ac:dyDescent="0.15">
      <c r="A762" s="13"/>
      <c r="B762" s="14"/>
      <c r="C762" s="30"/>
    </row>
    <row r="763" spans="1:3" ht="12.75" customHeight="1" x14ac:dyDescent="0.15">
      <c r="A763" s="13"/>
      <c r="B763" s="14"/>
      <c r="C763" s="30"/>
    </row>
    <row r="764" spans="1:3" ht="12.75" customHeight="1" x14ac:dyDescent="0.15">
      <c r="A764" s="13"/>
      <c r="B764" s="14"/>
      <c r="C764" s="30"/>
    </row>
    <row r="765" spans="1:3" ht="12.75" customHeight="1" x14ac:dyDescent="0.15">
      <c r="A765" s="13"/>
      <c r="B765" s="14"/>
      <c r="C765" s="30"/>
    </row>
    <row r="766" spans="1:3" ht="12.75" customHeight="1" x14ac:dyDescent="0.15">
      <c r="A766" s="13"/>
      <c r="B766" s="14"/>
      <c r="C766" s="30"/>
    </row>
    <row r="767" spans="1:3" ht="12.75" customHeight="1" x14ac:dyDescent="0.15">
      <c r="A767" s="13"/>
      <c r="B767" s="14"/>
      <c r="C767" s="30"/>
    </row>
    <row r="768" spans="1:3" ht="12.75" customHeight="1" x14ac:dyDescent="0.15">
      <c r="A768" s="13"/>
      <c r="B768" s="14"/>
      <c r="C768" s="30"/>
    </row>
    <row r="769" spans="1:3" ht="12.75" customHeight="1" x14ac:dyDescent="0.15">
      <c r="A769" s="13"/>
      <c r="B769" s="14"/>
      <c r="C769" s="30"/>
    </row>
    <row r="770" spans="1:3" ht="12.75" customHeight="1" x14ac:dyDescent="0.15">
      <c r="A770" s="13"/>
      <c r="B770" s="14"/>
      <c r="C770" s="30"/>
    </row>
    <row r="771" spans="1:3" ht="12.75" customHeight="1" x14ac:dyDescent="0.15">
      <c r="A771" s="13"/>
      <c r="B771" s="14"/>
      <c r="C771" s="30"/>
    </row>
    <row r="772" spans="1:3" ht="12.75" customHeight="1" x14ac:dyDescent="0.15">
      <c r="A772" s="13"/>
      <c r="B772" s="14"/>
      <c r="C772" s="30"/>
    </row>
    <row r="773" spans="1:3" ht="12.75" customHeight="1" x14ac:dyDescent="0.15">
      <c r="A773" s="13"/>
      <c r="B773" s="14"/>
      <c r="C773" s="30"/>
    </row>
    <row r="774" spans="1:3" ht="12.75" customHeight="1" x14ac:dyDescent="0.15">
      <c r="A774" s="13"/>
      <c r="B774" s="14"/>
      <c r="C774" s="30"/>
    </row>
    <row r="775" spans="1:3" ht="12.75" customHeight="1" x14ac:dyDescent="0.15">
      <c r="A775" s="13"/>
      <c r="B775" s="14"/>
      <c r="C775" s="30"/>
    </row>
    <row r="776" spans="1:3" ht="12.75" customHeight="1" x14ac:dyDescent="0.15">
      <c r="A776" s="13"/>
      <c r="B776" s="14"/>
      <c r="C776" s="30"/>
    </row>
    <row r="777" spans="1:3" ht="12.75" customHeight="1" x14ac:dyDescent="0.15">
      <c r="A777" s="13"/>
      <c r="B777" s="14"/>
      <c r="C777" s="30"/>
    </row>
    <row r="778" spans="1:3" ht="12.75" customHeight="1" x14ac:dyDescent="0.15">
      <c r="A778" s="13"/>
      <c r="B778" s="14"/>
      <c r="C778" s="30"/>
    </row>
    <row r="779" spans="1:3" ht="12.75" customHeight="1" x14ac:dyDescent="0.15">
      <c r="A779" s="13"/>
      <c r="B779" s="14"/>
      <c r="C779" s="30"/>
    </row>
    <row r="780" spans="1:3" ht="12.75" customHeight="1" x14ac:dyDescent="0.15">
      <c r="A780" s="13"/>
      <c r="B780" s="14"/>
      <c r="C780" s="30"/>
    </row>
    <row r="781" spans="1:3" ht="12.75" customHeight="1" x14ac:dyDescent="0.15">
      <c r="A781" s="13"/>
      <c r="B781" s="14"/>
      <c r="C781" s="30"/>
    </row>
    <row r="782" spans="1:3" ht="12.75" customHeight="1" x14ac:dyDescent="0.15">
      <c r="A782" s="13"/>
      <c r="B782" s="14"/>
      <c r="C782" s="30"/>
    </row>
    <row r="783" spans="1:3" ht="12.75" customHeight="1" x14ac:dyDescent="0.15">
      <c r="A783" s="13"/>
      <c r="B783" s="14"/>
      <c r="C783" s="30"/>
    </row>
    <row r="784" spans="1:3" ht="12.75" customHeight="1" x14ac:dyDescent="0.15">
      <c r="A784" s="13"/>
      <c r="B784" s="14"/>
      <c r="C784" s="30"/>
    </row>
    <row r="785" spans="1:3" ht="12.75" customHeight="1" x14ac:dyDescent="0.15">
      <c r="A785" s="13"/>
      <c r="B785" s="14"/>
      <c r="C785" s="30"/>
    </row>
    <row r="786" spans="1:3" ht="12.75" customHeight="1" x14ac:dyDescent="0.15">
      <c r="A786" s="13"/>
      <c r="B786" s="14"/>
      <c r="C786" s="30"/>
    </row>
    <row r="787" spans="1:3" ht="12.75" customHeight="1" x14ac:dyDescent="0.15">
      <c r="A787" s="13"/>
      <c r="B787" s="14"/>
      <c r="C787" s="30"/>
    </row>
    <row r="788" spans="1:3" ht="12.75" customHeight="1" x14ac:dyDescent="0.15">
      <c r="A788" s="13"/>
      <c r="B788" s="14"/>
      <c r="C788" s="30"/>
    </row>
    <row r="789" spans="1:3" ht="12.75" customHeight="1" x14ac:dyDescent="0.15">
      <c r="A789" s="13"/>
      <c r="B789" s="14"/>
      <c r="C789" s="30"/>
    </row>
    <row r="790" spans="1:3" ht="12.75" customHeight="1" x14ac:dyDescent="0.15">
      <c r="A790" s="13"/>
      <c r="B790" s="14"/>
      <c r="C790" s="30"/>
    </row>
    <row r="791" spans="1:3" ht="12.75" customHeight="1" x14ac:dyDescent="0.15">
      <c r="A791" s="13"/>
      <c r="B791" s="14"/>
      <c r="C791" s="30"/>
    </row>
    <row r="792" spans="1:3" ht="12.75" customHeight="1" x14ac:dyDescent="0.15">
      <c r="A792" s="13"/>
      <c r="B792" s="14"/>
      <c r="C792" s="30"/>
    </row>
    <row r="793" spans="1:3" ht="12.75" customHeight="1" x14ac:dyDescent="0.15">
      <c r="A793" s="13"/>
      <c r="B793" s="14"/>
      <c r="C793" s="30"/>
    </row>
    <row r="794" spans="1:3" ht="12.75" customHeight="1" x14ac:dyDescent="0.15">
      <c r="A794" s="13"/>
      <c r="B794" s="14"/>
      <c r="C794" s="30"/>
    </row>
    <row r="795" spans="1:3" ht="12.75" customHeight="1" x14ac:dyDescent="0.15">
      <c r="A795" s="13"/>
      <c r="B795" s="14"/>
      <c r="C795" s="30"/>
    </row>
    <row r="796" spans="1:3" ht="12.75" customHeight="1" x14ac:dyDescent="0.15">
      <c r="A796" s="13"/>
      <c r="B796" s="14"/>
      <c r="C796" s="30"/>
    </row>
    <row r="797" spans="1:3" ht="12.75" customHeight="1" x14ac:dyDescent="0.15">
      <c r="A797" s="13"/>
      <c r="B797" s="14"/>
      <c r="C797" s="30"/>
    </row>
    <row r="798" spans="1:3" ht="12.75" customHeight="1" x14ac:dyDescent="0.15">
      <c r="A798" s="13"/>
      <c r="B798" s="14"/>
      <c r="C798" s="30"/>
    </row>
    <row r="799" spans="1:3" ht="12.75" customHeight="1" x14ac:dyDescent="0.15">
      <c r="A799" s="13"/>
      <c r="B799" s="14"/>
      <c r="C799" s="30"/>
    </row>
    <row r="800" spans="1:3" ht="12.75" customHeight="1" x14ac:dyDescent="0.15">
      <c r="A800" s="13"/>
      <c r="B800" s="14"/>
      <c r="C800" s="30"/>
    </row>
    <row r="801" spans="1:3" ht="12.75" customHeight="1" x14ac:dyDescent="0.15">
      <c r="A801" s="13"/>
      <c r="B801" s="14"/>
      <c r="C801" s="30"/>
    </row>
    <row r="802" spans="1:3" ht="12.75" customHeight="1" x14ac:dyDescent="0.15">
      <c r="A802" s="13"/>
      <c r="B802" s="14"/>
      <c r="C802" s="30"/>
    </row>
    <row r="803" spans="1:3" ht="12.75" customHeight="1" x14ac:dyDescent="0.15">
      <c r="A803" s="13"/>
      <c r="B803" s="14"/>
      <c r="C803" s="30"/>
    </row>
    <row r="804" spans="1:3" ht="12.75" customHeight="1" x14ac:dyDescent="0.15">
      <c r="A804" s="13"/>
      <c r="B804" s="14"/>
      <c r="C804" s="30"/>
    </row>
    <row r="805" spans="1:3" ht="12.75" customHeight="1" x14ac:dyDescent="0.15">
      <c r="A805" s="13"/>
      <c r="B805" s="14"/>
      <c r="C805" s="30"/>
    </row>
    <row r="806" spans="1:3" ht="12.75" customHeight="1" x14ac:dyDescent="0.15">
      <c r="A806" s="13"/>
      <c r="B806" s="14"/>
      <c r="C806" s="30"/>
    </row>
    <row r="807" spans="1:3" ht="12.75" customHeight="1" x14ac:dyDescent="0.15">
      <c r="A807" s="13"/>
      <c r="B807" s="14"/>
      <c r="C807" s="30"/>
    </row>
    <row r="808" spans="1:3" ht="12.75" customHeight="1" x14ac:dyDescent="0.15">
      <c r="A808" s="13"/>
      <c r="B808" s="14"/>
      <c r="C808" s="30"/>
    </row>
    <row r="809" spans="1:3" ht="12.75" customHeight="1" x14ac:dyDescent="0.15">
      <c r="A809" s="13"/>
      <c r="B809" s="14"/>
      <c r="C809" s="30"/>
    </row>
    <row r="810" spans="1:3" ht="12.75" customHeight="1" x14ac:dyDescent="0.15">
      <c r="A810" s="13"/>
      <c r="B810" s="14"/>
      <c r="C810" s="30"/>
    </row>
    <row r="811" spans="1:3" ht="12.75" customHeight="1" x14ac:dyDescent="0.15">
      <c r="A811" s="13"/>
      <c r="B811" s="14"/>
      <c r="C811" s="30"/>
    </row>
    <row r="812" spans="1:3" ht="12.75" customHeight="1" x14ac:dyDescent="0.15">
      <c r="A812" s="13"/>
      <c r="B812" s="14"/>
      <c r="C812" s="30"/>
    </row>
    <row r="813" spans="1:3" ht="12.75" customHeight="1" x14ac:dyDescent="0.15">
      <c r="A813" s="13"/>
      <c r="B813" s="14"/>
      <c r="C813" s="30"/>
    </row>
    <row r="814" spans="1:3" ht="12.75" customHeight="1" x14ac:dyDescent="0.15">
      <c r="A814" s="13"/>
      <c r="B814" s="14"/>
      <c r="C814" s="30"/>
    </row>
    <row r="815" spans="1:3" ht="12.75" customHeight="1" x14ac:dyDescent="0.15">
      <c r="A815" s="13"/>
      <c r="B815" s="14"/>
      <c r="C815" s="30"/>
    </row>
    <row r="816" spans="1:3" ht="12.75" customHeight="1" x14ac:dyDescent="0.15">
      <c r="A816" s="13"/>
      <c r="B816" s="14"/>
      <c r="C816" s="30"/>
    </row>
    <row r="817" spans="1:3" ht="12.75" customHeight="1" x14ac:dyDescent="0.15">
      <c r="A817" s="13"/>
      <c r="B817" s="14"/>
      <c r="C817" s="30"/>
    </row>
    <row r="818" spans="1:3" ht="12.75" customHeight="1" x14ac:dyDescent="0.15">
      <c r="A818" s="13"/>
      <c r="B818" s="14"/>
      <c r="C818" s="30"/>
    </row>
    <row r="819" spans="1:3" ht="12.75" customHeight="1" x14ac:dyDescent="0.15">
      <c r="A819" s="13"/>
      <c r="B819" s="14"/>
      <c r="C819" s="30"/>
    </row>
    <row r="820" spans="1:3" ht="12.75" customHeight="1" x14ac:dyDescent="0.15">
      <c r="A820" s="13"/>
      <c r="B820" s="14"/>
      <c r="C820" s="30"/>
    </row>
    <row r="821" spans="1:3" ht="12.75" customHeight="1" x14ac:dyDescent="0.15">
      <c r="A821" s="13"/>
      <c r="B821" s="14"/>
      <c r="C821" s="30"/>
    </row>
    <row r="822" spans="1:3" ht="12.75" customHeight="1" x14ac:dyDescent="0.15">
      <c r="A822" s="13"/>
      <c r="B822" s="14"/>
      <c r="C822" s="30"/>
    </row>
    <row r="823" spans="1:3" ht="12.75" customHeight="1" x14ac:dyDescent="0.15">
      <c r="A823" s="13"/>
      <c r="B823" s="14"/>
      <c r="C823" s="30"/>
    </row>
    <row r="824" spans="1:3" ht="12.75" customHeight="1" x14ac:dyDescent="0.15">
      <c r="A824" s="13"/>
      <c r="B824" s="14"/>
      <c r="C824" s="30"/>
    </row>
    <row r="825" spans="1:3" ht="12.75" customHeight="1" x14ac:dyDescent="0.15">
      <c r="A825" s="13"/>
      <c r="B825" s="14"/>
      <c r="C825" s="30"/>
    </row>
    <row r="826" spans="1:3" ht="12.75" customHeight="1" x14ac:dyDescent="0.15">
      <c r="A826" s="13"/>
      <c r="B826" s="14"/>
      <c r="C826" s="30"/>
    </row>
    <row r="827" spans="1:3" ht="12.75" customHeight="1" x14ac:dyDescent="0.15">
      <c r="A827" s="13"/>
      <c r="B827" s="14"/>
      <c r="C827" s="30"/>
    </row>
    <row r="828" spans="1:3" ht="12.75" customHeight="1" x14ac:dyDescent="0.15">
      <c r="A828" s="13"/>
      <c r="B828" s="14"/>
      <c r="C828" s="30"/>
    </row>
    <row r="829" spans="1:3" ht="12.75" customHeight="1" x14ac:dyDescent="0.15">
      <c r="A829" s="13"/>
      <c r="B829" s="14"/>
      <c r="C829" s="30"/>
    </row>
    <row r="830" spans="1:3" ht="12.75" customHeight="1" x14ac:dyDescent="0.15">
      <c r="A830" s="13"/>
      <c r="B830" s="14"/>
      <c r="C830" s="30"/>
    </row>
    <row r="831" spans="1:3" ht="12.75" customHeight="1" x14ac:dyDescent="0.15">
      <c r="A831" s="13"/>
      <c r="B831" s="14"/>
      <c r="C831" s="30"/>
    </row>
    <row r="832" spans="1:3" ht="12.75" customHeight="1" x14ac:dyDescent="0.15">
      <c r="A832" s="13"/>
      <c r="B832" s="14"/>
      <c r="C832" s="30"/>
    </row>
    <row r="833" spans="1:3" ht="12.75" customHeight="1" x14ac:dyDescent="0.15">
      <c r="A833" s="13"/>
      <c r="B833" s="14"/>
      <c r="C833" s="30"/>
    </row>
    <row r="834" spans="1:3" ht="12.75" customHeight="1" x14ac:dyDescent="0.15">
      <c r="A834" s="13"/>
      <c r="B834" s="14"/>
      <c r="C834" s="30"/>
    </row>
    <row r="835" spans="1:3" ht="12.75" customHeight="1" x14ac:dyDescent="0.15">
      <c r="A835" s="13"/>
      <c r="B835" s="14"/>
      <c r="C835" s="30"/>
    </row>
    <row r="836" spans="1:3" ht="12.75" customHeight="1" x14ac:dyDescent="0.15">
      <c r="A836" s="13"/>
      <c r="B836" s="14"/>
      <c r="C836" s="30"/>
    </row>
    <row r="837" spans="1:3" ht="12.75" customHeight="1" x14ac:dyDescent="0.15">
      <c r="A837" s="13"/>
      <c r="B837" s="14"/>
      <c r="C837" s="30"/>
    </row>
    <row r="838" spans="1:3" ht="12.75" customHeight="1" x14ac:dyDescent="0.15">
      <c r="A838" s="13"/>
      <c r="B838" s="14"/>
      <c r="C838" s="30"/>
    </row>
    <row r="839" spans="1:3" ht="12.75" customHeight="1" x14ac:dyDescent="0.15">
      <c r="A839" s="13"/>
      <c r="B839" s="14"/>
      <c r="C839" s="30"/>
    </row>
    <row r="840" spans="1:3" ht="12.75" customHeight="1" x14ac:dyDescent="0.15">
      <c r="A840" s="13"/>
      <c r="B840" s="14"/>
      <c r="C840" s="30"/>
    </row>
    <row r="841" spans="1:3" ht="12.75" customHeight="1" x14ac:dyDescent="0.15">
      <c r="A841" s="13"/>
      <c r="B841" s="14"/>
      <c r="C841" s="30"/>
    </row>
    <row r="842" spans="1:3" ht="12.75" customHeight="1" x14ac:dyDescent="0.15">
      <c r="A842" s="13"/>
      <c r="B842" s="14"/>
      <c r="C842" s="30"/>
    </row>
    <row r="843" spans="1:3" ht="12.75" customHeight="1" x14ac:dyDescent="0.15">
      <c r="A843" s="13"/>
      <c r="B843" s="14"/>
      <c r="C843" s="30"/>
    </row>
    <row r="844" spans="1:3" ht="12.75" customHeight="1" x14ac:dyDescent="0.15">
      <c r="A844" s="13"/>
      <c r="B844" s="14"/>
      <c r="C844" s="30"/>
    </row>
    <row r="845" spans="1:3" ht="12.75" customHeight="1" x14ac:dyDescent="0.15">
      <c r="A845" s="13"/>
      <c r="B845" s="14"/>
      <c r="C845" s="30"/>
    </row>
    <row r="846" spans="1:3" ht="12.75" customHeight="1" x14ac:dyDescent="0.15">
      <c r="A846" s="13"/>
      <c r="B846" s="14"/>
      <c r="C846" s="30"/>
    </row>
    <row r="847" spans="1:3" ht="12.75" customHeight="1" x14ac:dyDescent="0.15">
      <c r="A847" s="13"/>
      <c r="B847" s="14"/>
      <c r="C847" s="30"/>
    </row>
    <row r="848" spans="1:3" ht="12.75" customHeight="1" x14ac:dyDescent="0.15">
      <c r="A848" s="13"/>
      <c r="B848" s="14"/>
      <c r="C848" s="30"/>
    </row>
    <row r="849" spans="1:3" ht="12.75" customHeight="1" x14ac:dyDescent="0.15">
      <c r="A849" s="13"/>
      <c r="B849" s="14"/>
      <c r="C849" s="30"/>
    </row>
    <row r="850" spans="1:3" ht="12.75" customHeight="1" x14ac:dyDescent="0.15">
      <c r="A850" s="13"/>
      <c r="B850" s="14"/>
      <c r="C850" s="30"/>
    </row>
    <row r="851" spans="1:3" ht="12.75" customHeight="1" x14ac:dyDescent="0.15">
      <c r="A851" s="13"/>
      <c r="B851" s="14"/>
      <c r="C851" s="30"/>
    </row>
    <row r="852" spans="1:3" ht="12.75" customHeight="1" x14ac:dyDescent="0.15">
      <c r="A852" s="13"/>
      <c r="B852" s="14"/>
      <c r="C852" s="30"/>
    </row>
    <row r="853" spans="1:3" ht="12.75" customHeight="1" x14ac:dyDescent="0.15">
      <c r="A853" s="13"/>
      <c r="B853" s="14"/>
      <c r="C853" s="30"/>
    </row>
    <row r="854" spans="1:3" ht="12.75" customHeight="1" x14ac:dyDescent="0.15">
      <c r="A854" s="13"/>
      <c r="B854" s="14"/>
      <c r="C854" s="30"/>
    </row>
    <row r="855" spans="1:3" ht="12.75" customHeight="1" x14ac:dyDescent="0.15">
      <c r="A855" s="13"/>
      <c r="B855" s="14"/>
      <c r="C855" s="30"/>
    </row>
    <row r="856" spans="1:3" ht="12.75" customHeight="1" x14ac:dyDescent="0.15">
      <c r="A856" s="13"/>
      <c r="B856" s="14"/>
      <c r="C856" s="30"/>
    </row>
    <row r="857" spans="1:3" ht="12.75" customHeight="1" x14ac:dyDescent="0.15">
      <c r="A857" s="13"/>
      <c r="B857" s="14"/>
      <c r="C857" s="30"/>
    </row>
    <row r="858" spans="1:3" ht="12.75" customHeight="1" x14ac:dyDescent="0.15">
      <c r="A858" s="13"/>
      <c r="B858" s="14"/>
      <c r="C858" s="30"/>
    </row>
    <row r="859" spans="1:3" ht="12.75" customHeight="1" x14ac:dyDescent="0.15">
      <c r="A859" s="13"/>
      <c r="B859" s="14"/>
      <c r="C859" s="30"/>
    </row>
    <row r="860" spans="1:3" ht="12.75" customHeight="1" x14ac:dyDescent="0.15">
      <c r="A860" s="13"/>
      <c r="B860" s="14"/>
      <c r="C860" s="30"/>
    </row>
    <row r="861" spans="1:3" ht="12.75" customHeight="1" x14ac:dyDescent="0.15">
      <c r="A861" s="13"/>
      <c r="B861" s="14"/>
      <c r="C861" s="30"/>
    </row>
    <row r="862" spans="1:3" ht="12.75" customHeight="1" x14ac:dyDescent="0.15">
      <c r="A862" s="13"/>
      <c r="B862" s="14"/>
      <c r="C862" s="30"/>
    </row>
    <row r="863" spans="1:3" ht="12.75" customHeight="1" x14ac:dyDescent="0.15">
      <c r="A863" s="13"/>
      <c r="B863" s="14"/>
      <c r="C863" s="30"/>
    </row>
    <row r="864" spans="1:3" ht="12.75" customHeight="1" x14ac:dyDescent="0.15">
      <c r="A864" s="13"/>
      <c r="B864" s="14"/>
      <c r="C864" s="30"/>
    </row>
    <row r="865" spans="1:3" ht="12.75" customHeight="1" x14ac:dyDescent="0.15">
      <c r="A865" s="13"/>
      <c r="B865" s="14"/>
      <c r="C865" s="30"/>
    </row>
    <row r="866" spans="1:3" ht="12.75" customHeight="1" x14ac:dyDescent="0.15">
      <c r="A866" s="13"/>
      <c r="B866" s="14"/>
      <c r="C866" s="30"/>
    </row>
    <row r="867" spans="1:3" ht="12.75" customHeight="1" x14ac:dyDescent="0.15">
      <c r="A867" s="13"/>
      <c r="B867" s="14"/>
      <c r="C867" s="30"/>
    </row>
    <row r="868" spans="1:3" ht="12.75" customHeight="1" x14ac:dyDescent="0.15">
      <c r="A868" s="13"/>
      <c r="B868" s="14"/>
      <c r="C868" s="30"/>
    </row>
    <row r="869" spans="1:3" ht="12.75" customHeight="1" x14ac:dyDescent="0.15">
      <c r="A869" s="13"/>
      <c r="B869" s="14"/>
      <c r="C869" s="30"/>
    </row>
    <row r="870" spans="1:3" ht="12.75" customHeight="1" x14ac:dyDescent="0.15">
      <c r="A870" s="13"/>
      <c r="B870" s="14"/>
      <c r="C870" s="30"/>
    </row>
    <row r="871" spans="1:3" ht="12.75" customHeight="1" x14ac:dyDescent="0.15">
      <c r="A871" s="13"/>
      <c r="B871" s="14"/>
      <c r="C871" s="30"/>
    </row>
    <row r="872" spans="1:3" ht="12.75" customHeight="1" x14ac:dyDescent="0.15">
      <c r="A872" s="13"/>
      <c r="B872" s="14"/>
      <c r="C872" s="30"/>
    </row>
    <row r="873" spans="1:3" ht="12.75" customHeight="1" x14ac:dyDescent="0.15">
      <c r="A873" s="13"/>
      <c r="B873" s="14"/>
      <c r="C873" s="30"/>
    </row>
    <row r="874" spans="1:3" ht="12.75" customHeight="1" x14ac:dyDescent="0.15">
      <c r="A874" s="13"/>
      <c r="B874" s="14"/>
      <c r="C874" s="30"/>
    </row>
    <row r="875" spans="1:3" ht="12.75" customHeight="1" x14ac:dyDescent="0.15">
      <c r="A875" s="13"/>
      <c r="B875" s="14"/>
      <c r="C875" s="30"/>
    </row>
    <row r="876" spans="1:3" ht="12.75" customHeight="1" x14ac:dyDescent="0.15">
      <c r="A876" s="13"/>
      <c r="B876" s="14"/>
      <c r="C876" s="30"/>
    </row>
    <row r="877" spans="1:3" ht="12.75" customHeight="1" x14ac:dyDescent="0.15">
      <c r="A877" s="13"/>
      <c r="B877" s="14"/>
      <c r="C877" s="30"/>
    </row>
    <row r="878" spans="1:3" ht="12.75" customHeight="1" x14ac:dyDescent="0.15">
      <c r="A878" s="13"/>
      <c r="B878" s="14"/>
      <c r="C878" s="30"/>
    </row>
    <row r="879" spans="1:3" ht="12.75" customHeight="1" x14ac:dyDescent="0.15">
      <c r="A879" s="13"/>
      <c r="B879" s="14"/>
      <c r="C879" s="30"/>
    </row>
    <row r="880" spans="1:3" ht="12.75" customHeight="1" x14ac:dyDescent="0.15">
      <c r="A880" s="13"/>
      <c r="B880" s="14"/>
      <c r="C880" s="30"/>
    </row>
    <row r="881" spans="1:3" ht="12.75" customHeight="1" x14ac:dyDescent="0.15">
      <c r="A881" s="13"/>
      <c r="B881" s="14"/>
      <c r="C881" s="30"/>
    </row>
    <row r="882" spans="1:3" ht="12.75" customHeight="1" x14ac:dyDescent="0.15">
      <c r="A882" s="13"/>
      <c r="B882" s="14"/>
      <c r="C882" s="30"/>
    </row>
    <row r="883" spans="1:3" ht="12.75" customHeight="1" x14ac:dyDescent="0.15">
      <c r="A883" s="13"/>
      <c r="B883" s="14"/>
      <c r="C883" s="30"/>
    </row>
    <row r="884" spans="1:3" ht="12.75" customHeight="1" x14ac:dyDescent="0.15">
      <c r="A884" s="13"/>
      <c r="B884" s="14"/>
      <c r="C884" s="30"/>
    </row>
    <row r="885" spans="1:3" ht="12.75" customHeight="1" x14ac:dyDescent="0.15">
      <c r="A885" s="13"/>
      <c r="B885" s="14"/>
      <c r="C885" s="30"/>
    </row>
    <row r="886" spans="1:3" ht="12.75" customHeight="1" x14ac:dyDescent="0.15">
      <c r="A886" s="13"/>
      <c r="B886" s="14"/>
      <c r="C886" s="30"/>
    </row>
    <row r="887" spans="1:3" ht="12.75" customHeight="1" x14ac:dyDescent="0.15">
      <c r="A887" s="13"/>
      <c r="B887" s="14"/>
      <c r="C887" s="30"/>
    </row>
    <row r="888" spans="1:3" ht="12.75" customHeight="1" x14ac:dyDescent="0.15">
      <c r="A888" s="13"/>
      <c r="B888" s="14"/>
      <c r="C888" s="30"/>
    </row>
    <row r="889" spans="1:3" ht="12.75" customHeight="1" x14ac:dyDescent="0.15">
      <c r="A889" s="13"/>
      <c r="B889" s="14"/>
      <c r="C889" s="30"/>
    </row>
    <row r="890" spans="1:3" ht="12.75" customHeight="1" x14ac:dyDescent="0.15">
      <c r="A890" s="13"/>
      <c r="B890" s="14"/>
      <c r="C890" s="30"/>
    </row>
    <row r="891" spans="1:3" ht="12.75" customHeight="1" x14ac:dyDescent="0.15">
      <c r="A891" s="13"/>
      <c r="B891" s="14"/>
      <c r="C891" s="30"/>
    </row>
    <row r="892" spans="1:3" ht="12.75" customHeight="1" x14ac:dyDescent="0.15">
      <c r="A892" s="13"/>
      <c r="B892" s="14"/>
      <c r="C892" s="30"/>
    </row>
    <row r="893" spans="1:3" ht="12.75" customHeight="1" x14ac:dyDescent="0.15">
      <c r="A893" s="13"/>
      <c r="B893" s="14"/>
      <c r="C893" s="30"/>
    </row>
    <row r="894" spans="1:3" ht="12.75" customHeight="1" x14ac:dyDescent="0.15">
      <c r="A894" s="13"/>
      <c r="B894" s="14"/>
      <c r="C894" s="30"/>
    </row>
    <row r="895" spans="1:3" ht="12.75" customHeight="1" x14ac:dyDescent="0.15">
      <c r="A895" s="13"/>
      <c r="B895" s="14"/>
      <c r="C895" s="30"/>
    </row>
    <row r="896" spans="1:3" ht="12.75" customHeight="1" x14ac:dyDescent="0.15">
      <c r="A896" s="13"/>
      <c r="B896" s="14"/>
      <c r="C896" s="30"/>
    </row>
    <row r="897" spans="1:3" ht="12.75" customHeight="1" x14ac:dyDescent="0.15">
      <c r="A897" s="13"/>
      <c r="B897" s="14"/>
      <c r="C897" s="30"/>
    </row>
    <row r="898" spans="1:3" ht="12.75" customHeight="1" x14ac:dyDescent="0.15">
      <c r="A898" s="13"/>
      <c r="B898" s="14"/>
      <c r="C898" s="30"/>
    </row>
    <row r="899" spans="1:3" ht="12.75" customHeight="1" x14ac:dyDescent="0.15">
      <c r="A899" s="13"/>
      <c r="B899" s="14"/>
      <c r="C899" s="30"/>
    </row>
    <row r="900" spans="1:3" ht="12.75" customHeight="1" x14ac:dyDescent="0.15">
      <c r="A900" s="13"/>
      <c r="B900" s="14"/>
      <c r="C900" s="30"/>
    </row>
    <row r="901" spans="1:3" ht="12.75" customHeight="1" x14ac:dyDescent="0.15">
      <c r="A901" s="13"/>
      <c r="B901" s="14"/>
      <c r="C901" s="30"/>
    </row>
    <row r="902" spans="1:3" ht="12.75" customHeight="1" x14ac:dyDescent="0.15">
      <c r="A902" s="13"/>
      <c r="B902" s="14"/>
      <c r="C902" s="30"/>
    </row>
    <row r="903" spans="1:3" ht="12.75" customHeight="1" x14ac:dyDescent="0.15">
      <c r="A903" s="13"/>
      <c r="B903" s="14"/>
      <c r="C903" s="30"/>
    </row>
    <row r="904" spans="1:3" ht="12.75" customHeight="1" x14ac:dyDescent="0.15">
      <c r="A904" s="13"/>
      <c r="B904" s="14"/>
      <c r="C904" s="30"/>
    </row>
    <row r="905" spans="1:3" ht="12.75" customHeight="1" x14ac:dyDescent="0.15">
      <c r="A905" s="13"/>
      <c r="B905" s="14"/>
      <c r="C905" s="30"/>
    </row>
    <row r="906" spans="1:3" ht="12.75" customHeight="1" x14ac:dyDescent="0.15">
      <c r="A906" s="13"/>
      <c r="B906" s="14"/>
      <c r="C906" s="30"/>
    </row>
    <row r="907" spans="1:3" ht="12.75" customHeight="1" x14ac:dyDescent="0.15">
      <c r="A907" s="13"/>
      <c r="B907" s="14"/>
      <c r="C907" s="30"/>
    </row>
    <row r="908" spans="1:3" ht="12.75" customHeight="1" x14ac:dyDescent="0.15">
      <c r="A908" s="13"/>
      <c r="B908" s="14"/>
      <c r="C908" s="30"/>
    </row>
    <row r="909" spans="1:3" ht="12.75" customHeight="1" x14ac:dyDescent="0.15">
      <c r="A909" s="13"/>
      <c r="B909" s="14"/>
      <c r="C909" s="30"/>
    </row>
    <row r="910" spans="1:3" ht="12.75" customHeight="1" x14ac:dyDescent="0.15">
      <c r="A910" s="13"/>
      <c r="B910" s="14"/>
      <c r="C910" s="30"/>
    </row>
    <row r="911" spans="1:3" ht="12.75" customHeight="1" x14ac:dyDescent="0.15">
      <c r="A911" s="13"/>
      <c r="B911" s="14"/>
      <c r="C911" s="30"/>
    </row>
    <row r="912" spans="1:3" ht="12.75" customHeight="1" x14ac:dyDescent="0.15">
      <c r="A912" s="13"/>
      <c r="B912" s="14"/>
      <c r="C912" s="30"/>
    </row>
    <row r="913" spans="1:3" ht="12.75" customHeight="1" x14ac:dyDescent="0.15">
      <c r="A913" s="13"/>
      <c r="B913" s="14"/>
      <c r="C913" s="30"/>
    </row>
    <row r="914" spans="1:3" ht="12.75" customHeight="1" x14ac:dyDescent="0.15">
      <c r="A914" s="13"/>
      <c r="B914" s="14"/>
      <c r="C914" s="30"/>
    </row>
    <row r="915" spans="1:3" ht="12.75" customHeight="1" x14ac:dyDescent="0.15">
      <c r="A915" s="13"/>
      <c r="B915" s="14"/>
      <c r="C915" s="30"/>
    </row>
    <row r="916" spans="1:3" ht="12.75" customHeight="1" x14ac:dyDescent="0.15">
      <c r="A916" s="13"/>
      <c r="B916" s="14"/>
      <c r="C916" s="30"/>
    </row>
    <row r="917" spans="1:3" ht="12.75" customHeight="1" x14ac:dyDescent="0.15">
      <c r="A917" s="13"/>
      <c r="B917" s="14"/>
      <c r="C917" s="30"/>
    </row>
    <row r="918" spans="1:3" ht="12.75" customHeight="1" x14ac:dyDescent="0.15">
      <c r="A918" s="13"/>
      <c r="B918" s="14"/>
      <c r="C918" s="30"/>
    </row>
    <row r="919" spans="1:3" ht="12.75" customHeight="1" x14ac:dyDescent="0.15">
      <c r="A919" s="13"/>
      <c r="B919" s="14"/>
      <c r="C919" s="30"/>
    </row>
    <row r="920" spans="1:3" ht="12.75" customHeight="1" x14ac:dyDescent="0.15">
      <c r="A920" s="13"/>
      <c r="B920" s="14"/>
      <c r="C920" s="30"/>
    </row>
    <row r="921" spans="1:3" ht="12.75" customHeight="1" x14ac:dyDescent="0.15">
      <c r="A921" s="13"/>
      <c r="B921" s="14"/>
      <c r="C921" s="30"/>
    </row>
    <row r="922" spans="1:3" ht="12.75" customHeight="1" x14ac:dyDescent="0.15">
      <c r="A922" s="13"/>
      <c r="B922" s="14"/>
      <c r="C922" s="30"/>
    </row>
    <row r="923" spans="1:3" ht="12.75" customHeight="1" x14ac:dyDescent="0.15">
      <c r="A923" s="13"/>
      <c r="B923" s="14"/>
      <c r="C923" s="30"/>
    </row>
    <row r="924" spans="1:3" ht="12.75" customHeight="1" x14ac:dyDescent="0.15">
      <c r="A924" s="13"/>
      <c r="B924" s="14"/>
      <c r="C924" s="30"/>
    </row>
    <row r="925" spans="1:3" ht="12.75" customHeight="1" x14ac:dyDescent="0.15">
      <c r="A925" s="13"/>
      <c r="B925" s="14"/>
      <c r="C925" s="30"/>
    </row>
    <row r="926" spans="1:3" ht="12.75" customHeight="1" x14ac:dyDescent="0.15">
      <c r="A926" s="13"/>
      <c r="B926" s="14"/>
      <c r="C926" s="30"/>
    </row>
    <row r="927" spans="1:3" ht="12.75" customHeight="1" x14ac:dyDescent="0.15">
      <c r="A927" s="13"/>
      <c r="B927" s="14"/>
      <c r="C927" s="30"/>
    </row>
    <row r="928" spans="1:3" ht="12.75" customHeight="1" x14ac:dyDescent="0.15">
      <c r="A928" s="13"/>
      <c r="B928" s="14"/>
      <c r="C928" s="30"/>
    </row>
    <row r="929" spans="1:3" ht="12.75" customHeight="1" x14ac:dyDescent="0.15">
      <c r="A929" s="13"/>
      <c r="B929" s="14"/>
      <c r="C929" s="30"/>
    </row>
    <row r="930" spans="1:3" ht="12.75" customHeight="1" x14ac:dyDescent="0.15">
      <c r="A930" s="13"/>
      <c r="B930" s="14"/>
      <c r="C930" s="30"/>
    </row>
    <row r="931" spans="1:3" ht="12.75" customHeight="1" x14ac:dyDescent="0.15">
      <c r="A931" s="13"/>
      <c r="B931" s="14"/>
      <c r="C931" s="30"/>
    </row>
    <row r="932" spans="1:3" ht="12.75" customHeight="1" x14ac:dyDescent="0.15">
      <c r="A932" s="13"/>
      <c r="B932" s="14"/>
      <c r="C932" s="30"/>
    </row>
    <row r="933" spans="1:3" ht="12.75" customHeight="1" x14ac:dyDescent="0.15">
      <c r="A933" s="13"/>
      <c r="B933" s="14"/>
      <c r="C933" s="30"/>
    </row>
    <row r="934" spans="1:3" ht="12.75" customHeight="1" x14ac:dyDescent="0.15">
      <c r="A934" s="13"/>
      <c r="B934" s="14"/>
      <c r="C934" s="30"/>
    </row>
    <row r="935" spans="1:3" ht="12.75" customHeight="1" x14ac:dyDescent="0.15">
      <c r="A935" s="13"/>
      <c r="B935" s="14"/>
      <c r="C935" s="30"/>
    </row>
    <row r="936" spans="1:3" ht="12.75" customHeight="1" x14ac:dyDescent="0.15">
      <c r="A936" s="13"/>
      <c r="B936" s="14"/>
      <c r="C936" s="30"/>
    </row>
    <row r="937" spans="1:3" ht="12.75" customHeight="1" x14ac:dyDescent="0.15">
      <c r="A937" s="13"/>
      <c r="B937" s="14"/>
      <c r="C937" s="30"/>
    </row>
    <row r="938" spans="1:3" ht="12.75" customHeight="1" x14ac:dyDescent="0.15">
      <c r="A938" s="13"/>
      <c r="B938" s="14"/>
      <c r="C938" s="30"/>
    </row>
    <row r="939" spans="1:3" ht="12.75" customHeight="1" x14ac:dyDescent="0.15">
      <c r="A939" s="13"/>
      <c r="B939" s="14"/>
      <c r="C939" s="30"/>
    </row>
    <row r="940" spans="1:3" ht="12.75" customHeight="1" x14ac:dyDescent="0.15">
      <c r="A940" s="13"/>
      <c r="B940" s="14"/>
      <c r="C940" s="30"/>
    </row>
    <row r="941" spans="1:3" ht="12.75" customHeight="1" x14ac:dyDescent="0.15">
      <c r="A941" s="13"/>
      <c r="B941" s="14"/>
      <c r="C941" s="30"/>
    </row>
    <row r="942" spans="1:3" ht="12.75" customHeight="1" x14ac:dyDescent="0.15">
      <c r="A942" s="13"/>
      <c r="B942" s="14"/>
      <c r="C942" s="30"/>
    </row>
    <row r="943" spans="1:3" ht="12.75" customHeight="1" x14ac:dyDescent="0.15">
      <c r="A943" s="13"/>
      <c r="B943" s="14"/>
      <c r="C943" s="30"/>
    </row>
    <row r="944" spans="1:3" ht="12.75" customHeight="1" x14ac:dyDescent="0.15">
      <c r="A944" s="13"/>
      <c r="B944" s="14"/>
      <c r="C944" s="30"/>
    </row>
    <row r="945" spans="1:3" ht="12.75" customHeight="1" x14ac:dyDescent="0.15">
      <c r="A945" s="13"/>
      <c r="B945" s="14"/>
      <c r="C945" s="30"/>
    </row>
    <row r="946" spans="1:3" ht="12.75" customHeight="1" x14ac:dyDescent="0.15">
      <c r="A946" s="13"/>
      <c r="B946" s="14"/>
      <c r="C946" s="30"/>
    </row>
    <row r="947" spans="1:3" ht="12.75" customHeight="1" x14ac:dyDescent="0.15">
      <c r="A947" s="13"/>
      <c r="B947" s="14"/>
      <c r="C947" s="30"/>
    </row>
    <row r="948" spans="1:3" ht="12.75" customHeight="1" x14ac:dyDescent="0.15">
      <c r="A948" s="13"/>
      <c r="B948" s="14"/>
      <c r="C948" s="30"/>
    </row>
    <row r="949" spans="1:3" ht="12.75" customHeight="1" x14ac:dyDescent="0.15">
      <c r="A949" s="13"/>
      <c r="B949" s="14"/>
      <c r="C949" s="30"/>
    </row>
    <row r="950" spans="1:3" ht="12.75" customHeight="1" x14ac:dyDescent="0.15">
      <c r="A950" s="13"/>
      <c r="B950" s="14"/>
      <c r="C950" s="30"/>
    </row>
    <row r="951" spans="1:3" ht="12.75" customHeight="1" x14ac:dyDescent="0.15">
      <c r="A951" s="13"/>
      <c r="B951" s="14"/>
      <c r="C951" s="30"/>
    </row>
    <row r="952" spans="1:3" ht="12.75" customHeight="1" x14ac:dyDescent="0.15">
      <c r="A952" s="13"/>
      <c r="B952" s="14"/>
      <c r="C952" s="30"/>
    </row>
    <row r="953" spans="1:3" ht="12.75" customHeight="1" x14ac:dyDescent="0.15">
      <c r="A953" s="13"/>
      <c r="B953" s="14"/>
      <c r="C953" s="30"/>
    </row>
    <row r="954" spans="1:3" ht="12.75" customHeight="1" x14ac:dyDescent="0.15">
      <c r="A954" s="13"/>
      <c r="B954" s="14"/>
      <c r="C954" s="30"/>
    </row>
    <row r="955" spans="1:3" ht="12.75" customHeight="1" x14ac:dyDescent="0.15">
      <c r="A955" s="13"/>
      <c r="B955" s="14"/>
      <c r="C955" s="30"/>
    </row>
    <row r="956" spans="1:3" ht="12.75" customHeight="1" x14ac:dyDescent="0.15">
      <c r="A956" s="13"/>
      <c r="B956" s="14"/>
      <c r="C956" s="30"/>
    </row>
    <row r="957" spans="1:3" ht="12.75" customHeight="1" x14ac:dyDescent="0.15">
      <c r="A957" s="13"/>
      <c r="B957" s="14"/>
      <c r="C957" s="30"/>
    </row>
    <row r="958" spans="1:3" ht="12.75" customHeight="1" x14ac:dyDescent="0.15">
      <c r="A958" s="13"/>
      <c r="B958" s="14"/>
      <c r="C958" s="30"/>
    </row>
    <row r="959" spans="1:3" ht="12.75" customHeight="1" x14ac:dyDescent="0.15">
      <c r="A959" s="13"/>
      <c r="B959" s="14"/>
      <c r="C959" s="30"/>
    </row>
    <row r="960" spans="1:3" ht="12.75" customHeight="1" x14ac:dyDescent="0.15">
      <c r="A960" s="13"/>
      <c r="B960" s="14"/>
      <c r="C960" s="30"/>
    </row>
    <row r="961" spans="1:3" ht="12.75" customHeight="1" x14ac:dyDescent="0.15">
      <c r="A961" s="13"/>
      <c r="B961" s="14"/>
      <c r="C961" s="30"/>
    </row>
    <row r="962" spans="1:3" ht="12.75" customHeight="1" x14ac:dyDescent="0.15">
      <c r="A962" s="13"/>
      <c r="B962" s="14"/>
      <c r="C962" s="30"/>
    </row>
    <row r="963" spans="1:3" ht="12.75" customHeight="1" x14ac:dyDescent="0.15">
      <c r="A963" s="13"/>
      <c r="B963" s="14"/>
      <c r="C963" s="30"/>
    </row>
    <row r="964" spans="1:3" ht="12.75" customHeight="1" x14ac:dyDescent="0.15">
      <c r="A964" s="13"/>
      <c r="B964" s="14"/>
      <c r="C964" s="30"/>
    </row>
    <row r="965" spans="1:3" ht="12.75" customHeight="1" x14ac:dyDescent="0.15">
      <c r="A965" s="13"/>
      <c r="B965" s="14"/>
      <c r="C965" s="30"/>
    </row>
    <row r="966" spans="1:3" ht="12.75" customHeight="1" x14ac:dyDescent="0.15">
      <c r="A966" s="13"/>
      <c r="B966" s="14"/>
      <c r="C966" s="30"/>
    </row>
    <row r="967" spans="1:3" ht="12.75" customHeight="1" x14ac:dyDescent="0.15">
      <c r="A967" s="13"/>
      <c r="B967" s="14"/>
      <c r="C967" s="30"/>
    </row>
    <row r="968" spans="1:3" ht="12.75" customHeight="1" x14ac:dyDescent="0.15">
      <c r="A968" s="13"/>
      <c r="B968" s="14"/>
      <c r="C968" s="30"/>
    </row>
    <row r="969" spans="1:3" ht="12.75" customHeight="1" x14ac:dyDescent="0.15">
      <c r="A969" s="13"/>
      <c r="B969" s="14"/>
      <c r="C969" s="30"/>
    </row>
    <row r="970" spans="1:3" ht="12.75" customHeight="1" x14ac:dyDescent="0.15">
      <c r="A970" s="13"/>
      <c r="B970" s="14"/>
      <c r="C970" s="30"/>
    </row>
    <row r="971" spans="1:3" ht="12.75" customHeight="1" x14ac:dyDescent="0.15">
      <c r="A971" s="13"/>
      <c r="B971" s="14"/>
      <c r="C971" s="30"/>
    </row>
    <row r="972" spans="1:3" ht="12.75" customHeight="1" x14ac:dyDescent="0.15">
      <c r="A972" s="13"/>
      <c r="B972" s="14"/>
      <c r="C972" s="30"/>
    </row>
    <row r="973" spans="1:3" ht="12.75" customHeight="1" x14ac:dyDescent="0.15">
      <c r="A973" s="13"/>
      <c r="B973" s="14"/>
      <c r="C973" s="30"/>
    </row>
    <row r="974" spans="1:3" ht="12.75" customHeight="1" x14ac:dyDescent="0.15">
      <c r="A974" s="13"/>
      <c r="B974" s="14"/>
      <c r="C974" s="30"/>
    </row>
    <row r="975" spans="1:3" ht="12.75" customHeight="1" x14ac:dyDescent="0.15">
      <c r="A975" s="13"/>
      <c r="B975" s="14"/>
      <c r="C975" s="30"/>
    </row>
    <row r="976" spans="1:3" ht="12.75" customHeight="1" x14ac:dyDescent="0.15">
      <c r="A976" s="13"/>
      <c r="B976" s="14"/>
      <c r="C976" s="30"/>
    </row>
    <row r="977" spans="1:3" ht="12.75" customHeight="1" x14ac:dyDescent="0.15">
      <c r="A977" s="13"/>
      <c r="B977" s="14"/>
      <c r="C977" s="30"/>
    </row>
    <row r="978" spans="1:3" ht="12.75" customHeight="1" x14ac:dyDescent="0.15">
      <c r="A978" s="13"/>
      <c r="B978" s="14"/>
      <c r="C978" s="30"/>
    </row>
    <row r="979" spans="1:3" ht="12.75" customHeight="1" x14ac:dyDescent="0.15">
      <c r="A979" s="13"/>
      <c r="B979" s="14"/>
      <c r="C979" s="30"/>
    </row>
    <row r="980" spans="1:3" ht="12.75" customHeight="1" x14ac:dyDescent="0.15">
      <c r="A980" s="13"/>
      <c r="B980" s="14"/>
      <c r="C980" s="30"/>
    </row>
    <row r="981" spans="1:3" ht="12.75" customHeight="1" x14ac:dyDescent="0.15">
      <c r="A981" s="13"/>
      <c r="B981" s="14"/>
      <c r="C981" s="30"/>
    </row>
    <row r="982" spans="1:3" ht="12.75" customHeight="1" x14ac:dyDescent="0.15">
      <c r="A982" s="13"/>
      <c r="B982" s="14"/>
      <c r="C982" s="30"/>
    </row>
    <row r="983" spans="1:3" ht="12.75" customHeight="1" x14ac:dyDescent="0.15">
      <c r="A983" s="13"/>
      <c r="B983" s="14"/>
      <c r="C983" s="30"/>
    </row>
    <row r="984" spans="1:3" ht="12.75" customHeight="1" x14ac:dyDescent="0.15">
      <c r="A984" s="13"/>
      <c r="B984" s="14"/>
      <c r="C984" s="30"/>
    </row>
    <row r="985" spans="1:3" ht="12.75" customHeight="1" x14ac:dyDescent="0.15">
      <c r="A985" s="13"/>
      <c r="B985" s="14"/>
      <c r="C985" s="30"/>
    </row>
    <row r="986" spans="1:3" ht="12.75" customHeight="1" x14ac:dyDescent="0.15">
      <c r="A986" s="13"/>
      <c r="B986" s="14"/>
      <c r="C986" s="30"/>
    </row>
    <row r="987" spans="1:3" ht="12.75" customHeight="1" x14ac:dyDescent="0.15">
      <c r="A987" s="13"/>
      <c r="B987" s="14"/>
      <c r="C987" s="30"/>
    </row>
    <row r="988" spans="1:3" ht="12.75" customHeight="1" x14ac:dyDescent="0.15">
      <c r="A988" s="13"/>
      <c r="B988" s="14"/>
      <c r="C988" s="30"/>
    </row>
    <row r="989" spans="1:3" ht="12.75" customHeight="1" x14ac:dyDescent="0.15">
      <c r="A989" s="13"/>
      <c r="B989" s="14"/>
      <c r="C989" s="30"/>
    </row>
    <row r="990" spans="1:3" ht="12.75" customHeight="1" x14ac:dyDescent="0.15">
      <c r="A990" s="13"/>
      <c r="B990" s="14"/>
      <c r="C990" s="30"/>
    </row>
    <row r="991" spans="1:3" ht="12.75" customHeight="1" x14ac:dyDescent="0.15">
      <c r="A991" s="13"/>
      <c r="B991" s="14"/>
      <c r="C991" s="30"/>
    </row>
    <row r="992" spans="1:3" ht="12.75" customHeight="1" x14ac:dyDescent="0.15">
      <c r="A992" s="13"/>
      <c r="B992" s="14"/>
      <c r="C992" s="30"/>
    </row>
    <row r="993" spans="1:3" ht="12.75" customHeight="1" x14ac:dyDescent="0.15">
      <c r="A993" s="13"/>
      <c r="B993" s="14"/>
      <c r="C993" s="30"/>
    </row>
    <row r="994" spans="1:3" ht="12.75" customHeight="1" x14ac:dyDescent="0.15">
      <c r="A994" s="13"/>
      <c r="B994" s="14"/>
      <c r="C994" s="30"/>
    </row>
    <row r="995" spans="1:3" ht="12.75" customHeight="1" x14ac:dyDescent="0.15">
      <c r="A995" s="13"/>
      <c r="B995" s="14"/>
      <c r="C995" s="30"/>
    </row>
    <row r="996" spans="1:3" ht="12.75" customHeight="1" x14ac:dyDescent="0.15">
      <c r="A996" s="13"/>
      <c r="B996" s="14"/>
      <c r="C996" s="30"/>
    </row>
    <row r="997" spans="1:3" ht="12.75" customHeight="1" x14ac:dyDescent="0.15">
      <c r="C997" s="30"/>
    </row>
    <row r="998" spans="1:3" ht="12.75" customHeight="1" x14ac:dyDescent="0.15">
      <c r="C998" s="30"/>
    </row>
    <row r="999" spans="1:3" ht="12.75" customHeight="1" x14ac:dyDescent="0.15">
      <c r="C999" s="30"/>
    </row>
    <row r="1000" spans="1:3" ht="12.75" customHeight="1" x14ac:dyDescent="0.15">
      <c r="C1000" s="30"/>
    </row>
    <row r="1001" spans="1:3" ht="12.75" customHeight="1" x14ac:dyDescent="0.15">
      <c r="C1001" s="30"/>
    </row>
    <row r="1002" spans="1:3" ht="12.75" customHeight="1" x14ac:dyDescent="0.15">
      <c r="C1002" s="30"/>
    </row>
    <row r="1003" spans="1:3" ht="12.75" customHeight="1" x14ac:dyDescent="0.15">
      <c r="C1003" s="30"/>
    </row>
    <row r="1004" spans="1:3" ht="12.75" customHeight="1" x14ac:dyDescent="0.15">
      <c r="C1004" s="30"/>
    </row>
    <row r="1005" spans="1:3" ht="12.75" customHeight="1" x14ac:dyDescent="0.15">
      <c r="C1005" s="30"/>
    </row>
    <row r="1006" spans="1:3" ht="12.75" customHeight="1" x14ac:dyDescent="0.15">
      <c r="C1006" s="30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6"/>
  <sheetViews>
    <sheetView workbookViewId="0">
      <selection activeCell="D24" sqref="D24"/>
    </sheetView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0.6640625" customWidth="1"/>
    <col min="4" max="4" width="28.5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8"/>
      <c r="D2" s="16"/>
    </row>
    <row r="3" spans="1:22" ht="12.75" customHeight="1" x14ac:dyDescent="0.15">
      <c r="A3" s="4" t="s">
        <v>2</v>
      </c>
      <c r="B3" s="5" t="s">
        <v>4</v>
      </c>
      <c r="C3" s="5"/>
      <c r="D3" s="17"/>
    </row>
    <row r="4" spans="1:22" ht="12.75" customHeight="1" x14ac:dyDescent="0.15">
      <c r="A4" s="7" t="s">
        <v>5</v>
      </c>
      <c r="B4" s="8" t="s">
        <v>6</v>
      </c>
      <c r="C4" s="8"/>
      <c r="D4" s="16"/>
    </row>
    <row r="5" spans="1:22" ht="12.75" customHeight="1" x14ac:dyDescent="0.15">
      <c r="A5" s="4" t="s">
        <v>7</v>
      </c>
      <c r="B5" s="5" t="s">
        <v>8</v>
      </c>
      <c r="C5" s="18"/>
      <c r="D5" s="19"/>
    </row>
    <row r="6" spans="1:22" ht="15" customHeight="1" x14ac:dyDescent="0.15">
      <c r="A6" s="9" t="s">
        <v>5</v>
      </c>
      <c r="B6" s="20" t="s">
        <v>9</v>
      </c>
      <c r="C6" s="8"/>
      <c r="D6" s="1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21"/>
      <c r="D7" s="22"/>
    </row>
    <row r="8" spans="1:22" ht="12.75" customHeight="1" x14ac:dyDescent="0.15">
      <c r="A8" s="7" t="s">
        <v>2</v>
      </c>
      <c r="B8" s="8" t="s">
        <v>11</v>
      </c>
      <c r="C8" s="8"/>
      <c r="D8" s="16"/>
    </row>
    <row r="9" spans="1:22" ht="12.75" customHeight="1" x14ac:dyDescent="0.15">
      <c r="A9" s="4" t="s">
        <v>12</v>
      </c>
      <c r="B9" s="5" t="s">
        <v>13</v>
      </c>
      <c r="C9" s="8"/>
      <c r="D9" s="17"/>
    </row>
    <row r="10" spans="1:22" ht="12.75" customHeight="1" x14ac:dyDescent="0.15">
      <c r="A10" s="7" t="s">
        <v>2</v>
      </c>
      <c r="B10" s="8" t="s">
        <v>14</v>
      </c>
      <c r="C10" s="5"/>
      <c r="D10" s="16"/>
    </row>
    <row r="11" spans="1:22" ht="12.75" customHeight="1" x14ac:dyDescent="0.15">
      <c r="A11" s="4" t="s">
        <v>5</v>
      </c>
      <c r="B11" s="5" t="s">
        <v>15</v>
      </c>
      <c r="C11" s="8"/>
      <c r="D11" s="17"/>
    </row>
    <row r="12" spans="1:22" ht="12.75" customHeight="1" x14ac:dyDescent="0.15">
      <c r="A12" s="7" t="s">
        <v>5</v>
      </c>
      <c r="B12" s="8" t="s">
        <v>16</v>
      </c>
      <c r="C12" s="5"/>
      <c r="D12" s="16"/>
    </row>
    <row r="13" spans="1:22" ht="12.75" customHeight="1" x14ac:dyDescent="0.15">
      <c r="A13" s="4" t="s">
        <v>2</v>
      </c>
      <c r="B13" s="5" t="s">
        <v>17</v>
      </c>
      <c r="C13" s="8"/>
      <c r="D13" s="17"/>
    </row>
    <row r="14" spans="1:22" ht="12.75" customHeight="1" x14ac:dyDescent="0.15">
      <c r="A14" s="7" t="s">
        <v>5</v>
      </c>
      <c r="B14" s="8" t="s">
        <v>18</v>
      </c>
      <c r="C14" s="5"/>
      <c r="D14" s="16"/>
    </row>
    <row r="15" spans="1:22" ht="12.75" customHeight="1" x14ac:dyDescent="0.15">
      <c r="A15" s="4" t="s">
        <v>2</v>
      </c>
      <c r="B15" s="5" t="s">
        <v>19</v>
      </c>
      <c r="C15" s="8"/>
      <c r="D15" s="17"/>
    </row>
    <row r="16" spans="1:22" ht="12.75" customHeight="1" x14ac:dyDescent="0.15">
      <c r="A16" s="7" t="s">
        <v>20</v>
      </c>
      <c r="B16" s="8" t="s">
        <v>21</v>
      </c>
      <c r="C16" s="5"/>
      <c r="D16" s="16"/>
    </row>
    <row r="17" spans="1:22" ht="12.75" customHeight="1" x14ac:dyDescent="0.15">
      <c r="A17" s="4" t="s">
        <v>5</v>
      </c>
      <c r="B17" s="5" t="s">
        <v>22</v>
      </c>
      <c r="C17" s="8"/>
      <c r="D17" s="17"/>
    </row>
    <row r="18" spans="1:22" ht="15" customHeight="1" x14ac:dyDescent="0.15">
      <c r="A18" s="7" t="s">
        <v>12</v>
      </c>
      <c r="B18" s="8" t="s">
        <v>23</v>
      </c>
      <c r="C18" s="5"/>
      <c r="D18" s="1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8"/>
      <c r="D19" s="17"/>
    </row>
    <row r="20" spans="1:22" ht="12.75" customHeight="1" x14ac:dyDescent="0.15">
      <c r="A20" s="7" t="s">
        <v>25</v>
      </c>
      <c r="B20" s="8" t="s">
        <v>26</v>
      </c>
      <c r="C20" s="8"/>
      <c r="D20" s="16"/>
    </row>
    <row r="21" spans="1:22" ht="12.75" customHeight="1" x14ac:dyDescent="0.15">
      <c r="A21" s="4" t="s">
        <v>12</v>
      </c>
      <c r="B21" s="5" t="s">
        <v>27</v>
      </c>
      <c r="C21" s="5"/>
      <c r="D21" s="17"/>
    </row>
    <row r="22" spans="1:22" ht="12.75" customHeight="1" x14ac:dyDescent="0.15">
      <c r="A22" s="7" t="s">
        <v>5</v>
      </c>
      <c r="B22" s="8" t="s">
        <v>28</v>
      </c>
      <c r="C22" s="8"/>
      <c r="D22" s="16"/>
    </row>
    <row r="23" spans="1:22" ht="12.75" customHeight="1" x14ac:dyDescent="0.15">
      <c r="A23" s="4" t="s">
        <v>25</v>
      </c>
      <c r="B23" s="5" t="s">
        <v>29</v>
      </c>
      <c r="C23" s="5"/>
      <c r="D23" s="17"/>
    </row>
    <row r="24" spans="1:22" ht="12.75" customHeight="1" x14ac:dyDescent="0.15">
      <c r="A24" s="7" t="s">
        <v>12</v>
      </c>
      <c r="B24" s="8" t="s">
        <v>30</v>
      </c>
      <c r="C24" s="8"/>
      <c r="D24" s="1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5"/>
      <c r="D25" s="17"/>
    </row>
    <row r="26" spans="1:22" ht="12.75" customHeight="1" x14ac:dyDescent="0.15">
      <c r="A26" s="7" t="s">
        <v>25</v>
      </c>
      <c r="B26" s="8" t="s">
        <v>32</v>
      </c>
      <c r="C26" s="8"/>
      <c r="D26" s="16"/>
    </row>
    <row r="27" spans="1:22" ht="15" customHeight="1" x14ac:dyDescent="0.15">
      <c r="A27" s="4" t="s">
        <v>5</v>
      </c>
      <c r="B27" s="5" t="s">
        <v>33</v>
      </c>
      <c r="C27" s="5"/>
      <c r="D27" s="17"/>
    </row>
    <row r="28" spans="1:22" ht="12.75" customHeight="1" x14ac:dyDescent="0.15">
      <c r="A28" s="7" t="s">
        <v>25</v>
      </c>
      <c r="B28" s="8" t="s">
        <v>34</v>
      </c>
      <c r="C28" s="8"/>
      <c r="D28" s="16"/>
    </row>
    <row r="29" spans="1:22" ht="12.75" customHeight="1" x14ac:dyDescent="0.15">
      <c r="A29" s="4" t="s">
        <v>2</v>
      </c>
      <c r="B29" s="5" t="s">
        <v>35</v>
      </c>
      <c r="C29" s="5"/>
      <c r="D29" s="17"/>
    </row>
    <row r="30" spans="1:22" ht="12.75" customHeight="1" x14ac:dyDescent="0.15">
      <c r="A30" s="7" t="s">
        <v>12</v>
      </c>
      <c r="B30" s="8" t="s">
        <v>36</v>
      </c>
      <c r="C30" s="8"/>
      <c r="D30" s="16"/>
    </row>
    <row r="31" spans="1:22" ht="12.75" customHeight="1" x14ac:dyDescent="0.15">
      <c r="A31" s="4" t="s">
        <v>5</v>
      </c>
      <c r="B31" s="5" t="s">
        <v>37</v>
      </c>
      <c r="C31" s="5"/>
      <c r="D31" s="17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8"/>
      <c r="D32" s="1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5"/>
      <c r="D33" s="17"/>
    </row>
    <row r="34" spans="1:22" ht="12.75" customHeight="1" x14ac:dyDescent="0.15">
      <c r="A34" s="7" t="s">
        <v>7</v>
      </c>
      <c r="B34" s="8" t="s">
        <v>39</v>
      </c>
      <c r="C34" s="8"/>
      <c r="D34" s="16"/>
    </row>
    <row r="35" spans="1:22" ht="12.75" customHeight="1" x14ac:dyDescent="0.15">
      <c r="A35" s="4" t="s">
        <v>2</v>
      </c>
      <c r="B35" s="5" t="s">
        <v>40</v>
      </c>
      <c r="C35" s="5"/>
      <c r="D35" s="17"/>
    </row>
    <row r="36" spans="1:22" ht="12.75" customHeight="1" x14ac:dyDescent="0.15">
      <c r="A36" s="7" t="s">
        <v>2</v>
      </c>
      <c r="B36" s="8" t="s">
        <v>41</v>
      </c>
      <c r="C36" s="8"/>
      <c r="D36" s="16"/>
    </row>
    <row r="37" spans="1:22" ht="12.75" customHeight="1" x14ac:dyDescent="0.15">
      <c r="A37" s="4" t="s">
        <v>12</v>
      </c>
      <c r="B37" s="5" t="s">
        <v>42</v>
      </c>
      <c r="C37" s="5"/>
      <c r="D37" s="17"/>
    </row>
    <row r="38" spans="1:22" ht="12.75" customHeight="1" x14ac:dyDescent="0.15">
      <c r="A38" s="4" t="s">
        <v>12</v>
      </c>
      <c r="B38" s="8" t="s">
        <v>43</v>
      </c>
      <c r="C38" s="8"/>
      <c r="D38" s="16"/>
    </row>
    <row r="39" spans="1:22" ht="12.75" customHeight="1" x14ac:dyDescent="0.15">
      <c r="A39" s="4" t="s">
        <v>5</v>
      </c>
      <c r="B39" s="5" t="s">
        <v>44</v>
      </c>
      <c r="C39" s="5"/>
      <c r="D39" s="17"/>
    </row>
    <row r="40" spans="1:22" ht="15" customHeight="1" x14ac:dyDescent="0.15">
      <c r="A40" s="7" t="s">
        <v>5</v>
      </c>
      <c r="B40" s="8" t="s">
        <v>45</v>
      </c>
      <c r="C40" s="8"/>
      <c r="D40" s="1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5"/>
      <c r="D41" s="17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8"/>
      <c r="D42" s="1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5"/>
      <c r="D43" s="17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8"/>
      <c r="D44" s="1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5"/>
      <c r="D45" s="17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8"/>
      <c r="D46" s="1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18"/>
      <c r="D47" s="17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23" t="s">
        <v>52</v>
      </c>
      <c r="C48" s="18"/>
      <c r="D48" s="17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20" t="s">
        <v>53</v>
      </c>
      <c r="C49" s="24"/>
      <c r="D49" s="25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26" t="s">
        <v>54</v>
      </c>
      <c r="C50" s="27"/>
      <c r="D50" s="28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10"/>
      <c r="D51" s="29"/>
    </row>
    <row r="52" spans="1:22" ht="12.75" customHeight="1" x14ac:dyDescent="0.15">
      <c r="A52" s="4" t="s">
        <v>25</v>
      </c>
      <c r="B52" s="5" t="s">
        <v>54</v>
      </c>
      <c r="C52" s="5"/>
      <c r="D52" s="17"/>
    </row>
    <row r="53" spans="1:22" ht="12.75" customHeight="1" x14ac:dyDescent="0.15">
      <c r="A53" s="7" t="s">
        <v>12</v>
      </c>
      <c r="B53" s="8" t="s">
        <v>54</v>
      </c>
      <c r="C53" s="8"/>
      <c r="D53" s="16"/>
    </row>
    <row r="54" spans="1:22" ht="12.75" customHeight="1" x14ac:dyDescent="0.15">
      <c r="A54" s="4" t="s">
        <v>7</v>
      </c>
      <c r="B54" s="5" t="s">
        <v>54</v>
      </c>
      <c r="C54" s="5"/>
      <c r="D54" s="17"/>
    </row>
    <row r="55" spans="1:22" ht="12.75" customHeight="1" x14ac:dyDescent="0.15">
      <c r="A55" s="7" t="s">
        <v>55</v>
      </c>
      <c r="B55" s="8" t="s">
        <v>54</v>
      </c>
      <c r="C55" s="8"/>
      <c r="D55" s="16"/>
    </row>
    <row r="56" spans="1:22" ht="12.75" customHeight="1" x14ac:dyDescent="0.15">
      <c r="A56" s="4" t="s">
        <v>20</v>
      </c>
      <c r="B56" s="5" t="s">
        <v>54</v>
      </c>
      <c r="C56" s="5"/>
      <c r="D56" s="17"/>
    </row>
    <row r="57" spans="1:22" ht="12.75" customHeight="1" x14ac:dyDescent="0.15">
      <c r="A57" s="13"/>
      <c r="B57" s="14"/>
      <c r="C57" s="30"/>
    </row>
    <row r="58" spans="1:22" ht="12.75" customHeight="1" x14ac:dyDescent="0.15">
      <c r="A58" s="13"/>
      <c r="B58" s="14"/>
      <c r="C58" s="30"/>
    </row>
    <row r="59" spans="1:22" ht="12.75" customHeight="1" x14ac:dyDescent="0.15">
      <c r="A59" s="13"/>
      <c r="B59" s="14"/>
      <c r="C59" s="30"/>
    </row>
    <row r="60" spans="1:22" ht="12.75" customHeight="1" x14ac:dyDescent="0.15">
      <c r="A60" s="13"/>
      <c r="B60" s="14"/>
      <c r="C60" s="30"/>
    </row>
    <row r="61" spans="1:22" ht="12.75" customHeight="1" x14ac:dyDescent="0.15">
      <c r="A61" s="13"/>
      <c r="B61" s="14"/>
      <c r="C61" s="30"/>
    </row>
    <row r="62" spans="1:22" ht="12.75" customHeight="1" x14ac:dyDescent="0.15">
      <c r="A62" s="13"/>
      <c r="B62" s="14"/>
      <c r="C62" s="30"/>
    </row>
    <row r="63" spans="1:22" ht="12.75" customHeight="1" x14ac:dyDescent="0.15">
      <c r="A63" s="13"/>
      <c r="B63" s="14"/>
      <c r="C63" s="30"/>
    </row>
    <row r="64" spans="1:22" ht="12.75" customHeight="1" x14ac:dyDescent="0.15">
      <c r="A64" s="13"/>
      <c r="B64" s="14"/>
      <c r="C64" s="30"/>
    </row>
    <row r="65" spans="1:3" ht="12.75" customHeight="1" x14ac:dyDescent="0.15">
      <c r="A65" s="13"/>
      <c r="B65" s="14"/>
      <c r="C65" s="30"/>
    </row>
    <row r="66" spans="1:3" ht="12.75" customHeight="1" x14ac:dyDescent="0.15">
      <c r="A66" s="13"/>
      <c r="B66" s="14"/>
      <c r="C66" s="30"/>
    </row>
    <row r="67" spans="1:3" ht="12.75" customHeight="1" x14ac:dyDescent="0.15">
      <c r="A67" s="13"/>
      <c r="B67" s="14"/>
      <c r="C67" s="30"/>
    </row>
    <row r="68" spans="1:3" ht="12.75" customHeight="1" x14ac:dyDescent="0.15">
      <c r="A68" s="13"/>
      <c r="B68" s="14"/>
      <c r="C68" s="30"/>
    </row>
    <row r="69" spans="1:3" ht="12.75" customHeight="1" x14ac:dyDescent="0.15">
      <c r="A69" s="13"/>
      <c r="B69" s="14"/>
      <c r="C69" s="30"/>
    </row>
    <row r="70" spans="1:3" ht="12.75" customHeight="1" x14ac:dyDescent="0.15">
      <c r="A70" s="13"/>
      <c r="B70" s="14"/>
      <c r="C70" s="30"/>
    </row>
    <row r="71" spans="1:3" ht="12.75" customHeight="1" x14ac:dyDescent="0.15">
      <c r="A71" s="13"/>
      <c r="B71" s="14"/>
      <c r="C71" s="30"/>
    </row>
    <row r="72" spans="1:3" ht="12.75" customHeight="1" x14ac:dyDescent="0.15">
      <c r="A72" s="13"/>
      <c r="B72" s="14"/>
      <c r="C72" s="30"/>
    </row>
    <row r="73" spans="1:3" ht="12.75" customHeight="1" x14ac:dyDescent="0.15">
      <c r="A73" s="13"/>
      <c r="B73" s="14"/>
      <c r="C73" s="30"/>
    </row>
    <row r="74" spans="1:3" ht="12.75" customHeight="1" x14ac:dyDescent="0.15">
      <c r="A74" s="13"/>
      <c r="B74" s="14"/>
      <c r="C74" s="30"/>
    </row>
    <row r="75" spans="1:3" ht="12.75" customHeight="1" x14ac:dyDescent="0.15">
      <c r="A75" s="13"/>
      <c r="B75" s="14"/>
      <c r="C75" s="30"/>
    </row>
    <row r="76" spans="1:3" ht="12.75" customHeight="1" x14ac:dyDescent="0.15">
      <c r="A76" s="13"/>
      <c r="B76" s="14"/>
      <c r="C76" s="30"/>
    </row>
    <row r="77" spans="1:3" ht="12.75" customHeight="1" x14ac:dyDescent="0.15">
      <c r="A77" s="13"/>
      <c r="B77" s="14"/>
      <c r="C77" s="30"/>
    </row>
    <row r="78" spans="1:3" ht="12.75" customHeight="1" x14ac:dyDescent="0.15">
      <c r="A78" s="13"/>
      <c r="B78" s="14"/>
      <c r="C78" s="30"/>
    </row>
    <row r="79" spans="1:3" ht="12.75" customHeight="1" x14ac:dyDescent="0.15">
      <c r="A79" s="13"/>
      <c r="B79" s="14"/>
      <c r="C79" s="30"/>
    </row>
    <row r="80" spans="1:3" ht="12.75" customHeight="1" x14ac:dyDescent="0.15">
      <c r="A80" s="13"/>
      <c r="B80" s="14"/>
      <c r="C80" s="30"/>
    </row>
    <row r="81" spans="1:3" ht="12.75" customHeight="1" x14ac:dyDescent="0.15">
      <c r="A81" s="13"/>
      <c r="B81" s="14"/>
      <c r="C81" s="30"/>
    </row>
    <row r="82" spans="1:3" ht="12.75" customHeight="1" x14ac:dyDescent="0.15">
      <c r="A82" s="13"/>
      <c r="B82" s="14"/>
      <c r="C82" s="30"/>
    </row>
    <row r="83" spans="1:3" ht="12.75" customHeight="1" x14ac:dyDescent="0.15">
      <c r="A83" s="13"/>
      <c r="B83" s="14"/>
      <c r="C83" s="30"/>
    </row>
    <row r="84" spans="1:3" ht="12.75" customHeight="1" x14ac:dyDescent="0.15">
      <c r="A84" s="13"/>
      <c r="B84" s="14"/>
      <c r="C84" s="30"/>
    </row>
    <row r="85" spans="1:3" ht="12.75" customHeight="1" x14ac:dyDescent="0.15">
      <c r="A85" s="13"/>
      <c r="B85" s="14"/>
      <c r="C85" s="30"/>
    </row>
    <row r="86" spans="1:3" ht="12.75" customHeight="1" x14ac:dyDescent="0.15">
      <c r="A86" s="13"/>
      <c r="B86" s="14"/>
      <c r="C86" s="30"/>
    </row>
    <row r="87" spans="1:3" ht="12.75" customHeight="1" x14ac:dyDescent="0.15">
      <c r="A87" s="13"/>
      <c r="B87" s="14"/>
      <c r="C87" s="30"/>
    </row>
    <row r="88" spans="1:3" ht="12.75" customHeight="1" x14ac:dyDescent="0.15">
      <c r="A88" s="13"/>
      <c r="B88" s="14"/>
      <c r="C88" s="30"/>
    </row>
    <row r="89" spans="1:3" ht="12.75" customHeight="1" x14ac:dyDescent="0.15">
      <c r="A89" s="13"/>
      <c r="B89" s="14"/>
      <c r="C89" s="30"/>
    </row>
    <row r="90" spans="1:3" ht="12.75" customHeight="1" x14ac:dyDescent="0.15">
      <c r="A90" s="13"/>
      <c r="B90" s="14"/>
      <c r="C90" s="30"/>
    </row>
    <row r="91" spans="1:3" ht="12.75" customHeight="1" x14ac:dyDescent="0.15">
      <c r="A91" s="13"/>
      <c r="B91" s="14"/>
      <c r="C91" s="30"/>
    </row>
    <row r="92" spans="1:3" ht="12.75" customHeight="1" x14ac:dyDescent="0.15">
      <c r="A92" s="13"/>
      <c r="B92" s="14"/>
      <c r="C92" s="30"/>
    </row>
    <row r="93" spans="1:3" ht="12.75" customHeight="1" x14ac:dyDescent="0.15">
      <c r="A93" s="13"/>
      <c r="B93" s="14"/>
      <c r="C93" s="30"/>
    </row>
    <row r="94" spans="1:3" ht="12.75" customHeight="1" x14ac:dyDescent="0.15">
      <c r="A94" s="13"/>
      <c r="B94" s="14"/>
      <c r="C94" s="30"/>
    </row>
    <row r="95" spans="1:3" ht="12.75" customHeight="1" x14ac:dyDescent="0.15">
      <c r="A95" s="13"/>
      <c r="B95" s="14"/>
      <c r="C95" s="30"/>
    </row>
    <row r="96" spans="1:3" ht="12.75" customHeight="1" x14ac:dyDescent="0.15">
      <c r="A96" s="13"/>
      <c r="B96" s="14"/>
      <c r="C96" s="30"/>
    </row>
    <row r="97" spans="1:3" ht="12.75" customHeight="1" x14ac:dyDescent="0.15">
      <c r="A97" s="13"/>
      <c r="B97" s="14"/>
      <c r="C97" s="30"/>
    </row>
    <row r="98" spans="1:3" ht="12.75" customHeight="1" x14ac:dyDescent="0.15">
      <c r="A98" s="13"/>
      <c r="B98" s="14"/>
      <c r="C98" s="30"/>
    </row>
    <row r="99" spans="1:3" ht="12.75" customHeight="1" x14ac:dyDescent="0.15">
      <c r="A99" s="13"/>
      <c r="B99" s="14"/>
      <c r="C99" s="30"/>
    </row>
    <row r="100" spans="1:3" ht="12.75" customHeight="1" x14ac:dyDescent="0.15">
      <c r="A100" s="13"/>
      <c r="B100" s="14"/>
      <c r="C100" s="30"/>
    </row>
    <row r="101" spans="1:3" ht="12.75" customHeight="1" x14ac:dyDescent="0.15">
      <c r="A101" s="13"/>
      <c r="B101" s="14"/>
      <c r="C101" s="30"/>
    </row>
    <row r="102" spans="1:3" ht="12.75" customHeight="1" x14ac:dyDescent="0.15">
      <c r="A102" s="13"/>
      <c r="B102" s="14"/>
      <c r="C102" s="30"/>
    </row>
    <row r="103" spans="1:3" ht="12.75" customHeight="1" x14ac:dyDescent="0.15">
      <c r="A103" s="13"/>
      <c r="B103" s="14"/>
      <c r="C103" s="30"/>
    </row>
    <row r="104" spans="1:3" ht="12.75" customHeight="1" x14ac:dyDescent="0.15">
      <c r="A104" s="13"/>
      <c r="B104" s="14"/>
      <c r="C104" s="30"/>
    </row>
    <row r="105" spans="1:3" ht="12.75" customHeight="1" x14ac:dyDescent="0.15">
      <c r="A105" s="13"/>
      <c r="B105" s="14"/>
      <c r="C105" s="30"/>
    </row>
    <row r="106" spans="1:3" ht="12.75" customHeight="1" x14ac:dyDescent="0.15">
      <c r="A106" s="13"/>
      <c r="B106" s="14"/>
      <c r="C106" s="30"/>
    </row>
    <row r="107" spans="1:3" ht="12.75" customHeight="1" x14ac:dyDescent="0.15">
      <c r="A107" s="13"/>
      <c r="B107" s="14"/>
      <c r="C107" s="30"/>
    </row>
    <row r="108" spans="1:3" ht="12.75" customHeight="1" x14ac:dyDescent="0.15">
      <c r="A108" s="13"/>
      <c r="B108" s="14"/>
      <c r="C108" s="30"/>
    </row>
    <row r="109" spans="1:3" ht="12.75" customHeight="1" x14ac:dyDescent="0.15">
      <c r="A109" s="13"/>
      <c r="B109" s="14"/>
      <c r="C109" s="30"/>
    </row>
    <row r="110" spans="1:3" ht="12.75" customHeight="1" x14ac:dyDescent="0.15">
      <c r="A110" s="13"/>
      <c r="B110" s="14"/>
      <c r="C110" s="30"/>
    </row>
    <row r="111" spans="1:3" ht="12.75" customHeight="1" x14ac:dyDescent="0.15">
      <c r="A111" s="13"/>
      <c r="B111" s="14"/>
      <c r="C111" s="30"/>
    </row>
    <row r="112" spans="1:3" ht="12.75" customHeight="1" x14ac:dyDescent="0.15">
      <c r="A112" s="13"/>
      <c r="B112" s="14"/>
      <c r="C112" s="30"/>
    </row>
    <row r="113" spans="1:3" ht="12.75" customHeight="1" x14ac:dyDescent="0.15">
      <c r="A113" s="13"/>
      <c r="B113" s="14"/>
      <c r="C113" s="30"/>
    </row>
    <row r="114" spans="1:3" ht="12.75" customHeight="1" x14ac:dyDescent="0.15">
      <c r="A114" s="13"/>
      <c r="B114" s="14"/>
      <c r="C114" s="30"/>
    </row>
    <row r="115" spans="1:3" ht="12.75" customHeight="1" x14ac:dyDescent="0.15">
      <c r="A115" s="13"/>
      <c r="B115" s="14"/>
      <c r="C115" s="30"/>
    </row>
    <row r="116" spans="1:3" ht="12.75" customHeight="1" x14ac:dyDescent="0.15">
      <c r="A116" s="13"/>
      <c r="B116" s="14"/>
      <c r="C116" s="30"/>
    </row>
    <row r="117" spans="1:3" ht="12.75" customHeight="1" x14ac:dyDescent="0.15">
      <c r="A117" s="13"/>
      <c r="B117" s="14"/>
      <c r="C117" s="30"/>
    </row>
    <row r="118" spans="1:3" ht="12.75" customHeight="1" x14ac:dyDescent="0.15">
      <c r="A118" s="13"/>
      <c r="B118" s="14"/>
      <c r="C118" s="30"/>
    </row>
    <row r="119" spans="1:3" ht="12.75" customHeight="1" x14ac:dyDescent="0.15">
      <c r="A119" s="13"/>
      <c r="B119" s="14"/>
      <c r="C119" s="30"/>
    </row>
    <row r="120" spans="1:3" ht="12.75" customHeight="1" x14ac:dyDescent="0.15">
      <c r="A120" s="13"/>
      <c r="B120" s="14"/>
      <c r="C120" s="30"/>
    </row>
    <row r="121" spans="1:3" ht="12.75" customHeight="1" x14ac:dyDescent="0.15">
      <c r="A121" s="13"/>
      <c r="B121" s="14"/>
      <c r="C121" s="30"/>
    </row>
    <row r="122" spans="1:3" ht="12.75" customHeight="1" x14ac:dyDescent="0.15">
      <c r="A122" s="13"/>
      <c r="B122" s="14"/>
      <c r="C122" s="30"/>
    </row>
    <row r="123" spans="1:3" ht="12.75" customHeight="1" x14ac:dyDescent="0.15">
      <c r="A123" s="13"/>
      <c r="B123" s="14"/>
      <c r="C123" s="30"/>
    </row>
    <row r="124" spans="1:3" ht="12.75" customHeight="1" x14ac:dyDescent="0.15">
      <c r="A124" s="13"/>
      <c r="B124" s="14"/>
      <c r="C124" s="30"/>
    </row>
    <row r="125" spans="1:3" ht="12.75" customHeight="1" x14ac:dyDescent="0.15">
      <c r="A125" s="13"/>
      <c r="B125" s="14"/>
      <c r="C125" s="30"/>
    </row>
    <row r="126" spans="1:3" ht="12.75" customHeight="1" x14ac:dyDescent="0.15">
      <c r="A126" s="13"/>
      <c r="B126" s="14"/>
      <c r="C126" s="30"/>
    </row>
    <row r="127" spans="1:3" ht="12.75" customHeight="1" x14ac:dyDescent="0.15">
      <c r="A127" s="13"/>
      <c r="B127" s="14"/>
      <c r="C127" s="30"/>
    </row>
    <row r="128" spans="1:3" ht="12.75" customHeight="1" x14ac:dyDescent="0.15">
      <c r="A128" s="13"/>
      <c r="B128" s="14"/>
      <c r="C128" s="30"/>
    </row>
    <row r="129" spans="1:3" ht="12.75" customHeight="1" x14ac:dyDescent="0.15">
      <c r="A129" s="13"/>
      <c r="B129" s="14"/>
      <c r="C129" s="30"/>
    </row>
    <row r="130" spans="1:3" ht="12.75" customHeight="1" x14ac:dyDescent="0.15">
      <c r="A130" s="13"/>
      <c r="B130" s="14"/>
      <c r="C130" s="30"/>
    </row>
    <row r="131" spans="1:3" ht="12.75" customHeight="1" x14ac:dyDescent="0.15">
      <c r="A131" s="13"/>
      <c r="B131" s="14"/>
      <c r="C131" s="30"/>
    </row>
    <row r="132" spans="1:3" ht="12.75" customHeight="1" x14ac:dyDescent="0.15">
      <c r="A132" s="13"/>
      <c r="B132" s="14"/>
      <c r="C132" s="30"/>
    </row>
    <row r="133" spans="1:3" ht="12.75" customHeight="1" x14ac:dyDescent="0.15">
      <c r="A133" s="13"/>
      <c r="B133" s="14"/>
      <c r="C133" s="30"/>
    </row>
    <row r="134" spans="1:3" ht="12.75" customHeight="1" x14ac:dyDescent="0.15">
      <c r="A134" s="13"/>
      <c r="B134" s="14"/>
      <c r="C134" s="30"/>
    </row>
    <row r="135" spans="1:3" ht="12.75" customHeight="1" x14ac:dyDescent="0.15">
      <c r="A135" s="13"/>
      <c r="B135" s="14"/>
      <c r="C135" s="30"/>
    </row>
    <row r="136" spans="1:3" ht="12.75" customHeight="1" x14ac:dyDescent="0.15">
      <c r="A136" s="13"/>
      <c r="B136" s="14"/>
      <c r="C136" s="30"/>
    </row>
    <row r="137" spans="1:3" ht="12.75" customHeight="1" x14ac:dyDescent="0.15">
      <c r="A137" s="13"/>
      <c r="B137" s="14"/>
      <c r="C137" s="30"/>
    </row>
    <row r="138" spans="1:3" ht="12.75" customHeight="1" x14ac:dyDescent="0.15">
      <c r="A138" s="13"/>
      <c r="B138" s="14"/>
      <c r="C138" s="30"/>
    </row>
    <row r="139" spans="1:3" ht="12.75" customHeight="1" x14ac:dyDescent="0.15">
      <c r="A139" s="13"/>
      <c r="B139" s="14"/>
      <c r="C139" s="30"/>
    </row>
    <row r="140" spans="1:3" ht="12.75" customHeight="1" x14ac:dyDescent="0.15">
      <c r="A140" s="13"/>
      <c r="B140" s="14"/>
      <c r="C140" s="30"/>
    </row>
    <row r="141" spans="1:3" ht="12.75" customHeight="1" x14ac:dyDescent="0.15">
      <c r="A141" s="13"/>
      <c r="B141" s="14"/>
      <c r="C141" s="30"/>
    </row>
    <row r="142" spans="1:3" ht="12.75" customHeight="1" x14ac:dyDescent="0.15">
      <c r="A142" s="13"/>
      <c r="B142" s="14"/>
      <c r="C142" s="30"/>
    </row>
    <row r="143" spans="1:3" ht="12.75" customHeight="1" x14ac:dyDescent="0.15">
      <c r="A143" s="13"/>
      <c r="B143" s="14"/>
      <c r="C143" s="30"/>
    </row>
    <row r="144" spans="1:3" ht="12.75" customHeight="1" x14ac:dyDescent="0.15">
      <c r="A144" s="13"/>
      <c r="B144" s="14"/>
      <c r="C144" s="30"/>
    </row>
    <row r="145" spans="1:3" ht="12.75" customHeight="1" x14ac:dyDescent="0.15">
      <c r="A145" s="13"/>
      <c r="B145" s="14"/>
      <c r="C145" s="30"/>
    </row>
    <row r="146" spans="1:3" ht="12.75" customHeight="1" x14ac:dyDescent="0.15">
      <c r="A146" s="13"/>
      <c r="B146" s="14"/>
      <c r="C146" s="30"/>
    </row>
    <row r="147" spans="1:3" ht="12.75" customHeight="1" x14ac:dyDescent="0.15">
      <c r="A147" s="13"/>
      <c r="B147" s="14"/>
      <c r="C147" s="30"/>
    </row>
    <row r="148" spans="1:3" ht="12.75" customHeight="1" x14ac:dyDescent="0.15">
      <c r="A148" s="13"/>
      <c r="B148" s="14"/>
      <c r="C148" s="30"/>
    </row>
    <row r="149" spans="1:3" ht="12.75" customHeight="1" x14ac:dyDescent="0.15">
      <c r="A149" s="13"/>
      <c r="B149" s="14"/>
      <c r="C149" s="30"/>
    </row>
    <row r="150" spans="1:3" ht="12.75" customHeight="1" x14ac:dyDescent="0.15">
      <c r="A150" s="13"/>
      <c r="B150" s="14"/>
      <c r="C150" s="30"/>
    </row>
    <row r="151" spans="1:3" ht="12.75" customHeight="1" x14ac:dyDescent="0.15">
      <c r="A151" s="13"/>
      <c r="B151" s="14"/>
      <c r="C151" s="30"/>
    </row>
    <row r="152" spans="1:3" ht="12.75" customHeight="1" x14ac:dyDescent="0.15">
      <c r="A152" s="13"/>
      <c r="B152" s="14"/>
      <c r="C152" s="30"/>
    </row>
    <row r="153" spans="1:3" ht="12.75" customHeight="1" x14ac:dyDescent="0.15">
      <c r="A153" s="13"/>
      <c r="B153" s="14"/>
      <c r="C153" s="30"/>
    </row>
    <row r="154" spans="1:3" ht="12.75" customHeight="1" x14ac:dyDescent="0.15">
      <c r="A154" s="13"/>
      <c r="B154" s="14"/>
      <c r="C154" s="30"/>
    </row>
    <row r="155" spans="1:3" ht="12.75" customHeight="1" x14ac:dyDescent="0.15">
      <c r="A155" s="13"/>
      <c r="B155" s="14"/>
      <c r="C155" s="30"/>
    </row>
    <row r="156" spans="1:3" ht="12.75" customHeight="1" x14ac:dyDescent="0.15">
      <c r="A156" s="13"/>
      <c r="B156" s="14"/>
      <c r="C156" s="30"/>
    </row>
    <row r="157" spans="1:3" ht="12.75" customHeight="1" x14ac:dyDescent="0.15">
      <c r="A157" s="13"/>
      <c r="B157" s="14"/>
      <c r="C157" s="30"/>
    </row>
    <row r="158" spans="1:3" ht="12.75" customHeight="1" x14ac:dyDescent="0.15">
      <c r="A158" s="13"/>
      <c r="B158" s="14"/>
      <c r="C158" s="30"/>
    </row>
    <row r="159" spans="1:3" ht="12.75" customHeight="1" x14ac:dyDescent="0.15">
      <c r="A159" s="13"/>
      <c r="B159" s="14"/>
      <c r="C159" s="30"/>
    </row>
    <row r="160" spans="1:3" ht="12.75" customHeight="1" x14ac:dyDescent="0.15">
      <c r="A160" s="13"/>
      <c r="B160" s="14"/>
      <c r="C160" s="30"/>
    </row>
    <row r="161" spans="1:3" ht="12.75" customHeight="1" x14ac:dyDescent="0.15">
      <c r="A161" s="13"/>
      <c r="B161" s="14"/>
      <c r="C161" s="30"/>
    </row>
    <row r="162" spans="1:3" ht="12.75" customHeight="1" x14ac:dyDescent="0.15">
      <c r="A162" s="13"/>
      <c r="B162" s="14"/>
      <c r="C162" s="30"/>
    </row>
    <row r="163" spans="1:3" ht="12.75" customHeight="1" x14ac:dyDescent="0.15">
      <c r="A163" s="13"/>
      <c r="B163" s="14"/>
      <c r="C163" s="30"/>
    </row>
    <row r="164" spans="1:3" ht="12.75" customHeight="1" x14ac:dyDescent="0.15">
      <c r="A164" s="13"/>
      <c r="B164" s="14"/>
      <c r="C164" s="30"/>
    </row>
    <row r="165" spans="1:3" ht="12.75" customHeight="1" x14ac:dyDescent="0.15">
      <c r="A165" s="13"/>
      <c r="B165" s="14"/>
      <c r="C165" s="30"/>
    </row>
    <row r="166" spans="1:3" ht="12.75" customHeight="1" x14ac:dyDescent="0.15">
      <c r="A166" s="13"/>
      <c r="B166" s="14"/>
      <c r="C166" s="30"/>
    </row>
    <row r="167" spans="1:3" ht="12.75" customHeight="1" x14ac:dyDescent="0.15">
      <c r="A167" s="13"/>
      <c r="B167" s="14"/>
      <c r="C167" s="30"/>
    </row>
    <row r="168" spans="1:3" ht="12.75" customHeight="1" x14ac:dyDescent="0.15">
      <c r="A168" s="13"/>
      <c r="B168" s="14"/>
      <c r="C168" s="30"/>
    </row>
    <row r="169" spans="1:3" ht="12.75" customHeight="1" x14ac:dyDescent="0.15">
      <c r="A169" s="13"/>
      <c r="B169" s="14"/>
      <c r="C169" s="30"/>
    </row>
    <row r="170" spans="1:3" ht="12.75" customHeight="1" x14ac:dyDescent="0.15">
      <c r="A170" s="13"/>
      <c r="B170" s="14"/>
      <c r="C170" s="30"/>
    </row>
    <row r="171" spans="1:3" ht="12.75" customHeight="1" x14ac:dyDescent="0.15">
      <c r="A171" s="13"/>
      <c r="B171" s="14"/>
      <c r="C171" s="30"/>
    </row>
    <row r="172" spans="1:3" ht="12.75" customHeight="1" x14ac:dyDescent="0.15">
      <c r="A172" s="13"/>
      <c r="B172" s="14"/>
      <c r="C172" s="30"/>
    </row>
    <row r="173" spans="1:3" ht="12.75" customHeight="1" x14ac:dyDescent="0.15">
      <c r="A173" s="13"/>
      <c r="B173" s="14"/>
      <c r="C173" s="30"/>
    </row>
    <row r="174" spans="1:3" ht="12.75" customHeight="1" x14ac:dyDescent="0.15">
      <c r="A174" s="13"/>
      <c r="B174" s="14"/>
      <c r="C174" s="30"/>
    </row>
    <row r="175" spans="1:3" ht="12.75" customHeight="1" x14ac:dyDescent="0.15">
      <c r="A175" s="13"/>
      <c r="B175" s="14"/>
      <c r="C175" s="30"/>
    </row>
    <row r="176" spans="1:3" ht="12.75" customHeight="1" x14ac:dyDescent="0.15">
      <c r="A176" s="13"/>
      <c r="B176" s="14"/>
      <c r="C176" s="30"/>
    </row>
    <row r="177" spans="1:3" ht="12.75" customHeight="1" x14ac:dyDescent="0.15">
      <c r="A177" s="13"/>
      <c r="B177" s="14"/>
      <c r="C177" s="30"/>
    </row>
    <row r="178" spans="1:3" ht="12.75" customHeight="1" x14ac:dyDescent="0.15">
      <c r="A178" s="13"/>
      <c r="B178" s="14"/>
      <c r="C178" s="30"/>
    </row>
    <row r="179" spans="1:3" ht="12.75" customHeight="1" x14ac:dyDescent="0.15">
      <c r="A179" s="13"/>
      <c r="B179" s="14"/>
      <c r="C179" s="30"/>
    </row>
    <row r="180" spans="1:3" ht="12.75" customHeight="1" x14ac:dyDescent="0.15">
      <c r="A180" s="13"/>
      <c r="B180" s="14"/>
      <c r="C180" s="30"/>
    </row>
    <row r="181" spans="1:3" ht="12.75" customHeight="1" x14ac:dyDescent="0.15">
      <c r="A181" s="13"/>
      <c r="B181" s="14"/>
      <c r="C181" s="30"/>
    </row>
    <row r="182" spans="1:3" ht="12.75" customHeight="1" x14ac:dyDescent="0.15">
      <c r="A182" s="13"/>
      <c r="B182" s="14"/>
      <c r="C182" s="30"/>
    </row>
    <row r="183" spans="1:3" ht="12.75" customHeight="1" x14ac:dyDescent="0.15">
      <c r="A183" s="13"/>
      <c r="B183" s="14"/>
      <c r="C183" s="30"/>
    </row>
    <row r="184" spans="1:3" ht="12.75" customHeight="1" x14ac:dyDescent="0.15">
      <c r="A184" s="13"/>
      <c r="B184" s="14"/>
      <c r="C184" s="30"/>
    </row>
    <row r="185" spans="1:3" ht="12.75" customHeight="1" x14ac:dyDescent="0.15">
      <c r="A185" s="13"/>
      <c r="B185" s="14"/>
      <c r="C185" s="30"/>
    </row>
    <row r="186" spans="1:3" ht="12.75" customHeight="1" x14ac:dyDescent="0.15">
      <c r="A186" s="13"/>
      <c r="B186" s="14"/>
      <c r="C186" s="30"/>
    </row>
    <row r="187" spans="1:3" ht="12.75" customHeight="1" x14ac:dyDescent="0.15">
      <c r="A187" s="13"/>
      <c r="B187" s="14"/>
      <c r="C187" s="30"/>
    </row>
    <row r="188" spans="1:3" ht="12.75" customHeight="1" x14ac:dyDescent="0.15">
      <c r="A188" s="13"/>
      <c r="B188" s="14"/>
      <c r="C188" s="30"/>
    </row>
    <row r="189" spans="1:3" ht="12.75" customHeight="1" x14ac:dyDescent="0.15">
      <c r="A189" s="13"/>
      <c r="B189" s="14"/>
      <c r="C189" s="30"/>
    </row>
    <row r="190" spans="1:3" ht="12.75" customHeight="1" x14ac:dyDescent="0.15">
      <c r="A190" s="13"/>
      <c r="B190" s="14"/>
      <c r="C190" s="30"/>
    </row>
    <row r="191" spans="1:3" ht="12.75" customHeight="1" x14ac:dyDescent="0.15">
      <c r="A191" s="13"/>
      <c r="B191" s="14"/>
      <c r="C191" s="30"/>
    </row>
    <row r="192" spans="1:3" ht="12.75" customHeight="1" x14ac:dyDescent="0.15">
      <c r="A192" s="13"/>
      <c r="B192" s="14"/>
      <c r="C192" s="30"/>
    </row>
    <row r="193" spans="1:3" ht="12.75" customHeight="1" x14ac:dyDescent="0.15">
      <c r="A193" s="13"/>
      <c r="B193" s="14"/>
      <c r="C193" s="30"/>
    </row>
    <row r="194" spans="1:3" ht="12.75" customHeight="1" x14ac:dyDescent="0.15">
      <c r="A194" s="13"/>
      <c r="B194" s="14"/>
      <c r="C194" s="30"/>
    </row>
    <row r="195" spans="1:3" ht="12.75" customHeight="1" x14ac:dyDescent="0.15">
      <c r="A195" s="13"/>
      <c r="B195" s="14"/>
      <c r="C195" s="30"/>
    </row>
    <row r="196" spans="1:3" ht="12.75" customHeight="1" x14ac:dyDescent="0.15">
      <c r="A196" s="13"/>
      <c r="B196" s="14"/>
      <c r="C196" s="30"/>
    </row>
    <row r="197" spans="1:3" ht="12.75" customHeight="1" x14ac:dyDescent="0.15">
      <c r="A197" s="13"/>
      <c r="B197" s="14"/>
      <c r="C197" s="30"/>
    </row>
    <row r="198" spans="1:3" ht="12.75" customHeight="1" x14ac:dyDescent="0.15">
      <c r="A198" s="13"/>
      <c r="B198" s="14"/>
      <c r="C198" s="30"/>
    </row>
    <row r="199" spans="1:3" ht="12.75" customHeight="1" x14ac:dyDescent="0.15">
      <c r="A199" s="13"/>
      <c r="B199" s="14"/>
      <c r="C199" s="30"/>
    </row>
    <row r="200" spans="1:3" ht="12.75" customHeight="1" x14ac:dyDescent="0.15">
      <c r="A200" s="13"/>
      <c r="B200" s="14"/>
      <c r="C200" s="30"/>
    </row>
    <row r="201" spans="1:3" ht="12.75" customHeight="1" x14ac:dyDescent="0.15">
      <c r="A201" s="13"/>
      <c r="B201" s="14"/>
      <c r="C201" s="30"/>
    </row>
    <row r="202" spans="1:3" ht="12.75" customHeight="1" x14ac:dyDescent="0.15">
      <c r="A202" s="13"/>
      <c r="B202" s="14"/>
      <c r="C202" s="30"/>
    </row>
    <row r="203" spans="1:3" ht="12.75" customHeight="1" x14ac:dyDescent="0.15">
      <c r="A203" s="13"/>
      <c r="B203" s="14"/>
      <c r="C203" s="30"/>
    </row>
    <row r="204" spans="1:3" ht="12.75" customHeight="1" x14ac:dyDescent="0.15">
      <c r="A204" s="13"/>
      <c r="B204" s="14"/>
      <c r="C204" s="30"/>
    </row>
    <row r="205" spans="1:3" ht="12.75" customHeight="1" x14ac:dyDescent="0.15">
      <c r="A205" s="13"/>
      <c r="B205" s="14"/>
      <c r="C205" s="30"/>
    </row>
    <row r="206" spans="1:3" ht="12.75" customHeight="1" x14ac:dyDescent="0.15">
      <c r="A206" s="13"/>
      <c r="B206" s="14"/>
      <c r="C206" s="30"/>
    </row>
    <row r="207" spans="1:3" ht="12.75" customHeight="1" x14ac:dyDescent="0.15">
      <c r="A207" s="13"/>
      <c r="B207" s="14"/>
      <c r="C207" s="30"/>
    </row>
    <row r="208" spans="1:3" ht="12.75" customHeight="1" x14ac:dyDescent="0.15">
      <c r="A208" s="13"/>
      <c r="B208" s="14"/>
      <c r="C208" s="30"/>
    </row>
    <row r="209" spans="1:3" ht="12.75" customHeight="1" x14ac:dyDescent="0.15">
      <c r="A209" s="13"/>
      <c r="B209" s="14"/>
      <c r="C209" s="30"/>
    </row>
    <row r="210" spans="1:3" ht="12.75" customHeight="1" x14ac:dyDescent="0.15">
      <c r="A210" s="13"/>
      <c r="B210" s="14"/>
      <c r="C210" s="30"/>
    </row>
    <row r="211" spans="1:3" ht="12.75" customHeight="1" x14ac:dyDescent="0.15">
      <c r="A211" s="13"/>
      <c r="B211" s="14"/>
      <c r="C211" s="30"/>
    </row>
    <row r="212" spans="1:3" ht="12.75" customHeight="1" x14ac:dyDescent="0.15">
      <c r="A212" s="13"/>
      <c r="B212" s="14"/>
      <c r="C212" s="30"/>
    </row>
    <row r="213" spans="1:3" ht="12.75" customHeight="1" x14ac:dyDescent="0.15">
      <c r="A213" s="13"/>
      <c r="B213" s="14"/>
      <c r="C213" s="30"/>
    </row>
    <row r="214" spans="1:3" ht="12.75" customHeight="1" x14ac:dyDescent="0.15">
      <c r="A214" s="13"/>
      <c r="B214" s="14"/>
      <c r="C214" s="30"/>
    </row>
    <row r="215" spans="1:3" ht="12.75" customHeight="1" x14ac:dyDescent="0.15">
      <c r="A215" s="13"/>
      <c r="B215" s="14"/>
      <c r="C215" s="30"/>
    </row>
    <row r="216" spans="1:3" ht="12.75" customHeight="1" x14ac:dyDescent="0.15">
      <c r="A216" s="13"/>
      <c r="B216" s="14"/>
      <c r="C216" s="30"/>
    </row>
    <row r="217" spans="1:3" ht="12.75" customHeight="1" x14ac:dyDescent="0.15">
      <c r="A217" s="13"/>
      <c r="B217" s="14"/>
      <c r="C217" s="30"/>
    </row>
    <row r="218" spans="1:3" ht="12.75" customHeight="1" x14ac:dyDescent="0.15">
      <c r="A218" s="13"/>
      <c r="B218" s="14"/>
      <c r="C218" s="30"/>
    </row>
    <row r="219" spans="1:3" ht="12.75" customHeight="1" x14ac:dyDescent="0.15">
      <c r="A219" s="13"/>
      <c r="B219" s="14"/>
      <c r="C219" s="30"/>
    </row>
    <row r="220" spans="1:3" ht="12.75" customHeight="1" x14ac:dyDescent="0.15">
      <c r="A220" s="13"/>
      <c r="B220" s="14"/>
      <c r="C220" s="30"/>
    </row>
    <row r="221" spans="1:3" ht="12.75" customHeight="1" x14ac:dyDescent="0.15">
      <c r="A221" s="13"/>
      <c r="B221" s="14"/>
      <c r="C221" s="30"/>
    </row>
    <row r="222" spans="1:3" ht="12.75" customHeight="1" x14ac:dyDescent="0.15">
      <c r="A222" s="13"/>
      <c r="B222" s="14"/>
      <c r="C222" s="30"/>
    </row>
    <row r="223" spans="1:3" ht="12.75" customHeight="1" x14ac:dyDescent="0.15">
      <c r="A223" s="13"/>
      <c r="B223" s="14"/>
      <c r="C223" s="30"/>
    </row>
    <row r="224" spans="1:3" ht="12.75" customHeight="1" x14ac:dyDescent="0.15">
      <c r="A224" s="13"/>
      <c r="B224" s="14"/>
      <c r="C224" s="30"/>
    </row>
    <row r="225" spans="1:3" ht="12.75" customHeight="1" x14ac:dyDescent="0.15">
      <c r="A225" s="13"/>
      <c r="B225" s="14"/>
      <c r="C225" s="30"/>
    </row>
    <row r="226" spans="1:3" ht="12.75" customHeight="1" x14ac:dyDescent="0.15">
      <c r="A226" s="13"/>
      <c r="B226" s="14"/>
      <c r="C226" s="30"/>
    </row>
    <row r="227" spans="1:3" ht="12.75" customHeight="1" x14ac:dyDescent="0.15">
      <c r="A227" s="13"/>
      <c r="B227" s="14"/>
      <c r="C227" s="30"/>
    </row>
    <row r="228" spans="1:3" ht="12.75" customHeight="1" x14ac:dyDescent="0.15">
      <c r="A228" s="13"/>
      <c r="B228" s="14"/>
      <c r="C228" s="30"/>
    </row>
    <row r="229" spans="1:3" ht="12.75" customHeight="1" x14ac:dyDescent="0.15">
      <c r="A229" s="13"/>
      <c r="B229" s="14"/>
      <c r="C229" s="30"/>
    </row>
    <row r="230" spans="1:3" ht="12.75" customHeight="1" x14ac:dyDescent="0.15">
      <c r="A230" s="13"/>
      <c r="B230" s="14"/>
      <c r="C230" s="30"/>
    </row>
    <row r="231" spans="1:3" ht="12.75" customHeight="1" x14ac:dyDescent="0.15">
      <c r="A231" s="13"/>
      <c r="B231" s="14"/>
      <c r="C231" s="30"/>
    </row>
    <row r="232" spans="1:3" ht="12.75" customHeight="1" x14ac:dyDescent="0.15">
      <c r="A232" s="13"/>
      <c r="B232" s="14"/>
      <c r="C232" s="30"/>
    </row>
    <row r="233" spans="1:3" ht="12.75" customHeight="1" x14ac:dyDescent="0.15">
      <c r="A233" s="13"/>
      <c r="B233" s="14"/>
      <c r="C233" s="30"/>
    </row>
    <row r="234" spans="1:3" ht="12.75" customHeight="1" x14ac:dyDescent="0.15">
      <c r="A234" s="13"/>
      <c r="B234" s="14"/>
      <c r="C234" s="30"/>
    </row>
    <row r="235" spans="1:3" ht="12.75" customHeight="1" x14ac:dyDescent="0.15">
      <c r="A235" s="13"/>
      <c r="B235" s="14"/>
      <c r="C235" s="30"/>
    </row>
    <row r="236" spans="1:3" ht="12.75" customHeight="1" x14ac:dyDescent="0.15">
      <c r="A236" s="13"/>
      <c r="B236" s="14"/>
      <c r="C236" s="30"/>
    </row>
    <row r="237" spans="1:3" ht="12.75" customHeight="1" x14ac:dyDescent="0.15">
      <c r="A237" s="13"/>
      <c r="B237" s="14"/>
      <c r="C237" s="30"/>
    </row>
    <row r="238" spans="1:3" ht="12.75" customHeight="1" x14ac:dyDescent="0.15">
      <c r="A238" s="13"/>
      <c r="B238" s="14"/>
      <c r="C238" s="30"/>
    </row>
    <row r="239" spans="1:3" ht="12.75" customHeight="1" x14ac:dyDescent="0.15">
      <c r="A239" s="13"/>
      <c r="B239" s="14"/>
      <c r="C239" s="30"/>
    </row>
    <row r="240" spans="1:3" ht="12.75" customHeight="1" x14ac:dyDescent="0.15">
      <c r="A240" s="13"/>
      <c r="B240" s="14"/>
      <c r="C240" s="30"/>
    </row>
    <row r="241" spans="1:3" ht="12.75" customHeight="1" x14ac:dyDescent="0.15">
      <c r="A241" s="13"/>
      <c r="B241" s="14"/>
      <c r="C241" s="30"/>
    </row>
    <row r="242" spans="1:3" ht="12.75" customHeight="1" x14ac:dyDescent="0.15">
      <c r="A242" s="13"/>
      <c r="B242" s="14"/>
      <c r="C242" s="30"/>
    </row>
    <row r="243" spans="1:3" ht="12.75" customHeight="1" x14ac:dyDescent="0.15">
      <c r="A243" s="13"/>
      <c r="B243" s="14"/>
      <c r="C243" s="30"/>
    </row>
    <row r="244" spans="1:3" ht="12.75" customHeight="1" x14ac:dyDescent="0.15">
      <c r="A244" s="13"/>
      <c r="B244" s="14"/>
      <c r="C244" s="30"/>
    </row>
    <row r="245" spans="1:3" ht="12.75" customHeight="1" x14ac:dyDescent="0.15">
      <c r="A245" s="13"/>
      <c r="B245" s="14"/>
      <c r="C245" s="30"/>
    </row>
    <row r="246" spans="1:3" ht="12.75" customHeight="1" x14ac:dyDescent="0.15">
      <c r="A246" s="13"/>
      <c r="B246" s="14"/>
      <c r="C246" s="30"/>
    </row>
    <row r="247" spans="1:3" ht="12.75" customHeight="1" x14ac:dyDescent="0.15">
      <c r="A247" s="13"/>
      <c r="B247" s="14"/>
      <c r="C247" s="30"/>
    </row>
    <row r="248" spans="1:3" ht="12.75" customHeight="1" x14ac:dyDescent="0.15">
      <c r="A248" s="13"/>
      <c r="B248" s="14"/>
      <c r="C248" s="30"/>
    </row>
    <row r="249" spans="1:3" ht="12.75" customHeight="1" x14ac:dyDescent="0.15">
      <c r="A249" s="13"/>
      <c r="B249" s="14"/>
      <c r="C249" s="30"/>
    </row>
    <row r="250" spans="1:3" ht="12.75" customHeight="1" x14ac:dyDescent="0.15">
      <c r="A250" s="13"/>
      <c r="B250" s="14"/>
      <c r="C250" s="30"/>
    </row>
    <row r="251" spans="1:3" ht="12.75" customHeight="1" x14ac:dyDescent="0.15">
      <c r="A251" s="13"/>
      <c r="B251" s="14"/>
      <c r="C251" s="30"/>
    </row>
    <row r="252" spans="1:3" ht="12.75" customHeight="1" x14ac:dyDescent="0.15">
      <c r="A252" s="13"/>
      <c r="B252" s="14"/>
      <c r="C252" s="30"/>
    </row>
    <row r="253" spans="1:3" ht="12.75" customHeight="1" x14ac:dyDescent="0.15">
      <c r="A253" s="13"/>
      <c r="B253" s="14"/>
      <c r="C253" s="30"/>
    </row>
    <row r="254" spans="1:3" ht="12.75" customHeight="1" x14ac:dyDescent="0.15">
      <c r="A254" s="13"/>
      <c r="B254" s="14"/>
      <c r="C254" s="30"/>
    </row>
    <row r="255" spans="1:3" ht="12.75" customHeight="1" x14ac:dyDescent="0.15">
      <c r="A255" s="13"/>
      <c r="B255" s="14"/>
      <c r="C255" s="30"/>
    </row>
    <row r="256" spans="1:3" ht="12.75" customHeight="1" x14ac:dyDescent="0.15">
      <c r="A256" s="13"/>
      <c r="B256" s="14"/>
      <c r="C256" s="30"/>
    </row>
    <row r="257" spans="1:3" ht="12.75" customHeight="1" x14ac:dyDescent="0.15">
      <c r="A257" s="13"/>
      <c r="B257" s="14"/>
      <c r="C257" s="30"/>
    </row>
    <row r="258" spans="1:3" ht="12.75" customHeight="1" x14ac:dyDescent="0.15">
      <c r="A258" s="13"/>
      <c r="B258" s="14"/>
      <c r="C258" s="30"/>
    </row>
    <row r="259" spans="1:3" ht="12.75" customHeight="1" x14ac:dyDescent="0.15">
      <c r="A259" s="13"/>
      <c r="B259" s="14"/>
      <c r="C259" s="30"/>
    </row>
    <row r="260" spans="1:3" ht="12.75" customHeight="1" x14ac:dyDescent="0.15">
      <c r="A260" s="13"/>
      <c r="B260" s="14"/>
      <c r="C260" s="30"/>
    </row>
    <row r="261" spans="1:3" ht="12.75" customHeight="1" x14ac:dyDescent="0.15">
      <c r="A261" s="13"/>
      <c r="B261" s="14"/>
      <c r="C261" s="30"/>
    </row>
    <row r="262" spans="1:3" ht="12.75" customHeight="1" x14ac:dyDescent="0.15">
      <c r="A262" s="13"/>
      <c r="B262" s="14"/>
      <c r="C262" s="30"/>
    </row>
    <row r="263" spans="1:3" ht="12.75" customHeight="1" x14ac:dyDescent="0.15">
      <c r="A263" s="13"/>
      <c r="B263" s="14"/>
      <c r="C263" s="30"/>
    </row>
    <row r="264" spans="1:3" ht="12.75" customHeight="1" x14ac:dyDescent="0.15">
      <c r="A264" s="13"/>
      <c r="B264" s="14"/>
      <c r="C264" s="30"/>
    </row>
    <row r="265" spans="1:3" ht="12.75" customHeight="1" x14ac:dyDescent="0.15">
      <c r="A265" s="13"/>
      <c r="B265" s="14"/>
      <c r="C265" s="30"/>
    </row>
    <row r="266" spans="1:3" ht="12.75" customHeight="1" x14ac:dyDescent="0.15">
      <c r="A266" s="13"/>
      <c r="B266" s="14"/>
      <c r="C266" s="30"/>
    </row>
    <row r="267" spans="1:3" ht="12.75" customHeight="1" x14ac:dyDescent="0.15">
      <c r="A267" s="13"/>
      <c r="B267" s="14"/>
      <c r="C267" s="30"/>
    </row>
    <row r="268" spans="1:3" ht="12.75" customHeight="1" x14ac:dyDescent="0.15">
      <c r="A268" s="13"/>
      <c r="B268" s="14"/>
      <c r="C268" s="30"/>
    </row>
    <row r="269" spans="1:3" ht="12.75" customHeight="1" x14ac:dyDescent="0.15">
      <c r="A269" s="13"/>
      <c r="B269" s="14"/>
      <c r="C269" s="30"/>
    </row>
    <row r="270" spans="1:3" ht="12.75" customHeight="1" x14ac:dyDescent="0.15">
      <c r="A270" s="13"/>
      <c r="B270" s="14"/>
      <c r="C270" s="30"/>
    </row>
    <row r="271" spans="1:3" ht="12.75" customHeight="1" x14ac:dyDescent="0.15">
      <c r="A271" s="13"/>
      <c r="B271" s="14"/>
      <c r="C271" s="30"/>
    </row>
    <row r="272" spans="1:3" ht="12.75" customHeight="1" x14ac:dyDescent="0.15">
      <c r="A272" s="13"/>
      <c r="B272" s="14"/>
      <c r="C272" s="30"/>
    </row>
    <row r="273" spans="1:3" ht="12.75" customHeight="1" x14ac:dyDescent="0.15">
      <c r="A273" s="13"/>
      <c r="B273" s="14"/>
      <c r="C273" s="30"/>
    </row>
    <row r="274" spans="1:3" ht="12.75" customHeight="1" x14ac:dyDescent="0.15">
      <c r="A274" s="13"/>
      <c r="B274" s="14"/>
      <c r="C274" s="30"/>
    </row>
    <row r="275" spans="1:3" ht="12.75" customHeight="1" x14ac:dyDescent="0.15">
      <c r="A275" s="13"/>
      <c r="B275" s="14"/>
      <c r="C275" s="30"/>
    </row>
    <row r="276" spans="1:3" ht="12.75" customHeight="1" x14ac:dyDescent="0.15">
      <c r="A276" s="13"/>
      <c r="B276" s="14"/>
      <c r="C276" s="30"/>
    </row>
    <row r="277" spans="1:3" ht="12.75" customHeight="1" x14ac:dyDescent="0.15">
      <c r="A277" s="13"/>
      <c r="B277" s="14"/>
      <c r="C277" s="30"/>
    </row>
    <row r="278" spans="1:3" ht="12.75" customHeight="1" x14ac:dyDescent="0.15">
      <c r="A278" s="13"/>
      <c r="B278" s="14"/>
      <c r="C278" s="30"/>
    </row>
    <row r="279" spans="1:3" ht="12.75" customHeight="1" x14ac:dyDescent="0.15">
      <c r="A279" s="13"/>
      <c r="B279" s="14"/>
      <c r="C279" s="30"/>
    </row>
    <row r="280" spans="1:3" ht="12.75" customHeight="1" x14ac:dyDescent="0.15">
      <c r="A280" s="13"/>
      <c r="B280" s="14"/>
      <c r="C280" s="30"/>
    </row>
    <row r="281" spans="1:3" ht="12.75" customHeight="1" x14ac:dyDescent="0.15">
      <c r="A281" s="13"/>
      <c r="B281" s="14"/>
      <c r="C281" s="30"/>
    </row>
    <row r="282" spans="1:3" ht="12.75" customHeight="1" x14ac:dyDescent="0.15">
      <c r="A282" s="13"/>
      <c r="B282" s="14"/>
      <c r="C282" s="30"/>
    </row>
    <row r="283" spans="1:3" ht="12.75" customHeight="1" x14ac:dyDescent="0.15">
      <c r="A283" s="13"/>
      <c r="B283" s="14"/>
      <c r="C283" s="30"/>
    </row>
    <row r="284" spans="1:3" ht="12.75" customHeight="1" x14ac:dyDescent="0.15">
      <c r="A284" s="13"/>
      <c r="B284" s="14"/>
      <c r="C284" s="30"/>
    </row>
    <row r="285" spans="1:3" ht="12.75" customHeight="1" x14ac:dyDescent="0.15">
      <c r="A285" s="13"/>
      <c r="B285" s="14"/>
      <c r="C285" s="30"/>
    </row>
    <row r="286" spans="1:3" ht="12.75" customHeight="1" x14ac:dyDescent="0.15">
      <c r="A286" s="13"/>
      <c r="B286" s="14"/>
      <c r="C286" s="30"/>
    </row>
    <row r="287" spans="1:3" ht="12.75" customHeight="1" x14ac:dyDescent="0.15">
      <c r="A287" s="13"/>
      <c r="B287" s="14"/>
      <c r="C287" s="30"/>
    </row>
    <row r="288" spans="1:3" ht="12.75" customHeight="1" x14ac:dyDescent="0.15">
      <c r="A288" s="13"/>
      <c r="B288" s="14"/>
      <c r="C288" s="30"/>
    </row>
    <row r="289" spans="1:3" ht="12.75" customHeight="1" x14ac:dyDescent="0.15">
      <c r="A289" s="13"/>
      <c r="B289" s="14"/>
      <c r="C289" s="30"/>
    </row>
    <row r="290" spans="1:3" ht="12.75" customHeight="1" x14ac:dyDescent="0.15">
      <c r="A290" s="13"/>
      <c r="B290" s="14"/>
      <c r="C290" s="30"/>
    </row>
    <row r="291" spans="1:3" ht="12.75" customHeight="1" x14ac:dyDescent="0.15">
      <c r="A291" s="13"/>
      <c r="B291" s="14"/>
      <c r="C291" s="30"/>
    </row>
    <row r="292" spans="1:3" ht="12.75" customHeight="1" x14ac:dyDescent="0.15">
      <c r="A292" s="13"/>
      <c r="B292" s="14"/>
      <c r="C292" s="30"/>
    </row>
    <row r="293" spans="1:3" ht="12.75" customHeight="1" x14ac:dyDescent="0.15">
      <c r="A293" s="13"/>
      <c r="B293" s="14"/>
      <c r="C293" s="30"/>
    </row>
    <row r="294" spans="1:3" ht="12.75" customHeight="1" x14ac:dyDescent="0.15">
      <c r="A294" s="13"/>
      <c r="B294" s="14"/>
      <c r="C294" s="30"/>
    </row>
    <row r="295" spans="1:3" ht="12.75" customHeight="1" x14ac:dyDescent="0.15">
      <c r="A295" s="13"/>
      <c r="B295" s="14"/>
      <c r="C295" s="30"/>
    </row>
    <row r="296" spans="1:3" ht="12.75" customHeight="1" x14ac:dyDescent="0.15">
      <c r="A296" s="13"/>
      <c r="B296" s="14"/>
      <c r="C296" s="30"/>
    </row>
    <row r="297" spans="1:3" ht="12.75" customHeight="1" x14ac:dyDescent="0.15">
      <c r="A297" s="13"/>
      <c r="B297" s="14"/>
      <c r="C297" s="30"/>
    </row>
    <row r="298" spans="1:3" ht="12.75" customHeight="1" x14ac:dyDescent="0.15">
      <c r="A298" s="13"/>
      <c r="B298" s="14"/>
      <c r="C298" s="30"/>
    </row>
    <row r="299" spans="1:3" ht="12.75" customHeight="1" x14ac:dyDescent="0.15">
      <c r="A299" s="13"/>
      <c r="B299" s="14"/>
      <c r="C299" s="30"/>
    </row>
    <row r="300" spans="1:3" ht="12.75" customHeight="1" x14ac:dyDescent="0.15">
      <c r="A300" s="13"/>
      <c r="B300" s="14"/>
      <c r="C300" s="30"/>
    </row>
    <row r="301" spans="1:3" ht="12.75" customHeight="1" x14ac:dyDescent="0.15">
      <c r="A301" s="13"/>
      <c r="B301" s="14"/>
      <c r="C301" s="30"/>
    </row>
    <row r="302" spans="1:3" ht="12.75" customHeight="1" x14ac:dyDescent="0.15">
      <c r="A302" s="13"/>
      <c r="B302" s="14"/>
      <c r="C302" s="30"/>
    </row>
    <row r="303" spans="1:3" ht="12.75" customHeight="1" x14ac:dyDescent="0.15">
      <c r="A303" s="13"/>
      <c r="B303" s="14"/>
      <c r="C303" s="30"/>
    </row>
    <row r="304" spans="1:3" ht="12.75" customHeight="1" x14ac:dyDescent="0.15">
      <c r="A304" s="13"/>
      <c r="B304" s="14"/>
      <c r="C304" s="30"/>
    </row>
    <row r="305" spans="1:3" ht="12.75" customHeight="1" x14ac:dyDescent="0.15">
      <c r="A305" s="13"/>
      <c r="B305" s="14"/>
      <c r="C305" s="30"/>
    </row>
    <row r="306" spans="1:3" ht="12.75" customHeight="1" x14ac:dyDescent="0.15">
      <c r="A306" s="13"/>
      <c r="B306" s="14"/>
      <c r="C306" s="30"/>
    </row>
    <row r="307" spans="1:3" ht="12.75" customHeight="1" x14ac:dyDescent="0.15">
      <c r="A307" s="13"/>
      <c r="B307" s="14"/>
      <c r="C307" s="30"/>
    </row>
    <row r="308" spans="1:3" ht="12.75" customHeight="1" x14ac:dyDescent="0.15">
      <c r="A308" s="13"/>
      <c r="B308" s="14"/>
      <c r="C308" s="30"/>
    </row>
    <row r="309" spans="1:3" ht="12.75" customHeight="1" x14ac:dyDescent="0.15">
      <c r="A309" s="13"/>
      <c r="B309" s="14"/>
      <c r="C309" s="30"/>
    </row>
    <row r="310" spans="1:3" ht="12.75" customHeight="1" x14ac:dyDescent="0.15">
      <c r="A310" s="13"/>
      <c r="B310" s="14"/>
      <c r="C310" s="30"/>
    </row>
    <row r="311" spans="1:3" ht="12.75" customHeight="1" x14ac:dyDescent="0.15">
      <c r="A311" s="13"/>
      <c r="B311" s="14"/>
      <c r="C311" s="30"/>
    </row>
    <row r="312" spans="1:3" ht="12.75" customHeight="1" x14ac:dyDescent="0.15">
      <c r="A312" s="13"/>
      <c r="B312" s="14"/>
      <c r="C312" s="30"/>
    </row>
    <row r="313" spans="1:3" ht="12.75" customHeight="1" x14ac:dyDescent="0.15">
      <c r="A313" s="13"/>
      <c r="B313" s="14"/>
      <c r="C313" s="30"/>
    </row>
    <row r="314" spans="1:3" ht="12.75" customHeight="1" x14ac:dyDescent="0.15">
      <c r="A314" s="13"/>
      <c r="B314" s="14"/>
      <c r="C314" s="30"/>
    </row>
    <row r="315" spans="1:3" ht="12.75" customHeight="1" x14ac:dyDescent="0.15">
      <c r="A315" s="13"/>
      <c r="B315" s="14"/>
      <c r="C315" s="30"/>
    </row>
    <row r="316" spans="1:3" ht="12.75" customHeight="1" x14ac:dyDescent="0.15">
      <c r="A316" s="13"/>
      <c r="B316" s="14"/>
      <c r="C316" s="30"/>
    </row>
    <row r="317" spans="1:3" ht="12.75" customHeight="1" x14ac:dyDescent="0.15">
      <c r="A317" s="13"/>
      <c r="B317" s="14"/>
      <c r="C317" s="30"/>
    </row>
    <row r="318" spans="1:3" ht="12.75" customHeight="1" x14ac:dyDescent="0.15">
      <c r="A318" s="13"/>
      <c r="B318" s="14"/>
      <c r="C318" s="30"/>
    </row>
    <row r="319" spans="1:3" ht="12.75" customHeight="1" x14ac:dyDescent="0.15">
      <c r="A319" s="13"/>
      <c r="B319" s="14"/>
      <c r="C319" s="30"/>
    </row>
    <row r="320" spans="1:3" ht="12.75" customHeight="1" x14ac:dyDescent="0.15">
      <c r="A320" s="13"/>
      <c r="B320" s="14"/>
      <c r="C320" s="30"/>
    </row>
    <row r="321" spans="1:3" ht="12.75" customHeight="1" x14ac:dyDescent="0.15">
      <c r="A321" s="13"/>
      <c r="B321" s="14"/>
      <c r="C321" s="30"/>
    </row>
    <row r="322" spans="1:3" ht="12.75" customHeight="1" x14ac:dyDescent="0.15">
      <c r="A322" s="13"/>
      <c r="B322" s="14"/>
      <c r="C322" s="30"/>
    </row>
    <row r="323" spans="1:3" ht="12.75" customHeight="1" x14ac:dyDescent="0.15">
      <c r="A323" s="13"/>
      <c r="B323" s="14"/>
      <c r="C323" s="30"/>
    </row>
    <row r="324" spans="1:3" ht="12.75" customHeight="1" x14ac:dyDescent="0.15">
      <c r="A324" s="13"/>
      <c r="B324" s="14"/>
      <c r="C324" s="30"/>
    </row>
    <row r="325" spans="1:3" ht="12.75" customHeight="1" x14ac:dyDescent="0.15">
      <c r="A325" s="13"/>
      <c r="B325" s="14"/>
      <c r="C325" s="30"/>
    </row>
    <row r="326" spans="1:3" ht="12.75" customHeight="1" x14ac:dyDescent="0.15">
      <c r="A326" s="13"/>
      <c r="B326" s="14"/>
      <c r="C326" s="30"/>
    </row>
    <row r="327" spans="1:3" ht="12.75" customHeight="1" x14ac:dyDescent="0.15">
      <c r="A327" s="13"/>
      <c r="B327" s="14"/>
      <c r="C327" s="30"/>
    </row>
    <row r="328" spans="1:3" ht="12.75" customHeight="1" x14ac:dyDescent="0.15">
      <c r="A328" s="13"/>
      <c r="B328" s="14"/>
      <c r="C328" s="30"/>
    </row>
    <row r="329" spans="1:3" ht="12.75" customHeight="1" x14ac:dyDescent="0.15">
      <c r="A329" s="13"/>
      <c r="B329" s="14"/>
      <c r="C329" s="30"/>
    </row>
    <row r="330" spans="1:3" ht="12.75" customHeight="1" x14ac:dyDescent="0.15">
      <c r="A330" s="13"/>
      <c r="B330" s="14"/>
      <c r="C330" s="30"/>
    </row>
    <row r="331" spans="1:3" ht="12.75" customHeight="1" x14ac:dyDescent="0.15">
      <c r="A331" s="13"/>
      <c r="B331" s="14"/>
      <c r="C331" s="30"/>
    </row>
    <row r="332" spans="1:3" ht="12.75" customHeight="1" x14ac:dyDescent="0.15">
      <c r="A332" s="13"/>
      <c r="B332" s="14"/>
      <c r="C332" s="30"/>
    </row>
    <row r="333" spans="1:3" ht="12.75" customHeight="1" x14ac:dyDescent="0.15">
      <c r="A333" s="13"/>
      <c r="B333" s="14"/>
      <c r="C333" s="30"/>
    </row>
    <row r="334" spans="1:3" ht="12.75" customHeight="1" x14ac:dyDescent="0.15">
      <c r="A334" s="13"/>
      <c r="B334" s="14"/>
      <c r="C334" s="30"/>
    </row>
    <row r="335" spans="1:3" ht="12.75" customHeight="1" x14ac:dyDescent="0.15">
      <c r="A335" s="13"/>
      <c r="B335" s="14"/>
      <c r="C335" s="30"/>
    </row>
    <row r="336" spans="1:3" ht="12.75" customHeight="1" x14ac:dyDescent="0.15">
      <c r="A336" s="13"/>
      <c r="B336" s="14"/>
      <c r="C336" s="30"/>
    </row>
    <row r="337" spans="1:3" ht="12.75" customHeight="1" x14ac:dyDescent="0.15">
      <c r="A337" s="13"/>
      <c r="B337" s="14"/>
      <c r="C337" s="30"/>
    </row>
    <row r="338" spans="1:3" ht="12.75" customHeight="1" x14ac:dyDescent="0.15">
      <c r="A338" s="13"/>
      <c r="B338" s="14"/>
      <c r="C338" s="30"/>
    </row>
    <row r="339" spans="1:3" ht="12.75" customHeight="1" x14ac:dyDescent="0.15">
      <c r="A339" s="13"/>
      <c r="B339" s="14"/>
      <c r="C339" s="30"/>
    </row>
    <row r="340" spans="1:3" ht="12.75" customHeight="1" x14ac:dyDescent="0.15">
      <c r="A340" s="13"/>
      <c r="B340" s="14"/>
      <c r="C340" s="30"/>
    </row>
    <row r="341" spans="1:3" ht="12.75" customHeight="1" x14ac:dyDescent="0.15">
      <c r="A341" s="13"/>
      <c r="B341" s="14"/>
      <c r="C341" s="30"/>
    </row>
    <row r="342" spans="1:3" ht="12.75" customHeight="1" x14ac:dyDescent="0.15">
      <c r="A342" s="13"/>
      <c r="B342" s="14"/>
      <c r="C342" s="30"/>
    </row>
    <row r="343" spans="1:3" ht="12.75" customHeight="1" x14ac:dyDescent="0.15">
      <c r="A343" s="13"/>
      <c r="B343" s="14"/>
      <c r="C343" s="30"/>
    </row>
    <row r="344" spans="1:3" ht="12.75" customHeight="1" x14ac:dyDescent="0.15">
      <c r="A344" s="13"/>
      <c r="B344" s="14"/>
      <c r="C344" s="30"/>
    </row>
    <row r="345" spans="1:3" ht="12.75" customHeight="1" x14ac:dyDescent="0.15">
      <c r="A345" s="13"/>
      <c r="B345" s="14"/>
      <c r="C345" s="30"/>
    </row>
    <row r="346" spans="1:3" ht="12.75" customHeight="1" x14ac:dyDescent="0.15">
      <c r="A346" s="13"/>
      <c r="B346" s="14"/>
      <c r="C346" s="30"/>
    </row>
    <row r="347" spans="1:3" ht="12.75" customHeight="1" x14ac:dyDescent="0.15">
      <c r="A347" s="13"/>
      <c r="B347" s="14"/>
      <c r="C347" s="30"/>
    </row>
    <row r="348" spans="1:3" ht="12.75" customHeight="1" x14ac:dyDescent="0.15">
      <c r="A348" s="13"/>
      <c r="B348" s="14"/>
      <c r="C348" s="30"/>
    </row>
    <row r="349" spans="1:3" ht="12.75" customHeight="1" x14ac:dyDescent="0.15">
      <c r="A349" s="13"/>
      <c r="B349" s="14"/>
      <c r="C349" s="30"/>
    </row>
    <row r="350" spans="1:3" ht="12.75" customHeight="1" x14ac:dyDescent="0.15">
      <c r="A350" s="13"/>
      <c r="B350" s="14"/>
      <c r="C350" s="30"/>
    </row>
    <row r="351" spans="1:3" ht="12.75" customHeight="1" x14ac:dyDescent="0.15">
      <c r="A351" s="13"/>
      <c r="B351" s="14"/>
      <c r="C351" s="30"/>
    </row>
    <row r="352" spans="1:3" ht="12.75" customHeight="1" x14ac:dyDescent="0.15">
      <c r="A352" s="13"/>
      <c r="B352" s="14"/>
      <c r="C352" s="30"/>
    </row>
    <row r="353" spans="1:3" ht="12.75" customHeight="1" x14ac:dyDescent="0.15">
      <c r="A353" s="13"/>
      <c r="B353" s="14"/>
      <c r="C353" s="30"/>
    </row>
    <row r="354" spans="1:3" ht="12.75" customHeight="1" x14ac:dyDescent="0.15">
      <c r="A354" s="13"/>
      <c r="B354" s="14"/>
      <c r="C354" s="30"/>
    </row>
    <row r="355" spans="1:3" ht="12.75" customHeight="1" x14ac:dyDescent="0.15">
      <c r="A355" s="13"/>
      <c r="B355" s="14"/>
      <c r="C355" s="30"/>
    </row>
    <row r="356" spans="1:3" ht="12.75" customHeight="1" x14ac:dyDescent="0.15">
      <c r="A356" s="13"/>
      <c r="B356" s="14"/>
      <c r="C356" s="30"/>
    </row>
    <row r="357" spans="1:3" ht="12.75" customHeight="1" x14ac:dyDescent="0.15">
      <c r="A357" s="13"/>
      <c r="B357" s="14"/>
      <c r="C357" s="30"/>
    </row>
    <row r="358" spans="1:3" ht="12.75" customHeight="1" x14ac:dyDescent="0.15">
      <c r="A358" s="13"/>
      <c r="B358" s="14"/>
      <c r="C358" s="30"/>
    </row>
    <row r="359" spans="1:3" ht="12.75" customHeight="1" x14ac:dyDescent="0.15">
      <c r="A359" s="13"/>
      <c r="B359" s="14"/>
      <c r="C359" s="30"/>
    </row>
    <row r="360" spans="1:3" ht="12.75" customHeight="1" x14ac:dyDescent="0.15">
      <c r="A360" s="13"/>
      <c r="B360" s="14"/>
      <c r="C360" s="30"/>
    </row>
    <row r="361" spans="1:3" ht="12.75" customHeight="1" x14ac:dyDescent="0.15">
      <c r="A361" s="13"/>
      <c r="B361" s="14"/>
      <c r="C361" s="30"/>
    </row>
    <row r="362" spans="1:3" ht="12.75" customHeight="1" x14ac:dyDescent="0.15">
      <c r="A362" s="13"/>
      <c r="B362" s="14"/>
      <c r="C362" s="30"/>
    </row>
    <row r="363" spans="1:3" ht="12.75" customHeight="1" x14ac:dyDescent="0.15">
      <c r="A363" s="13"/>
      <c r="B363" s="14"/>
      <c r="C363" s="30"/>
    </row>
    <row r="364" spans="1:3" ht="12.75" customHeight="1" x14ac:dyDescent="0.15">
      <c r="A364" s="13"/>
      <c r="B364" s="14"/>
      <c r="C364" s="30"/>
    </row>
    <row r="365" spans="1:3" ht="12.75" customHeight="1" x14ac:dyDescent="0.15">
      <c r="A365" s="13"/>
      <c r="B365" s="14"/>
      <c r="C365" s="30"/>
    </row>
    <row r="366" spans="1:3" ht="12.75" customHeight="1" x14ac:dyDescent="0.15">
      <c r="A366" s="13"/>
      <c r="B366" s="14"/>
      <c r="C366" s="30"/>
    </row>
    <row r="367" spans="1:3" ht="12.75" customHeight="1" x14ac:dyDescent="0.15">
      <c r="A367" s="13"/>
      <c r="B367" s="14"/>
      <c r="C367" s="30"/>
    </row>
    <row r="368" spans="1:3" ht="12.75" customHeight="1" x14ac:dyDescent="0.15">
      <c r="A368" s="13"/>
      <c r="B368" s="14"/>
      <c r="C368" s="30"/>
    </row>
    <row r="369" spans="1:3" ht="12.75" customHeight="1" x14ac:dyDescent="0.15">
      <c r="A369" s="13"/>
      <c r="B369" s="14"/>
      <c r="C369" s="30"/>
    </row>
    <row r="370" spans="1:3" ht="12.75" customHeight="1" x14ac:dyDescent="0.15">
      <c r="A370" s="13"/>
      <c r="B370" s="14"/>
      <c r="C370" s="30"/>
    </row>
    <row r="371" spans="1:3" ht="12.75" customHeight="1" x14ac:dyDescent="0.15">
      <c r="A371" s="13"/>
      <c r="B371" s="14"/>
      <c r="C371" s="30"/>
    </row>
    <row r="372" spans="1:3" ht="12.75" customHeight="1" x14ac:dyDescent="0.15">
      <c r="A372" s="13"/>
      <c r="B372" s="14"/>
      <c r="C372" s="30"/>
    </row>
    <row r="373" spans="1:3" ht="12.75" customHeight="1" x14ac:dyDescent="0.15">
      <c r="A373" s="13"/>
      <c r="B373" s="14"/>
      <c r="C373" s="30"/>
    </row>
    <row r="374" spans="1:3" ht="12.75" customHeight="1" x14ac:dyDescent="0.15">
      <c r="A374" s="13"/>
      <c r="B374" s="14"/>
      <c r="C374" s="30"/>
    </row>
    <row r="375" spans="1:3" ht="12.75" customHeight="1" x14ac:dyDescent="0.15">
      <c r="A375" s="13"/>
      <c r="B375" s="14"/>
      <c r="C375" s="30"/>
    </row>
    <row r="376" spans="1:3" ht="12.75" customHeight="1" x14ac:dyDescent="0.15">
      <c r="A376" s="13"/>
      <c r="B376" s="14"/>
      <c r="C376" s="30"/>
    </row>
    <row r="377" spans="1:3" ht="12.75" customHeight="1" x14ac:dyDescent="0.15">
      <c r="A377" s="13"/>
      <c r="B377" s="14"/>
      <c r="C377" s="30"/>
    </row>
    <row r="378" spans="1:3" ht="12.75" customHeight="1" x14ac:dyDescent="0.15">
      <c r="A378" s="13"/>
      <c r="B378" s="14"/>
      <c r="C378" s="30"/>
    </row>
    <row r="379" spans="1:3" ht="12.75" customHeight="1" x14ac:dyDescent="0.15">
      <c r="A379" s="13"/>
      <c r="B379" s="14"/>
      <c r="C379" s="30"/>
    </row>
    <row r="380" spans="1:3" ht="12.75" customHeight="1" x14ac:dyDescent="0.15">
      <c r="A380" s="13"/>
      <c r="B380" s="14"/>
      <c r="C380" s="30"/>
    </row>
    <row r="381" spans="1:3" ht="12.75" customHeight="1" x14ac:dyDescent="0.15">
      <c r="A381" s="13"/>
      <c r="B381" s="14"/>
      <c r="C381" s="30"/>
    </row>
    <row r="382" spans="1:3" ht="12.75" customHeight="1" x14ac:dyDescent="0.15">
      <c r="A382" s="13"/>
      <c r="B382" s="14"/>
      <c r="C382" s="30"/>
    </row>
    <row r="383" spans="1:3" ht="12.75" customHeight="1" x14ac:dyDescent="0.15">
      <c r="A383" s="13"/>
      <c r="B383" s="14"/>
      <c r="C383" s="30"/>
    </row>
    <row r="384" spans="1:3" ht="12.75" customHeight="1" x14ac:dyDescent="0.15">
      <c r="A384" s="13"/>
      <c r="B384" s="14"/>
      <c r="C384" s="30"/>
    </row>
    <row r="385" spans="1:3" ht="12.75" customHeight="1" x14ac:dyDescent="0.15">
      <c r="A385" s="13"/>
      <c r="B385" s="14"/>
      <c r="C385" s="30"/>
    </row>
    <row r="386" spans="1:3" ht="12.75" customHeight="1" x14ac:dyDescent="0.15">
      <c r="A386" s="13"/>
      <c r="B386" s="14"/>
      <c r="C386" s="30"/>
    </row>
    <row r="387" spans="1:3" ht="12.75" customHeight="1" x14ac:dyDescent="0.15">
      <c r="A387" s="13"/>
      <c r="B387" s="14"/>
      <c r="C387" s="30"/>
    </row>
    <row r="388" spans="1:3" ht="12.75" customHeight="1" x14ac:dyDescent="0.15">
      <c r="A388" s="13"/>
      <c r="B388" s="14"/>
      <c r="C388" s="30"/>
    </row>
    <row r="389" spans="1:3" ht="12.75" customHeight="1" x14ac:dyDescent="0.15">
      <c r="A389" s="13"/>
      <c r="B389" s="14"/>
      <c r="C389" s="30"/>
    </row>
    <row r="390" spans="1:3" ht="12.75" customHeight="1" x14ac:dyDescent="0.15">
      <c r="A390" s="13"/>
      <c r="B390" s="14"/>
      <c r="C390" s="30"/>
    </row>
    <row r="391" spans="1:3" ht="12.75" customHeight="1" x14ac:dyDescent="0.15">
      <c r="A391" s="13"/>
      <c r="B391" s="14"/>
      <c r="C391" s="30"/>
    </row>
    <row r="392" spans="1:3" ht="12.75" customHeight="1" x14ac:dyDescent="0.15">
      <c r="A392" s="13"/>
      <c r="B392" s="14"/>
      <c r="C392" s="30"/>
    </row>
    <row r="393" spans="1:3" ht="12.75" customHeight="1" x14ac:dyDescent="0.15">
      <c r="A393" s="13"/>
      <c r="B393" s="14"/>
      <c r="C393" s="30"/>
    </row>
    <row r="394" spans="1:3" ht="12.75" customHeight="1" x14ac:dyDescent="0.15">
      <c r="A394" s="13"/>
      <c r="B394" s="14"/>
      <c r="C394" s="30"/>
    </row>
    <row r="395" spans="1:3" ht="12.75" customHeight="1" x14ac:dyDescent="0.15">
      <c r="A395" s="13"/>
      <c r="B395" s="14"/>
      <c r="C395" s="30"/>
    </row>
    <row r="396" spans="1:3" ht="12.75" customHeight="1" x14ac:dyDescent="0.15">
      <c r="A396" s="13"/>
      <c r="B396" s="14"/>
      <c r="C396" s="30"/>
    </row>
    <row r="397" spans="1:3" ht="12.75" customHeight="1" x14ac:dyDescent="0.15">
      <c r="A397" s="13"/>
      <c r="B397" s="14"/>
      <c r="C397" s="30"/>
    </row>
    <row r="398" spans="1:3" ht="12.75" customHeight="1" x14ac:dyDescent="0.15">
      <c r="A398" s="13"/>
      <c r="B398" s="14"/>
      <c r="C398" s="30"/>
    </row>
    <row r="399" spans="1:3" ht="12.75" customHeight="1" x14ac:dyDescent="0.15">
      <c r="A399" s="13"/>
      <c r="B399" s="14"/>
      <c r="C399" s="30"/>
    </row>
    <row r="400" spans="1:3" ht="12.75" customHeight="1" x14ac:dyDescent="0.15">
      <c r="A400" s="13"/>
      <c r="B400" s="14"/>
      <c r="C400" s="30"/>
    </row>
    <row r="401" spans="1:3" ht="12.75" customHeight="1" x14ac:dyDescent="0.15">
      <c r="A401" s="13"/>
      <c r="B401" s="14"/>
      <c r="C401" s="30"/>
    </row>
    <row r="402" spans="1:3" ht="12.75" customHeight="1" x14ac:dyDescent="0.15">
      <c r="A402" s="13"/>
      <c r="B402" s="14"/>
      <c r="C402" s="30"/>
    </row>
    <row r="403" spans="1:3" ht="12.75" customHeight="1" x14ac:dyDescent="0.15">
      <c r="A403" s="13"/>
      <c r="B403" s="14"/>
      <c r="C403" s="30"/>
    </row>
    <row r="404" spans="1:3" ht="12.75" customHeight="1" x14ac:dyDescent="0.15">
      <c r="A404" s="13"/>
      <c r="B404" s="14"/>
      <c r="C404" s="30"/>
    </row>
    <row r="405" spans="1:3" ht="12.75" customHeight="1" x14ac:dyDescent="0.15">
      <c r="A405" s="13"/>
      <c r="B405" s="14"/>
      <c r="C405" s="30"/>
    </row>
    <row r="406" spans="1:3" ht="12.75" customHeight="1" x14ac:dyDescent="0.15">
      <c r="A406" s="13"/>
      <c r="B406" s="14"/>
      <c r="C406" s="30"/>
    </row>
    <row r="407" spans="1:3" ht="12.75" customHeight="1" x14ac:dyDescent="0.15">
      <c r="A407" s="13"/>
      <c r="B407" s="14"/>
      <c r="C407" s="30"/>
    </row>
    <row r="408" spans="1:3" ht="12.75" customHeight="1" x14ac:dyDescent="0.15">
      <c r="A408" s="13"/>
      <c r="B408" s="14"/>
      <c r="C408" s="30"/>
    </row>
    <row r="409" spans="1:3" ht="12.75" customHeight="1" x14ac:dyDescent="0.15">
      <c r="A409" s="13"/>
      <c r="B409" s="14"/>
      <c r="C409" s="30"/>
    </row>
    <row r="410" spans="1:3" ht="12.75" customHeight="1" x14ac:dyDescent="0.15">
      <c r="A410" s="13"/>
      <c r="B410" s="14"/>
      <c r="C410" s="30"/>
    </row>
    <row r="411" spans="1:3" ht="12.75" customHeight="1" x14ac:dyDescent="0.15">
      <c r="A411" s="13"/>
      <c r="B411" s="14"/>
      <c r="C411" s="30"/>
    </row>
    <row r="412" spans="1:3" ht="12.75" customHeight="1" x14ac:dyDescent="0.15">
      <c r="A412" s="13"/>
      <c r="B412" s="14"/>
      <c r="C412" s="30"/>
    </row>
    <row r="413" spans="1:3" ht="12.75" customHeight="1" x14ac:dyDescent="0.15">
      <c r="A413" s="13"/>
      <c r="B413" s="14"/>
      <c r="C413" s="30"/>
    </row>
    <row r="414" spans="1:3" ht="12.75" customHeight="1" x14ac:dyDescent="0.15">
      <c r="A414" s="13"/>
      <c r="B414" s="14"/>
      <c r="C414" s="30"/>
    </row>
    <row r="415" spans="1:3" ht="12.75" customHeight="1" x14ac:dyDescent="0.15">
      <c r="A415" s="13"/>
      <c r="B415" s="14"/>
      <c r="C415" s="30"/>
    </row>
    <row r="416" spans="1:3" ht="12.75" customHeight="1" x14ac:dyDescent="0.15">
      <c r="A416" s="13"/>
      <c r="B416" s="14"/>
      <c r="C416" s="30"/>
    </row>
    <row r="417" spans="1:3" ht="12.75" customHeight="1" x14ac:dyDescent="0.15">
      <c r="A417" s="13"/>
      <c r="B417" s="14"/>
      <c r="C417" s="30"/>
    </row>
    <row r="418" spans="1:3" ht="12.75" customHeight="1" x14ac:dyDescent="0.15">
      <c r="A418" s="13"/>
      <c r="B418" s="14"/>
      <c r="C418" s="30"/>
    </row>
    <row r="419" spans="1:3" ht="12.75" customHeight="1" x14ac:dyDescent="0.15">
      <c r="A419" s="13"/>
      <c r="B419" s="14"/>
      <c r="C419" s="30"/>
    </row>
    <row r="420" spans="1:3" ht="12.75" customHeight="1" x14ac:dyDescent="0.15">
      <c r="A420" s="13"/>
      <c r="B420" s="14"/>
      <c r="C420" s="30"/>
    </row>
    <row r="421" spans="1:3" ht="12.75" customHeight="1" x14ac:dyDescent="0.15">
      <c r="A421" s="13"/>
      <c r="B421" s="14"/>
      <c r="C421" s="30"/>
    </row>
    <row r="422" spans="1:3" ht="12.75" customHeight="1" x14ac:dyDescent="0.15">
      <c r="A422" s="13"/>
      <c r="B422" s="14"/>
      <c r="C422" s="30"/>
    </row>
    <row r="423" spans="1:3" ht="12.75" customHeight="1" x14ac:dyDescent="0.15">
      <c r="A423" s="13"/>
      <c r="B423" s="14"/>
      <c r="C423" s="30"/>
    </row>
    <row r="424" spans="1:3" ht="12.75" customHeight="1" x14ac:dyDescent="0.15">
      <c r="A424" s="13"/>
      <c r="B424" s="14"/>
      <c r="C424" s="30"/>
    </row>
    <row r="425" spans="1:3" ht="12.75" customHeight="1" x14ac:dyDescent="0.15">
      <c r="A425" s="13"/>
      <c r="B425" s="14"/>
      <c r="C425" s="30"/>
    </row>
    <row r="426" spans="1:3" ht="12.75" customHeight="1" x14ac:dyDescent="0.15">
      <c r="A426" s="13"/>
      <c r="B426" s="14"/>
      <c r="C426" s="30"/>
    </row>
    <row r="427" spans="1:3" ht="12.75" customHeight="1" x14ac:dyDescent="0.15">
      <c r="A427" s="13"/>
      <c r="B427" s="14"/>
      <c r="C427" s="30"/>
    </row>
    <row r="428" spans="1:3" ht="12.75" customHeight="1" x14ac:dyDescent="0.15">
      <c r="A428" s="13"/>
      <c r="B428" s="14"/>
      <c r="C428" s="30"/>
    </row>
    <row r="429" spans="1:3" ht="12.75" customHeight="1" x14ac:dyDescent="0.15">
      <c r="A429" s="13"/>
      <c r="B429" s="14"/>
      <c r="C429" s="30"/>
    </row>
    <row r="430" spans="1:3" ht="12.75" customHeight="1" x14ac:dyDescent="0.15">
      <c r="A430" s="13"/>
      <c r="B430" s="14"/>
      <c r="C430" s="30"/>
    </row>
    <row r="431" spans="1:3" ht="12.75" customHeight="1" x14ac:dyDescent="0.15">
      <c r="A431" s="13"/>
      <c r="B431" s="14"/>
      <c r="C431" s="30"/>
    </row>
    <row r="432" spans="1:3" ht="12.75" customHeight="1" x14ac:dyDescent="0.15">
      <c r="A432" s="13"/>
      <c r="B432" s="14"/>
      <c r="C432" s="30"/>
    </row>
    <row r="433" spans="1:3" ht="12.75" customHeight="1" x14ac:dyDescent="0.15">
      <c r="A433" s="13"/>
      <c r="B433" s="14"/>
      <c r="C433" s="30"/>
    </row>
    <row r="434" spans="1:3" ht="12.75" customHeight="1" x14ac:dyDescent="0.15">
      <c r="A434" s="13"/>
      <c r="B434" s="14"/>
      <c r="C434" s="30"/>
    </row>
    <row r="435" spans="1:3" ht="12.75" customHeight="1" x14ac:dyDescent="0.15">
      <c r="A435" s="13"/>
      <c r="B435" s="14"/>
      <c r="C435" s="30"/>
    </row>
    <row r="436" spans="1:3" ht="12.75" customHeight="1" x14ac:dyDescent="0.15">
      <c r="A436" s="13"/>
      <c r="B436" s="14"/>
      <c r="C436" s="30"/>
    </row>
    <row r="437" spans="1:3" ht="12.75" customHeight="1" x14ac:dyDescent="0.15">
      <c r="A437" s="13"/>
      <c r="B437" s="14"/>
      <c r="C437" s="30"/>
    </row>
    <row r="438" spans="1:3" ht="12.75" customHeight="1" x14ac:dyDescent="0.15">
      <c r="A438" s="13"/>
      <c r="B438" s="14"/>
      <c r="C438" s="30"/>
    </row>
    <row r="439" spans="1:3" ht="12.75" customHeight="1" x14ac:dyDescent="0.15">
      <c r="A439" s="13"/>
      <c r="B439" s="14"/>
      <c r="C439" s="30"/>
    </row>
    <row r="440" spans="1:3" ht="12.75" customHeight="1" x14ac:dyDescent="0.15">
      <c r="A440" s="13"/>
      <c r="B440" s="14"/>
      <c r="C440" s="30"/>
    </row>
    <row r="441" spans="1:3" ht="12.75" customHeight="1" x14ac:dyDescent="0.15">
      <c r="A441" s="13"/>
      <c r="B441" s="14"/>
      <c r="C441" s="30"/>
    </row>
    <row r="442" spans="1:3" ht="12.75" customHeight="1" x14ac:dyDescent="0.15">
      <c r="A442" s="13"/>
      <c r="B442" s="14"/>
      <c r="C442" s="30"/>
    </row>
    <row r="443" spans="1:3" ht="12.75" customHeight="1" x14ac:dyDescent="0.15">
      <c r="A443" s="13"/>
      <c r="B443" s="14"/>
      <c r="C443" s="30"/>
    </row>
    <row r="444" spans="1:3" ht="12.75" customHeight="1" x14ac:dyDescent="0.15">
      <c r="A444" s="13"/>
      <c r="B444" s="14"/>
      <c r="C444" s="30"/>
    </row>
    <row r="445" spans="1:3" ht="12.75" customHeight="1" x14ac:dyDescent="0.15">
      <c r="A445" s="13"/>
      <c r="B445" s="14"/>
      <c r="C445" s="30"/>
    </row>
    <row r="446" spans="1:3" ht="12.75" customHeight="1" x14ac:dyDescent="0.15">
      <c r="A446" s="13"/>
      <c r="B446" s="14"/>
      <c r="C446" s="30"/>
    </row>
    <row r="447" spans="1:3" ht="12.75" customHeight="1" x14ac:dyDescent="0.15">
      <c r="A447" s="13"/>
      <c r="B447" s="14"/>
      <c r="C447" s="30"/>
    </row>
    <row r="448" spans="1:3" ht="12.75" customHeight="1" x14ac:dyDescent="0.15">
      <c r="A448" s="13"/>
      <c r="B448" s="14"/>
      <c r="C448" s="30"/>
    </row>
    <row r="449" spans="1:3" ht="12.75" customHeight="1" x14ac:dyDescent="0.15">
      <c r="A449" s="13"/>
      <c r="B449" s="14"/>
      <c r="C449" s="30"/>
    </row>
    <row r="450" spans="1:3" ht="12.75" customHeight="1" x14ac:dyDescent="0.15">
      <c r="A450" s="13"/>
      <c r="B450" s="14"/>
      <c r="C450" s="30"/>
    </row>
    <row r="451" spans="1:3" ht="12.75" customHeight="1" x14ac:dyDescent="0.15">
      <c r="A451" s="13"/>
      <c r="B451" s="14"/>
      <c r="C451" s="30"/>
    </row>
    <row r="452" spans="1:3" ht="12.75" customHeight="1" x14ac:dyDescent="0.15">
      <c r="A452" s="13"/>
      <c r="B452" s="14"/>
      <c r="C452" s="30"/>
    </row>
    <row r="453" spans="1:3" ht="12.75" customHeight="1" x14ac:dyDescent="0.15">
      <c r="A453" s="13"/>
      <c r="B453" s="14"/>
      <c r="C453" s="30"/>
    </row>
    <row r="454" spans="1:3" ht="12.75" customHeight="1" x14ac:dyDescent="0.15">
      <c r="A454" s="13"/>
      <c r="B454" s="14"/>
      <c r="C454" s="30"/>
    </row>
    <row r="455" spans="1:3" ht="12.75" customHeight="1" x14ac:dyDescent="0.15">
      <c r="A455" s="13"/>
      <c r="B455" s="14"/>
      <c r="C455" s="30"/>
    </row>
    <row r="456" spans="1:3" ht="12.75" customHeight="1" x14ac:dyDescent="0.15">
      <c r="A456" s="13"/>
      <c r="B456" s="14"/>
      <c r="C456" s="30"/>
    </row>
    <row r="457" spans="1:3" ht="12.75" customHeight="1" x14ac:dyDescent="0.15">
      <c r="A457" s="13"/>
      <c r="B457" s="14"/>
      <c r="C457" s="30"/>
    </row>
    <row r="458" spans="1:3" ht="12.75" customHeight="1" x14ac:dyDescent="0.15">
      <c r="A458" s="13"/>
      <c r="B458" s="14"/>
      <c r="C458" s="30"/>
    </row>
    <row r="459" spans="1:3" ht="12.75" customHeight="1" x14ac:dyDescent="0.15">
      <c r="A459" s="13"/>
      <c r="B459" s="14"/>
      <c r="C459" s="30"/>
    </row>
    <row r="460" spans="1:3" ht="12.75" customHeight="1" x14ac:dyDescent="0.15">
      <c r="A460" s="13"/>
      <c r="B460" s="14"/>
      <c r="C460" s="30"/>
    </row>
    <row r="461" spans="1:3" ht="12.75" customHeight="1" x14ac:dyDescent="0.15">
      <c r="A461" s="13"/>
      <c r="B461" s="14"/>
      <c r="C461" s="30"/>
    </row>
    <row r="462" spans="1:3" ht="12.75" customHeight="1" x14ac:dyDescent="0.15">
      <c r="A462" s="13"/>
      <c r="B462" s="14"/>
      <c r="C462" s="30"/>
    </row>
    <row r="463" spans="1:3" ht="12.75" customHeight="1" x14ac:dyDescent="0.15">
      <c r="A463" s="13"/>
      <c r="B463" s="14"/>
      <c r="C463" s="30"/>
    </row>
    <row r="464" spans="1:3" ht="12.75" customHeight="1" x14ac:dyDescent="0.15">
      <c r="A464" s="13"/>
      <c r="B464" s="14"/>
      <c r="C464" s="30"/>
    </row>
    <row r="465" spans="1:3" ht="12.75" customHeight="1" x14ac:dyDescent="0.15">
      <c r="A465" s="13"/>
      <c r="B465" s="14"/>
      <c r="C465" s="30"/>
    </row>
    <row r="466" spans="1:3" ht="12.75" customHeight="1" x14ac:dyDescent="0.15">
      <c r="A466" s="13"/>
      <c r="B466" s="14"/>
      <c r="C466" s="30"/>
    </row>
    <row r="467" spans="1:3" ht="12.75" customHeight="1" x14ac:dyDescent="0.15">
      <c r="A467" s="13"/>
      <c r="B467" s="14"/>
      <c r="C467" s="30"/>
    </row>
    <row r="468" spans="1:3" ht="12.75" customHeight="1" x14ac:dyDescent="0.15">
      <c r="A468" s="13"/>
      <c r="B468" s="14"/>
      <c r="C468" s="30"/>
    </row>
    <row r="469" spans="1:3" ht="12.75" customHeight="1" x14ac:dyDescent="0.15">
      <c r="A469" s="13"/>
      <c r="B469" s="14"/>
      <c r="C469" s="30"/>
    </row>
    <row r="470" spans="1:3" ht="12.75" customHeight="1" x14ac:dyDescent="0.15">
      <c r="A470" s="13"/>
      <c r="B470" s="14"/>
      <c r="C470" s="30"/>
    </row>
    <row r="471" spans="1:3" ht="12.75" customHeight="1" x14ac:dyDescent="0.15">
      <c r="A471" s="13"/>
      <c r="B471" s="14"/>
      <c r="C471" s="30"/>
    </row>
    <row r="472" spans="1:3" ht="12.75" customHeight="1" x14ac:dyDescent="0.15">
      <c r="A472" s="13"/>
      <c r="B472" s="14"/>
      <c r="C472" s="30"/>
    </row>
    <row r="473" spans="1:3" ht="12.75" customHeight="1" x14ac:dyDescent="0.15">
      <c r="A473" s="13"/>
      <c r="B473" s="14"/>
      <c r="C473" s="30"/>
    </row>
    <row r="474" spans="1:3" ht="12.75" customHeight="1" x14ac:dyDescent="0.15">
      <c r="A474" s="13"/>
      <c r="B474" s="14"/>
      <c r="C474" s="30"/>
    </row>
    <row r="475" spans="1:3" ht="12.75" customHeight="1" x14ac:dyDescent="0.15">
      <c r="A475" s="13"/>
      <c r="B475" s="14"/>
      <c r="C475" s="30"/>
    </row>
    <row r="476" spans="1:3" ht="12.75" customHeight="1" x14ac:dyDescent="0.15">
      <c r="A476" s="13"/>
      <c r="B476" s="14"/>
      <c r="C476" s="30"/>
    </row>
    <row r="477" spans="1:3" ht="12.75" customHeight="1" x14ac:dyDescent="0.15">
      <c r="A477" s="13"/>
      <c r="B477" s="14"/>
      <c r="C477" s="30"/>
    </row>
    <row r="478" spans="1:3" ht="12.75" customHeight="1" x14ac:dyDescent="0.15">
      <c r="A478" s="13"/>
      <c r="B478" s="14"/>
      <c r="C478" s="30"/>
    </row>
    <row r="479" spans="1:3" ht="12.75" customHeight="1" x14ac:dyDescent="0.15">
      <c r="A479" s="13"/>
      <c r="B479" s="14"/>
      <c r="C479" s="30"/>
    </row>
    <row r="480" spans="1:3" ht="12.75" customHeight="1" x14ac:dyDescent="0.15">
      <c r="A480" s="13"/>
      <c r="B480" s="14"/>
      <c r="C480" s="30"/>
    </row>
    <row r="481" spans="1:3" ht="12.75" customHeight="1" x14ac:dyDescent="0.15">
      <c r="A481" s="13"/>
      <c r="B481" s="14"/>
      <c r="C481" s="30"/>
    </row>
    <row r="482" spans="1:3" ht="12.75" customHeight="1" x14ac:dyDescent="0.15">
      <c r="A482" s="13"/>
      <c r="B482" s="14"/>
      <c r="C482" s="30"/>
    </row>
    <row r="483" spans="1:3" ht="12.75" customHeight="1" x14ac:dyDescent="0.15">
      <c r="A483" s="13"/>
      <c r="B483" s="14"/>
      <c r="C483" s="30"/>
    </row>
    <row r="484" spans="1:3" ht="12.75" customHeight="1" x14ac:dyDescent="0.15">
      <c r="A484" s="13"/>
      <c r="B484" s="14"/>
      <c r="C484" s="30"/>
    </row>
    <row r="485" spans="1:3" ht="12.75" customHeight="1" x14ac:dyDescent="0.15">
      <c r="A485" s="13"/>
      <c r="B485" s="14"/>
      <c r="C485" s="30"/>
    </row>
    <row r="486" spans="1:3" ht="12.75" customHeight="1" x14ac:dyDescent="0.15">
      <c r="A486" s="13"/>
      <c r="B486" s="14"/>
      <c r="C486" s="30"/>
    </row>
    <row r="487" spans="1:3" ht="12.75" customHeight="1" x14ac:dyDescent="0.15">
      <c r="A487" s="13"/>
      <c r="B487" s="14"/>
      <c r="C487" s="30"/>
    </row>
    <row r="488" spans="1:3" ht="12.75" customHeight="1" x14ac:dyDescent="0.15">
      <c r="A488" s="13"/>
      <c r="B488" s="14"/>
      <c r="C488" s="30"/>
    </row>
    <row r="489" spans="1:3" ht="12.75" customHeight="1" x14ac:dyDescent="0.15">
      <c r="A489" s="13"/>
      <c r="B489" s="14"/>
      <c r="C489" s="30"/>
    </row>
    <row r="490" spans="1:3" ht="12.75" customHeight="1" x14ac:dyDescent="0.15">
      <c r="A490" s="13"/>
      <c r="B490" s="14"/>
      <c r="C490" s="30"/>
    </row>
    <row r="491" spans="1:3" ht="12.75" customHeight="1" x14ac:dyDescent="0.15">
      <c r="A491" s="13"/>
      <c r="B491" s="14"/>
      <c r="C491" s="30"/>
    </row>
    <row r="492" spans="1:3" ht="12.75" customHeight="1" x14ac:dyDescent="0.15">
      <c r="A492" s="13"/>
      <c r="B492" s="14"/>
      <c r="C492" s="30"/>
    </row>
    <row r="493" spans="1:3" ht="12.75" customHeight="1" x14ac:dyDescent="0.15">
      <c r="A493" s="13"/>
      <c r="B493" s="14"/>
      <c r="C493" s="30"/>
    </row>
    <row r="494" spans="1:3" ht="12.75" customHeight="1" x14ac:dyDescent="0.15">
      <c r="A494" s="13"/>
      <c r="B494" s="14"/>
      <c r="C494" s="30"/>
    </row>
    <row r="495" spans="1:3" ht="12.75" customHeight="1" x14ac:dyDescent="0.15">
      <c r="A495" s="13"/>
      <c r="B495" s="14"/>
      <c r="C495" s="30"/>
    </row>
    <row r="496" spans="1:3" ht="12.75" customHeight="1" x14ac:dyDescent="0.15">
      <c r="A496" s="13"/>
      <c r="B496" s="14"/>
      <c r="C496" s="30"/>
    </row>
    <row r="497" spans="1:3" ht="12.75" customHeight="1" x14ac:dyDescent="0.15">
      <c r="A497" s="13"/>
      <c r="B497" s="14"/>
      <c r="C497" s="30"/>
    </row>
    <row r="498" spans="1:3" ht="12.75" customHeight="1" x14ac:dyDescent="0.15">
      <c r="A498" s="13"/>
      <c r="B498" s="14"/>
      <c r="C498" s="30"/>
    </row>
    <row r="499" spans="1:3" ht="12.75" customHeight="1" x14ac:dyDescent="0.15">
      <c r="A499" s="13"/>
      <c r="B499" s="14"/>
      <c r="C499" s="30"/>
    </row>
    <row r="500" spans="1:3" ht="12.75" customHeight="1" x14ac:dyDescent="0.15">
      <c r="A500" s="13"/>
      <c r="B500" s="14"/>
      <c r="C500" s="30"/>
    </row>
    <row r="501" spans="1:3" ht="12.75" customHeight="1" x14ac:dyDescent="0.15">
      <c r="A501" s="13"/>
      <c r="B501" s="14"/>
      <c r="C501" s="30"/>
    </row>
    <row r="502" spans="1:3" ht="12.75" customHeight="1" x14ac:dyDescent="0.15">
      <c r="A502" s="13"/>
      <c r="B502" s="14"/>
      <c r="C502" s="30"/>
    </row>
    <row r="503" spans="1:3" ht="12.75" customHeight="1" x14ac:dyDescent="0.15">
      <c r="A503" s="13"/>
      <c r="B503" s="14"/>
      <c r="C503" s="30"/>
    </row>
    <row r="504" spans="1:3" ht="12.75" customHeight="1" x14ac:dyDescent="0.15">
      <c r="A504" s="13"/>
      <c r="B504" s="14"/>
      <c r="C504" s="30"/>
    </row>
    <row r="505" spans="1:3" ht="12.75" customHeight="1" x14ac:dyDescent="0.15">
      <c r="A505" s="13"/>
      <c r="B505" s="14"/>
      <c r="C505" s="30"/>
    </row>
    <row r="506" spans="1:3" ht="12.75" customHeight="1" x14ac:dyDescent="0.15">
      <c r="A506" s="13"/>
      <c r="B506" s="14"/>
      <c r="C506" s="30"/>
    </row>
    <row r="507" spans="1:3" ht="12.75" customHeight="1" x14ac:dyDescent="0.15">
      <c r="A507" s="13"/>
      <c r="B507" s="14"/>
      <c r="C507" s="30"/>
    </row>
    <row r="508" spans="1:3" ht="12.75" customHeight="1" x14ac:dyDescent="0.15">
      <c r="A508" s="13"/>
      <c r="B508" s="14"/>
      <c r="C508" s="30"/>
    </row>
    <row r="509" spans="1:3" ht="12.75" customHeight="1" x14ac:dyDescent="0.15">
      <c r="A509" s="13"/>
      <c r="B509" s="14"/>
      <c r="C509" s="30"/>
    </row>
    <row r="510" spans="1:3" ht="12.75" customHeight="1" x14ac:dyDescent="0.15">
      <c r="A510" s="13"/>
      <c r="B510" s="14"/>
      <c r="C510" s="30"/>
    </row>
    <row r="511" spans="1:3" ht="12.75" customHeight="1" x14ac:dyDescent="0.15">
      <c r="A511" s="13"/>
      <c r="B511" s="14"/>
      <c r="C511" s="30"/>
    </row>
    <row r="512" spans="1:3" ht="12.75" customHeight="1" x14ac:dyDescent="0.15">
      <c r="A512" s="13"/>
      <c r="B512" s="14"/>
      <c r="C512" s="30"/>
    </row>
    <row r="513" spans="1:3" ht="12.75" customHeight="1" x14ac:dyDescent="0.15">
      <c r="A513" s="13"/>
      <c r="B513" s="14"/>
      <c r="C513" s="30"/>
    </row>
    <row r="514" spans="1:3" ht="12.75" customHeight="1" x14ac:dyDescent="0.15">
      <c r="A514" s="13"/>
      <c r="B514" s="14"/>
      <c r="C514" s="30"/>
    </row>
    <row r="515" spans="1:3" ht="12.75" customHeight="1" x14ac:dyDescent="0.15">
      <c r="A515" s="13"/>
      <c r="B515" s="14"/>
      <c r="C515" s="30"/>
    </row>
    <row r="516" spans="1:3" ht="12.75" customHeight="1" x14ac:dyDescent="0.15">
      <c r="A516" s="13"/>
      <c r="B516" s="14"/>
      <c r="C516" s="30"/>
    </row>
    <row r="517" spans="1:3" ht="12.75" customHeight="1" x14ac:dyDescent="0.15">
      <c r="A517" s="13"/>
      <c r="B517" s="14"/>
      <c r="C517" s="30"/>
    </row>
    <row r="518" spans="1:3" ht="12.75" customHeight="1" x14ac:dyDescent="0.15">
      <c r="A518" s="13"/>
      <c r="B518" s="14"/>
      <c r="C518" s="30"/>
    </row>
    <row r="519" spans="1:3" ht="12.75" customHeight="1" x14ac:dyDescent="0.15">
      <c r="A519" s="13"/>
      <c r="B519" s="14"/>
      <c r="C519" s="30"/>
    </row>
    <row r="520" spans="1:3" ht="12.75" customHeight="1" x14ac:dyDescent="0.15">
      <c r="A520" s="13"/>
      <c r="B520" s="14"/>
      <c r="C520" s="30"/>
    </row>
    <row r="521" spans="1:3" ht="12.75" customHeight="1" x14ac:dyDescent="0.15">
      <c r="A521" s="13"/>
      <c r="B521" s="14"/>
      <c r="C521" s="30"/>
    </row>
    <row r="522" spans="1:3" ht="12.75" customHeight="1" x14ac:dyDescent="0.15">
      <c r="A522" s="13"/>
      <c r="B522" s="14"/>
      <c r="C522" s="30"/>
    </row>
    <row r="523" spans="1:3" ht="12.75" customHeight="1" x14ac:dyDescent="0.15">
      <c r="A523" s="13"/>
      <c r="B523" s="14"/>
      <c r="C523" s="30"/>
    </row>
    <row r="524" spans="1:3" ht="12.75" customHeight="1" x14ac:dyDescent="0.15">
      <c r="A524" s="13"/>
      <c r="B524" s="14"/>
      <c r="C524" s="30"/>
    </row>
    <row r="525" spans="1:3" ht="12.75" customHeight="1" x14ac:dyDescent="0.15">
      <c r="A525" s="13"/>
      <c r="B525" s="14"/>
      <c r="C525" s="30"/>
    </row>
    <row r="526" spans="1:3" ht="12.75" customHeight="1" x14ac:dyDescent="0.15">
      <c r="A526" s="13"/>
      <c r="B526" s="14"/>
      <c r="C526" s="30"/>
    </row>
    <row r="527" spans="1:3" ht="12.75" customHeight="1" x14ac:dyDescent="0.15">
      <c r="A527" s="13"/>
      <c r="B527" s="14"/>
      <c r="C527" s="30"/>
    </row>
    <row r="528" spans="1:3" ht="12.75" customHeight="1" x14ac:dyDescent="0.15">
      <c r="A528" s="13"/>
      <c r="B528" s="14"/>
      <c r="C528" s="30"/>
    </row>
    <row r="529" spans="1:3" ht="12.75" customHeight="1" x14ac:dyDescent="0.15">
      <c r="A529" s="13"/>
      <c r="B529" s="14"/>
      <c r="C529" s="30"/>
    </row>
    <row r="530" spans="1:3" ht="12.75" customHeight="1" x14ac:dyDescent="0.15">
      <c r="A530" s="13"/>
      <c r="B530" s="14"/>
      <c r="C530" s="30"/>
    </row>
    <row r="531" spans="1:3" ht="12.75" customHeight="1" x14ac:dyDescent="0.15">
      <c r="A531" s="13"/>
      <c r="B531" s="14"/>
      <c r="C531" s="30"/>
    </row>
    <row r="532" spans="1:3" ht="12.75" customHeight="1" x14ac:dyDescent="0.15">
      <c r="A532" s="13"/>
      <c r="B532" s="14"/>
      <c r="C532" s="30"/>
    </row>
    <row r="533" spans="1:3" ht="12.75" customHeight="1" x14ac:dyDescent="0.15">
      <c r="A533" s="13"/>
      <c r="B533" s="14"/>
      <c r="C533" s="30"/>
    </row>
    <row r="534" spans="1:3" ht="12.75" customHeight="1" x14ac:dyDescent="0.15">
      <c r="A534" s="13"/>
      <c r="B534" s="14"/>
      <c r="C534" s="30"/>
    </row>
    <row r="535" spans="1:3" ht="12.75" customHeight="1" x14ac:dyDescent="0.15">
      <c r="A535" s="13"/>
      <c r="B535" s="14"/>
      <c r="C535" s="30"/>
    </row>
    <row r="536" spans="1:3" ht="12.75" customHeight="1" x14ac:dyDescent="0.15">
      <c r="A536" s="13"/>
      <c r="B536" s="14"/>
      <c r="C536" s="30"/>
    </row>
    <row r="537" spans="1:3" ht="12.75" customHeight="1" x14ac:dyDescent="0.15">
      <c r="A537" s="13"/>
      <c r="B537" s="14"/>
      <c r="C537" s="30"/>
    </row>
    <row r="538" spans="1:3" ht="12.75" customHeight="1" x14ac:dyDescent="0.15">
      <c r="A538" s="13"/>
      <c r="B538" s="14"/>
      <c r="C538" s="30"/>
    </row>
    <row r="539" spans="1:3" ht="12.75" customHeight="1" x14ac:dyDescent="0.15">
      <c r="A539" s="13"/>
      <c r="B539" s="14"/>
      <c r="C539" s="30"/>
    </row>
    <row r="540" spans="1:3" ht="12.75" customHeight="1" x14ac:dyDescent="0.15">
      <c r="A540" s="13"/>
      <c r="B540" s="14"/>
      <c r="C540" s="30"/>
    </row>
    <row r="541" spans="1:3" ht="12.75" customHeight="1" x14ac:dyDescent="0.15">
      <c r="A541" s="13"/>
      <c r="B541" s="14"/>
      <c r="C541" s="30"/>
    </row>
    <row r="542" spans="1:3" ht="12.75" customHeight="1" x14ac:dyDescent="0.15">
      <c r="A542" s="13"/>
      <c r="B542" s="14"/>
      <c r="C542" s="30"/>
    </row>
    <row r="543" spans="1:3" ht="12.75" customHeight="1" x14ac:dyDescent="0.15">
      <c r="A543" s="13"/>
      <c r="B543" s="14"/>
      <c r="C543" s="30"/>
    </row>
    <row r="544" spans="1:3" ht="12.75" customHeight="1" x14ac:dyDescent="0.15">
      <c r="A544" s="13"/>
      <c r="B544" s="14"/>
      <c r="C544" s="30"/>
    </row>
    <row r="545" spans="1:3" ht="12.75" customHeight="1" x14ac:dyDescent="0.15">
      <c r="A545" s="13"/>
      <c r="B545" s="14"/>
      <c r="C545" s="30"/>
    </row>
    <row r="546" spans="1:3" ht="12.75" customHeight="1" x14ac:dyDescent="0.15">
      <c r="A546" s="13"/>
      <c r="B546" s="14"/>
      <c r="C546" s="30"/>
    </row>
    <row r="547" spans="1:3" ht="12.75" customHeight="1" x14ac:dyDescent="0.15">
      <c r="A547" s="13"/>
      <c r="B547" s="14"/>
      <c r="C547" s="30"/>
    </row>
    <row r="548" spans="1:3" ht="12.75" customHeight="1" x14ac:dyDescent="0.15">
      <c r="A548" s="13"/>
      <c r="B548" s="14"/>
      <c r="C548" s="30"/>
    </row>
    <row r="549" spans="1:3" ht="12.75" customHeight="1" x14ac:dyDescent="0.15">
      <c r="A549" s="13"/>
      <c r="B549" s="14"/>
      <c r="C549" s="30"/>
    </row>
    <row r="550" spans="1:3" ht="12.75" customHeight="1" x14ac:dyDescent="0.15">
      <c r="A550" s="13"/>
      <c r="B550" s="14"/>
      <c r="C550" s="30"/>
    </row>
    <row r="551" spans="1:3" ht="12.75" customHeight="1" x14ac:dyDescent="0.15">
      <c r="A551" s="13"/>
      <c r="B551" s="14"/>
      <c r="C551" s="30"/>
    </row>
    <row r="552" spans="1:3" ht="12.75" customHeight="1" x14ac:dyDescent="0.15">
      <c r="A552" s="13"/>
      <c r="B552" s="14"/>
      <c r="C552" s="30"/>
    </row>
    <row r="553" spans="1:3" ht="12.75" customHeight="1" x14ac:dyDescent="0.15">
      <c r="A553" s="13"/>
      <c r="B553" s="14"/>
      <c r="C553" s="30"/>
    </row>
    <row r="554" spans="1:3" ht="12.75" customHeight="1" x14ac:dyDescent="0.15">
      <c r="A554" s="13"/>
      <c r="B554" s="14"/>
      <c r="C554" s="30"/>
    </row>
    <row r="555" spans="1:3" ht="12.75" customHeight="1" x14ac:dyDescent="0.15">
      <c r="A555" s="13"/>
      <c r="B555" s="14"/>
      <c r="C555" s="30"/>
    </row>
    <row r="556" spans="1:3" ht="12.75" customHeight="1" x14ac:dyDescent="0.15">
      <c r="A556" s="13"/>
      <c r="B556" s="14"/>
      <c r="C556" s="30"/>
    </row>
    <row r="557" spans="1:3" ht="12.75" customHeight="1" x14ac:dyDescent="0.15">
      <c r="A557" s="13"/>
      <c r="B557" s="14"/>
      <c r="C557" s="30"/>
    </row>
    <row r="558" spans="1:3" ht="12.75" customHeight="1" x14ac:dyDescent="0.15">
      <c r="A558" s="13"/>
      <c r="B558" s="14"/>
      <c r="C558" s="30"/>
    </row>
    <row r="559" spans="1:3" ht="12.75" customHeight="1" x14ac:dyDescent="0.15">
      <c r="A559" s="13"/>
      <c r="B559" s="14"/>
      <c r="C559" s="30"/>
    </row>
    <row r="560" spans="1:3" ht="12.75" customHeight="1" x14ac:dyDescent="0.15">
      <c r="A560" s="13"/>
      <c r="B560" s="14"/>
      <c r="C560" s="30"/>
    </row>
    <row r="561" spans="1:3" ht="12.75" customHeight="1" x14ac:dyDescent="0.15">
      <c r="A561" s="13"/>
      <c r="B561" s="14"/>
      <c r="C561" s="30"/>
    </row>
    <row r="562" spans="1:3" ht="12.75" customHeight="1" x14ac:dyDescent="0.15">
      <c r="A562" s="13"/>
      <c r="B562" s="14"/>
      <c r="C562" s="30"/>
    </row>
    <row r="563" spans="1:3" ht="12.75" customHeight="1" x14ac:dyDescent="0.15">
      <c r="A563" s="13"/>
      <c r="B563" s="14"/>
      <c r="C563" s="30"/>
    </row>
    <row r="564" spans="1:3" ht="12.75" customHeight="1" x14ac:dyDescent="0.15">
      <c r="A564" s="13"/>
      <c r="B564" s="14"/>
      <c r="C564" s="30"/>
    </row>
    <row r="565" spans="1:3" ht="12.75" customHeight="1" x14ac:dyDescent="0.15">
      <c r="A565" s="13"/>
      <c r="B565" s="14"/>
      <c r="C565" s="30"/>
    </row>
    <row r="566" spans="1:3" ht="12.75" customHeight="1" x14ac:dyDescent="0.15">
      <c r="A566" s="13"/>
      <c r="B566" s="14"/>
      <c r="C566" s="30"/>
    </row>
    <row r="567" spans="1:3" ht="12.75" customHeight="1" x14ac:dyDescent="0.15">
      <c r="A567" s="13"/>
      <c r="B567" s="14"/>
      <c r="C567" s="30"/>
    </row>
    <row r="568" spans="1:3" ht="12.75" customHeight="1" x14ac:dyDescent="0.15">
      <c r="A568" s="13"/>
      <c r="B568" s="14"/>
      <c r="C568" s="30"/>
    </row>
    <row r="569" spans="1:3" ht="12.75" customHeight="1" x14ac:dyDescent="0.15">
      <c r="A569" s="13"/>
      <c r="B569" s="14"/>
      <c r="C569" s="30"/>
    </row>
    <row r="570" spans="1:3" ht="12.75" customHeight="1" x14ac:dyDescent="0.15">
      <c r="A570" s="13"/>
      <c r="B570" s="14"/>
      <c r="C570" s="30"/>
    </row>
    <row r="571" spans="1:3" ht="12.75" customHeight="1" x14ac:dyDescent="0.15">
      <c r="A571" s="13"/>
      <c r="B571" s="14"/>
      <c r="C571" s="30"/>
    </row>
    <row r="572" spans="1:3" ht="12.75" customHeight="1" x14ac:dyDescent="0.15">
      <c r="A572" s="13"/>
      <c r="B572" s="14"/>
      <c r="C572" s="30"/>
    </row>
    <row r="573" spans="1:3" ht="12.75" customHeight="1" x14ac:dyDescent="0.15">
      <c r="A573" s="13"/>
      <c r="B573" s="14"/>
      <c r="C573" s="30"/>
    </row>
    <row r="574" spans="1:3" ht="12.75" customHeight="1" x14ac:dyDescent="0.15">
      <c r="A574" s="13"/>
      <c r="B574" s="14"/>
      <c r="C574" s="30"/>
    </row>
    <row r="575" spans="1:3" ht="12.75" customHeight="1" x14ac:dyDescent="0.15">
      <c r="A575" s="13"/>
      <c r="B575" s="14"/>
      <c r="C575" s="30"/>
    </row>
    <row r="576" spans="1:3" ht="12.75" customHeight="1" x14ac:dyDescent="0.15">
      <c r="A576" s="13"/>
      <c r="B576" s="14"/>
      <c r="C576" s="30"/>
    </row>
    <row r="577" spans="1:3" ht="12.75" customHeight="1" x14ac:dyDescent="0.15">
      <c r="A577" s="13"/>
      <c r="B577" s="14"/>
      <c r="C577" s="30"/>
    </row>
    <row r="578" spans="1:3" ht="12.75" customHeight="1" x14ac:dyDescent="0.15">
      <c r="A578" s="13"/>
      <c r="B578" s="14"/>
      <c r="C578" s="30"/>
    </row>
    <row r="579" spans="1:3" ht="12.75" customHeight="1" x14ac:dyDescent="0.15">
      <c r="A579" s="13"/>
      <c r="B579" s="14"/>
      <c r="C579" s="30"/>
    </row>
    <row r="580" spans="1:3" ht="12.75" customHeight="1" x14ac:dyDescent="0.15">
      <c r="A580" s="13"/>
      <c r="B580" s="14"/>
      <c r="C580" s="30"/>
    </row>
    <row r="581" spans="1:3" ht="12.75" customHeight="1" x14ac:dyDescent="0.15">
      <c r="A581" s="13"/>
      <c r="B581" s="14"/>
      <c r="C581" s="30"/>
    </row>
    <row r="582" spans="1:3" ht="12.75" customHeight="1" x14ac:dyDescent="0.15">
      <c r="A582" s="13"/>
      <c r="B582" s="14"/>
      <c r="C582" s="30"/>
    </row>
    <row r="583" spans="1:3" ht="12.75" customHeight="1" x14ac:dyDescent="0.15">
      <c r="A583" s="13"/>
      <c r="B583" s="14"/>
      <c r="C583" s="30"/>
    </row>
    <row r="584" spans="1:3" ht="12.75" customHeight="1" x14ac:dyDescent="0.15">
      <c r="A584" s="13"/>
      <c r="B584" s="14"/>
      <c r="C584" s="30"/>
    </row>
    <row r="585" spans="1:3" ht="12.75" customHeight="1" x14ac:dyDescent="0.15">
      <c r="A585" s="13"/>
      <c r="B585" s="14"/>
      <c r="C585" s="30"/>
    </row>
    <row r="586" spans="1:3" ht="12.75" customHeight="1" x14ac:dyDescent="0.15">
      <c r="A586" s="13"/>
      <c r="B586" s="14"/>
      <c r="C586" s="30"/>
    </row>
    <row r="587" spans="1:3" ht="12.75" customHeight="1" x14ac:dyDescent="0.15">
      <c r="A587" s="13"/>
      <c r="B587" s="14"/>
      <c r="C587" s="30"/>
    </row>
    <row r="588" spans="1:3" ht="12.75" customHeight="1" x14ac:dyDescent="0.15">
      <c r="A588" s="13"/>
      <c r="B588" s="14"/>
      <c r="C588" s="30"/>
    </row>
    <row r="589" spans="1:3" ht="12.75" customHeight="1" x14ac:dyDescent="0.15">
      <c r="A589" s="13"/>
      <c r="B589" s="14"/>
      <c r="C589" s="30"/>
    </row>
    <row r="590" spans="1:3" ht="12.75" customHeight="1" x14ac:dyDescent="0.15">
      <c r="A590" s="13"/>
      <c r="B590" s="14"/>
      <c r="C590" s="30"/>
    </row>
    <row r="591" spans="1:3" ht="12.75" customHeight="1" x14ac:dyDescent="0.15">
      <c r="A591" s="13"/>
      <c r="B591" s="14"/>
      <c r="C591" s="30"/>
    </row>
    <row r="592" spans="1:3" ht="12.75" customHeight="1" x14ac:dyDescent="0.15">
      <c r="A592" s="13"/>
      <c r="B592" s="14"/>
      <c r="C592" s="30"/>
    </row>
    <row r="593" spans="1:3" ht="12.75" customHeight="1" x14ac:dyDescent="0.15">
      <c r="A593" s="13"/>
      <c r="B593" s="14"/>
      <c r="C593" s="30"/>
    </row>
    <row r="594" spans="1:3" ht="12.75" customHeight="1" x14ac:dyDescent="0.15">
      <c r="A594" s="13"/>
      <c r="B594" s="14"/>
      <c r="C594" s="30"/>
    </row>
    <row r="595" spans="1:3" ht="12.75" customHeight="1" x14ac:dyDescent="0.15">
      <c r="A595" s="13"/>
      <c r="B595" s="14"/>
      <c r="C595" s="30"/>
    </row>
    <row r="596" spans="1:3" ht="12.75" customHeight="1" x14ac:dyDescent="0.15">
      <c r="A596" s="13"/>
      <c r="B596" s="14"/>
      <c r="C596" s="30"/>
    </row>
    <row r="597" spans="1:3" ht="12.75" customHeight="1" x14ac:dyDescent="0.15">
      <c r="A597" s="13"/>
      <c r="B597" s="14"/>
      <c r="C597" s="30"/>
    </row>
    <row r="598" spans="1:3" ht="12.75" customHeight="1" x14ac:dyDescent="0.15">
      <c r="A598" s="13"/>
      <c r="B598" s="14"/>
      <c r="C598" s="30"/>
    </row>
    <row r="599" spans="1:3" ht="12.75" customHeight="1" x14ac:dyDescent="0.15">
      <c r="A599" s="13"/>
      <c r="B599" s="14"/>
      <c r="C599" s="30"/>
    </row>
    <row r="600" spans="1:3" ht="12.75" customHeight="1" x14ac:dyDescent="0.15">
      <c r="A600" s="13"/>
      <c r="B600" s="14"/>
      <c r="C600" s="30"/>
    </row>
    <row r="601" spans="1:3" ht="12.75" customHeight="1" x14ac:dyDescent="0.15">
      <c r="A601" s="13"/>
      <c r="B601" s="14"/>
      <c r="C601" s="30"/>
    </row>
    <row r="602" spans="1:3" ht="12.75" customHeight="1" x14ac:dyDescent="0.15">
      <c r="A602" s="13"/>
      <c r="B602" s="14"/>
      <c r="C602" s="30"/>
    </row>
    <row r="603" spans="1:3" ht="12.75" customHeight="1" x14ac:dyDescent="0.15">
      <c r="A603" s="13"/>
      <c r="B603" s="14"/>
      <c r="C603" s="30"/>
    </row>
    <row r="604" spans="1:3" ht="12.75" customHeight="1" x14ac:dyDescent="0.15">
      <c r="A604" s="13"/>
      <c r="B604" s="14"/>
      <c r="C604" s="30"/>
    </row>
    <row r="605" spans="1:3" ht="12.75" customHeight="1" x14ac:dyDescent="0.15">
      <c r="A605" s="13"/>
      <c r="B605" s="14"/>
      <c r="C605" s="30"/>
    </row>
    <row r="606" spans="1:3" ht="12.75" customHeight="1" x14ac:dyDescent="0.15">
      <c r="A606" s="13"/>
      <c r="B606" s="14"/>
      <c r="C606" s="30"/>
    </row>
    <row r="607" spans="1:3" ht="12.75" customHeight="1" x14ac:dyDescent="0.15">
      <c r="A607" s="13"/>
      <c r="B607" s="14"/>
      <c r="C607" s="30"/>
    </row>
    <row r="608" spans="1:3" ht="12.75" customHeight="1" x14ac:dyDescent="0.15">
      <c r="A608" s="13"/>
      <c r="B608" s="14"/>
      <c r="C608" s="30"/>
    </row>
    <row r="609" spans="1:3" ht="12.75" customHeight="1" x14ac:dyDescent="0.15">
      <c r="A609" s="13"/>
      <c r="B609" s="14"/>
      <c r="C609" s="30"/>
    </row>
    <row r="610" spans="1:3" ht="12.75" customHeight="1" x14ac:dyDescent="0.15">
      <c r="A610" s="13"/>
      <c r="B610" s="14"/>
      <c r="C610" s="30"/>
    </row>
    <row r="611" spans="1:3" ht="12.75" customHeight="1" x14ac:dyDescent="0.15">
      <c r="A611" s="13"/>
      <c r="B611" s="14"/>
      <c r="C611" s="30"/>
    </row>
    <row r="612" spans="1:3" ht="12.75" customHeight="1" x14ac:dyDescent="0.15">
      <c r="A612" s="13"/>
      <c r="B612" s="14"/>
      <c r="C612" s="30"/>
    </row>
    <row r="613" spans="1:3" ht="12.75" customHeight="1" x14ac:dyDescent="0.15">
      <c r="A613" s="13"/>
      <c r="B613" s="14"/>
      <c r="C613" s="30"/>
    </row>
    <row r="614" spans="1:3" ht="12.75" customHeight="1" x14ac:dyDescent="0.15">
      <c r="A614" s="13"/>
      <c r="B614" s="14"/>
      <c r="C614" s="30"/>
    </row>
    <row r="615" spans="1:3" ht="12.75" customHeight="1" x14ac:dyDescent="0.15">
      <c r="A615" s="13"/>
      <c r="B615" s="14"/>
      <c r="C615" s="30"/>
    </row>
    <row r="616" spans="1:3" ht="12.75" customHeight="1" x14ac:dyDescent="0.15">
      <c r="A616" s="13"/>
      <c r="B616" s="14"/>
      <c r="C616" s="30"/>
    </row>
    <row r="617" spans="1:3" ht="12.75" customHeight="1" x14ac:dyDescent="0.15">
      <c r="A617" s="13"/>
      <c r="B617" s="14"/>
      <c r="C617" s="30"/>
    </row>
    <row r="618" spans="1:3" ht="12.75" customHeight="1" x14ac:dyDescent="0.15">
      <c r="A618" s="13"/>
      <c r="B618" s="14"/>
      <c r="C618" s="30"/>
    </row>
    <row r="619" spans="1:3" ht="12.75" customHeight="1" x14ac:dyDescent="0.15">
      <c r="A619" s="13"/>
      <c r="B619" s="14"/>
      <c r="C619" s="30"/>
    </row>
    <row r="620" spans="1:3" ht="12.75" customHeight="1" x14ac:dyDescent="0.15">
      <c r="A620" s="13"/>
      <c r="B620" s="14"/>
      <c r="C620" s="30"/>
    </row>
    <row r="621" spans="1:3" ht="12.75" customHeight="1" x14ac:dyDescent="0.15">
      <c r="A621" s="13"/>
      <c r="B621" s="14"/>
      <c r="C621" s="30"/>
    </row>
    <row r="622" spans="1:3" ht="12.75" customHeight="1" x14ac:dyDescent="0.15">
      <c r="A622" s="13"/>
      <c r="B622" s="14"/>
      <c r="C622" s="30"/>
    </row>
    <row r="623" spans="1:3" ht="12.75" customHeight="1" x14ac:dyDescent="0.15">
      <c r="A623" s="13"/>
      <c r="B623" s="14"/>
      <c r="C623" s="30"/>
    </row>
    <row r="624" spans="1:3" ht="12.75" customHeight="1" x14ac:dyDescent="0.15">
      <c r="A624" s="13"/>
      <c r="B624" s="14"/>
      <c r="C624" s="30"/>
    </row>
    <row r="625" spans="1:3" ht="12.75" customHeight="1" x14ac:dyDescent="0.15">
      <c r="A625" s="13"/>
      <c r="B625" s="14"/>
      <c r="C625" s="30"/>
    </row>
    <row r="626" spans="1:3" ht="12.75" customHeight="1" x14ac:dyDescent="0.15">
      <c r="A626" s="13"/>
      <c r="B626" s="14"/>
      <c r="C626" s="30"/>
    </row>
    <row r="627" spans="1:3" ht="12.75" customHeight="1" x14ac:dyDescent="0.15">
      <c r="A627" s="13"/>
      <c r="B627" s="14"/>
      <c r="C627" s="30"/>
    </row>
    <row r="628" spans="1:3" ht="12.75" customHeight="1" x14ac:dyDescent="0.15">
      <c r="A628" s="13"/>
      <c r="B628" s="14"/>
      <c r="C628" s="30"/>
    </row>
    <row r="629" spans="1:3" ht="12.75" customHeight="1" x14ac:dyDescent="0.15">
      <c r="A629" s="13"/>
      <c r="B629" s="14"/>
      <c r="C629" s="30"/>
    </row>
    <row r="630" spans="1:3" ht="12.75" customHeight="1" x14ac:dyDescent="0.15">
      <c r="A630" s="13"/>
      <c r="B630" s="14"/>
      <c r="C630" s="30"/>
    </row>
    <row r="631" spans="1:3" ht="12.75" customHeight="1" x14ac:dyDescent="0.15">
      <c r="A631" s="13"/>
      <c r="B631" s="14"/>
      <c r="C631" s="30"/>
    </row>
    <row r="632" spans="1:3" ht="12.75" customHeight="1" x14ac:dyDescent="0.15">
      <c r="A632" s="13"/>
      <c r="B632" s="14"/>
      <c r="C632" s="30"/>
    </row>
    <row r="633" spans="1:3" ht="12.75" customHeight="1" x14ac:dyDescent="0.15">
      <c r="A633" s="13"/>
      <c r="B633" s="14"/>
      <c r="C633" s="30"/>
    </row>
    <row r="634" spans="1:3" ht="12.75" customHeight="1" x14ac:dyDescent="0.15">
      <c r="A634" s="13"/>
      <c r="B634" s="14"/>
      <c r="C634" s="30"/>
    </row>
    <row r="635" spans="1:3" ht="12.75" customHeight="1" x14ac:dyDescent="0.15">
      <c r="A635" s="13"/>
      <c r="B635" s="14"/>
      <c r="C635" s="30"/>
    </row>
    <row r="636" spans="1:3" ht="12.75" customHeight="1" x14ac:dyDescent="0.15">
      <c r="A636" s="13"/>
      <c r="B636" s="14"/>
      <c r="C636" s="30"/>
    </row>
    <row r="637" spans="1:3" ht="12.75" customHeight="1" x14ac:dyDescent="0.15">
      <c r="A637" s="13"/>
      <c r="B637" s="14"/>
      <c r="C637" s="30"/>
    </row>
    <row r="638" spans="1:3" ht="12.75" customHeight="1" x14ac:dyDescent="0.15">
      <c r="A638" s="13"/>
      <c r="B638" s="14"/>
      <c r="C638" s="30"/>
    </row>
    <row r="639" spans="1:3" ht="12.75" customHeight="1" x14ac:dyDescent="0.15">
      <c r="A639" s="13"/>
      <c r="B639" s="14"/>
      <c r="C639" s="30"/>
    </row>
    <row r="640" spans="1:3" ht="12.75" customHeight="1" x14ac:dyDescent="0.15">
      <c r="A640" s="13"/>
      <c r="B640" s="14"/>
      <c r="C640" s="30"/>
    </row>
    <row r="641" spans="1:3" ht="12.75" customHeight="1" x14ac:dyDescent="0.15">
      <c r="A641" s="13"/>
      <c r="B641" s="14"/>
      <c r="C641" s="30"/>
    </row>
    <row r="642" spans="1:3" ht="12.75" customHeight="1" x14ac:dyDescent="0.15">
      <c r="A642" s="13"/>
      <c r="B642" s="14"/>
      <c r="C642" s="30"/>
    </row>
    <row r="643" spans="1:3" ht="12.75" customHeight="1" x14ac:dyDescent="0.15">
      <c r="A643" s="13"/>
      <c r="B643" s="14"/>
      <c r="C643" s="30"/>
    </row>
    <row r="644" spans="1:3" ht="12.75" customHeight="1" x14ac:dyDescent="0.15">
      <c r="A644" s="13"/>
      <c r="B644" s="14"/>
      <c r="C644" s="30"/>
    </row>
    <row r="645" spans="1:3" ht="12.75" customHeight="1" x14ac:dyDescent="0.15">
      <c r="A645" s="13"/>
      <c r="B645" s="14"/>
      <c r="C645" s="30"/>
    </row>
    <row r="646" spans="1:3" ht="12.75" customHeight="1" x14ac:dyDescent="0.15">
      <c r="A646" s="13"/>
      <c r="B646" s="14"/>
      <c r="C646" s="30"/>
    </row>
    <row r="647" spans="1:3" ht="12.75" customHeight="1" x14ac:dyDescent="0.15">
      <c r="A647" s="13"/>
      <c r="B647" s="14"/>
      <c r="C647" s="30"/>
    </row>
    <row r="648" spans="1:3" ht="12.75" customHeight="1" x14ac:dyDescent="0.15">
      <c r="A648" s="13"/>
      <c r="B648" s="14"/>
      <c r="C648" s="30"/>
    </row>
    <row r="649" spans="1:3" ht="12.75" customHeight="1" x14ac:dyDescent="0.15">
      <c r="A649" s="13"/>
      <c r="B649" s="14"/>
      <c r="C649" s="30"/>
    </row>
    <row r="650" spans="1:3" ht="12.75" customHeight="1" x14ac:dyDescent="0.15">
      <c r="A650" s="13"/>
      <c r="B650" s="14"/>
      <c r="C650" s="30"/>
    </row>
    <row r="651" spans="1:3" ht="12.75" customHeight="1" x14ac:dyDescent="0.15">
      <c r="A651" s="13"/>
      <c r="B651" s="14"/>
      <c r="C651" s="30"/>
    </row>
    <row r="652" spans="1:3" ht="12.75" customHeight="1" x14ac:dyDescent="0.15">
      <c r="A652" s="13"/>
      <c r="B652" s="14"/>
      <c r="C652" s="30"/>
    </row>
    <row r="653" spans="1:3" ht="12.75" customHeight="1" x14ac:dyDescent="0.15">
      <c r="A653" s="13"/>
      <c r="B653" s="14"/>
      <c r="C653" s="30"/>
    </row>
    <row r="654" spans="1:3" ht="12.75" customHeight="1" x14ac:dyDescent="0.15">
      <c r="A654" s="13"/>
      <c r="B654" s="14"/>
      <c r="C654" s="30"/>
    </row>
    <row r="655" spans="1:3" ht="12.75" customHeight="1" x14ac:dyDescent="0.15">
      <c r="A655" s="13"/>
      <c r="B655" s="14"/>
      <c r="C655" s="30"/>
    </row>
    <row r="656" spans="1:3" ht="12.75" customHeight="1" x14ac:dyDescent="0.15">
      <c r="A656" s="13"/>
      <c r="B656" s="14"/>
      <c r="C656" s="30"/>
    </row>
    <row r="657" spans="1:3" ht="12.75" customHeight="1" x14ac:dyDescent="0.15">
      <c r="A657" s="13"/>
      <c r="B657" s="14"/>
      <c r="C657" s="30"/>
    </row>
    <row r="658" spans="1:3" ht="12.75" customHeight="1" x14ac:dyDescent="0.15">
      <c r="A658" s="13"/>
      <c r="B658" s="14"/>
      <c r="C658" s="30"/>
    </row>
    <row r="659" spans="1:3" ht="12.75" customHeight="1" x14ac:dyDescent="0.15">
      <c r="A659" s="13"/>
      <c r="B659" s="14"/>
      <c r="C659" s="30"/>
    </row>
    <row r="660" spans="1:3" ht="12.75" customHeight="1" x14ac:dyDescent="0.15">
      <c r="A660" s="13"/>
      <c r="B660" s="14"/>
      <c r="C660" s="30"/>
    </row>
    <row r="661" spans="1:3" ht="12.75" customHeight="1" x14ac:dyDescent="0.15">
      <c r="A661" s="13"/>
      <c r="B661" s="14"/>
      <c r="C661" s="30"/>
    </row>
    <row r="662" spans="1:3" ht="12.75" customHeight="1" x14ac:dyDescent="0.15">
      <c r="A662" s="13"/>
      <c r="B662" s="14"/>
      <c r="C662" s="30"/>
    </row>
    <row r="663" spans="1:3" ht="12.75" customHeight="1" x14ac:dyDescent="0.15">
      <c r="A663" s="13"/>
      <c r="B663" s="14"/>
      <c r="C663" s="30"/>
    </row>
    <row r="664" spans="1:3" ht="12.75" customHeight="1" x14ac:dyDescent="0.15">
      <c r="A664" s="13"/>
      <c r="B664" s="14"/>
      <c r="C664" s="30"/>
    </row>
    <row r="665" spans="1:3" ht="12.75" customHeight="1" x14ac:dyDescent="0.15">
      <c r="A665" s="13"/>
      <c r="B665" s="14"/>
      <c r="C665" s="30"/>
    </row>
    <row r="666" spans="1:3" ht="12.75" customHeight="1" x14ac:dyDescent="0.15">
      <c r="A666" s="13"/>
      <c r="B666" s="14"/>
      <c r="C666" s="30"/>
    </row>
    <row r="667" spans="1:3" ht="12.75" customHeight="1" x14ac:dyDescent="0.15">
      <c r="A667" s="13"/>
      <c r="B667" s="14"/>
      <c r="C667" s="30"/>
    </row>
    <row r="668" spans="1:3" ht="12.75" customHeight="1" x14ac:dyDescent="0.15">
      <c r="A668" s="13"/>
      <c r="B668" s="14"/>
      <c r="C668" s="30"/>
    </row>
    <row r="669" spans="1:3" ht="12.75" customHeight="1" x14ac:dyDescent="0.15">
      <c r="A669" s="13"/>
      <c r="B669" s="14"/>
      <c r="C669" s="30"/>
    </row>
    <row r="670" spans="1:3" ht="12.75" customHeight="1" x14ac:dyDescent="0.15">
      <c r="A670" s="13"/>
      <c r="B670" s="14"/>
      <c r="C670" s="30"/>
    </row>
    <row r="671" spans="1:3" ht="12.75" customHeight="1" x14ac:dyDescent="0.15">
      <c r="A671" s="13"/>
      <c r="B671" s="14"/>
      <c r="C671" s="30"/>
    </row>
    <row r="672" spans="1:3" ht="12.75" customHeight="1" x14ac:dyDescent="0.15">
      <c r="A672" s="13"/>
      <c r="B672" s="14"/>
      <c r="C672" s="30"/>
    </row>
    <row r="673" spans="1:3" ht="12.75" customHeight="1" x14ac:dyDescent="0.15">
      <c r="A673" s="13"/>
      <c r="B673" s="14"/>
      <c r="C673" s="30"/>
    </row>
    <row r="674" spans="1:3" ht="12.75" customHeight="1" x14ac:dyDescent="0.15">
      <c r="A674" s="13"/>
      <c r="B674" s="14"/>
      <c r="C674" s="30"/>
    </row>
    <row r="675" spans="1:3" ht="12.75" customHeight="1" x14ac:dyDescent="0.15">
      <c r="A675" s="13"/>
      <c r="B675" s="14"/>
      <c r="C675" s="30"/>
    </row>
    <row r="676" spans="1:3" ht="12.75" customHeight="1" x14ac:dyDescent="0.15">
      <c r="A676" s="13"/>
      <c r="B676" s="14"/>
      <c r="C676" s="30"/>
    </row>
    <row r="677" spans="1:3" ht="12.75" customHeight="1" x14ac:dyDescent="0.15">
      <c r="A677" s="13"/>
      <c r="B677" s="14"/>
      <c r="C677" s="30"/>
    </row>
    <row r="678" spans="1:3" ht="12.75" customHeight="1" x14ac:dyDescent="0.15">
      <c r="A678" s="13"/>
      <c r="B678" s="14"/>
      <c r="C678" s="30"/>
    </row>
    <row r="679" spans="1:3" ht="12.75" customHeight="1" x14ac:dyDescent="0.15">
      <c r="A679" s="13"/>
      <c r="B679" s="14"/>
      <c r="C679" s="30"/>
    </row>
    <row r="680" spans="1:3" ht="12.75" customHeight="1" x14ac:dyDescent="0.15">
      <c r="A680" s="13"/>
      <c r="B680" s="14"/>
      <c r="C680" s="30"/>
    </row>
    <row r="681" spans="1:3" ht="12.75" customHeight="1" x14ac:dyDescent="0.15">
      <c r="A681" s="13"/>
      <c r="B681" s="14"/>
      <c r="C681" s="30"/>
    </row>
    <row r="682" spans="1:3" ht="12.75" customHeight="1" x14ac:dyDescent="0.15">
      <c r="A682" s="13"/>
      <c r="B682" s="14"/>
      <c r="C682" s="30"/>
    </row>
    <row r="683" spans="1:3" ht="12.75" customHeight="1" x14ac:dyDescent="0.15">
      <c r="A683" s="13"/>
      <c r="B683" s="14"/>
      <c r="C683" s="30"/>
    </row>
    <row r="684" spans="1:3" ht="12.75" customHeight="1" x14ac:dyDescent="0.15">
      <c r="A684" s="13"/>
      <c r="B684" s="14"/>
      <c r="C684" s="30"/>
    </row>
    <row r="685" spans="1:3" ht="12.75" customHeight="1" x14ac:dyDescent="0.15">
      <c r="A685" s="13"/>
      <c r="B685" s="14"/>
      <c r="C685" s="30"/>
    </row>
    <row r="686" spans="1:3" ht="12.75" customHeight="1" x14ac:dyDescent="0.15">
      <c r="A686" s="13"/>
      <c r="B686" s="14"/>
      <c r="C686" s="30"/>
    </row>
    <row r="687" spans="1:3" ht="12.75" customHeight="1" x14ac:dyDescent="0.15">
      <c r="A687" s="13"/>
      <c r="B687" s="14"/>
      <c r="C687" s="30"/>
    </row>
    <row r="688" spans="1:3" ht="12.75" customHeight="1" x14ac:dyDescent="0.15">
      <c r="A688" s="13"/>
      <c r="B688" s="14"/>
      <c r="C688" s="30"/>
    </row>
    <row r="689" spans="1:3" ht="12.75" customHeight="1" x14ac:dyDescent="0.15">
      <c r="A689" s="13"/>
      <c r="B689" s="14"/>
      <c r="C689" s="30"/>
    </row>
    <row r="690" spans="1:3" ht="12.75" customHeight="1" x14ac:dyDescent="0.15">
      <c r="A690" s="13"/>
      <c r="B690" s="14"/>
      <c r="C690" s="30"/>
    </row>
    <row r="691" spans="1:3" ht="12.75" customHeight="1" x14ac:dyDescent="0.15">
      <c r="A691" s="13"/>
      <c r="B691" s="14"/>
      <c r="C691" s="30"/>
    </row>
    <row r="692" spans="1:3" ht="12.75" customHeight="1" x14ac:dyDescent="0.15">
      <c r="A692" s="13"/>
      <c r="B692" s="14"/>
      <c r="C692" s="30"/>
    </row>
    <row r="693" spans="1:3" ht="12.75" customHeight="1" x14ac:dyDescent="0.15">
      <c r="A693" s="13"/>
      <c r="B693" s="14"/>
      <c r="C693" s="30"/>
    </row>
    <row r="694" spans="1:3" ht="12.75" customHeight="1" x14ac:dyDescent="0.15">
      <c r="A694" s="13"/>
      <c r="B694" s="14"/>
      <c r="C694" s="30"/>
    </row>
    <row r="695" spans="1:3" ht="12.75" customHeight="1" x14ac:dyDescent="0.15">
      <c r="A695" s="13"/>
      <c r="B695" s="14"/>
      <c r="C695" s="30"/>
    </row>
    <row r="696" spans="1:3" ht="12.75" customHeight="1" x14ac:dyDescent="0.15">
      <c r="A696" s="13"/>
      <c r="B696" s="14"/>
      <c r="C696" s="30"/>
    </row>
    <row r="697" spans="1:3" ht="12.75" customHeight="1" x14ac:dyDescent="0.15">
      <c r="A697" s="13"/>
      <c r="B697" s="14"/>
      <c r="C697" s="30"/>
    </row>
    <row r="698" spans="1:3" ht="12.75" customHeight="1" x14ac:dyDescent="0.15">
      <c r="A698" s="13"/>
      <c r="B698" s="14"/>
      <c r="C698" s="30"/>
    </row>
    <row r="699" spans="1:3" ht="12.75" customHeight="1" x14ac:dyDescent="0.15">
      <c r="A699" s="13"/>
      <c r="B699" s="14"/>
      <c r="C699" s="30"/>
    </row>
    <row r="700" spans="1:3" ht="12.75" customHeight="1" x14ac:dyDescent="0.15">
      <c r="A700" s="13"/>
      <c r="B700" s="14"/>
      <c r="C700" s="30"/>
    </row>
    <row r="701" spans="1:3" ht="12.75" customHeight="1" x14ac:dyDescent="0.15">
      <c r="A701" s="13"/>
      <c r="B701" s="14"/>
      <c r="C701" s="30"/>
    </row>
    <row r="702" spans="1:3" ht="12.75" customHeight="1" x14ac:dyDescent="0.15">
      <c r="A702" s="13"/>
      <c r="B702" s="14"/>
      <c r="C702" s="30"/>
    </row>
    <row r="703" spans="1:3" ht="12.75" customHeight="1" x14ac:dyDescent="0.15">
      <c r="A703" s="13"/>
      <c r="B703" s="14"/>
      <c r="C703" s="30"/>
    </row>
    <row r="704" spans="1:3" ht="12.75" customHeight="1" x14ac:dyDescent="0.15">
      <c r="A704" s="13"/>
      <c r="B704" s="14"/>
      <c r="C704" s="30"/>
    </row>
    <row r="705" spans="1:3" ht="12.75" customHeight="1" x14ac:dyDescent="0.15">
      <c r="A705" s="13"/>
      <c r="B705" s="14"/>
      <c r="C705" s="30"/>
    </row>
    <row r="706" spans="1:3" ht="12.75" customHeight="1" x14ac:dyDescent="0.15">
      <c r="A706" s="13"/>
      <c r="B706" s="14"/>
      <c r="C706" s="30"/>
    </row>
    <row r="707" spans="1:3" ht="12.75" customHeight="1" x14ac:dyDescent="0.15">
      <c r="A707" s="13"/>
      <c r="B707" s="14"/>
      <c r="C707" s="30"/>
    </row>
    <row r="708" spans="1:3" ht="12.75" customHeight="1" x14ac:dyDescent="0.15">
      <c r="A708" s="13"/>
      <c r="B708" s="14"/>
      <c r="C708" s="30"/>
    </row>
    <row r="709" spans="1:3" ht="12.75" customHeight="1" x14ac:dyDescent="0.15">
      <c r="A709" s="13"/>
      <c r="B709" s="14"/>
      <c r="C709" s="30"/>
    </row>
    <row r="710" spans="1:3" ht="12.75" customHeight="1" x14ac:dyDescent="0.15">
      <c r="A710" s="13"/>
      <c r="B710" s="14"/>
      <c r="C710" s="30"/>
    </row>
    <row r="711" spans="1:3" ht="12.75" customHeight="1" x14ac:dyDescent="0.15">
      <c r="A711" s="13"/>
      <c r="B711" s="14"/>
      <c r="C711" s="30"/>
    </row>
    <row r="712" spans="1:3" ht="12.75" customHeight="1" x14ac:dyDescent="0.15">
      <c r="A712" s="13"/>
      <c r="B712" s="14"/>
      <c r="C712" s="30"/>
    </row>
    <row r="713" spans="1:3" ht="12.75" customHeight="1" x14ac:dyDescent="0.15">
      <c r="A713" s="13"/>
      <c r="B713" s="14"/>
      <c r="C713" s="30"/>
    </row>
    <row r="714" spans="1:3" ht="12.75" customHeight="1" x14ac:dyDescent="0.15">
      <c r="A714" s="13"/>
      <c r="B714" s="14"/>
      <c r="C714" s="30"/>
    </row>
    <row r="715" spans="1:3" ht="12.75" customHeight="1" x14ac:dyDescent="0.15">
      <c r="A715" s="13"/>
      <c r="B715" s="14"/>
      <c r="C715" s="30"/>
    </row>
    <row r="716" spans="1:3" ht="12.75" customHeight="1" x14ac:dyDescent="0.15">
      <c r="A716" s="13"/>
      <c r="B716" s="14"/>
      <c r="C716" s="30"/>
    </row>
    <row r="717" spans="1:3" ht="12.75" customHeight="1" x14ac:dyDescent="0.15">
      <c r="A717" s="13"/>
      <c r="B717" s="14"/>
      <c r="C717" s="30"/>
    </row>
    <row r="718" spans="1:3" ht="12.75" customHeight="1" x14ac:dyDescent="0.15">
      <c r="A718" s="13"/>
      <c r="B718" s="14"/>
      <c r="C718" s="30"/>
    </row>
    <row r="719" spans="1:3" ht="12.75" customHeight="1" x14ac:dyDescent="0.15">
      <c r="A719" s="13"/>
      <c r="B719" s="14"/>
      <c r="C719" s="30"/>
    </row>
    <row r="720" spans="1:3" ht="12.75" customHeight="1" x14ac:dyDescent="0.15">
      <c r="A720" s="13"/>
      <c r="B720" s="14"/>
      <c r="C720" s="30"/>
    </row>
    <row r="721" spans="1:3" ht="12.75" customHeight="1" x14ac:dyDescent="0.15">
      <c r="A721" s="13"/>
      <c r="B721" s="14"/>
      <c r="C721" s="30"/>
    </row>
    <row r="722" spans="1:3" ht="12.75" customHeight="1" x14ac:dyDescent="0.15">
      <c r="A722" s="13"/>
      <c r="B722" s="14"/>
      <c r="C722" s="30"/>
    </row>
    <row r="723" spans="1:3" ht="12.75" customHeight="1" x14ac:dyDescent="0.15">
      <c r="A723" s="13"/>
      <c r="B723" s="14"/>
      <c r="C723" s="30"/>
    </row>
    <row r="724" spans="1:3" ht="12.75" customHeight="1" x14ac:dyDescent="0.15">
      <c r="A724" s="13"/>
      <c r="B724" s="14"/>
      <c r="C724" s="30"/>
    </row>
    <row r="725" spans="1:3" ht="12.75" customHeight="1" x14ac:dyDescent="0.15">
      <c r="A725" s="13"/>
      <c r="B725" s="14"/>
      <c r="C725" s="30"/>
    </row>
    <row r="726" spans="1:3" ht="12.75" customHeight="1" x14ac:dyDescent="0.15">
      <c r="A726" s="13"/>
      <c r="B726" s="14"/>
      <c r="C726" s="30"/>
    </row>
    <row r="727" spans="1:3" ht="12.75" customHeight="1" x14ac:dyDescent="0.15">
      <c r="A727" s="13"/>
      <c r="B727" s="14"/>
      <c r="C727" s="30"/>
    </row>
    <row r="728" spans="1:3" ht="12.75" customHeight="1" x14ac:dyDescent="0.15">
      <c r="A728" s="13"/>
      <c r="B728" s="14"/>
      <c r="C728" s="30"/>
    </row>
    <row r="729" spans="1:3" ht="12.75" customHeight="1" x14ac:dyDescent="0.15">
      <c r="A729" s="13"/>
      <c r="B729" s="14"/>
      <c r="C729" s="30"/>
    </row>
    <row r="730" spans="1:3" ht="12.75" customHeight="1" x14ac:dyDescent="0.15">
      <c r="A730" s="13"/>
      <c r="B730" s="14"/>
      <c r="C730" s="30"/>
    </row>
    <row r="731" spans="1:3" ht="12.75" customHeight="1" x14ac:dyDescent="0.15">
      <c r="A731" s="13"/>
      <c r="B731" s="14"/>
      <c r="C731" s="30"/>
    </row>
    <row r="732" spans="1:3" ht="12.75" customHeight="1" x14ac:dyDescent="0.15">
      <c r="A732" s="13"/>
      <c r="B732" s="14"/>
      <c r="C732" s="30"/>
    </row>
    <row r="733" spans="1:3" ht="12.75" customHeight="1" x14ac:dyDescent="0.15">
      <c r="A733" s="13"/>
      <c r="B733" s="14"/>
      <c r="C733" s="30"/>
    </row>
    <row r="734" spans="1:3" ht="12.75" customHeight="1" x14ac:dyDescent="0.15">
      <c r="A734" s="13"/>
      <c r="B734" s="14"/>
      <c r="C734" s="30"/>
    </row>
    <row r="735" spans="1:3" ht="12.75" customHeight="1" x14ac:dyDescent="0.15">
      <c r="A735" s="13"/>
      <c r="B735" s="14"/>
      <c r="C735" s="30"/>
    </row>
    <row r="736" spans="1:3" ht="12.75" customHeight="1" x14ac:dyDescent="0.15">
      <c r="A736" s="13"/>
      <c r="B736" s="14"/>
      <c r="C736" s="30"/>
    </row>
    <row r="737" spans="1:3" ht="12.75" customHeight="1" x14ac:dyDescent="0.15">
      <c r="A737" s="13"/>
      <c r="B737" s="14"/>
      <c r="C737" s="30"/>
    </row>
    <row r="738" spans="1:3" ht="12.75" customHeight="1" x14ac:dyDescent="0.15">
      <c r="A738" s="13"/>
      <c r="B738" s="14"/>
      <c r="C738" s="30"/>
    </row>
    <row r="739" spans="1:3" ht="12.75" customHeight="1" x14ac:dyDescent="0.15">
      <c r="A739" s="13"/>
      <c r="B739" s="14"/>
      <c r="C739" s="30"/>
    </row>
    <row r="740" spans="1:3" ht="12.75" customHeight="1" x14ac:dyDescent="0.15">
      <c r="A740" s="13"/>
      <c r="B740" s="14"/>
      <c r="C740" s="30"/>
    </row>
    <row r="741" spans="1:3" ht="12.75" customHeight="1" x14ac:dyDescent="0.15">
      <c r="A741" s="13"/>
      <c r="B741" s="14"/>
      <c r="C741" s="30"/>
    </row>
    <row r="742" spans="1:3" ht="12.75" customHeight="1" x14ac:dyDescent="0.15">
      <c r="A742" s="13"/>
      <c r="B742" s="14"/>
      <c r="C742" s="30"/>
    </row>
    <row r="743" spans="1:3" ht="12.75" customHeight="1" x14ac:dyDescent="0.15">
      <c r="A743" s="13"/>
      <c r="B743" s="14"/>
      <c r="C743" s="30"/>
    </row>
    <row r="744" spans="1:3" ht="12.75" customHeight="1" x14ac:dyDescent="0.15">
      <c r="A744" s="13"/>
      <c r="B744" s="14"/>
      <c r="C744" s="30"/>
    </row>
    <row r="745" spans="1:3" ht="12.75" customHeight="1" x14ac:dyDescent="0.15">
      <c r="A745" s="13"/>
      <c r="B745" s="14"/>
      <c r="C745" s="30"/>
    </row>
    <row r="746" spans="1:3" ht="12.75" customHeight="1" x14ac:dyDescent="0.15">
      <c r="A746" s="13"/>
      <c r="B746" s="14"/>
      <c r="C746" s="30"/>
    </row>
    <row r="747" spans="1:3" ht="12.75" customHeight="1" x14ac:dyDescent="0.15">
      <c r="A747" s="13"/>
      <c r="B747" s="14"/>
      <c r="C747" s="30"/>
    </row>
    <row r="748" spans="1:3" ht="12.75" customHeight="1" x14ac:dyDescent="0.15">
      <c r="A748" s="13"/>
      <c r="B748" s="14"/>
      <c r="C748" s="30"/>
    </row>
    <row r="749" spans="1:3" ht="12.75" customHeight="1" x14ac:dyDescent="0.15">
      <c r="A749" s="13"/>
      <c r="B749" s="14"/>
      <c r="C749" s="30"/>
    </row>
    <row r="750" spans="1:3" ht="12.75" customHeight="1" x14ac:dyDescent="0.15">
      <c r="A750" s="13"/>
      <c r="B750" s="14"/>
      <c r="C750" s="30"/>
    </row>
    <row r="751" spans="1:3" ht="12.75" customHeight="1" x14ac:dyDescent="0.15">
      <c r="A751" s="13"/>
      <c r="B751" s="14"/>
      <c r="C751" s="30"/>
    </row>
    <row r="752" spans="1:3" ht="12.75" customHeight="1" x14ac:dyDescent="0.15">
      <c r="A752" s="13"/>
      <c r="B752" s="14"/>
      <c r="C752" s="30"/>
    </row>
    <row r="753" spans="1:3" ht="12.75" customHeight="1" x14ac:dyDescent="0.15">
      <c r="A753" s="13"/>
      <c r="B753" s="14"/>
      <c r="C753" s="30"/>
    </row>
    <row r="754" spans="1:3" ht="12.75" customHeight="1" x14ac:dyDescent="0.15">
      <c r="A754" s="13"/>
      <c r="B754" s="14"/>
      <c r="C754" s="30"/>
    </row>
    <row r="755" spans="1:3" ht="12.75" customHeight="1" x14ac:dyDescent="0.15">
      <c r="A755" s="13"/>
      <c r="B755" s="14"/>
      <c r="C755" s="30"/>
    </row>
    <row r="756" spans="1:3" ht="12.75" customHeight="1" x14ac:dyDescent="0.15">
      <c r="A756" s="13"/>
      <c r="B756" s="14"/>
      <c r="C756" s="30"/>
    </row>
    <row r="757" spans="1:3" ht="12.75" customHeight="1" x14ac:dyDescent="0.15">
      <c r="A757" s="13"/>
      <c r="B757" s="14"/>
      <c r="C757" s="30"/>
    </row>
    <row r="758" spans="1:3" ht="12.75" customHeight="1" x14ac:dyDescent="0.15">
      <c r="A758" s="13"/>
      <c r="B758" s="14"/>
      <c r="C758" s="30"/>
    </row>
    <row r="759" spans="1:3" ht="12.75" customHeight="1" x14ac:dyDescent="0.15">
      <c r="A759" s="13"/>
      <c r="B759" s="14"/>
      <c r="C759" s="30"/>
    </row>
    <row r="760" spans="1:3" ht="12.75" customHeight="1" x14ac:dyDescent="0.15">
      <c r="A760" s="13"/>
      <c r="B760" s="14"/>
      <c r="C760" s="30"/>
    </row>
    <row r="761" spans="1:3" ht="12.75" customHeight="1" x14ac:dyDescent="0.15">
      <c r="A761" s="13"/>
      <c r="B761" s="14"/>
      <c r="C761" s="30"/>
    </row>
    <row r="762" spans="1:3" ht="12.75" customHeight="1" x14ac:dyDescent="0.15">
      <c r="A762" s="13"/>
      <c r="B762" s="14"/>
      <c r="C762" s="30"/>
    </row>
    <row r="763" spans="1:3" ht="12.75" customHeight="1" x14ac:dyDescent="0.15">
      <c r="A763" s="13"/>
      <c r="B763" s="14"/>
      <c r="C763" s="30"/>
    </row>
    <row r="764" spans="1:3" ht="12.75" customHeight="1" x14ac:dyDescent="0.15">
      <c r="A764" s="13"/>
      <c r="B764" s="14"/>
      <c r="C764" s="30"/>
    </row>
    <row r="765" spans="1:3" ht="12.75" customHeight="1" x14ac:dyDescent="0.15">
      <c r="A765" s="13"/>
      <c r="B765" s="14"/>
      <c r="C765" s="30"/>
    </row>
    <row r="766" spans="1:3" ht="12.75" customHeight="1" x14ac:dyDescent="0.15">
      <c r="A766" s="13"/>
      <c r="B766" s="14"/>
      <c r="C766" s="30"/>
    </row>
    <row r="767" spans="1:3" ht="12.75" customHeight="1" x14ac:dyDescent="0.15">
      <c r="A767" s="13"/>
      <c r="B767" s="14"/>
      <c r="C767" s="30"/>
    </row>
    <row r="768" spans="1:3" ht="12.75" customHeight="1" x14ac:dyDescent="0.15">
      <c r="A768" s="13"/>
      <c r="B768" s="14"/>
      <c r="C768" s="30"/>
    </row>
    <row r="769" spans="1:3" ht="12.75" customHeight="1" x14ac:dyDescent="0.15">
      <c r="A769" s="13"/>
      <c r="B769" s="14"/>
      <c r="C769" s="30"/>
    </row>
    <row r="770" spans="1:3" ht="12.75" customHeight="1" x14ac:dyDescent="0.15">
      <c r="A770" s="13"/>
      <c r="B770" s="14"/>
      <c r="C770" s="30"/>
    </row>
    <row r="771" spans="1:3" ht="12.75" customHeight="1" x14ac:dyDescent="0.15">
      <c r="A771" s="13"/>
      <c r="B771" s="14"/>
      <c r="C771" s="30"/>
    </row>
    <row r="772" spans="1:3" ht="12.75" customHeight="1" x14ac:dyDescent="0.15">
      <c r="A772" s="13"/>
      <c r="B772" s="14"/>
      <c r="C772" s="30"/>
    </row>
    <row r="773" spans="1:3" ht="12.75" customHeight="1" x14ac:dyDescent="0.15">
      <c r="A773" s="13"/>
      <c r="B773" s="14"/>
      <c r="C773" s="30"/>
    </row>
    <row r="774" spans="1:3" ht="12.75" customHeight="1" x14ac:dyDescent="0.15">
      <c r="A774" s="13"/>
      <c r="B774" s="14"/>
      <c r="C774" s="30"/>
    </row>
    <row r="775" spans="1:3" ht="12.75" customHeight="1" x14ac:dyDescent="0.15">
      <c r="A775" s="13"/>
      <c r="B775" s="14"/>
      <c r="C775" s="30"/>
    </row>
    <row r="776" spans="1:3" ht="12.75" customHeight="1" x14ac:dyDescent="0.15">
      <c r="A776" s="13"/>
      <c r="B776" s="14"/>
      <c r="C776" s="30"/>
    </row>
    <row r="777" spans="1:3" ht="12.75" customHeight="1" x14ac:dyDescent="0.15">
      <c r="A777" s="13"/>
      <c r="B777" s="14"/>
      <c r="C777" s="30"/>
    </row>
    <row r="778" spans="1:3" ht="12.75" customHeight="1" x14ac:dyDescent="0.15">
      <c r="A778" s="13"/>
      <c r="B778" s="14"/>
      <c r="C778" s="30"/>
    </row>
    <row r="779" spans="1:3" ht="12.75" customHeight="1" x14ac:dyDescent="0.15">
      <c r="A779" s="13"/>
      <c r="B779" s="14"/>
      <c r="C779" s="30"/>
    </row>
    <row r="780" spans="1:3" ht="12.75" customHeight="1" x14ac:dyDescent="0.15">
      <c r="A780" s="13"/>
      <c r="B780" s="14"/>
      <c r="C780" s="30"/>
    </row>
    <row r="781" spans="1:3" ht="12.75" customHeight="1" x14ac:dyDescent="0.15">
      <c r="A781" s="13"/>
      <c r="B781" s="14"/>
      <c r="C781" s="30"/>
    </row>
    <row r="782" spans="1:3" ht="12.75" customHeight="1" x14ac:dyDescent="0.15">
      <c r="A782" s="13"/>
      <c r="B782" s="14"/>
      <c r="C782" s="30"/>
    </row>
    <row r="783" spans="1:3" ht="12.75" customHeight="1" x14ac:dyDescent="0.15">
      <c r="A783" s="13"/>
      <c r="B783" s="14"/>
      <c r="C783" s="30"/>
    </row>
    <row r="784" spans="1:3" ht="12.75" customHeight="1" x14ac:dyDescent="0.15">
      <c r="A784" s="13"/>
      <c r="B784" s="14"/>
      <c r="C784" s="30"/>
    </row>
    <row r="785" spans="1:3" ht="12.75" customHeight="1" x14ac:dyDescent="0.15">
      <c r="A785" s="13"/>
      <c r="B785" s="14"/>
      <c r="C785" s="30"/>
    </row>
    <row r="786" spans="1:3" ht="12.75" customHeight="1" x14ac:dyDescent="0.15">
      <c r="A786" s="13"/>
      <c r="B786" s="14"/>
      <c r="C786" s="30"/>
    </row>
    <row r="787" spans="1:3" ht="12.75" customHeight="1" x14ac:dyDescent="0.15">
      <c r="A787" s="13"/>
      <c r="B787" s="14"/>
      <c r="C787" s="30"/>
    </row>
    <row r="788" spans="1:3" ht="12.75" customHeight="1" x14ac:dyDescent="0.15">
      <c r="A788" s="13"/>
      <c r="B788" s="14"/>
      <c r="C788" s="30"/>
    </row>
    <row r="789" spans="1:3" ht="12.75" customHeight="1" x14ac:dyDescent="0.15">
      <c r="A789" s="13"/>
      <c r="B789" s="14"/>
      <c r="C789" s="30"/>
    </row>
    <row r="790" spans="1:3" ht="12.75" customHeight="1" x14ac:dyDescent="0.15">
      <c r="A790" s="13"/>
      <c r="B790" s="14"/>
      <c r="C790" s="30"/>
    </row>
    <row r="791" spans="1:3" ht="12.75" customHeight="1" x14ac:dyDescent="0.15">
      <c r="A791" s="13"/>
      <c r="B791" s="14"/>
      <c r="C791" s="30"/>
    </row>
    <row r="792" spans="1:3" ht="12.75" customHeight="1" x14ac:dyDescent="0.15">
      <c r="A792" s="13"/>
      <c r="B792" s="14"/>
      <c r="C792" s="30"/>
    </row>
    <row r="793" spans="1:3" ht="12.75" customHeight="1" x14ac:dyDescent="0.15">
      <c r="A793" s="13"/>
      <c r="B793" s="14"/>
      <c r="C793" s="30"/>
    </row>
    <row r="794" spans="1:3" ht="12.75" customHeight="1" x14ac:dyDescent="0.15">
      <c r="A794" s="13"/>
      <c r="B794" s="14"/>
      <c r="C794" s="30"/>
    </row>
    <row r="795" spans="1:3" ht="12.75" customHeight="1" x14ac:dyDescent="0.15">
      <c r="A795" s="13"/>
      <c r="B795" s="14"/>
      <c r="C795" s="30"/>
    </row>
    <row r="796" spans="1:3" ht="12.75" customHeight="1" x14ac:dyDescent="0.15">
      <c r="A796" s="13"/>
      <c r="B796" s="14"/>
      <c r="C796" s="30"/>
    </row>
    <row r="797" spans="1:3" ht="12.75" customHeight="1" x14ac:dyDescent="0.15">
      <c r="A797" s="13"/>
      <c r="B797" s="14"/>
      <c r="C797" s="30"/>
    </row>
    <row r="798" spans="1:3" ht="12.75" customHeight="1" x14ac:dyDescent="0.15">
      <c r="A798" s="13"/>
      <c r="B798" s="14"/>
      <c r="C798" s="30"/>
    </row>
    <row r="799" spans="1:3" ht="12.75" customHeight="1" x14ac:dyDescent="0.15">
      <c r="A799" s="13"/>
      <c r="B799" s="14"/>
      <c r="C799" s="30"/>
    </row>
    <row r="800" spans="1:3" ht="12.75" customHeight="1" x14ac:dyDescent="0.15">
      <c r="A800" s="13"/>
      <c r="B800" s="14"/>
      <c r="C800" s="30"/>
    </row>
    <row r="801" spans="1:3" ht="12.75" customHeight="1" x14ac:dyDescent="0.15">
      <c r="A801" s="13"/>
      <c r="B801" s="14"/>
      <c r="C801" s="30"/>
    </row>
    <row r="802" spans="1:3" ht="12.75" customHeight="1" x14ac:dyDescent="0.15">
      <c r="A802" s="13"/>
      <c r="B802" s="14"/>
      <c r="C802" s="30"/>
    </row>
    <row r="803" spans="1:3" ht="12.75" customHeight="1" x14ac:dyDescent="0.15">
      <c r="A803" s="13"/>
      <c r="B803" s="14"/>
      <c r="C803" s="30"/>
    </row>
    <row r="804" spans="1:3" ht="12.75" customHeight="1" x14ac:dyDescent="0.15">
      <c r="A804" s="13"/>
      <c r="B804" s="14"/>
      <c r="C804" s="30"/>
    </row>
    <row r="805" spans="1:3" ht="12.75" customHeight="1" x14ac:dyDescent="0.15">
      <c r="A805" s="13"/>
      <c r="B805" s="14"/>
      <c r="C805" s="30"/>
    </row>
    <row r="806" spans="1:3" ht="12.75" customHeight="1" x14ac:dyDescent="0.15">
      <c r="A806" s="13"/>
      <c r="B806" s="14"/>
      <c r="C806" s="30"/>
    </row>
    <row r="807" spans="1:3" ht="12.75" customHeight="1" x14ac:dyDescent="0.15">
      <c r="A807" s="13"/>
      <c r="B807" s="14"/>
      <c r="C807" s="30"/>
    </row>
    <row r="808" spans="1:3" ht="12.75" customHeight="1" x14ac:dyDescent="0.15">
      <c r="A808" s="13"/>
      <c r="B808" s="14"/>
      <c r="C808" s="30"/>
    </row>
    <row r="809" spans="1:3" ht="12.75" customHeight="1" x14ac:dyDescent="0.15">
      <c r="A809" s="13"/>
      <c r="B809" s="14"/>
      <c r="C809" s="30"/>
    </row>
    <row r="810" spans="1:3" ht="12.75" customHeight="1" x14ac:dyDescent="0.15">
      <c r="A810" s="13"/>
      <c r="B810" s="14"/>
      <c r="C810" s="30"/>
    </row>
    <row r="811" spans="1:3" ht="12.75" customHeight="1" x14ac:dyDescent="0.15">
      <c r="A811" s="13"/>
      <c r="B811" s="14"/>
      <c r="C811" s="30"/>
    </row>
    <row r="812" spans="1:3" ht="12.75" customHeight="1" x14ac:dyDescent="0.15">
      <c r="A812" s="13"/>
      <c r="B812" s="14"/>
      <c r="C812" s="30"/>
    </row>
    <row r="813" spans="1:3" ht="12.75" customHeight="1" x14ac:dyDescent="0.15">
      <c r="A813" s="13"/>
      <c r="B813" s="14"/>
      <c r="C813" s="30"/>
    </row>
    <row r="814" spans="1:3" ht="12.75" customHeight="1" x14ac:dyDescent="0.15">
      <c r="A814" s="13"/>
      <c r="B814" s="14"/>
      <c r="C814" s="30"/>
    </row>
    <row r="815" spans="1:3" ht="12.75" customHeight="1" x14ac:dyDescent="0.15">
      <c r="A815" s="13"/>
      <c r="B815" s="14"/>
      <c r="C815" s="30"/>
    </row>
    <row r="816" spans="1:3" ht="12.75" customHeight="1" x14ac:dyDescent="0.15">
      <c r="A816" s="13"/>
      <c r="B816" s="14"/>
      <c r="C816" s="30"/>
    </row>
    <row r="817" spans="1:3" ht="12.75" customHeight="1" x14ac:dyDescent="0.15">
      <c r="A817" s="13"/>
      <c r="B817" s="14"/>
      <c r="C817" s="30"/>
    </row>
    <row r="818" spans="1:3" ht="12.75" customHeight="1" x14ac:dyDescent="0.15">
      <c r="A818" s="13"/>
      <c r="B818" s="14"/>
      <c r="C818" s="30"/>
    </row>
    <row r="819" spans="1:3" ht="12.75" customHeight="1" x14ac:dyDescent="0.15">
      <c r="A819" s="13"/>
      <c r="B819" s="14"/>
      <c r="C819" s="30"/>
    </row>
    <row r="820" spans="1:3" ht="12.75" customHeight="1" x14ac:dyDescent="0.15">
      <c r="A820" s="13"/>
      <c r="B820" s="14"/>
      <c r="C820" s="30"/>
    </row>
    <row r="821" spans="1:3" ht="12.75" customHeight="1" x14ac:dyDescent="0.15">
      <c r="A821" s="13"/>
      <c r="B821" s="14"/>
      <c r="C821" s="30"/>
    </row>
    <row r="822" spans="1:3" ht="12.75" customHeight="1" x14ac:dyDescent="0.15">
      <c r="A822" s="13"/>
      <c r="B822" s="14"/>
      <c r="C822" s="30"/>
    </row>
    <row r="823" spans="1:3" ht="12.75" customHeight="1" x14ac:dyDescent="0.15">
      <c r="A823" s="13"/>
      <c r="B823" s="14"/>
      <c r="C823" s="30"/>
    </row>
    <row r="824" spans="1:3" ht="12.75" customHeight="1" x14ac:dyDescent="0.15">
      <c r="A824" s="13"/>
      <c r="B824" s="14"/>
      <c r="C824" s="30"/>
    </row>
    <row r="825" spans="1:3" ht="12.75" customHeight="1" x14ac:dyDescent="0.15">
      <c r="A825" s="13"/>
      <c r="B825" s="14"/>
      <c r="C825" s="30"/>
    </row>
    <row r="826" spans="1:3" ht="12.75" customHeight="1" x14ac:dyDescent="0.15">
      <c r="A826" s="13"/>
      <c r="B826" s="14"/>
      <c r="C826" s="30"/>
    </row>
    <row r="827" spans="1:3" ht="12.75" customHeight="1" x14ac:dyDescent="0.15">
      <c r="A827" s="13"/>
      <c r="B827" s="14"/>
      <c r="C827" s="30"/>
    </row>
    <row r="828" spans="1:3" ht="12.75" customHeight="1" x14ac:dyDescent="0.15">
      <c r="A828" s="13"/>
      <c r="B828" s="14"/>
      <c r="C828" s="30"/>
    </row>
    <row r="829" spans="1:3" ht="12.75" customHeight="1" x14ac:dyDescent="0.15">
      <c r="A829" s="13"/>
      <c r="B829" s="14"/>
      <c r="C829" s="30"/>
    </row>
    <row r="830" spans="1:3" ht="12.75" customHeight="1" x14ac:dyDescent="0.15">
      <c r="A830" s="13"/>
      <c r="B830" s="14"/>
      <c r="C830" s="30"/>
    </row>
    <row r="831" spans="1:3" ht="12.75" customHeight="1" x14ac:dyDescent="0.15">
      <c r="A831" s="13"/>
      <c r="B831" s="14"/>
      <c r="C831" s="30"/>
    </row>
    <row r="832" spans="1:3" ht="12.75" customHeight="1" x14ac:dyDescent="0.15">
      <c r="A832" s="13"/>
      <c r="B832" s="14"/>
      <c r="C832" s="30"/>
    </row>
    <row r="833" spans="1:3" ht="12.75" customHeight="1" x14ac:dyDescent="0.15">
      <c r="A833" s="13"/>
      <c r="B833" s="14"/>
      <c r="C833" s="30"/>
    </row>
    <row r="834" spans="1:3" ht="12.75" customHeight="1" x14ac:dyDescent="0.15">
      <c r="A834" s="13"/>
      <c r="B834" s="14"/>
      <c r="C834" s="30"/>
    </row>
    <row r="835" spans="1:3" ht="12.75" customHeight="1" x14ac:dyDescent="0.15">
      <c r="A835" s="13"/>
      <c r="B835" s="14"/>
      <c r="C835" s="30"/>
    </row>
    <row r="836" spans="1:3" ht="12.75" customHeight="1" x14ac:dyDescent="0.15">
      <c r="A836" s="13"/>
      <c r="B836" s="14"/>
      <c r="C836" s="30"/>
    </row>
    <row r="837" spans="1:3" ht="12.75" customHeight="1" x14ac:dyDescent="0.15">
      <c r="A837" s="13"/>
      <c r="B837" s="14"/>
      <c r="C837" s="30"/>
    </row>
    <row r="838" spans="1:3" ht="12.75" customHeight="1" x14ac:dyDescent="0.15">
      <c r="A838" s="13"/>
      <c r="B838" s="14"/>
      <c r="C838" s="30"/>
    </row>
    <row r="839" spans="1:3" ht="12.75" customHeight="1" x14ac:dyDescent="0.15">
      <c r="A839" s="13"/>
      <c r="B839" s="14"/>
      <c r="C839" s="30"/>
    </row>
    <row r="840" spans="1:3" ht="12.75" customHeight="1" x14ac:dyDescent="0.15">
      <c r="A840" s="13"/>
      <c r="B840" s="14"/>
      <c r="C840" s="30"/>
    </row>
    <row r="841" spans="1:3" ht="12.75" customHeight="1" x14ac:dyDescent="0.15">
      <c r="A841" s="13"/>
      <c r="B841" s="14"/>
      <c r="C841" s="30"/>
    </row>
    <row r="842" spans="1:3" ht="12.75" customHeight="1" x14ac:dyDescent="0.15">
      <c r="A842" s="13"/>
      <c r="B842" s="14"/>
      <c r="C842" s="30"/>
    </row>
    <row r="843" spans="1:3" ht="12.75" customHeight="1" x14ac:dyDescent="0.15">
      <c r="A843" s="13"/>
      <c r="B843" s="14"/>
      <c r="C843" s="30"/>
    </row>
    <row r="844" spans="1:3" ht="12.75" customHeight="1" x14ac:dyDescent="0.15">
      <c r="A844" s="13"/>
      <c r="B844" s="14"/>
      <c r="C844" s="30"/>
    </row>
    <row r="845" spans="1:3" ht="12.75" customHeight="1" x14ac:dyDescent="0.15">
      <c r="A845" s="13"/>
      <c r="B845" s="14"/>
      <c r="C845" s="30"/>
    </row>
    <row r="846" spans="1:3" ht="12.75" customHeight="1" x14ac:dyDescent="0.15">
      <c r="A846" s="13"/>
      <c r="B846" s="14"/>
      <c r="C846" s="30"/>
    </row>
    <row r="847" spans="1:3" ht="12.75" customHeight="1" x14ac:dyDescent="0.15">
      <c r="A847" s="13"/>
      <c r="B847" s="14"/>
      <c r="C847" s="30"/>
    </row>
    <row r="848" spans="1:3" ht="12.75" customHeight="1" x14ac:dyDescent="0.15">
      <c r="A848" s="13"/>
      <c r="B848" s="14"/>
      <c r="C848" s="30"/>
    </row>
    <row r="849" spans="1:3" ht="12.75" customHeight="1" x14ac:dyDescent="0.15">
      <c r="A849" s="13"/>
      <c r="B849" s="14"/>
      <c r="C849" s="30"/>
    </row>
    <row r="850" spans="1:3" ht="12.75" customHeight="1" x14ac:dyDescent="0.15">
      <c r="A850" s="13"/>
      <c r="B850" s="14"/>
      <c r="C850" s="30"/>
    </row>
    <row r="851" spans="1:3" ht="12.75" customHeight="1" x14ac:dyDescent="0.15">
      <c r="A851" s="13"/>
      <c r="B851" s="14"/>
      <c r="C851" s="30"/>
    </row>
    <row r="852" spans="1:3" ht="12.75" customHeight="1" x14ac:dyDescent="0.15">
      <c r="A852" s="13"/>
      <c r="B852" s="14"/>
      <c r="C852" s="30"/>
    </row>
    <row r="853" spans="1:3" ht="12.75" customHeight="1" x14ac:dyDescent="0.15">
      <c r="A853" s="13"/>
      <c r="B853" s="14"/>
      <c r="C853" s="30"/>
    </row>
    <row r="854" spans="1:3" ht="12.75" customHeight="1" x14ac:dyDescent="0.15">
      <c r="A854" s="13"/>
      <c r="B854" s="14"/>
      <c r="C854" s="30"/>
    </row>
    <row r="855" spans="1:3" ht="12.75" customHeight="1" x14ac:dyDescent="0.15">
      <c r="A855" s="13"/>
      <c r="B855" s="14"/>
      <c r="C855" s="30"/>
    </row>
    <row r="856" spans="1:3" ht="12.75" customHeight="1" x14ac:dyDescent="0.15">
      <c r="A856" s="13"/>
      <c r="B856" s="14"/>
      <c r="C856" s="30"/>
    </row>
    <row r="857" spans="1:3" ht="12.75" customHeight="1" x14ac:dyDescent="0.15">
      <c r="A857" s="13"/>
      <c r="B857" s="14"/>
      <c r="C857" s="30"/>
    </row>
    <row r="858" spans="1:3" ht="12.75" customHeight="1" x14ac:dyDescent="0.15">
      <c r="A858" s="13"/>
      <c r="B858" s="14"/>
      <c r="C858" s="30"/>
    </row>
    <row r="859" spans="1:3" ht="12.75" customHeight="1" x14ac:dyDescent="0.15">
      <c r="A859" s="13"/>
      <c r="B859" s="14"/>
      <c r="C859" s="30"/>
    </row>
    <row r="860" spans="1:3" ht="12.75" customHeight="1" x14ac:dyDescent="0.15">
      <c r="A860" s="13"/>
      <c r="B860" s="14"/>
      <c r="C860" s="30"/>
    </row>
    <row r="861" spans="1:3" ht="12.75" customHeight="1" x14ac:dyDescent="0.15">
      <c r="A861" s="13"/>
      <c r="B861" s="14"/>
      <c r="C861" s="30"/>
    </row>
    <row r="862" spans="1:3" ht="12.75" customHeight="1" x14ac:dyDescent="0.15">
      <c r="A862" s="13"/>
      <c r="B862" s="14"/>
      <c r="C862" s="30"/>
    </row>
    <row r="863" spans="1:3" ht="12.75" customHeight="1" x14ac:dyDescent="0.15">
      <c r="A863" s="13"/>
      <c r="B863" s="14"/>
      <c r="C863" s="30"/>
    </row>
    <row r="864" spans="1:3" ht="12.75" customHeight="1" x14ac:dyDescent="0.15">
      <c r="A864" s="13"/>
      <c r="B864" s="14"/>
      <c r="C864" s="30"/>
    </row>
    <row r="865" spans="1:3" ht="12.75" customHeight="1" x14ac:dyDescent="0.15">
      <c r="A865" s="13"/>
      <c r="B865" s="14"/>
      <c r="C865" s="30"/>
    </row>
    <row r="866" spans="1:3" ht="12.75" customHeight="1" x14ac:dyDescent="0.15">
      <c r="A866" s="13"/>
      <c r="B866" s="14"/>
      <c r="C866" s="30"/>
    </row>
    <row r="867" spans="1:3" ht="12.75" customHeight="1" x14ac:dyDescent="0.15">
      <c r="A867" s="13"/>
      <c r="B867" s="14"/>
      <c r="C867" s="30"/>
    </row>
    <row r="868" spans="1:3" ht="12.75" customHeight="1" x14ac:dyDescent="0.15">
      <c r="A868" s="13"/>
      <c r="B868" s="14"/>
      <c r="C868" s="30"/>
    </row>
    <row r="869" spans="1:3" ht="12.75" customHeight="1" x14ac:dyDescent="0.15">
      <c r="A869" s="13"/>
      <c r="B869" s="14"/>
      <c r="C869" s="30"/>
    </row>
    <row r="870" spans="1:3" ht="12.75" customHeight="1" x14ac:dyDescent="0.15">
      <c r="A870" s="13"/>
      <c r="B870" s="14"/>
      <c r="C870" s="30"/>
    </row>
    <row r="871" spans="1:3" ht="12.75" customHeight="1" x14ac:dyDescent="0.15">
      <c r="A871" s="13"/>
      <c r="B871" s="14"/>
      <c r="C871" s="30"/>
    </row>
    <row r="872" spans="1:3" ht="12.75" customHeight="1" x14ac:dyDescent="0.15">
      <c r="A872" s="13"/>
      <c r="B872" s="14"/>
      <c r="C872" s="30"/>
    </row>
    <row r="873" spans="1:3" ht="12.75" customHeight="1" x14ac:dyDescent="0.15">
      <c r="A873" s="13"/>
      <c r="B873" s="14"/>
      <c r="C873" s="30"/>
    </row>
    <row r="874" spans="1:3" ht="12.75" customHeight="1" x14ac:dyDescent="0.15">
      <c r="A874" s="13"/>
      <c r="B874" s="14"/>
      <c r="C874" s="30"/>
    </row>
    <row r="875" spans="1:3" ht="12.75" customHeight="1" x14ac:dyDescent="0.15">
      <c r="A875" s="13"/>
      <c r="B875" s="14"/>
      <c r="C875" s="30"/>
    </row>
    <row r="876" spans="1:3" ht="12.75" customHeight="1" x14ac:dyDescent="0.15">
      <c r="A876" s="13"/>
      <c r="B876" s="14"/>
      <c r="C876" s="30"/>
    </row>
    <row r="877" spans="1:3" ht="12.75" customHeight="1" x14ac:dyDescent="0.15">
      <c r="A877" s="13"/>
      <c r="B877" s="14"/>
      <c r="C877" s="30"/>
    </row>
    <row r="878" spans="1:3" ht="12.75" customHeight="1" x14ac:dyDescent="0.15">
      <c r="A878" s="13"/>
      <c r="B878" s="14"/>
      <c r="C878" s="30"/>
    </row>
    <row r="879" spans="1:3" ht="12.75" customHeight="1" x14ac:dyDescent="0.15">
      <c r="A879" s="13"/>
      <c r="B879" s="14"/>
      <c r="C879" s="30"/>
    </row>
    <row r="880" spans="1:3" ht="12.75" customHeight="1" x14ac:dyDescent="0.15">
      <c r="A880" s="13"/>
      <c r="B880" s="14"/>
      <c r="C880" s="30"/>
    </row>
    <row r="881" spans="1:3" ht="12.75" customHeight="1" x14ac:dyDescent="0.15">
      <c r="A881" s="13"/>
      <c r="B881" s="14"/>
      <c r="C881" s="30"/>
    </row>
    <row r="882" spans="1:3" ht="12.75" customHeight="1" x14ac:dyDescent="0.15">
      <c r="A882" s="13"/>
      <c r="B882" s="14"/>
      <c r="C882" s="30"/>
    </row>
    <row r="883" spans="1:3" ht="12.75" customHeight="1" x14ac:dyDescent="0.15">
      <c r="A883" s="13"/>
      <c r="B883" s="14"/>
      <c r="C883" s="30"/>
    </row>
    <row r="884" spans="1:3" ht="12.75" customHeight="1" x14ac:dyDescent="0.15">
      <c r="A884" s="13"/>
      <c r="B884" s="14"/>
      <c r="C884" s="30"/>
    </row>
    <row r="885" spans="1:3" ht="12.75" customHeight="1" x14ac:dyDescent="0.15">
      <c r="A885" s="13"/>
      <c r="B885" s="14"/>
      <c r="C885" s="30"/>
    </row>
    <row r="886" spans="1:3" ht="12.75" customHeight="1" x14ac:dyDescent="0.15">
      <c r="A886" s="13"/>
      <c r="B886" s="14"/>
      <c r="C886" s="30"/>
    </row>
    <row r="887" spans="1:3" ht="12.75" customHeight="1" x14ac:dyDescent="0.15">
      <c r="A887" s="13"/>
      <c r="B887" s="14"/>
      <c r="C887" s="30"/>
    </row>
    <row r="888" spans="1:3" ht="12.75" customHeight="1" x14ac:dyDescent="0.15">
      <c r="A888" s="13"/>
      <c r="B888" s="14"/>
      <c r="C888" s="30"/>
    </row>
    <row r="889" spans="1:3" ht="12.75" customHeight="1" x14ac:dyDescent="0.15">
      <c r="A889" s="13"/>
      <c r="B889" s="14"/>
      <c r="C889" s="30"/>
    </row>
    <row r="890" spans="1:3" ht="12.75" customHeight="1" x14ac:dyDescent="0.15">
      <c r="A890" s="13"/>
      <c r="B890" s="14"/>
      <c r="C890" s="30"/>
    </row>
    <row r="891" spans="1:3" ht="12.75" customHeight="1" x14ac:dyDescent="0.15">
      <c r="A891" s="13"/>
      <c r="B891" s="14"/>
      <c r="C891" s="30"/>
    </row>
    <row r="892" spans="1:3" ht="12.75" customHeight="1" x14ac:dyDescent="0.15">
      <c r="A892" s="13"/>
      <c r="B892" s="14"/>
      <c r="C892" s="30"/>
    </row>
    <row r="893" spans="1:3" ht="12.75" customHeight="1" x14ac:dyDescent="0.15">
      <c r="A893" s="13"/>
      <c r="B893" s="14"/>
      <c r="C893" s="30"/>
    </row>
    <row r="894" spans="1:3" ht="12.75" customHeight="1" x14ac:dyDescent="0.15">
      <c r="A894" s="13"/>
      <c r="B894" s="14"/>
      <c r="C894" s="30"/>
    </row>
    <row r="895" spans="1:3" ht="12.75" customHeight="1" x14ac:dyDescent="0.15">
      <c r="A895" s="13"/>
      <c r="B895" s="14"/>
      <c r="C895" s="30"/>
    </row>
    <row r="896" spans="1:3" ht="12.75" customHeight="1" x14ac:dyDescent="0.15">
      <c r="A896" s="13"/>
      <c r="B896" s="14"/>
      <c r="C896" s="30"/>
    </row>
    <row r="897" spans="1:3" ht="12.75" customHeight="1" x14ac:dyDescent="0.15">
      <c r="A897" s="13"/>
      <c r="B897" s="14"/>
      <c r="C897" s="30"/>
    </row>
    <row r="898" spans="1:3" ht="12.75" customHeight="1" x14ac:dyDescent="0.15">
      <c r="A898" s="13"/>
      <c r="B898" s="14"/>
      <c r="C898" s="30"/>
    </row>
    <row r="899" spans="1:3" ht="12.75" customHeight="1" x14ac:dyDescent="0.15">
      <c r="A899" s="13"/>
      <c r="B899" s="14"/>
      <c r="C899" s="30"/>
    </row>
    <row r="900" spans="1:3" ht="12.75" customHeight="1" x14ac:dyDescent="0.15">
      <c r="A900" s="13"/>
      <c r="B900" s="14"/>
      <c r="C900" s="30"/>
    </row>
    <row r="901" spans="1:3" ht="12.75" customHeight="1" x14ac:dyDescent="0.15">
      <c r="A901" s="13"/>
      <c r="B901" s="14"/>
      <c r="C901" s="30"/>
    </row>
    <row r="902" spans="1:3" ht="12.75" customHeight="1" x14ac:dyDescent="0.15">
      <c r="A902" s="13"/>
      <c r="B902" s="14"/>
      <c r="C902" s="30"/>
    </row>
    <row r="903" spans="1:3" ht="12.75" customHeight="1" x14ac:dyDescent="0.15">
      <c r="A903" s="13"/>
      <c r="B903" s="14"/>
      <c r="C903" s="30"/>
    </row>
    <row r="904" spans="1:3" ht="12.75" customHeight="1" x14ac:dyDescent="0.15">
      <c r="A904" s="13"/>
      <c r="B904" s="14"/>
      <c r="C904" s="30"/>
    </row>
    <row r="905" spans="1:3" ht="12.75" customHeight="1" x14ac:dyDescent="0.15">
      <c r="A905" s="13"/>
      <c r="B905" s="14"/>
      <c r="C905" s="30"/>
    </row>
    <row r="906" spans="1:3" ht="12.75" customHeight="1" x14ac:dyDescent="0.15">
      <c r="A906" s="13"/>
      <c r="B906" s="14"/>
      <c r="C906" s="30"/>
    </row>
    <row r="907" spans="1:3" ht="12.75" customHeight="1" x14ac:dyDescent="0.15">
      <c r="A907" s="13"/>
      <c r="B907" s="14"/>
      <c r="C907" s="30"/>
    </row>
    <row r="908" spans="1:3" ht="12.75" customHeight="1" x14ac:dyDescent="0.15">
      <c r="A908" s="13"/>
      <c r="B908" s="14"/>
      <c r="C908" s="30"/>
    </row>
    <row r="909" spans="1:3" ht="12.75" customHeight="1" x14ac:dyDescent="0.15">
      <c r="A909" s="13"/>
      <c r="B909" s="14"/>
      <c r="C909" s="30"/>
    </row>
    <row r="910" spans="1:3" ht="12.75" customHeight="1" x14ac:dyDescent="0.15">
      <c r="A910" s="13"/>
      <c r="B910" s="14"/>
      <c r="C910" s="30"/>
    </row>
    <row r="911" spans="1:3" ht="12.75" customHeight="1" x14ac:dyDescent="0.15">
      <c r="A911" s="13"/>
      <c r="B911" s="14"/>
      <c r="C911" s="30"/>
    </row>
    <row r="912" spans="1:3" ht="12.75" customHeight="1" x14ac:dyDescent="0.15">
      <c r="A912" s="13"/>
      <c r="B912" s="14"/>
      <c r="C912" s="30"/>
    </row>
    <row r="913" spans="1:3" ht="12.75" customHeight="1" x14ac:dyDescent="0.15">
      <c r="A913" s="13"/>
      <c r="B913" s="14"/>
      <c r="C913" s="30"/>
    </row>
    <row r="914" spans="1:3" ht="12.75" customHeight="1" x14ac:dyDescent="0.15">
      <c r="A914" s="13"/>
      <c r="B914" s="14"/>
      <c r="C914" s="30"/>
    </row>
    <row r="915" spans="1:3" ht="12.75" customHeight="1" x14ac:dyDescent="0.15">
      <c r="A915" s="13"/>
      <c r="B915" s="14"/>
      <c r="C915" s="30"/>
    </row>
    <row r="916" spans="1:3" ht="12.75" customHeight="1" x14ac:dyDescent="0.15">
      <c r="A916" s="13"/>
      <c r="B916" s="14"/>
      <c r="C916" s="30"/>
    </row>
    <row r="917" spans="1:3" ht="12.75" customHeight="1" x14ac:dyDescent="0.15">
      <c r="A917" s="13"/>
      <c r="B917" s="14"/>
      <c r="C917" s="30"/>
    </row>
    <row r="918" spans="1:3" ht="12.75" customHeight="1" x14ac:dyDescent="0.15">
      <c r="A918" s="13"/>
      <c r="B918" s="14"/>
      <c r="C918" s="30"/>
    </row>
    <row r="919" spans="1:3" ht="12.75" customHeight="1" x14ac:dyDescent="0.15">
      <c r="A919" s="13"/>
      <c r="B919" s="14"/>
      <c r="C919" s="30"/>
    </row>
    <row r="920" spans="1:3" ht="12.75" customHeight="1" x14ac:dyDescent="0.15">
      <c r="A920" s="13"/>
      <c r="B920" s="14"/>
      <c r="C920" s="30"/>
    </row>
    <row r="921" spans="1:3" ht="12.75" customHeight="1" x14ac:dyDescent="0.15">
      <c r="A921" s="13"/>
      <c r="B921" s="14"/>
      <c r="C921" s="30"/>
    </row>
    <row r="922" spans="1:3" ht="12.75" customHeight="1" x14ac:dyDescent="0.15">
      <c r="A922" s="13"/>
      <c r="B922" s="14"/>
      <c r="C922" s="30"/>
    </row>
    <row r="923" spans="1:3" ht="12.75" customHeight="1" x14ac:dyDescent="0.15">
      <c r="A923" s="13"/>
      <c r="B923" s="14"/>
      <c r="C923" s="30"/>
    </row>
    <row r="924" spans="1:3" ht="12.75" customHeight="1" x14ac:dyDescent="0.15">
      <c r="A924" s="13"/>
      <c r="B924" s="14"/>
      <c r="C924" s="30"/>
    </row>
    <row r="925" spans="1:3" ht="12.75" customHeight="1" x14ac:dyDescent="0.15">
      <c r="A925" s="13"/>
      <c r="B925" s="14"/>
      <c r="C925" s="30"/>
    </row>
    <row r="926" spans="1:3" ht="12.75" customHeight="1" x14ac:dyDescent="0.15">
      <c r="A926" s="13"/>
      <c r="B926" s="14"/>
      <c r="C926" s="30"/>
    </row>
    <row r="927" spans="1:3" ht="12.75" customHeight="1" x14ac:dyDescent="0.15">
      <c r="A927" s="13"/>
      <c r="B927" s="14"/>
      <c r="C927" s="30"/>
    </row>
    <row r="928" spans="1:3" ht="12.75" customHeight="1" x14ac:dyDescent="0.15">
      <c r="A928" s="13"/>
      <c r="B928" s="14"/>
      <c r="C928" s="30"/>
    </row>
    <row r="929" spans="1:3" ht="12.75" customHeight="1" x14ac:dyDescent="0.15">
      <c r="A929" s="13"/>
      <c r="B929" s="14"/>
      <c r="C929" s="30"/>
    </row>
    <row r="930" spans="1:3" ht="12.75" customHeight="1" x14ac:dyDescent="0.15">
      <c r="A930" s="13"/>
      <c r="B930" s="14"/>
      <c r="C930" s="30"/>
    </row>
    <row r="931" spans="1:3" ht="12.75" customHeight="1" x14ac:dyDescent="0.15">
      <c r="A931" s="13"/>
      <c r="B931" s="14"/>
      <c r="C931" s="30"/>
    </row>
    <row r="932" spans="1:3" ht="12.75" customHeight="1" x14ac:dyDescent="0.15">
      <c r="A932" s="13"/>
      <c r="B932" s="14"/>
      <c r="C932" s="30"/>
    </row>
    <row r="933" spans="1:3" ht="12.75" customHeight="1" x14ac:dyDescent="0.15">
      <c r="A933" s="13"/>
      <c r="B933" s="14"/>
      <c r="C933" s="30"/>
    </row>
    <row r="934" spans="1:3" ht="12.75" customHeight="1" x14ac:dyDescent="0.15">
      <c r="A934" s="13"/>
      <c r="B934" s="14"/>
      <c r="C934" s="30"/>
    </row>
    <row r="935" spans="1:3" ht="12.75" customHeight="1" x14ac:dyDescent="0.15">
      <c r="A935" s="13"/>
      <c r="B935" s="14"/>
      <c r="C935" s="30"/>
    </row>
    <row r="936" spans="1:3" ht="12.75" customHeight="1" x14ac:dyDescent="0.15">
      <c r="A936" s="13"/>
      <c r="B936" s="14"/>
      <c r="C936" s="30"/>
    </row>
    <row r="937" spans="1:3" ht="12.75" customHeight="1" x14ac:dyDescent="0.15">
      <c r="A937" s="13"/>
      <c r="B937" s="14"/>
      <c r="C937" s="30"/>
    </row>
    <row r="938" spans="1:3" ht="12.75" customHeight="1" x14ac:dyDescent="0.15">
      <c r="A938" s="13"/>
      <c r="B938" s="14"/>
      <c r="C938" s="30"/>
    </row>
    <row r="939" spans="1:3" ht="12.75" customHeight="1" x14ac:dyDescent="0.15">
      <c r="A939" s="13"/>
      <c r="B939" s="14"/>
      <c r="C939" s="30"/>
    </row>
    <row r="940" spans="1:3" ht="12.75" customHeight="1" x14ac:dyDescent="0.15">
      <c r="A940" s="13"/>
      <c r="B940" s="14"/>
      <c r="C940" s="30"/>
    </row>
    <row r="941" spans="1:3" ht="12.75" customHeight="1" x14ac:dyDescent="0.15">
      <c r="A941" s="13"/>
      <c r="B941" s="14"/>
      <c r="C941" s="30"/>
    </row>
    <row r="942" spans="1:3" ht="12.75" customHeight="1" x14ac:dyDescent="0.15">
      <c r="A942" s="13"/>
      <c r="B942" s="14"/>
      <c r="C942" s="30"/>
    </row>
    <row r="943" spans="1:3" ht="12.75" customHeight="1" x14ac:dyDescent="0.15">
      <c r="A943" s="13"/>
      <c r="B943" s="14"/>
      <c r="C943" s="30"/>
    </row>
    <row r="944" spans="1:3" ht="12.75" customHeight="1" x14ac:dyDescent="0.15">
      <c r="A944" s="13"/>
      <c r="B944" s="14"/>
      <c r="C944" s="30"/>
    </row>
    <row r="945" spans="1:3" ht="12.75" customHeight="1" x14ac:dyDescent="0.15">
      <c r="A945" s="13"/>
      <c r="B945" s="14"/>
      <c r="C945" s="30"/>
    </row>
    <row r="946" spans="1:3" ht="12.75" customHeight="1" x14ac:dyDescent="0.15">
      <c r="A946" s="13"/>
      <c r="B946" s="14"/>
      <c r="C946" s="30"/>
    </row>
    <row r="947" spans="1:3" ht="12.75" customHeight="1" x14ac:dyDescent="0.15">
      <c r="A947" s="13"/>
      <c r="B947" s="14"/>
      <c r="C947" s="30"/>
    </row>
    <row r="948" spans="1:3" ht="12.75" customHeight="1" x14ac:dyDescent="0.15">
      <c r="A948" s="13"/>
      <c r="B948" s="14"/>
      <c r="C948" s="30"/>
    </row>
    <row r="949" spans="1:3" ht="12.75" customHeight="1" x14ac:dyDescent="0.15">
      <c r="A949" s="13"/>
      <c r="B949" s="14"/>
      <c r="C949" s="30"/>
    </row>
    <row r="950" spans="1:3" ht="12.75" customHeight="1" x14ac:dyDescent="0.15">
      <c r="A950" s="13"/>
      <c r="B950" s="14"/>
      <c r="C950" s="30"/>
    </row>
    <row r="951" spans="1:3" ht="12.75" customHeight="1" x14ac:dyDescent="0.15">
      <c r="A951" s="13"/>
      <c r="B951" s="14"/>
      <c r="C951" s="30"/>
    </row>
    <row r="952" spans="1:3" ht="12.75" customHeight="1" x14ac:dyDescent="0.15">
      <c r="A952" s="13"/>
      <c r="B952" s="14"/>
      <c r="C952" s="30"/>
    </row>
    <row r="953" spans="1:3" ht="12.75" customHeight="1" x14ac:dyDescent="0.15">
      <c r="A953" s="13"/>
      <c r="B953" s="14"/>
      <c r="C953" s="30"/>
    </row>
    <row r="954" spans="1:3" ht="12.75" customHeight="1" x14ac:dyDescent="0.15">
      <c r="A954" s="13"/>
      <c r="B954" s="14"/>
      <c r="C954" s="30"/>
    </row>
    <row r="955" spans="1:3" ht="12.75" customHeight="1" x14ac:dyDescent="0.15">
      <c r="A955" s="13"/>
      <c r="B955" s="14"/>
      <c r="C955" s="30"/>
    </row>
    <row r="956" spans="1:3" ht="12.75" customHeight="1" x14ac:dyDescent="0.15">
      <c r="A956" s="13"/>
      <c r="B956" s="14"/>
      <c r="C956" s="30"/>
    </row>
    <row r="957" spans="1:3" ht="12.75" customHeight="1" x14ac:dyDescent="0.15">
      <c r="A957" s="13"/>
      <c r="B957" s="14"/>
      <c r="C957" s="30"/>
    </row>
    <row r="958" spans="1:3" ht="12.75" customHeight="1" x14ac:dyDescent="0.15">
      <c r="A958" s="13"/>
      <c r="B958" s="14"/>
      <c r="C958" s="30"/>
    </row>
    <row r="959" spans="1:3" ht="12.75" customHeight="1" x14ac:dyDescent="0.15">
      <c r="A959" s="13"/>
      <c r="B959" s="14"/>
      <c r="C959" s="30"/>
    </row>
    <row r="960" spans="1:3" ht="12.75" customHeight="1" x14ac:dyDescent="0.15">
      <c r="A960" s="13"/>
      <c r="B960" s="14"/>
      <c r="C960" s="30"/>
    </row>
    <row r="961" spans="1:3" ht="12.75" customHeight="1" x14ac:dyDescent="0.15">
      <c r="A961" s="13"/>
      <c r="B961" s="14"/>
      <c r="C961" s="30"/>
    </row>
    <row r="962" spans="1:3" ht="12.75" customHeight="1" x14ac:dyDescent="0.15">
      <c r="A962" s="13"/>
      <c r="B962" s="14"/>
      <c r="C962" s="30"/>
    </row>
    <row r="963" spans="1:3" ht="12.75" customHeight="1" x14ac:dyDescent="0.15">
      <c r="A963" s="13"/>
      <c r="B963" s="14"/>
      <c r="C963" s="30"/>
    </row>
    <row r="964" spans="1:3" ht="12.75" customHeight="1" x14ac:dyDescent="0.15">
      <c r="A964" s="13"/>
      <c r="B964" s="14"/>
      <c r="C964" s="30"/>
    </row>
    <row r="965" spans="1:3" ht="12.75" customHeight="1" x14ac:dyDescent="0.15">
      <c r="A965" s="13"/>
      <c r="B965" s="14"/>
      <c r="C965" s="30"/>
    </row>
    <row r="966" spans="1:3" ht="12.75" customHeight="1" x14ac:dyDescent="0.15">
      <c r="A966" s="13"/>
      <c r="B966" s="14"/>
      <c r="C966" s="30"/>
    </row>
    <row r="967" spans="1:3" ht="12.75" customHeight="1" x14ac:dyDescent="0.15">
      <c r="A967" s="13"/>
      <c r="B967" s="14"/>
      <c r="C967" s="30"/>
    </row>
    <row r="968" spans="1:3" ht="12.75" customHeight="1" x14ac:dyDescent="0.15">
      <c r="A968" s="13"/>
      <c r="B968" s="14"/>
      <c r="C968" s="30"/>
    </row>
    <row r="969" spans="1:3" ht="12.75" customHeight="1" x14ac:dyDescent="0.15">
      <c r="A969" s="13"/>
      <c r="B969" s="14"/>
      <c r="C969" s="30"/>
    </row>
    <row r="970" spans="1:3" ht="12.75" customHeight="1" x14ac:dyDescent="0.15">
      <c r="A970" s="13"/>
      <c r="B970" s="14"/>
      <c r="C970" s="30"/>
    </row>
    <row r="971" spans="1:3" ht="12.75" customHeight="1" x14ac:dyDescent="0.15">
      <c r="A971" s="13"/>
      <c r="B971" s="14"/>
      <c r="C971" s="30"/>
    </row>
    <row r="972" spans="1:3" ht="12.75" customHeight="1" x14ac:dyDescent="0.15">
      <c r="A972" s="13"/>
      <c r="B972" s="14"/>
      <c r="C972" s="30"/>
    </row>
    <row r="973" spans="1:3" ht="12.75" customHeight="1" x14ac:dyDescent="0.15">
      <c r="A973" s="13"/>
      <c r="B973" s="14"/>
      <c r="C973" s="30"/>
    </row>
    <row r="974" spans="1:3" ht="12.75" customHeight="1" x14ac:dyDescent="0.15">
      <c r="A974" s="13"/>
      <c r="B974" s="14"/>
      <c r="C974" s="30"/>
    </row>
    <row r="975" spans="1:3" ht="12.75" customHeight="1" x14ac:dyDescent="0.15">
      <c r="A975" s="13"/>
      <c r="B975" s="14"/>
      <c r="C975" s="30"/>
    </row>
    <row r="976" spans="1:3" ht="12.75" customHeight="1" x14ac:dyDescent="0.15">
      <c r="A976" s="13"/>
      <c r="B976" s="14"/>
      <c r="C976" s="30"/>
    </row>
    <row r="977" spans="1:3" ht="12.75" customHeight="1" x14ac:dyDescent="0.15">
      <c r="A977" s="13"/>
      <c r="B977" s="14"/>
      <c r="C977" s="30"/>
    </row>
    <row r="978" spans="1:3" ht="12.75" customHeight="1" x14ac:dyDescent="0.15">
      <c r="A978" s="13"/>
      <c r="B978" s="14"/>
      <c r="C978" s="30"/>
    </row>
    <row r="979" spans="1:3" ht="12.75" customHeight="1" x14ac:dyDescent="0.15">
      <c r="A979" s="13"/>
      <c r="B979" s="14"/>
      <c r="C979" s="30"/>
    </row>
    <row r="980" spans="1:3" ht="12.75" customHeight="1" x14ac:dyDescent="0.15">
      <c r="A980" s="13"/>
      <c r="B980" s="14"/>
      <c r="C980" s="30"/>
    </row>
    <row r="981" spans="1:3" ht="12.75" customHeight="1" x14ac:dyDescent="0.15">
      <c r="A981" s="13"/>
      <c r="B981" s="14"/>
      <c r="C981" s="30"/>
    </row>
    <row r="982" spans="1:3" ht="12.75" customHeight="1" x14ac:dyDescent="0.15">
      <c r="A982" s="13"/>
      <c r="B982" s="14"/>
      <c r="C982" s="30"/>
    </row>
    <row r="983" spans="1:3" ht="12.75" customHeight="1" x14ac:dyDescent="0.15">
      <c r="A983" s="13"/>
      <c r="B983" s="14"/>
      <c r="C983" s="30"/>
    </row>
    <row r="984" spans="1:3" ht="12.75" customHeight="1" x14ac:dyDescent="0.15">
      <c r="A984" s="13"/>
      <c r="B984" s="14"/>
      <c r="C984" s="30"/>
    </row>
    <row r="985" spans="1:3" ht="12.75" customHeight="1" x14ac:dyDescent="0.15">
      <c r="A985" s="13"/>
      <c r="B985" s="14"/>
      <c r="C985" s="30"/>
    </row>
    <row r="986" spans="1:3" ht="12.75" customHeight="1" x14ac:dyDescent="0.15">
      <c r="A986" s="13"/>
      <c r="B986" s="14"/>
      <c r="C986" s="30"/>
    </row>
    <row r="987" spans="1:3" ht="12.75" customHeight="1" x14ac:dyDescent="0.15">
      <c r="A987" s="13"/>
      <c r="B987" s="14"/>
      <c r="C987" s="30"/>
    </row>
    <row r="988" spans="1:3" ht="12.75" customHeight="1" x14ac:dyDescent="0.15">
      <c r="A988" s="13"/>
      <c r="B988" s="14"/>
      <c r="C988" s="30"/>
    </row>
    <row r="989" spans="1:3" ht="12.75" customHeight="1" x14ac:dyDescent="0.15">
      <c r="A989" s="13"/>
      <c r="B989" s="14"/>
      <c r="C989" s="30"/>
    </row>
    <row r="990" spans="1:3" ht="12.75" customHeight="1" x14ac:dyDescent="0.15">
      <c r="A990" s="13"/>
      <c r="B990" s="14"/>
      <c r="C990" s="30"/>
    </row>
    <row r="991" spans="1:3" ht="12.75" customHeight="1" x14ac:dyDescent="0.15">
      <c r="A991" s="13"/>
      <c r="B991" s="14"/>
      <c r="C991" s="30"/>
    </row>
    <row r="992" spans="1:3" ht="12.75" customHeight="1" x14ac:dyDescent="0.15">
      <c r="A992" s="13"/>
      <c r="B992" s="14"/>
      <c r="C992" s="30"/>
    </row>
    <row r="993" spans="1:3" ht="12.75" customHeight="1" x14ac:dyDescent="0.15">
      <c r="A993" s="13"/>
      <c r="B993" s="14"/>
      <c r="C993" s="30"/>
    </row>
    <row r="994" spans="1:3" ht="12.75" customHeight="1" x14ac:dyDescent="0.15">
      <c r="A994" s="13"/>
      <c r="B994" s="14"/>
      <c r="C994" s="30"/>
    </row>
    <row r="995" spans="1:3" ht="12.75" customHeight="1" x14ac:dyDescent="0.15">
      <c r="A995" s="13"/>
      <c r="B995" s="14"/>
      <c r="C995" s="30"/>
    </row>
    <row r="996" spans="1:3" ht="12.75" customHeight="1" x14ac:dyDescent="0.15">
      <c r="A996" s="13"/>
      <c r="B996" s="14"/>
      <c r="C996" s="30"/>
    </row>
    <row r="997" spans="1:3" ht="12.75" customHeight="1" x14ac:dyDescent="0.15">
      <c r="C997" s="30"/>
    </row>
    <row r="998" spans="1:3" ht="12.75" customHeight="1" x14ac:dyDescent="0.15">
      <c r="C998" s="30"/>
    </row>
    <row r="999" spans="1:3" ht="12.75" customHeight="1" x14ac:dyDescent="0.15">
      <c r="C999" s="30"/>
    </row>
    <row r="1000" spans="1:3" ht="12.75" customHeight="1" x14ac:dyDescent="0.15">
      <c r="C1000" s="30"/>
    </row>
    <row r="1001" spans="1:3" ht="12.75" customHeight="1" x14ac:dyDescent="0.15">
      <c r="C1001" s="30"/>
    </row>
    <row r="1002" spans="1:3" ht="12.75" customHeight="1" x14ac:dyDescent="0.15">
      <c r="C1002" s="30"/>
    </row>
    <row r="1003" spans="1:3" ht="12.75" customHeight="1" x14ac:dyDescent="0.15">
      <c r="C1003" s="30"/>
    </row>
    <row r="1004" spans="1:3" ht="12.75" customHeight="1" x14ac:dyDescent="0.15">
      <c r="C1004" s="30"/>
    </row>
    <row r="1005" spans="1:3" ht="12.75" customHeight="1" x14ac:dyDescent="0.15">
      <c r="C1005" s="30"/>
    </row>
    <row r="1006" spans="1:3" ht="12.75" customHeight="1" x14ac:dyDescent="0.15">
      <c r="C1006" s="30"/>
    </row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zoomScale="228" workbookViewId="0">
      <selection activeCell="B4" sqref="B4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</cols>
  <sheetData>
    <row r="1" spans="1:10" ht="15.75" customHeight="1" x14ac:dyDescent="0.15">
      <c r="A1" s="69" t="s">
        <v>58</v>
      </c>
      <c r="B1" s="70"/>
      <c r="C1" s="70"/>
      <c r="D1" s="70"/>
      <c r="E1" s="70"/>
      <c r="F1" s="70"/>
      <c r="G1" s="70"/>
      <c r="H1" s="70"/>
      <c r="J1" s="31" t="s">
        <v>59</v>
      </c>
    </row>
    <row r="2" spans="1:10" ht="15.75" customHeight="1" x14ac:dyDescent="0.15">
      <c r="A2" s="32" t="s">
        <v>0</v>
      </c>
      <c r="B2" s="32" t="s">
        <v>60</v>
      </c>
      <c r="C2" s="32" t="s">
        <v>61</v>
      </c>
      <c r="D2" s="32" t="s">
        <v>62</v>
      </c>
      <c r="E2" s="32" t="s">
        <v>63</v>
      </c>
      <c r="F2" s="32" t="s">
        <v>64</v>
      </c>
      <c r="G2" s="32" t="s">
        <v>65</v>
      </c>
      <c r="H2" s="32" t="s">
        <v>66</v>
      </c>
      <c r="J2" s="6"/>
    </row>
    <row r="3" spans="1:10" ht="15.75" customHeight="1" x14ac:dyDescent="0.15">
      <c r="A3" s="33" t="s">
        <v>7</v>
      </c>
      <c r="B3" s="34">
        <f>COUNTIF('Automatic Bread Maker'!$A$2:$A$49, A3)</f>
        <v>3</v>
      </c>
      <c r="C3" s="35">
        <f>SUMIF('Automatic Bread Maker Grader #1'!$A$2:$A$49, $A3, 'Automatic Bread Maker Grader #1'!$C$2:$C$49)</f>
        <v>0</v>
      </c>
      <c r="D3" s="35">
        <f>SUMIF('Automatic Bread Maker Grader #1'!$A$50:$A$56, $A3, 'Automatic Bread Maker Grader #1'!$C$50:$C$56)</f>
        <v>0</v>
      </c>
      <c r="E3" s="35">
        <f>COUNTIFS('Automatic Bread Maker Grader #1'!$A$2:$A$49, $A3, 'Automatic Bread Maker Grader #1'!$C$2:$C$49,0)</f>
        <v>0</v>
      </c>
      <c r="F3" s="35" t="str">
        <f t="shared" ref="F3:F10" si="0">IFERROR(C3 / (C3 + D3), "Not Available")</f>
        <v>Not Available</v>
      </c>
      <c r="G3" s="35">
        <f t="shared" ref="G3:G10" si="1">IFERROR(C3 / B3, "Not Available")</f>
        <v>0</v>
      </c>
      <c r="H3" s="35" t="str">
        <f t="shared" ref="H3:H10" si="2">IFERROR(2*((F3*G3)/(F3+G3)),"Not Available")</f>
        <v>Not Available</v>
      </c>
    </row>
    <row r="4" spans="1:10" ht="15.75" customHeight="1" x14ac:dyDescent="0.15">
      <c r="A4" s="36" t="s">
        <v>2</v>
      </c>
      <c r="B4" s="34">
        <f>COUNTIF('Automatic Bread Maker'!$A$2:$A$49, A4)</f>
        <v>12</v>
      </c>
      <c r="C4" s="35">
        <f>SUMIF('Automatic Bread Maker Grader #1'!$A$2:$A$49, $A4, 'Automatic Bread Maker Grader #1'!$C$2:$C$49)</f>
        <v>0</v>
      </c>
      <c r="D4" s="35">
        <f>SUMIF('Automatic Bread Maker Grader #1'!$A$50:$A$56, $A4, 'Automatic Bread Maker Grader #1'!$C$50:$C$56)</f>
        <v>0</v>
      </c>
      <c r="E4" s="35">
        <f>COUNTIFS('Automatic Bread Maker Grader #1'!$A$2:$A$49, $A4, 'Automatic Bread Maker Grader #1'!$C$2:$C$49,0)</f>
        <v>0</v>
      </c>
      <c r="F4" s="35" t="str">
        <f t="shared" si="0"/>
        <v>Not Available</v>
      </c>
      <c r="G4" s="35">
        <f t="shared" si="1"/>
        <v>0</v>
      </c>
      <c r="H4" s="35" t="str">
        <f t="shared" si="2"/>
        <v>Not Available</v>
      </c>
    </row>
    <row r="5" spans="1:10" ht="15.75" customHeight="1" x14ac:dyDescent="0.15">
      <c r="A5" s="36" t="s">
        <v>5</v>
      </c>
      <c r="B5" s="34">
        <f>COUNTIF('Automatic Bread Maker'!$A$2:$A$49, A5)</f>
        <v>18</v>
      </c>
      <c r="C5" s="35">
        <f>SUMIF('Automatic Bread Maker Grader #1'!$A$2:$A$49, $A5, 'Automatic Bread Maker Grader #1'!$C$2:$C$49)</f>
        <v>0</v>
      </c>
      <c r="D5" s="35">
        <f>SUMIF('Automatic Bread Maker Grader #1'!$A$50:$A$56, $A5, 'Automatic Bread Maker Grader #1'!$C$50:$C$56)</f>
        <v>0</v>
      </c>
      <c r="E5" s="35">
        <f>COUNTIFS('Automatic Bread Maker Grader #1'!$A$2:$A$49, $A5, 'Automatic Bread Maker Grader #1'!$C$2:$C$49,0)</f>
        <v>0</v>
      </c>
      <c r="F5" s="35" t="str">
        <f t="shared" si="0"/>
        <v>Not Available</v>
      </c>
      <c r="G5" s="35">
        <f t="shared" si="1"/>
        <v>0</v>
      </c>
      <c r="H5" s="35" t="str">
        <f t="shared" si="2"/>
        <v>Not Available</v>
      </c>
    </row>
    <row r="6" spans="1:10" ht="15.75" customHeight="1" x14ac:dyDescent="0.15">
      <c r="A6" s="36" t="s">
        <v>12</v>
      </c>
      <c r="B6" s="34">
        <f>COUNTIF('Automatic Bread Maker'!$A$2:$A$49, A6)</f>
        <v>10</v>
      </c>
      <c r="C6" s="35">
        <f>SUMIF('Automatic Bread Maker Grader #1'!$A$2:$A$49, $A6, 'Automatic Bread Maker Grader #1'!$C$2:$C$49)</f>
        <v>0</v>
      </c>
      <c r="D6" s="35">
        <f>SUMIF('Automatic Bread Maker Grader #1'!$A$50:$A$56, $A6, 'Automatic Bread Maker Grader #1'!$C$50:$C$56)</f>
        <v>0</v>
      </c>
      <c r="E6" s="35">
        <f>COUNTIFS('Automatic Bread Maker Grader #1'!$A$2:$A$49, $A6, 'Automatic Bread Maker Grader #1'!$C$2:$C$49,0)</f>
        <v>0</v>
      </c>
      <c r="F6" s="35" t="str">
        <f t="shared" si="0"/>
        <v>Not Available</v>
      </c>
      <c r="G6" s="35">
        <f t="shared" si="1"/>
        <v>0</v>
      </c>
      <c r="H6" s="35" t="str">
        <f t="shared" si="2"/>
        <v>Not Available</v>
      </c>
    </row>
    <row r="7" spans="1:10" ht="15.75" customHeight="1" x14ac:dyDescent="0.15">
      <c r="A7" s="36" t="s">
        <v>55</v>
      </c>
      <c r="B7" s="34">
        <f>COUNTIF('Automatic Bread Maker'!$A$2:$A$49, A7)</f>
        <v>0</v>
      </c>
      <c r="C7" s="35">
        <f>SUMIF('Automatic Bread Maker Grader #1'!$A$2:$A$49, $A7, 'Automatic Bread Maker Grader #1'!$C$2:$C$49)</f>
        <v>0</v>
      </c>
      <c r="D7" s="35">
        <f>SUMIF('Automatic Bread Maker Grader #1'!$A$50:$A$56, $A7, 'Automatic Bread Maker Grader #1'!$C$50:$C$56)</f>
        <v>0</v>
      </c>
      <c r="E7" s="35">
        <f>COUNTIFS('Automatic Bread Maker Grader #1'!$A$2:$A$49, $A7, 'Automatic Bread Maker Grader #1'!$C$2:$C$49,0)</f>
        <v>0</v>
      </c>
      <c r="F7" s="35" t="str">
        <f t="shared" si="0"/>
        <v>Not Available</v>
      </c>
      <c r="G7" s="35" t="str">
        <f t="shared" si="1"/>
        <v>Not Available</v>
      </c>
      <c r="H7" s="35" t="str">
        <f t="shared" si="2"/>
        <v>Not Available</v>
      </c>
    </row>
    <row r="8" spans="1:10" ht="15.75" customHeight="1" x14ac:dyDescent="0.15">
      <c r="A8" s="36" t="s">
        <v>20</v>
      </c>
      <c r="B8" s="34">
        <f>COUNTIF('Automatic Bread Maker'!$A$2:$A$49, A8)</f>
        <v>1</v>
      </c>
      <c r="C8" s="35">
        <f>SUMIF('Automatic Bread Maker Grader #1'!$A$2:$A$49, $A8, 'Automatic Bread Maker Grader #1'!$C$2:$C$49)</f>
        <v>0</v>
      </c>
      <c r="D8" s="35">
        <f>SUMIF('Automatic Bread Maker Grader #1'!$A$50:$A$56, $A8, 'Automatic Bread Maker Grader #1'!$C$50:$C$56)</f>
        <v>0</v>
      </c>
      <c r="E8" s="35">
        <f>COUNTIFS('Automatic Bread Maker Grader #1'!$A$2:$A$49, $A8, 'Automatic Bread Maker Grader #1'!$C$2:$C$49,0)</f>
        <v>0</v>
      </c>
      <c r="F8" s="35" t="str">
        <f t="shared" si="0"/>
        <v>Not Available</v>
      </c>
      <c r="G8" s="35">
        <f t="shared" si="1"/>
        <v>0</v>
      </c>
      <c r="H8" s="35" t="str">
        <f t="shared" si="2"/>
        <v>Not Available</v>
      </c>
    </row>
    <row r="9" spans="1:10" ht="15.75" customHeight="1" x14ac:dyDescent="0.15">
      <c r="A9" s="36" t="s">
        <v>25</v>
      </c>
      <c r="B9" s="34">
        <f>COUNTIF('Automatic Bread Maker'!$A$2:$A$49, A9)</f>
        <v>4</v>
      </c>
      <c r="C9" s="35">
        <f>SUMIF('Automatic Bread Maker Grader #1'!$A$2:$A$49, $A9, 'Automatic Bread Maker Grader #1'!$C$2:$C$49)</f>
        <v>0</v>
      </c>
      <c r="D9" s="35">
        <f>SUMIF('Automatic Bread Maker Grader #1'!$A$50:$A$56, $A9, 'Automatic Bread Maker Grader #1'!$C$50:$C$56)</f>
        <v>0</v>
      </c>
      <c r="E9" s="35">
        <f>COUNTIFS('Automatic Bread Maker Grader #1'!$A$2:$A$49, $A9, 'Automatic Bread Maker Grader #1'!$C$2:$C$49,0)</f>
        <v>0</v>
      </c>
      <c r="F9" s="35" t="str">
        <f t="shared" si="0"/>
        <v>Not Available</v>
      </c>
      <c r="G9" s="35">
        <f t="shared" si="1"/>
        <v>0</v>
      </c>
      <c r="H9" s="35" t="str">
        <f t="shared" si="2"/>
        <v>Not Available</v>
      </c>
    </row>
    <row r="10" spans="1:10" ht="15.75" customHeight="1" x14ac:dyDescent="0.15">
      <c r="A10" s="36" t="s">
        <v>67</v>
      </c>
      <c r="B10" s="35">
        <f t="shared" ref="B10:E10" si="3">SUM(B3:B9)</f>
        <v>48</v>
      </c>
      <c r="C10" s="35">
        <f t="shared" si="3"/>
        <v>0</v>
      </c>
      <c r="D10" s="35">
        <f t="shared" si="3"/>
        <v>0</v>
      </c>
      <c r="E10" s="35">
        <f t="shared" si="3"/>
        <v>0</v>
      </c>
      <c r="F10" s="35" t="str">
        <f t="shared" si="0"/>
        <v>Not Available</v>
      </c>
      <c r="G10" s="35">
        <f t="shared" si="1"/>
        <v>0</v>
      </c>
      <c r="H10" s="35" t="str">
        <f t="shared" si="2"/>
        <v>Not Available</v>
      </c>
    </row>
    <row r="11" spans="1:10" ht="15.75" customHeight="1" x14ac:dyDescent="0.15"/>
    <row r="12" spans="1:10" ht="15.75" customHeight="1" x14ac:dyDescent="0.15">
      <c r="A12" s="69" t="s">
        <v>68</v>
      </c>
      <c r="B12" s="70"/>
      <c r="C12" s="70"/>
      <c r="D12" s="70"/>
      <c r="E12" s="70"/>
      <c r="F12" s="70"/>
      <c r="G12" s="70"/>
      <c r="H12" s="70"/>
    </row>
    <row r="13" spans="1:10" ht="15.75" customHeight="1" x14ac:dyDescent="0.15">
      <c r="A13" s="32" t="s">
        <v>0</v>
      </c>
      <c r="B13" s="32" t="s">
        <v>60</v>
      </c>
      <c r="C13" s="32" t="s">
        <v>61</v>
      </c>
      <c r="D13" s="32" t="s">
        <v>62</v>
      </c>
      <c r="E13" s="32" t="s">
        <v>63</v>
      </c>
      <c r="F13" s="32" t="s">
        <v>64</v>
      </c>
      <c r="G13" s="32" t="s">
        <v>65</v>
      </c>
      <c r="H13" s="32" t="s">
        <v>66</v>
      </c>
    </row>
    <row r="14" spans="1:10" ht="15.75" customHeight="1" x14ac:dyDescent="0.15">
      <c r="A14" s="33" t="s">
        <v>69</v>
      </c>
      <c r="B14" s="34">
        <f>COUNTIF('Automatic Bread Maker'!$A$2:$A$49, A14)</f>
        <v>3</v>
      </c>
      <c r="C14" s="35">
        <f>SUMIF('Automatic Bread Maker Grader #2'!$A$2:$A$49, $A14, 'Automatic Bread Maker Grader #2'!$C$2:$C$49)</f>
        <v>0</v>
      </c>
      <c r="D14" s="35">
        <f>SUMIF('Automatic Bread Maker Grader #2'!$A$50:$A$56, $A14, 'Automatic Bread Maker Grader #2'!$C$50:$C$56)</f>
        <v>0</v>
      </c>
      <c r="E14" s="35">
        <f>COUNTIFS('Automatic Bread Maker Grader #2'!$A$2:$A$49, $A14, 'Automatic Bread Maker Grader #2'!$C$2:$C$49,0)</f>
        <v>0</v>
      </c>
      <c r="F14" s="35" t="str">
        <f t="shared" ref="F14:F21" si="4">IFERROR(C14 / (C14 + D14), "Not Available")</f>
        <v>Not Available</v>
      </c>
      <c r="G14" s="35">
        <f t="shared" ref="G14:G21" si="5">IFERROR(C14 / B14, "Not Available")</f>
        <v>0</v>
      </c>
      <c r="H14" s="35" t="str">
        <f t="shared" ref="H14:H21" si="6">IFERROR(2*((F14*G14)/(F14+G14)),"Not Available")</f>
        <v>Not Available</v>
      </c>
    </row>
    <row r="15" spans="1:10" ht="15.75" customHeight="1" x14ac:dyDescent="0.15">
      <c r="A15" s="36" t="s">
        <v>2</v>
      </c>
      <c r="B15" s="34">
        <f>COUNTIF('Automatic Bread Maker'!$A$2:$A$49, A15)</f>
        <v>12</v>
      </c>
      <c r="C15" s="35">
        <f>SUMIF('Automatic Bread Maker Grader #2'!$A$2:$A$49, $A15, 'Automatic Bread Maker Grader #2'!$C$2:$C$49)</f>
        <v>0</v>
      </c>
      <c r="D15" s="35">
        <f>SUMIF('Automatic Bread Maker Grader #2'!$A$50:$A$56, $A15, 'Automatic Bread Maker Grader #2'!$C$50:$C$56)</f>
        <v>0</v>
      </c>
      <c r="E15" s="35">
        <f>COUNTIFS('Automatic Bread Maker Grader #2'!$A$2:$A$49, $A15, 'Automatic Bread Maker Grader #2'!$C$2:$C$49,0)</f>
        <v>0</v>
      </c>
      <c r="F15" s="35" t="str">
        <f t="shared" si="4"/>
        <v>Not Available</v>
      </c>
      <c r="G15" s="35">
        <f t="shared" si="5"/>
        <v>0</v>
      </c>
      <c r="H15" s="35" t="str">
        <f t="shared" si="6"/>
        <v>Not Available</v>
      </c>
    </row>
    <row r="16" spans="1:10" ht="15.75" customHeight="1" x14ac:dyDescent="0.15">
      <c r="A16" s="36" t="s">
        <v>5</v>
      </c>
      <c r="B16" s="34">
        <f>COUNTIF('Automatic Bread Maker'!$A$2:$A$49, A16)</f>
        <v>18</v>
      </c>
      <c r="C16" s="35">
        <f>SUMIF('Automatic Bread Maker Grader #2'!$A$2:$A$49, $A16, 'Automatic Bread Maker Grader #2'!$C$2:$C$49)</f>
        <v>0</v>
      </c>
      <c r="D16" s="35">
        <f>SUMIF('Automatic Bread Maker Grader #2'!$A$50:$A$56, $A16, 'Automatic Bread Maker Grader #2'!$C$50:$C$56)</f>
        <v>0</v>
      </c>
      <c r="E16" s="35">
        <f>COUNTIFS('Automatic Bread Maker Grader #2'!$A$2:$A$49, $A16, 'Automatic Bread Maker Grader #2'!$C$2:$C$49,0)</f>
        <v>0</v>
      </c>
      <c r="F16" s="35" t="str">
        <f t="shared" si="4"/>
        <v>Not Available</v>
      </c>
      <c r="G16" s="35">
        <f t="shared" si="5"/>
        <v>0</v>
      </c>
      <c r="H16" s="35" t="str">
        <f t="shared" si="6"/>
        <v>Not Available</v>
      </c>
    </row>
    <row r="17" spans="1:8" ht="15.75" customHeight="1" x14ac:dyDescent="0.15">
      <c r="A17" s="36" t="s">
        <v>12</v>
      </c>
      <c r="B17" s="34">
        <f>COUNTIF('Automatic Bread Maker'!$A$2:$A$49, A17)</f>
        <v>10</v>
      </c>
      <c r="C17" s="35">
        <f>SUMIF('Automatic Bread Maker Grader #2'!$A$2:$A$49, $A17, 'Automatic Bread Maker Grader #2'!$C$2:$C$49)</f>
        <v>0</v>
      </c>
      <c r="D17" s="35">
        <f>SUMIF('Automatic Bread Maker Grader #2'!$A$50:$A$56, $A17, 'Automatic Bread Maker Grader #2'!$C$50:$C$56)</f>
        <v>0</v>
      </c>
      <c r="E17" s="35">
        <f>COUNTIFS('Automatic Bread Maker Grader #2'!$A$2:$A$49, $A17, 'Automatic Bread Maker Grader #2'!$C$2:$C$49,0)</f>
        <v>0</v>
      </c>
      <c r="F17" s="35" t="str">
        <f t="shared" si="4"/>
        <v>Not Available</v>
      </c>
      <c r="G17" s="35">
        <f t="shared" si="5"/>
        <v>0</v>
      </c>
      <c r="H17" s="35" t="str">
        <f t="shared" si="6"/>
        <v>Not Available</v>
      </c>
    </row>
    <row r="18" spans="1:8" ht="15.75" customHeight="1" x14ac:dyDescent="0.15">
      <c r="A18" s="36" t="s">
        <v>55</v>
      </c>
      <c r="B18" s="34">
        <f>COUNTIF('Automatic Bread Maker'!$A$2:$A$49, A18)</f>
        <v>0</v>
      </c>
      <c r="C18" s="35">
        <f>SUMIF('Automatic Bread Maker Grader #2'!$A$2:$A$49, $A18, 'Automatic Bread Maker Grader #2'!$C$2:$C$49)</f>
        <v>0</v>
      </c>
      <c r="D18" s="35">
        <f>SUMIF('Automatic Bread Maker Grader #2'!$A$50:$A$56, $A18, 'Automatic Bread Maker Grader #2'!$C$50:$C$56)</f>
        <v>0</v>
      </c>
      <c r="E18" s="35">
        <f>COUNTIFS('Automatic Bread Maker Grader #2'!$A$2:$A$49, $A18, 'Automatic Bread Maker Grader #2'!$C$2:$C$49,0)</f>
        <v>0</v>
      </c>
      <c r="F18" s="35" t="str">
        <f t="shared" si="4"/>
        <v>Not Available</v>
      </c>
      <c r="G18" s="35" t="str">
        <f t="shared" si="5"/>
        <v>Not Available</v>
      </c>
      <c r="H18" s="35" t="str">
        <f t="shared" si="6"/>
        <v>Not Available</v>
      </c>
    </row>
    <row r="19" spans="1:8" ht="15.75" customHeight="1" x14ac:dyDescent="0.15">
      <c r="A19" s="36" t="s">
        <v>20</v>
      </c>
      <c r="B19" s="34">
        <f>COUNTIF('Automatic Bread Maker'!$A$2:$A$49, A19)</f>
        <v>1</v>
      </c>
      <c r="C19" s="35">
        <f>SUMIF('Automatic Bread Maker Grader #2'!$A$2:$A$49, $A19, 'Automatic Bread Maker Grader #2'!$C$2:$C$49)</f>
        <v>0</v>
      </c>
      <c r="D19" s="35">
        <f>SUMIF('Automatic Bread Maker Grader #2'!$A$50:$A$56, $A19, 'Automatic Bread Maker Grader #2'!$C$50:$C$56)</f>
        <v>0</v>
      </c>
      <c r="E19" s="35">
        <f>COUNTIFS('Automatic Bread Maker Grader #2'!$A$2:$A$49, $A19, 'Automatic Bread Maker Grader #2'!$C$2:$C$49,0)</f>
        <v>0</v>
      </c>
      <c r="F19" s="35" t="str">
        <f t="shared" si="4"/>
        <v>Not Available</v>
      </c>
      <c r="G19" s="35">
        <f t="shared" si="5"/>
        <v>0</v>
      </c>
      <c r="H19" s="35" t="str">
        <f t="shared" si="6"/>
        <v>Not Available</v>
      </c>
    </row>
    <row r="20" spans="1:8" ht="15.75" customHeight="1" x14ac:dyDescent="0.15">
      <c r="A20" s="36" t="s">
        <v>25</v>
      </c>
      <c r="B20" s="34">
        <f>COUNTIF('Automatic Bread Maker'!$A$2:$A$49, A20)</f>
        <v>4</v>
      </c>
      <c r="C20" s="35">
        <f>SUMIF('Automatic Bread Maker Grader #2'!$A$2:$A$49, $A20, 'Automatic Bread Maker Grader #2'!$C$2:$C$49)</f>
        <v>0</v>
      </c>
      <c r="D20" s="35">
        <f>SUMIF('Automatic Bread Maker Grader #2'!$A$50:$A$56, $A20, 'Automatic Bread Maker Grader #2'!$C$50:$C$56)</f>
        <v>0</v>
      </c>
      <c r="E20" s="35">
        <f>COUNTIFS('Automatic Bread Maker Grader #2'!$A$2:$A$49, $A20, 'Automatic Bread Maker Grader #2'!$C$2:$C$49,0)</f>
        <v>0</v>
      </c>
      <c r="F20" s="35" t="str">
        <f t="shared" si="4"/>
        <v>Not Available</v>
      </c>
      <c r="G20" s="35">
        <f t="shared" si="5"/>
        <v>0</v>
      </c>
      <c r="H20" s="35" t="str">
        <f t="shared" si="6"/>
        <v>Not Available</v>
      </c>
    </row>
    <row r="21" spans="1:8" ht="15.75" customHeight="1" x14ac:dyDescent="0.15">
      <c r="A21" s="36" t="s">
        <v>67</v>
      </c>
      <c r="B21" s="35">
        <f t="shared" ref="B21:E21" si="7">SUM(B14:B20)</f>
        <v>48</v>
      </c>
      <c r="C21" s="35">
        <f t="shared" si="7"/>
        <v>0</v>
      </c>
      <c r="D21" s="35">
        <f t="shared" si="7"/>
        <v>0</v>
      </c>
      <c r="E21" s="35">
        <f t="shared" si="7"/>
        <v>0</v>
      </c>
      <c r="F21" s="35" t="str">
        <f t="shared" si="4"/>
        <v>Not Available</v>
      </c>
      <c r="G21" s="35">
        <f t="shared" si="5"/>
        <v>0</v>
      </c>
      <c r="H21" s="35" t="str">
        <f t="shared" si="6"/>
        <v>Not Available</v>
      </c>
    </row>
    <row r="22" spans="1:8" ht="15.75" customHeight="1" x14ac:dyDescent="0.15">
      <c r="H22" s="37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3" max="13" width="7" customWidth="1"/>
    <col min="14" max="14" width="53.1640625" customWidth="1"/>
    <col min="15" max="15" width="7.5" customWidth="1"/>
    <col min="16" max="16" width="56.1640625" customWidth="1"/>
  </cols>
  <sheetData>
    <row r="1" spans="1:14" ht="15.75" customHeight="1" x14ac:dyDescent="0.15">
      <c r="A1" s="13" t="s">
        <v>0</v>
      </c>
      <c r="B1" s="14" t="s">
        <v>1</v>
      </c>
      <c r="C1" s="15" t="s">
        <v>70</v>
      </c>
      <c r="D1" s="15" t="s">
        <v>71</v>
      </c>
      <c r="E1" s="31"/>
      <c r="F1" s="71" t="s">
        <v>72</v>
      </c>
      <c r="G1" s="72"/>
      <c r="H1" s="72"/>
      <c r="I1" s="72"/>
      <c r="L1" s="73" t="s">
        <v>73</v>
      </c>
      <c r="M1" s="74"/>
      <c r="N1" s="74"/>
    </row>
    <row r="2" spans="1:14" ht="15.75" customHeight="1" x14ac:dyDescent="0.15">
      <c r="A2" s="5" t="str">
        <f>'Automatic Bread Maker Grader #1'!A3</f>
        <v>State</v>
      </c>
      <c r="B2" s="5" t="str">
        <f>'Automatic Bread Maker Grader #1'!B3</f>
        <v>Off</v>
      </c>
      <c r="C2" s="5">
        <f>'Automatic Bread Maker Grader #1'!C3</f>
        <v>0</v>
      </c>
      <c r="D2" s="5" t="s">
        <v>108</v>
      </c>
      <c r="E2" s="31"/>
      <c r="F2" s="14" t="s">
        <v>74</v>
      </c>
      <c r="G2" s="39" t="s">
        <v>75</v>
      </c>
      <c r="H2" s="40" t="s">
        <v>76</v>
      </c>
      <c r="I2" s="41" t="s">
        <v>77</v>
      </c>
      <c r="J2" s="42" t="s">
        <v>78</v>
      </c>
      <c r="K2" s="14"/>
      <c r="L2" s="43" t="s">
        <v>79</v>
      </c>
      <c r="M2" s="43" t="s">
        <v>80</v>
      </c>
      <c r="N2" s="43" t="s">
        <v>81</v>
      </c>
    </row>
    <row r="3" spans="1:14" ht="15.75" customHeight="1" x14ac:dyDescent="0.15">
      <c r="A3" s="5" t="str">
        <f>'Automatic Bread Maker Grader #1'!A4</f>
        <v>Transition</v>
      </c>
      <c r="B3" s="5" t="str">
        <f>'Automatic Bread Maker Grader #1'!B4</f>
        <v>on (Off ⇒ On)</v>
      </c>
      <c r="C3" s="5">
        <f>'Automatic Bread Maker Grader #1'!C4</f>
        <v>0</v>
      </c>
      <c r="D3" s="5" t="s">
        <v>108</v>
      </c>
      <c r="E3" s="31"/>
      <c r="F3" s="44">
        <v>0</v>
      </c>
      <c r="G3" s="45">
        <f>COUNTIFS($C$2:$C$91, $F3, $D$2:$D$91, G$2)</f>
        <v>0</v>
      </c>
      <c r="H3" s="46">
        <f>COUNTIFS($C$2:$C$47, $F3, $D$2:$D$47, H$2)</f>
        <v>0</v>
      </c>
      <c r="I3" s="47" t="e">
        <f>COUNTIFS($C$2:$C$47, $F3, $D$2:$D$47, I$2)+MAX(D48-C48,0)+MAX(D49-C49,0)+MAX(D50-C50,0)+MAX(D51-C51,0)+MAX(D52-C52,0)+MAX(D53-C53,0)+MAX(D54-C54,0)</f>
        <v>#VALUE!</v>
      </c>
      <c r="J3" s="14" t="e">
        <f t="shared" ref="J3:J5" si="0">SUM(G3:I3)</f>
        <v>#VALUE!</v>
      </c>
      <c r="K3" s="14"/>
      <c r="L3" s="48" t="s">
        <v>82</v>
      </c>
      <c r="M3" s="45">
        <f>(G3+H4+I5)/COUNTA($C$2:$C$101)</f>
        <v>0</v>
      </c>
      <c r="N3" s="47" t="s">
        <v>83</v>
      </c>
    </row>
    <row r="4" spans="1:14" ht="15.75" customHeight="1" x14ac:dyDescent="0.15">
      <c r="A4" s="5" t="str">
        <f>'Automatic Bread Maker Grader #1'!A5</f>
        <v>Composite State</v>
      </c>
      <c r="B4" s="5" t="str">
        <f>'Automatic Bread Maker Grader #1'!B5</f>
        <v>On</v>
      </c>
      <c r="C4" s="5">
        <f>'Automatic Bread Maker Grader #1'!C5</f>
        <v>0</v>
      </c>
      <c r="D4" s="5" t="s">
        <v>108</v>
      </c>
      <c r="E4" s="31"/>
      <c r="F4" s="44">
        <v>0.5</v>
      </c>
      <c r="G4" s="49">
        <f t="shared" ref="G4:I4" si="1">COUNTIFS($C$2:$C$47, $F4, $D$2:$D$47, G$2)</f>
        <v>0</v>
      </c>
      <c r="H4" s="14">
        <f t="shared" si="1"/>
        <v>0</v>
      </c>
      <c r="I4" s="50">
        <f t="shared" si="1"/>
        <v>0</v>
      </c>
      <c r="J4" s="14">
        <f t="shared" si="0"/>
        <v>0</v>
      </c>
      <c r="K4" s="14"/>
      <c r="L4" s="48" t="s">
        <v>84</v>
      </c>
      <c r="M4" s="49" t="e">
        <f t="array" ref="M4">SUMPRODUCT(J3:J5/COUNTA($C$2:$C$101), TRANSPOSE(G6:I6)/COUNTA($C$2:$C$101))</f>
        <v>#VALUE!</v>
      </c>
      <c r="N4" s="50" t="s">
        <v>85</v>
      </c>
    </row>
    <row r="5" spans="1:14" ht="15.75" customHeight="1" x14ac:dyDescent="0.15">
      <c r="A5" s="5" t="str">
        <f>'Automatic Bread Maker Grader #1'!A2</f>
        <v>State</v>
      </c>
      <c r="B5" s="5" t="str">
        <f>'Automatic Bread Maker Grader #1'!B2</f>
        <v>Initial state (→ Off)</v>
      </c>
      <c r="C5" s="5">
        <f>'Automatic Bread Maker Grader #1'!C2</f>
        <v>0</v>
      </c>
      <c r="D5" s="5" t="s">
        <v>108</v>
      </c>
      <c r="E5" s="31"/>
      <c r="F5" s="44">
        <v>1</v>
      </c>
      <c r="G5" s="51" t="e">
        <f>COUNTIFS($C$2:$C$47, $F5, $D$2:$D$47, G$2)+MAX(C48-D48,0)+MAX(C49-D49,0)+MAX(C50-D50,0)+MAX(C51-D51,0)+MAX(C52-D52,0)+MAX(C53-D53,0)+MAX(C54-D54,0)</f>
        <v>#VALUE!</v>
      </c>
      <c r="H5" s="52">
        <f>COUNTIFS($C$2:$C$47, $F5, $D$2:$D$47, H$2)</f>
        <v>0</v>
      </c>
      <c r="I5" s="53">
        <f>COUNTIFS($C$2:$C$47, $F5, $D$2:$D$47, I$2)+ SUM(MIN(C48,D48), MIN(C49,D49), MIN(C50,D50), MIN(C51,D51), MIN(C52,D52), MIN(C53,D53), MIN(C54,D54))</f>
        <v>0</v>
      </c>
      <c r="J5" s="14" t="e">
        <f t="shared" si="0"/>
        <v>#VALUE!</v>
      </c>
      <c r="K5" s="14"/>
      <c r="L5" s="48" t="s">
        <v>73</v>
      </c>
      <c r="M5" s="51" t="e">
        <f>(M3-M4)/(1-M4)</f>
        <v>#VALUE!</v>
      </c>
      <c r="N5" s="53" t="s">
        <v>86</v>
      </c>
    </row>
    <row r="6" spans="1:14" ht="15.75" customHeight="1" x14ac:dyDescent="0.15">
      <c r="A6" s="5" t="str">
        <f>'Automatic Bread Maker Grader #1'!A7</f>
        <v>Composite State</v>
      </c>
      <c r="B6" s="5" t="str">
        <f>'Automatic Bread Maker Grader #1'!B7</f>
        <v>Setup</v>
      </c>
      <c r="C6" s="5">
        <f>'Automatic Bread Maker Grader #1'!C7</f>
        <v>0</v>
      </c>
      <c r="D6" s="5" t="s">
        <v>108</v>
      </c>
      <c r="E6" s="31"/>
      <c r="F6" s="54" t="s">
        <v>87</v>
      </c>
      <c r="G6" s="14" t="e">
        <f t="shared" ref="G6:I6" si="2">SUM(G3:G5)</f>
        <v>#VALUE!</v>
      </c>
      <c r="H6" s="14">
        <f t="shared" si="2"/>
        <v>0</v>
      </c>
      <c r="I6" s="14" t="e">
        <f t="shared" si="2"/>
        <v>#VALUE!</v>
      </c>
      <c r="J6" s="14"/>
      <c r="L6" s="14"/>
      <c r="M6" s="55"/>
    </row>
    <row r="7" spans="1:14" ht="15.75" customHeight="1" x14ac:dyDescent="0.15">
      <c r="A7" s="5" t="str">
        <f>'Automatic Bread Maker Grader #1'!A8</f>
        <v>State</v>
      </c>
      <c r="B7" s="5" t="str">
        <f>'Automatic Bread Maker Grader #1'!B8</f>
        <v>Initial state (Setup → Medium)</v>
      </c>
      <c r="C7" s="5">
        <f>'Automatic Bread Maker Grader #1'!C8</f>
        <v>0</v>
      </c>
      <c r="D7" s="5" t="s">
        <v>108</v>
      </c>
      <c r="E7" s="31"/>
      <c r="L7" s="14"/>
      <c r="M7" s="14"/>
      <c r="N7" s="14"/>
    </row>
    <row r="8" spans="1:14" ht="15.75" customHeight="1" x14ac:dyDescent="0.15">
      <c r="A8" s="5" t="str">
        <f>'Automatic Bread Maker Grader #1'!A9</f>
        <v>Action</v>
      </c>
      <c r="B8" s="5" t="str">
        <f>'Automatic Bread Maker Grader #1'!B9</f>
        <v>delay=0; selectFirstCourse()</v>
      </c>
      <c r="C8" s="5">
        <f>'Automatic Bread Maker Grader #1'!C9</f>
        <v>0</v>
      </c>
      <c r="D8" s="5" t="s">
        <v>108</v>
      </c>
      <c r="E8" s="31"/>
      <c r="F8" s="71" t="s">
        <v>88</v>
      </c>
      <c r="G8" s="72"/>
      <c r="H8" s="72"/>
      <c r="I8" s="72"/>
      <c r="L8" s="73" t="s">
        <v>89</v>
      </c>
      <c r="M8" s="74"/>
      <c r="N8" s="74"/>
    </row>
    <row r="9" spans="1:14" ht="15.75" customHeight="1" x14ac:dyDescent="0.15">
      <c r="A9" s="5" t="str">
        <f>'Automatic Bread Maker Grader #1'!A10</f>
        <v>State</v>
      </c>
      <c r="B9" s="5" t="str">
        <f>'Automatic Bread Maker Grader #1'!B10</f>
        <v>Medium</v>
      </c>
      <c r="C9" s="5">
        <f>'Automatic Bread Maker Grader #1'!C10</f>
        <v>0</v>
      </c>
      <c r="D9" s="5" t="s">
        <v>108</v>
      </c>
      <c r="E9" s="31"/>
      <c r="F9" s="14" t="s">
        <v>2</v>
      </c>
      <c r="G9" s="56" t="s">
        <v>75</v>
      </c>
      <c r="H9" s="56" t="s">
        <v>76</v>
      </c>
      <c r="I9" s="56" t="s">
        <v>77</v>
      </c>
      <c r="J9" s="57" t="s">
        <v>78</v>
      </c>
      <c r="K9" s="14"/>
      <c r="L9" s="43" t="s">
        <v>79</v>
      </c>
      <c r="M9" s="43" t="s">
        <v>80</v>
      </c>
      <c r="N9" s="43" t="s">
        <v>81</v>
      </c>
    </row>
    <row r="10" spans="1:14" ht="15.75" customHeight="1" x14ac:dyDescent="0.15">
      <c r="A10" s="5" t="str">
        <f>'Automatic Bread Maker Grader #1'!A11</f>
        <v>Transition</v>
      </c>
      <c r="B10" s="5" t="str">
        <f>'Automatic Bread Maker Grader #1'!B11</f>
        <v>setup initial state =&gt; medium</v>
      </c>
      <c r="C10" s="5">
        <f>'Automatic Bread Maker Grader #1'!C11</f>
        <v>0</v>
      </c>
      <c r="D10" s="5" t="s">
        <v>108</v>
      </c>
      <c r="E10" s="31"/>
      <c r="F10" s="44">
        <v>0</v>
      </c>
      <c r="G10" s="45">
        <f t="shared" ref="G10:H10" si="3">COUNTIFS($A$2:$A$91,$F$9,$C$2:$C$91,$F10,$D$2:$D$91,G$9)</f>
        <v>0</v>
      </c>
      <c r="H10" s="46">
        <f t="shared" si="3"/>
        <v>0</v>
      </c>
      <c r="I10" s="47" t="e">
        <f>COUNTIFS($A$2:$A$47,$F$9,$C$2:$C$47,$F10,$D$2:$D$47,I$9)+MAX(D48-C48,0)</f>
        <v>#VALUE!</v>
      </c>
      <c r="J10" s="14" t="e">
        <f t="shared" ref="J10:J12" si="4">SUM(G10:I10)</f>
        <v>#VALUE!</v>
      </c>
      <c r="K10" s="14"/>
      <c r="L10" s="48" t="s">
        <v>82</v>
      </c>
      <c r="M10" s="45" t="e">
        <f>(G10+H11+I12)/COUNTIF($A$2:$A$101,F9)</f>
        <v>#VALUE!</v>
      </c>
      <c r="N10" s="47" t="s">
        <v>83</v>
      </c>
    </row>
    <row r="11" spans="1:14" ht="15.75" customHeight="1" x14ac:dyDescent="0.15">
      <c r="A11" s="5" t="str">
        <f>'Automatic Bread Maker Grader #1'!A12</f>
        <v>Transition</v>
      </c>
      <c r="B11" s="5" t="str">
        <f>'Automatic Bread Maker Grader #1'!B12</f>
        <v>medium =&gt; dark</v>
      </c>
      <c r="C11" s="5">
        <f>'Automatic Bread Maker Grader #1'!C12</f>
        <v>0</v>
      </c>
      <c r="D11" s="5" t="s">
        <v>108</v>
      </c>
      <c r="E11" s="31"/>
      <c r="F11" s="44">
        <v>0.5</v>
      </c>
      <c r="G11" s="49">
        <f t="shared" ref="G11:I11" si="5">COUNTIFS($A$2:$A$91,$F$9,$C$2:$C$91,$F11,$D$2:$D$91,G$9)</f>
        <v>0</v>
      </c>
      <c r="H11" s="14">
        <f t="shared" si="5"/>
        <v>0</v>
      </c>
      <c r="I11" s="50">
        <f t="shared" si="5"/>
        <v>0</v>
      </c>
      <c r="J11" s="14">
        <f t="shared" si="4"/>
        <v>0</v>
      </c>
      <c r="K11" s="14"/>
      <c r="L11" s="48" t="s">
        <v>84</v>
      </c>
      <c r="M11" s="49" t="e">
        <f t="array" ref="M11">SUMPRODUCT(J10:J12/COUNTIF($A$2:$A$101,F9), TRANSPOSE(G13:I13)/COUNTIF($A$2:$A$101,F9))</f>
        <v>#VALUE!</v>
      </c>
      <c r="N11" s="50" t="s">
        <v>85</v>
      </c>
    </row>
    <row r="12" spans="1:14" ht="15.75" customHeight="1" x14ac:dyDescent="0.15">
      <c r="A12" s="5" t="str">
        <f>'Automatic Bread Maker Grader #1'!A13</f>
        <v>State</v>
      </c>
      <c r="B12" s="5" t="str">
        <f>'Automatic Bread Maker Grader #1'!B13</f>
        <v>Dark</v>
      </c>
      <c r="C12" s="5">
        <f>'Automatic Bread Maker Grader #1'!C13</f>
        <v>0</v>
      </c>
      <c r="D12" s="5" t="s">
        <v>108</v>
      </c>
      <c r="E12" s="31"/>
      <c r="F12" s="44">
        <v>1</v>
      </c>
      <c r="G12" s="51" t="e">
        <f>COUNTIFS($A$2:$A$47,$F$9,$C$2:$C$47,$F12,$D$2:$D$47,G$9)+MAX(C48-D48,0)</f>
        <v>#VALUE!</v>
      </c>
      <c r="H12" s="52">
        <f>COUNTIFS($A$2:$A$91,$F$9,$C$2:$C$91,$F12,$D$2:$D$91,H$9)</f>
        <v>0</v>
      </c>
      <c r="I12" s="53" t="e">
        <f>COUNTIFS($A$2:$A$47,$F$9,$C$2:$C$47,$F12,$D$2:$D$47,I$9)+MIN(C48-D48)</f>
        <v>#VALUE!</v>
      </c>
      <c r="J12" s="14" t="e">
        <f t="shared" si="4"/>
        <v>#VALUE!</v>
      </c>
      <c r="K12" s="14"/>
      <c r="L12" s="48" t="s">
        <v>73</v>
      </c>
      <c r="M12" s="51" t="e">
        <f>(M10-M11)/(1-M11)</f>
        <v>#VALUE!</v>
      </c>
      <c r="N12" s="53" t="s">
        <v>86</v>
      </c>
    </row>
    <row r="13" spans="1:14" ht="15.75" customHeight="1" x14ac:dyDescent="0.15">
      <c r="A13" s="5" t="str">
        <f>'Automatic Bread Maker Grader #1'!A14</f>
        <v>Transition</v>
      </c>
      <c r="B13" s="5" t="str">
        <f>'Automatic Bread Maker Grader #1'!B14</f>
        <v>dark =&gt; light</v>
      </c>
      <c r="C13" s="5">
        <f>'Automatic Bread Maker Grader #1'!C14</f>
        <v>0</v>
      </c>
      <c r="D13" s="5" t="s">
        <v>108</v>
      </c>
      <c r="E13" s="31"/>
      <c r="F13" s="54" t="s">
        <v>87</v>
      </c>
      <c r="G13" s="14" t="e">
        <f t="shared" ref="G13:I13" si="6">SUM(G10:G12)</f>
        <v>#VALUE!</v>
      </c>
      <c r="H13" s="14">
        <f t="shared" si="6"/>
        <v>0</v>
      </c>
      <c r="I13" s="14" t="e">
        <f t="shared" si="6"/>
        <v>#VALUE!</v>
      </c>
      <c r="J13" s="14"/>
      <c r="L13" s="14"/>
      <c r="M13" s="55"/>
    </row>
    <row r="14" spans="1:14" ht="15.75" customHeight="1" x14ac:dyDescent="0.15">
      <c r="A14" s="5" t="str">
        <f>'Automatic Bread Maker Grader #1'!A15</f>
        <v>State</v>
      </c>
      <c r="B14" s="5" t="str">
        <f>'Automatic Bread Maker Grader #1'!B15</f>
        <v>Light</v>
      </c>
      <c r="C14" s="5">
        <f>'Automatic Bread Maker Grader #1'!C15</f>
        <v>0</v>
      </c>
      <c r="D14" s="5" t="s">
        <v>108</v>
      </c>
      <c r="E14" s="31"/>
    </row>
    <row r="15" spans="1:14" ht="15.75" customHeight="1" x14ac:dyDescent="0.15">
      <c r="A15" s="5" t="str">
        <f>'Automatic Bread Maker Grader #1'!A16</f>
        <v>History State</v>
      </c>
      <c r="B15" s="5" t="str">
        <f>'Automatic Bread Maker Grader #1'!B16</f>
        <v>H</v>
      </c>
      <c r="C15" s="5">
        <f>'Automatic Bread Maker Grader #1'!C16</f>
        <v>0</v>
      </c>
      <c r="D15" s="5" t="s">
        <v>108</v>
      </c>
      <c r="E15" s="31"/>
      <c r="F15" s="71" t="s">
        <v>90</v>
      </c>
      <c r="G15" s="72"/>
      <c r="H15" s="72"/>
      <c r="I15" s="72"/>
      <c r="L15" s="73" t="s">
        <v>91</v>
      </c>
      <c r="M15" s="74"/>
      <c r="N15" s="74"/>
    </row>
    <row r="16" spans="1:14" ht="15.75" customHeight="1" x14ac:dyDescent="0.15">
      <c r="A16" s="5" t="str">
        <f>'Automatic Bread Maker Grader #1'!A17</f>
        <v>Transition</v>
      </c>
      <c r="B16" s="5" t="str">
        <f>'Automatic Bread Maker Grader #1'!B17</f>
        <v>setup =&gt; H</v>
      </c>
      <c r="C16" s="5">
        <f>'Automatic Bread Maker Grader #1'!C17</f>
        <v>0</v>
      </c>
      <c r="D16" s="5" t="s">
        <v>108</v>
      </c>
      <c r="E16" s="31"/>
      <c r="F16" s="14" t="s">
        <v>5</v>
      </c>
      <c r="G16" s="56" t="s">
        <v>75</v>
      </c>
      <c r="H16" s="56" t="s">
        <v>76</v>
      </c>
      <c r="I16" s="56" t="s">
        <v>77</v>
      </c>
      <c r="J16" s="57" t="s">
        <v>78</v>
      </c>
      <c r="K16" s="14"/>
      <c r="L16" s="43" t="s">
        <v>79</v>
      </c>
      <c r="M16" s="43" t="s">
        <v>80</v>
      </c>
      <c r="N16" s="43" t="s">
        <v>81</v>
      </c>
    </row>
    <row r="17" spans="1:14" ht="15.75" customHeight="1" x14ac:dyDescent="0.15">
      <c r="A17" s="5" t="str">
        <f>'Automatic Bread Maker Grader #1'!A18</f>
        <v>Action</v>
      </c>
      <c r="B17" s="5" t="str">
        <f>'Automatic Bread Maker Grader #1'!B18</f>
        <v>selectNextCourse()</v>
      </c>
      <c r="C17" s="5">
        <f>'Automatic Bread Maker Grader #1'!C18</f>
        <v>0</v>
      </c>
      <c r="D17" s="5" t="s">
        <v>108</v>
      </c>
      <c r="E17" s="31"/>
      <c r="F17" s="44">
        <v>0</v>
      </c>
      <c r="G17" s="45">
        <f t="shared" ref="G17:H17" si="7">COUNTIFS($A$2:$A$91,$F$16,$C$2:$C$91,$F17,$D$2:$D$91,G$16)</f>
        <v>0</v>
      </c>
      <c r="H17" s="46">
        <f t="shared" si="7"/>
        <v>0</v>
      </c>
      <c r="I17" s="47" t="e">
        <f>COUNTIFS($A$2:$A$47,$F$16,$C$2:$C$47,$F17,$D$2:$D$47,I$16) + MAX(D49-C49,0)</f>
        <v>#VALUE!</v>
      </c>
      <c r="J17" s="14" t="e">
        <f t="shared" ref="J17:J19" si="8">SUM(G17:I17)</f>
        <v>#VALUE!</v>
      </c>
      <c r="K17" s="14"/>
      <c r="L17" s="48" t="s">
        <v>82</v>
      </c>
      <c r="M17" s="45">
        <f>(G17+H18+I19)/COUNTIF($A$2:$A$101,F16)</f>
        <v>0</v>
      </c>
      <c r="N17" s="47" t="s">
        <v>83</v>
      </c>
    </row>
    <row r="18" spans="1:14" ht="15.75" customHeight="1" x14ac:dyDescent="0.15">
      <c r="A18" s="5" t="str">
        <f>'Automatic Bread Maker Grader #1'!A19</f>
        <v>Transition</v>
      </c>
      <c r="B18" s="5" t="str">
        <f>'Automatic Bread Maker Grader #1'!B19</f>
        <v>plus (Setup ⇒ Setup)</v>
      </c>
      <c r="C18" s="5">
        <f>'Automatic Bread Maker Grader #1'!C19</f>
        <v>0</v>
      </c>
      <c r="D18" s="5" t="s">
        <v>108</v>
      </c>
      <c r="E18" s="31"/>
      <c r="F18" s="44">
        <v>0.5</v>
      </c>
      <c r="G18" s="49">
        <f t="shared" ref="G18:I18" si="9">COUNTIFS($A$2:$A$91,$F$16,$C$2:$C$91,$F18,$D$2:$D$91,G$16)</f>
        <v>0</v>
      </c>
      <c r="H18" s="14">
        <f t="shared" si="9"/>
        <v>0</v>
      </c>
      <c r="I18" s="50">
        <f t="shared" si="9"/>
        <v>0</v>
      </c>
      <c r="J18" s="14">
        <f t="shared" si="8"/>
        <v>0</v>
      </c>
      <c r="K18" s="14"/>
      <c r="L18" s="48" t="s">
        <v>84</v>
      </c>
      <c r="M18" s="49" t="e">
        <f t="array" ref="M18">SUMPRODUCT(J17:J19/COUNTIF($A$2:$A$101,F16), TRANSPOSE(G20:I20)/COUNTIF($A$2:$A$101,F16))</f>
        <v>#VALUE!</v>
      </c>
      <c r="N18" s="50" t="s">
        <v>85</v>
      </c>
    </row>
    <row r="19" spans="1:14" ht="15.75" customHeight="1" x14ac:dyDescent="0.15">
      <c r="A19" s="5" t="str">
        <f>'Automatic Bread Maker Grader #1'!A20</f>
        <v>Guard</v>
      </c>
      <c r="B19" s="5" t="str">
        <f>'Automatic Bread Maker Grader #1'!B20</f>
        <v>[delay &lt;= 17*60+50]</v>
      </c>
      <c r="C19" s="5">
        <f>'Automatic Bread Maker Grader #1'!C20</f>
        <v>0</v>
      </c>
      <c r="D19" s="5" t="s">
        <v>108</v>
      </c>
      <c r="E19" s="31"/>
      <c r="F19" s="44">
        <v>1</v>
      </c>
      <c r="G19" s="51" t="e">
        <f>COUNTIFS($A$2:$A$47,$F$16,$C$2:$C$47,$F19,$D$2:$D$47,G$16)+MAX(C49-D49,0)</f>
        <v>#VALUE!</v>
      </c>
      <c r="H19" s="52">
        <f>COUNTIFS($A$2:$A$91,$F$16,$C$2:$C$91,$F19,$D$2:$D$91,H$16)</f>
        <v>0</v>
      </c>
      <c r="I19" s="53">
        <f>COUNTIFS($A$2:$A$47,$F$16,$C$2:$C$47,$F19,$D$2:$D$47,I$16) + MIN(C49,D49)</f>
        <v>0</v>
      </c>
      <c r="J19" s="14" t="e">
        <f t="shared" si="8"/>
        <v>#VALUE!</v>
      </c>
      <c r="K19" s="14"/>
      <c r="L19" s="48" t="s">
        <v>73</v>
      </c>
      <c r="M19" s="51" t="e">
        <f>(M17-M18)/(1-M18)</f>
        <v>#VALUE!</v>
      </c>
      <c r="N19" s="53" t="s">
        <v>86</v>
      </c>
    </row>
    <row r="20" spans="1:14" ht="15.75" customHeight="1" x14ac:dyDescent="0.15">
      <c r="A20" s="5" t="str">
        <f>'Automatic Bread Maker Grader #1'!A21</f>
        <v>Action</v>
      </c>
      <c r="B20" s="5" t="str">
        <f>'Automatic Bread Maker Grader #1'!B21</f>
        <v>delay = delay + 10</v>
      </c>
      <c r="C20" s="5">
        <f>'Automatic Bread Maker Grader #1'!C21</f>
        <v>0</v>
      </c>
      <c r="D20" s="5" t="s">
        <v>108</v>
      </c>
      <c r="E20" s="31"/>
      <c r="F20" s="54" t="s">
        <v>87</v>
      </c>
      <c r="G20" s="14" t="e">
        <f t="shared" ref="G20:I20" si="10">SUM(G17:G19)</f>
        <v>#VALUE!</v>
      </c>
      <c r="H20" s="14">
        <f t="shared" si="10"/>
        <v>0</v>
      </c>
      <c r="I20" s="14" t="e">
        <f t="shared" si="10"/>
        <v>#VALUE!</v>
      </c>
      <c r="J20" s="14"/>
      <c r="L20" s="14"/>
      <c r="M20" s="55"/>
    </row>
    <row r="21" spans="1:14" ht="15.75" customHeight="1" x14ac:dyDescent="0.15">
      <c r="A21" s="5" t="str">
        <f>'Automatic Bread Maker Grader #1'!A22</f>
        <v>Transition</v>
      </c>
      <c r="B21" s="5" t="str">
        <f>'Automatic Bread Maker Grader #1'!B22</f>
        <v>minus (Setup ⇒ Setup)</v>
      </c>
      <c r="C21" s="5">
        <f>'Automatic Bread Maker Grader #1'!C22</f>
        <v>0</v>
      </c>
      <c r="D21" s="5" t="s">
        <v>108</v>
      </c>
      <c r="E21" s="31"/>
    </row>
    <row r="22" spans="1:14" ht="15.75" customHeight="1" x14ac:dyDescent="0.15">
      <c r="A22" s="5" t="str">
        <f>'Automatic Bread Maker Grader #1'!A23</f>
        <v>Guard</v>
      </c>
      <c r="B22" s="5" t="str">
        <f>'Automatic Bread Maker Grader #1'!B23</f>
        <v>[delay &gt;= 10]</v>
      </c>
      <c r="C22" s="5">
        <f>'Automatic Bread Maker Grader #1'!C23</f>
        <v>0</v>
      </c>
      <c r="D22" s="5" t="s">
        <v>108</v>
      </c>
      <c r="E22" s="31"/>
      <c r="F22" s="71" t="s">
        <v>92</v>
      </c>
      <c r="G22" s="72"/>
      <c r="H22" s="72"/>
      <c r="I22" s="72"/>
      <c r="L22" s="73" t="s">
        <v>93</v>
      </c>
      <c r="M22" s="74"/>
      <c r="N22" s="74"/>
    </row>
    <row r="23" spans="1:14" ht="15.75" customHeight="1" x14ac:dyDescent="0.15">
      <c r="A23" s="5" t="str">
        <f>'Automatic Bread Maker Grader #1'!A24</f>
        <v>Action</v>
      </c>
      <c r="B23" s="5" t="str">
        <f>'Automatic Bread Maker Grader #1'!B24</f>
        <v>delay = delay - 10</v>
      </c>
      <c r="C23" s="5">
        <f>'Automatic Bread Maker Grader #1'!C24</f>
        <v>0</v>
      </c>
      <c r="D23" s="5" t="s">
        <v>108</v>
      </c>
      <c r="E23" s="31"/>
      <c r="F23" s="14" t="s">
        <v>7</v>
      </c>
      <c r="G23" s="56" t="s">
        <v>75</v>
      </c>
      <c r="H23" s="56" t="s">
        <v>76</v>
      </c>
      <c r="I23" s="56" t="s">
        <v>77</v>
      </c>
      <c r="J23" s="57" t="s">
        <v>78</v>
      </c>
      <c r="K23" s="14"/>
      <c r="L23" s="43" t="s">
        <v>79</v>
      </c>
      <c r="M23" s="43" t="s">
        <v>80</v>
      </c>
      <c r="N23" s="43" t="s">
        <v>81</v>
      </c>
    </row>
    <row r="24" spans="1:14" ht="15.75" customHeight="1" x14ac:dyDescent="0.15">
      <c r="A24" s="5" t="str">
        <f>'Automatic Bread Maker Grader #1'!A25</f>
        <v>Transition</v>
      </c>
      <c r="B24" s="5" t="str">
        <f>'Automatic Bread Maker Grader #1'!B25</f>
        <v>start (Setup ⇒ Countdown)</v>
      </c>
      <c r="C24" s="5">
        <f>'Automatic Bread Maker Grader #1'!C25</f>
        <v>0</v>
      </c>
      <c r="D24" s="5" t="s">
        <v>108</v>
      </c>
      <c r="E24" s="31"/>
      <c r="F24" s="44">
        <v>0</v>
      </c>
      <c r="G24" s="45">
        <f t="shared" ref="G24:H24" si="11">COUNTIFS($A$2:$A$91,$F$23,$C$2:$C$91,$F24,$D$2:$D$91,G$23)</f>
        <v>0</v>
      </c>
      <c r="H24" s="46">
        <f t="shared" si="11"/>
        <v>0</v>
      </c>
      <c r="I24" s="47" t="e">
        <f>COUNTIFS($A$2:$A$47,$F$23,$C$2:$C$47,$F24,$D$2:$D$47,I$23) + MAX(D52-C52,0)</f>
        <v>#VALUE!</v>
      </c>
      <c r="J24" s="14" t="e">
        <f t="shared" ref="J24:J26" si="12">SUM(G24:I24)</f>
        <v>#VALUE!</v>
      </c>
      <c r="K24" s="14"/>
      <c r="L24" s="48" t="s">
        <v>82</v>
      </c>
      <c r="M24" s="45">
        <f>(G24+H25+I26)/COUNTIF($A$2:$A$101,F23)</f>
        <v>0</v>
      </c>
      <c r="N24" s="47" t="s">
        <v>83</v>
      </c>
    </row>
    <row r="25" spans="1:14" ht="15.75" customHeight="1" x14ac:dyDescent="0.15">
      <c r="A25" s="5" t="str">
        <f>'Automatic Bread Maker Grader #1'!A26</f>
        <v>Guard</v>
      </c>
      <c r="B25" s="5" t="str">
        <f>'Automatic Bread Maker Grader #1'!B26</f>
        <v>[delay &gt; 0]</v>
      </c>
      <c r="C25" s="5">
        <f>'Automatic Bread Maker Grader #1'!C26</f>
        <v>0</v>
      </c>
      <c r="D25" s="5" t="s">
        <v>108</v>
      </c>
      <c r="E25" s="31"/>
      <c r="F25" s="44">
        <v>0.5</v>
      </c>
      <c r="G25" s="49">
        <f t="shared" ref="G25:I25" si="13">COUNTIFS($A$2:$A$91,$F$23,$C$2:$C$91,$F25,$D$2:$D$91,G$23)</f>
        <v>0</v>
      </c>
      <c r="H25" s="14">
        <f t="shared" si="13"/>
        <v>0</v>
      </c>
      <c r="I25" s="50">
        <f t="shared" si="13"/>
        <v>0</v>
      </c>
      <c r="J25" s="14">
        <f t="shared" si="12"/>
        <v>0</v>
      </c>
      <c r="K25" s="14"/>
      <c r="L25" s="48" t="s">
        <v>84</v>
      </c>
      <c r="M25" s="49" t="e">
        <f t="array" ref="M25">SUMPRODUCT(J24:J26/COUNTIF($A$2:$A$101,F23), TRANSPOSE(G27:I27)/COUNTIF($A$2:$A$101,F23))</f>
        <v>#VALUE!</v>
      </c>
      <c r="N25" s="50" t="s">
        <v>85</v>
      </c>
    </row>
    <row r="26" spans="1:14" ht="15.75" customHeight="1" x14ac:dyDescent="0.15">
      <c r="A26" s="5" t="str">
        <f>'Automatic Bread Maker Grader #1'!A27</f>
        <v>Transition</v>
      </c>
      <c r="B26" s="5" t="str">
        <f>'Automatic Bread Maker Grader #1'!B27</f>
        <v>start (Setup ⇒ Baking)</v>
      </c>
      <c r="C26" s="5">
        <f>'Automatic Bread Maker Grader #1'!C27</f>
        <v>0</v>
      </c>
      <c r="D26" s="5" t="s">
        <v>108</v>
      </c>
      <c r="E26" s="31"/>
      <c r="F26" s="44">
        <v>1</v>
      </c>
      <c r="G26" s="51" t="e">
        <f>COUNTIFS($A$2:$A$47,$F$23,$C$2:$C$47,$F26,$D$2:$D$47,G$23) + MAX(C52-D52,0)</f>
        <v>#VALUE!</v>
      </c>
      <c r="H26" s="52">
        <f>COUNTIFS($A$2:$A$91,$F$23,$C$2:$C$91,$F26,$D$2:$D$91,H$23)</f>
        <v>0</v>
      </c>
      <c r="I26" s="53">
        <f>COUNTIFS($A$2:$A$47,$F$23,$C$2:$C$47,$F26,$D$2:$D$47,I$23) + MIN(C52,D52)</f>
        <v>0</v>
      </c>
      <c r="J26" s="14" t="e">
        <f t="shared" si="12"/>
        <v>#VALUE!</v>
      </c>
      <c r="K26" s="14"/>
      <c r="L26" s="48" t="s">
        <v>73</v>
      </c>
      <c r="M26" s="51" t="e">
        <f>(M24-M25)/(1-M25)</f>
        <v>#VALUE!</v>
      </c>
      <c r="N26" s="53" t="s">
        <v>86</v>
      </c>
    </row>
    <row r="27" spans="1:14" ht="15.75" customHeight="1" x14ac:dyDescent="0.15">
      <c r="A27" s="5" t="str">
        <f>'Automatic Bread Maker Grader #1'!A28</f>
        <v>Guard</v>
      </c>
      <c r="B27" s="5" t="str">
        <f>'Automatic Bread Maker Grader #1'!B28</f>
        <v>[delay == 0]</v>
      </c>
      <c r="C27" s="5">
        <f>'Automatic Bread Maker Grader #1'!C28</f>
        <v>0</v>
      </c>
      <c r="D27" s="5" t="s">
        <v>108</v>
      </c>
      <c r="E27" s="31"/>
      <c r="F27" s="54" t="s">
        <v>87</v>
      </c>
      <c r="G27" s="14" t="e">
        <f t="shared" ref="G27:I27" si="14">SUM(G24:G26)</f>
        <v>#VALUE!</v>
      </c>
      <c r="H27" s="14">
        <f t="shared" si="14"/>
        <v>0</v>
      </c>
      <c r="I27" s="14" t="e">
        <f t="shared" si="14"/>
        <v>#VALUE!</v>
      </c>
      <c r="J27" s="14"/>
      <c r="L27" s="14"/>
      <c r="M27" s="55"/>
    </row>
    <row r="28" spans="1:14" ht="15.75" customHeight="1" x14ac:dyDescent="0.15">
      <c r="A28" s="5" t="str">
        <f>'Automatic Bread Maker Grader #1'!A29</f>
        <v>State</v>
      </c>
      <c r="B28" s="5" t="str">
        <f>'Automatic Bread Maker Grader #1'!B29</f>
        <v>Countdown</v>
      </c>
      <c r="C28" s="5">
        <f>'Automatic Bread Maker Grader #1'!C29</f>
        <v>0</v>
      </c>
      <c r="D28" s="5" t="s">
        <v>108</v>
      </c>
      <c r="E28" s="31"/>
    </row>
    <row r="29" spans="1:14" ht="15.75" customHeight="1" x14ac:dyDescent="0.15">
      <c r="A29" s="5" t="str">
        <f>'Automatic Bread Maker Grader #1'!A30</f>
        <v>Action</v>
      </c>
      <c r="B29" s="5" t="str">
        <f>'Automatic Bread Maker Grader #1'!B30</f>
        <v>setCourseTimes()</v>
      </c>
      <c r="C29" s="5">
        <f>'Automatic Bread Maker Grader #1'!C30</f>
        <v>0</v>
      </c>
      <c r="D29" s="5" t="s">
        <v>108</v>
      </c>
      <c r="E29" s="31"/>
      <c r="F29" s="71" t="s">
        <v>94</v>
      </c>
      <c r="G29" s="72"/>
      <c r="H29" s="72"/>
      <c r="I29" s="72"/>
      <c r="L29" s="73" t="s">
        <v>95</v>
      </c>
      <c r="M29" s="74"/>
      <c r="N29" s="74"/>
    </row>
    <row r="30" spans="1:14" ht="15.75" customHeight="1" x14ac:dyDescent="0.15">
      <c r="A30" s="5" t="str">
        <f>'Automatic Bread Maker Grader #1'!A31</f>
        <v>Transition</v>
      </c>
      <c r="B30" s="5" t="str">
        <f>'Automatic Bread Maker Grader #1'!B31</f>
        <v>Countdown =&gt; baking</v>
      </c>
      <c r="C30" s="5">
        <f>'Automatic Bread Maker Grader #1'!C31</f>
        <v>0</v>
      </c>
      <c r="D30" s="5" t="s">
        <v>108</v>
      </c>
      <c r="E30" s="31"/>
      <c r="F30" s="14" t="s">
        <v>25</v>
      </c>
      <c r="G30" s="56" t="s">
        <v>75</v>
      </c>
      <c r="H30" s="56" t="s">
        <v>76</v>
      </c>
      <c r="I30" s="56" t="s">
        <v>77</v>
      </c>
      <c r="J30" s="57" t="s">
        <v>78</v>
      </c>
      <c r="K30" s="14"/>
      <c r="L30" s="43" t="s">
        <v>79</v>
      </c>
      <c r="M30" s="43" t="s">
        <v>80</v>
      </c>
      <c r="N30" s="43" t="s">
        <v>81</v>
      </c>
    </row>
    <row r="31" spans="1:14" ht="15.75" customHeight="1" x14ac:dyDescent="0.15">
      <c r="A31" s="5" t="str">
        <f>'Automatic Bread Maker Grader #1'!A32</f>
        <v>Transition</v>
      </c>
      <c r="B31" s="5" t="str">
        <f>'Automatic Bread Maker Grader #1'!B32</f>
        <v>Countdown =&gt; setup</v>
      </c>
      <c r="C31" s="5">
        <f>'Automatic Bread Maker Grader #1'!C32</f>
        <v>0</v>
      </c>
      <c r="D31" s="5" t="s">
        <v>108</v>
      </c>
      <c r="E31" s="31"/>
      <c r="F31" s="44">
        <v>0</v>
      </c>
      <c r="G31" s="45">
        <f t="shared" ref="G31:H31" si="15">COUNTIFS($A$2:$A$91,$F$30,$C$2:$C$91,$F31,$D$2:$D$91,G$30)</f>
        <v>0</v>
      </c>
      <c r="H31" s="46">
        <f t="shared" si="15"/>
        <v>0</v>
      </c>
      <c r="I31" s="47" t="e">
        <f>COUNTIFS($A$2:$A$47,$F$30,$C$2:$C$47,$F31,$D$2:$D$47,I$30) + MAX(D50-C50,0)</f>
        <v>#VALUE!</v>
      </c>
      <c r="J31" s="14" t="e">
        <f t="shared" ref="J31:J33" si="16">SUM(G31:I31)</f>
        <v>#VALUE!</v>
      </c>
      <c r="K31" s="14"/>
      <c r="L31" s="48" t="s">
        <v>82</v>
      </c>
      <c r="M31" s="45">
        <f>(G31+H32+I33)/COUNTIF($A$2:$A$101,F30)</f>
        <v>0</v>
      </c>
      <c r="N31" s="47" t="s">
        <v>83</v>
      </c>
    </row>
    <row r="32" spans="1:14" ht="15.75" customHeight="1" x14ac:dyDescent="0.15">
      <c r="A32" s="5" t="str">
        <f>'Automatic Bread Maker Grader #1'!A33</f>
        <v>Action</v>
      </c>
      <c r="B32" s="5" t="str">
        <f>'Automatic Bread Maker Grader #1'!B33</f>
        <v>setCourseTimes()</v>
      </c>
      <c r="C32" s="5">
        <f>'Automatic Bread Maker Grader #1'!C33</f>
        <v>0</v>
      </c>
      <c r="D32" s="5" t="s">
        <v>108</v>
      </c>
      <c r="E32" s="31"/>
      <c r="F32" s="44">
        <v>0.5</v>
      </c>
      <c r="G32" s="49">
        <f t="shared" ref="G32:I32" si="17">COUNTIFS($A$2:$A$91,$F$30,$C$2:$C$91,$F32,$D$2:$D$91,G$30)</f>
        <v>0</v>
      </c>
      <c r="H32" s="14">
        <f t="shared" si="17"/>
        <v>0</v>
      </c>
      <c r="I32" s="50">
        <f t="shared" si="17"/>
        <v>0</v>
      </c>
      <c r="J32" s="14">
        <f t="shared" si="16"/>
        <v>0</v>
      </c>
      <c r="K32" s="14"/>
      <c r="L32" s="48" t="s">
        <v>84</v>
      </c>
      <c r="M32" s="49" t="e">
        <f t="array" ref="M32">SUMPRODUCT(J31:J33/COUNTIF($A$2:$A$101,F30), TRANSPOSE(G34:I34)/COUNTIF($A$2:$A$101,F30))</f>
        <v>#VALUE!</v>
      </c>
      <c r="N32" s="50" t="s">
        <v>85</v>
      </c>
    </row>
    <row r="33" spans="1:14" ht="15.75" customHeight="1" x14ac:dyDescent="0.15">
      <c r="A33" s="5" t="str">
        <f>'Automatic Bread Maker Grader #1'!A34</f>
        <v>Composite State</v>
      </c>
      <c r="B33" s="5" t="str">
        <f>'Automatic Bread Maker Grader #1'!B34</f>
        <v>Baking</v>
      </c>
      <c r="C33" s="5">
        <f>'Automatic Bread Maker Grader #1'!C34</f>
        <v>0</v>
      </c>
      <c r="D33" s="5" t="s">
        <v>108</v>
      </c>
      <c r="E33" s="31"/>
      <c r="F33" s="44">
        <v>1</v>
      </c>
      <c r="G33" s="51" t="e">
        <f>COUNTIFS($A$2:$A$47,$F$30,$C$2:$C$47,$F33,$D$2:$D$47,G$30) + MAX(C50-D50,0)</f>
        <v>#VALUE!</v>
      </c>
      <c r="H33" s="52">
        <f>COUNTIFS($A$2:$A$91,$F$30,$C$2:$C$91,$F33,$D$2:$D$91,H$30)</f>
        <v>0</v>
      </c>
      <c r="I33" s="53">
        <f>COUNTIFS($A$2:$A$47,$F$30,$C$2:$C$47,$F33,$D$2:$D$47,I$30) + MIN(C50,D50)</f>
        <v>0</v>
      </c>
      <c r="J33" s="14" t="e">
        <f t="shared" si="16"/>
        <v>#VALUE!</v>
      </c>
      <c r="K33" s="14"/>
      <c r="L33" s="48" t="s">
        <v>73</v>
      </c>
      <c r="M33" s="51" t="e">
        <f>(M31-M32)/(1-M32)</f>
        <v>#VALUE!</v>
      </c>
      <c r="N33" s="53" t="s">
        <v>86</v>
      </c>
    </row>
    <row r="34" spans="1:14" ht="15.75" customHeight="1" x14ac:dyDescent="0.15">
      <c r="A34" s="5" t="str">
        <f>'Automatic Bread Maker Grader #1'!A35</f>
        <v>State</v>
      </c>
      <c r="B34" s="5" t="str">
        <f>'Automatic Bread Maker Grader #1'!B35</f>
        <v>Initial state</v>
      </c>
      <c r="C34" s="5">
        <f>'Automatic Bread Maker Grader #1'!C35</f>
        <v>0</v>
      </c>
      <c r="D34" s="5" t="s">
        <v>108</v>
      </c>
      <c r="E34" s="31"/>
      <c r="F34" s="54" t="s">
        <v>87</v>
      </c>
      <c r="G34" s="14" t="e">
        <f t="shared" ref="G34:I34" si="18">SUM(G31:G33)</f>
        <v>#VALUE!</v>
      </c>
      <c r="H34" s="14">
        <f t="shared" si="18"/>
        <v>0</v>
      </c>
      <c r="I34" s="14" t="e">
        <f t="shared" si="18"/>
        <v>#VALUE!</v>
      </c>
      <c r="J34" s="14"/>
      <c r="L34" s="14"/>
      <c r="M34" s="55"/>
    </row>
    <row r="35" spans="1:14" ht="15.75" customHeight="1" x14ac:dyDescent="0.15">
      <c r="A35" s="5" t="str">
        <f>'Automatic Bread Maker Grader #1'!A36</f>
        <v>State</v>
      </c>
      <c r="B35" s="5" t="str">
        <f>'Automatic Bread Maker Grader #1'!B36</f>
        <v>Kneading</v>
      </c>
      <c r="C35" s="5">
        <f>'Automatic Bread Maker Grader #1'!C36</f>
        <v>0</v>
      </c>
      <c r="D35" s="5" t="s">
        <v>108</v>
      </c>
      <c r="E35" s="31"/>
    </row>
    <row r="36" spans="1:14" ht="15.75" customHeight="1" x14ac:dyDescent="0.15">
      <c r="A36" s="5" t="str">
        <f>'Automatic Bread Maker Grader #1'!A37</f>
        <v>Action</v>
      </c>
      <c r="B36" s="5" t="str">
        <f>'Automatic Bread Maker Grader #1'!B37</f>
        <v>startKneading()</v>
      </c>
      <c r="C36" s="5">
        <f>'Automatic Bread Maker Grader #1'!C37</f>
        <v>0</v>
      </c>
      <c r="D36" s="5" t="s">
        <v>108</v>
      </c>
      <c r="E36" s="31"/>
      <c r="F36" s="71" t="s">
        <v>96</v>
      </c>
      <c r="G36" s="72"/>
      <c r="H36" s="72"/>
      <c r="I36" s="72"/>
      <c r="L36" s="73" t="s">
        <v>97</v>
      </c>
      <c r="M36" s="74"/>
      <c r="N36" s="74"/>
    </row>
    <row r="37" spans="1:14" ht="15.75" customHeight="1" x14ac:dyDescent="0.15">
      <c r="A37" s="5" t="str">
        <f>'Automatic Bread Maker Grader #1'!A38</f>
        <v>Action</v>
      </c>
      <c r="B37" s="5" t="str">
        <f>'Automatic Bread Maker Grader #1'!B38</f>
        <v>stopKneading()</v>
      </c>
      <c r="C37" s="5">
        <f>'Automatic Bread Maker Grader #1'!C38</f>
        <v>0</v>
      </c>
      <c r="D37" s="5" t="s">
        <v>108</v>
      </c>
      <c r="E37" s="31"/>
      <c r="F37" s="14" t="s">
        <v>12</v>
      </c>
      <c r="G37" s="56" t="s">
        <v>75</v>
      </c>
      <c r="H37" s="56" t="s">
        <v>76</v>
      </c>
      <c r="I37" s="56" t="s">
        <v>77</v>
      </c>
      <c r="J37" s="57" t="s">
        <v>78</v>
      </c>
      <c r="K37" s="14"/>
      <c r="L37" s="43" t="s">
        <v>79</v>
      </c>
      <c r="M37" s="43" t="s">
        <v>80</v>
      </c>
      <c r="N37" s="43" t="s">
        <v>81</v>
      </c>
    </row>
    <row r="38" spans="1:14" ht="15.75" customHeight="1" x14ac:dyDescent="0.15">
      <c r="A38" s="5" t="str">
        <f>'Automatic Bread Maker Grader #1'!A39</f>
        <v>Transition</v>
      </c>
      <c r="B38" s="5" t="str">
        <f>'Automatic Bread Maker Grader #1'!B39</f>
        <v>baking initial state =&gt; kneading</v>
      </c>
      <c r="C38" s="5">
        <f>'Automatic Bread Maker Grader #1'!C39</f>
        <v>0</v>
      </c>
      <c r="D38" s="5" t="s">
        <v>108</v>
      </c>
      <c r="E38" s="31"/>
      <c r="F38" s="44">
        <v>0</v>
      </c>
      <c r="G38" s="45">
        <f t="shared" ref="G38:H38" si="19">COUNTIFS($A$2:$A$91,$F$37,$C$2:$C$91,$F38,$D$2:$D$91,G$37)</f>
        <v>0</v>
      </c>
      <c r="H38" s="46">
        <f t="shared" si="19"/>
        <v>0</v>
      </c>
      <c r="I38" s="47" t="e">
        <f>COUNTIFS($A$2:$A$47,$F$37,$C$2:$C$47,$F38,$D$2:$D$47,I$37)+MAX(D51-C51,0)</f>
        <v>#VALUE!</v>
      </c>
      <c r="J38" s="14" t="e">
        <f t="shared" ref="J38:J40" si="20">SUM(G38:I38)</f>
        <v>#VALUE!</v>
      </c>
      <c r="K38" s="14"/>
      <c r="L38" s="48" t="s">
        <v>82</v>
      </c>
      <c r="M38" s="45">
        <f>(G38+H39+I40)/COUNTIF($A$2:$A$101,F37)</f>
        <v>0</v>
      </c>
      <c r="N38" s="47" t="s">
        <v>83</v>
      </c>
    </row>
    <row r="39" spans="1:14" ht="15.75" customHeight="1" x14ac:dyDescent="0.15">
      <c r="A39" s="5" t="str">
        <f>'Automatic Bread Maker Grader #1'!A40</f>
        <v>Transition</v>
      </c>
      <c r="B39" s="5" t="str">
        <f>'Automatic Bread Maker Grader #1'!B40</f>
        <v>kneading =&gt; rising</v>
      </c>
      <c r="C39" s="5">
        <f>'Automatic Bread Maker Grader #1'!C40</f>
        <v>0</v>
      </c>
      <c r="D39" s="5" t="s">
        <v>108</v>
      </c>
      <c r="E39" s="31"/>
      <c r="F39" s="44">
        <v>0.5</v>
      </c>
      <c r="G39" s="49">
        <f t="shared" ref="G39:I39" si="21">COUNTIFS($A$2:$A$91,$F$37,$C$2:$C$91,$F39,$D$2:$D$91,G$37)</f>
        <v>0</v>
      </c>
      <c r="H39" s="14">
        <f t="shared" si="21"/>
        <v>0</v>
      </c>
      <c r="I39" s="50">
        <f t="shared" si="21"/>
        <v>0</v>
      </c>
      <c r="J39" s="14">
        <f t="shared" si="20"/>
        <v>0</v>
      </c>
      <c r="K39" s="14"/>
      <c r="L39" s="48" t="s">
        <v>84</v>
      </c>
      <c r="M39" s="49" t="e">
        <f t="array" ref="M39">SUMPRODUCT(J38:J40/COUNTIF($A$2:$A$101,F37), TRANSPOSE(G41:I41)/COUNTIF($A$2:$A$101,F37))</f>
        <v>#VALUE!</v>
      </c>
      <c r="N39" s="50" t="s">
        <v>85</v>
      </c>
    </row>
    <row r="40" spans="1:14" ht="15.75" customHeight="1" x14ac:dyDescent="0.15">
      <c r="A40" s="5" t="str">
        <f>'Automatic Bread Maker Grader #1'!A41</f>
        <v>State</v>
      </c>
      <c r="B40" s="5" t="str">
        <f>'Automatic Bread Maker Grader #1'!B41</f>
        <v>Rising</v>
      </c>
      <c r="C40" s="5">
        <f>'Automatic Bread Maker Grader #1'!C41</f>
        <v>0</v>
      </c>
      <c r="D40" s="5" t="s">
        <v>108</v>
      </c>
      <c r="E40" s="31"/>
      <c r="F40" s="44">
        <v>1</v>
      </c>
      <c r="G40" s="51" t="e">
        <f>COUNTIFS($A$2:$A$47,$F$37,$C$2:$C$47,$F40,$D$2:$D$47,G$37)+MAX(C51-D51,0)</f>
        <v>#VALUE!</v>
      </c>
      <c r="H40" s="52">
        <f>COUNTIFS($A$2:$A$91,$F$37,$C$2:$C$91,$F40,$D$2:$D$91,H$37)</f>
        <v>0</v>
      </c>
      <c r="I40" s="53">
        <f>COUNTIFS($A$2:$A$47,$F$37,$C$2:$C$47,$F40,$D$2:$D$47,I$37) + MIN(C51,D51)</f>
        <v>0</v>
      </c>
      <c r="J40" s="14" t="e">
        <f t="shared" si="20"/>
        <v>#VALUE!</v>
      </c>
      <c r="K40" s="14"/>
      <c r="L40" s="48" t="s">
        <v>73</v>
      </c>
      <c r="M40" s="51" t="e">
        <f>(M38-M39)/(1-M39)</f>
        <v>#VALUE!</v>
      </c>
      <c r="N40" s="53" t="s">
        <v>86</v>
      </c>
    </row>
    <row r="41" spans="1:14" ht="15.75" customHeight="1" x14ac:dyDescent="0.15">
      <c r="A41" s="5" t="str">
        <f>'Automatic Bread Maker Grader #1'!A42</f>
        <v>Transition</v>
      </c>
      <c r="B41" s="5" t="str">
        <f>'Automatic Bread Maker Grader #1'!B42</f>
        <v>rising =&gt; baking</v>
      </c>
      <c r="C41" s="5">
        <f>'Automatic Bread Maker Grader #1'!C42</f>
        <v>0</v>
      </c>
      <c r="D41" s="5" t="s">
        <v>108</v>
      </c>
      <c r="E41" s="31"/>
      <c r="F41" s="54" t="s">
        <v>87</v>
      </c>
      <c r="G41" s="14" t="e">
        <f t="shared" ref="G41:I41" si="22">SUM(G38:G40)</f>
        <v>#VALUE!</v>
      </c>
      <c r="H41" s="14">
        <f t="shared" si="22"/>
        <v>0</v>
      </c>
      <c r="I41" s="14" t="e">
        <f t="shared" si="22"/>
        <v>#VALUE!</v>
      </c>
      <c r="J41" s="14"/>
      <c r="L41" s="14"/>
      <c r="M41" s="55"/>
    </row>
    <row r="42" spans="1:14" ht="15.75" customHeight="1" x14ac:dyDescent="0.15">
      <c r="A42" s="5" t="str">
        <f>'Automatic Bread Maker Grader #1'!A43</f>
        <v>State</v>
      </c>
      <c r="B42" s="5" t="str">
        <f>'Automatic Bread Maker Grader #1'!B43</f>
        <v>Baking</v>
      </c>
      <c r="C42" s="5">
        <f>'Automatic Bread Maker Grader #1'!C43</f>
        <v>0</v>
      </c>
      <c r="D42" s="5" t="s">
        <v>108</v>
      </c>
      <c r="E42" s="31"/>
    </row>
    <row r="43" spans="1:14" ht="15.75" customHeight="1" x14ac:dyDescent="0.15">
      <c r="A43" s="5" t="str">
        <f>'Automatic Bread Maker Grader #1'!A44</f>
        <v>Action</v>
      </c>
      <c r="B43" s="5" t="str">
        <f>'Automatic Bread Maker Grader #1'!B44</f>
        <v>heat()</v>
      </c>
      <c r="C43" s="5">
        <f>'Automatic Bread Maker Grader #1'!C44</f>
        <v>0</v>
      </c>
      <c r="D43" s="5" t="s">
        <v>108</v>
      </c>
      <c r="E43" s="31"/>
      <c r="F43" s="71" t="s">
        <v>98</v>
      </c>
      <c r="G43" s="72"/>
      <c r="H43" s="72"/>
      <c r="I43" s="72"/>
      <c r="L43" s="73" t="s">
        <v>99</v>
      </c>
      <c r="M43" s="74"/>
      <c r="N43" s="74"/>
    </row>
    <row r="44" spans="1:14" ht="15.75" customHeight="1" x14ac:dyDescent="0.15">
      <c r="A44" s="5" t="str">
        <f>'Automatic Bread Maker Grader #1'!A45</f>
        <v>Transition</v>
      </c>
      <c r="B44" s="5" t="str">
        <f>'Automatic Bread Maker Grader #1'!B45</f>
        <v>baking =&gt; warming</v>
      </c>
      <c r="C44" s="5">
        <f>'Automatic Bread Maker Grader #1'!C45</f>
        <v>0</v>
      </c>
      <c r="D44" s="5" t="s">
        <v>108</v>
      </c>
      <c r="E44" s="31"/>
      <c r="F44" s="14" t="s">
        <v>20</v>
      </c>
      <c r="G44" s="56" t="s">
        <v>75</v>
      </c>
      <c r="H44" s="56" t="s">
        <v>76</v>
      </c>
      <c r="I44" s="56" t="s">
        <v>77</v>
      </c>
      <c r="J44" s="57" t="s">
        <v>78</v>
      </c>
      <c r="K44" s="14"/>
      <c r="L44" s="43" t="s">
        <v>79</v>
      </c>
      <c r="M44" s="43" t="s">
        <v>80</v>
      </c>
      <c r="N44" s="43" t="s">
        <v>81</v>
      </c>
    </row>
    <row r="45" spans="1:14" ht="15.75" customHeight="1" x14ac:dyDescent="0.15">
      <c r="A45" s="5" t="str">
        <f>'Automatic Bread Maker Grader #1'!A46</f>
        <v>State</v>
      </c>
      <c r="B45" s="5" t="str">
        <f>'Automatic Bread Maker Grader #1'!B46</f>
        <v>Warming</v>
      </c>
      <c r="C45" s="5">
        <f>'Automatic Bread Maker Grader #1'!C46</f>
        <v>0</v>
      </c>
      <c r="D45" s="5" t="s">
        <v>108</v>
      </c>
      <c r="E45" s="31"/>
      <c r="F45" s="44">
        <v>0</v>
      </c>
      <c r="G45" s="45">
        <f t="shared" ref="G45:H45" si="23">COUNTIFS($A$2:$A$91,$F$44,$C$2:$C$91,$F45,$D$2:$D$91,G$44)</f>
        <v>0</v>
      </c>
      <c r="H45" s="46">
        <f t="shared" si="23"/>
        <v>0</v>
      </c>
      <c r="I45" s="47" t="e">
        <f>COUNTIFS($A$2:$A$47,$F$44,$C$2:$C$47,$F45,$D$2:$D$47,I$44) + MAX(D54-C54,0)</f>
        <v>#VALUE!</v>
      </c>
      <c r="J45" s="14" t="e">
        <f t="shared" ref="J45:J47" si="24">SUM(G45:I45)</f>
        <v>#VALUE!</v>
      </c>
      <c r="K45" s="14"/>
      <c r="L45" s="48" t="s">
        <v>82</v>
      </c>
      <c r="M45" s="45">
        <f>(G45+H46+I47)/COUNTIF($A$2:$A$101,F44)</f>
        <v>0</v>
      </c>
      <c r="N45" s="47" t="s">
        <v>83</v>
      </c>
    </row>
    <row r="46" spans="1:14" ht="15.75" customHeight="1" x14ac:dyDescent="0.15">
      <c r="A46" s="5" t="str">
        <f>'Automatic Bread Maker Grader #1'!A47</f>
        <v>Action</v>
      </c>
      <c r="B46" s="5" t="str">
        <f>'Automatic Bread Maker Grader #1'!B47</f>
        <v>warm()</v>
      </c>
      <c r="C46" s="5">
        <f>'Automatic Bread Maker Grader #1'!C47</f>
        <v>0</v>
      </c>
      <c r="D46" s="5" t="s">
        <v>108</v>
      </c>
      <c r="E46" s="31"/>
      <c r="F46" s="44">
        <v>0.5</v>
      </c>
      <c r="G46" s="49">
        <f t="shared" ref="G46:I46" si="25">COUNTIFS($A$2:$A$91,$F$44,$C$2:$C$91,$F46,$D$2:$D$91,G$44)</f>
        <v>0</v>
      </c>
      <c r="H46" s="14">
        <f t="shared" si="25"/>
        <v>0</v>
      </c>
      <c r="I46" s="50">
        <f t="shared" si="25"/>
        <v>0</v>
      </c>
      <c r="J46" s="14">
        <f t="shared" si="24"/>
        <v>0</v>
      </c>
      <c r="K46" s="14"/>
      <c r="L46" s="48" t="s">
        <v>84</v>
      </c>
      <c r="M46" s="49" t="e">
        <f t="array" ref="M46">SUMPRODUCT(J45:J47/COUNTIF($A$2:$A$101,F44), TRANSPOSE(G48:I48)/COUNTIF($A$2:$A$101,F44))</f>
        <v>#VALUE!</v>
      </c>
      <c r="N46" s="50" t="s">
        <v>85</v>
      </c>
    </row>
    <row r="47" spans="1:14" ht="15.75" customHeight="1" x14ac:dyDescent="0.15">
      <c r="A47" s="5" t="str">
        <f>'Automatic Bread Maker Grader #1'!A48</f>
        <v>Transition</v>
      </c>
      <c r="B47" s="5" t="str">
        <f>'Automatic Bread Maker Grader #1'!B48</f>
        <v>adter 60min (warming =&gt; setup)</v>
      </c>
      <c r="C47" s="5">
        <f>'Automatic Bread Maker Grader #1'!C48</f>
        <v>0</v>
      </c>
      <c r="D47" s="5" t="s">
        <v>108</v>
      </c>
      <c r="E47" s="31"/>
      <c r="F47" s="44">
        <v>1</v>
      </c>
      <c r="G47" s="51" t="e">
        <f>COUNTIFS($A$2:$A$47,$F$44,$C$2:$C$47,$F47,$D$2:$D$47,G$44) + MAX(C54-D54,0)</f>
        <v>#VALUE!</v>
      </c>
      <c r="H47" s="52">
        <f>COUNTIFS($A$2:$A$91,$F$44,$C$2:$C$91,$F47,$D$2:$D$91,H$44)</f>
        <v>0</v>
      </c>
      <c r="I47" s="53">
        <f>COUNTIFS($A$2:$A$47,$F$44,$C$2:$C$47,$F47,$D$2:$D$47,I$44) + MIN(C54,D54)</f>
        <v>0</v>
      </c>
      <c r="J47" s="14" t="e">
        <f t="shared" si="24"/>
        <v>#VALUE!</v>
      </c>
      <c r="K47" s="14"/>
      <c r="L47" s="48" t="s">
        <v>73</v>
      </c>
      <c r="M47" s="51" t="e">
        <f>(M45-M46)/(1-M46)</f>
        <v>#VALUE!</v>
      </c>
      <c r="N47" s="53" t="s">
        <v>86</v>
      </c>
    </row>
    <row r="48" spans="1:14" ht="15.75" customHeight="1" x14ac:dyDescent="0.15">
      <c r="A48" s="12" t="str">
        <f>'Automatic Bread Maker Grader #1'!A50</f>
        <v>State</v>
      </c>
      <c r="B48" s="12" t="str">
        <f>'Automatic Bread Maker Grader #1'!B50</f>
        <v>additional elements</v>
      </c>
      <c r="C48" s="12">
        <f>'Automatic Bread Maker Grader #1'!C50</f>
        <v>0</v>
      </c>
      <c r="D48" s="12" t="s">
        <v>108</v>
      </c>
      <c r="E48" s="31"/>
      <c r="F48" s="54" t="s">
        <v>87</v>
      </c>
      <c r="G48" s="14" t="e">
        <f t="shared" ref="G48:I48" si="26">SUM(G45:G47)</f>
        <v>#VALUE!</v>
      </c>
      <c r="H48" s="14">
        <f t="shared" si="26"/>
        <v>0</v>
      </c>
      <c r="I48" s="14" t="e">
        <f t="shared" si="26"/>
        <v>#VALUE!</v>
      </c>
      <c r="J48" s="14"/>
      <c r="L48" s="14"/>
      <c r="M48" s="55"/>
    </row>
    <row r="49" spans="1:14" ht="15.75" customHeight="1" x14ac:dyDescent="0.15">
      <c r="A49" s="5" t="str">
        <f>'Automatic Bread Maker Grader #1'!A51</f>
        <v>Transition</v>
      </c>
      <c r="B49" s="5" t="str">
        <f>'Automatic Bread Maker Grader #1'!B51</f>
        <v>additional elements</v>
      </c>
      <c r="C49" s="5">
        <f>'Automatic Bread Maker Grader #1'!C51</f>
        <v>0</v>
      </c>
      <c r="D49" s="5" t="s">
        <v>108</v>
      </c>
      <c r="E49" s="31"/>
    </row>
    <row r="50" spans="1:14" ht="15.75" customHeight="1" x14ac:dyDescent="0.15">
      <c r="A50" s="5" t="str">
        <f>'Automatic Bread Maker Grader #1'!A52</f>
        <v>Guard</v>
      </c>
      <c r="B50" s="5" t="str">
        <f>'Automatic Bread Maker Grader #1'!B52</f>
        <v>additional elements</v>
      </c>
      <c r="C50" s="5">
        <f>'Automatic Bread Maker Grader #1'!C52</f>
        <v>0</v>
      </c>
      <c r="D50" s="5" t="s">
        <v>108</v>
      </c>
      <c r="E50" s="31"/>
      <c r="F50" s="71" t="s">
        <v>100</v>
      </c>
      <c r="G50" s="72"/>
      <c r="H50" s="72"/>
      <c r="I50" s="72"/>
      <c r="L50" s="73" t="s">
        <v>101</v>
      </c>
      <c r="M50" s="74"/>
      <c r="N50" s="74"/>
    </row>
    <row r="51" spans="1:14" ht="15.75" customHeight="1" x14ac:dyDescent="0.15">
      <c r="A51" s="5" t="str">
        <f>'Automatic Bread Maker Grader #1'!A53</f>
        <v>Action</v>
      </c>
      <c r="B51" s="5" t="str">
        <f>'Automatic Bread Maker Grader #1'!B53</f>
        <v>additional elements</v>
      </c>
      <c r="C51" s="5">
        <f>'Automatic Bread Maker Grader #1'!C53</f>
        <v>0</v>
      </c>
      <c r="D51" s="5" t="s">
        <v>108</v>
      </c>
      <c r="E51" s="31"/>
      <c r="F51" s="14" t="s">
        <v>55</v>
      </c>
      <c r="G51" s="56" t="s">
        <v>75</v>
      </c>
      <c r="H51" s="56" t="s">
        <v>76</v>
      </c>
      <c r="I51" s="56" t="s">
        <v>77</v>
      </c>
      <c r="J51" s="57" t="s">
        <v>78</v>
      </c>
      <c r="K51" s="14"/>
      <c r="L51" s="43" t="s">
        <v>79</v>
      </c>
      <c r="M51" s="43" t="s">
        <v>80</v>
      </c>
      <c r="N51" s="43" t="s">
        <v>81</v>
      </c>
    </row>
    <row r="52" spans="1:14" ht="15.75" customHeight="1" x14ac:dyDescent="0.15">
      <c r="A52" s="5" t="str">
        <f>'Automatic Bread Maker Grader #1'!A54</f>
        <v>Composite State</v>
      </c>
      <c r="B52" s="5" t="str">
        <f>'Automatic Bread Maker Grader #1'!B54</f>
        <v>additional elements</v>
      </c>
      <c r="C52" s="5">
        <f>'Automatic Bread Maker Grader #1'!C54</f>
        <v>0</v>
      </c>
      <c r="D52" s="5" t="s">
        <v>108</v>
      </c>
      <c r="E52" s="31"/>
      <c r="F52" s="44">
        <v>0</v>
      </c>
      <c r="G52" s="45">
        <f t="shared" ref="G52:H52" si="27">COUNTIFS($A$2:$A$91,$F$51,$C$2:$C$91,$F52,$D$2:$D$91,G$51)</f>
        <v>0</v>
      </c>
      <c r="H52" s="46">
        <f t="shared" si="27"/>
        <v>0</v>
      </c>
      <c r="I52" s="47" t="e">
        <f>COUNTIFS($A$2:$A$47,$F$51,$C$2:$C$47,$F52,$D$2:$D$47,I$51)+MAX(D53-C53,0)</f>
        <v>#VALUE!</v>
      </c>
      <c r="J52" s="14" t="e">
        <f t="shared" ref="J52:J54" si="28">SUM(G52:I52)</f>
        <v>#VALUE!</v>
      </c>
      <c r="K52" s="14"/>
      <c r="L52" s="48" t="s">
        <v>82</v>
      </c>
      <c r="M52" s="45">
        <f>(G52+H53+I54)/COUNTIF($A$2:$A$101,F51)</f>
        <v>0</v>
      </c>
      <c r="N52" s="47" t="s">
        <v>83</v>
      </c>
    </row>
    <row r="53" spans="1:14" ht="15.75" customHeight="1" x14ac:dyDescent="0.15">
      <c r="A53" s="5" t="str">
        <f>'Automatic Bread Maker Grader #1'!A55</f>
        <v>Region</v>
      </c>
      <c r="B53" s="5" t="str">
        <f>'Automatic Bread Maker Grader #1'!B55</f>
        <v>additional elements</v>
      </c>
      <c r="C53" s="5">
        <f>'Automatic Bread Maker Grader #1'!C55</f>
        <v>0</v>
      </c>
      <c r="D53" s="5" t="s">
        <v>108</v>
      </c>
      <c r="E53" s="31"/>
      <c r="F53" s="44">
        <v>0.5</v>
      </c>
      <c r="G53" s="49">
        <f t="shared" ref="G53:I53" si="29">COUNTIFS($A$2:$A$91,$F$51,$C$2:$C$91,$F53,$D$2:$D$91,G$51)</f>
        <v>0</v>
      </c>
      <c r="H53" s="14">
        <f t="shared" si="29"/>
        <v>0</v>
      </c>
      <c r="I53" s="50">
        <f t="shared" si="29"/>
        <v>0</v>
      </c>
      <c r="J53" s="14">
        <f t="shared" si="28"/>
        <v>0</v>
      </c>
      <c r="K53" s="14"/>
      <c r="L53" s="48" t="s">
        <v>84</v>
      </c>
      <c r="M53" s="49" t="e">
        <f t="array" ref="M53">SUMPRODUCT(J52:J54/COUNTIF($A$2:$A$101,F51), TRANSPOSE(G55:I55)/COUNTIF($A$2:$A$101,F51))</f>
        <v>#VALUE!</v>
      </c>
      <c r="N53" s="50" t="s">
        <v>85</v>
      </c>
    </row>
    <row r="54" spans="1:14" ht="15.75" customHeight="1" x14ac:dyDescent="0.15">
      <c r="A54" s="5" t="str">
        <f>'Automatic Bread Maker Grader #1'!A56</f>
        <v>History State</v>
      </c>
      <c r="B54" s="5" t="str">
        <f>'Automatic Bread Maker Grader #1'!B56</f>
        <v>additional elements</v>
      </c>
      <c r="C54" s="5">
        <f>'Automatic Bread Maker Grader #1'!C56</f>
        <v>0</v>
      </c>
      <c r="D54" s="5" t="s">
        <v>108</v>
      </c>
      <c r="E54" s="31"/>
      <c r="F54" s="44">
        <v>1</v>
      </c>
      <c r="G54" s="51" t="e">
        <f>COUNTIFS($A$2:$A$47,$F$51,$C$2:$C$47,$F54,$D$2:$D$47,G$51) + MAX(C53-D53,0)</f>
        <v>#VALUE!</v>
      </c>
      <c r="H54" s="52">
        <f>COUNTIFS($A$2:$A$91,$F$51,$C$2:$C$91,$F54,$D$2:$D$91,H$51)</f>
        <v>0</v>
      </c>
      <c r="I54" s="53">
        <f>COUNTIFS($A$2:$A$47,$F$51,$C$2:$C$47,$F54,$D$2:$D$47,I$51)+MIN(C53,D53)</f>
        <v>0</v>
      </c>
      <c r="J54" s="14" t="e">
        <f t="shared" si="28"/>
        <v>#VALUE!</v>
      </c>
      <c r="K54" s="14"/>
      <c r="L54" s="48" t="s">
        <v>73</v>
      </c>
      <c r="M54" s="51" t="e">
        <f>(M52-M53)/(1-M53)</f>
        <v>#VALUE!</v>
      </c>
      <c r="N54" s="53" t="s">
        <v>86</v>
      </c>
    </row>
    <row r="55" spans="1:14" ht="15.75" customHeight="1" x14ac:dyDescent="0.15">
      <c r="A55" s="38"/>
      <c r="B55" s="58"/>
      <c r="C55" s="31"/>
      <c r="D55" s="31"/>
      <c r="E55" s="31"/>
      <c r="F55" s="54" t="s">
        <v>87</v>
      </c>
      <c r="G55" s="14" t="e">
        <f t="shared" ref="G55:I55" si="30">SUM(G52:G54)</f>
        <v>#VALUE!</v>
      </c>
      <c r="H55" s="14">
        <f t="shared" si="30"/>
        <v>0</v>
      </c>
      <c r="I55" s="14" t="e">
        <f t="shared" si="30"/>
        <v>#VALUE!</v>
      </c>
      <c r="J55" s="14"/>
      <c r="L55" s="14"/>
      <c r="M55" s="55"/>
    </row>
    <row r="56" spans="1:14" ht="15.75" customHeight="1" x14ac:dyDescent="0.15">
      <c r="A56" s="38"/>
      <c r="B56" s="58"/>
      <c r="C56" s="31"/>
      <c r="D56" s="31"/>
      <c r="E56" s="31"/>
    </row>
    <row r="57" spans="1:14" ht="15.75" customHeight="1" x14ac:dyDescent="0.15">
      <c r="A57" s="38"/>
      <c r="B57" s="58"/>
      <c r="C57" s="31"/>
      <c r="D57" s="31"/>
      <c r="E57" s="31"/>
    </row>
    <row r="58" spans="1:14" ht="15.75" customHeight="1" x14ac:dyDescent="0.15">
      <c r="A58" s="38"/>
      <c r="B58" s="58"/>
      <c r="C58" s="31"/>
      <c r="D58" s="31"/>
      <c r="E58" s="31"/>
    </row>
    <row r="59" spans="1:14" ht="15.75" customHeight="1" x14ac:dyDescent="0.15">
      <c r="A59" s="38"/>
      <c r="B59" s="58"/>
      <c r="C59" s="31"/>
      <c r="D59" s="31"/>
      <c r="E59" s="31"/>
    </row>
    <row r="60" spans="1:14" ht="15.75" customHeight="1" x14ac:dyDescent="0.15">
      <c r="A60" s="38"/>
      <c r="B60" s="58"/>
      <c r="C60" s="31"/>
      <c r="D60" s="31"/>
      <c r="E60" s="31"/>
    </row>
    <row r="61" spans="1:14" ht="15.75" customHeight="1" x14ac:dyDescent="0.15">
      <c r="A61" s="38"/>
      <c r="B61" s="58"/>
      <c r="C61" s="31"/>
      <c r="D61" s="31"/>
      <c r="E61" s="31"/>
    </row>
    <row r="62" spans="1:14" ht="15.75" customHeight="1" x14ac:dyDescent="0.15">
      <c r="A62" s="38"/>
      <c r="B62" s="58"/>
      <c r="C62" s="31"/>
      <c r="D62" s="31"/>
      <c r="E62" s="31"/>
    </row>
    <row r="63" spans="1:14" ht="15.75" customHeight="1" x14ac:dyDescent="0.15">
      <c r="A63" s="38"/>
      <c r="B63" s="58"/>
      <c r="C63" s="31"/>
      <c r="D63" s="31"/>
      <c r="E63" s="31"/>
    </row>
    <row r="64" spans="1:14" ht="15.75" customHeight="1" x14ac:dyDescent="0.15">
      <c r="A64" s="38"/>
      <c r="B64" s="58"/>
      <c r="C64" s="31"/>
      <c r="D64" s="31"/>
      <c r="E64" s="31"/>
    </row>
    <row r="65" spans="1:5" ht="15.75" customHeight="1" x14ac:dyDescent="0.15">
      <c r="A65" s="38"/>
      <c r="B65" s="58"/>
      <c r="C65" s="31"/>
      <c r="D65" s="31"/>
      <c r="E65" s="31"/>
    </row>
    <row r="66" spans="1:5" ht="15.75" customHeight="1" x14ac:dyDescent="0.15">
      <c r="A66" s="38"/>
      <c r="B66" s="58"/>
      <c r="C66" s="31"/>
      <c r="D66" s="31"/>
      <c r="E66" s="31"/>
    </row>
    <row r="67" spans="1:5" ht="15.75" customHeight="1" x14ac:dyDescent="0.15">
      <c r="A67" s="38"/>
      <c r="B67" s="58"/>
      <c r="C67" s="31"/>
      <c r="D67" s="31"/>
      <c r="E67" s="31"/>
    </row>
    <row r="68" spans="1:5" ht="15.75" customHeight="1" x14ac:dyDescent="0.15">
      <c r="A68" s="38"/>
      <c r="B68" s="58"/>
      <c r="C68" s="31"/>
      <c r="D68" s="31"/>
      <c r="E68" s="31"/>
    </row>
    <row r="69" spans="1:5" ht="15.75" customHeight="1" x14ac:dyDescent="0.15">
      <c r="A69" s="38"/>
      <c r="B69" s="58"/>
      <c r="C69" s="31"/>
      <c r="D69" s="31"/>
      <c r="E69" s="31"/>
    </row>
    <row r="70" spans="1:5" ht="15.75" customHeight="1" x14ac:dyDescent="0.15">
      <c r="A70" s="38"/>
      <c r="B70" s="58"/>
      <c r="C70" s="31"/>
      <c r="D70" s="31"/>
      <c r="E70" s="31"/>
    </row>
    <row r="71" spans="1:5" ht="15.75" customHeight="1" x14ac:dyDescent="0.15">
      <c r="A71" s="38"/>
      <c r="B71" s="58"/>
      <c r="C71" s="31"/>
      <c r="D71" s="31"/>
      <c r="E71" s="31"/>
    </row>
    <row r="72" spans="1:5" ht="15.75" customHeight="1" x14ac:dyDescent="0.15">
      <c r="A72" s="38"/>
      <c r="B72" s="58"/>
      <c r="C72" s="31"/>
      <c r="D72" s="31"/>
    </row>
    <row r="73" spans="1:5" ht="15.75" customHeight="1" x14ac:dyDescent="0.15">
      <c r="A73" s="38"/>
      <c r="B73" s="58"/>
      <c r="C73" s="31"/>
      <c r="D73" s="31"/>
    </row>
    <row r="74" spans="1:5" ht="15.75" customHeight="1" x14ac:dyDescent="0.15">
      <c r="A74" s="38"/>
      <c r="B74" s="58"/>
      <c r="C74" s="31"/>
      <c r="D74" s="31"/>
    </row>
    <row r="75" spans="1:5" ht="15.75" customHeight="1" x14ac:dyDescent="0.15">
      <c r="A75" s="38"/>
      <c r="B75" s="58"/>
      <c r="C75" s="31"/>
      <c r="D75" s="31"/>
    </row>
    <row r="76" spans="1:5" ht="15.75" customHeight="1" x14ac:dyDescent="0.15">
      <c r="A76" s="38"/>
      <c r="B76" s="58"/>
      <c r="C76" s="31"/>
      <c r="D76" s="31"/>
    </row>
    <row r="77" spans="1:5" ht="15.75" customHeight="1" x14ac:dyDescent="0.15">
      <c r="A77" s="38"/>
      <c r="B77" s="58"/>
      <c r="C77" s="31"/>
      <c r="D77" s="31"/>
    </row>
    <row r="78" spans="1:5" ht="15.75" customHeight="1" x14ac:dyDescent="0.15">
      <c r="B78" s="58"/>
      <c r="D78" s="31"/>
    </row>
    <row r="79" spans="1:5" ht="15.75" customHeight="1" x14ac:dyDescent="0.15">
      <c r="B79" s="58"/>
      <c r="D79" s="31"/>
    </row>
    <row r="80" spans="1:5" ht="15.75" customHeight="1" x14ac:dyDescent="0.15">
      <c r="D80" s="31"/>
    </row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  <mergeCell ref="F1:I1"/>
    <mergeCell ref="L1:N1"/>
    <mergeCell ref="F8:I8"/>
    <mergeCell ref="L8:N8"/>
    <mergeCell ref="F15:I15"/>
    <mergeCell ref="L15:N15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workbookViewId="0"/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1.6640625" customWidth="1"/>
    <col min="15" max="15" width="12.1640625" customWidth="1"/>
    <col min="16" max="16" width="15.5" customWidth="1"/>
    <col min="17" max="17" width="12.1640625" customWidth="1"/>
    <col min="22" max="22" width="37.33203125" customWidth="1"/>
    <col min="24" max="24" width="59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x14ac:dyDescent="0.15">
      <c r="A1" s="13" t="s">
        <v>0</v>
      </c>
      <c r="B1" s="14" t="s">
        <v>1</v>
      </c>
      <c r="C1" s="15" t="s">
        <v>70</v>
      </c>
      <c r="D1" s="15" t="s">
        <v>71</v>
      </c>
      <c r="E1" s="31"/>
      <c r="F1" s="71" t="s">
        <v>72</v>
      </c>
      <c r="G1" s="72"/>
      <c r="H1" s="72"/>
      <c r="I1" s="72"/>
      <c r="L1" s="71" t="s">
        <v>102</v>
      </c>
      <c r="M1" s="72"/>
      <c r="N1" s="72"/>
      <c r="O1" s="72"/>
    </row>
    <row r="2" spans="1:24" ht="15.75" customHeight="1" x14ac:dyDescent="0.15">
      <c r="A2" s="5" t="str">
        <f>'Automatic Bread Maker Grader #1'!A3</f>
        <v>State</v>
      </c>
      <c r="B2" s="5" t="str">
        <f>'Automatic Bread Maker Grader #1'!B3</f>
        <v>Off</v>
      </c>
      <c r="C2" s="5">
        <f>'Automatic Bread Maker Grader #1'!C3</f>
        <v>0</v>
      </c>
      <c r="D2" s="5" t="s">
        <v>108</v>
      </c>
      <c r="E2" s="31"/>
      <c r="F2" s="14" t="s">
        <v>74</v>
      </c>
      <c r="G2" s="39" t="s">
        <v>75</v>
      </c>
      <c r="H2" s="40" t="s">
        <v>76</v>
      </c>
      <c r="I2" s="41" t="s">
        <v>77</v>
      </c>
      <c r="J2" s="57" t="s">
        <v>78</v>
      </c>
      <c r="K2" s="14"/>
      <c r="L2" s="14" t="s">
        <v>74</v>
      </c>
      <c r="M2" s="56" t="s">
        <v>75</v>
      </c>
      <c r="N2" s="56" t="s">
        <v>76</v>
      </c>
      <c r="O2" s="56" t="s">
        <v>77</v>
      </c>
      <c r="P2" s="14"/>
      <c r="Q2" s="14" t="s">
        <v>74</v>
      </c>
      <c r="R2" s="56" t="s">
        <v>75</v>
      </c>
      <c r="S2" s="56" t="s">
        <v>76</v>
      </c>
      <c r="T2" s="56" t="s">
        <v>77</v>
      </c>
      <c r="V2" s="43" t="s">
        <v>79</v>
      </c>
      <c r="W2" s="43" t="s">
        <v>80</v>
      </c>
      <c r="X2" s="43" t="s">
        <v>81</v>
      </c>
    </row>
    <row r="3" spans="1:24" ht="15.75" customHeight="1" x14ac:dyDescent="0.15">
      <c r="A3" s="5" t="str">
        <f>'Automatic Bread Maker Grader #1'!A4</f>
        <v>Transition</v>
      </c>
      <c r="B3" s="5" t="str">
        <f>'Automatic Bread Maker Grader #1'!B4</f>
        <v>on (Off ⇒ On)</v>
      </c>
      <c r="C3" s="5">
        <f>'Automatic Bread Maker Grader #1'!C4</f>
        <v>0</v>
      </c>
      <c r="D3" s="5" t="s">
        <v>108</v>
      </c>
      <c r="E3" s="31"/>
      <c r="F3" s="44">
        <v>0</v>
      </c>
      <c r="G3" s="45">
        <f>COUNTIFS($C$2:$C$91, $F3, $D$2:$D$91, G$2)</f>
        <v>0</v>
      </c>
      <c r="H3" s="46">
        <f>COUNTIFS($C$2:$C$47, $F3, $D$2:$D$47, H$2)</f>
        <v>0</v>
      </c>
      <c r="I3" s="47" t="e">
        <f>COUNTIFS($C$2:$C$47, $F3, $D$2:$D$47, I$2)+MAX(D48-C48,0)+MAX(D49-C49,0)+MAX(D50-C50,0)+MAX(D51-C51,0)+MAX(D52-C52,0)+MAX(D53-C53,0)+MAX(D54-C54,0)</f>
        <v>#VALUE!</v>
      </c>
      <c r="J3" s="14" t="e">
        <f t="shared" ref="J3:J5" si="0">SUM(G3:I3)</f>
        <v>#VALUE!</v>
      </c>
      <c r="K3" s="14"/>
      <c r="L3" s="44">
        <v>0</v>
      </c>
      <c r="M3" s="45">
        <f t="shared" ref="M3:O3" si="1">ABS(G$2-$F3)/1</f>
        <v>0</v>
      </c>
      <c r="N3" s="46">
        <f t="shared" si="1"/>
        <v>0.5</v>
      </c>
      <c r="O3" s="47">
        <f t="shared" si="1"/>
        <v>1</v>
      </c>
      <c r="P3" s="14"/>
      <c r="Q3" s="44">
        <v>0</v>
      </c>
      <c r="R3" s="45" t="e">
        <f t="shared" ref="R3:T3" si="2">($J3/$J$6) * (G$6/$J$6)</f>
        <v>#VALUE!</v>
      </c>
      <c r="S3" s="46" t="e">
        <f t="shared" si="2"/>
        <v>#VALUE!</v>
      </c>
      <c r="T3" s="47" t="e">
        <f t="shared" si="2"/>
        <v>#VALUE!</v>
      </c>
      <c r="U3" s="14"/>
      <c r="V3" s="48" t="s">
        <v>103</v>
      </c>
      <c r="W3" s="45" t="e">
        <f>SUMPRODUCT(G3:I5, M3:O5) /$J$6</f>
        <v>#VALUE!</v>
      </c>
      <c r="X3" s="47" t="s">
        <v>104</v>
      </c>
    </row>
    <row r="4" spans="1:24" ht="15.75" customHeight="1" x14ac:dyDescent="0.15">
      <c r="A4" s="5" t="str">
        <f>'Automatic Bread Maker Grader #1'!A5</f>
        <v>Composite State</v>
      </c>
      <c r="B4" s="5" t="str">
        <f>'Automatic Bread Maker Grader #1'!B5</f>
        <v>On</v>
      </c>
      <c r="C4" s="5">
        <f>'Automatic Bread Maker Grader #1'!C5</f>
        <v>0</v>
      </c>
      <c r="D4" s="5" t="s">
        <v>108</v>
      </c>
      <c r="E4" s="31"/>
      <c r="F4" s="44">
        <v>0.5</v>
      </c>
      <c r="G4" s="49">
        <f t="shared" ref="G4:I4" si="3">COUNTIFS($C$2:$C$47, $F4, $D$2:$D$47, G$2)</f>
        <v>0</v>
      </c>
      <c r="H4" s="14">
        <f t="shared" si="3"/>
        <v>0</v>
      </c>
      <c r="I4" s="50">
        <f t="shared" si="3"/>
        <v>0</v>
      </c>
      <c r="J4" s="14">
        <f t="shared" si="0"/>
        <v>0</v>
      </c>
      <c r="K4" s="14"/>
      <c r="L4" s="44">
        <v>0.5</v>
      </c>
      <c r="M4" s="49">
        <f t="shared" ref="M4:M5" si="4">ABS(G$2-$F4)/1</f>
        <v>0.5</v>
      </c>
      <c r="N4" s="14">
        <f>ABS(H$2-$F4)/3</f>
        <v>0</v>
      </c>
      <c r="O4" s="50">
        <f>ABS(I$2-$F4)/1</f>
        <v>0.5</v>
      </c>
      <c r="P4" s="14"/>
      <c r="Q4" s="44">
        <v>0.5</v>
      </c>
      <c r="R4" s="49" t="e">
        <f t="shared" ref="R4:T4" si="5">($J4/$J$6) * (G$6/$J$6)</f>
        <v>#VALUE!</v>
      </c>
      <c r="S4" s="14" t="e">
        <f t="shared" si="5"/>
        <v>#VALUE!</v>
      </c>
      <c r="T4" s="50" t="e">
        <f t="shared" si="5"/>
        <v>#VALUE!</v>
      </c>
      <c r="U4" s="14"/>
      <c r="V4" s="48" t="s">
        <v>105</v>
      </c>
      <c r="W4" s="49" t="e">
        <f>SUMPRODUCT(R3:T5, M3:O5)</f>
        <v>#VALUE!</v>
      </c>
      <c r="X4" s="50" t="s">
        <v>106</v>
      </c>
    </row>
    <row r="5" spans="1:24" ht="15.75" customHeight="1" x14ac:dyDescent="0.15">
      <c r="A5" s="5" t="str">
        <f>'Automatic Bread Maker Grader #1'!A2</f>
        <v>State</v>
      </c>
      <c r="B5" s="5" t="str">
        <f>'Automatic Bread Maker Grader #1'!B2</f>
        <v>Initial state (→ Off)</v>
      </c>
      <c r="C5" s="5">
        <f>'Automatic Bread Maker Grader #1'!C2</f>
        <v>0</v>
      </c>
      <c r="D5" s="5" t="s">
        <v>108</v>
      </c>
      <c r="E5" s="31"/>
      <c r="F5" s="44">
        <v>1</v>
      </c>
      <c r="G5" s="51" t="e">
        <f>COUNTIFS($C$2:$C$47, $F5, $D$2:$D$47, G$2)+MAX(C48-D48,0)+MAX(C49-D49,0)+MAX(C50-D50,0)+MAX(C51-D51,0)+MAX(C52-D52,0)+MAX(C53-D53,0)+MAX(C54-D54,0)</f>
        <v>#VALUE!</v>
      </c>
      <c r="H5" s="52">
        <f>COUNTIFS($C$2:$C$47, $F5, $D$2:$D$47, H$2)</f>
        <v>0</v>
      </c>
      <c r="I5" s="53">
        <f>COUNTIFS($C$2:$C$47, $F5, $D$2:$D$47, I$2)+ SUM(MIN(C48,D48), MIN(C49,D49), MIN(C50,D50), MIN(C51,D51), MIN(C52,D52), MIN(C53,D53), MIN(C54,D54))</f>
        <v>0</v>
      </c>
      <c r="J5" s="14" t="e">
        <f t="shared" si="0"/>
        <v>#VALUE!</v>
      </c>
      <c r="K5" s="14"/>
      <c r="L5" s="44">
        <v>1</v>
      </c>
      <c r="M5" s="51">
        <f t="shared" si="4"/>
        <v>1</v>
      </c>
      <c r="N5" s="52">
        <f t="shared" ref="N5:O5" si="6">ABS(H$2-$F5)/1</f>
        <v>0.5</v>
      </c>
      <c r="O5" s="53">
        <f t="shared" si="6"/>
        <v>0</v>
      </c>
      <c r="P5" s="14"/>
      <c r="Q5" s="44">
        <v>1</v>
      </c>
      <c r="R5" s="51" t="e">
        <f t="shared" ref="R5:T5" si="7">($J5/$J$6) * (G$6/$J$6)</f>
        <v>#VALUE!</v>
      </c>
      <c r="S5" s="52" t="e">
        <f t="shared" si="7"/>
        <v>#VALUE!</v>
      </c>
      <c r="T5" s="53" t="e">
        <f t="shared" si="7"/>
        <v>#VALUE!</v>
      </c>
      <c r="U5" s="14"/>
      <c r="V5" s="48" t="s">
        <v>73</v>
      </c>
      <c r="W5" s="51" t="e">
        <f>1-W3/W4</f>
        <v>#VALUE!</v>
      </c>
      <c r="X5" s="53" t="s">
        <v>107</v>
      </c>
    </row>
    <row r="6" spans="1:24" ht="15.75" customHeight="1" x14ac:dyDescent="0.15">
      <c r="A6" s="5" t="str">
        <f>'Automatic Bread Maker Grader #1'!A7</f>
        <v>Composite State</v>
      </c>
      <c r="B6" s="5" t="str">
        <f>'Automatic Bread Maker Grader #1'!B7</f>
        <v>Setup</v>
      </c>
      <c r="C6" s="5">
        <f>'Automatic Bread Maker Grader #1'!C7</f>
        <v>0</v>
      </c>
      <c r="D6" s="5" t="s">
        <v>108</v>
      </c>
      <c r="E6" s="31"/>
      <c r="F6" s="54" t="s">
        <v>87</v>
      </c>
      <c r="G6" s="14" t="e">
        <f t="shared" ref="G6:I6" si="8">SUM(G3:G5)</f>
        <v>#VALUE!</v>
      </c>
      <c r="H6" s="14">
        <f t="shared" si="8"/>
        <v>0</v>
      </c>
      <c r="I6" s="14" t="e">
        <f t="shared" si="8"/>
        <v>#VALUE!</v>
      </c>
      <c r="J6" s="14" t="e">
        <f>SUM(G3:I5)</f>
        <v>#VALUE!</v>
      </c>
      <c r="L6" s="14"/>
      <c r="M6" s="14"/>
      <c r="N6" s="14"/>
      <c r="O6" s="14"/>
      <c r="P6" s="14"/>
      <c r="Q6" s="14"/>
      <c r="R6" s="14"/>
      <c r="S6" s="14"/>
      <c r="T6" s="14"/>
      <c r="V6" s="14"/>
      <c r="W6" s="55"/>
    </row>
    <row r="7" spans="1:24" ht="15.75" customHeight="1" x14ac:dyDescent="0.15">
      <c r="A7" s="5" t="str">
        <f>'Automatic Bread Maker Grader #1'!A8</f>
        <v>State</v>
      </c>
      <c r="B7" s="5" t="str">
        <f>'Automatic Bread Maker Grader #1'!B8</f>
        <v>Initial state (Setup → Medium)</v>
      </c>
      <c r="C7" s="5">
        <f>'Automatic Bread Maker Grader #1'!C8</f>
        <v>0</v>
      </c>
      <c r="D7" s="5" t="s">
        <v>108</v>
      </c>
      <c r="E7" s="31"/>
      <c r="L7" s="14"/>
      <c r="M7" s="14"/>
      <c r="N7" s="14"/>
    </row>
    <row r="8" spans="1:24" ht="15.75" customHeight="1" x14ac:dyDescent="0.15">
      <c r="A8" s="5" t="str">
        <f>'Automatic Bread Maker Grader #1'!A9</f>
        <v>Action</v>
      </c>
      <c r="B8" s="5" t="str">
        <f>'Automatic Bread Maker Grader #1'!B9</f>
        <v>delay=0; selectFirstCourse()</v>
      </c>
      <c r="C8" s="5">
        <f>'Automatic Bread Maker Grader #1'!C9</f>
        <v>0</v>
      </c>
      <c r="D8" s="5" t="s">
        <v>108</v>
      </c>
      <c r="E8" s="31"/>
      <c r="F8" s="71" t="s">
        <v>88</v>
      </c>
      <c r="G8" s="72"/>
      <c r="H8" s="72"/>
      <c r="I8" s="72"/>
    </row>
    <row r="9" spans="1:24" ht="15.75" customHeight="1" x14ac:dyDescent="0.15">
      <c r="A9" s="5" t="str">
        <f>'Automatic Bread Maker Grader #1'!A10</f>
        <v>State</v>
      </c>
      <c r="B9" s="5" t="str">
        <f>'Automatic Bread Maker Grader #1'!B10</f>
        <v>Medium</v>
      </c>
      <c r="C9" s="5">
        <f>'Automatic Bread Maker Grader #1'!C10</f>
        <v>0</v>
      </c>
      <c r="D9" s="5" t="s">
        <v>108</v>
      </c>
      <c r="E9" s="31"/>
      <c r="F9" s="14" t="s">
        <v>2</v>
      </c>
      <c r="G9" s="56" t="s">
        <v>75</v>
      </c>
      <c r="H9" s="56" t="s">
        <v>76</v>
      </c>
      <c r="I9" s="56" t="s">
        <v>77</v>
      </c>
      <c r="J9" s="57" t="s">
        <v>78</v>
      </c>
      <c r="K9" s="14"/>
      <c r="L9" s="14" t="s">
        <v>74</v>
      </c>
      <c r="M9" s="56" t="s">
        <v>75</v>
      </c>
      <c r="N9" s="56" t="s">
        <v>76</v>
      </c>
      <c r="O9" s="56" t="s">
        <v>77</v>
      </c>
      <c r="P9" s="14"/>
      <c r="Q9" s="14" t="s">
        <v>74</v>
      </c>
      <c r="R9" s="56" t="s">
        <v>75</v>
      </c>
      <c r="S9" s="56" t="s">
        <v>76</v>
      </c>
      <c r="T9" s="56" t="s">
        <v>77</v>
      </c>
      <c r="V9" s="43" t="s">
        <v>79</v>
      </c>
      <c r="W9" s="43" t="s">
        <v>80</v>
      </c>
      <c r="X9" s="43" t="s">
        <v>81</v>
      </c>
    </row>
    <row r="10" spans="1:24" ht="15.75" customHeight="1" x14ac:dyDescent="0.15">
      <c r="A10" s="5" t="str">
        <f>'Automatic Bread Maker Grader #1'!A11</f>
        <v>Transition</v>
      </c>
      <c r="B10" s="5" t="str">
        <f>'Automatic Bread Maker Grader #1'!B11</f>
        <v>setup initial state =&gt; medium</v>
      </c>
      <c r="C10" s="5">
        <f>'Automatic Bread Maker Grader #1'!C11</f>
        <v>0</v>
      </c>
      <c r="D10" s="5" t="s">
        <v>108</v>
      </c>
      <c r="E10" s="31"/>
      <c r="F10" s="44">
        <v>0</v>
      </c>
      <c r="G10" s="45">
        <f t="shared" ref="G10:H10" si="9">COUNTIFS($A$2:$A$91,$F$9,$C$2:$C$91,$F10,$D$2:$D$91,G$9)</f>
        <v>0</v>
      </c>
      <c r="H10" s="46">
        <f t="shared" si="9"/>
        <v>0</v>
      </c>
      <c r="I10" s="47" t="e">
        <f>COUNTIFS($A$2:$A$47,$F$9,$C$2:$C$47,$F10,$D$2:$D$47,I$9)+MAX(D48-C48,0)</f>
        <v>#VALUE!</v>
      </c>
      <c r="J10" s="14" t="e">
        <f t="shared" ref="J10:J12" si="10">SUM(G10:I10)</f>
        <v>#VALUE!</v>
      </c>
      <c r="K10" s="14"/>
      <c r="L10" s="44">
        <v>0</v>
      </c>
      <c r="M10" s="45">
        <f t="shared" ref="M10:O10" si="11">ABS(G$2-$F10)/1</f>
        <v>0</v>
      </c>
      <c r="N10" s="46">
        <f t="shared" si="11"/>
        <v>0.5</v>
      </c>
      <c r="O10" s="47">
        <f t="shared" si="11"/>
        <v>1</v>
      </c>
      <c r="P10" s="14"/>
      <c r="Q10" s="44">
        <v>0</v>
      </c>
      <c r="R10" s="45" t="e">
        <f t="shared" ref="R10:T10" si="12">($J10/$J$13) * (G$13/$J$13)</f>
        <v>#VALUE!</v>
      </c>
      <c r="S10" s="46" t="e">
        <f t="shared" si="12"/>
        <v>#VALUE!</v>
      </c>
      <c r="T10" s="47" t="e">
        <f t="shared" si="12"/>
        <v>#VALUE!</v>
      </c>
      <c r="U10" s="14"/>
      <c r="V10" s="48" t="s">
        <v>103</v>
      </c>
      <c r="W10" s="45" t="e">
        <f>SUMPRODUCT(G10:I12, M10:O12) /$J$13</f>
        <v>#VALUE!</v>
      </c>
      <c r="X10" s="47" t="s">
        <v>104</v>
      </c>
    </row>
    <row r="11" spans="1:24" ht="15.75" customHeight="1" x14ac:dyDescent="0.15">
      <c r="A11" s="5" t="str">
        <f>'Automatic Bread Maker Grader #1'!A12</f>
        <v>Transition</v>
      </c>
      <c r="B11" s="5" t="str">
        <f>'Automatic Bread Maker Grader #1'!B12</f>
        <v>medium =&gt; dark</v>
      </c>
      <c r="C11" s="5">
        <f>'Automatic Bread Maker Grader #1'!C12</f>
        <v>0</v>
      </c>
      <c r="D11" s="5" t="s">
        <v>108</v>
      </c>
      <c r="E11" s="31"/>
      <c r="F11" s="44">
        <v>0.5</v>
      </c>
      <c r="G11" s="49">
        <f t="shared" ref="G11:I11" si="13">COUNTIFS($A$2:$A$91,$F$9,$C$2:$C$91,$F11,$D$2:$D$91,G$9)</f>
        <v>0</v>
      </c>
      <c r="H11" s="14">
        <f t="shared" si="13"/>
        <v>0</v>
      </c>
      <c r="I11" s="50">
        <f t="shared" si="13"/>
        <v>0</v>
      </c>
      <c r="J11" s="14">
        <f t="shared" si="10"/>
        <v>0</v>
      </c>
      <c r="K11" s="14"/>
      <c r="L11" s="44">
        <v>0.5</v>
      </c>
      <c r="M11" s="49">
        <f t="shared" ref="M11:M12" si="14">ABS(G$2-$F11)/1</f>
        <v>0.5</v>
      </c>
      <c r="N11" s="14">
        <f>ABS(H$2-$F11)/3</f>
        <v>0</v>
      </c>
      <c r="O11" s="50">
        <f>ABS(I$2-$F11)/1</f>
        <v>0.5</v>
      </c>
      <c r="P11" s="14"/>
      <c r="Q11" s="44">
        <v>0.5</v>
      </c>
      <c r="R11" s="49" t="e">
        <f t="shared" ref="R11:T11" si="15">($J11/$J$13) * (G$13/$J$13)</f>
        <v>#VALUE!</v>
      </c>
      <c r="S11" s="14" t="e">
        <f t="shared" si="15"/>
        <v>#VALUE!</v>
      </c>
      <c r="T11" s="50" t="e">
        <f t="shared" si="15"/>
        <v>#VALUE!</v>
      </c>
      <c r="U11" s="14"/>
      <c r="V11" s="48" t="s">
        <v>105</v>
      </c>
      <c r="W11" s="49" t="e">
        <f>SUMPRODUCT(R10:T12, M10:O12)</f>
        <v>#VALUE!</v>
      </c>
      <c r="X11" s="50" t="s">
        <v>106</v>
      </c>
    </row>
    <row r="12" spans="1:24" ht="15.75" customHeight="1" x14ac:dyDescent="0.15">
      <c r="A12" s="5" t="str">
        <f>'Automatic Bread Maker Grader #1'!A13</f>
        <v>State</v>
      </c>
      <c r="B12" s="5" t="str">
        <f>'Automatic Bread Maker Grader #1'!B13</f>
        <v>Dark</v>
      </c>
      <c r="C12" s="5">
        <f>'Automatic Bread Maker Grader #1'!C13</f>
        <v>0</v>
      </c>
      <c r="D12" s="5" t="s">
        <v>108</v>
      </c>
      <c r="E12" s="31"/>
      <c r="F12" s="44">
        <v>1</v>
      </c>
      <c r="G12" s="51" t="e">
        <f>COUNTIFS($A$2:$A$47,$F$9,$C$2:$C$47,$F12,$D$2:$D$47,G$9)+MAX(C48-D48,0)</f>
        <v>#VALUE!</v>
      </c>
      <c r="H12" s="52">
        <f>COUNTIFS($A$2:$A$91,$F$9,$C$2:$C$91,$F12,$D$2:$D$91,H$9)</f>
        <v>0</v>
      </c>
      <c r="I12" s="53" t="e">
        <f>COUNTIFS($A$2:$A$47,$F$9,$C$2:$C$47,$F12,$D$2:$D$47,I$9)+MIN(C48-D48)</f>
        <v>#VALUE!</v>
      </c>
      <c r="J12" s="14" t="e">
        <f t="shared" si="10"/>
        <v>#VALUE!</v>
      </c>
      <c r="K12" s="14"/>
      <c r="L12" s="44">
        <v>1</v>
      </c>
      <c r="M12" s="51">
        <f t="shared" si="14"/>
        <v>1</v>
      </c>
      <c r="N12" s="52">
        <f t="shared" ref="N12:O12" si="16">ABS(H$2-$F12)/1</f>
        <v>0.5</v>
      </c>
      <c r="O12" s="53">
        <f t="shared" si="16"/>
        <v>0</v>
      </c>
      <c r="P12" s="14"/>
      <c r="Q12" s="44">
        <v>1</v>
      </c>
      <c r="R12" s="51" t="e">
        <f t="shared" ref="R12:T12" si="17">($J12/$J$13) * (G$13/$J$13)</f>
        <v>#VALUE!</v>
      </c>
      <c r="S12" s="52" t="e">
        <f t="shared" si="17"/>
        <v>#VALUE!</v>
      </c>
      <c r="T12" s="53" t="e">
        <f t="shared" si="17"/>
        <v>#VALUE!</v>
      </c>
      <c r="U12" s="14"/>
      <c r="V12" s="48" t="s">
        <v>73</v>
      </c>
      <c r="W12" s="51" t="e">
        <f>1-W10/W11</f>
        <v>#VALUE!</v>
      </c>
      <c r="X12" s="53" t="s">
        <v>107</v>
      </c>
    </row>
    <row r="13" spans="1:24" ht="15.75" customHeight="1" x14ac:dyDescent="0.15">
      <c r="A13" s="5" t="str">
        <f>'Automatic Bread Maker Grader #1'!A14</f>
        <v>Transition</v>
      </c>
      <c r="B13" s="5" t="str">
        <f>'Automatic Bread Maker Grader #1'!B14</f>
        <v>dark =&gt; light</v>
      </c>
      <c r="C13" s="5">
        <f>'Automatic Bread Maker Grader #1'!C14</f>
        <v>0</v>
      </c>
      <c r="D13" s="5" t="s">
        <v>108</v>
      </c>
      <c r="E13" s="31"/>
      <c r="F13" s="54" t="s">
        <v>87</v>
      </c>
      <c r="G13" s="14" t="e">
        <f t="shared" ref="G13:I13" si="18">SUM(G10:G12)</f>
        <v>#VALUE!</v>
      </c>
      <c r="H13" s="14">
        <f t="shared" si="18"/>
        <v>0</v>
      </c>
      <c r="I13" s="14" t="e">
        <f t="shared" si="18"/>
        <v>#VALUE!</v>
      </c>
      <c r="J13" s="14" t="e">
        <f>SUM(G10:I12)</f>
        <v>#VALUE!</v>
      </c>
    </row>
    <row r="14" spans="1:24" ht="15.75" customHeight="1" x14ac:dyDescent="0.15">
      <c r="A14" s="5" t="str">
        <f>'Automatic Bread Maker Grader #1'!A15</f>
        <v>State</v>
      </c>
      <c r="B14" s="5" t="str">
        <f>'Automatic Bread Maker Grader #1'!B15</f>
        <v>Light</v>
      </c>
      <c r="C14" s="5">
        <f>'Automatic Bread Maker Grader #1'!C15</f>
        <v>0</v>
      </c>
      <c r="D14" s="5" t="s">
        <v>108</v>
      </c>
      <c r="E14" s="31"/>
    </row>
    <row r="15" spans="1:24" ht="15.75" customHeight="1" x14ac:dyDescent="0.15">
      <c r="A15" s="5" t="str">
        <f>'Automatic Bread Maker Grader #1'!A16</f>
        <v>History State</v>
      </c>
      <c r="B15" s="5" t="str">
        <f>'Automatic Bread Maker Grader #1'!B16</f>
        <v>H</v>
      </c>
      <c r="C15" s="5">
        <f>'Automatic Bread Maker Grader #1'!C16</f>
        <v>0</v>
      </c>
      <c r="D15" s="5" t="s">
        <v>108</v>
      </c>
      <c r="E15" s="31"/>
      <c r="F15" s="71" t="s">
        <v>90</v>
      </c>
      <c r="G15" s="72"/>
      <c r="H15" s="72"/>
      <c r="I15" s="72"/>
    </row>
    <row r="16" spans="1:24" ht="15.75" customHeight="1" x14ac:dyDescent="0.15">
      <c r="A16" s="5" t="str">
        <f>'Automatic Bread Maker Grader #1'!A17</f>
        <v>Transition</v>
      </c>
      <c r="B16" s="5" t="str">
        <f>'Automatic Bread Maker Grader #1'!B17</f>
        <v>setup =&gt; H</v>
      </c>
      <c r="C16" s="5">
        <f>'Automatic Bread Maker Grader #1'!C17</f>
        <v>0</v>
      </c>
      <c r="D16" s="5" t="s">
        <v>108</v>
      </c>
      <c r="E16" s="31"/>
      <c r="F16" s="14" t="s">
        <v>5</v>
      </c>
      <c r="G16" s="56" t="s">
        <v>75</v>
      </c>
      <c r="H16" s="56" t="s">
        <v>76</v>
      </c>
      <c r="I16" s="56" t="s">
        <v>77</v>
      </c>
      <c r="J16" s="57" t="s">
        <v>78</v>
      </c>
      <c r="K16" s="14"/>
      <c r="L16" s="14" t="s">
        <v>74</v>
      </c>
      <c r="M16" s="56" t="s">
        <v>75</v>
      </c>
      <c r="N16" s="56" t="s">
        <v>76</v>
      </c>
      <c r="O16" s="56" t="s">
        <v>77</v>
      </c>
      <c r="P16" s="14"/>
      <c r="Q16" s="14" t="s">
        <v>74</v>
      </c>
      <c r="R16" s="56" t="s">
        <v>75</v>
      </c>
      <c r="S16" s="56" t="s">
        <v>76</v>
      </c>
      <c r="T16" s="56" t="s">
        <v>77</v>
      </c>
      <c r="V16" s="43" t="s">
        <v>79</v>
      </c>
      <c r="W16" s="43" t="s">
        <v>80</v>
      </c>
      <c r="X16" s="43" t="s">
        <v>81</v>
      </c>
    </row>
    <row r="17" spans="1:24" ht="15.75" customHeight="1" x14ac:dyDescent="0.15">
      <c r="A17" s="5" t="str">
        <f>'Automatic Bread Maker Grader #1'!A18</f>
        <v>Action</v>
      </c>
      <c r="B17" s="5" t="str">
        <f>'Automatic Bread Maker Grader #1'!B18</f>
        <v>selectNextCourse()</v>
      </c>
      <c r="C17" s="5">
        <f>'Automatic Bread Maker Grader #1'!C18</f>
        <v>0</v>
      </c>
      <c r="D17" s="5" t="s">
        <v>108</v>
      </c>
      <c r="E17" s="31"/>
      <c r="F17" s="44">
        <v>0</v>
      </c>
      <c r="G17" s="45">
        <f t="shared" ref="G17:H17" si="19">COUNTIFS($A$2:$A$91,$F$16,$C$2:$C$91,$F17,$D$2:$D$91,G$16)</f>
        <v>0</v>
      </c>
      <c r="H17" s="46">
        <f t="shared" si="19"/>
        <v>0</v>
      </c>
      <c r="I17" s="47" t="e">
        <f>COUNTIFS($A$2:$A$47,$F$16,$C$2:$C$47,$F17,$D$2:$D$47,I$16) + MAX(D49-C49,0)</f>
        <v>#VALUE!</v>
      </c>
      <c r="J17" s="14" t="e">
        <f t="shared" ref="J17:J19" si="20">SUM(G17:I17)</f>
        <v>#VALUE!</v>
      </c>
      <c r="K17" s="14"/>
      <c r="L17" s="44">
        <v>0</v>
      </c>
      <c r="M17" s="45">
        <f t="shared" ref="M17:O17" si="21">ABS(G$2-$F17)/1</f>
        <v>0</v>
      </c>
      <c r="N17" s="46">
        <f t="shared" si="21"/>
        <v>0.5</v>
      </c>
      <c r="O17" s="47">
        <f t="shared" si="21"/>
        <v>1</v>
      </c>
      <c r="P17" s="14"/>
      <c r="Q17" s="44">
        <v>0</v>
      </c>
      <c r="R17" s="45" t="e">
        <f t="shared" ref="R17:T17" si="22">($J17/$J$20) * (G$20/$J$20)</f>
        <v>#VALUE!</v>
      </c>
      <c r="S17" s="46" t="e">
        <f t="shared" si="22"/>
        <v>#VALUE!</v>
      </c>
      <c r="T17" s="47" t="e">
        <f t="shared" si="22"/>
        <v>#VALUE!</v>
      </c>
      <c r="U17" s="14"/>
      <c r="V17" s="48" t="s">
        <v>103</v>
      </c>
      <c r="W17" s="45" t="e">
        <f>SUMPRODUCT(G17:I19, M17:O19) /$J$20</f>
        <v>#VALUE!</v>
      </c>
      <c r="X17" s="47" t="s">
        <v>104</v>
      </c>
    </row>
    <row r="18" spans="1:24" ht="15.75" customHeight="1" x14ac:dyDescent="0.15">
      <c r="A18" s="5" t="str">
        <f>'Automatic Bread Maker Grader #1'!A19</f>
        <v>Transition</v>
      </c>
      <c r="B18" s="5" t="str">
        <f>'Automatic Bread Maker Grader #1'!B19</f>
        <v>plus (Setup ⇒ Setup)</v>
      </c>
      <c r="C18" s="5">
        <f>'Automatic Bread Maker Grader #1'!C19</f>
        <v>0</v>
      </c>
      <c r="D18" s="5" t="s">
        <v>108</v>
      </c>
      <c r="E18" s="31"/>
      <c r="F18" s="44">
        <v>0.5</v>
      </c>
      <c r="G18" s="49">
        <f t="shared" ref="G18:I18" si="23">COUNTIFS($A$2:$A$91,$F$16,$C$2:$C$91,$F18,$D$2:$D$91,G$16)</f>
        <v>0</v>
      </c>
      <c r="H18" s="14">
        <f t="shared" si="23"/>
        <v>0</v>
      </c>
      <c r="I18" s="50">
        <f t="shared" si="23"/>
        <v>0</v>
      </c>
      <c r="J18" s="14">
        <f t="shared" si="20"/>
        <v>0</v>
      </c>
      <c r="K18" s="14"/>
      <c r="L18" s="44">
        <v>0.5</v>
      </c>
      <c r="M18" s="49">
        <f t="shared" ref="M18:M19" si="24">ABS(G$2-$F18)/1</f>
        <v>0.5</v>
      </c>
      <c r="N18" s="14">
        <f>ABS(H$2-$F18)/3</f>
        <v>0</v>
      </c>
      <c r="O18" s="50">
        <f>ABS(I$2-$F18)/1</f>
        <v>0.5</v>
      </c>
      <c r="P18" s="14"/>
      <c r="Q18" s="44">
        <v>0.5</v>
      </c>
      <c r="R18" s="49" t="e">
        <f t="shared" ref="R18:T18" si="25">($J18/$J$20) * (G$20/$J$20)</f>
        <v>#VALUE!</v>
      </c>
      <c r="S18" s="14" t="e">
        <f t="shared" si="25"/>
        <v>#VALUE!</v>
      </c>
      <c r="T18" s="50" t="e">
        <f t="shared" si="25"/>
        <v>#VALUE!</v>
      </c>
      <c r="U18" s="14"/>
      <c r="V18" s="48" t="s">
        <v>105</v>
      </c>
      <c r="W18" s="49" t="e">
        <f>SUMPRODUCT(R17:T19, M17:O19)</f>
        <v>#VALUE!</v>
      </c>
      <c r="X18" s="50" t="s">
        <v>106</v>
      </c>
    </row>
    <row r="19" spans="1:24" ht="15.75" customHeight="1" x14ac:dyDescent="0.15">
      <c r="A19" s="5" t="str">
        <f>'Automatic Bread Maker Grader #1'!A20</f>
        <v>Guard</v>
      </c>
      <c r="B19" s="5" t="str">
        <f>'Automatic Bread Maker Grader #1'!B20</f>
        <v>[delay &lt;= 17*60+50]</v>
      </c>
      <c r="C19" s="5">
        <f>'Automatic Bread Maker Grader #1'!C20</f>
        <v>0</v>
      </c>
      <c r="D19" s="5" t="s">
        <v>108</v>
      </c>
      <c r="E19" s="31"/>
      <c r="F19" s="44">
        <v>1</v>
      </c>
      <c r="G19" s="51" t="e">
        <f>COUNTIFS($A$2:$A$47,$F$16,$C$2:$C$47,$F19,$D$2:$D$47,G$16)+MAX(C49-D49,0)</f>
        <v>#VALUE!</v>
      </c>
      <c r="H19" s="52">
        <f>COUNTIFS($A$2:$A$91,$F$16,$C$2:$C$91,$F19,$D$2:$D$91,H$16)</f>
        <v>0</v>
      </c>
      <c r="I19" s="53">
        <f>COUNTIFS($A$2:$A$47,$F$16,$C$2:$C$47,$F19,$D$2:$D$47,I$16) + MIN(C49,D49)</f>
        <v>0</v>
      </c>
      <c r="J19" s="14" t="e">
        <f t="shared" si="20"/>
        <v>#VALUE!</v>
      </c>
      <c r="K19" s="14"/>
      <c r="L19" s="44">
        <v>1</v>
      </c>
      <c r="M19" s="51">
        <f t="shared" si="24"/>
        <v>1</v>
      </c>
      <c r="N19" s="52">
        <f t="shared" ref="N19:O19" si="26">ABS(H$2-$F19)/1</f>
        <v>0.5</v>
      </c>
      <c r="O19" s="53">
        <f t="shared" si="26"/>
        <v>0</v>
      </c>
      <c r="P19" s="14"/>
      <c r="Q19" s="44">
        <v>1</v>
      </c>
      <c r="R19" s="51" t="e">
        <f t="shared" ref="R19:T19" si="27">($J19/$J$20) * (G$20/$J$20)</f>
        <v>#VALUE!</v>
      </c>
      <c r="S19" s="52" t="e">
        <f t="shared" si="27"/>
        <v>#VALUE!</v>
      </c>
      <c r="T19" s="53" t="e">
        <f t="shared" si="27"/>
        <v>#VALUE!</v>
      </c>
      <c r="U19" s="14"/>
      <c r="V19" s="48" t="s">
        <v>73</v>
      </c>
      <c r="W19" s="51" t="e">
        <f>1-W17/W18</f>
        <v>#VALUE!</v>
      </c>
      <c r="X19" s="53" t="s">
        <v>107</v>
      </c>
    </row>
    <row r="20" spans="1:24" ht="15.75" customHeight="1" x14ac:dyDescent="0.15">
      <c r="A20" s="5" t="str">
        <f>'Automatic Bread Maker Grader #1'!A21</f>
        <v>Action</v>
      </c>
      <c r="B20" s="5" t="str">
        <f>'Automatic Bread Maker Grader #1'!B21</f>
        <v>delay = delay + 10</v>
      </c>
      <c r="C20" s="5">
        <f>'Automatic Bread Maker Grader #1'!C21</f>
        <v>0</v>
      </c>
      <c r="D20" s="5" t="s">
        <v>108</v>
      </c>
      <c r="E20" s="31"/>
      <c r="F20" s="54" t="s">
        <v>87</v>
      </c>
      <c r="G20" s="14" t="e">
        <f t="shared" ref="G20:I20" si="28">SUM(G17:G19)</f>
        <v>#VALUE!</v>
      </c>
      <c r="H20" s="14">
        <f t="shared" si="28"/>
        <v>0</v>
      </c>
      <c r="I20" s="14" t="e">
        <f t="shared" si="28"/>
        <v>#VALUE!</v>
      </c>
      <c r="J20" s="14" t="e">
        <f>SUM(G17:I19)</f>
        <v>#VALUE!</v>
      </c>
    </row>
    <row r="21" spans="1:24" ht="15.75" customHeight="1" x14ac:dyDescent="0.15">
      <c r="A21" s="5" t="str">
        <f>'Automatic Bread Maker Grader #1'!A22</f>
        <v>Transition</v>
      </c>
      <c r="B21" s="5" t="str">
        <f>'Automatic Bread Maker Grader #1'!B22</f>
        <v>minus (Setup ⇒ Setup)</v>
      </c>
      <c r="C21" s="5">
        <f>'Automatic Bread Maker Grader #1'!C22</f>
        <v>0</v>
      </c>
      <c r="D21" s="5" t="s">
        <v>108</v>
      </c>
      <c r="E21" s="31"/>
    </row>
    <row r="22" spans="1:24" ht="15.75" customHeight="1" x14ac:dyDescent="0.15">
      <c r="A22" s="5" t="str">
        <f>'Automatic Bread Maker Grader #1'!A23</f>
        <v>Guard</v>
      </c>
      <c r="B22" s="5" t="str">
        <f>'Automatic Bread Maker Grader #1'!B23</f>
        <v>[delay &gt;= 10]</v>
      </c>
      <c r="C22" s="5">
        <f>'Automatic Bread Maker Grader #1'!C23</f>
        <v>0</v>
      </c>
      <c r="D22" s="5" t="s">
        <v>108</v>
      </c>
      <c r="E22" s="31"/>
      <c r="F22" s="71" t="s">
        <v>92</v>
      </c>
      <c r="G22" s="72"/>
      <c r="H22" s="72"/>
      <c r="I22" s="72"/>
    </row>
    <row r="23" spans="1:24" ht="15.75" customHeight="1" x14ac:dyDescent="0.15">
      <c r="A23" s="5" t="str">
        <f>'Automatic Bread Maker Grader #1'!A24</f>
        <v>Action</v>
      </c>
      <c r="B23" s="5" t="str">
        <f>'Automatic Bread Maker Grader #1'!B24</f>
        <v>delay = delay - 10</v>
      </c>
      <c r="C23" s="5">
        <f>'Automatic Bread Maker Grader #1'!C24</f>
        <v>0</v>
      </c>
      <c r="D23" s="5" t="s">
        <v>108</v>
      </c>
      <c r="E23" s="31"/>
      <c r="F23" s="14" t="s">
        <v>7</v>
      </c>
      <c r="G23" s="56" t="s">
        <v>75</v>
      </c>
      <c r="H23" s="56" t="s">
        <v>76</v>
      </c>
      <c r="I23" s="56" t="s">
        <v>77</v>
      </c>
      <c r="J23" s="57" t="s">
        <v>78</v>
      </c>
      <c r="K23" s="14"/>
      <c r="L23" s="14" t="s">
        <v>74</v>
      </c>
      <c r="M23" s="56" t="s">
        <v>75</v>
      </c>
      <c r="N23" s="56" t="s">
        <v>76</v>
      </c>
      <c r="O23" s="56" t="s">
        <v>77</v>
      </c>
      <c r="P23" s="14"/>
      <c r="Q23" s="14" t="s">
        <v>74</v>
      </c>
      <c r="R23" s="56" t="s">
        <v>75</v>
      </c>
      <c r="S23" s="56" t="s">
        <v>76</v>
      </c>
      <c r="T23" s="56" t="s">
        <v>77</v>
      </c>
      <c r="V23" s="43" t="s">
        <v>79</v>
      </c>
      <c r="W23" s="43" t="s">
        <v>80</v>
      </c>
      <c r="X23" s="43" t="s">
        <v>81</v>
      </c>
    </row>
    <row r="24" spans="1:24" ht="15.75" customHeight="1" x14ac:dyDescent="0.15">
      <c r="A24" s="5" t="str">
        <f>'Automatic Bread Maker Grader #1'!A25</f>
        <v>Transition</v>
      </c>
      <c r="B24" s="5" t="str">
        <f>'Automatic Bread Maker Grader #1'!B25</f>
        <v>start (Setup ⇒ Countdown)</v>
      </c>
      <c r="C24" s="5">
        <f>'Automatic Bread Maker Grader #1'!C25</f>
        <v>0</v>
      </c>
      <c r="D24" s="5" t="s">
        <v>108</v>
      </c>
      <c r="E24" s="31"/>
      <c r="F24" s="44">
        <v>0</v>
      </c>
      <c r="G24" s="45">
        <f t="shared" ref="G24:H24" si="29">COUNTIFS($A$2:$A$91,$F$23,$C$2:$C$91,$F24,$D$2:$D$91,G$23)</f>
        <v>0</v>
      </c>
      <c r="H24" s="46">
        <f t="shared" si="29"/>
        <v>0</v>
      </c>
      <c r="I24" s="47" t="e">
        <f>COUNTIFS($A$2:$A$47,$F$23,$C$2:$C$47,$F24,$D$2:$D$47,I$23) + MAX(D52-C52,0)</f>
        <v>#VALUE!</v>
      </c>
      <c r="J24" s="14" t="e">
        <f t="shared" ref="J24:J26" si="30">SUM(G24:I24)</f>
        <v>#VALUE!</v>
      </c>
      <c r="K24" s="14"/>
      <c r="L24" s="44">
        <v>0</v>
      </c>
      <c r="M24" s="45">
        <f t="shared" ref="M24:O24" si="31">ABS(G$2-$F24)/1</f>
        <v>0</v>
      </c>
      <c r="N24" s="46">
        <f t="shared" si="31"/>
        <v>0.5</v>
      </c>
      <c r="O24" s="47">
        <f t="shared" si="31"/>
        <v>1</v>
      </c>
      <c r="P24" s="14"/>
      <c r="Q24" s="44">
        <v>0</v>
      </c>
      <c r="R24" s="45" t="e">
        <f t="shared" ref="R24:T24" si="32">($J24/$J$27) * (G$27/$J$27)</f>
        <v>#VALUE!</v>
      </c>
      <c r="S24" s="46" t="e">
        <f t="shared" si="32"/>
        <v>#VALUE!</v>
      </c>
      <c r="T24" s="47" t="e">
        <f t="shared" si="32"/>
        <v>#VALUE!</v>
      </c>
      <c r="U24" s="14"/>
      <c r="V24" s="48" t="s">
        <v>103</v>
      </c>
      <c r="W24" s="45" t="e">
        <f>SUMPRODUCT(G24:I26, M24:O26) /$J$27</f>
        <v>#VALUE!</v>
      </c>
      <c r="X24" s="47" t="s">
        <v>104</v>
      </c>
    </row>
    <row r="25" spans="1:24" ht="15.75" customHeight="1" x14ac:dyDescent="0.15">
      <c r="A25" s="5" t="str">
        <f>'Automatic Bread Maker Grader #1'!A26</f>
        <v>Guard</v>
      </c>
      <c r="B25" s="5" t="str">
        <f>'Automatic Bread Maker Grader #1'!B26</f>
        <v>[delay &gt; 0]</v>
      </c>
      <c r="C25" s="5">
        <f>'Automatic Bread Maker Grader #1'!C26</f>
        <v>0</v>
      </c>
      <c r="D25" s="5" t="s">
        <v>108</v>
      </c>
      <c r="E25" s="31"/>
      <c r="F25" s="44">
        <v>0.5</v>
      </c>
      <c r="G25" s="49">
        <f t="shared" ref="G25:I25" si="33">COUNTIFS($A$2:$A$91,$F$23,$C$2:$C$91,$F25,$D$2:$D$91,G$23)</f>
        <v>0</v>
      </c>
      <c r="H25" s="14">
        <f t="shared" si="33"/>
        <v>0</v>
      </c>
      <c r="I25" s="50">
        <f t="shared" si="33"/>
        <v>0</v>
      </c>
      <c r="J25" s="14">
        <f t="shared" si="30"/>
        <v>0</v>
      </c>
      <c r="K25" s="14"/>
      <c r="L25" s="44">
        <v>0.5</v>
      </c>
      <c r="M25" s="49">
        <f t="shared" ref="M25:M26" si="34">ABS(G$2-$F25)/1</f>
        <v>0.5</v>
      </c>
      <c r="N25" s="14">
        <f>ABS(H$2-$F25)/3</f>
        <v>0</v>
      </c>
      <c r="O25" s="50">
        <f>ABS(I$2-$F25)/1</f>
        <v>0.5</v>
      </c>
      <c r="P25" s="14"/>
      <c r="Q25" s="44">
        <v>0.5</v>
      </c>
      <c r="R25" s="49" t="e">
        <f t="shared" ref="R25:T25" si="35">($J25/$J$27) * (G$27/$J$27)</f>
        <v>#VALUE!</v>
      </c>
      <c r="S25" s="14" t="e">
        <f t="shared" si="35"/>
        <v>#VALUE!</v>
      </c>
      <c r="T25" s="50" t="e">
        <f t="shared" si="35"/>
        <v>#VALUE!</v>
      </c>
      <c r="U25" s="14"/>
      <c r="V25" s="48" t="s">
        <v>105</v>
      </c>
      <c r="W25" s="49" t="e">
        <f>SUMPRODUCT(R24:T26, M24:O26)</f>
        <v>#VALUE!</v>
      </c>
      <c r="X25" s="50" t="s">
        <v>106</v>
      </c>
    </row>
    <row r="26" spans="1:24" ht="15.75" customHeight="1" x14ac:dyDescent="0.15">
      <c r="A26" s="5" t="str">
        <f>'Automatic Bread Maker Grader #1'!A27</f>
        <v>Transition</v>
      </c>
      <c r="B26" s="5" t="str">
        <f>'Automatic Bread Maker Grader #1'!B27</f>
        <v>start (Setup ⇒ Baking)</v>
      </c>
      <c r="C26" s="5">
        <f>'Automatic Bread Maker Grader #1'!C27</f>
        <v>0</v>
      </c>
      <c r="D26" s="5" t="s">
        <v>108</v>
      </c>
      <c r="E26" s="31"/>
      <c r="F26" s="44">
        <v>1</v>
      </c>
      <c r="G26" s="51" t="e">
        <f>COUNTIFS($A$2:$A$47,$F$23,$C$2:$C$47,$F26,$D$2:$D$47,G$23) + MAX(C52-D52,0)</f>
        <v>#VALUE!</v>
      </c>
      <c r="H26" s="52">
        <f>COUNTIFS($A$2:$A$91,$F$23,$C$2:$C$91,$F26,$D$2:$D$91,H$23)</f>
        <v>0</v>
      </c>
      <c r="I26" s="53">
        <f>COUNTIFS($A$2:$A$47,$F$23,$C$2:$C$47,$F26,$D$2:$D$47,I$23) + MIN(C52,D52)</f>
        <v>0</v>
      </c>
      <c r="J26" s="14" t="e">
        <f t="shared" si="30"/>
        <v>#VALUE!</v>
      </c>
      <c r="K26" s="14"/>
      <c r="L26" s="44">
        <v>1</v>
      </c>
      <c r="M26" s="51">
        <f t="shared" si="34"/>
        <v>1</v>
      </c>
      <c r="N26" s="52">
        <f t="shared" ref="N26:O26" si="36">ABS(H$2-$F26)/1</f>
        <v>0.5</v>
      </c>
      <c r="O26" s="53">
        <f t="shared" si="36"/>
        <v>0</v>
      </c>
      <c r="P26" s="14"/>
      <c r="Q26" s="44">
        <v>1</v>
      </c>
      <c r="R26" s="51" t="e">
        <f t="shared" ref="R26:T26" si="37">($J26/$J$27) * (G$27/$J$27)</f>
        <v>#VALUE!</v>
      </c>
      <c r="S26" s="52" t="e">
        <f t="shared" si="37"/>
        <v>#VALUE!</v>
      </c>
      <c r="T26" s="53" t="e">
        <f t="shared" si="37"/>
        <v>#VALUE!</v>
      </c>
      <c r="U26" s="14"/>
      <c r="V26" s="48" t="s">
        <v>73</v>
      </c>
      <c r="W26" s="51" t="e">
        <f>1-W24/W25</f>
        <v>#VALUE!</v>
      </c>
      <c r="X26" s="53" t="s">
        <v>107</v>
      </c>
    </row>
    <row r="27" spans="1:24" ht="15.75" customHeight="1" x14ac:dyDescent="0.15">
      <c r="A27" s="5" t="str">
        <f>'Automatic Bread Maker Grader #1'!A28</f>
        <v>Guard</v>
      </c>
      <c r="B27" s="5" t="str">
        <f>'Automatic Bread Maker Grader #1'!B28</f>
        <v>[delay == 0]</v>
      </c>
      <c r="C27" s="5">
        <f>'Automatic Bread Maker Grader #1'!C28</f>
        <v>0</v>
      </c>
      <c r="D27" s="5" t="s">
        <v>108</v>
      </c>
      <c r="E27" s="31"/>
      <c r="F27" s="54" t="s">
        <v>87</v>
      </c>
      <c r="G27" s="14" t="e">
        <f t="shared" ref="G27:I27" si="38">SUM(G24:G26)</f>
        <v>#VALUE!</v>
      </c>
      <c r="H27" s="14">
        <f t="shared" si="38"/>
        <v>0</v>
      </c>
      <c r="I27" s="14" t="e">
        <f t="shared" si="38"/>
        <v>#VALUE!</v>
      </c>
      <c r="J27" s="14" t="e">
        <f>SUM(G24:I26)</f>
        <v>#VALUE!</v>
      </c>
    </row>
    <row r="28" spans="1:24" ht="15.75" customHeight="1" x14ac:dyDescent="0.15">
      <c r="A28" s="5" t="str">
        <f>'Automatic Bread Maker Grader #1'!A29</f>
        <v>State</v>
      </c>
      <c r="B28" s="5" t="str">
        <f>'Automatic Bread Maker Grader #1'!B29</f>
        <v>Countdown</v>
      </c>
      <c r="C28" s="5">
        <f>'Automatic Bread Maker Grader #1'!C29</f>
        <v>0</v>
      </c>
      <c r="D28" s="5" t="s">
        <v>108</v>
      </c>
      <c r="E28" s="31"/>
    </row>
    <row r="29" spans="1:24" ht="15.75" customHeight="1" x14ac:dyDescent="0.15">
      <c r="A29" s="5" t="str">
        <f>'Automatic Bread Maker Grader #1'!A30</f>
        <v>Action</v>
      </c>
      <c r="B29" s="5" t="str">
        <f>'Automatic Bread Maker Grader #1'!B30</f>
        <v>setCourseTimes()</v>
      </c>
      <c r="C29" s="5">
        <f>'Automatic Bread Maker Grader #1'!C30</f>
        <v>0</v>
      </c>
      <c r="D29" s="5" t="s">
        <v>108</v>
      </c>
      <c r="E29" s="31"/>
      <c r="F29" s="71" t="s">
        <v>94</v>
      </c>
      <c r="G29" s="72"/>
      <c r="H29" s="72"/>
      <c r="I29" s="72"/>
    </row>
    <row r="30" spans="1:24" ht="15.75" customHeight="1" x14ac:dyDescent="0.15">
      <c r="A30" s="5" t="str">
        <f>'Automatic Bread Maker Grader #1'!A31</f>
        <v>Transition</v>
      </c>
      <c r="B30" s="5" t="str">
        <f>'Automatic Bread Maker Grader #1'!B31</f>
        <v>Countdown =&gt; baking</v>
      </c>
      <c r="C30" s="5">
        <f>'Automatic Bread Maker Grader #1'!C31</f>
        <v>0</v>
      </c>
      <c r="D30" s="5" t="s">
        <v>108</v>
      </c>
      <c r="E30" s="31"/>
      <c r="F30" s="14" t="s">
        <v>25</v>
      </c>
      <c r="G30" s="56" t="s">
        <v>75</v>
      </c>
      <c r="H30" s="56" t="s">
        <v>76</v>
      </c>
      <c r="I30" s="56" t="s">
        <v>77</v>
      </c>
      <c r="J30" s="57" t="s">
        <v>78</v>
      </c>
      <c r="K30" s="14"/>
      <c r="L30" s="14" t="s">
        <v>74</v>
      </c>
      <c r="M30" s="56">
        <v>0</v>
      </c>
      <c r="N30" s="56" t="s">
        <v>76</v>
      </c>
      <c r="O30" s="56" t="s">
        <v>77</v>
      </c>
      <c r="P30" s="14"/>
      <c r="Q30" s="14" t="s">
        <v>74</v>
      </c>
      <c r="R30" s="56" t="s">
        <v>75</v>
      </c>
      <c r="S30" s="56" t="s">
        <v>76</v>
      </c>
      <c r="T30" s="56" t="s">
        <v>77</v>
      </c>
      <c r="V30" s="43" t="s">
        <v>79</v>
      </c>
      <c r="W30" s="43" t="s">
        <v>80</v>
      </c>
      <c r="X30" s="43" t="s">
        <v>81</v>
      </c>
    </row>
    <row r="31" spans="1:24" ht="15.75" customHeight="1" x14ac:dyDescent="0.15">
      <c r="A31" s="5" t="str">
        <f>'Automatic Bread Maker Grader #1'!A32</f>
        <v>Transition</v>
      </c>
      <c r="B31" s="5" t="str">
        <f>'Automatic Bread Maker Grader #1'!B32</f>
        <v>Countdown =&gt; setup</v>
      </c>
      <c r="C31" s="5">
        <f>'Automatic Bread Maker Grader #1'!C32</f>
        <v>0</v>
      </c>
      <c r="D31" s="5" t="s">
        <v>108</v>
      </c>
      <c r="E31" s="31"/>
      <c r="F31" s="44">
        <v>0</v>
      </c>
      <c r="G31" s="45">
        <f t="shared" ref="G31:H31" si="39">COUNTIFS($A$2:$A$91,$F$30,$C$2:$C$91,$F31,$D$2:$D$91,G$30)</f>
        <v>0</v>
      </c>
      <c r="H31" s="46">
        <f t="shared" si="39"/>
        <v>0</v>
      </c>
      <c r="I31" s="47" t="e">
        <f>COUNTIFS($A$2:$A$47,$F$30,$C$2:$C$47,$F31,$D$2:$D$47,I$30) + MAX(D50-C50,0)</f>
        <v>#VALUE!</v>
      </c>
      <c r="J31" s="14" t="e">
        <f t="shared" ref="J31:J33" si="40">SUM(G31:I31)</f>
        <v>#VALUE!</v>
      </c>
      <c r="K31" s="14"/>
      <c r="L31" s="44">
        <v>0</v>
      </c>
      <c r="M31" s="45">
        <f t="shared" ref="M31:O31" si="41">ABS(G$2-$F31)/1</f>
        <v>0</v>
      </c>
      <c r="N31" s="46">
        <f t="shared" si="41"/>
        <v>0.5</v>
      </c>
      <c r="O31" s="47">
        <f t="shared" si="41"/>
        <v>1</v>
      </c>
      <c r="P31" s="14"/>
      <c r="Q31" s="44">
        <v>0</v>
      </c>
      <c r="R31" s="45" t="e">
        <f t="shared" ref="R31:T31" si="42">($J31/$J$34) * (G$34/$J$34)</f>
        <v>#VALUE!</v>
      </c>
      <c r="S31" s="46" t="e">
        <f t="shared" si="42"/>
        <v>#VALUE!</v>
      </c>
      <c r="T31" s="47" t="e">
        <f t="shared" si="42"/>
        <v>#VALUE!</v>
      </c>
      <c r="U31" s="14"/>
      <c r="V31" s="48" t="s">
        <v>103</v>
      </c>
      <c r="W31" s="45" t="e">
        <f>SUMPRODUCT(G31:I33, M31:O33) /$J$34</f>
        <v>#VALUE!</v>
      </c>
      <c r="X31" s="47" t="s">
        <v>104</v>
      </c>
    </row>
    <row r="32" spans="1:24" ht="15.75" customHeight="1" x14ac:dyDescent="0.15">
      <c r="A32" s="5" t="str">
        <f>'Automatic Bread Maker Grader #1'!A33</f>
        <v>Action</v>
      </c>
      <c r="B32" s="5" t="str">
        <f>'Automatic Bread Maker Grader #1'!B33</f>
        <v>setCourseTimes()</v>
      </c>
      <c r="C32" s="5">
        <f>'Automatic Bread Maker Grader #1'!C33</f>
        <v>0</v>
      </c>
      <c r="D32" s="5" t="s">
        <v>108</v>
      </c>
      <c r="E32" s="31"/>
      <c r="F32" s="44">
        <v>0.5</v>
      </c>
      <c r="G32" s="49">
        <f t="shared" ref="G32:I32" si="43">COUNTIFS($A$2:$A$91,$F$30,$C$2:$C$91,$F32,$D$2:$D$91,G$30)</f>
        <v>0</v>
      </c>
      <c r="H32" s="14">
        <f t="shared" si="43"/>
        <v>0</v>
      </c>
      <c r="I32" s="50">
        <f t="shared" si="43"/>
        <v>0</v>
      </c>
      <c r="J32" s="14">
        <f t="shared" si="40"/>
        <v>0</v>
      </c>
      <c r="K32" s="14"/>
      <c r="L32" s="44">
        <v>0.5</v>
      </c>
      <c r="M32" s="49">
        <f t="shared" ref="M32:M33" si="44">ABS(G$2-$F32)/1</f>
        <v>0.5</v>
      </c>
      <c r="N32" s="14">
        <f>ABS(H$2-$F32)/3</f>
        <v>0</v>
      </c>
      <c r="O32" s="50">
        <f>ABS(I$2-$F32)/1</f>
        <v>0.5</v>
      </c>
      <c r="P32" s="14"/>
      <c r="Q32" s="44">
        <v>0.5</v>
      </c>
      <c r="R32" s="49" t="e">
        <f t="shared" ref="R32:T32" si="45">($J32/$J$34) * (G$34/$J$34)</f>
        <v>#VALUE!</v>
      </c>
      <c r="S32" s="14" t="e">
        <f t="shared" si="45"/>
        <v>#VALUE!</v>
      </c>
      <c r="T32" s="50" t="e">
        <f t="shared" si="45"/>
        <v>#VALUE!</v>
      </c>
      <c r="U32" s="14"/>
      <c r="V32" s="48" t="s">
        <v>105</v>
      </c>
      <c r="W32" s="49" t="e">
        <f>SUMPRODUCT(R31:T33, M31:O33)</f>
        <v>#VALUE!</v>
      </c>
      <c r="X32" s="50" t="s">
        <v>106</v>
      </c>
    </row>
    <row r="33" spans="1:24" ht="15.75" customHeight="1" x14ac:dyDescent="0.15">
      <c r="A33" s="5" t="str">
        <f>'Automatic Bread Maker Grader #1'!A34</f>
        <v>Composite State</v>
      </c>
      <c r="B33" s="5" t="str">
        <f>'Automatic Bread Maker Grader #1'!B34</f>
        <v>Baking</v>
      </c>
      <c r="C33" s="5">
        <f>'Automatic Bread Maker Grader #1'!C34</f>
        <v>0</v>
      </c>
      <c r="D33" s="5" t="s">
        <v>108</v>
      </c>
      <c r="E33" s="31"/>
      <c r="F33" s="44">
        <v>1</v>
      </c>
      <c r="G33" s="51" t="e">
        <f>COUNTIFS($A$2:$A$47,$F$30,$C$2:$C$47,$F33,$D$2:$D$47,G$30) + MAX(C50-D50,0)</f>
        <v>#VALUE!</v>
      </c>
      <c r="H33" s="52">
        <f>COUNTIFS($A$2:$A$91,$F$30,$C$2:$C$91,$F33,$D$2:$D$91,H$30)</f>
        <v>0</v>
      </c>
      <c r="I33" s="53">
        <f>COUNTIFS($A$2:$A$47,$F$30,$C$2:$C$47,$F33,$D$2:$D$47,I$30) + MIN(C50,D50)</f>
        <v>0</v>
      </c>
      <c r="J33" s="14" t="e">
        <f t="shared" si="40"/>
        <v>#VALUE!</v>
      </c>
      <c r="K33" s="14"/>
      <c r="L33" s="44">
        <v>1</v>
      </c>
      <c r="M33" s="51">
        <f t="shared" si="44"/>
        <v>1</v>
      </c>
      <c r="N33" s="52">
        <f t="shared" ref="N33:O33" si="46">ABS(H$2-$F33)/1</f>
        <v>0.5</v>
      </c>
      <c r="O33" s="53">
        <f t="shared" si="46"/>
        <v>0</v>
      </c>
      <c r="P33" s="14"/>
      <c r="Q33" s="44">
        <v>1</v>
      </c>
      <c r="R33" s="51" t="e">
        <f t="shared" ref="R33:T33" si="47">($J33/$J$34) * (G$34/$J$34)</f>
        <v>#VALUE!</v>
      </c>
      <c r="S33" s="52" t="e">
        <f t="shared" si="47"/>
        <v>#VALUE!</v>
      </c>
      <c r="T33" s="53" t="e">
        <f t="shared" si="47"/>
        <v>#VALUE!</v>
      </c>
      <c r="U33" s="14"/>
      <c r="V33" s="48" t="s">
        <v>73</v>
      </c>
      <c r="W33" s="51" t="e">
        <f>1-W31/W32</f>
        <v>#VALUE!</v>
      </c>
      <c r="X33" s="53" t="s">
        <v>107</v>
      </c>
    </row>
    <row r="34" spans="1:24" ht="15.75" customHeight="1" x14ac:dyDescent="0.15">
      <c r="A34" s="5" t="str">
        <f>'Automatic Bread Maker Grader #1'!A35</f>
        <v>State</v>
      </c>
      <c r="B34" s="5" t="str">
        <f>'Automatic Bread Maker Grader #1'!B35</f>
        <v>Initial state</v>
      </c>
      <c r="C34" s="5">
        <f>'Automatic Bread Maker Grader #1'!C35</f>
        <v>0</v>
      </c>
      <c r="D34" s="5" t="s">
        <v>108</v>
      </c>
      <c r="E34" s="31"/>
      <c r="F34" s="54" t="s">
        <v>87</v>
      </c>
      <c r="G34" s="14" t="e">
        <f t="shared" ref="G34:I34" si="48">SUM(G31:G33)</f>
        <v>#VALUE!</v>
      </c>
      <c r="H34" s="14">
        <f t="shared" si="48"/>
        <v>0</v>
      </c>
      <c r="I34" s="14" t="e">
        <f t="shared" si="48"/>
        <v>#VALUE!</v>
      </c>
      <c r="J34" s="14" t="e">
        <f>SUM(G31:I33)</f>
        <v>#VALUE!</v>
      </c>
    </row>
    <row r="35" spans="1:24" ht="15.75" customHeight="1" x14ac:dyDescent="0.15">
      <c r="A35" s="5" t="str">
        <f>'Automatic Bread Maker Grader #1'!A36</f>
        <v>State</v>
      </c>
      <c r="B35" s="5" t="str">
        <f>'Automatic Bread Maker Grader #1'!B36</f>
        <v>Kneading</v>
      </c>
      <c r="C35" s="5">
        <f>'Automatic Bread Maker Grader #1'!C36</f>
        <v>0</v>
      </c>
      <c r="D35" s="5" t="s">
        <v>108</v>
      </c>
      <c r="E35" s="31"/>
    </row>
    <row r="36" spans="1:24" ht="15.75" customHeight="1" x14ac:dyDescent="0.15">
      <c r="A36" s="5" t="str">
        <f>'Automatic Bread Maker Grader #1'!A37</f>
        <v>Action</v>
      </c>
      <c r="B36" s="5" t="str">
        <f>'Automatic Bread Maker Grader #1'!B37</f>
        <v>startKneading()</v>
      </c>
      <c r="C36" s="5">
        <f>'Automatic Bread Maker Grader #1'!C37</f>
        <v>0</v>
      </c>
      <c r="D36" s="5" t="s">
        <v>108</v>
      </c>
      <c r="E36" s="31"/>
      <c r="F36" s="71" t="s">
        <v>96</v>
      </c>
      <c r="G36" s="72"/>
      <c r="H36" s="72"/>
      <c r="I36" s="72"/>
    </row>
    <row r="37" spans="1:24" ht="15.75" customHeight="1" x14ac:dyDescent="0.15">
      <c r="A37" s="5" t="str">
        <f>'Automatic Bread Maker Grader #1'!A38</f>
        <v>Action</v>
      </c>
      <c r="B37" s="5" t="str">
        <f>'Automatic Bread Maker Grader #1'!B38</f>
        <v>stopKneading()</v>
      </c>
      <c r="C37" s="5">
        <f>'Automatic Bread Maker Grader #1'!C38</f>
        <v>0</v>
      </c>
      <c r="D37" s="5" t="s">
        <v>108</v>
      </c>
      <c r="E37" s="31"/>
      <c r="F37" s="14" t="s">
        <v>12</v>
      </c>
      <c r="G37" s="56" t="s">
        <v>75</v>
      </c>
      <c r="H37" s="56" t="s">
        <v>76</v>
      </c>
      <c r="I37" s="56" t="s">
        <v>77</v>
      </c>
      <c r="J37" s="57" t="s">
        <v>78</v>
      </c>
      <c r="K37" s="14"/>
      <c r="L37" s="14" t="s">
        <v>74</v>
      </c>
      <c r="M37" s="56" t="s">
        <v>75</v>
      </c>
      <c r="N37" s="56" t="s">
        <v>76</v>
      </c>
      <c r="O37" s="56" t="s">
        <v>77</v>
      </c>
      <c r="P37" s="14"/>
      <c r="Q37" s="30" t="s">
        <v>74</v>
      </c>
      <c r="R37" s="59" t="s">
        <v>75</v>
      </c>
      <c r="S37" s="59" t="s">
        <v>76</v>
      </c>
      <c r="T37" s="59" t="s">
        <v>77</v>
      </c>
      <c r="V37" s="43" t="s">
        <v>79</v>
      </c>
      <c r="W37" s="43" t="s">
        <v>80</v>
      </c>
      <c r="X37" s="43" t="s">
        <v>81</v>
      </c>
    </row>
    <row r="38" spans="1:24" ht="15.75" customHeight="1" x14ac:dyDescent="0.15">
      <c r="A38" s="5" t="str">
        <f>'Automatic Bread Maker Grader #1'!A39</f>
        <v>Transition</v>
      </c>
      <c r="B38" s="5" t="str">
        <f>'Automatic Bread Maker Grader #1'!B39</f>
        <v>baking initial state =&gt; kneading</v>
      </c>
      <c r="C38" s="5">
        <f>'Automatic Bread Maker Grader #1'!C39</f>
        <v>0</v>
      </c>
      <c r="D38" s="5" t="s">
        <v>108</v>
      </c>
      <c r="E38" s="31"/>
      <c r="F38" s="44">
        <v>0</v>
      </c>
      <c r="G38" s="45">
        <f t="shared" ref="G38:H38" si="49">COUNTIFS($A$2:$A$91,$F$37,$C$2:$C$91,$F38,$D$2:$D$91,G$37)</f>
        <v>0</v>
      </c>
      <c r="H38" s="46">
        <f t="shared" si="49"/>
        <v>0</v>
      </c>
      <c r="I38" s="47" t="e">
        <f>COUNTIFS($A$2:$A$47,$F$37,$C$2:$C$47,$F38,$D$2:$D$47,I$37)+MAX(D51-C51,0)</f>
        <v>#VALUE!</v>
      </c>
      <c r="J38" s="14" t="e">
        <f t="shared" ref="J38:J40" si="50">SUM(G38:I38)</f>
        <v>#VALUE!</v>
      </c>
      <c r="K38" s="14"/>
      <c r="L38" s="44">
        <v>0</v>
      </c>
      <c r="M38" s="45">
        <f t="shared" ref="M38:O38" si="51">ABS(G$2-$F38)/1</f>
        <v>0</v>
      </c>
      <c r="N38" s="46">
        <f t="shared" si="51"/>
        <v>0.5</v>
      </c>
      <c r="O38" s="47">
        <f t="shared" si="51"/>
        <v>1</v>
      </c>
      <c r="P38" s="14"/>
      <c r="Q38" s="60">
        <v>0</v>
      </c>
      <c r="R38" s="61" t="e">
        <f t="shared" ref="R38:R40" si="52">($J38/$J$41) * (G$41/$J$41)</f>
        <v>#VALUE!</v>
      </c>
      <c r="S38" s="62" t="e">
        <f>($J38/$J$41) * (H$4/$J$41)</f>
        <v>#VALUE!</v>
      </c>
      <c r="T38" s="63" t="e">
        <f>($J38/$J$41) * (I$41/$J$41)</f>
        <v>#VALUE!</v>
      </c>
      <c r="U38" s="14"/>
      <c r="V38" s="48" t="s">
        <v>103</v>
      </c>
      <c r="W38" s="45" t="e">
        <f>SUMPRODUCT(G38:I40, M38:O40) /$J$41</f>
        <v>#VALUE!</v>
      </c>
      <c r="X38" s="47" t="s">
        <v>104</v>
      </c>
    </row>
    <row r="39" spans="1:24" ht="15.75" customHeight="1" x14ac:dyDescent="0.15">
      <c r="A39" s="5" t="str">
        <f>'Automatic Bread Maker Grader #1'!A40</f>
        <v>Transition</v>
      </c>
      <c r="B39" s="5" t="str">
        <f>'Automatic Bread Maker Grader #1'!B40</f>
        <v>kneading =&gt; rising</v>
      </c>
      <c r="C39" s="5">
        <f>'Automatic Bread Maker Grader #1'!C40</f>
        <v>0</v>
      </c>
      <c r="D39" s="5" t="s">
        <v>108</v>
      </c>
      <c r="E39" s="31"/>
      <c r="F39" s="44">
        <v>0.5</v>
      </c>
      <c r="G39" s="49">
        <f t="shared" ref="G39:I39" si="53">COUNTIFS($A$2:$A$91,$F$37,$C$2:$C$91,$F39,$D$2:$D$91,G$37)</f>
        <v>0</v>
      </c>
      <c r="H39" s="14">
        <f t="shared" si="53"/>
        <v>0</v>
      </c>
      <c r="I39" s="50">
        <f t="shared" si="53"/>
        <v>0</v>
      </c>
      <c r="J39" s="14">
        <f t="shared" si="50"/>
        <v>0</v>
      </c>
      <c r="K39" s="14"/>
      <c r="L39" s="44">
        <v>0.5</v>
      </c>
      <c r="M39" s="49">
        <f t="shared" ref="M39:M40" si="54">ABS(G$2-$F39)/1</f>
        <v>0.5</v>
      </c>
      <c r="N39" s="14">
        <f>ABS(H$2-$F39)/3</f>
        <v>0</v>
      </c>
      <c r="O39" s="50">
        <f>ABS(I$2-$F39)/1</f>
        <v>0.5</v>
      </c>
      <c r="P39" s="14"/>
      <c r="Q39" s="60">
        <v>0.5</v>
      </c>
      <c r="R39" s="64" t="e">
        <f t="shared" si="52"/>
        <v>#VALUE!</v>
      </c>
      <c r="S39" s="30" t="e">
        <f t="shared" ref="S39:T39" si="55">($J39/$J$41) * (H$41/$J$41)</f>
        <v>#VALUE!</v>
      </c>
      <c r="T39" s="65" t="e">
        <f t="shared" si="55"/>
        <v>#VALUE!</v>
      </c>
      <c r="U39" s="14"/>
      <c r="V39" s="48" t="s">
        <v>105</v>
      </c>
      <c r="W39" s="49" t="e">
        <f>SUMPRODUCT(R38:T40, M38:O40)</f>
        <v>#VALUE!</v>
      </c>
      <c r="X39" s="50" t="s">
        <v>106</v>
      </c>
    </row>
    <row r="40" spans="1:24" ht="15.75" customHeight="1" x14ac:dyDescent="0.15">
      <c r="A40" s="5" t="str">
        <f>'Automatic Bread Maker Grader #1'!A41</f>
        <v>State</v>
      </c>
      <c r="B40" s="5" t="str">
        <f>'Automatic Bread Maker Grader #1'!B41</f>
        <v>Rising</v>
      </c>
      <c r="C40" s="5">
        <f>'Automatic Bread Maker Grader #1'!C41</f>
        <v>0</v>
      </c>
      <c r="D40" s="5" t="s">
        <v>108</v>
      </c>
      <c r="E40" s="31"/>
      <c r="F40" s="44">
        <v>1</v>
      </c>
      <c r="G40" s="51" t="e">
        <f>COUNTIFS($A$2:$A$47,$F$37,$C$2:$C$47,$F40,$D$2:$D$47,G$37)+MAX(C51-D51,0)</f>
        <v>#VALUE!</v>
      </c>
      <c r="H40" s="52">
        <f>COUNTIFS($A$2:$A$91,$F$37,$C$2:$C$91,$F40,$D$2:$D$91,H$37)</f>
        <v>0</v>
      </c>
      <c r="I40" s="53">
        <f>COUNTIFS($A$2:$A$47,$F$37,$C$2:$C$47,$F40,$D$2:$D$47,I$37) + MIN(C51,D51)</f>
        <v>0</v>
      </c>
      <c r="J40" s="14" t="e">
        <f t="shared" si="50"/>
        <v>#VALUE!</v>
      </c>
      <c r="K40" s="14"/>
      <c r="L40" s="44">
        <v>1</v>
      </c>
      <c r="M40" s="51">
        <f t="shared" si="54"/>
        <v>1</v>
      </c>
      <c r="N40" s="52">
        <f t="shared" ref="N40:O40" si="56">ABS(H$2-$F40)/1</f>
        <v>0.5</v>
      </c>
      <c r="O40" s="53">
        <f t="shared" si="56"/>
        <v>0</v>
      </c>
      <c r="P40" s="14"/>
      <c r="Q40" s="60">
        <v>1</v>
      </c>
      <c r="R40" s="66" t="e">
        <f t="shared" si="52"/>
        <v>#VALUE!</v>
      </c>
      <c r="S40" s="67" t="e">
        <f t="shared" ref="S40:T40" si="57">($J40/$J$41) * (H$41/$J$41)</f>
        <v>#VALUE!</v>
      </c>
      <c r="T40" s="68" t="e">
        <f t="shared" si="57"/>
        <v>#VALUE!</v>
      </c>
      <c r="U40" s="14"/>
      <c r="V40" s="48" t="s">
        <v>73</v>
      </c>
      <c r="W40" s="51" t="e">
        <f>1-W38/W39</f>
        <v>#VALUE!</v>
      </c>
      <c r="X40" s="53" t="s">
        <v>107</v>
      </c>
    </row>
    <row r="41" spans="1:24" ht="15.75" customHeight="1" x14ac:dyDescent="0.15">
      <c r="A41" s="5" t="str">
        <f>'Automatic Bread Maker Grader #1'!A42</f>
        <v>Transition</v>
      </c>
      <c r="B41" s="5" t="str">
        <f>'Automatic Bread Maker Grader #1'!B42</f>
        <v>rising =&gt; baking</v>
      </c>
      <c r="C41" s="5">
        <f>'Automatic Bread Maker Grader #1'!C42</f>
        <v>0</v>
      </c>
      <c r="D41" s="5" t="s">
        <v>108</v>
      </c>
      <c r="E41" s="31"/>
      <c r="F41" s="54" t="s">
        <v>87</v>
      </c>
      <c r="G41" s="14" t="e">
        <f t="shared" ref="G41:I41" si="58">SUM(G38:G40)</f>
        <v>#VALUE!</v>
      </c>
      <c r="H41" s="14">
        <f t="shared" si="58"/>
        <v>0</v>
      </c>
      <c r="I41" s="14" t="e">
        <f t="shared" si="58"/>
        <v>#VALUE!</v>
      </c>
      <c r="J41" s="14" t="e">
        <f>SUM(G38:I40)</f>
        <v>#VALUE!</v>
      </c>
    </row>
    <row r="42" spans="1:24" ht="15.75" customHeight="1" x14ac:dyDescent="0.15">
      <c r="A42" s="5" t="str">
        <f>'Automatic Bread Maker Grader #1'!A43</f>
        <v>State</v>
      </c>
      <c r="B42" s="5" t="str">
        <f>'Automatic Bread Maker Grader #1'!B43</f>
        <v>Baking</v>
      </c>
      <c r="C42" s="5">
        <f>'Automatic Bread Maker Grader #1'!C43</f>
        <v>0</v>
      </c>
      <c r="D42" s="5" t="s">
        <v>108</v>
      </c>
      <c r="E42" s="31"/>
    </row>
    <row r="43" spans="1:24" ht="15.75" customHeight="1" x14ac:dyDescent="0.15">
      <c r="A43" s="5" t="str">
        <f>'Automatic Bread Maker Grader #1'!A44</f>
        <v>Action</v>
      </c>
      <c r="B43" s="5" t="str">
        <f>'Automatic Bread Maker Grader #1'!B44</f>
        <v>heat()</v>
      </c>
      <c r="C43" s="5">
        <f>'Automatic Bread Maker Grader #1'!C44</f>
        <v>0</v>
      </c>
      <c r="D43" s="5" t="s">
        <v>108</v>
      </c>
      <c r="E43" s="31"/>
      <c r="F43" s="71" t="s">
        <v>98</v>
      </c>
      <c r="G43" s="72"/>
      <c r="H43" s="72"/>
      <c r="I43" s="72"/>
    </row>
    <row r="44" spans="1:24" ht="15.75" customHeight="1" x14ac:dyDescent="0.15">
      <c r="A44" s="5" t="str">
        <f>'Automatic Bread Maker Grader #1'!A45</f>
        <v>Transition</v>
      </c>
      <c r="B44" s="5" t="str">
        <f>'Automatic Bread Maker Grader #1'!B45</f>
        <v>baking =&gt; warming</v>
      </c>
      <c r="C44" s="5">
        <f>'Automatic Bread Maker Grader #1'!C45</f>
        <v>0</v>
      </c>
      <c r="D44" s="5" t="s">
        <v>108</v>
      </c>
      <c r="E44" s="31"/>
      <c r="F44" s="14" t="s">
        <v>20</v>
      </c>
      <c r="G44" s="56" t="s">
        <v>75</v>
      </c>
      <c r="H44" s="56" t="s">
        <v>76</v>
      </c>
      <c r="I44" s="56" t="s">
        <v>77</v>
      </c>
      <c r="J44" s="57" t="s">
        <v>78</v>
      </c>
      <c r="K44" s="14"/>
      <c r="L44" s="14" t="s">
        <v>74</v>
      </c>
      <c r="M44" s="56" t="s">
        <v>75</v>
      </c>
      <c r="N44" s="56" t="s">
        <v>76</v>
      </c>
      <c r="O44" s="56" t="s">
        <v>77</v>
      </c>
      <c r="P44" s="14"/>
      <c r="Q44" s="14" t="s">
        <v>74</v>
      </c>
      <c r="R44" s="56" t="s">
        <v>75</v>
      </c>
      <c r="S44" s="56" t="s">
        <v>76</v>
      </c>
      <c r="T44" s="56" t="s">
        <v>77</v>
      </c>
      <c r="V44" s="43" t="s">
        <v>79</v>
      </c>
      <c r="W44" s="43" t="s">
        <v>80</v>
      </c>
      <c r="X44" s="43" t="s">
        <v>81</v>
      </c>
    </row>
    <row r="45" spans="1:24" ht="15.75" customHeight="1" x14ac:dyDescent="0.15">
      <c r="A45" s="5" t="str">
        <f>'Automatic Bread Maker Grader #1'!A46</f>
        <v>State</v>
      </c>
      <c r="B45" s="5" t="str">
        <f>'Automatic Bread Maker Grader #1'!B46</f>
        <v>Warming</v>
      </c>
      <c r="C45" s="5">
        <f>'Automatic Bread Maker Grader #1'!C46</f>
        <v>0</v>
      </c>
      <c r="D45" s="5" t="s">
        <v>108</v>
      </c>
      <c r="E45" s="31"/>
      <c r="F45" s="44">
        <v>0</v>
      </c>
      <c r="G45" s="45">
        <f t="shared" ref="G45:H45" si="59">COUNTIFS($A$2:$A$91,$F$44,$C$2:$C$91,$F45,$D$2:$D$91,G$44)</f>
        <v>0</v>
      </c>
      <c r="H45" s="46">
        <f t="shared" si="59"/>
        <v>0</v>
      </c>
      <c r="I45" s="47" t="e">
        <f>COUNTIFS($A$2:$A$47,$F$44,$C$2:$C$47,$F45,$D$2:$D$47,I$44) + MAX(D54-C54,0)</f>
        <v>#VALUE!</v>
      </c>
      <c r="J45" s="14" t="e">
        <f t="shared" ref="J45:J47" si="60">SUM(G45:I45)</f>
        <v>#VALUE!</v>
      </c>
      <c r="K45" s="14"/>
      <c r="L45" s="44">
        <v>0</v>
      </c>
      <c r="M45" s="45">
        <f t="shared" ref="M45:O45" si="61">ABS(G$2-$F45)/1</f>
        <v>0</v>
      </c>
      <c r="N45" s="46">
        <f t="shared" si="61"/>
        <v>0.5</v>
      </c>
      <c r="O45" s="47">
        <f t="shared" si="61"/>
        <v>1</v>
      </c>
      <c r="P45" s="14"/>
      <c r="Q45" s="44">
        <v>0</v>
      </c>
      <c r="R45" s="45" t="e">
        <f t="shared" ref="R45:T45" si="62">($J45/$J$48) * (G$48/$J$48)</f>
        <v>#VALUE!</v>
      </c>
      <c r="S45" s="46" t="e">
        <f t="shared" si="62"/>
        <v>#VALUE!</v>
      </c>
      <c r="T45" s="47" t="e">
        <f t="shared" si="62"/>
        <v>#VALUE!</v>
      </c>
      <c r="U45" s="14"/>
      <c r="V45" s="48" t="s">
        <v>103</v>
      </c>
      <c r="W45" s="45" t="e">
        <f>SUMPRODUCT(G45:I47, M45:O47) /$J$48</f>
        <v>#VALUE!</v>
      </c>
      <c r="X45" s="47" t="s">
        <v>104</v>
      </c>
    </row>
    <row r="46" spans="1:24" ht="15.75" customHeight="1" x14ac:dyDescent="0.15">
      <c r="A46" s="5" t="str">
        <f>'Automatic Bread Maker Grader #1'!A47</f>
        <v>Action</v>
      </c>
      <c r="B46" s="5" t="str">
        <f>'Automatic Bread Maker Grader #1'!B47</f>
        <v>warm()</v>
      </c>
      <c r="C46" s="5">
        <f>'Automatic Bread Maker Grader #1'!C47</f>
        <v>0</v>
      </c>
      <c r="D46" s="5" t="s">
        <v>108</v>
      </c>
      <c r="E46" s="31"/>
      <c r="F46" s="44">
        <v>0.5</v>
      </c>
      <c r="G46" s="49">
        <f t="shared" ref="G46:I46" si="63">COUNTIFS($A$2:$A$91,$F$44,$C$2:$C$91,$F46,$D$2:$D$91,G$44)</f>
        <v>0</v>
      </c>
      <c r="H46" s="14">
        <f t="shared" si="63"/>
        <v>0</v>
      </c>
      <c r="I46" s="50">
        <f t="shared" si="63"/>
        <v>0</v>
      </c>
      <c r="J46" s="14">
        <f t="shared" si="60"/>
        <v>0</v>
      </c>
      <c r="K46" s="14"/>
      <c r="L46" s="44">
        <v>0.5</v>
      </c>
      <c r="M46" s="49">
        <f t="shared" ref="M46:M47" si="64">ABS(G$2-$F46)/1</f>
        <v>0.5</v>
      </c>
      <c r="N46" s="14">
        <f>ABS(H$2-$F46)/3</f>
        <v>0</v>
      </c>
      <c r="O46" s="50">
        <f>ABS(I$2-$F46)/1</f>
        <v>0.5</v>
      </c>
      <c r="P46" s="14"/>
      <c r="Q46" s="44">
        <v>0.5</v>
      </c>
      <c r="R46" s="49" t="e">
        <f t="shared" ref="R46:T46" si="65">($J46/$J$48) * (G$48/$J$48)</f>
        <v>#VALUE!</v>
      </c>
      <c r="S46" s="14" t="e">
        <f t="shared" si="65"/>
        <v>#VALUE!</v>
      </c>
      <c r="T46" s="50" t="e">
        <f t="shared" si="65"/>
        <v>#VALUE!</v>
      </c>
      <c r="U46" s="14"/>
      <c r="V46" s="48" t="s">
        <v>105</v>
      </c>
      <c r="W46" s="49" t="e">
        <f>SUMPRODUCT(R45:T47, M45:O47)</f>
        <v>#VALUE!</v>
      </c>
      <c r="X46" s="50" t="s">
        <v>106</v>
      </c>
    </row>
    <row r="47" spans="1:24" ht="15.75" customHeight="1" x14ac:dyDescent="0.15">
      <c r="A47" s="24" t="str">
        <f>'Automatic Bread Maker Grader #1'!A48</f>
        <v>Transition</v>
      </c>
      <c r="B47" s="24" t="str">
        <f>'Automatic Bread Maker Grader #1'!B48</f>
        <v>adter 60min (warming =&gt; setup)</v>
      </c>
      <c r="C47" s="24">
        <f>'Automatic Bread Maker Grader #1'!C48</f>
        <v>0</v>
      </c>
      <c r="D47" s="24" t="s">
        <v>108</v>
      </c>
      <c r="E47" s="31"/>
      <c r="F47" s="44">
        <v>1</v>
      </c>
      <c r="G47" s="51" t="e">
        <f>COUNTIFS($A$2:$A$47,$F$44,$C$2:$C$47,$F47,$D$2:$D$47,G$44) + MAX(C54-D54,0)</f>
        <v>#VALUE!</v>
      </c>
      <c r="H47" s="52">
        <f>COUNTIFS($A$2:$A$91,$F$44,$C$2:$C$91,$F47,$D$2:$D$91,H$44)</f>
        <v>0</v>
      </c>
      <c r="I47" s="53">
        <f>COUNTIFS($A$2:$A$47,$F$44,$C$2:$C$47,$F47,$D$2:$D$47,I$44) + MIN(C54,D54)</f>
        <v>0</v>
      </c>
      <c r="J47" s="14" t="e">
        <f t="shared" si="60"/>
        <v>#VALUE!</v>
      </c>
      <c r="K47" s="14"/>
      <c r="L47" s="44">
        <v>1</v>
      </c>
      <c r="M47" s="51">
        <f t="shared" si="64"/>
        <v>1</v>
      </c>
      <c r="N47" s="52">
        <f t="shared" ref="N47:O47" si="66">ABS(H$2-$F47)/1</f>
        <v>0.5</v>
      </c>
      <c r="O47" s="53">
        <f t="shared" si="66"/>
        <v>0</v>
      </c>
      <c r="P47" s="14"/>
      <c r="Q47" s="44">
        <v>1</v>
      </c>
      <c r="R47" s="51" t="e">
        <f t="shared" ref="R47:T47" si="67">($J47/$J$48) * (G$48/$J$48)</f>
        <v>#VALUE!</v>
      </c>
      <c r="S47" s="52" t="e">
        <f t="shared" si="67"/>
        <v>#VALUE!</v>
      </c>
      <c r="T47" s="53" t="e">
        <f t="shared" si="67"/>
        <v>#VALUE!</v>
      </c>
      <c r="U47" s="14"/>
      <c r="V47" s="48" t="s">
        <v>73</v>
      </c>
      <c r="W47" s="51" t="e">
        <f>1-W45/W46</f>
        <v>#VALUE!</v>
      </c>
      <c r="X47" s="53" t="s">
        <v>107</v>
      </c>
    </row>
    <row r="48" spans="1:24" ht="15.75" customHeight="1" x14ac:dyDescent="0.15">
      <c r="A48" s="5" t="str">
        <f>'Automatic Bread Maker Grader #1'!A50</f>
        <v>State</v>
      </c>
      <c r="B48" s="5" t="str">
        <f>'Automatic Bread Maker Grader #1'!B50</f>
        <v>additional elements</v>
      </c>
      <c r="C48" s="21">
        <f>'Automatic Bread Maker Grader #1'!C50</f>
        <v>0</v>
      </c>
      <c r="D48" s="5" t="s">
        <v>108</v>
      </c>
      <c r="E48" s="31"/>
      <c r="F48" s="54" t="s">
        <v>87</v>
      </c>
      <c r="G48" s="14" t="e">
        <f t="shared" ref="G48:I48" si="68">SUM(G45:G47)</f>
        <v>#VALUE!</v>
      </c>
      <c r="H48" s="14">
        <f t="shared" si="68"/>
        <v>0</v>
      </c>
      <c r="I48" s="14" t="e">
        <f t="shared" si="68"/>
        <v>#VALUE!</v>
      </c>
      <c r="J48" s="14" t="e">
        <f>SUM(G45:I47)</f>
        <v>#VALUE!</v>
      </c>
    </row>
    <row r="49" spans="1:24" ht="15.75" customHeight="1" x14ac:dyDescent="0.15">
      <c r="A49" s="5" t="str">
        <f>'Automatic Bread Maker Grader #1'!A51</f>
        <v>Transition</v>
      </c>
      <c r="B49" s="5" t="str">
        <f>'Automatic Bread Maker Grader #1'!B51</f>
        <v>additional elements</v>
      </c>
      <c r="C49" s="5">
        <f>'Automatic Bread Maker Grader #1'!C51</f>
        <v>0</v>
      </c>
      <c r="D49" s="5" t="s">
        <v>108</v>
      </c>
      <c r="E49" s="31"/>
    </row>
    <row r="50" spans="1:24" ht="15.75" customHeight="1" x14ac:dyDescent="0.15">
      <c r="A50" s="5" t="str">
        <f>'Automatic Bread Maker Grader #1'!A52</f>
        <v>Guard</v>
      </c>
      <c r="B50" s="5" t="str">
        <f>'Automatic Bread Maker Grader #1'!B52</f>
        <v>additional elements</v>
      </c>
      <c r="C50" s="5">
        <f>'Automatic Bread Maker Grader #1'!C52</f>
        <v>0</v>
      </c>
      <c r="D50" s="5" t="s">
        <v>108</v>
      </c>
      <c r="E50" s="31"/>
      <c r="F50" s="71" t="s">
        <v>100</v>
      </c>
      <c r="G50" s="72"/>
      <c r="H50" s="72"/>
      <c r="I50" s="72"/>
    </row>
    <row r="51" spans="1:24" ht="15.75" customHeight="1" x14ac:dyDescent="0.15">
      <c r="A51" s="5" t="str">
        <f>'Automatic Bread Maker Grader #1'!A53</f>
        <v>Action</v>
      </c>
      <c r="B51" s="5" t="str">
        <f>'Automatic Bread Maker Grader #1'!B53</f>
        <v>additional elements</v>
      </c>
      <c r="C51" s="5">
        <f>'Automatic Bread Maker Grader #1'!C53</f>
        <v>0</v>
      </c>
      <c r="D51" s="5" t="s">
        <v>108</v>
      </c>
      <c r="E51" s="31"/>
      <c r="F51" s="14" t="s">
        <v>55</v>
      </c>
      <c r="G51" s="56" t="s">
        <v>75</v>
      </c>
      <c r="H51" s="56" t="s">
        <v>76</v>
      </c>
      <c r="I51" s="56" t="s">
        <v>77</v>
      </c>
      <c r="J51" s="57" t="s">
        <v>78</v>
      </c>
      <c r="K51" s="14"/>
      <c r="L51" s="14" t="s">
        <v>74</v>
      </c>
      <c r="M51" s="56" t="s">
        <v>75</v>
      </c>
      <c r="N51" s="56" t="s">
        <v>76</v>
      </c>
      <c r="O51" s="56" t="s">
        <v>77</v>
      </c>
      <c r="P51" s="14"/>
      <c r="Q51" s="14" t="s">
        <v>74</v>
      </c>
      <c r="R51" s="56" t="s">
        <v>75</v>
      </c>
      <c r="S51" s="56" t="s">
        <v>76</v>
      </c>
      <c r="T51" s="56" t="s">
        <v>77</v>
      </c>
      <c r="V51" s="43" t="s">
        <v>79</v>
      </c>
      <c r="W51" s="43" t="s">
        <v>80</v>
      </c>
      <c r="X51" s="43" t="s">
        <v>81</v>
      </c>
    </row>
    <row r="52" spans="1:24" ht="15.75" customHeight="1" x14ac:dyDescent="0.15">
      <c r="A52" s="5" t="str">
        <f>'Automatic Bread Maker Grader #1'!A54</f>
        <v>Composite State</v>
      </c>
      <c r="B52" s="5" t="str">
        <f>'Automatic Bread Maker Grader #1'!B54</f>
        <v>additional elements</v>
      </c>
      <c r="C52" s="5">
        <f>'Automatic Bread Maker Grader #1'!C54</f>
        <v>0</v>
      </c>
      <c r="D52" s="5" t="s">
        <v>108</v>
      </c>
      <c r="E52" s="31"/>
      <c r="F52" s="44">
        <v>0</v>
      </c>
      <c r="G52" s="45">
        <f t="shared" ref="G52:H52" si="69">COUNTIFS($A$2:$A$91,$F$51,$C$2:$C$91,$F52,$D$2:$D$91,G$51)</f>
        <v>0</v>
      </c>
      <c r="H52" s="46">
        <f t="shared" si="69"/>
        <v>0</v>
      </c>
      <c r="I52" s="47" t="e">
        <f>COUNTIFS($A$2:$A$47,$F$51,$C$2:$C$47,$F52,$D$2:$D$47,I$51)+MAX(D53-C53,0)</f>
        <v>#VALUE!</v>
      </c>
      <c r="J52" s="14" t="e">
        <f t="shared" ref="J52:J54" si="70">SUM(G52:I52)</f>
        <v>#VALUE!</v>
      </c>
      <c r="K52" s="14"/>
      <c r="L52" s="44">
        <v>0</v>
      </c>
      <c r="M52" s="45">
        <f t="shared" ref="M52:O52" si="71">ABS(G$2-$F52)/1</f>
        <v>0</v>
      </c>
      <c r="N52" s="46">
        <f t="shared" si="71"/>
        <v>0.5</v>
      </c>
      <c r="O52" s="47">
        <f t="shared" si="71"/>
        <v>1</v>
      </c>
      <c r="P52" s="14"/>
      <c r="Q52" s="44">
        <v>0</v>
      </c>
      <c r="R52" s="45" t="e">
        <f t="shared" ref="R52:T52" si="72">($J52/$J$55) * (G$55/$J$55)</f>
        <v>#VALUE!</v>
      </c>
      <c r="S52" s="46" t="e">
        <f t="shared" si="72"/>
        <v>#VALUE!</v>
      </c>
      <c r="T52" s="47" t="e">
        <f t="shared" si="72"/>
        <v>#VALUE!</v>
      </c>
      <c r="U52" s="14"/>
      <c r="V52" s="48" t="s">
        <v>103</v>
      </c>
      <c r="W52" s="45" t="e">
        <f>SUMPRODUCT(G52:I54, M52:O54) /$J$55</f>
        <v>#VALUE!</v>
      </c>
      <c r="X52" s="47" t="s">
        <v>104</v>
      </c>
    </row>
    <row r="53" spans="1:24" ht="15.75" customHeight="1" x14ac:dyDescent="0.15">
      <c r="A53" s="5" t="str">
        <f>'Automatic Bread Maker Grader #1'!A55</f>
        <v>Region</v>
      </c>
      <c r="B53" s="5" t="str">
        <f>'Automatic Bread Maker Grader #1'!B55</f>
        <v>additional elements</v>
      </c>
      <c r="C53" s="5">
        <f>'Automatic Bread Maker Grader #1'!C55</f>
        <v>0</v>
      </c>
      <c r="D53" s="5" t="s">
        <v>108</v>
      </c>
      <c r="E53" s="31"/>
      <c r="F53" s="44">
        <v>0.5</v>
      </c>
      <c r="G53" s="49">
        <f t="shared" ref="G53:I53" si="73">COUNTIFS($A$2:$A$91,$F$51,$C$2:$C$91,$F53,$D$2:$D$91,G$51)</f>
        <v>0</v>
      </c>
      <c r="H53" s="14">
        <f t="shared" si="73"/>
        <v>0</v>
      </c>
      <c r="I53" s="50">
        <f t="shared" si="73"/>
        <v>0</v>
      </c>
      <c r="J53" s="14">
        <f t="shared" si="70"/>
        <v>0</v>
      </c>
      <c r="K53" s="14"/>
      <c r="L53" s="44">
        <v>0.5</v>
      </c>
      <c r="M53" s="49">
        <f t="shared" ref="M53:M54" si="74">ABS(G$2-$F53)/1</f>
        <v>0.5</v>
      </c>
      <c r="N53" s="14">
        <f>ABS(H$2-$F53)/3</f>
        <v>0</v>
      </c>
      <c r="O53" s="50">
        <f>ABS(I$2-$F53)/1</f>
        <v>0.5</v>
      </c>
      <c r="P53" s="14"/>
      <c r="Q53" s="44">
        <v>0.5</v>
      </c>
      <c r="R53" s="49" t="e">
        <f t="shared" ref="R53:T53" si="75">($J53/$J$55) * (G$55/$J$55)</f>
        <v>#VALUE!</v>
      </c>
      <c r="S53" s="14" t="e">
        <f t="shared" si="75"/>
        <v>#VALUE!</v>
      </c>
      <c r="T53" s="50" t="e">
        <f t="shared" si="75"/>
        <v>#VALUE!</v>
      </c>
      <c r="U53" s="14"/>
      <c r="V53" s="48" t="s">
        <v>105</v>
      </c>
      <c r="W53" s="49" t="e">
        <f>SUMPRODUCT(R52:T54, M52:O54)</f>
        <v>#VALUE!</v>
      </c>
      <c r="X53" s="50" t="s">
        <v>106</v>
      </c>
    </row>
    <row r="54" spans="1:24" ht="15.75" customHeight="1" x14ac:dyDescent="0.15">
      <c r="A54" s="5" t="str">
        <f>'Automatic Bread Maker Grader #1'!A56</f>
        <v>History State</v>
      </c>
      <c r="B54" s="5" t="str">
        <f>'Automatic Bread Maker Grader #1'!B56</f>
        <v>additional elements</v>
      </c>
      <c r="C54" s="5">
        <f>'Automatic Bread Maker Grader #1'!C56</f>
        <v>0</v>
      </c>
      <c r="D54" s="5" t="s">
        <v>108</v>
      </c>
      <c r="E54" s="31"/>
      <c r="F54" s="44">
        <v>1</v>
      </c>
      <c r="G54" s="51" t="e">
        <f>COUNTIFS($A$2:$A$47,$F$51,$C$2:$C$47,$F54,$D$2:$D$47,G$51) + MAX(C53-D53,0)</f>
        <v>#VALUE!</v>
      </c>
      <c r="H54" s="52">
        <f>COUNTIFS($A$2:$A$91,$F$51,$C$2:$C$91,$F54,$D$2:$D$91,H$51)</f>
        <v>0</v>
      </c>
      <c r="I54" s="53">
        <f>COUNTIFS($A$2:$A$47,$F$51,$C$2:$C$47,$F54,$D$2:$D$47,I$51)+MIN(C53,D53)</f>
        <v>0</v>
      </c>
      <c r="J54" s="14" t="e">
        <f t="shared" si="70"/>
        <v>#VALUE!</v>
      </c>
      <c r="K54" s="14"/>
      <c r="L54" s="44">
        <v>1</v>
      </c>
      <c r="M54" s="51">
        <f t="shared" si="74"/>
        <v>1</v>
      </c>
      <c r="N54" s="52">
        <f t="shared" ref="N54:O54" si="76">ABS(H$2-$F54)/1</f>
        <v>0.5</v>
      </c>
      <c r="O54" s="53">
        <f t="shared" si="76"/>
        <v>0</v>
      </c>
      <c r="P54" s="14"/>
      <c r="Q54" s="44">
        <v>1</v>
      </c>
      <c r="R54" s="51" t="e">
        <f t="shared" ref="R54:T54" si="77">($J54/$J$55) * (G$55/$J$55)</f>
        <v>#VALUE!</v>
      </c>
      <c r="S54" s="52" t="e">
        <f t="shared" si="77"/>
        <v>#VALUE!</v>
      </c>
      <c r="T54" s="53" t="e">
        <f t="shared" si="77"/>
        <v>#VALUE!</v>
      </c>
      <c r="U54" s="14"/>
      <c r="V54" s="48" t="s">
        <v>73</v>
      </c>
      <c r="W54" s="51" t="e">
        <f>1-W52/W53</f>
        <v>#VALUE!</v>
      </c>
      <c r="X54" s="53" t="s">
        <v>107</v>
      </c>
    </row>
    <row r="55" spans="1:24" ht="15.75" customHeight="1" x14ac:dyDescent="0.15">
      <c r="A55" s="38"/>
      <c r="B55" s="58"/>
      <c r="C55" s="31"/>
      <c r="D55" s="31"/>
      <c r="E55" s="31"/>
      <c r="F55" s="54" t="s">
        <v>87</v>
      </c>
      <c r="G55" s="14" t="e">
        <f t="shared" ref="G55:I55" si="78">SUM(G52:G54)</f>
        <v>#VALUE!</v>
      </c>
      <c r="H55" s="14">
        <f t="shared" si="78"/>
        <v>0</v>
      </c>
      <c r="I55" s="14" t="e">
        <f t="shared" si="78"/>
        <v>#VALUE!</v>
      </c>
      <c r="J55" s="14" t="e">
        <f>SUM(G52:I54)</f>
        <v>#VALUE!</v>
      </c>
      <c r="L55" s="14"/>
      <c r="M55" s="55"/>
    </row>
    <row r="56" spans="1:24" ht="15.75" customHeight="1" x14ac:dyDescent="0.15">
      <c r="A56" s="38"/>
      <c r="B56" s="58"/>
      <c r="C56" s="31"/>
      <c r="D56" s="31"/>
      <c r="E56" s="31"/>
    </row>
    <row r="57" spans="1:24" ht="15.75" customHeight="1" x14ac:dyDescent="0.15">
      <c r="A57" s="38"/>
      <c r="B57" s="58"/>
      <c r="C57" s="31"/>
      <c r="D57" s="31"/>
      <c r="E57" s="31"/>
    </row>
    <row r="58" spans="1:24" ht="15.75" customHeight="1" x14ac:dyDescent="0.15">
      <c r="A58" s="38"/>
      <c r="B58" s="58"/>
      <c r="C58" s="31"/>
      <c r="D58" s="31"/>
      <c r="E58" s="31"/>
    </row>
    <row r="59" spans="1:24" ht="15.75" customHeight="1" x14ac:dyDescent="0.15">
      <c r="A59" s="38"/>
      <c r="B59" s="58"/>
      <c r="C59" s="31"/>
      <c r="D59" s="31"/>
      <c r="E59" s="31"/>
    </row>
    <row r="60" spans="1:24" ht="15.75" customHeight="1" x14ac:dyDescent="0.15">
      <c r="A60" s="38"/>
      <c r="B60" s="58"/>
      <c r="C60" s="31"/>
      <c r="D60" s="31"/>
      <c r="E60" s="31"/>
    </row>
    <row r="61" spans="1:24" ht="15.75" customHeight="1" x14ac:dyDescent="0.15">
      <c r="A61" s="38"/>
      <c r="B61" s="58"/>
      <c r="C61" s="31"/>
      <c r="D61" s="31"/>
      <c r="E61" s="31"/>
    </row>
    <row r="62" spans="1:24" ht="15.75" customHeight="1" x14ac:dyDescent="0.15">
      <c r="A62" s="38"/>
      <c r="B62" s="58"/>
      <c r="C62" s="31"/>
      <c r="D62" s="31"/>
      <c r="E62" s="31"/>
    </row>
    <row r="63" spans="1:24" ht="15.75" customHeight="1" x14ac:dyDescent="0.15">
      <c r="A63" s="38"/>
      <c r="B63" s="58"/>
      <c r="C63" s="31"/>
      <c r="D63" s="31"/>
      <c r="E63" s="31"/>
    </row>
    <row r="64" spans="1:24" ht="15.75" customHeight="1" x14ac:dyDescent="0.15">
      <c r="A64" s="38"/>
      <c r="B64" s="58"/>
      <c r="C64" s="31"/>
      <c r="D64" s="31"/>
      <c r="E64" s="31"/>
    </row>
    <row r="65" spans="1:5" ht="15.75" customHeight="1" x14ac:dyDescent="0.15">
      <c r="A65" s="38"/>
      <c r="B65" s="58"/>
      <c r="C65" s="31"/>
      <c r="D65" s="31"/>
      <c r="E65" s="31"/>
    </row>
    <row r="66" spans="1:5" ht="15.75" customHeight="1" x14ac:dyDescent="0.15">
      <c r="A66" s="38"/>
      <c r="B66" s="58"/>
      <c r="C66" s="31"/>
      <c r="D66" s="31"/>
      <c r="E66" s="31"/>
    </row>
    <row r="67" spans="1:5" ht="15.75" customHeight="1" x14ac:dyDescent="0.15">
      <c r="A67" s="38"/>
      <c r="B67" s="58"/>
      <c r="C67" s="31"/>
      <c r="D67" s="31"/>
      <c r="E67" s="31"/>
    </row>
    <row r="68" spans="1:5" ht="15.75" customHeight="1" x14ac:dyDescent="0.15">
      <c r="A68" s="38"/>
      <c r="B68" s="58"/>
      <c r="C68" s="31"/>
      <c r="D68" s="31"/>
      <c r="E68" s="31"/>
    </row>
    <row r="69" spans="1:5" ht="15.75" customHeight="1" x14ac:dyDescent="0.15">
      <c r="A69" s="38"/>
      <c r="B69" s="58"/>
      <c r="C69" s="31"/>
      <c r="D69" s="31"/>
      <c r="E69" s="31"/>
    </row>
    <row r="70" spans="1:5" ht="15.75" customHeight="1" x14ac:dyDescent="0.15">
      <c r="A70" s="38"/>
      <c r="B70" s="58"/>
      <c r="C70" s="31"/>
      <c r="D70" s="31"/>
      <c r="E70" s="31"/>
    </row>
    <row r="71" spans="1:5" ht="15.75" customHeight="1" x14ac:dyDescent="0.15">
      <c r="A71" s="38"/>
      <c r="B71" s="58"/>
      <c r="C71" s="31"/>
      <c r="D71" s="31"/>
      <c r="E71" s="31"/>
    </row>
    <row r="72" spans="1:5" ht="15.75" customHeight="1" x14ac:dyDescent="0.15">
      <c r="A72" s="38"/>
      <c r="B72" s="58"/>
      <c r="C72" s="31"/>
      <c r="D72" s="31"/>
    </row>
    <row r="73" spans="1:5" ht="15.75" customHeight="1" x14ac:dyDescent="0.15">
      <c r="A73" s="38"/>
      <c r="B73" s="58"/>
      <c r="C73" s="31"/>
      <c r="D73" s="31"/>
    </row>
    <row r="74" spans="1:5" ht="15.75" customHeight="1" x14ac:dyDescent="0.15">
      <c r="A74" s="38"/>
      <c r="B74" s="58"/>
      <c r="C74" s="31"/>
      <c r="D74" s="31"/>
    </row>
    <row r="75" spans="1:5" ht="15.75" customHeight="1" x14ac:dyDescent="0.15">
      <c r="A75" s="38"/>
      <c r="B75" s="58"/>
      <c r="C75" s="31"/>
      <c r="D75" s="31"/>
    </row>
    <row r="76" spans="1:5" ht="15.75" customHeight="1" x14ac:dyDescent="0.15">
      <c r="A76" s="38"/>
      <c r="B76" s="58"/>
      <c r="C76" s="31"/>
      <c r="D76" s="31"/>
    </row>
    <row r="77" spans="1:5" ht="15.75" customHeight="1" x14ac:dyDescent="0.15">
      <c r="A77" s="38"/>
      <c r="B77" s="58"/>
      <c r="C77" s="31"/>
      <c r="D77" s="31"/>
    </row>
    <row r="78" spans="1:5" ht="15.75" customHeight="1" x14ac:dyDescent="0.15">
      <c r="B78" s="58"/>
      <c r="D78" s="31"/>
    </row>
    <row r="79" spans="1:5" ht="15.75" customHeight="1" x14ac:dyDescent="0.15">
      <c r="B79" s="58"/>
      <c r="D79" s="31"/>
    </row>
    <row r="80" spans="1:5" ht="15.75" customHeight="1" x14ac:dyDescent="0.15">
      <c r="D80" s="31"/>
    </row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Automatic Bread Maker</vt:lpstr>
      <vt:lpstr>Automatic Bread Maker Grader #1</vt:lpstr>
      <vt:lpstr>Automatic Bread Maker Grader #2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2026-05-13T14:39:36Z</dcterms:modified>
</cp:coreProperties>
</file>