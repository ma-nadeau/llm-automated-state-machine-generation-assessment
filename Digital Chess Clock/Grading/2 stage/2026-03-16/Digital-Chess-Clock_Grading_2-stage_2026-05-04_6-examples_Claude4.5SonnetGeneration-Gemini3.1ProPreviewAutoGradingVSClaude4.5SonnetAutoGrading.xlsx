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Chess Clock" sheetId="1" state="visible" r:id="rId1"/>
    <sheet xmlns:r="http://schemas.openxmlformats.org/officeDocument/2006/relationships" name="Gemini 3 Pro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8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0" pivotButton="0" quotePrefix="0" xfId="0"/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5" fillId="0" borderId="0" pivotButton="0" quotePrefix="0" xfId="0"/>
    <xf numFmtId="0" fontId="2" fillId="3" borderId="3" pivotButton="0" quotePrefix="0" xfId="0"/>
    <xf numFmtId="0" fontId="2" fillId="3" borderId="4" applyAlignment="1" pivotButton="0" quotePrefix="0" xfId="0">
      <alignment horizontal="center"/>
    </xf>
    <xf numFmtId="0" fontId="2" fillId="4" borderId="5" pivotButton="0" quotePrefix="0" xfId="0"/>
    <xf numFmtId="0" fontId="2" fillId="3" borderId="6" pivotButton="0" quotePrefix="0" xfId="0"/>
    <xf numFmtId="0" fontId="2" fillId="4" borderId="7" pivotButton="0" quotePrefix="0" xfId="0"/>
    <xf numFmtId="0" fontId="5" fillId="0" borderId="0" applyAlignment="1" pivotButton="0" quotePrefix="0" xfId="0">
      <alignment horizontal="right"/>
    </xf>
    <xf numFmtId="0" fontId="2" fillId="4" borderId="4" applyAlignment="1" pivotButton="0" quotePrefix="0" xfId="0">
      <alignment horizontal="center"/>
    </xf>
    <xf numFmtId="0" fontId="5" fillId="6" borderId="0" pivotButton="0" quotePrefix="0" xfId="0"/>
    <xf numFmtId="0" fontId="3" fillId="5" borderId="9" applyAlignment="1" pivotButton="0" quotePrefix="0" xfId="0">
      <alignment horizontal="center"/>
    </xf>
    <xf numFmtId="0" fontId="5" fillId="3" borderId="0" pivotButton="0" quotePrefix="0" xfId="0"/>
    <xf numFmtId="0" fontId="7" fillId="7" borderId="9" applyAlignment="1" pivotButton="0" quotePrefix="0" xfId="0">
      <alignment vertical="center" wrapText="1"/>
    </xf>
    <xf numFmtId="0" fontId="2" fillId="0" borderId="9" pivotButton="0" quotePrefix="0" xfId="0"/>
    <xf numFmtId="0" fontId="4" fillId="0" borderId="9" pivotButton="0" quotePrefix="0" xfId="0"/>
    <xf numFmtId="0" fontId="3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1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4" fillId="8" borderId="14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4" applyAlignment="1" pivotButton="0" quotePrefix="0" xfId="0">
      <alignment horizontal="center" vertical="center"/>
    </xf>
    <xf numFmtId="0" fontId="4" fillId="8" borderId="25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8" borderId="24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3" fillId="5" borderId="4" applyAlignment="1" pivotButton="0" quotePrefix="0" xfId="0">
      <alignment horizontal="center"/>
    </xf>
    <xf numFmtId="0" fontId="6" fillId="0" borderId="8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0" applyAlignment="1" pivotButton="0" quotePrefix="0" xfId="0">
      <alignment horizontal="center"/>
    </xf>
    <xf numFmtId="0" fontId="6" fillId="0" borderId="10" pivotButton="0" quotePrefix="0" xfId="0"/>
    <xf numFmtId="0" fontId="8" fillId="2" borderId="8" pivotButton="0" quotePrefix="0" xfId="0"/>
    <xf numFmtId="0" fontId="3" fillId="5" borderId="8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0" fillId="0" borderId="1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Chess Clock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3" headerRowCount="1">
  <tableColumns count="2">
    <tableColumn id="1" name="Type"/>
    <tableColumn id="2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3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3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3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3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.6640625" customWidth="1" style="67" min="1" max="1"/>
    <col width="51.1640625" customWidth="1" style="67" min="2" max="2"/>
    <col width="10.6640625" customWidth="1" style="67" min="3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</row>
    <row r="4" ht="12.75" customHeight="1" s="67">
      <c r="A4" s="3" t="inlineStr">
        <is>
          <t>State</t>
        </is>
      </c>
      <c r="B4" s="4" t="inlineStr">
        <is>
          <t>Off</t>
        </is>
      </c>
    </row>
    <row r="5" ht="12.75" customHeight="1" s="67">
      <c r="A5" s="5" t="inlineStr">
        <is>
          <t>Transition</t>
        </is>
      </c>
      <c r="B5" s="6" t="inlineStr">
        <is>
          <t>off =&gt; on</t>
        </is>
      </c>
    </row>
    <row r="6" ht="12.75" customHeight="1" s="67">
      <c r="A6" s="3" t="inlineStr">
        <is>
          <t>Composite State</t>
        </is>
      </c>
      <c r="B6" s="4" t="inlineStr">
        <is>
          <t>On</t>
        </is>
      </c>
    </row>
    <row r="7" ht="12.75" customHeight="1" s="67">
      <c r="A7" s="5" t="inlineStr">
        <is>
          <t>State</t>
        </is>
      </c>
      <c r="B7" s="6" t="inlineStr">
        <is>
          <t>initial state (on)</t>
        </is>
      </c>
    </row>
    <row r="8" ht="12.75" customHeight="1" s="67">
      <c r="A8" s="3" t="inlineStr">
        <is>
          <t>Composite State</t>
        </is>
      </c>
      <c r="B8" s="4" t="inlineStr">
        <is>
          <t>GameSetup</t>
        </is>
      </c>
    </row>
    <row r="9" ht="12.75" customHeight="1" s="67">
      <c r="A9" s="5" t="inlineStr">
        <is>
          <t>Region</t>
        </is>
      </c>
      <c r="B9" s="6" t="inlineStr">
        <is>
          <t>GameSetup Region 1</t>
        </is>
      </c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</row>
    <row r="11" ht="12.75" customHeight="1" s="67">
      <c r="A11" s="5" t="inlineStr">
        <is>
          <t>State</t>
        </is>
      </c>
      <c r="B11" s="6" t="inlineStr">
        <is>
          <t>TimingSelection</t>
        </is>
      </c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</row>
    <row r="19" ht="12.75" customHeight="1" s="67">
      <c r="A19" s="5" t="inlineStr">
        <is>
          <t>State</t>
        </is>
      </c>
      <c r="B19" s="6" t="inlineStr">
        <is>
          <t>WhiteKingOnRight</t>
        </is>
      </c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</row>
    <row r="26" ht="15" customHeight="1" s="67">
      <c r="A26" s="3" t="inlineStr">
        <is>
          <t>History State</t>
        </is>
      </c>
      <c r="B26" s="4" t="inlineStr">
        <is>
          <t>H</t>
        </is>
      </c>
    </row>
    <row r="27" ht="12.75" customHeight="1" s="67">
      <c r="A27" s="5" t="inlineStr">
        <is>
          <t>State</t>
        </is>
      </c>
      <c r="B27" s="6" t="inlineStr">
        <is>
          <t>WhiteClockRunning</t>
        </is>
      </c>
    </row>
    <row r="28" ht="12.75" customHeight="1" s="67">
      <c r="A28" s="3" t="inlineStr">
        <is>
          <t>Action</t>
        </is>
      </c>
      <c r="B28" s="4" t="inlineStr">
        <is>
          <t>startTimer(wc)</t>
        </is>
      </c>
    </row>
    <row r="29" ht="12.75" customHeight="1" s="67">
      <c r="A29" s="5" t="inlineStr">
        <is>
          <t>Action</t>
        </is>
      </c>
      <c r="B29" s="6" t="inlineStr">
        <is>
          <t>stopTimer(wc)</t>
        </is>
      </c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</row>
    <row r="33" ht="12.75" customHeight="1" s="67">
      <c r="A33" s="5" t="inlineStr">
        <is>
          <t>State</t>
        </is>
      </c>
      <c r="B33" s="6" t="inlineStr">
        <is>
          <t>BlackClockRunning</t>
        </is>
      </c>
    </row>
    <row r="34" ht="12.75" customHeight="1" s="67">
      <c r="A34" s="3" t="inlineStr">
        <is>
          <t>Action</t>
        </is>
      </c>
      <c r="B34" s="4" t="inlineStr">
        <is>
          <t>startTimer(bc)</t>
        </is>
      </c>
    </row>
    <row r="35" ht="12.75" customHeight="1" s="67">
      <c r="A35" s="5" t="inlineStr">
        <is>
          <t>Action</t>
        </is>
      </c>
      <c r="B35" s="6" t="inlineStr">
        <is>
          <t>stopTimer(bc)</t>
        </is>
      </c>
    </row>
    <row r="36" ht="12.75" customHeight="1" s="67">
      <c r="A36" s="3" t="inlineStr">
        <is>
          <t>Guard</t>
        </is>
      </c>
      <c r="B36" s="4" t="inlineStr">
        <is>
          <t>[bc &gt; 0]</t>
        </is>
      </c>
    </row>
    <row r="37" ht="12.75" customHeight="1" s="67">
      <c r="A37" s="5" t="inlineStr">
        <is>
          <t>Action</t>
        </is>
      </c>
      <c r="B37" s="6" t="inlineStr">
        <is>
          <t>decrTimer(bc)</t>
        </is>
      </c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4" t="inlineStr">
        <is>
          <t>[bc == 0]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6" t="inlineStr">
        <is>
          <t>GamePaused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4" t="inlineStr">
        <is>
          <t>game paused =&gt; game running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4" t="inlineStr">
        <is>
          <t>GameFinished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4" t="inlineStr">
        <is>
          <t>on =&gt; off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5" customHeight="1" s="67">
      <c r="A49" s="5" t="inlineStr">
        <is>
          <t>Guard</t>
        </is>
      </c>
      <c r="B49" s="6" t="inlineStr">
        <is>
          <t>additional elements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 ht="15" customHeight="1" s="67">
      <c r="A50" s="3" t="inlineStr">
        <is>
          <t>Action</t>
        </is>
      </c>
      <c r="B50" s="4" t="inlineStr">
        <is>
          <t>additional elements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</row>
    <row r="51" ht="12.75" customHeight="1" s="67">
      <c r="A51" s="5" t="inlineStr">
        <is>
          <t>Composite State</t>
        </is>
      </c>
      <c r="B51" s="4" t="inlineStr">
        <is>
          <t>additional elements</t>
        </is>
      </c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>
      <c r="A995" s="10" t="n"/>
      <c r="B995" s="11" t="n"/>
    </row>
    <row r="996" ht="12.75" customHeight="1" s="67">
      <c r="A996" s="10" t="n"/>
      <c r="B996" s="11" t="n"/>
    </row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  <row r="1005" ht="12.75" customHeight="1" s="67"/>
    <row r="1006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1" sqref="C1"/>
    </sheetView>
  </sheetViews>
  <sheetFormatPr baseColWidth="10" defaultColWidth="12.6640625" defaultRowHeight="15" customHeight="1"/>
  <cols>
    <col width="28" customWidth="1" style="67" min="1" max="1"/>
    <col width="42.83203125" customWidth="1" style="67" min="2" max="2"/>
    <col width="10.6640625" customWidth="1" style="67" min="3" max="3"/>
    <col width="28.5" customWidth="1" style="67" min="4" max="4"/>
    <col width="10.6640625" customWidth="1" style="67" min="5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  <c r="C1" s="12" t="inlineStr">
        <is>
          <t>Gemini 3 Pro Grading</t>
        </is>
      </c>
      <c r="D1" s="12" t="inlineStr">
        <is>
          <t>Notes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  <c r="C2" s="13" t="n"/>
      <c r="D2" s="13" t="n"/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  <c r="C3" s="14" t="n"/>
      <c r="D3" s="14" t="n"/>
    </row>
    <row r="4" ht="12.75" customHeight="1" s="67">
      <c r="A4" s="3" t="inlineStr">
        <is>
          <t>State</t>
        </is>
      </c>
      <c r="B4" s="4" t="inlineStr">
        <is>
          <t>Off</t>
        </is>
      </c>
      <c r="C4" s="13" t="n"/>
      <c r="D4" s="13" t="n"/>
    </row>
    <row r="5" ht="12.75" customHeight="1" s="67">
      <c r="A5" s="5" t="inlineStr">
        <is>
          <t>Transition</t>
        </is>
      </c>
      <c r="B5" s="6" t="inlineStr">
        <is>
          <t>off =&gt; on</t>
        </is>
      </c>
      <c r="C5" s="14" t="n"/>
      <c r="D5" s="14" t="n"/>
    </row>
    <row r="6" ht="12.75" customHeight="1" s="67">
      <c r="A6" s="3" t="inlineStr">
        <is>
          <t>Composite State</t>
        </is>
      </c>
      <c r="B6" s="4" t="inlineStr">
        <is>
          <t>On</t>
        </is>
      </c>
      <c r="C6" s="13" t="n"/>
      <c r="D6" s="13" t="n"/>
    </row>
    <row r="7" ht="12.75" customHeight="1" s="67">
      <c r="A7" s="5" t="inlineStr">
        <is>
          <t>State</t>
        </is>
      </c>
      <c r="B7" s="6" t="inlineStr">
        <is>
          <t>initial state (on)</t>
        </is>
      </c>
      <c r="C7" s="14" t="n"/>
      <c r="D7" s="14" t="n"/>
    </row>
    <row r="8" ht="12.75" customHeight="1" s="67">
      <c r="A8" s="3" t="inlineStr">
        <is>
          <t>Composite State</t>
        </is>
      </c>
      <c r="B8" s="4" t="inlineStr">
        <is>
          <t>GameSetup</t>
        </is>
      </c>
      <c r="C8" s="13" t="n"/>
      <c r="D8" s="13" t="n"/>
    </row>
    <row r="9" ht="12.75" customHeight="1" s="67">
      <c r="A9" s="5" t="inlineStr">
        <is>
          <t>Region</t>
        </is>
      </c>
      <c r="B9" s="6" t="inlineStr">
        <is>
          <t>GameSetup Region 1</t>
        </is>
      </c>
      <c r="C9" s="14" t="n"/>
      <c r="D9" s="14" t="n"/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  <c r="C10" s="13" t="n"/>
      <c r="D10" s="13" t="n"/>
    </row>
    <row r="11" ht="12.75" customHeight="1" s="67">
      <c r="A11" s="5" t="inlineStr">
        <is>
          <t>State</t>
        </is>
      </c>
      <c r="B11" s="6" t="inlineStr">
        <is>
          <t>TimingSelection</t>
        </is>
      </c>
      <c r="C11" s="14" t="n"/>
      <c r="D11" s="14" t="n"/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  <c r="C12" s="13" t="n"/>
      <c r="D12" s="13" t="n"/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  <c r="C13" s="14" t="n"/>
      <c r="D13" s="14" t="n"/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  <c r="C14" s="13" t="n"/>
      <c r="D14" s="13" t="n"/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  <c r="C15" s="14" t="n"/>
      <c r="D15" s="14" t="n"/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  <c r="C16" s="13" t="n"/>
      <c r="D16" s="13" t="n"/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14" t="n"/>
      <c r="D17" s="14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  <c r="C18" s="13" t="n"/>
      <c r="D18" s="13" t="n"/>
    </row>
    <row r="19" ht="12.75" customHeight="1" s="67">
      <c r="A19" s="5" t="inlineStr">
        <is>
          <t>State</t>
        </is>
      </c>
      <c r="B19" s="6" t="inlineStr">
        <is>
          <t>WhiteKingOnRight</t>
        </is>
      </c>
      <c r="C19" s="14" t="n"/>
      <c r="D19" s="14" t="n"/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  <c r="C20" s="13" t="n"/>
      <c r="D20" s="13" t="n"/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  <c r="C21" s="14" t="n"/>
      <c r="D21" s="14" t="n"/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  <c r="C22" s="13" t="n"/>
      <c r="D22" s="13" t="n"/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14" t="n"/>
      <c r="D23" s="14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  <c r="C24" s="13" t="n"/>
      <c r="D24" s="13" t="n"/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  <c r="C25" s="14" t="n"/>
      <c r="D25" s="14" t="n"/>
    </row>
    <row r="26" ht="15" customHeight="1" s="67">
      <c r="A26" s="3" t="inlineStr">
        <is>
          <t>History State</t>
        </is>
      </c>
      <c r="B26" s="4" t="inlineStr">
        <is>
          <t>H</t>
        </is>
      </c>
      <c r="C26" s="13" t="n"/>
      <c r="D26" s="13" t="n"/>
    </row>
    <row r="27" ht="12.75" customHeight="1" s="67">
      <c r="A27" s="5" t="inlineStr">
        <is>
          <t>State</t>
        </is>
      </c>
      <c r="B27" s="6" t="inlineStr">
        <is>
          <t>WhiteClockRunning</t>
        </is>
      </c>
      <c r="C27" s="14" t="n"/>
      <c r="D27" s="14" t="n"/>
    </row>
    <row r="28" ht="12.75" customHeight="1" s="67">
      <c r="A28" s="3" t="inlineStr">
        <is>
          <t>Action</t>
        </is>
      </c>
      <c r="B28" s="4" t="inlineStr">
        <is>
          <t>startTimer(wc)</t>
        </is>
      </c>
      <c r="C28" s="13" t="n"/>
      <c r="D28" s="13" t="n"/>
    </row>
    <row r="29" ht="12.75" customHeight="1" s="67">
      <c r="A29" s="5" t="inlineStr">
        <is>
          <t>Action</t>
        </is>
      </c>
      <c r="B29" s="6" t="inlineStr">
        <is>
          <t>stopTimer(wc)</t>
        </is>
      </c>
      <c r="C29" s="14" t="n"/>
      <c r="D29" s="14" t="n"/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13" t="n"/>
      <c r="D30" s="13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14" t="n"/>
      <c r="D31" s="14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  <c r="C32" s="13" t="n"/>
      <c r="D32" s="13" t="n"/>
    </row>
    <row r="33" ht="12.75" customHeight="1" s="67">
      <c r="A33" s="5" t="inlineStr">
        <is>
          <t>State</t>
        </is>
      </c>
      <c r="B33" s="6" t="inlineStr">
        <is>
          <t>BlackClockRunning</t>
        </is>
      </c>
      <c r="C33" s="14" t="n"/>
      <c r="D33" s="14" t="n"/>
    </row>
    <row r="34" ht="12.75" customHeight="1" s="67">
      <c r="A34" s="3" t="inlineStr">
        <is>
          <t>Action</t>
        </is>
      </c>
      <c r="B34" s="4" t="inlineStr">
        <is>
          <t>startTimer(bc)</t>
        </is>
      </c>
      <c r="C34" s="13" t="n"/>
      <c r="D34" s="13" t="n"/>
    </row>
    <row r="35" ht="12.75" customHeight="1" s="67">
      <c r="A35" s="5" t="inlineStr">
        <is>
          <t>Action</t>
        </is>
      </c>
      <c r="B35" s="6" t="inlineStr">
        <is>
          <t>stopTimer(bc)</t>
        </is>
      </c>
      <c r="C35" s="14" t="n"/>
      <c r="D35" s="14" t="n"/>
    </row>
    <row r="36" ht="12.75" customHeight="1" s="67">
      <c r="A36" s="3" t="inlineStr">
        <is>
          <t>Guard</t>
        </is>
      </c>
      <c r="B36" s="4" t="inlineStr">
        <is>
          <t>[bc &gt; 0]</t>
        </is>
      </c>
      <c r="C36" s="13" t="n"/>
      <c r="D36" s="13" t="n"/>
    </row>
    <row r="37" ht="12.75" customHeight="1" s="67">
      <c r="A37" s="5" t="inlineStr">
        <is>
          <t>Action</t>
        </is>
      </c>
      <c r="B37" s="6" t="inlineStr">
        <is>
          <t>decrTimer(bc)</t>
        </is>
      </c>
      <c r="C37" s="14" t="n"/>
      <c r="D37" s="14" t="n"/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  <c r="C38" s="13" t="n"/>
      <c r="D38" s="13" t="n"/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14" t="n"/>
      <c r="D39" s="14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13" t="n"/>
      <c r="D40" s="13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14" t="n"/>
      <c r="D41" s="14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4" t="inlineStr">
        <is>
          <t>[bc == 0]</t>
        </is>
      </c>
      <c r="C42" s="13" t="n"/>
      <c r="D42" s="13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6" t="inlineStr">
        <is>
          <t>GamePaused</t>
        </is>
      </c>
      <c r="C43" s="15" t="n"/>
      <c r="D43" s="14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4" t="inlineStr">
        <is>
          <t>game paused =&gt; game running</t>
        </is>
      </c>
      <c r="C44" s="14" t="n"/>
      <c r="D44" s="16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17" t="inlineStr">
        <is>
          <t>GameFinished</t>
        </is>
      </c>
      <c r="C45" s="14" t="n"/>
      <c r="D45" s="14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4" t="inlineStr">
        <is>
          <t>on =&gt; off</t>
        </is>
      </c>
      <c r="C46" s="18" t="n"/>
      <c r="D46" s="19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20" t="n"/>
      <c r="D47" s="20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13" t="n"/>
      <c r="D48" s="13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7">
      <c r="A49" s="5" t="inlineStr">
        <is>
          <t>Guard</t>
        </is>
      </c>
      <c r="B49" s="6" t="inlineStr">
        <is>
          <t>additional elements</t>
        </is>
      </c>
      <c r="C49" s="14" t="n"/>
      <c r="D49" s="14" t="n"/>
    </row>
    <row r="50" ht="12.75" customHeight="1" s="67">
      <c r="A50" s="3" t="inlineStr">
        <is>
          <t>Action</t>
        </is>
      </c>
      <c r="B50" s="4" t="inlineStr">
        <is>
          <t>additional elements</t>
        </is>
      </c>
      <c r="C50" s="13" t="n"/>
      <c r="D50" s="13" t="n"/>
    </row>
    <row r="51" ht="12.75" customHeight="1" s="67">
      <c r="A51" s="5" t="inlineStr">
        <is>
          <t>Composite State</t>
        </is>
      </c>
      <c r="B51" s="6" t="inlineStr">
        <is>
          <t>additional elements</t>
        </is>
      </c>
      <c r="C51" s="14" t="n"/>
      <c r="D51" s="14" t="n"/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  <c r="C52" s="14" t="n"/>
      <c r="D52" s="14" t="n"/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  <c r="C53" s="14" t="n"/>
      <c r="D53" s="14" t="n"/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/>
    <row r="996" ht="12.75" customHeight="1" s="67"/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10" defaultColWidth="12.6640625" defaultRowHeight="15" customHeight="1"/>
  <cols>
    <col width="25.83203125" customWidth="1" style="67" min="1" max="1"/>
    <col width="42.83203125" customWidth="1" style="67" min="2" max="2"/>
    <col width="10.6640625" customWidth="1" style="67" min="3" max="3"/>
    <col width="85.6640625" customWidth="1" style="67" min="4" max="4"/>
    <col width="10.6640625" customWidth="1" style="67" min="5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  <c r="C1" s="12" t="inlineStr">
        <is>
          <t>Claude Sonnet 4.5 Grading</t>
        </is>
      </c>
      <c r="D1" s="12" t="inlineStr">
        <is>
          <t>Notes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  <c r="C2" s="21" t="n">
        <v>1</v>
      </c>
      <c r="D2" s="15" t="inlineStr">
        <is>
          <t>Correctly represented with [*] --&gt; Off</t>
        </is>
      </c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  <c r="C3" s="21" t="n">
        <v>1</v>
      </c>
      <c r="D3" s="15" t="inlineStr">
        <is>
          <t>Correctly represented with [*] --&gt; Off</t>
        </is>
      </c>
    </row>
    <row r="4" ht="12.75" customHeight="1" s="67">
      <c r="A4" s="3" t="inlineStr">
        <is>
          <t>State</t>
        </is>
      </c>
      <c r="B4" s="4" t="inlineStr">
        <is>
          <t>Off</t>
        </is>
      </c>
      <c r="C4" s="21" t="n">
        <v>1</v>
      </c>
      <c r="D4" s="15" t="inlineStr">
        <is>
          <t>Off state is present</t>
        </is>
      </c>
    </row>
    <row r="5" ht="12.75" customHeight="1" s="67">
      <c r="A5" s="5" t="inlineStr">
        <is>
          <t>Transition</t>
        </is>
      </c>
      <c r="B5" s="6" t="inlineStr">
        <is>
          <t>off =&gt; on</t>
        </is>
      </c>
      <c r="C5" s="21" t="n">
        <v>1</v>
      </c>
      <c r="D5" s="15" t="inlineStr">
        <is>
          <t>Off --&gt; On : onOff transition is present</t>
        </is>
      </c>
    </row>
    <row r="6" ht="12.75" customHeight="1" s="67">
      <c r="A6" s="3" t="inlineStr">
        <is>
          <t>Composite State</t>
        </is>
      </c>
      <c r="B6" s="4" t="inlineStr">
        <is>
          <t>On</t>
        </is>
      </c>
      <c r="C6" s="21" t="n">
        <v>1</v>
      </c>
      <c r="D6" s="15" t="inlineStr">
        <is>
          <t>On composite state is present</t>
        </is>
      </c>
    </row>
    <row r="7" ht="12.75" customHeight="1" s="67">
      <c r="A7" s="5" t="inlineStr">
        <is>
          <t>State</t>
        </is>
      </c>
      <c r="B7" s="6" t="inlineStr">
        <is>
          <t>initial state (on)</t>
        </is>
      </c>
      <c r="C7" s="21" t="n">
        <v>1</v>
      </c>
      <c r="D7" s="15" t="inlineStr">
        <is>
          <t>[*] --&gt; Setup within On state</t>
        </is>
      </c>
    </row>
    <row r="8" ht="12.75" customHeight="1" s="67">
      <c r="A8" s="3" t="inlineStr">
        <is>
          <t>Composite State</t>
        </is>
      </c>
      <c r="B8" s="4" t="inlineStr">
        <is>
          <t>GameSetup</t>
        </is>
      </c>
      <c r="C8" s="21" t="n">
        <v>0.5</v>
      </c>
      <c r="D8" s="15" t="inlineStr">
        <is>
          <t>Setup composite state exists but lacks parallel regions for timing and orientation</t>
        </is>
      </c>
    </row>
    <row r="9" ht="12.75" customHeight="1" s="67">
      <c r="A9" s="5" t="inlineStr">
        <is>
          <t>Region</t>
        </is>
      </c>
      <c r="B9" s="6" t="inlineStr">
        <is>
          <t>GameSetup Region 1</t>
        </is>
      </c>
      <c r="C9" s="21" t="n">
        <v>0</v>
      </c>
      <c r="D9" s="15" t="inlineStr">
        <is>
          <t>No parallel regions defined; timing selection is within Setup but not as a separate region</t>
        </is>
      </c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  <c r="C10" s="21" t="n">
        <v>0</v>
      </c>
      <c r="D10" s="15" t="inlineStr">
        <is>
          <t>No separate region 1 with initial state</t>
        </is>
      </c>
    </row>
    <row r="11" ht="12.75" customHeight="1" s="67">
      <c r="A11" s="5" t="inlineStr">
        <is>
          <t>State</t>
        </is>
      </c>
      <c r="B11" s="6" t="inlineStr">
        <is>
          <t>TimingSelection</t>
        </is>
      </c>
      <c r="C11" s="21" t="n">
        <v>1</v>
      </c>
      <c r="D11" s="15" t="inlineStr">
        <is>
          <t>TimingSelection state exists within Setup</t>
        </is>
      </c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  <c r="C12" s="21" t="n">
        <v>1</v>
      </c>
      <c r="D12" s="15" t="inlineStr">
        <is>
          <t>selectNextTiming() action on plus event is semantically equivalent</t>
        </is>
      </c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  <c r="C13" s="21" t="n">
        <v>1</v>
      </c>
      <c r="D13" s="15" t="inlineStr">
        <is>
          <t>selectPreviousTiming() action on minus event is semantically equivalent</t>
        </is>
      </c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  <c r="C14" s="21" t="n">
        <v>1</v>
      </c>
      <c r="D14" s="15" t="inlineStr">
        <is>
          <t>Self-transitions on plus and minus events are present</t>
        </is>
      </c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  <c r="C15" s="21" t="n">
        <v>0.5</v>
      </c>
      <c r="D15" s="15" t="inlineStr">
        <is>
          <t>Setup --&gt; GameActive via startStop exists but no explicit ReadyToStart state</t>
        </is>
      </c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  <c r="C16" s="21" t="n">
        <v>0</v>
      </c>
      <c r="D16" s="15" t="inlineStr">
        <is>
          <t>No parallel region 2 for orientation tracking</t>
        </is>
      </c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21" t="n">
        <v>0</v>
      </c>
      <c r="D17" s="15" t="inlineStr">
        <is>
          <t>No separate region 2 with initial state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  <c r="C18" s="21" t="n">
        <v>0</v>
      </c>
      <c r="D18" s="15" t="inlineStr">
        <is>
          <t>No explicit state for white king orientation</t>
        </is>
      </c>
    </row>
    <row r="19" ht="12.75" customHeight="1" s="67">
      <c r="A19" s="5" t="inlineStr">
        <is>
          <t>State</t>
        </is>
      </c>
      <c r="B19" s="6" t="inlineStr">
        <is>
          <t>WhiteKingOnRight</t>
        </is>
      </c>
      <c r="C19" s="21" t="n">
        <v>0</v>
      </c>
      <c r="D19" s="15" t="inlineStr">
        <is>
          <t>No explicit state for white king orientation</t>
        </is>
      </c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  <c r="C20" s="21" t="n">
        <v>0</v>
      </c>
      <c r="D20" s="15" t="inlineStr">
        <is>
          <t>No separate orientation region or initial transition</t>
        </is>
      </c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  <c r="C21" s="21" t="n">
        <v>0</v>
      </c>
      <c r="D21" s="15" t="inlineStr">
        <is>
          <t>Flip action exists but no separate orientation states</t>
        </is>
      </c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  <c r="C22" s="21" t="n">
        <v>0</v>
      </c>
      <c r="D22" s="15" t="inlineStr">
        <is>
          <t>Flip action exists but no separate orientation states</t>
        </is>
      </c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21" t="n">
        <v>0.5</v>
      </c>
      <c r="D23" s="15" t="inlineStr">
        <is>
          <t>TimingSelected state serves similar purpose but not explicitly named ReadyToStart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  <c r="C24" s="21" t="n">
        <v>1</v>
      </c>
      <c r="D24" s="15" t="inlineStr">
        <is>
          <t>Setup --&gt; GameActive : startStop transition is present</t>
        </is>
      </c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  <c r="C25" s="21" t="n">
        <v>1</v>
      </c>
      <c r="D25" s="15" t="inlineStr">
        <is>
          <t>GameActive composite state represents game running</t>
        </is>
      </c>
    </row>
    <row r="26" ht="15" customHeight="1" s="67">
      <c r="A26" s="3" t="inlineStr">
        <is>
          <t>History State</t>
        </is>
      </c>
      <c r="B26" s="4" t="inlineStr">
        <is>
          <t>H</t>
        </is>
      </c>
      <c r="C26" s="21" t="n">
        <v>1</v>
      </c>
      <c r="D26" s="15" t="inlineStr">
        <is>
          <t>History state H is present in GameActive</t>
        </is>
      </c>
    </row>
    <row r="27" ht="12.75" customHeight="1" s="67">
      <c r="A27" s="5" t="inlineStr">
        <is>
          <t>State</t>
        </is>
      </c>
      <c r="B27" s="6" t="inlineStr">
        <is>
          <t>WhiteClockRunning</t>
        </is>
      </c>
      <c r="C27" s="21" t="n">
        <v>1</v>
      </c>
      <c r="D27" s="15" t="inlineStr">
        <is>
          <t>WhiteTurn state represents white clock running</t>
        </is>
      </c>
    </row>
    <row r="28" ht="12.75" customHeight="1" s="67">
      <c r="A28" s="3" t="inlineStr">
        <is>
          <t>Action</t>
        </is>
      </c>
      <c r="B28" s="4" t="inlineStr">
        <is>
          <t>startTimer(wc)</t>
        </is>
      </c>
      <c r="C28" s="21" t="n">
        <v>1</v>
      </c>
      <c r="D28" s="15" t="inlineStr">
        <is>
          <t>startWhiteClock() action is semantically equivalent</t>
        </is>
      </c>
    </row>
    <row r="29" ht="12.75" customHeight="1" s="67">
      <c r="A29" s="5" t="inlineStr">
        <is>
          <t>Action</t>
        </is>
      </c>
      <c r="B29" s="6" t="inlineStr">
        <is>
          <t>stopTimer(wc)</t>
        </is>
      </c>
      <c r="C29" s="21" t="n">
        <v>1</v>
      </c>
      <c r="D29" s="15" t="inlineStr">
        <is>
          <t>stopWhiteClock() action is present</t>
        </is>
      </c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21" t="n">
        <v>0</v>
      </c>
      <c r="D30" s="15" t="inlineStr">
        <is>
          <t>No explicit guard for white clock countdown; timeout handled separately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21" t="n">
        <v>1</v>
      </c>
      <c r="D31" s="15" t="inlineStr">
        <is>
          <t>countDownWhite() do activity is semantically equivalent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  <c r="C32" s="21" t="n">
        <v>0</v>
      </c>
      <c r="D32" s="15" t="inlineStr">
        <is>
          <t>No self-transition for countdown; handled via do activity</t>
        </is>
      </c>
    </row>
    <row r="33" ht="12.75" customHeight="1" s="67">
      <c r="A33" s="5" t="inlineStr">
        <is>
          <t>State</t>
        </is>
      </c>
      <c r="B33" s="6" t="inlineStr">
        <is>
          <t>BlackClockRunning</t>
        </is>
      </c>
      <c r="C33" s="21" t="n">
        <v>1</v>
      </c>
      <c r="D33" s="15" t="inlineStr">
        <is>
          <t>BlackTurn state represents black clock running</t>
        </is>
      </c>
    </row>
    <row r="34" ht="12.75" customHeight="1" s="67">
      <c r="A34" s="3" t="inlineStr">
        <is>
          <t>Action</t>
        </is>
      </c>
      <c r="B34" s="4" t="inlineStr">
        <is>
          <t>startTimer(bc)</t>
        </is>
      </c>
      <c r="C34" s="21" t="n">
        <v>1</v>
      </c>
      <c r="D34" s="15" t="inlineStr">
        <is>
          <t>startBlackClock() action is semantically equivalent</t>
        </is>
      </c>
    </row>
    <row r="35" ht="12.75" customHeight="1" s="67">
      <c r="A35" s="5" t="inlineStr">
        <is>
          <t>Action</t>
        </is>
      </c>
      <c r="B35" s="6" t="inlineStr">
        <is>
          <t>stopTimer(bc)</t>
        </is>
      </c>
      <c r="C35" s="21" t="n">
        <v>1</v>
      </c>
      <c r="D35" s="15" t="inlineStr">
        <is>
          <t>stopBlackClock() action is present</t>
        </is>
      </c>
    </row>
    <row r="36" ht="12.75" customHeight="1" s="67">
      <c r="A36" s="3" t="inlineStr">
        <is>
          <t>Guard</t>
        </is>
      </c>
      <c r="B36" s="4" t="inlineStr">
        <is>
          <t>[bc &gt; 0]</t>
        </is>
      </c>
      <c r="C36" s="21" t="n">
        <v>0</v>
      </c>
      <c r="D36" s="15" t="inlineStr">
        <is>
          <t>No explicit guard for black clock countdown; timeout handled separately</t>
        </is>
      </c>
    </row>
    <row r="37" ht="12.75" customHeight="1" s="67">
      <c r="A37" s="5" t="inlineStr">
        <is>
          <t>Action</t>
        </is>
      </c>
      <c r="B37" s="6" t="inlineStr">
        <is>
          <t>decrTimer(bc)</t>
        </is>
      </c>
      <c r="C37" s="21" t="n">
        <v>1</v>
      </c>
      <c r="D37" s="15" t="inlineStr">
        <is>
          <t>countDownBlack() do activity is semantically equivalent</t>
        </is>
      </c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  <c r="C38" s="21" t="n">
        <v>0</v>
      </c>
      <c r="D38" s="15" t="inlineStr">
        <is>
          <t>No self-transition for countdown; handled via do activity</t>
        </is>
      </c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21" t="n">
        <v>1</v>
      </c>
      <c r="D39" s="15" t="inlineStr">
        <is>
          <t>WhiteTurn/BlackTurn --&gt; Paused : startStop transitions present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21" t="n">
        <v>0.5</v>
      </c>
      <c r="D40" s="15" t="inlineStr">
        <is>
          <t>Timeout states exist but no explicit GameFinished state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21" t="n">
        <v>1</v>
      </c>
      <c r="D41" s="15" t="inlineStr">
        <is>
          <t>[whiteTime == 0] guard is present on WhiteTurn --&gt; WhiteTimeout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17" t="inlineStr">
        <is>
          <t>[bc == 0]</t>
        </is>
      </c>
      <c r="C42" s="21" t="n">
        <v>1</v>
      </c>
      <c r="D42" s="15" t="inlineStr">
        <is>
          <t>[blackTime == 0] guard is present on BlackTurn --&gt; BlackTimeout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22" t="inlineStr">
        <is>
          <t>GamePaused</t>
        </is>
      </c>
      <c r="C43" s="21" t="n">
        <v>1</v>
      </c>
      <c r="D43" s="15" t="inlineStr">
        <is>
          <t>Paused state is present</t>
        </is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17" t="inlineStr">
        <is>
          <t>game paused =&gt; game running</t>
        </is>
      </c>
      <c r="C44" s="21" t="n">
        <v>1</v>
      </c>
      <c r="D44" s="15" t="inlineStr">
        <is>
          <t>Paused --&gt; H : startStop / resumeClock() transition present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17" t="inlineStr">
        <is>
          <t>GameFinished</t>
        </is>
      </c>
      <c r="C45" s="21" t="n">
        <v>0.5</v>
      </c>
      <c r="D45" s="15" t="inlineStr">
        <is>
          <t>WhiteTimeout and BlackTimeout states represent finished game but no unified GameFinished state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17" t="inlineStr">
        <is>
          <t>on =&gt; off</t>
        </is>
      </c>
      <c r="C46" s="21" t="n">
        <v>1</v>
      </c>
      <c r="D46" s="15" t="inlineStr">
        <is>
          <t>On --&gt; Off : onOff transition is present</t>
        </is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21" t="n">
        <v>2</v>
      </c>
      <c r="D47" s="15" t="inlineStr">
        <is>
          <t>WhiteTimeout and BlackTimeout states are extra; system description only mentions flag display not separate states</t>
        </is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21" t="n">
        <v>0</v>
      </c>
      <c r="D48" s="15" t="inlineStr">
        <is>
          <t>All transitions are reasonable</t>
        </is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7">
      <c r="A49" s="5" t="inlineStr">
        <is>
          <t>Guard</t>
        </is>
      </c>
      <c r="B49" s="6" t="inlineStr">
        <is>
          <t>additional elements</t>
        </is>
      </c>
      <c r="C49" s="21" t="n">
        <v>0</v>
      </c>
      <c r="D49" s="15" t="inlineStr">
        <is>
          <t>All guards are reasonable</t>
        </is>
      </c>
    </row>
    <row r="50" ht="12.75" customHeight="1" s="67">
      <c r="A50" s="3" t="inlineStr">
        <is>
          <t>Action</t>
        </is>
      </c>
      <c r="B50" s="4" t="inlineStr">
        <is>
          <t>additional elements</t>
        </is>
      </c>
      <c r="C50" s="21" t="n">
        <v>1</v>
      </c>
      <c r="D50" s="15" t="inlineStr">
        <is>
          <t>addIncrementToWhite/Black actions are redundant; increment should be added on exit not on flip</t>
        </is>
      </c>
    </row>
    <row r="51" ht="12.75" customHeight="1" s="67">
      <c r="A51" s="5" t="inlineStr">
        <is>
          <t>Composite State</t>
        </is>
      </c>
      <c r="B51" s="6" t="inlineStr">
        <is>
          <t>additional elements</t>
        </is>
      </c>
      <c r="C51" s="21" t="n">
        <v>0</v>
      </c>
      <c r="D51" s="15" t="inlineStr">
        <is>
          <t>All composite states are reasonable</t>
        </is>
      </c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  <c r="C52" s="21" t="n">
        <v>0</v>
      </c>
      <c r="D52" s="15" t="inlineStr">
        <is>
          <t>No additional regions present</t>
        </is>
      </c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  <c r="C53" s="21" t="n">
        <v>0</v>
      </c>
      <c r="D53" s="15" t="inlineStr">
        <is>
          <t>Only one history state H which is appropriate</t>
        </is>
      </c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/>
    <row r="996" ht="12.75" customHeight="1" s="67"/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22"/>
  <sheetViews>
    <sheetView workbookViewId="0">
      <selection activeCell="A12" sqref="A12:H12"/>
    </sheetView>
  </sheetViews>
  <sheetFormatPr baseColWidth="10" defaultColWidth="12.6640625" defaultRowHeight="15" customHeight="1"/>
  <cols>
    <col width="20" customWidth="1" style="67" min="1" max="1"/>
    <col width="17.6640625" customWidth="1" style="67" min="2" max="6"/>
  </cols>
  <sheetData>
    <row r="1" ht="15.75" customHeight="1" s="67">
      <c r="A1" s="71" t="inlineStr">
        <is>
          <t>Graded by Gemini 3 Pro</t>
        </is>
      </c>
      <c r="J1" s="23" t="inlineStr">
        <is>
          <t>Date</t>
        </is>
      </c>
      <c r="K1" s="15" t="n"/>
    </row>
    <row r="2" ht="15.75" customHeight="1" s="67">
      <c r="A2" s="24" t="inlineStr">
        <is>
          <t>Type</t>
        </is>
      </c>
      <c r="B2" s="24" t="inlineStr">
        <is>
          <t>Ground Truth Count</t>
        </is>
      </c>
      <c r="C2" s="24" t="inlineStr">
        <is>
          <t>True Positive</t>
        </is>
      </c>
      <c r="D2" s="24" t="inlineStr">
        <is>
          <t>False Positive</t>
        </is>
      </c>
      <c r="E2" s="24" t="inlineStr">
        <is>
          <t>False Negative</t>
        </is>
      </c>
      <c r="F2" s="24" t="inlineStr">
        <is>
          <t>Precision</t>
        </is>
      </c>
      <c r="G2" s="24" t="inlineStr">
        <is>
          <t>Recall</t>
        </is>
      </c>
      <c r="H2" s="24" t="inlineStr">
        <is>
          <t>F1 Score</t>
        </is>
      </c>
      <c r="J2" s="25" t="inlineStr">
        <is>
          <t>March 16th, 2026</t>
        </is>
      </c>
      <c r="K2" s="15" t="n"/>
    </row>
    <row r="3" ht="15.75" customHeight="1" s="67">
      <c r="A3" s="26" t="inlineStr">
        <is>
          <t>Composite State</t>
        </is>
      </c>
      <c r="B3" s="27">
        <f>COUNTIF('Chess Clock'!$A$2:$A$46, A3)</f>
        <v/>
      </c>
      <c r="C3" s="28">
        <f>SUMIF('Gemini 3 Pro Grading'!$A$2:$A$46, $A3, 'Gemini 3 Pro Grading'!$C$2:$C$46)</f>
        <v/>
      </c>
      <c r="D3" s="28">
        <f>SUMIF('Gemini 3 Pro Grading'!$A$47:$A$53, $A3, 'Gemini 3 Pro Grading'!$C$47:$C$53)</f>
        <v/>
      </c>
      <c r="E3" s="28">
        <f>COUNTIFS('Gemini 3 Pro Grading'!$A$2:$A$46, $A3, 'Gemini 3 Pro Grading'!$C$2:$C$46,0)</f>
        <v/>
      </c>
      <c r="F3" s="28">
        <f>IFERROR(C3 / (C3 + D3), "Not Available")</f>
        <v/>
      </c>
      <c r="G3" s="28">
        <f>IFERROR(C3 / B3, "Not Available")</f>
        <v/>
      </c>
      <c r="H3" s="28">
        <f>IFERROR(2*((F3*G3)/(F3+G3)),"Not Available")</f>
        <v/>
      </c>
      <c r="J3" s="15" t="n"/>
      <c r="K3" s="15" t="n"/>
    </row>
    <row r="4" ht="15.75" customHeight="1" s="67">
      <c r="A4" s="29" t="inlineStr">
        <is>
          <t>State</t>
        </is>
      </c>
      <c r="B4" s="27">
        <f>COUNTIF('Chess Clock'!$A$2:$A$46, A4)</f>
        <v/>
      </c>
      <c r="C4" s="28">
        <f>SUMIF('Gemini 3 Pro Grading'!$A$2:$A$46, $A4, 'Gemini 3 Pro Grading'!$C$2:$C$46)</f>
        <v/>
      </c>
      <c r="D4" s="28">
        <f>SUMIF('Gemini 3 Pro Grading'!$A$47:$A$53, $A4, 'Gemini 3 Pro Grading'!$C$47:$C$53)</f>
        <v/>
      </c>
      <c r="E4" s="28">
        <f>COUNTIFS('Gemini 3 Pro Grading'!$A$2:$A$46, $A4, 'Gemini 3 Pro Grading'!$C$2:$C$46,0)</f>
        <v/>
      </c>
      <c r="F4" s="28">
        <f>IFERROR(C4 / (C4 + D4), "Not Available")</f>
        <v/>
      </c>
      <c r="G4" s="28">
        <f>IFERROR(C4 / B4, "Not Available")</f>
        <v/>
      </c>
      <c r="H4" s="28">
        <f>IFERROR(2*((F4*G4)/(F4+G4)),"Not Available")</f>
        <v/>
      </c>
      <c r="J4" s="23" t="inlineStr">
        <is>
          <t>Generation LLM</t>
        </is>
      </c>
      <c r="K4" s="15" t="n"/>
    </row>
    <row r="5" ht="15.75" customHeight="1" s="67">
      <c r="A5" s="29" t="inlineStr">
        <is>
          <t>Transition</t>
        </is>
      </c>
      <c r="B5" s="27">
        <f>COUNTIF('Chess Clock'!$A$2:$A$46, A5)</f>
        <v/>
      </c>
      <c r="C5" s="28">
        <f>SUMIF('Gemini 3 Pro Grading'!$A$2:$A$46, $A5, 'Gemini 3 Pro Grading'!$C$2:$C$46)</f>
        <v/>
      </c>
      <c r="D5" s="28">
        <f>SUMIF('Gemini 3 Pro Grading'!$A$47:$A$53, $A5, 'Gemini 3 Pro Grading'!$C$47:$C$53)</f>
        <v/>
      </c>
      <c r="E5" s="28">
        <f>COUNTIFS('Gemini 3 Pro Grading'!$A$2:$A$46, $A5, 'Gemini 3 Pro Grading'!$C$2:$C$46,0)</f>
        <v/>
      </c>
      <c r="F5" s="28">
        <f>IFERROR(C5 / (C5 + D5), "Not Available")</f>
        <v/>
      </c>
      <c r="G5" s="28">
        <f>IFERROR(C5 / B5, "Not Available")</f>
        <v/>
      </c>
      <c r="H5" s="28">
        <f>IFERROR(2*((F5*G5)/(F5+G5)),"Not Available")</f>
        <v/>
      </c>
      <c r="J5" s="25" t="inlineStr">
        <is>
          <t>Claude Sonnet 4.5</t>
        </is>
      </c>
      <c r="K5" s="15" t="n"/>
    </row>
    <row r="6" ht="15.75" customHeight="1" s="67">
      <c r="A6" s="29" t="inlineStr">
        <is>
          <t>Action</t>
        </is>
      </c>
      <c r="B6" s="27">
        <f>COUNTIF('Chess Clock'!$A$2:$A$46, A6)</f>
        <v/>
      </c>
      <c r="C6" s="28">
        <f>SUMIF('Gemini 3 Pro Grading'!$A$2:$A$46, $A6, 'Gemini 3 Pro Grading'!$C$2:$C$46)</f>
        <v/>
      </c>
      <c r="D6" s="28">
        <f>SUMIF('Gemini 3 Pro Grading'!$A$47:$A$53, $A6, 'Gemini 3 Pro Grading'!$C$47:$C$53)</f>
        <v/>
      </c>
      <c r="E6" s="28">
        <f>COUNTIFS('Gemini 3 Pro Grading'!$A$2:$A$46, $A6, 'Gemini 3 Pro Grading'!$C$2:$C$46,0)</f>
        <v/>
      </c>
      <c r="F6" s="28">
        <f>IFERROR(C6 / (C6 + D6), "Not Available")</f>
        <v/>
      </c>
      <c r="G6" s="28">
        <f>IFERROR(C6 / B6, "Not Available")</f>
        <v/>
      </c>
      <c r="H6" s="28">
        <f>IFERROR(2*((F6*G6)/(F6+G6)),"Not Available")</f>
        <v/>
      </c>
      <c r="J6" s="15" t="n"/>
      <c r="K6" s="15" t="n"/>
    </row>
    <row r="7" ht="15.75" customHeight="1" s="67">
      <c r="A7" s="29" t="inlineStr">
        <is>
          <t>Region</t>
        </is>
      </c>
      <c r="B7" s="27">
        <f>COUNTIF('Chess Clock'!$A$2:$A$44, A7)</f>
        <v/>
      </c>
      <c r="C7" s="28">
        <f>SUMIF('Gemini 3 Pro Grading'!$A$2:$A$46, $A7, 'Gemini 3 Pro Grading'!$C$2:$C$46)</f>
        <v/>
      </c>
      <c r="D7" s="28">
        <f>SUMIF('Gemini 3 Pro Grading'!$A$47:$A$53, $A7, 'Gemini 3 Pro Grading'!$C$47:$C$53)</f>
        <v/>
      </c>
      <c r="E7" s="28">
        <f>COUNTIFS('Gemini 3 Pro Grading'!$A$2:$A$46, $A7, 'Gemini 3 Pro Grading'!$C$2:$C$46,0)</f>
        <v/>
      </c>
      <c r="F7" s="28">
        <f>IFERROR(C7 / (C7 + D8), "Not Available")</f>
        <v/>
      </c>
      <c r="G7" s="28">
        <f>IFERROR(C7 / B7, "Not Available")</f>
        <v/>
      </c>
      <c r="H7" s="28">
        <f>IFERROR(2*((F7*G7)/(F7+G7)),"Not Available")</f>
        <v/>
      </c>
      <c r="J7" t="inlineStr">
        <is>
          <t>Grading LLMs</t>
        </is>
      </c>
    </row>
    <row r="8" ht="15.75" customHeight="1" s="67">
      <c r="A8" s="29" t="inlineStr">
        <is>
          <t>History State</t>
        </is>
      </c>
      <c r="B8" s="27">
        <f>COUNTIF('Chess Clock'!$A$2:$A$46, A8)</f>
        <v/>
      </c>
      <c r="C8" s="28">
        <f>SUMIF('Gemini 3 Pro Grading'!$A$2:$A$46, $A8, 'Gemini 3 Pro Grading'!$C$2:$C$46)</f>
        <v/>
      </c>
      <c r="D8" s="28">
        <f>SUMIF('Gemini 3 Pro Grading'!$A$47:$A$53, $A8, 'Gemini 3 Pro Grading'!$C$47:$C$53)</f>
        <v/>
      </c>
      <c r="E8" s="28">
        <f>COUNTIFS('Gemini 3 Pro Grading'!$A$2:$A$46, $A8, 'Gemini 3 Pro Grading'!$C$2:$C$46,0)</f>
        <v/>
      </c>
      <c r="F8" s="28">
        <f>IFERROR(C8 / (C8 +#REF!), "Not Available")</f>
        <v/>
      </c>
      <c r="G8" s="28">
        <f>IFERROR(C8 / B8, "Not Available")</f>
        <v/>
      </c>
      <c r="H8" s="28">
        <f>IFERROR(2*((F8*G8)/(F8+G8)),"Not Available")</f>
        <v/>
      </c>
      <c r="J8" t="inlineStr">
        <is>
          <t>Gemini 3 Pro</t>
        </is>
      </c>
    </row>
    <row r="9" ht="15.75" customHeight="1" s="67">
      <c r="A9" s="29" t="inlineStr">
        <is>
          <t>Guard</t>
        </is>
      </c>
      <c r="B9" s="27">
        <f>COUNTIF('Chess Clock'!$A$2:$A$44, A9)</f>
        <v/>
      </c>
      <c r="C9" s="28">
        <f>SUMIF('Gemini 3 Pro Grading'!$A$2:$A$46, $A9, 'Gemini 3 Pro Grading'!$C$2:$C$46)</f>
        <v/>
      </c>
      <c r="D9" s="28">
        <f>SUMIF('Gemini 3 Pro Grading'!$A$47:$A$53, $A9, 'Gemini 3 Pro Grading'!$C$47:$C$53)</f>
        <v/>
      </c>
      <c r="E9" s="28">
        <f>COUNTIFS('Gemini 3 Pro Grading'!$A$2:$A$46, $A9, 'Gemini 3 Pro Grading'!$C$2:$C$46,0)</f>
        <v/>
      </c>
      <c r="F9" s="28">
        <f>IFERROR(C9 / (C9 + D9), "Not Available")</f>
        <v/>
      </c>
      <c r="G9" s="28">
        <f>IFERROR(C9 / B9, "Not Available")</f>
        <v/>
      </c>
      <c r="H9" s="28">
        <f>IFERROR(2*((F9*G9)/(F9+G9)),"Not Available")</f>
        <v/>
      </c>
      <c r="J9" t="inlineStr">
        <is>
          <t>Claude Sonnet 4.5</t>
        </is>
      </c>
    </row>
    <row r="10" ht="15.75" customHeight="1" s="67">
      <c r="A10" s="29" t="inlineStr">
        <is>
          <t>Overall Score</t>
        </is>
      </c>
      <c r="B10" s="28">
        <f>SUM(B3:B9)</f>
        <v/>
      </c>
      <c r="C10" s="28">
        <f>SUM(C3:C9)</f>
        <v/>
      </c>
      <c r="D10" s="28">
        <f>SUM(D3:D9)</f>
        <v/>
      </c>
      <c r="E10" s="28">
        <f>SUM(E3:E9)</f>
        <v/>
      </c>
      <c r="F10" s="28">
        <f>IFERROR(C10 / (C10 + D10), "Not Available")</f>
        <v/>
      </c>
      <c r="G10" s="28">
        <f>IFERROR(C10 / B10, "Not Available")</f>
        <v/>
      </c>
      <c r="H10" s="28">
        <f>IFERROR(2*((F10*G10)/(F10+G10)),"Not Available")</f>
        <v/>
      </c>
    </row>
    <row r="11" ht="15.75" customHeight="1" s="67"/>
    <row r="12" ht="15.75" customHeight="1" s="67">
      <c r="A12" s="71" t="inlineStr">
        <is>
          <t>Graded by Claude Sonnet 4.5</t>
        </is>
      </c>
    </row>
    <row r="13" ht="15.75" customHeight="1" s="67">
      <c r="A13" s="24" t="inlineStr">
        <is>
          <t>Type</t>
        </is>
      </c>
      <c r="B13" s="24" t="inlineStr">
        <is>
          <t>Ground Truth Count</t>
        </is>
      </c>
      <c r="C13" s="24" t="inlineStr">
        <is>
          <t>True Positive</t>
        </is>
      </c>
      <c r="D13" s="24" t="inlineStr">
        <is>
          <t>False Positive</t>
        </is>
      </c>
      <c r="E13" s="24" t="inlineStr">
        <is>
          <t>False Negative</t>
        </is>
      </c>
      <c r="F13" s="24" t="inlineStr">
        <is>
          <t>Precision</t>
        </is>
      </c>
      <c r="G13" s="24" t="inlineStr">
        <is>
          <t>Recall</t>
        </is>
      </c>
      <c r="H13" s="24" t="inlineStr">
        <is>
          <t>F1 Score</t>
        </is>
      </c>
    </row>
    <row r="14" ht="15.75" customHeight="1" s="67">
      <c r="A14" s="26" t="inlineStr">
        <is>
          <t>Composite state</t>
        </is>
      </c>
      <c r="B14" s="27">
        <f>COUNTIF('Chess Clock'!$A$2:$A$44, A14)</f>
        <v/>
      </c>
      <c r="C14" s="28">
        <f>SUMIF('Claude Sonnet 4.5 Grading'!$A$2:$A$46, $A14, 'Claude Sonnet 4.5 Grading'!$C$2:$C$46)</f>
        <v/>
      </c>
      <c r="D14" s="28">
        <f>SUMIF('Claude Sonnet 4.5 Grading'!$A$47:$A$53, $A3, 'Claude Sonnet 4.5 Grading'!$C$47:$C$53)</f>
        <v/>
      </c>
      <c r="E14" s="28">
        <f>COUNTIFS('Claude Sonnet 4.5 Grading'!$A$2:$A$46, $A3, 'Claude Sonnet 4.5 Grading'!$C$2:$C$46,0)</f>
        <v/>
      </c>
      <c r="F14" s="28">
        <f>IFERROR(C14 / (C14 + D14), "Not Available")</f>
        <v/>
      </c>
      <c r="G14" s="28">
        <f>IFERROR(C14 / B14, "Not Available")</f>
        <v/>
      </c>
      <c r="H14" s="28">
        <f>IFERROR(2*((F14*G14)/(F14+G14)),"Not Available")</f>
        <v/>
      </c>
    </row>
    <row r="15" ht="15.75" customHeight="1" s="67">
      <c r="A15" s="29" t="inlineStr">
        <is>
          <t>State</t>
        </is>
      </c>
      <c r="B15" s="27">
        <f>COUNTIF('Chess Clock'!$A$2:$A$44, A15)</f>
        <v/>
      </c>
      <c r="C15" s="28">
        <f>SUMIF('Claude Sonnet 4.5 Grading'!$A$2:$A$46, $A15, 'Claude Sonnet 4.5 Grading'!$C$2:$C$46)</f>
        <v/>
      </c>
      <c r="D15" s="28">
        <f>SUMIF('Claude Sonnet 4.5 Grading'!$A$47:$A$53, $A4, 'Claude Sonnet 4.5 Grading'!$C$47:$C$53)</f>
        <v/>
      </c>
      <c r="E15" s="28">
        <f>COUNTIFS('Claude Sonnet 4.5 Grading'!$A$2:$A$46, $A4, 'Claude Sonnet 4.5 Grading'!$C$2:$C$46,0)</f>
        <v/>
      </c>
      <c r="F15" s="28">
        <f>IFERROR(C15 / (C15 + D15), "Not Available")</f>
        <v/>
      </c>
      <c r="G15" s="28">
        <f>IFERROR(C15 / B15, "Not Available")</f>
        <v/>
      </c>
      <c r="H15" s="28">
        <f>IFERROR(2*((F15*G15)/(F15+G15)),"Not Available")</f>
        <v/>
      </c>
    </row>
    <row r="16" ht="15.75" customHeight="1" s="67">
      <c r="A16" s="29" t="inlineStr">
        <is>
          <t>Transition</t>
        </is>
      </c>
      <c r="B16" s="27">
        <f>COUNTIF('Chess Clock'!$A$2:$A$44, A16)</f>
        <v/>
      </c>
      <c r="C16" s="28">
        <f>SUMIF('Claude Sonnet 4.5 Grading'!$A$2:$A$46, $A16, 'Claude Sonnet 4.5 Grading'!$C$2:$C$46)</f>
        <v/>
      </c>
      <c r="D16" s="28">
        <f>SUMIF('Claude Sonnet 4.5 Grading'!$A$47:$A$53, $A5, 'Claude Sonnet 4.5 Grading'!$C$47:$C$53)</f>
        <v/>
      </c>
      <c r="E16" s="28">
        <f>COUNTIFS('Claude Sonnet 4.5 Grading'!$A$2:$A$46, $A5, 'Claude Sonnet 4.5 Grading'!$C$2:$C$46,0)</f>
        <v/>
      </c>
      <c r="F16" s="28">
        <f>IFERROR(C16 / (C16 + D16), "Not Available")</f>
        <v/>
      </c>
      <c r="G16" s="28">
        <f>IFERROR(C16 / B16, "Not Available")</f>
        <v/>
      </c>
      <c r="H16" s="28">
        <f>IFERROR(2*((F16*G16)/(F16+G16)),"Not Available")</f>
        <v/>
      </c>
    </row>
    <row r="17" ht="15.75" customHeight="1" s="67">
      <c r="A17" s="29" t="inlineStr">
        <is>
          <t>Action</t>
        </is>
      </c>
      <c r="B17" s="27">
        <f>COUNTIF('Chess Clock'!$A$2:$A$46, A17)</f>
        <v/>
      </c>
      <c r="C17" s="28">
        <f>SUMIF('Claude Sonnet 4.5 Grading'!$A$2:$A$46, $A17, 'Claude Sonnet 4.5 Grading'!$C$2:$C$46)</f>
        <v/>
      </c>
      <c r="D17" s="28">
        <f>SUMIF('Claude Sonnet 4.5 Grading'!$A$47:$A$53, $A6, 'Claude Sonnet 4.5 Grading'!$C$47:$C$53)</f>
        <v/>
      </c>
      <c r="E17" s="28">
        <f>COUNTIFS('Claude Sonnet 4.5 Grading'!$A$2:$A$46, $A6, 'Claude Sonnet 4.5 Grading'!$C$2:$C$46,0)</f>
        <v/>
      </c>
      <c r="F17" s="28">
        <f>IFERROR(C17 / (C17 + D17), "Not Available")</f>
        <v/>
      </c>
      <c r="G17" s="28">
        <f>IFERROR(C17 / B17, "Not Available")</f>
        <v/>
      </c>
      <c r="H17" s="28">
        <f>IFERROR(2*((F17*G17)/(F17+G17)),"Not Available")</f>
        <v/>
      </c>
    </row>
    <row r="18" ht="15.75" customHeight="1" s="67">
      <c r="A18" s="29" t="inlineStr">
        <is>
          <t>Region</t>
        </is>
      </c>
      <c r="B18" s="27">
        <f>COUNTIF('Chess Clock'!$A$2:$A$46, A18)</f>
        <v/>
      </c>
      <c r="C18" s="28">
        <f>SUMIF('Claude Sonnet 4.5 Grading'!$A$2:$A$46, $A18, 'Claude Sonnet 4.5 Grading'!$C$2:$C$46)</f>
        <v/>
      </c>
      <c r="D18" s="28">
        <f>SUMIF('Claude Sonnet 4.5 Grading'!$A$47:$A$53, $A7, 'Claude Sonnet 4.5 Grading'!$C$47:$C$53)</f>
        <v/>
      </c>
      <c r="E18" s="28">
        <f>COUNTIFS('Claude Sonnet 4.5 Grading'!$A$2:$A$46, $A7, 'Claude Sonnet 4.5 Grading'!$C$2:$C$46,0)</f>
        <v/>
      </c>
      <c r="F18" s="28">
        <f>IFERROR(C18 / (C18 + D18), "Not Available")</f>
        <v/>
      </c>
      <c r="G18" s="28">
        <f>IFERROR(C18 / B18, "Not Available")</f>
        <v/>
      </c>
      <c r="H18" s="28">
        <f>IFERROR(2*((F18*G18)/(F18+G18)),"Not Available")</f>
        <v/>
      </c>
    </row>
    <row r="19" ht="15.75" customHeight="1" s="67">
      <c r="A19" s="29" t="inlineStr">
        <is>
          <t>History State</t>
        </is>
      </c>
      <c r="B19" s="27">
        <f>COUNTIF('Chess Clock'!$A$2:$A$44, A19)</f>
        <v/>
      </c>
      <c r="C19" s="28">
        <f>SUMIF('Claude Sonnet 4.5 Grading'!$A$2:$A$46, $A19, 'Claude Sonnet 4.5 Grading'!$C$2:$C$46)</f>
        <v/>
      </c>
      <c r="D19" s="28">
        <f>SUMIF('Claude Sonnet 4.5 Grading'!$A$47:$A$53, $A8, 'Claude Sonnet 4.5 Grading'!$C$47:$C$53)</f>
        <v/>
      </c>
      <c r="E19" s="28">
        <f>COUNTIFS('Claude Sonnet 4.5 Grading'!$A$2:$A$46, $A8, 'Claude Sonnet 4.5 Grading'!$C$2:$C$46,0)</f>
        <v/>
      </c>
      <c r="F19" s="28">
        <f>IFERROR(C19 / (C19 + D19), "Not Available")</f>
        <v/>
      </c>
      <c r="G19" s="28">
        <f>IFERROR(C19 / B19, "Not Available")</f>
        <v/>
      </c>
      <c r="H19" s="28">
        <f>IFERROR(2*((F19*G19)/(F19+G19)),"Not Available")</f>
        <v/>
      </c>
    </row>
    <row r="20" ht="15.75" customHeight="1" s="67">
      <c r="A20" s="29" t="inlineStr">
        <is>
          <t>Guard</t>
        </is>
      </c>
      <c r="B20" s="27">
        <f>COUNTIF('Chess Clock'!$A$2:$A$46, A20)</f>
        <v/>
      </c>
      <c r="C20" s="28">
        <f>SUMIF('Claude Sonnet 4.5 Grading'!$A$2:$A$46, $A20, 'Claude Sonnet 4.5 Grading'!$C$2:$C$46)</f>
        <v/>
      </c>
      <c r="D20" s="28">
        <f>SUMIF('Claude Sonnet 4.5 Grading'!$A$47:$A$53, $A9, 'Claude Sonnet 4.5 Grading'!$C$47:$C$53)</f>
        <v/>
      </c>
      <c r="E20" s="28">
        <f>COUNTIFS('Claude Sonnet 4.5 Grading'!$A$2:$A$46, $A9, 'Claude Sonnet 4.5 Grading'!$C$2:$C$46,0)</f>
        <v/>
      </c>
      <c r="F20" s="28">
        <f>IFERROR(C20 / (C20 + D20), "Not Available")</f>
        <v/>
      </c>
      <c r="G20" s="28">
        <f>IFERROR(C20 / B20, "Not Available")</f>
        <v/>
      </c>
      <c r="H20" s="28">
        <f>IFERROR(2*((F20*G20)/(F20+G20)),"Not Available")</f>
        <v/>
      </c>
    </row>
    <row r="21" ht="15.75" customHeight="1" s="67">
      <c r="A21" s="29" t="inlineStr">
        <is>
          <t>Overall Score</t>
        </is>
      </c>
      <c r="B21" s="28">
        <f>SUM(B14:B20)</f>
        <v/>
      </c>
      <c r="C21" s="28">
        <f>SUM(C14:C20)</f>
        <v/>
      </c>
      <c r="D21" s="28">
        <f>SUM(D14:D20)</f>
        <v/>
      </c>
      <c r="E21" s="28">
        <f>SUM(E14:E20)</f>
        <v/>
      </c>
      <c r="F21" s="28">
        <f>IFERROR(C21 / (C21 + D21), "Not Available")</f>
        <v/>
      </c>
      <c r="G21" s="28">
        <f>IFERROR(C21 / B21, "Not Available")</f>
        <v/>
      </c>
      <c r="H21" s="28">
        <f>IFERROR(2*((F21*G21)/(F21+G21)),"Not Available")</f>
        <v/>
      </c>
    </row>
    <row r="22" ht="15.75" customHeight="1" s="67">
      <c r="H22" s="30" t="n"/>
    </row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3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67" min="1" max="1"/>
    <col width="34.1640625" customWidth="1" style="67" min="2" max="2"/>
    <col width="22.6640625" customWidth="1" style="67" min="3" max="3"/>
    <col width="23" customWidth="1" style="67" min="4" max="4"/>
    <col width="17.6640625" customWidth="1" style="67" min="5" max="6"/>
    <col width="22.5" customWidth="1" style="67" min="12" max="12"/>
    <col width="50" customWidth="1" style="67" min="14" max="14"/>
    <col width="7.5" customWidth="1" style="67" min="15" max="15"/>
    <col width="56.1640625" customWidth="1" style="67" min="16" max="16"/>
  </cols>
  <sheetData>
    <row r="1" ht="15.75" customHeight="1" s="67" thickBot="1">
      <c r="A1" s="1" t="inlineStr">
        <is>
          <t>Type</t>
        </is>
      </c>
      <c r="B1" s="2" t="inlineStr">
        <is>
          <t>Element</t>
        </is>
      </c>
      <c r="C1" s="70" t="inlineStr">
        <is>
          <t>Gemini 3 Pro</t>
        </is>
      </c>
      <c r="D1" s="70" t="inlineStr">
        <is>
          <t>Claude Sonnet 4.5</t>
        </is>
      </c>
      <c r="E1" s="30" t="n"/>
      <c r="F1" s="72" t="inlineStr">
        <is>
          <t>Confusion Matrix</t>
        </is>
      </c>
      <c r="L1" s="68" t="inlineStr">
        <is>
          <t>Cohen's Kappa</t>
        </is>
      </c>
      <c r="M1" s="73" t="n"/>
      <c r="N1" s="73" t="n"/>
    </row>
    <row r="2" ht="15.75" customHeight="1" s="67" thickBot="1" thickTop="1">
      <c r="A2" s="4">
        <f>'Gemini 3 Pro Grading'!A2</f>
        <v/>
      </c>
      <c r="B2" s="4">
        <f>'Gemini 3 Pro Grading'!B2</f>
        <v/>
      </c>
      <c r="C2" s="4">
        <f>'Gemini 3 Pro Grading'!C2</f>
        <v/>
      </c>
      <c r="D2" s="4">
        <f>'Claude Sonnet 4.5 Grading'!C2</f>
        <v/>
      </c>
      <c r="E2" s="30" t="n"/>
      <c r="F2" s="11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35" t="inlineStr">
        <is>
          <t>Row Totals</t>
        </is>
      </c>
      <c r="K2" s="11" t="n"/>
      <c r="L2" s="36" t="inlineStr">
        <is>
          <t>Metric</t>
        </is>
      </c>
      <c r="M2" s="36" t="inlineStr">
        <is>
          <t>Value</t>
        </is>
      </c>
      <c r="N2" s="36" t="inlineStr">
        <is>
          <t>Note</t>
        </is>
      </c>
    </row>
    <row r="3" ht="15.75" customHeight="1" s="67">
      <c r="A3" s="4">
        <f>'Gemini 3 Pro Grading'!A3</f>
        <v/>
      </c>
      <c r="B3" s="4">
        <f>'Gemini 3 Pro Grading'!B3</f>
        <v/>
      </c>
      <c r="C3" s="4">
        <f>'Gemini 3 Pro Grading'!C3</f>
        <v/>
      </c>
      <c r="D3" s="4">
        <f>'Claude Sonnet 4.5 Grading'!C3</f>
        <v/>
      </c>
      <c r="E3" s="30" t="n"/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11">
        <f>SUM(G3:I3)</f>
        <v/>
      </c>
      <c r="K3" s="11" t="n"/>
      <c r="L3" s="41" t="inlineStr">
        <is>
          <t>Observed Agreement (Po)</t>
        </is>
      </c>
      <c r="M3" s="38">
        <f>(G3+H4+I5)/COUNTA($C$2:$C$100)</f>
        <v/>
      </c>
      <c r="N3" s="40" t="inlineStr">
        <is>
          <t>This sums the diagonal of your matrix divided by total rows.</t>
        </is>
      </c>
    </row>
    <row r="4" ht="15.75" customHeight="1" s="67">
      <c r="A4" s="4">
        <f>'Gemini 3 Pro Grading'!A4</f>
        <v/>
      </c>
      <c r="B4" s="4">
        <f>'Gemini 3 Pro Grading'!B4</f>
        <v/>
      </c>
      <c r="C4" s="4">
        <f>'Gemini 3 Pro Grading'!C4</f>
        <v/>
      </c>
      <c r="D4" s="4">
        <f>'Claude Sonnet 4.5 Grading'!C4</f>
        <v/>
      </c>
      <c r="E4" s="30" t="n"/>
      <c r="F4" s="37" t="n">
        <v>0.5</v>
      </c>
      <c r="G4" s="42">
        <f>COUNTIFS($C$2:$C$46, $F4, $D$2:$D$46, G$2)</f>
        <v/>
      </c>
      <c r="H4" s="11">
        <f>COUNTIFS($C$2:$C$46, $F4, $D$2:$D$46, H$2)</f>
        <v/>
      </c>
      <c r="I4" s="43">
        <f>COUNTIFS($C$2:$C$46, $F4, $D$2:$D$46, I$2)</f>
        <v/>
      </c>
      <c r="J4" s="11">
        <f>SUM(G4:I4)</f>
        <v/>
      </c>
      <c r="K4" s="11" t="n"/>
      <c r="L4" s="41" t="inlineStr">
        <is>
          <t>Expected Agreement (Pe)</t>
        </is>
      </c>
      <c r="M4" s="42">
        <f t="array" ref="M4">SUMPRODUCT(J3:J5/COUNTA($C$2:$C$100), TRANSPOSE(G6:I6)/COUNTA($C$2:$C$100))</f>
        <v/>
      </c>
      <c r="N4" s="43" t="inlineStr">
        <is>
          <t>This computes the sum of row proportion times column proportion.</t>
        </is>
      </c>
    </row>
    <row r="5" ht="15.75" customHeight="1" s="67">
      <c r="A5" s="4">
        <f>'Gemini 3 Pro Grading'!A5</f>
        <v/>
      </c>
      <c r="B5" s="4">
        <f>'Gemini 3 Pro Grading'!B5</f>
        <v/>
      </c>
      <c r="C5" s="4">
        <f>'Gemini 3 Pro Grading'!C5</f>
        <v/>
      </c>
      <c r="D5" s="4">
        <f>'Claude Sonnet 4.5 Grading'!C5</f>
        <v/>
      </c>
      <c r="E5" s="30" t="n"/>
      <c r="F5" s="37" t="n">
        <v>1</v>
      </c>
      <c r="G5" s="44">
        <f>COUNTIFS($C$2:$C$46, $F5, $D$2:$D$46, G$2)+MAX(C47-D47,0)+MAX(C48-D48,0)+MAX(C49-D49,0)+MAX(C50-D50,0)+MAX(C51-D51,0)+MAX(C52-D52,0)+MAX(C53-D53,0)</f>
        <v/>
      </c>
      <c r="H5" s="45">
        <f>COUNTIFS($C$2:$C$46, $F5, $D$2:$D$46, H$2)</f>
        <v/>
      </c>
      <c r="I5" s="46">
        <f>COUNTIFS($C$2:$C$46, $F5, $D$2:$D$46, I$2)+ SUM(MIN(C47,D47), MIN(C48,D48), MIN(C49,D49), MIN(C50,D50), MIN(C51,D51), MIN(C52,D52), MIN(C53,D53))</f>
        <v/>
      </c>
      <c r="J5" s="11">
        <f>SUM(G5:I5)</f>
        <v/>
      </c>
      <c r="K5" s="11" t="n"/>
      <c r="L5" s="41" t="inlineStr">
        <is>
          <t>Cohen's Kappa</t>
        </is>
      </c>
      <c r="M5" s="44">
        <f>(M3-M4)/(1-M4)</f>
        <v/>
      </c>
      <c r="N5" s="46" t="inlineStr">
        <is>
          <t>(Po - Pe) / (1 - Pe)</t>
        </is>
      </c>
    </row>
    <row r="6" ht="15.75" customHeight="1" s="67">
      <c r="A6" s="4">
        <f>'Gemini 3 Pro Grading'!A6</f>
        <v/>
      </c>
      <c r="B6" s="4">
        <f>'Gemini 3 Pro Grading'!B6</f>
        <v/>
      </c>
      <c r="C6" s="4">
        <f>'Gemini 3 Pro Grading'!C6</f>
        <v/>
      </c>
      <c r="D6" s="4">
        <f>'Claude Sonnet 4.5 Grading'!C6</f>
        <v/>
      </c>
      <c r="E6" s="30" t="n"/>
      <c r="F6" s="47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 t="n"/>
      <c r="L6" s="11" t="n"/>
      <c r="M6" s="48" t="n"/>
    </row>
    <row r="7" ht="15.75" customHeight="1" s="67">
      <c r="A7" s="4">
        <f>'Gemini 3 Pro Grading'!A7</f>
        <v/>
      </c>
      <c r="B7" s="4">
        <f>'Gemini 3 Pro Grading'!B7</f>
        <v/>
      </c>
      <c r="C7" s="4">
        <f>'Gemini 3 Pro Grading'!C7</f>
        <v/>
      </c>
      <c r="D7" s="4">
        <f>'Claude Sonnet 4.5 Grading'!C7</f>
        <v/>
      </c>
      <c r="E7" s="30" t="n"/>
      <c r="L7" s="11" t="n"/>
      <c r="M7" s="11" t="n"/>
      <c r="N7" s="11" t="n"/>
    </row>
    <row r="8" ht="15.75" customHeight="1" s="67">
      <c r="A8" s="4">
        <f>'Gemini 3 Pro Grading'!A8</f>
        <v/>
      </c>
      <c r="B8" s="4">
        <f>'Gemini 3 Pro Grading'!B8</f>
        <v/>
      </c>
      <c r="C8" s="4">
        <f>'Gemini 3 Pro Grading'!C8</f>
        <v/>
      </c>
      <c r="D8" s="4">
        <f>'Claude Sonnet 4.5 Grading'!C8</f>
        <v/>
      </c>
      <c r="E8" s="30" t="n"/>
      <c r="F8" s="72" t="inlineStr">
        <is>
          <t>Confusion Matrix (State)</t>
        </is>
      </c>
      <c r="L8" s="68" t="inlineStr">
        <is>
          <t>Cohen's Kappa (State)</t>
        </is>
      </c>
      <c r="M8" s="73" t="n"/>
      <c r="N8" s="73" t="n"/>
    </row>
    <row r="9" ht="15.75" customHeight="1" s="67">
      <c r="A9" s="4">
        <f>'Gemini 3 Pro Grading'!A9</f>
        <v/>
      </c>
      <c r="B9" s="4">
        <f>'Gemini 3 Pro Grading'!B9</f>
        <v/>
      </c>
      <c r="C9" s="4">
        <f>'Gemini 3 Pro Grading'!C9</f>
        <v/>
      </c>
      <c r="D9" s="4">
        <f>'Claude Sonnet 4.5 Grading'!C9</f>
        <v/>
      </c>
      <c r="E9" s="30" t="n"/>
      <c r="F9" s="11" t="inlineStr">
        <is>
          <t>State</t>
        </is>
      </c>
      <c r="G9" s="49" t="inlineStr">
        <is>
          <t>0</t>
        </is>
      </c>
      <c r="H9" s="49" t="inlineStr">
        <is>
          <t>0.5</t>
        </is>
      </c>
      <c r="I9" s="49" t="inlineStr">
        <is>
          <t>1</t>
        </is>
      </c>
      <c r="J9" s="50" t="inlineStr">
        <is>
          <t>Row Totals</t>
        </is>
      </c>
      <c r="K9" s="11" t="n"/>
      <c r="L9" s="36" t="inlineStr">
        <is>
          <t>Metric</t>
        </is>
      </c>
      <c r="M9" s="36" t="inlineStr">
        <is>
          <t>Value</t>
        </is>
      </c>
      <c r="N9" s="36" t="inlineStr">
        <is>
          <t>Note</t>
        </is>
      </c>
    </row>
    <row r="10" ht="15.75" customHeight="1" s="67">
      <c r="A10" s="4">
        <f>'Gemini 3 Pro Grading'!A10</f>
        <v/>
      </c>
      <c r="B10" s="4">
        <f>'Gemini 3 Pro Grading'!B10</f>
        <v/>
      </c>
      <c r="C10" s="4">
        <f>'Gemini 3 Pro Grading'!C10</f>
        <v/>
      </c>
      <c r="D10" s="4">
        <f>'Claude Sonnet 4.5 Grading'!C10</f>
        <v/>
      </c>
      <c r="E10" s="30" t="n"/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11">
        <f>SUM(G10:I10)</f>
        <v/>
      </c>
      <c r="K10" s="11" t="n"/>
      <c r="L10" s="41" t="inlineStr">
        <is>
          <t>Observed Agreement (Po)</t>
        </is>
      </c>
      <c r="M10" s="38">
        <f>(G10+H11+I12)/COUNTIF($A$2:$A$100,F9)</f>
        <v/>
      </c>
      <c r="N10" s="40" t="inlineStr">
        <is>
          <t>This sums the diagonal of your matrix divided by total rows.</t>
        </is>
      </c>
    </row>
    <row r="11" ht="15.75" customHeight="1" s="67">
      <c r="A11" s="4">
        <f>'Gemini 3 Pro Grading'!A11</f>
        <v/>
      </c>
      <c r="B11" s="4">
        <f>'Gemini 3 Pro Grading'!B11</f>
        <v/>
      </c>
      <c r="C11" s="4">
        <f>'Gemini 3 Pro Grading'!C11</f>
        <v/>
      </c>
      <c r="D11" s="4">
        <f>'Claude Sonnet 4.5 Grading'!C11</f>
        <v/>
      </c>
      <c r="E11" s="30" t="n"/>
      <c r="F11" s="37" t="n">
        <v>0.5</v>
      </c>
      <c r="G11" s="42">
        <f>COUNTIFS($A$2:$A$90,$F$9,$C$2:$C$90,$F11,$D$2:$D$90,G$9)</f>
        <v/>
      </c>
      <c r="H11" s="11">
        <f>COUNTIFS($A$2:$A$90,$F$9,$C$2:$C$90,$F11,$D$2:$D$90,H$9)</f>
        <v/>
      </c>
      <c r="I11" s="43">
        <f>COUNTIFS($A$2:$A$90,$F$9,$C$2:$C$90,$F11,$D$2:$D$90,I$9)</f>
        <v/>
      </c>
      <c r="J11" s="11">
        <f>SUM(G11:I11)</f>
        <v/>
      </c>
      <c r="K11" s="11" t="n"/>
      <c r="L11" s="41" t="inlineStr">
        <is>
          <t>Expected Agreement (Pe)</t>
        </is>
      </c>
      <c r="M11" s="42">
        <f t="array" ref="M11">SUMPRODUCT(J10:J12/COUNTIF($A$2:$A$100,F9), TRANSPOSE(G13:I13)/COUNTIF($A$2:$A$100,F9))</f>
        <v/>
      </c>
      <c r="N11" s="43" t="inlineStr">
        <is>
          <t>This computes the sum of row proportion times column proportion.</t>
        </is>
      </c>
    </row>
    <row r="12" ht="15.75" customHeight="1" s="67">
      <c r="A12" s="4">
        <f>'Gemini 3 Pro Grading'!A12</f>
        <v/>
      </c>
      <c r="B12" s="4">
        <f>'Gemini 3 Pro Grading'!B12</f>
        <v/>
      </c>
      <c r="C12" s="4">
        <f>'Gemini 3 Pro Grading'!C12</f>
        <v/>
      </c>
      <c r="D12" s="4">
        <f>'Claude Sonnet 4.5 Grading'!C12</f>
        <v/>
      </c>
      <c r="E12" s="30" t="n"/>
      <c r="F12" s="37" t="n">
        <v>1</v>
      </c>
      <c r="G12" s="44">
        <f>COUNTIFS($A$2:$A$46,$F$9,$C$2:$C$46,$F12,$D$2:$D$46,G$9)+MAX(C47-D47,0)</f>
        <v/>
      </c>
      <c r="H12" s="45">
        <f>COUNTIFS($A$2:$A$90,$F$9,$C$2:$C$90,$F12,$D$2:$D$90,H$9)</f>
        <v/>
      </c>
      <c r="I12" s="46">
        <f>COUNTIFS($A$2:$A$46,$F$9,$C$2:$C$46,$F12,$D$2:$D$46,I$9)+MIN(C47-D47)</f>
        <v/>
      </c>
      <c r="J12" s="11">
        <f>SUM(G12:I12)</f>
        <v/>
      </c>
      <c r="K12" s="11" t="n"/>
      <c r="L12" s="41" t="inlineStr">
        <is>
          <t>Cohen's Kappa</t>
        </is>
      </c>
      <c r="M12" s="44">
        <f>(M10-M11)/(1-M11)</f>
        <v/>
      </c>
      <c r="N12" s="46" t="inlineStr">
        <is>
          <t>(Po - Pe) / (1 - Pe)</t>
        </is>
      </c>
    </row>
    <row r="13" ht="15.75" customHeight="1" s="67">
      <c r="A13" s="4">
        <f>'Gemini 3 Pro Grading'!A13</f>
        <v/>
      </c>
      <c r="B13" s="4">
        <f>'Gemini 3 Pro Grading'!B13</f>
        <v/>
      </c>
      <c r="C13" s="4">
        <f>'Gemini 3 Pro Grading'!C13</f>
        <v/>
      </c>
      <c r="D13" s="4">
        <f>'Claude Sonnet 4.5 Grading'!C13</f>
        <v/>
      </c>
      <c r="E13" s="30" t="n"/>
      <c r="F13" s="47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 t="n"/>
      <c r="L13" s="11" t="n"/>
      <c r="M13" s="48" t="n"/>
    </row>
    <row r="14" ht="15.75" customHeight="1" s="67">
      <c r="A14" s="4">
        <f>'Gemini 3 Pro Grading'!A14</f>
        <v/>
      </c>
      <c r="B14" s="4">
        <f>'Gemini 3 Pro Grading'!B14</f>
        <v/>
      </c>
      <c r="C14" s="4">
        <f>'Gemini 3 Pro Grading'!C14</f>
        <v/>
      </c>
      <c r="D14" s="4">
        <f>'Claude Sonnet 4.5 Grading'!C14</f>
        <v/>
      </c>
      <c r="E14" s="30" t="n"/>
    </row>
    <row r="15" ht="15.75" customHeight="1" s="67">
      <c r="A15" s="4">
        <f>'Gemini 3 Pro Grading'!A15</f>
        <v/>
      </c>
      <c r="B15" s="4">
        <f>'Gemini 3 Pro Grading'!B15</f>
        <v/>
      </c>
      <c r="C15" s="4">
        <f>'Gemini 3 Pro Grading'!C15</f>
        <v/>
      </c>
      <c r="D15" s="4">
        <f>'Claude Sonnet 4.5 Grading'!C15</f>
        <v/>
      </c>
      <c r="E15" s="30" t="n"/>
      <c r="F15" s="72" t="inlineStr">
        <is>
          <t>Confusion Matrix (Transition)</t>
        </is>
      </c>
      <c r="L15" s="68" t="inlineStr">
        <is>
          <t>Cohen's Kappa (Transition)</t>
        </is>
      </c>
      <c r="M15" s="73" t="n"/>
      <c r="N15" s="73" t="n"/>
    </row>
    <row r="16" ht="15.75" customHeight="1" s="67">
      <c r="A16" s="4">
        <f>'Gemini 3 Pro Grading'!A16</f>
        <v/>
      </c>
      <c r="B16" s="4">
        <f>'Gemini 3 Pro Grading'!B16</f>
        <v/>
      </c>
      <c r="C16" s="4">
        <f>'Gemini 3 Pro Grading'!C16</f>
        <v/>
      </c>
      <c r="D16" s="4">
        <f>'Claude Sonnet 4.5 Grading'!C16</f>
        <v/>
      </c>
      <c r="E16" s="30" t="n"/>
      <c r="F16" s="11" t="inlineStr">
        <is>
          <t>Transition</t>
        </is>
      </c>
      <c r="G16" s="49" t="inlineStr">
        <is>
          <t>0</t>
        </is>
      </c>
      <c r="H16" s="49" t="inlineStr">
        <is>
          <t>0.5</t>
        </is>
      </c>
      <c r="I16" s="49" t="inlineStr">
        <is>
          <t>1</t>
        </is>
      </c>
      <c r="J16" s="50" t="inlineStr">
        <is>
          <t>Row Totals</t>
        </is>
      </c>
      <c r="K16" s="11" t="n"/>
      <c r="L16" s="36" t="inlineStr">
        <is>
          <t>Metric</t>
        </is>
      </c>
      <c r="M16" s="36" t="inlineStr">
        <is>
          <t>Value</t>
        </is>
      </c>
      <c r="N16" s="36" t="inlineStr">
        <is>
          <t>Note</t>
        </is>
      </c>
    </row>
    <row r="17" ht="15.75" customHeight="1" s="67">
      <c r="A17" s="4">
        <f>'Gemini 3 Pro Grading'!A17</f>
        <v/>
      </c>
      <c r="B17" s="4">
        <f>'Gemini 3 Pro Grading'!B17</f>
        <v/>
      </c>
      <c r="C17" s="4">
        <f>'Gemini 3 Pro Grading'!C17</f>
        <v/>
      </c>
      <c r="D17" s="4">
        <f>'Claude Sonnet 4.5 Grading'!C17</f>
        <v/>
      </c>
      <c r="E17" s="30" t="n"/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11">
        <f>SUM(G17:I17)</f>
        <v/>
      </c>
      <c r="K17" s="11" t="n"/>
      <c r="L17" s="41" t="inlineStr">
        <is>
          <t>Observed Agreement (Po)</t>
        </is>
      </c>
      <c r="M17" s="38">
        <f>(G17+H18+I19)/COUNTIF($A$2:$A$100,F16)</f>
        <v/>
      </c>
      <c r="N17" s="40" t="inlineStr">
        <is>
          <t>This sums the diagonal of your matrix divided by total rows.</t>
        </is>
      </c>
    </row>
    <row r="18" ht="15.75" customHeight="1" s="67">
      <c r="A18" s="4">
        <f>'Gemini 3 Pro Grading'!A18</f>
        <v/>
      </c>
      <c r="B18" s="4">
        <f>'Gemini 3 Pro Grading'!B18</f>
        <v/>
      </c>
      <c r="C18" s="4">
        <f>'Gemini 3 Pro Grading'!C18</f>
        <v/>
      </c>
      <c r="D18" s="4">
        <f>'Claude Sonnet 4.5 Grading'!C18</f>
        <v/>
      </c>
      <c r="E18" s="30" t="n"/>
      <c r="F18" s="37" t="n">
        <v>0.5</v>
      </c>
      <c r="G18" s="42">
        <f>COUNTIFS($A$2:$A$90,$F$16,$C$2:$C$90,$F18,$D$2:$D$90,G$16)</f>
        <v/>
      </c>
      <c r="H18" s="11">
        <f>COUNTIFS($A$2:$A$90,$F$16,$C$2:$C$90,$F18,$D$2:$D$90,H$16)</f>
        <v/>
      </c>
      <c r="I18" s="43">
        <f>COUNTIFS($A$2:$A$90,$F$16,$C$2:$C$90,$F18,$D$2:$D$90,I$16)</f>
        <v/>
      </c>
      <c r="J18" s="11">
        <f>SUM(G18:I18)</f>
        <v/>
      </c>
      <c r="K18" s="11" t="n"/>
      <c r="L18" s="41" t="inlineStr">
        <is>
          <t>Expected Agreement (Pe)</t>
        </is>
      </c>
      <c r="M18" s="42">
        <f t="array" ref="M18">SUMPRODUCT(J17:J19/COUNTIF($A$2:$A$100,F16), TRANSPOSE(G20:I20)/COUNTIF($A$2:$A$100,F16))</f>
        <v/>
      </c>
      <c r="N18" s="43" t="inlineStr">
        <is>
          <t>This computes the sum of row proportion times column proportion.</t>
        </is>
      </c>
    </row>
    <row r="19" ht="15.75" customHeight="1" s="67">
      <c r="A19" s="4">
        <f>'Gemini 3 Pro Grading'!A19</f>
        <v/>
      </c>
      <c r="B19" s="4">
        <f>'Gemini 3 Pro Grading'!B19</f>
        <v/>
      </c>
      <c r="C19" s="4">
        <f>'Gemini 3 Pro Grading'!C19</f>
        <v/>
      </c>
      <c r="D19" s="4">
        <f>'Claude Sonnet 4.5 Grading'!C19</f>
        <v/>
      </c>
      <c r="E19" s="30" t="n"/>
      <c r="F19" s="37" t="n">
        <v>1</v>
      </c>
      <c r="G19" s="44">
        <f>COUNTIFS($A$2:$A$46,$F$16,$C$2:$C$46,$F19,$D$2:$D$46,G$16)+MAX(C48-D48,0)</f>
        <v/>
      </c>
      <c r="H19" s="45">
        <f>COUNTIFS($A$2:$A$90,$F$16,$C$2:$C$90,$F19,$D$2:$D$90,H$16)</f>
        <v/>
      </c>
      <c r="I19" s="46">
        <f>COUNTIFS($A$2:$A$46,$F$16,$C$2:$C$46,$F19,$D$2:$D$46,I$16) + MIN(C48,D48)</f>
        <v/>
      </c>
      <c r="J19" s="11">
        <f>SUM(G19:I19)</f>
        <v/>
      </c>
      <c r="K19" s="11" t="n"/>
      <c r="L19" s="41" t="inlineStr">
        <is>
          <t>Cohen's Kappa</t>
        </is>
      </c>
      <c r="M19" s="44">
        <f>(M17-M18)/(1-M18)</f>
        <v/>
      </c>
      <c r="N19" s="46" t="inlineStr">
        <is>
          <t>(Po - Pe) / (1 - Pe)</t>
        </is>
      </c>
    </row>
    <row r="20" ht="15.75" customHeight="1" s="67">
      <c r="A20" s="4">
        <f>'Gemini 3 Pro Grading'!A20</f>
        <v/>
      </c>
      <c r="B20" s="4">
        <f>'Gemini 3 Pro Grading'!B20</f>
        <v/>
      </c>
      <c r="C20" s="4">
        <f>'Gemini 3 Pro Grading'!C20</f>
        <v/>
      </c>
      <c r="D20" s="4">
        <f>'Claude Sonnet 4.5 Grading'!C20</f>
        <v/>
      </c>
      <c r="E20" s="30" t="n"/>
      <c r="F20" s="47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 t="n"/>
      <c r="L20" s="11" t="n"/>
      <c r="M20" s="48" t="n"/>
    </row>
    <row r="21" ht="15.75" customHeight="1" s="67">
      <c r="A21" s="4">
        <f>'Gemini 3 Pro Grading'!A21</f>
        <v/>
      </c>
      <c r="B21" s="4">
        <f>'Gemini 3 Pro Grading'!B21</f>
        <v/>
      </c>
      <c r="C21" s="4">
        <f>'Gemini 3 Pro Grading'!C21</f>
        <v/>
      </c>
      <c r="D21" s="4">
        <f>'Claude Sonnet 4.5 Grading'!C21</f>
        <v/>
      </c>
      <c r="E21" s="30" t="n"/>
    </row>
    <row r="22" ht="15.75" customHeight="1" s="67">
      <c r="A22" s="4">
        <f>'Gemini 3 Pro Grading'!A22</f>
        <v/>
      </c>
      <c r="B22" s="4">
        <f>'Gemini 3 Pro Grading'!B22</f>
        <v/>
      </c>
      <c r="C22" s="4">
        <f>'Gemini 3 Pro Grading'!C22</f>
        <v/>
      </c>
      <c r="D22" s="4">
        <f>'Claude Sonnet 4.5 Grading'!C22</f>
        <v/>
      </c>
      <c r="E22" s="30" t="n"/>
      <c r="F22" s="72" t="inlineStr">
        <is>
          <t>Confusion Matrix (Composite State)</t>
        </is>
      </c>
      <c r="L22" s="68" t="inlineStr">
        <is>
          <t>Cohen's Kappa (Composite State)</t>
        </is>
      </c>
      <c r="M22" s="73" t="n"/>
      <c r="N22" s="73" t="n"/>
    </row>
    <row r="23" ht="15.75" customHeight="1" s="67">
      <c r="A23" s="4">
        <f>'Gemini 3 Pro Grading'!A23</f>
        <v/>
      </c>
      <c r="B23" s="4">
        <f>'Gemini 3 Pro Grading'!B23</f>
        <v/>
      </c>
      <c r="C23" s="4">
        <f>'Gemini 3 Pro Grading'!C23</f>
        <v/>
      </c>
      <c r="D23" s="4">
        <f>'Claude Sonnet 4.5 Grading'!C23</f>
        <v/>
      </c>
      <c r="E23" s="30" t="n"/>
      <c r="F23" s="11" t="inlineStr">
        <is>
          <t>Composite State</t>
        </is>
      </c>
      <c r="G23" s="49" t="inlineStr">
        <is>
          <t>0</t>
        </is>
      </c>
      <c r="H23" s="49" t="inlineStr">
        <is>
          <t>0.5</t>
        </is>
      </c>
      <c r="I23" s="49" t="inlineStr">
        <is>
          <t>1</t>
        </is>
      </c>
      <c r="J23" s="50" t="inlineStr">
        <is>
          <t>Row Totals</t>
        </is>
      </c>
      <c r="K23" s="11" t="n"/>
      <c r="L23" s="36" t="inlineStr">
        <is>
          <t>Metric</t>
        </is>
      </c>
      <c r="M23" s="36" t="inlineStr">
        <is>
          <t>Value</t>
        </is>
      </c>
      <c r="N23" s="36" t="inlineStr">
        <is>
          <t>Note</t>
        </is>
      </c>
    </row>
    <row r="24" ht="15.75" customHeight="1" s="67">
      <c r="A24" s="4">
        <f>'Gemini 3 Pro Grading'!A24</f>
        <v/>
      </c>
      <c r="B24" s="4">
        <f>'Gemini 3 Pro Grading'!B24</f>
        <v/>
      </c>
      <c r="C24" s="4">
        <f>'Gemini 3 Pro Grading'!C24</f>
        <v/>
      </c>
      <c r="D24" s="4">
        <f>'Claude Sonnet 4.5 Grading'!C24</f>
        <v/>
      </c>
      <c r="E24" s="30" t="n"/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11">
        <f>SUM(G24:I24)</f>
        <v/>
      </c>
      <c r="K24" s="11" t="n"/>
      <c r="L24" s="41" t="inlineStr">
        <is>
          <t>Observed Agreement (Po)</t>
        </is>
      </c>
      <c r="M24" s="38">
        <f>(G24+H25+I26)/COUNTIF($A$2:$A$100,F23)</f>
        <v/>
      </c>
      <c r="N24" s="40" t="inlineStr">
        <is>
          <t>This sums the diagonal of your matrix divided by total rows.</t>
        </is>
      </c>
    </row>
    <row r="25" ht="15.75" customHeight="1" s="67">
      <c r="A25" s="4">
        <f>'Gemini 3 Pro Grading'!A25</f>
        <v/>
      </c>
      <c r="B25" s="4">
        <f>'Gemini 3 Pro Grading'!B25</f>
        <v/>
      </c>
      <c r="C25" s="4">
        <f>'Gemini 3 Pro Grading'!C25</f>
        <v/>
      </c>
      <c r="D25" s="4">
        <f>'Claude Sonnet 4.5 Grading'!C25</f>
        <v/>
      </c>
      <c r="E25" s="30" t="n"/>
      <c r="F25" s="37" t="n">
        <v>0.5</v>
      </c>
      <c r="G25" s="42">
        <f>COUNTIFS($A$2:$A$90,$F$23,$C$2:$C$90,$F25,$D$2:$D$90,G$23)</f>
        <v/>
      </c>
      <c r="H25" s="11">
        <f>COUNTIFS($A$2:$A$90,$F$23,$C$2:$C$90,$F25,$D$2:$D$90,H$23)</f>
        <v/>
      </c>
      <c r="I25" s="43">
        <f>COUNTIFS($A$2:$A$90,$F$23,$C$2:$C$90,$F25,$D$2:$D$90,I$23)</f>
        <v/>
      </c>
      <c r="J25" s="11">
        <f>SUM(G25:I25)</f>
        <v/>
      </c>
      <c r="K25" s="11" t="n"/>
      <c r="L25" s="41" t="inlineStr">
        <is>
          <t>Expected Agreement (Pe)</t>
        </is>
      </c>
      <c r="M25" s="42">
        <f t="array" ref="M25">SUMPRODUCT(J24:J26/COUNTIF($A$2:$A$100,F23), TRANSPOSE(G27:I27)/COUNTIF($A$2:$A$100,F23))</f>
        <v/>
      </c>
      <c r="N25" s="43" t="inlineStr">
        <is>
          <t>This computes the sum of row proportion times column proportion.</t>
        </is>
      </c>
    </row>
    <row r="26" ht="15.75" customHeight="1" s="67">
      <c r="A26" s="4">
        <f>'Gemini 3 Pro Grading'!A26</f>
        <v/>
      </c>
      <c r="B26" s="4">
        <f>'Gemini 3 Pro Grading'!B26</f>
        <v/>
      </c>
      <c r="C26" s="4">
        <f>'Gemini 3 Pro Grading'!C26</f>
        <v/>
      </c>
      <c r="D26" s="4">
        <f>'Claude Sonnet 4.5 Grading'!C26</f>
        <v/>
      </c>
      <c r="E26" s="30" t="n"/>
      <c r="F26" s="37" t="n">
        <v>1</v>
      </c>
      <c r="G26" s="44">
        <f>COUNTIFS($A$2:$A$46,$F$23,$C$2:$C$46,$F26,$D$2:$D$46,G$23) + MAX(C51-D51,0)</f>
        <v/>
      </c>
      <c r="H26" s="45">
        <f>COUNTIFS($A$2:$A$90,$F$23,$C$2:$C$90,$F26,$D$2:$D$90,H$23)</f>
        <v/>
      </c>
      <c r="I26" s="46">
        <f>COUNTIFS($A$2:$A$46,$F$23,$C$2:$C$46,$F26,$D$2:$D$46,I$23) + MIN(C51,D51)</f>
        <v/>
      </c>
      <c r="J26" s="11">
        <f>SUM(G26:I26)</f>
        <v/>
      </c>
      <c r="K26" s="11" t="n"/>
      <c r="L26" s="41" t="inlineStr">
        <is>
          <t>Cohen's Kappa</t>
        </is>
      </c>
      <c r="M26" s="44">
        <f>(M24-M25)/(1-M25)</f>
        <v/>
      </c>
      <c r="N26" s="46" t="inlineStr">
        <is>
          <t>(Po - Pe) / (1 - Pe)</t>
        </is>
      </c>
    </row>
    <row r="27" ht="15.75" customHeight="1" s="67">
      <c r="A27" s="4">
        <f>'Gemini 3 Pro Grading'!A27</f>
        <v/>
      </c>
      <c r="B27" s="4">
        <f>'Gemini 3 Pro Grading'!B27</f>
        <v/>
      </c>
      <c r="C27" s="4">
        <f>'Gemini 3 Pro Grading'!C27</f>
        <v/>
      </c>
      <c r="D27" s="4">
        <f>'Claude Sonnet 4.5 Grading'!C27</f>
        <v/>
      </c>
      <c r="E27" s="30" t="n"/>
      <c r="F27" s="47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 t="n"/>
      <c r="L27" s="11" t="n"/>
      <c r="M27" s="48" t="n"/>
    </row>
    <row r="28" ht="15.75" customHeight="1" s="67">
      <c r="A28" s="4">
        <f>'Gemini 3 Pro Grading'!A28</f>
        <v/>
      </c>
      <c r="B28" s="4">
        <f>'Gemini 3 Pro Grading'!B28</f>
        <v/>
      </c>
      <c r="C28" s="4">
        <f>'Gemini 3 Pro Grading'!C28</f>
        <v/>
      </c>
      <c r="D28" s="4">
        <f>'Claude Sonnet 4.5 Grading'!C28</f>
        <v/>
      </c>
      <c r="E28" s="30" t="n"/>
    </row>
    <row r="29" ht="15.75" customHeight="1" s="67">
      <c r="A29" s="4">
        <f>'Gemini 3 Pro Grading'!A29</f>
        <v/>
      </c>
      <c r="B29" s="4">
        <f>'Gemini 3 Pro Grading'!B29</f>
        <v/>
      </c>
      <c r="C29" s="4">
        <f>'Gemini 3 Pro Grading'!C29</f>
        <v/>
      </c>
      <c r="D29" s="4">
        <f>'Claude Sonnet 4.5 Grading'!C29</f>
        <v/>
      </c>
      <c r="E29" s="30" t="n"/>
      <c r="F29" s="72" t="inlineStr">
        <is>
          <t>Confusion Matrix (Guard)</t>
        </is>
      </c>
      <c r="L29" s="68" t="inlineStr">
        <is>
          <t>Cohen's Kappa (Guard)</t>
        </is>
      </c>
      <c r="M29" s="73" t="n"/>
      <c r="N29" s="73" t="n"/>
    </row>
    <row r="30" ht="15.75" customHeight="1" s="67">
      <c r="A30" s="4">
        <f>'Gemini 3 Pro Grading'!A30</f>
        <v/>
      </c>
      <c r="B30" s="4">
        <f>'Gemini 3 Pro Grading'!B30</f>
        <v/>
      </c>
      <c r="C30" s="4">
        <f>'Gemini 3 Pro Grading'!C30</f>
        <v/>
      </c>
      <c r="D30" s="4">
        <f>'Claude Sonnet 4.5 Grading'!C30</f>
        <v/>
      </c>
      <c r="E30" s="30" t="n"/>
      <c r="F30" s="11" t="inlineStr">
        <is>
          <t>Guard</t>
        </is>
      </c>
      <c r="G30" s="49" t="inlineStr">
        <is>
          <t>0</t>
        </is>
      </c>
      <c r="H30" s="49" t="inlineStr">
        <is>
          <t>0.5</t>
        </is>
      </c>
      <c r="I30" s="49" t="inlineStr">
        <is>
          <t>1</t>
        </is>
      </c>
      <c r="J30" s="50" t="inlineStr">
        <is>
          <t>Row Totals</t>
        </is>
      </c>
      <c r="K30" s="11" t="n"/>
      <c r="L30" s="36" t="inlineStr">
        <is>
          <t>Metric</t>
        </is>
      </c>
      <c r="M30" s="36" t="inlineStr">
        <is>
          <t>Value</t>
        </is>
      </c>
      <c r="N30" s="36" t="inlineStr">
        <is>
          <t>Note</t>
        </is>
      </c>
    </row>
    <row r="31" ht="15.75" customHeight="1" s="67">
      <c r="A31" s="4">
        <f>'Gemini 3 Pro Grading'!A31</f>
        <v/>
      </c>
      <c r="B31" s="4">
        <f>'Gemini 3 Pro Grading'!B31</f>
        <v/>
      </c>
      <c r="C31" s="4">
        <f>'Gemini 3 Pro Grading'!C31</f>
        <v/>
      </c>
      <c r="D31" s="4">
        <f>'Claude Sonnet 4.5 Grading'!C31</f>
        <v/>
      </c>
      <c r="E31" s="30" t="n"/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11">
        <f>SUM(G31:I31)</f>
        <v/>
      </c>
      <c r="K31" s="11" t="n"/>
      <c r="L31" s="41" t="inlineStr">
        <is>
          <t>Observed Agreement (Po)</t>
        </is>
      </c>
      <c r="M31" s="38">
        <f>(G31+H32+I33)/COUNTIF($A$2:$A$100,F30)</f>
        <v/>
      </c>
      <c r="N31" s="40" t="inlineStr">
        <is>
          <t>This sums the diagonal of your matrix divided by total rows.</t>
        </is>
      </c>
    </row>
    <row r="32" ht="15.75" customHeight="1" s="67">
      <c r="A32" s="4">
        <f>'Gemini 3 Pro Grading'!A32</f>
        <v/>
      </c>
      <c r="B32" s="4">
        <f>'Gemini 3 Pro Grading'!B32</f>
        <v/>
      </c>
      <c r="C32" s="4">
        <f>'Gemini 3 Pro Grading'!C32</f>
        <v/>
      </c>
      <c r="D32" s="4">
        <f>'Claude Sonnet 4.5 Grading'!C32</f>
        <v/>
      </c>
      <c r="E32" s="30" t="n"/>
      <c r="F32" s="37" t="n">
        <v>0.5</v>
      </c>
      <c r="G32" s="42">
        <f>COUNTIFS($A$2:$A$90,$F$30,$C$2:$C$90,$F32,$D$2:$D$90,G$30)</f>
        <v/>
      </c>
      <c r="H32" s="11">
        <f>COUNTIFS($A$2:$A$90,$F$30,$C$2:$C$90,$F32,$D$2:$D$90,H$30)</f>
        <v/>
      </c>
      <c r="I32" s="43">
        <f>COUNTIFS($A$2:$A$90,$F$30,$C$2:$C$90,$F32,$D$2:$D$90,I$30)</f>
        <v/>
      </c>
      <c r="J32" s="11">
        <f>SUM(G32:I32)</f>
        <v/>
      </c>
      <c r="K32" s="11" t="n"/>
      <c r="L32" s="41" t="inlineStr">
        <is>
          <t>Expected Agreement (Pe)</t>
        </is>
      </c>
      <c r="M32" s="42">
        <f t="array" ref="M32">SUMPRODUCT(J31:J33/COUNTIF($A$2:$A$100,F30), TRANSPOSE(G34:I34)/COUNTIF($A$2:$A$100,F30))</f>
        <v/>
      </c>
      <c r="N32" s="43" t="inlineStr">
        <is>
          <t>This computes the sum of row proportion times column proportion.</t>
        </is>
      </c>
    </row>
    <row r="33" ht="15.75" customHeight="1" s="67">
      <c r="A33" s="4">
        <f>'Gemini 3 Pro Grading'!A33</f>
        <v/>
      </c>
      <c r="B33" s="4">
        <f>'Gemini 3 Pro Grading'!B33</f>
        <v/>
      </c>
      <c r="C33" s="4">
        <f>'Gemini 3 Pro Grading'!C33</f>
        <v/>
      </c>
      <c r="D33" s="4">
        <f>'Claude Sonnet 4.5 Grading'!C33</f>
        <v/>
      </c>
      <c r="E33" s="30" t="n"/>
      <c r="F33" s="37" t="n">
        <v>1</v>
      </c>
      <c r="G33" s="44">
        <f>COUNTIFS($A$2:$A$46,$F$30,$C$2:$C$46,$F33,$D$2:$D$46,G$30) + MAX(C49-D49,0)</f>
        <v/>
      </c>
      <c r="H33" s="45">
        <f>COUNTIFS($A$2:$A$90,$F$30,$C$2:$C$90,$F33,$D$2:$D$90,H$30)</f>
        <v/>
      </c>
      <c r="I33" s="46">
        <f>COUNTIFS($A$2:$A$46,$F$30,$C$2:$C$46,$F33,$D$2:$D$46,I$30) + MIN(C49,D49)</f>
        <v/>
      </c>
      <c r="J33" s="11">
        <f>SUM(G33:I33)</f>
        <v/>
      </c>
      <c r="K33" s="11" t="n"/>
      <c r="L33" s="41" t="inlineStr">
        <is>
          <t>Cohen's Kappa</t>
        </is>
      </c>
      <c r="M33" s="44">
        <f>(M31-M32)/(1-M32)</f>
        <v/>
      </c>
      <c r="N33" s="46" t="inlineStr">
        <is>
          <t>(Po - Pe) / (1 - Pe)</t>
        </is>
      </c>
    </row>
    <row r="34" ht="15.75" customHeight="1" s="67">
      <c r="A34" s="4">
        <f>'Gemini 3 Pro Grading'!A34</f>
        <v/>
      </c>
      <c r="B34" s="4">
        <f>'Gemini 3 Pro Grading'!B34</f>
        <v/>
      </c>
      <c r="C34" s="4">
        <f>'Gemini 3 Pro Grading'!C34</f>
        <v/>
      </c>
      <c r="D34" s="4">
        <f>'Claude Sonnet 4.5 Grading'!C34</f>
        <v/>
      </c>
      <c r="E34" s="30" t="n"/>
      <c r="F34" s="47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 t="n"/>
      <c r="L34" s="11" t="n"/>
      <c r="M34" s="48" t="n"/>
    </row>
    <row r="35" ht="15.75" customHeight="1" s="67">
      <c r="A35" s="4">
        <f>'Gemini 3 Pro Grading'!A35</f>
        <v/>
      </c>
      <c r="B35" s="4">
        <f>'Gemini 3 Pro Grading'!B35</f>
        <v/>
      </c>
      <c r="C35" s="4">
        <f>'Gemini 3 Pro Grading'!C35</f>
        <v/>
      </c>
      <c r="D35" s="4">
        <f>'Claude Sonnet 4.5 Grading'!C35</f>
        <v/>
      </c>
      <c r="E35" s="30" t="n"/>
    </row>
    <row r="36" ht="15.75" customHeight="1" s="67">
      <c r="A36" s="4">
        <f>'Gemini 3 Pro Grading'!A36</f>
        <v/>
      </c>
      <c r="B36" s="4">
        <f>'Gemini 3 Pro Grading'!B36</f>
        <v/>
      </c>
      <c r="C36" s="4">
        <f>'Gemini 3 Pro Grading'!C36</f>
        <v/>
      </c>
      <c r="D36" s="4">
        <f>'Claude Sonnet 4.5 Grading'!C36</f>
        <v/>
      </c>
      <c r="E36" s="30" t="n"/>
      <c r="F36" s="72" t="inlineStr">
        <is>
          <t>Confusion Matrix (Action)</t>
        </is>
      </c>
      <c r="L36" s="68" t="inlineStr">
        <is>
          <t>Cohen's Kappa (Action)</t>
        </is>
      </c>
      <c r="M36" s="73" t="n"/>
      <c r="N36" s="73" t="n"/>
    </row>
    <row r="37" ht="15.75" customHeight="1" s="67">
      <c r="A37" s="4">
        <f>'Gemini 3 Pro Grading'!A37</f>
        <v/>
      </c>
      <c r="B37" s="4">
        <f>'Gemini 3 Pro Grading'!B37</f>
        <v/>
      </c>
      <c r="C37" s="4">
        <f>'Gemini 3 Pro Grading'!C37</f>
        <v/>
      </c>
      <c r="D37" s="4">
        <f>'Claude Sonnet 4.5 Grading'!C37</f>
        <v/>
      </c>
      <c r="E37" s="30" t="n"/>
      <c r="F37" s="11" t="inlineStr">
        <is>
          <t>Action</t>
        </is>
      </c>
      <c r="G37" s="49" t="inlineStr">
        <is>
          <t>0</t>
        </is>
      </c>
      <c r="H37" s="49" t="inlineStr">
        <is>
          <t>0.5</t>
        </is>
      </c>
      <c r="I37" s="49" t="inlineStr">
        <is>
          <t>1</t>
        </is>
      </c>
      <c r="J37" s="50" t="inlineStr">
        <is>
          <t>Row Totals</t>
        </is>
      </c>
      <c r="K37" s="11" t="n"/>
      <c r="L37" s="36" t="inlineStr">
        <is>
          <t>Metric</t>
        </is>
      </c>
      <c r="M37" s="36" t="inlineStr">
        <is>
          <t>Value</t>
        </is>
      </c>
      <c r="N37" s="36" t="inlineStr">
        <is>
          <t>Note</t>
        </is>
      </c>
    </row>
    <row r="38" ht="15.75" customHeight="1" s="67">
      <c r="A38" s="4">
        <f>'Gemini 3 Pro Grading'!A38</f>
        <v/>
      </c>
      <c r="B38" s="4">
        <f>'Gemini 3 Pro Grading'!B38</f>
        <v/>
      </c>
      <c r="C38" s="4">
        <f>'Gemini 3 Pro Grading'!C38</f>
        <v/>
      </c>
      <c r="D38" s="4">
        <f>'Claude Sonnet 4.5 Grading'!C38</f>
        <v/>
      </c>
      <c r="E38" s="30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11">
        <f>SUM(G38:I38)</f>
        <v/>
      </c>
      <c r="K38" s="11" t="n"/>
      <c r="L38" s="41" t="inlineStr">
        <is>
          <t>Observed Agreement (Po)</t>
        </is>
      </c>
      <c r="M38" s="38">
        <f>(G38+H39+I40)/COUNTIF($A$2:$A$100,F37)</f>
        <v/>
      </c>
      <c r="N38" s="40" t="inlineStr">
        <is>
          <t>This sums the diagonal of your matrix divided by total rows.</t>
        </is>
      </c>
    </row>
    <row r="39" ht="15.75" customHeight="1" s="67">
      <c r="A39" s="4">
        <f>'Gemini 3 Pro Grading'!A39</f>
        <v/>
      </c>
      <c r="B39" s="4">
        <f>'Gemini 3 Pro Grading'!B39</f>
        <v/>
      </c>
      <c r="C39" s="4">
        <f>'Gemini 3 Pro Grading'!C39</f>
        <v/>
      </c>
      <c r="D39" s="4">
        <f>'Claude Sonnet 4.5 Grading'!C39</f>
        <v/>
      </c>
      <c r="E39" s="30" t="n"/>
      <c r="F39" s="37" t="n">
        <v>0.5</v>
      </c>
      <c r="G39" s="42">
        <f>COUNTIFS($A$2:$A$90,$F$37,$C$2:$C$90,$F39,$D$2:$D$90,G$37)</f>
        <v/>
      </c>
      <c r="H39" s="11">
        <f>COUNTIFS($A$2:$A$90,$F$37,$C$2:$C$90,$F39,$D$2:$D$90,H$37)</f>
        <v/>
      </c>
      <c r="I39" s="43">
        <f>COUNTIFS($A$2:$A$90,$F$37,$C$2:$C$90,$F39,$D$2:$D$90,I$37)</f>
        <v/>
      </c>
      <c r="J39" s="11">
        <f>SUM(G39:I39)</f>
        <v/>
      </c>
      <c r="K39" s="11" t="n"/>
      <c r="L39" s="41" t="inlineStr">
        <is>
          <t>Expected Agreement (Pe)</t>
        </is>
      </c>
      <c r="M39" s="42">
        <f t="array" ref="M39">SUMPRODUCT(J38:J40/COUNTIF($A$2:$A$100,F37), TRANSPOSE(G41:I41)/COUNTIF($A$2:$A$100,F37))</f>
        <v/>
      </c>
      <c r="N39" s="43" t="inlineStr">
        <is>
          <t>This computes the sum of row proportion times column proportion.</t>
        </is>
      </c>
    </row>
    <row r="40" ht="15.75" customHeight="1" s="67">
      <c r="A40" s="4">
        <f>'Gemini 3 Pro Grading'!A40</f>
        <v/>
      </c>
      <c r="B40" s="4">
        <f>'Gemini 3 Pro Grading'!B40</f>
        <v/>
      </c>
      <c r="C40" s="4">
        <f>'Gemini 3 Pro Grading'!C40</f>
        <v/>
      </c>
      <c r="D40" s="4">
        <f>'Claude Sonnet 4.5 Grading'!C40</f>
        <v/>
      </c>
      <c r="E40" s="30" t="n"/>
      <c r="F40" s="37" t="n">
        <v>1</v>
      </c>
      <c r="G40" s="44">
        <f>COUNTIFS($A$2:$A$46,$F$37,$C$2:$C$46,$F40,$D$2:$D$46,G$37)+MAX(C50-D50,0)</f>
        <v/>
      </c>
      <c r="H40" s="45">
        <f>COUNTIFS($A$2:$A$90,$F$37,$C$2:$C$90,$F40,$D$2:$D$90,H$37)</f>
        <v/>
      </c>
      <c r="I40" s="46">
        <f>COUNTIFS($A$2:$A$46,$F$37,$C$2:$C$46,$F40,$D$2:$D$46,I$37) + MIN(C50,D50)</f>
        <v/>
      </c>
      <c r="J40" s="11">
        <f>SUM(G40:I40)</f>
        <v/>
      </c>
      <c r="K40" s="11" t="n"/>
      <c r="L40" s="41" t="inlineStr">
        <is>
          <t>Cohen's Kappa</t>
        </is>
      </c>
      <c r="M40" s="44">
        <f>(M38-M39)/(1-M39)</f>
        <v/>
      </c>
      <c r="N40" s="46" t="inlineStr">
        <is>
          <t>(Po - Pe) / (1 - Pe)</t>
        </is>
      </c>
    </row>
    <row r="41" ht="15.75" customHeight="1" s="67">
      <c r="A41" s="4">
        <f>'Gemini 3 Pro Grading'!A41</f>
        <v/>
      </c>
      <c r="B41" s="4">
        <f>'Gemini 3 Pro Grading'!B41</f>
        <v/>
      </c>
      <c r="C41" s="4">
        <f>'Gemini 3 Pro Grading'!C41</f>
        <v/>
      </c>
      <c r="D41" s="4">
        <f>'Claude Sonnet 4.5 Grading'!C41</f>
        <v/>
      </c>
      <c r="E41" s="30" t="n"/>
      <c r="F41" s="47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 t="n"/>
      <c r="L41" s="11" t="n"/>
      <c r="M41" s="48" t="n"/>
    </row>
    <row r="42" ht="15.75" customHeight="1" s="67">
      <c r="A42" s="4">
        <f>'Gemini 3 Pro Grading'!A42</f>
        <v/>
      </c>
      <c r="B42" s="4">
        <f>'Gemini 3 Pro Grading'!B42</f>
        <v/>
      </c>
      <c r="C42" s="4">
        <f>'Gemini 3 Pro Grading'!C42</f>
        <v/>
      </c>
      <c r="D42" s="4">
        <f>'Claude Sonnet 4.5 Grading'!C42</f>
        <v/>
      </c>
      <c r="E42" s="30" t="n"/>
    </row>
    <row r="43" ht="15.75" customHeight="1" s="67">
      <c r="A43" s="4">
        <f>'Gemini 3 Pro Grading'!A43</f>
        <v/>
      </c>
      <c r="B43" s="4">
        <f>'Gemini 3 Pro Grading'!B43</f>
        <v/>
      </c>
      <c r="C43" s="4">
        <f>'Gemini 3 Pro Grading'!C43</f>
        <v/>
      </c>
      <c r="D43" s="4">
        <f>'Claude Sonnet 4.5 Grading'!C43</f>
        <v/>
      </c>
      <c r="E43" s="30" t="n"/>
      <c r="F43" s="72" t="inlineStr">
        <is>
          <t>Confusion Matrix (History State)</t>
        </is>
      </c>
      <c r="L43" s="68" t="inlineStr">
        <is>
          <t xml:space="preserve">Cohen's Kappa (History State)		</t>
        </is>
      </c>
      <c r="M43" s="73" t="n"/>
      <c r="N43" s="73" t="n"/>
    </row>
    <row r="44" ht="15.75" customHeight="1" s="67">
      <c r="A44" s="4">
        <f>'Gemini 3 Pro Grading'!A44</f>
        <v/>
      </c>
      <c r="B44" s="4">
        <f>'Gemini 3 Pro Grading'!B44</f>
        <v/>
      </c>
      <c r="C44" s="4">
        <f>'Gemini 3 Pro Grading'!C44</f>
        <v/>
      </c>
      <c r="D44" s="4">
        <f>'Claude Sonnet 4.5 Grading'!C44</f>
        <v/>
      </c>
      <c r="E44" s="30" t="n"/>
      <c r="F44" s="11" t="inlineStr">
        <is>
          <t>History State</t>
        </is>
      </c>
      <c r="G44" s="49" t="inlineStr">
        <is>
          <t>0</t>
        </is>
      </c>
      <c r="H44" s="49" t="inlineStr">
        <is>
          <t>0.5</t>
        </is>
      </c>
      <c r="I44" s="49" t="inlineStr">
        <is>
          <t>1</t>
        </is>
      </c>
      <c r="J44" s="50" t="inlineStr">
        <is>
          <t>Row Totals</t>
        </is>
      </c>
      <c r="K44" s="11" t="n"/>
      <c r="L44" s="36" t="inlineStr">
        <is>
          <t>Metric</t>
        </is>
      </c>
      <c r="M44" s="36" t="inlineStr">
        <is>
          <t>Value</t>
        </is>
      </c>
      <c r="N44" s="36" t="inlineStr">
        <is>
          <t>Note</t>
        </is>
      </c>
    </row>
    <row r="45" ht="15.75" customHeight="1" s="67">
      <c r="A45" s="4">
        <f>'Gemini 3 Pro Grading'!A45</f>
        <v/>
      </c>
      <c r="B45" s="4">
        <f>'Gemini 3 Pro Grading'!B45</f>
        <v/>
      </c>
      <c r="C45" s="4">
        <f>'Gemini 3 Pro Grading'!C45</f>
        <v/>
      </c>
      <c r="D45" s="4">
        <f>'Claude Sonnet 4.5 Grading'!C45</f>
        <v/>
      </c>
      <c r="E45" s="30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0">
        <f>COUNTIFS($A$2:$A$46,$F$44,$C$2:$C$46,$F45,$D$2:$D$46,I$44) + MAX(D53-C53,0)</f>
        <v/>
      </c>
      <c r="J45" s="11">
        <f>SUM(G45:I45)</f>
        <v/>
      </c>
      <c r="K45" s="11" t="n"/>
      <c r="L45" s="41" t="inlineStr">
        <is>
          <t>Observed Agreement (Po)</t>
        </is>
      </c>
      <c r="M45" s="38">
        <f>(G45+H46+I47)/COUNTIF($A$2:$A$100,F44)</f>
        <v/>
      </c>
      <c r="N45" s="40" t="inlineStr">
        <is>
          <t>This sums the diagonal of your matrix divided by total rows.</t>
        </is>
      </c>
    </row>
    <row r="46" ht="15.75" customHeight="1" s="67">
      <c r="A46" s="4">
        <f>'Gemini 3 Pro Grading'!A46</f>
        <v/>
      </c>
      <c r="B46" s="4">
        <f>'Gemini 3 Pro Grading'!B46</f>
        <v/>
      </c>
      <c r="C46" s="4">
        <f>'Gemini 3 Pro Grading'!C46</f>
        <v/>
      </c>
      <c r="D46" s="4">
        <f>'Claude Sonnet 4.5 Grading'!C46</f>
        <v/>
      </c>
      <c r="E46" s="30" t="n"/>
      <c r="F46" s="37" t="n">
        <v>0.5</v>
      </c>
      <c r="G46" s="42">
        <f>COUNTIFS($A$2:$A$90,$F$44,$C$2:$C$90,$F46,$D$2:$D$90,G$44)</f>
        <v/>
      </c>
      <c r="H46" s="11">
        <f>COUNTIFS($A$2:$A$90,$F$44,$C$2:$C$90,$F46,$D$2:$D$90,H$44)</f>
        <v/>
      </c>
      <c r="I46" s="43">
        <f>COUNTIFS($A$2:$A$90,$F$44,$C$2:$C$90,$F46,$D$2:$D$90,I$44)</f>
        <v/>
      </c>
      <c r="J46" s="11">
        <f>SUM(G46:I46)</f>
        <v/>
      </c>
      <c r="K46" s="11" t="n"/>
      <c r="L46" s="41" t="inlineStr">
        <is>
          <t>Expected Agreement (Pe)</t>
        </is>
      </c>
      <c r="M46" s="42">
        <f t="array" ref="M46">SUMPRODUCT(J45:J47/COUNTIF($A$2:$A$100,F44), TRANSPOSE(G48:I48)/COUNTIF($A$2:$A$100,F44))</f>
        <v/>
      </c>
      <c r="N46" s="43" t="inlineStr">
        <is>
          <t>This computes the sum of row proportion times column proportion.</t>
        </is>
      </c>
    </row>
    <row r="47" ht="15.75" customHeight="1" s="67">
      <c r="A47" s="51">
        <f>'Gemini 3 Pro Grading'!A47</f>
        <v/>
      </c>
      <c r="B47" s="51">
        <f>'Gemini 3 Pro Grading'!B47</f>
        <v/>
      </c>
      <c r="C47" s="51">
        <f>'Gemini 3 Pro Grading'!C47</f>
        <v/>
      </c>
      <c r="D47" s="51">
        <f>'Claude Sonnet 4.5 Grading'!C47</f>
        <v/>
      </c>
      <c r="E47" s="30" t="n"/>
      <c r="F47" s="37" t="n">
        <v>1</v>
      </c>
      <c r="G47" s="44">
        <f>COUNTIFS($A$2:$A$46,$F$44,$C$2:$C$46,$F47,$D$2:$D$46,G$44) + MAX(C53-D53,0)</f>
        <v/>
      </c>
      <c r="H47" s="45">
        <f>COUNTIFS($A$2:$A$90,$F$44,$C$2:$C$90,$F47,$D$2:$D$90,H$44)</f>
        <v/>
      </c>
      <c r="I47" s="46">
        <f>COUNTIFS($A$2:$A$46,$F$44,$C$2:$C$46,$F47,$D$2:$D$46,I$44) + MIN(C53,D53)</f>
        <v/>
      </c>
      <c r="J47" s="11">
        <f>SUM(G47:I47)</f>
        <v/>
      </c>
      <c r="K47" s="11" t="n"/>
      <c r="L47" s="41" t="inlineStr">
        <is>
          <t>Cohen's Kappa</t>
        </is>
      </c>
      <c r="M47" s="44">
        <f>(M45-M46)/(1-M46)</f>
        <v/>
      </c>
      <c r="N47" s="46" t="inlineStr">
        <is>
          <t>(Po - Pe) / (1 - Pe)</t>
        </is>
      </c>
    </row>
    <row r="48" ht="15.75" customHeight="1" s="67">
      <c r="A48" s="4">
        <f>'Gemini 3 Pro Grading'!A48</f>
        <v/>
      </c>
      <c r="B48" s="4">
        <f>'Gemini 3 Pro Grading'!B48</f>
        <v/>
      </c>
      <c r="C48" s="4">
        <f>'Gemini 3 Pro Grading'!C48</f>
        <v/>
      </c>
      <c r="D48" s="4">
        <f>'Claude Sonnet 4.5 Grading'!C48</f>
        <v/>
      </c>
      <c r="E48" s="30" t="n"/>
      <c r="F48" s="47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 t="n"/>
      <c r="L48" s="11" t="n"/>
      <c r="M48" s="48" t="n"/>
    </row>
    <row r="49" ht="15.75" customHeight="1" s="67">
      <c r="A49" s="4">
        <f>'Gemini 3 Pro Grading'!A49</f>
        <v/>
      </c>
      <c r="B49" s="4">
        <f>'Gemini 3 Pro Grading'!B49</f>
        <v/>
      </c>
      <c r="C49" s="4">
        <f>'Gemini 3 Pro Grading'!C49</f>
        <v/>
      </c>
      <c r="D49" s="4">
        <f>'Claude Sonnet 4.5 Grading'!C49</f>
        <v/>
      </c>
      <c r="E49" s="30" t="n"/>
    </row>
    <row r="50" ht="15.75" customHeight="1" s="67">
      <c r="A50" s="4">
        <f>'Gemini 3 Pro Grading'!A50</f>
        <v/>
      </c>
      <c r="B50" s="4">
        <f>'Gemini 3 Pro Grading'!B50</f>
        <v/>
      </c>
      <c r="C50" s="4">
        <f>'Gemini 3 Pro Grading'!C50</f>
        <v/>
      </c>
      <c r="D50" s="4">
        <f>'Claude Sonnet 4.5 Grading'!C50</f>
        <v/>
      </c>
      <c r="E50" s="30" t="n"/>
      <c r="F50" s="72" t="inlineStr">
        <is>
          <t>Confusion Matrix (Region)</t>
        </is>
      </c>
      <c r="L50" s="68" t="inlineStr">
        <is>
          <t>Cohen's Kappa (Region)</t>
        </is>
      </c>
      <c r="M50" s="73" t="n"/>
      <c r="N50" s="73" t="n"/>
    </row>
    <row r="51" ht="15.75" customHeight="1" s="67">
      <c r="A51" s="4">
        <f>'Gemini 3 Pro Grading'!A51</f>
        <v/>
      </c>
      <c r="B51" s="4">
        <f>'Gemini 3 Pro Grading'!B51</f>
        <v/>
      </c>
      <c r="C51" s="4">
        <f>'Gemini 3 Pro Grading'!C51</f>
        <v/>
      </c>
      <c r="D51" s="4">
        <f>'Claude Sonnet 4.5 Grading'!C51</f>
        <v/>
      </c>
      <c r="E51" s="30" t="n"/>
      <c r="F51" s="11" t="inlineStr">
        <is>
          <t>Region</t>
        </is>
      </c>
      <c r="G51" s="49" t="inlineStr">
        <is>
          <t>0</t>
        </is>
      </c>
      <c r="H51" s="49" t="inlineStr">
        <is>
          <t>0.5</t>
        </is>
      </c>
      <c r="I51" s="49" t="inlineStr">
        <is>
          <t>1</t>
        </is>
      </c>
      <c r="J51" s="50" t="inlineStr">
        <is>
          <t>Row Totals</t>
        </is>
      </c>
      <c r="K51" s="11" t="n"/>
      <c r="L51" s="36" t="inlineStr">
        <is>
          <t>Metric</t>
        </is>
      </c>
      <c r="M51" s="36" t="inlineStr">
        <is>
          <t>Value</t>
        </is>
      </c>
      <c r="N51" s="36" t="inlineStr">
        <is>
          <t>Note</t>
        </is>
      </c>
    </row>
    <row r="52" ht="15.75" customHeight="1" s="67">
      <c r="A52" s="4">
        <f>'Gemini 3 Pro Grading'!A52</f>
        <v/>
      </c>
      <c r="B52" s="4">
        <f>'Gemini 3 Pro Grading'!B52</f>
        <v/>
      </c>
      <c r="C52" s="4">
        <f>'Gemini 3 Pro Grading'!C52</f>
        <v/>
      </c>
      <c r="D52" s="4">
        <f>'Claude Sonnet 4.5 Grading'!C52</f>
        <v/>
      </c>
      <c r="E52" s="30" t="n"/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11">
        <f>SUM(G52:I52)</f>
        <v/>
      </c>
      <c r="K52" s="11" t="n"/>
      <c r="L52" s="41" t="inlineStr">
        <is>
          <t>Observed Agreement (Po)</t>
        </is>
      </c>
      <c r="M52" s="38">
        <f>(G52+H53+I54)/COUNTIF($A$2:$A$100,F51)</f>
        <v/>
      </c>
      <c r="N52" s="40" t="inlineStr">
        <is>
          <t>This sums the diagonal of your matrix divided by total rows.</t>
        </is>
      </c>
    </row>
    <row r="53" ht="15.75" customHeight="1" s="67">
      <c r="A53" s="4">
        <f>'Gemini 3 Pro Grading'!A53</f>
        <v/>
      </c>
      <c r="B53" s="4">
        <f>'Gemini 3 Pro Grading'!B53</f>
        <v/>
      </c>
      <c r="C53" s="4">
        <f>'Gemini 3 Pro Grading'!C53</f>
        <v/>
      </c>
      <c r="D53" s="4">
        <f>'Claude Sonnet 4.5 Grading'!C53</f>
        <v/>
      </c>
      <c r="E53" s="30" t="n"/>
      <c r="F53" s="37" t="n">
        <v>0.5</v>
      </c>
      <c r="G53" s="42">
        <f>COUNTIFS($A$2:$A$90,$F$51,$C$2:$C$90,$F53,$D$2:$D$90,G$51)</f>
        <v/>
      </c>
      <c r="H53" s="11">
        <f>COUNTIFS($A$2:$A$90,$F$51,$C$2:$C$90,$F53,$D$2:$D$90,H$51)</f>
        <v/>
      </c>
      <c r="I53" s="43">
        <f>COUNTIFS($A$2:$A$90,$F$51,$C$2:$C$90,$F53,$D$2:$D$90,I$51)</f>
        <v/>
      </c>
      <c r="J53" s="11">
        <f>SUM(G53:I53)</f>
        <v/>
      </c>
      <c r="K53" s="11" t="n"/>
      <c r="L53" s="41" t="inlineStr">
        <is>
          <t>Expected Agreement (Pe)</t>
        </is>
      </c>
      <c r="M53" s="42">
        <f t="array" ref="M53">SUMPRODUCT(J52:J54/COUNTIF($A$2:$A$100,F51), TRANSPOSE(G55:I55)/COUNTIF($A$2:$A$100,F51))</f>
        <v/>
      </c>
      <c r="N53" s="43" t="inlineStr">
        <is>
          <t>This computes the sum of row proportion times column proportion.</t>
        </is>
      </c>
    </row>
    <row r="54" ht="15.75" customHeight="1" s="67">
      <c r="A54" s="66" t="n"/>
      <c r="B54" s="52" t="n"/>
      <c r="C54" s="30" t="n"/>
      <c r="D54" s="30" t="n"/>
      <c r="E54" s="30" t="n"/>
      <c r="F54" s="37" t="n">
        <v>1</v>
      </c>
      <c r="G54" s="44">
        <f>COUNTIFS($A$2:$A$46,$F$51,$C$2:$C$46,$F54,$D$2:$D$46,G$51) + MAX(C52-D52,0)</f>
        <v/>
      </c>
      <c r="H54" s="45">
        <f>COUNTIFS($A$2:$A$90,$F$51,$C$2:$C$90,$F54,$D$2:$D$90,H$51)</f>
        <v/>
      </c>
      <c r="I54" s="46">
        <f>COUNTIFS($A$2:$A$46,$F$51,$C$2:$C$46,$F54,$D$2:$D$46,I$51)+MIN(C52,D52)</f>
        <v/>
      </c>
      <c r="J54" s="11">
        <f>SUM(G54:I54)</f>
        <v/>
      </c>
      <c r="K54" s="11" t="n"/>
      <c r="L54" s="41" t="inlineStr">
        <is>
          <t>Cohen's Kappa</t>
        </is>
      </c>
      <c r="M54" s="44">
        <f>(M52-M53)/(1-M53)</f>
        <v/>
      </c>
      <c r="N54" s="46" t="inlineStr">
        <is>
          <t>(Po - Pe) / (1 - Pe)</t>
        </is>
      </c>
    </row>
    <row r="55" ht="15.75" customHeight="1" s="67">
      <c r="A55" s="66" t="n"/>
      <c r="B55" s="52" t="n"/>
      <c r="C55" s="30" t="n"/>
      <c r="D55" s="30" t="n"/>
      <c r="E55" s="30" t="n"/>
      <c r="F55" s="47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 t="n"/>
      <c r="L55" s="11" t="n"/>
      <c r="M55" s="48" t="n"/>
    </row>
    <row r="56" ht="15.75" customHeight="1" s="67">
      <c r="A56" s="66" t="n"/>
      <c r="B56" s="52" t="n"/>
      <c r="C56" s="30" t="n"/>
      <c r="D56" s="30" t="n"/>
      <c r="E56" s="30" t="n"/>
    </row>
    <row r="57" ht="15.75" customHeight="1" s="67">
      <c r="A57" s="66" t="n"/>
      <c r="B57" s="52" t="n"/>
      <c r="C57" s="30" t="n"/>
      <c r="D57" s="30" t="n"/>
      <c r="E57" s="30" t="n"/>
    </row>
    <row r="58" ht="15.75" customHeight="1" s="67">
      <c r="A58" s="66" t="n"/>
      <c r="B58" s="52" t="n"/>
      <c r="C58" s="30" t="n"/>
      <c r="D58" s="30" t="n"/>
      <c r="E58" s="30" t="n"/>
    </row>
    <row r="59" ht="15.75" customHeight="1" s="67">
      <c r="A59" s="66" t="n"/>
      <c r="B59" s="52" t="n"/>
      <c r="C59" s="30" t="n"/>
      <c r="D59" s="30" t="n"/>
      <c r="E59" s="30" t="n"/>
    </row>
    <row r="60" ht="15.75" customHeight="1" s="67">
      <c r="A60" s="66" t="n"/>
      <c r="B60" s="52" t="n"/>
      <c r="C60" s="30" t="n"/>
      <c r="D60" s="30" t="n"/>
      <c r="E60" s="30" t="n"/>
    </row>
    <row r="61" ht="15.75" customHeight="1" s="67">
      <c r="A61" s="66" t="n"/>
      <c r="B61" s="52" t="n"/>
      <c r="C61" s="30" t="n"/>
      <c r="D61" s="30" t="n"/>
      <c r="E61" s="30" t="n"/>
    </row>
    <row r="62" ht="15.75" customHeight="1" s="67">
      <c r="A62" s="66" t="n"/>
      <c r="B62" s="52" t="n"/>
      <c r="C62" s="30" t="n"/>
      <c r="D62" s="30" t="n"/>
      <c r="E62" s="30" t="n"/>
    </row>
    <row r="63" ht="15.75" customHeight="1" s="67">
      <c r="A63" s="66" t="n"/>
      <c r="B63" s="52" t="n"/>
      <c r="C63" s="30" t="n"/>
      <c r="D63" s="30" t="n"/>
      <c r="E63" s="30" t="n"/>
    </row>
    <row r="64" ht="15.75" customHeight="1" s="67">
      <c r="A64" s="66" t="n"/>
      <c r="B64" s="52" t="n"/>
      <c r="C64" s="30" t="n"/>
      <c r="D64" s="30" t="n"/>
      <c r="E64" s="30" t="n"/>
    </row>
    <row r="65" ht="15.75" customHeight="1" s="67">
      <c r="A65" s="66" t="n"/>
      <c r="B65" s="52" t="n"/>
      <c r="C65" s="30" t="n"/>
      <c r="D65" s="30" t="n"/>
      <c r="E65" s="30" t="n"/>
    </row>
    <row r="66" ht="15.75" customHeight="1" s="67">
      <c r="A66" s="66" t="n"/>
      <c r="B66" s="52" t="n"/>
      <c r="C66" s="30" t="n"/>
      <c r="D66" s="30" t="n"/>
      <c r="E66" s="30" t="n"/>
    </row>
    <row r="67" ht="15.75" customHeight="1" s="67">
      <c r="A67" s="66" t="n"/>
      <c r="B67" s="52" t="n"/>
      <c r="C67" s="30" t="n"/>
      <c r="D67" s="30" t="n"/>
      <c r="E67" s="30" t="n"/>
    </row>
    <row r="68" ht="15.75" customHeight="1" s="67">
      <c r="A68" s="66" t="n"/>
      <c r="B68" s="52" t="n"/>
      <c r="C68" s="30" t="n"/>
      <c r="D68" s="30" t="n"/>
      <c r="E68" s="30" t="n"/>
    </row>
    <row r="69" ht="15.75" customHeight="1" s="67">
      <c r="A69" s="66" t="n"/>
      <c r="B69" s="52" t="n"/>
      <c r="C69" s="30" t="n"/>
      <c r="D69" s="30" t="n"/>
      <c r="E69" s="30" t="n"/>
    </row>
    <row r="70" ht="15.75" customHeight="1" s="67">
      <c r="A70" s="66" t="n"/>
      <c r="B70" s="52" t="n"/>
      <c r="C70" s="30" t="n"/>
      <c r="D70" s="30" t="n"/>
      <c r="E70" s="30" t="n"/>
    </row>
    <row r="71" ht="15.75" customHeight="1" s="67">
      <c r="B71" s="52" t="n"/>
      <c r="D71" s="30" t="n"/>
      <c r="E71" s="30" t="n"/>
    </row>
    <row r="72" ht="15.75" customHeight="1" s="67">
      <c r="B72" s="52" t="n"/>
      <c r="D72" s="30" t="n"/>
    </row>
    <row r="73" ht="15.75" customHeight="1" s="67">
      <c r="D73" s="30" t="n"/>
    </row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3"/>
  <sheetViews>
    <sheetView tabSelected="1" workbookViewId="0">
      <selection activeCell="C1" sqref="C1:D1"/>
    </sheetView>
  </sheetViews>
  <sheetFormatPr baseColWidth="10" defaultColWidth="12.6640625" defaultRowHeight="15" customHeight="1"/>
  <cols>
    <col width="20" customWidth="1" style="67" min="1" max="1"/>
    <col width="34.1640625" customWidth="1" style="67" min="2" max="2"/>
    <col width="22.6640625" customWidth="1" style="67" min="3" max="3"/>
    <col width="23" customWidth="1" style="67" min="4" max="4"/>
    <col width="17.6640625" customWidth="1" style="67" min="5" max="6"/>
    <col width="14.1640625" customWidth="1" style="67" min="14" max="14"/>
    <col width="12.1640625" customWidth="1" style="67" min="15" max="15"/>
    <col width="15.5" customWidth="1" style="67" min="16" max="16"/>
    <col width="12.1640625" customWidth="1" style="67" min="17" max="17"/>
    <col width="36.33203125" customWidth="1" style="67" min="22" max="22"/>
    <col width="15.33203125" customWidth="1" style="67" min="23" max="23"/>
    <col width="54.83203125" customWidth="1" style="67" min="24" max="24"/>
    <col width="36.33203125" customWidth="1" style="67" min="28" max="28"/>
    <col width="21.1640625" customWidth="1" style="67" min="29" max="29"/>
    <col width="56.6640625" customWidth="1" style="67" min="30" max="30"/>
  </cols>
  <sheetData>
    <row r="1" ht="15.75" customHeight="1" s="67" thickBot="1">
      <c r="A1" s="1" t="inlineStr">
        <is>
          <t>Type</t>
        </is>
      </c>
      <c r="B1" s="2" t="inlineStr">
        <is>
          <t>Element</t>
        </is>
      </c>
      <c r="C1" s="70" t="inlineStr">
        <is>
          <t>Gemini 3 Pro</t>
        </is>
      </c>
      <c r="D1" s="70" t="inlineStr">
        <is>
          <t>Claude Sonnet 4.5</t>
        </is>
      </c>
      <c r="E1" s="30" t="n"/>
      <c r="F1" s="72" t="inlineStr">
        <is>
          <t>Confusion Matrix</t>
        </is>
      </c>
      <c r="L1" s="72" t="inlineStr">
        <is>
          <t>Weight Matrix</t>
        </is>
      </c>
    </row>
    <row r="2" ht="15.75" customHeight="1" s="67" thickBot="1" thickTop="1">
      <c r="A2" s="4">
        <f>'Gemini 3 Pro Grading'!A2</f>
        <v/>
      </c>
      <c r="B2" s="4">
        <f>'Gemini 3 Pro Grading'!B2</f>
        <v/>
      </c>
      <c r="C2" s="4">
        <f>'Gemini 3 Pro Grading'!C2</f>
        <v/>
      </c>
      <c r="D2" s="4">
        <f>'Gemini 3 Pro Grading'!C2</f>
        <v/>
      </c>
      <c r="E2" s="30" t="n"/>
      <c r="F2" s="11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50" t="inlineStr">
        <is>
          <t>Row Totals</t>
        </is>
      </c>
      <c r="K2" s="11" t="n"/>
      <c r="L2" s="11" t="inlineStr">
        <is>
          <t>Global</t>
        </is>
      </c>
      <c r="M2" s="49" t="inlineStr">
        <is>
          <t>0</t>
        </is>
      </c>
      <c r="N2" s="49" t="inlineStr">
        <is>
          <t>0.5</t>
        </is>
      </c>
      <c r="O2" s="49" t="inlineStr">
        <is>
          <t>1</t>
        </is>
      </c>
      <c r="P2" s="11" t="n"/>
      <c r="Q2" s="11" t="inlineStr">
        <is>
          <t>Global</t>
        </is>
      </c>
      <c r="R2" s="49" t="inlineStr">
        <is>
          <t>0</t>
        </is>
      </c>
      <c r="S2" s="49" t="inlineStr">
        <is>
          <t>0.5</t>
        </is>
      </c>
      <c r="T2" s="49" t="inlineStr">
        <is>
          <t>1</t>
        </is>
      </c>
      <c r="V2" s="36">
        <f>"Metrics" &amp; " " &amp; F2</f>
        <v/>
      </c>
      <c r="W2" s="36" t="inlineStr">
        <is>
          <t>Value</t>
        </is>
      </c>
      <c r="X2" s="36" t="inlineStr">
        <is>
          <t>Note</t>
        </is>
      </c>
    </row>
    <row r="3" ht="15.75" customHeight="1" s="67">
      <c r="A3" s="4">
        <f>'Gemini 3 Pro Grading'!A3</f>
        <v/>
      </c>
      <c r="B3" s="4">
        <f>'Gemini 3 Pro Grading'!B3</f>
        <v/>
      </c>
      <c r="C3" s="4">
        <f>'Gemini 3 Pro Grading'!C3</f>
        <v/>
      </c>
      <c r="D3" s="4">
        <f>'Gemini 3 Pro Grading'!C3</f>
        <v/>
      </c>
      <c r="E3" s="30" t="n"/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11">
        <f>SUM(G3:I3)</f>
        <v/>
      </c>
      <c r="K3" s="11" t="n"/>
      <c r="L3" s="37" t="n">
        <v>0</v>
      </c>
      <c r="M3" s="38">
        <f>ABS(G$2-$F3)/1</f>
        <v/>
      </c>
      <c r="N3" s="39">
        <f>ABS(H$2-$F3)/1</f>
        <v/>
      </c>
      <c r="O3" s="40">
        <f>ABS(I$2-$F3)/1</f>
        <v/>
      </c>
      <c r="P3" s="11" t="n"/>
      <c r="Q3" s="37" t="n">
        <v>0</v>
      </c>
      <c r="R3" s="38">
        <f>($J3/$J$6) * (G$6/$J$6)</f>
        <v/>
      </c>
      <c r="S3" s="39">
        <f>($J3/$J$6) * (H$6/$J$6)</f>
        <v/>
      </c>
      <c r="T3" s="40">
        <f>($J3/$J$6) * (I$6/$J$6)</f>
        <v/>
      </c>
      <c r="U3" s="11" t="n"/>
      <c r="V3" s="41" t="inlineStr">
        <is>
          <t>Observed Weighted Disagreement (D_obs)</t>
        </is>
      </c>
      <c r="W3" s="38">
        <f>SUMPRODUCT(G3:I5, M3:O5) /$J$6</f>
        <v/>
      </c>
      <c r="X3" s="40" t="inlineStr">
        <is>
          <t>Sum of (confusion-matrix counts × weights) divided by total items.</t>
        </is>
      </c>
    </row>
    <row r="4" ht="15.75" customHeight="1" s="67">
      <c r="A4" s="4">
        <f>'Gemini 3 Pro Grading'!A4</f>
        <v/>
      </c>
      <c r="B4" s="4">
        <f>'Gemini 3 Pro Grading'!B4</f>
        <v/>
      </c>
      <c r="C4" s="4">
        <f>'Gemini 3 Pro Grading'!C4</f>
        <v/>
      </c>
      <c r="D4" s="4">
        <f>'Gemini 3 Pro Grading'!C4</f>
        <v/>
      </c>
      <c r="E4" s="30" t="n"/>
      <c r="F4" s="37" t="n">
        <v>0.5</v>
      </c>
      <c r="G4" s="42">
        <f>COUNTIFS($C$2:$C$46, $F4, $D$2:$D$46, G$2)</f>
        <v/>
      </c>
      <c r="H4" s="11">
        <f>COUNTIFS($C$2:$C$46, $F4, $D$2:$D$46, H$2)</f>
        <v/>
      </c>
      <c r="I4" s="43">
        <f>COUNTIFS($C$2:$C$46, $F4, $D$2:$D$46, I$2)</f>
        <v/>
      </c>
      <c r="J4" s="11">
        <f>SUM(G4:I4)</f>
        <v/>
      </c>
      <c r="K4" s="11" t="n"/>
      <c r="L4" s="37" t="n">
        <v>0.5</v>
      </c>
      <c r="M4" s="42">
        <f>ABS(G$2-$F4)/1</f>
        <v/>
      </c>
      <c r="N4" s="11">
        <f>ABS(H$2-$F4)/3</f>
        <v/>
      </c>
      <c r="O4" s="43">
        <f>ABS(I$2-$F4)/1</f>
        <v/>
      </c>
      <c r="P4" s="11" t="n"/>
      <c r="Q4" s="37" t="n">
        <v>0.5</v>
      </c>
      <c r="R4" s="42">
        <f>($J4/$J$6) * (G$6/$J$6)</f>
        <v/>
      </c>
      <c r="S4" s="11">
        <f>($J4/$J$6) * (H$6/$J$6)</f>
        <v/>
      </c>
      <c r="T4" s="43">
        <f>($J4/$J$6) * (I$6/$J$6)</f>
        <v/>
      </c>
      <c r="U4" s="11" t="n"/>
      <c r="V4" s="41" t="inlineStr">
        <is>
          <t>Expected Weighted Disagreement (D_exp)</t>
        </is>
      </c>
      <c r="W4" s="42">
        <f>SUMPRODUCT(R3:T5, M3:O5)</f>
        <v/>
      </c>
      <c r="X4" s="43" t="inlineStr">
        <is>
          <t>Sum of (expected cell proportions × weights) under chance agreement.</t>
        </is>
      </c>
    </row>
    <row r="5" ht="15.75" customHeight="1" s="67">
      <c r="A5" s="4">
        <f>'Gemini 3 Pro Grading'!A5</f>
        <v/>
      </c>
      <c r="B5" s="4">
        <f>'Gemini 3 Pro Grading'!B5</f>
        <v/>
      </c>
      <c r="C5" s="4">
        <f>'Gemini 3 Pro Grading'!C5</f>
        <v/>
      </c>
      <c r="D5" s="4">
        <f>'Gemini 3 Pro Grading'!C5</f>
        <v/>
      </c>
      <c r="E5" s="30" t="n"/>
      <c r="F5" s="37" t="n">
        <v>1</v>
      </c>
      <c r="G5" s="44">
        <f>COUNTIFS($C$2:$C$46, $F5, $D$2:$D$46, G$2)+MAX(C47-D47,0)+MAX(C48-D48,0)+MAX(C49-D49,0)+MAX(C50-D50,0)+MAX(C51-D51,0)+MAX(C52-D52,0)+MAX(C53-D53,0)</f>
        <v/>
      </c>
      <c r="H5" s="45">
        <f>COUNTIFS($C$2:$C$46, $F5, $D$2:$D$46, H$2)</f>
        <v/>
      </c>
      <c r="I5" s="46">
        <f>COUNTIFS($C$2:$C$46, $F5, $D$2:$D$46, I$2)+ SUM(MIN(C47,D47), MIN(C48,D48), MIN(C49,D49), MIN(C50,D50), MIN(C51,D51), MIN(C52,D52), MIN(C53,D53))</f>
        <v/>
      </c>
      <c r="J5" s="11">
        <f>SUM(G5:I5)</f>
        <v/>
      </c>
      <c r="K5" s="11" t="n"/>
      <c r="L5" s="37" t="n">
        <v>1</v>
      </c>
      <c r="M5" s="44">
        <f>ABS(G$2-$F5)/1</f>
        <v/>
      </c>
      <c r="N5" s="45">
        <f>ABS(H$2-$F5)/1</f>
        <v/>
      </c>
      <c r="O5" s="46">
        <f>ABS(I$2-$F5)/1</f>
        <v/>
      </c>
      <c r="P5" s="11" t="n"/>
      <c r="Q5" s="37" t="n">
        <v>1</v>
      </c>
      <c r="R5" s="44">
        <f>($J5/$J$6) * (G$6/$J$6)</f>
        <v/>
      </c>
      <c r="S5" s="45">
        <f>($J5/$J$6) * (H$6/$J$6)</f>
        <v/>
      </c>
      <c r="T5" s="46">
        <f>($J5/$J$6) * (I$6/$J$6)</f>
        <v/>
      </c>
      <c r="U5" s="11" t="n"/>
      <c r="V5" s="41" t="inlineStr">
        <is>
          <t>Cohen's Kappa</t>
        </is>
      </c>
      <c r="W5" s="44">
        <f>1-W3/W4</f>
        <v/>
      </c>
      <c r="X5" s="46" t="inlineStr">
        <is>
          <t>1 - (D_obs / D_exp)</t>
        </is>
      </c>
    </row>
    <row r="6" ht="15.75" customHeight="1" s="67">
      <c r="A6" s="4">
        <f>'Gemini 3 Pro Grading'!A6</f>
        <v/>
      </c>
      <c r="B6" s="4">
        <f>'Gemini 3 Pro Grading'!B6</f>
        <v/>
      </c>
      <c r="C6" s="4">
        <f>'Gemini 3 Pro Grading'!C6</f>
        <v/>
      </c>
      <c r="D6" s="4">
        <f>'Gemini 3 Pro Grading'!C6</f>
        <v/>
      </c>
      <c r="E6" s="30" t="n"/>
      <c r="F6" s="47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>
        <f>SUM(G3:I5)</f>
        <v/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V6" s="11" t="n"/>
      <c r="W6" s="48" t="n"/>
    </row>
    <row r="7" ht="15.75" customHeight="1" s="67">
      <c r="A7" s="4">
        <f>'Gemini 3 Pro Grading'!A7</f>
        <v/>
      </c>
      <c r="B7" s="4">
        <f>'Gemini 3 Pro Grading'!B7</f>
        <v/>
      </c>
      <c r="C7" s="4">
        <f>'Gemini 3 Pro Grading'!C7</f>
        <v/>
      </c>
      <c r="D7" s="4">
        <f>'Gemini 3 Pro Grading'!C7</f>
        <v/>
      </c>
      <c r="E7" s="30" t="n"/>
      <c r="L7" s="11" t="n"/>
      <c r="M7" s="11" t="n"/>
      <c r="N7" s="11" t="n"/>
    </row>
    <row r="8" ht="15.75" customHeight="1" s="67">
      <c r="A8" s="4">
        <f>'Gemini 3 Pro Grading'!A8</f>
        <v/>
      </c>
      <c r="B8" s="4">
        <f>'Gemini 3 Pro Grading'!B8</f>
        <v/>
      </c>
      <c r="C8" s="4">
        <f>'Gemini 3 Pro Grading'!C8</f>
        <v/>
      </c>
      <c r="D8" s="4">
        <f>'Gemini 3 Pro Grading'!C8</f>
        <v/>
      </c>
      <c r="E8" s="30" t="n"/>
      <c r="F8" s="72" t="inlineStr">
        <is>
          <t>Confusion Matrix (State)</t>
        </is>
      </c>
    </row>
    <row r="9" ht="15.75" customHeight="1" s="67">
      <c r="A9" s="4">
        <f>'Gemini 3 Pro Grading'!A9</f>
        <v/>
      </c>
      <c r="B9" s="4">
        <f>'Gemini 3 Pro Grading'!B9</f>
        <v/>
      </c>
      <c r="C9" s="4">
        <f>'Gemini 3 Pro Grading'!C9</f>
        <v/>
      </c>
      <c r="D9" s="4">
        <f>'Gemini 3 Pro Grading'!C9</f>
        <v/>
      </c>
      <c r="E9" s="30" t="n"/>
      <c r="F9" s="11" t="inlineStr">
        <is>
          <t>State</t>
        </is>
      </c>
      <c r="G9" s="49" t="inlineStr">
        <is>
          <t>0</t>
        </is>
      </c>
      <c r="H9" s="49" t="inlineStr">
        <is>
          <t>0.5</t>
        </is>
      </c>
      <c r="I9" s="49" t="inlineStr">
        <is>
          <t>1</t>
        </is>
      </c>
      <c r="J9" s="50" t="inlineStr">
        <is>
          <t>Row Totals</t>
        </is>
      </c>
      <c r="K9" s="11" t="n"/>
      <c r="L9" s="11" t="inlineStr">
        <is>
          <t>Global</t>
        </is>
      </c>
      <c r="M9" s="49" t="inlineStr">
        <is>
          <t>0</t>
        </is>
      </c>
      <c r="N9" s="49" t="inlineStr">
        <is>
          <t>0.5</t>
        </is>
      </c>
      <c r="O9" s="49" t="inlineStr">
        <is>
          <t>1</t>
        </is>
      </c>
      <c r="P9" s="11" t="n"/>
      <c r="Q9" s="11" t="inlineStr">
        <is>
          <t>Global</t>
        </is>
      </c>
      <c r="R9" s="49" t="inlineStr">
        <is>
          <t>0</t>
        </is>
      </c>
      <c r="S9" s="49" t="inlineStr">
        <is>
          <t>0.5</t>
        </is>
      </c>
      <c r="T9" s="49" t="inlineStr">
        <is>
          <t>1</t>
        </is>
      </c>
      <c r="V9" s="36">
        <f>"Metrics" &amp; " " &amp; F9</f>
        <v/>
      </c>
      <c r="W9" s="36" t="inlineStr">
        <is>
          <t>Value</t>
        </is>
      </c>
      <c r="X9" s="36" t="inlineStr">
        <is>
          <t>Note</t>
        </is>
      </c>
    </row>
    <row r="10" ht="15.75" customHeight="1" s="67">
      <c r="A10" s="4">
        <f>'Gemini 3 Pro Grading'!A10</f>
        <v/>
      </c>
      <c r="B10" s="4">
        <f>'Gemini 3 Pro Grading'!B10</f>
        <v/>
      </c>
      <c r="C10" s="4">
        <f>'Gemini 3 Pro Grading'!C10</f>
        <v/>
      </c>
      <c r="D10" s="4">
        <f>'Gemini 3 Pro Grading'!C10</f>
        <v/>
      </c>
      <c r="E10" s="30" t="n"/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11">
        <f>SUM(G10:I10)</f>
        <v/>
      </c>
      <c r="K10" s="11" t="n"/>
      <c r="L10" s="37" t="n">
        <v>0</v>
      </c>
      <c r="M10" s="38">
        <f>ABS(G$2-$F10)/1</f>
        <v/>
      </c>
      <c r="N10" s="39">
        <f>ABS(H$2-$F10)/1</f>
        <v/>
      </c>
      <c r="O10" s="40">
        <f>ABS(I$2-$F10)/1</f>
        <v/>
      </c>
      <c r="P10" s="11" t="n"/>
      <c r="Q10" s="37" t="n">
        <v>0</v>
      </c>
      <c r="R10" s="38">
        <f>($J10/$J$13) * (G$13/$J$13)</f>
        <v/>
      </c>
      <c r="S10" s="39">
        <f>($J10/$J$13) * (H$13/$J$13)</f>
        <v/>
      </c>
      <c r="T10" s="40">
        <f>($J10/$J$13) * (I$13/$J$13)</f>
        <v/>
      </c>
      <c r="U10" s="11" t="n"/>
      <c r="V10" s="41" t="inlineStr">
        <is>
          <t>Observed Weighted Disagreement (D_obs)</t>
        </is>
      </c>
      <c r="W10" s="38">
        <f>SUMPRODUCT(G10:I12, M10:O12) /$J$13</f>
        <v/>
      </c>
      <c r="X10" s="40" t="inlineStr">
        <is>
          <t>Sum of (confusion-matrix counts × weights) divided by total items.</t>
        </is>
      </c>
    </row>
    <row r="11" ht="15.75" customHeight="1" s="67">
      <c r="A11" s="4">
        <f>'Gemini 3 Pro Grading'!A11</f>
        <v/>
      </c>
      <c r="B11" s="4">
        <f>'Gemini 3 Pro Grading'!B11</f>
        <v/>
      </c>
      <c r="C11" s="4">
        <f>'Gemini 3 Pro Grading'!C11</f>
        <v/>
      </c>
      <c r="D11" s="4">
        <f>'Gemini 3 Pro Grading'!C11</f>
        <v/>
      </c>
      <c r="E11" s="30" t="n"/>
      <c r="F11" s="37" t="n">
        <v>0.5</v>
      </c>
      <c r="G11" s="42">
        <f>COUNTIFS($A$2:$A$90,$F$9,$C$2:$C$90,$F11,$D$2:$D$90,G$9)</f>
        <v/>
      </c>
      <c r="H11" s="11">
        <f>COUNTIFS($A$2:$A$90,$F$9,$C$2:$C$90,$F11,$D$2:$D$90,H$9)</f>
        <v/>
      </c>
      <c r="I11" s="43">
        <f>COUNTIFS($A$2:$A$90,$F$9,$C$2:$C$90,$F11,$D$2:$D$90,I$9)</f>
        <v/>
      </c>
      <c r="J11" s="11">
        <f>SUM(G11:I11)</f>
        <v/>
      </c>
      <c r="K11" s="11" t="n"/>
      <c r="L11" s="37" t="n">
        <v>0.5</v>
      </c>
      <c r="M11" s="42">
        <f>ABS(G$2-$F11)/1</f>
        <v/>
      </c>
      <c r="N11" s="11">
        <f>ABS(H$2-$F11)/3</f>
        <v/>
      </c>
      <c r="O11" s="43">
        <f>ABS(I$2-$F11)/1</f>
        <v/>
      </c>
      <c r="P11" s="11" t="n"/>
      <c r="Q11" s="37" t="n">
        <v>0.5</v>
      </c>
      <c r="R11" s="42">
        <f>($J11/$J$13) * (G$13/$J$13)</f>
        <v/>
      </c>
      <c r="S11" s="11">
        <f>($J11/$J$13) * (H$13/$J$13)</f>
        <v/>
      </c>
      <c r="T11" s="43">
        <f>($J11/$J$13) * (I$13/$J$13)</f>
        <v/>
      </c>
      <c r="U11" s="11" t="n"/>
      <c r="V11" s="41" t="inlineStr">
        <is>
          <t>Expected Weighted Disagreement (D_exp)</t>
        </is>
      </c>
      <c r="W11" s="42">
        <f>SUMPRODUCT(R10:T12, M10:O12)</f>
        <v/>
      </c>
      <c r="X11" s="43" t="inlineStr">
        <is>
          <t>Sum of (expected cell proportions × weights) under chance agreement.</t>
        </is>
      </c>
    </row>
    <row r="12" ht="15.75" customHeight="1" s="67">
      <c r="A12" s="4">
        <f>'Gemini 3 Pro Grading'!A12</f>
        <v/>
      </c>
      <c r="B12" s="4">
        <f>'Gemini 3 Pro Grading'!B12</f>
        <v/>
      </c>
      <c r="C12" s="4">
        <f>'Gemini 3 Pro Grading'!C12</f>
        <v/>
      </c>
      <c r="D12" s="4">
        <f>'Gemini 3 Pro Grading'!C12</f>
        <v/>
      </c>
      <c r="E12" s="30" t="n"/>
      <c r="F12" s="37" t="n">
        <v>1</v>
      </c>
      <c r="G12" s="44">
        <f>COUNTIFS($A$2:$A$46,$F$9,$C$2:$C$46,$F12,$D$2:$D$46,G$9)+MAX(C47-D47,0)</f>
        <v/>
      </c>
      <c r="H12" s="45">
        <f>COUNTIFS($A$2:$A$90,$F$9,$C$2:$C$90,$F12,$D$2:$D$90,H$9)</f>
        <v/>
      </c>
      <c r="I12" s="46">
        <f>COUNTIFS($A$2:$A$46,$F$9,$C$2:$C$46,$F12,$D$2:$D$46,I$9)+MIN(C47-D47)</f>
        <v/>
      </c>
      <c r="J12" s="11">
        <f>SUM(G12:I12)</f>
        <v/>
      </c>
      <c r="K12" s="11" t="n"/>
      <c r="L12" s="37" t="n">
        <v>1</v>
      </c>
      <c r="M12" s="44">
        <f>ABS(G$2-$F12)/1</f>
        <v/>
      </c>
      <c r="N12" s="45">
        <f>ABS(H$2-$F12)/1</f>
        <v/>
      </c>
      <c r="O12" s="46">
        <f>ABS(I$2-$F12)/1</f>
        <v/>
      </c>
      <c r="P12" s="11" t="n"/>
      <c r="Q12" s="37" t="n">
        <v>1</v>
      </c>
      <c r="R12" s="44">
        <f>($J12/$J$13) * (G$13/$J$13)</f>
        <v/>
      </c>
      <c r="S12" s="45">
        <f>($J12/$J$13) * (H$13/$J$13)</f>
        <v/>
      </c>
      <c r="T12" s="46">
        <f>($J12/$J$13) * (I$13/$J$13)</f>
        <v/>
      </c>
      <c r="U12" s="11" t="n"/>
      <c r="V12" s="41" t="inlineStr">
        <is>
          <t>Cohen's Kappa</t>
        </is>
      </c>
      <c r="W12" s="44">
        <f>1-W10/W11</f>
        <v/>
      </c>
      <c r="X12" s="46" t="inlineStr">
        <is>
          <t>1 - (D_obs / D_exp)</t>
        </is>
      </c>
    </row>
    <row r="13" ht="15.75" customHeight="1" s="67">
      <c r="A13" s="4">
        <f>'Gemini 3 Pro Grading'!A13</f>
        <v/>
      </c>
      <c r="B13" s="4">
        <f>'Gemini 3 Pro Grading'!B13</f>
        <v/>
      </c>
      <c r="C13" s="4">
        <f>'Gemini 3 Pro Grading'!C13</f>
        <v/>
      </c>
      <c r="D13" s="4">
        <f>'Gemini 3 Pro Grading'!C13</f>
        <v/>
      </c>
      <c r="E13" s="30" t="n"/>
      <c r="F13" s="47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>
        <f>SUM(G10:I12)</f>
        <v/>
      </c>
    </row>
    <row r="14" ht="15.75" customHeight="1" s="67">
      <c r="A14" s="4">
        <f>'Gemini 3 Pro Grading'!A14</f>
        <v/>
      </c>
      <c r="B14" s="4">
        <f>'Gemini 3 Pro Grading'!B14</f>
        <v/>
      </c>
      <c r="C14" s="4">
        <f>'Gemini 3 Pro Grading'!C14</f>
        <v/>
      </c>
      <c r="D14" s="4">
        <f>'Gemini 3 Pro Grading'!C14</f>
        <v/>
      </c>
      <c r="E14" s="30" t="n"/>
    </row>
    <row r="15" ht="15.75" customHeight="1" s="67">
      <c r="A15" s="4">
        <f>'Gemini 3 Pro Grading'!A15</f>
        <v/>
      </c>
      <c r="B15" s="4">
        <f>'Gemini 3 Pro Grading'!B15</f>
        <v/>
      </c>
      <c r="C15" s="4">
        <f>'Gemini 3 Pro Grading'!C15</f>
        <v/>
      </c>
      <c r="D15" s="4">
        <f>'Gemini 3 Pro Grading'!C15</f>
        <v/>
      </c>
      <c r="E15" s="30" t="n"/>
      <c r="F15" s="72" t="inlineStr">
        <is>
          <t>Confusion Matrix (Transition)</t>
        </is>
      </c>
    </row>
    <row r="16" ht="15.75" customHeight="1" s="67">
      <c r="A16" s="4">
        <f>'Gemini 3 Pro Grading'!A16</f>
        <v/>
      </c>
      <c r="B16" s="4">
        <f>'Gemini 3 Pro Grading'!B16</f>
        <v/>
      </c>
      <c r="C16" s="4">
        <f>'Gemini 3 Pro Grading'!C16</f>
        <v/>
      </c>
      <c r="D16" s="4">
        <f>'Gemini 3 Pro Grading'!C16</f>
        <v/>
      </c>
      <c r="E16" s="30" t="n"/>
      <c r="F16" s="11" t="inlineStr">
        <is>
          <t>Transition</t>
        </is>
      </c>
      <c r="G16" s="49" t="inlineStr">
        <is>
          <t>0</t>
        </is>
      </c>
      <c r="H16" s="49" t="inlineStr">
        <is>
          <t>0.5</t>
        </is>
      </c>
      <c r="I16" s="49" t="inlineStr">
        <is>
          <t>1</t>
        </is>
      </c>
      <c r="J16" s="50" t="inlineStr">
        <is>
          <t>Row Totals</t>
        </is>
      </c>
      <c r="K16" s="11" t="n"/>
      <c r="L16" s="11" t="inlineStr">
        <is>
          <t>Global</t>
        </is>
      </c>
      <c r="M16" s="49" t="inlineStr">
        <is>
          <t>0</t>
        </is>
      </c>
      <c r="N16" s="49" t="inlineStr">
        <is>
          <t>0.5</t>
        </is>
      </c>
      <c r="O16" s="49" t="inlineStr">
        <is>
          <t>1</t>
        </is>
      </c>
      <c r="P16" s="11" t="n"/>
      <c r="Q16" s="11" t="inlineStr">
        <is>
          <t>Global</t>
        </is>
      </c>
      <c r="R16" s="49" t="inlineStr">
        <is>
          <t>0</t>
        </is>
      </c>
      <c r="S16" s="49" t="inlineStr">
        <is>
          <t>0.5</t>
        </is>
      </c>
      <c r="T16" s="49" t="inlineStr">
        <is>
          <t>1</t>
        </is>
      </c>
      <c r="V16" s="36">
        <f>"Metrics" &amp; " " &amp; F16</f>
        <v/>
      </c>
      <c r="W16" s="36" t="inlineStr">
        <is>
          <t>Value</t>
        </is>
      </c>
      <c r="X16" s="36" t="inlineStr">
        <is>
          <t>Note</t>
        </is>
      </c>
    </row>
    <row r="17" ht="15.75" customHeight="1" s="67">
      <c r="A17" s="4">
        <f>'Gemini 3 Pro Grading'!A17</f>
        <v/>
      </c>
      <c r="B17" s="4">
        <f>'Gemini 3 Pro Grading'!B17</f>
        <v/>
      </c>
      <c r="C17" s="4">
        <f>'Gemini 3 Pro Grading'!C17</f>
        <v/>
      </c>
      <c r="D17" s="4">
        <f>'Gemini 3 Pro Grading'!C17</f>
        <v/>
      </c>
      <c r="E17" s="30" t="n"/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11">
        <f>SUM(G17:I17)</f>
        <v/>
      </c>
      <c r="K17" s="11" t="n"/>
      <c r="L17" s="37" t="n">
        <v>0</v>
      </c>
      <c r="M17" s="38">
        <f>ABS(G$2-$F17)/1</f>
        <v/>
      </c>
      <c r="N17" s="39">
        <f>ABS(H$2-$F17)/1</f>
        <v/>
      </c>
      <c r="O17" s="40">
        <f>ABS(I$2-$F17)/1</f>
        <v/>
      </c>
      <c r="P17" s="11" t="n"/>
      <c r="Q17" s="37" t="n">
        <v>0</v>
      </c>
      <c r="R17" s="38">
        <f>($J17/$J$20) * (G$20/$J$20)</f>
        <v/>
      </c>
      <c r="S17" s="39">
        <f>($J17/$J$20) * (H$20/$J$20)</f>
        <v/>
      </c>
      <c r="T17" s="40">
        <f>($J17/$J$20) * (I$20/$J$20)</f>
        <v/>
      </c>
      <c r="U17" s="11" t="n"/>
      <c r="V17" s="41" t="inlineStr">
        <is>
          <t>Observed Weighted Disagreement (D_obs)</t>
        </is>
      </c>
      <c r="W17" s="38">
        <f>SUMPRODUCT(G17:I19, M17:O19) /$J$20</f>
        <v/>
      </c>
      <c r="X17" s="40" t="inlineStr">
        <is>
          <t>Sum of (confusion-matrix counts × weights) divided by total items.</t>
        </is>
      </c>
    </row>
    <row r="18" ht="15.75" customHeight="1" s="67">
      <c r="A18" s="4">
        <f>'Gemini 3 Pro Grading'!A18</f>
        <v/>
      </c>
      <c r="B18" s="4">
        <f>'Gemini 3 Pro Grading'!B18</f>
        <v/>
      </c>
      <c r="C18" s="4">
        <f>'Gemini 3 Pro Grading'!C18</f>
        <v/>
      </c>
      <c r="D18" s="4">
        <f>'Gemini 3 Pro Grading'!C18</f>
        <v/>
      </c>
      <c r="E18" s="30" t="n"/>
      <c r="F18" s="37" t="n">
        <v>0.5</v>
      </c>
      <c r="G18" s="42">
        <f>COUNTIFS($A$2:$A$90,$F$16,$C$2:$C$90,$F18,$D$2:$D$90,G$16)</f>
        <v/>
      </c>
      <c r="H18" s="11">
        <f>COUNTIFS($A$2:$A$90,$F$16,$C$2:$C$90,$F18,$D$2:$D$90,H$16)</f>
        <v/>
      </c>
      <c r="I18" s="43">
        <f>COUNTIFS($A$2:$A$90,$F$16,$C$2:$C$90,$F18,$D$2:$D$90,I$16)</f>
        <v/>
      </c>
      <c r="J18" s="11">
        <f>SUM(G18:I18)</f>
        <v/>
      </c>
      <c r="K18" s="11" t="n"/>
      <c r="L18" s="37" t="n">
        <v>0.5</v>
      </c>
      <c r="M18" s="42">
        <f>ABS(G$2-$F18)/1</f>
        <v/>
      </c>
      <c r="N18" s="11">
        <f>ABS(H$2-$F18)/3</f>
        <v/>
      </c>
      <c r="O18" s="43">
        <f>ABS(I$2-$F18)/1</f>
        <v/>
      </c>
      <c r="P18" s="11" t="n"/>
      <c r="Q18" s="37" t="n">
        <v>0.5</v>
      </c>
      <c r="R18" s="42">
        <f>($J18/$J$20) * (G$20/$J$20)</f>
        <v/>
      </c>
      <c r="S18" s="11">
        <f>($J18/$J$20) * (H$20/$J$20)</f>
        <v/>
      </c>
      <c r="T18" s="43">
        <f>($J18/$J$20) * (I$20/$J$20)</f>
        <v/>
      </c>
      <c r="U18" s="11" t="n"/>
      <c r="V18" s="41" t="inlineStr">
        <is>
          <t>Expected Weighted Disagreement (D_exp)</t>
        </is>
      </c>
      <c r="W18" s="42">
        <f>SUMPRODUCT(R17:T19, M17:O19)</f>
        <v/>
      </c>
      <c r="X18" s="43" t="inlineStr">
        <is>
          <t>Sum of (expected cell proportions × weights) under chance agreement.</t>
        </is>
      </c>
    </row>
    <row r="19" ht="15.75" customHeight="1" s="67">
      <c r="A19" s="4">
        <f>'Gemini 3 Pro Grading'!A19</f>
        <v/>
      </c>
      <c r="B19" s="4">
        <f>'Gemini 3 Pro Grading'!B19</f>
        <v/>
      </c>
      <c r="C19" s="4">
        <f>'Gemini 3 Pro Grading'!C19</f>
        <v/>
      </c>
      <c r="D19" s="4">
        <f>'Gemini 3 Pro Grading'!C19</f>
        <v/>
      </c>
      <c r="E19" s="30" t="n"/>
      <c r="F19" s="37" t="n">
        <v>1</v>
      </c>
      <c r="G19" s="44">
        <f>COUNTIFS($A$2:$A$46,$F$16,$C$2:$C$46,$F19,$D$2:$D$46,G$16)+MAX(C48-D48,0)</f>
        <v/>
      </c>
      <c r="H19" s="45">
        <f>COUNTIFS($A$2:$A$90,$F$16,$C$2:$C$90,$F19,$D$2:$D$90,H$16)</f>
        <v/>
      </c>
      <c r="I19" s="46">
        <f>COUNTIFS($A$2:$A$46,$F$16,$C$2:$C$46,$F19,$D$2:$D$46,I$16) + MIN(C48,D48)</f>
        <v/>
      </c>
      <c r="J19" s="11">
        <f>SUM(G19:I19)</f>
        <v/>
      </c>
      <c r="K19" s="11" t="n"/>
      <c r="L19" s="37" t="n">
        <v>1</v>
      </c>
      <c r="M19" s="44">
        <f>ABS(G$2-$F19)/1</f>
        <v/>
      </c>
      <c r="N19" s="45">
        <f>ABS(H$2-$F19)/1</f>
        <v/>
      </c>
      <c r="O19" s="46">
        <f>ABS(I$2-$F19)/1</f>
        <v/>
      </c>
      <c r="P19" s="11" t="n"/>
      <c r="Q19" s="37" t="n">
        <v>1</v>
      </c>
      <c r="R19" s="44">
        <f>($J19/$J$20) * (G$20/$J$20)</f>
        <v/>
      </c>
      <c r="S19" s="45">
        <f>($J19/$J$20) * (H$20/$J$20)</f>
        <v/>
      </c>
      <c r="T19" s="46">
        <f>($J19/$J$20) * (I$20/$J$20)</f>
        <v/>
      </c>
      <c r="U19" s="11" t="n"/>
      <c r="V19" s="41" t="inlineStr">
        <is>
          <t>Cohen's Kappa</t>
        </is>
      </c>
      <c r="W19" s="44">
        <f>1-W17/W18</f>
        <v/>
      </c>
      <c r="X19" s="46" t="inlineStr">
        <is>
          <t>1 - (D_obs / D_exp)</t>
        </is>
      </c>
    </row>
    <row r="20" ht="15.75" customHeight="1" s="67">
      <c r="A20" s="4">
        <f>'Gemini 3 Pro Grading'!A20</f>
        <v/>
      </c>
      <c r="B20" s="4">
        <f>'Gemini 3 Pro Grading'!B20</f>
        <v/>
      </c>
      <c r="C20" s="4">
        <f>'Gemini 3 Pro Grading'!C20</f>
        <v/>
      </c>
      <c r="D20" s="4">
        <f>'Gemini 3 Pro Grading'!C20</f>
        <v/>
      </c>
      <c r="E20" s="30" t="n"/>
      <c r="F20" s="47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>
        <f>SUM(G17:I19)</f>
        <v/>
      </c>
    </row>
    <row r="21" ht="15.75" customHeight="1" s="67">
      <c r="A21" s="4">
        <f>'Gemini 3 Pro Grading'!A21</f>
        <v/>
      </c>
      <c r="B21" s="4">
        <f>'Gemini 3 Pro Grading'!B21</f>
        <v/>
      </c>
      <c r="C21" s="4">
        <f>'Gemini 3 Pro Grading'!C21</f>
        <v/>
      </c>
      <c r="D21" s="4">
        <f>'Gemini 3 Pro Grading'!C21</f>
        <v/>
      </c>
      <c r="E21" s="30" t="n"/>
    </row>
    <row r="22" ht="15.75" customHeight="1" s="67">
      <c r="A22" s="4">
        <f>'Gemini 3 Pro Grading'!A22</f>
        <v/>
      </c>
      <c r="B22" s="4">
        <f>'Gemini 3 Pro Grading'!B22</f>
        <v/>
      </c>
      <c r="C22" s="4">
        <f>'Gemini 3 Pro Grading'!C22</f>
        <v/>
      </c>
      <c r="D22" s="4">
        <f>'Gemini 3 Pro Grading'!C22</f>
        <v/>
      </c>
      <c r="E22" s="30" t="n"/>
      <c r="F22" s="72" t="inlineStr">
        <is>
          <t>Confusion Matrix (Composite State)</t>
        </is>
      </c>
    </row>
    <row r="23" ht="15.75" customHeight="1" s="67">
      <c r="A23" s="4">
        <f>'Gemini 3 Pro Grading'!A23</f>
        <v/>
      </c>
      <c r="B23" s="4">
        <f>'Gemini 3 Pro Grading'!B23</f>
        <v/>
      </c>
      <c r="C23" s="4">
        <f>'Gemini 3 Pro Grading'!C23</f>
        <v/>
      </c>
      <c r="D23" s="4">
        <f>'Gemini 3 Pro Grading'!C23</f>
        <v/>
      </c>
      <c r="E23" s="30" t="n"/>
      <c r="F23" s="11" t="inlineStr">
        <is>
          <t>Composite State</t>
        </is>
      </c>
      <c r="G23" s="49" t="inlineStr">
        <is>
          <t>0</t>
        </is>
      </c>
      <c r="H23" s="49" t="inlineStr">
        <is>
          <t>0.5</t>
        </is>
      </c>
      <c r="I23" s="49" t="inlineStr">
        <is>
          <t>1</t>
        </is>
      </c>
      <c r="J23" s="50" t="inlineStr">
        <is>
          <t>Row Totals</t>
        </is>
      </c>
      <c r="K23" s="11" t="n"/>
      <c r="L23" s="11" t="inlineStr">
        <is>
          <t>Global</t>
        </is>
      </c>
      <c r="M23" s="49" t="inlineStr">
        <is>
          <t>0</t>
        </is>
      </c>
      <c r="N23" s="49" t="inlineStr">
        <is>
          <t>0.5</t>
        </is>
      </c>
      <c r="O23" s="49" t="inlineStr">
        <is>
          <t>1</t>
        </is>
      </c>
      <c r="P23" s="11" t="n"/>
      <c r="Q23" s="11" t="inlineStr">
        <is>
          <t>Global</t>
        </is>
      </c>
      <c r="R23" s="49" t="inlineStr">
        <is>
          <t>0</t>
        </is>
      </c>
      <c r="S23" s="49" t="inlineStr">
        <is>
          <t>0.5</t>
        </is>
      </c>
      <c r="T23" s="49" t="inlineStr">
        <is>
          <t>1</t>
        </is>
      </c>
      <c r="V23" s="36">
        <f>"Metrics" &amp; " " &amp; F23</f>
        <v/>
      </c>
      <c r="W23" s="36" t="inlineStr">
        <is>
          <t>Value</t>
        </is>
      </c>
      <c r="X23" s="36" t="inlineStr">
        <is>
          <t>Note</t>
        </is>
      </c>
    </row>
    <row r="24" ht="15.75" customHeight="1" s="67">
      <c r="A24" s="4">
        <f>'Gemini 3 Pro Grading'!A24</f>
        <v/>
      </c>
      <c r="B24" s="4">
        <f>'Gemini 3 Pro Grading'!B24</f>
        <v/>
      </c>
      <c r="C24" s="4">
        <f>'Gemini 3 Pro Grading'!C24</f>
        <v/>
      </c>
      <c r="D24" s="4">
        <f>'Gemini 3 Pro Grading'!C24</f>
        <v/>
      </c>
      <c r="E24" s="30" t="n"/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11">
        <f>SUM(G24:I24)</f>
        <v/>
      </c>
      <c r="K24" s="11" t="n"/>
      <c r="L24" s="37" t="n">
        <v>0</v>
      </c>
      <c r="M24" s="38">
        <f>ABS(G$2-$F24)/1</f>
        <v/>
      </c>
      <c r="N24" s="39">
        <f>ABS(H$2-$F24)/1</f>
        <v/>
      </c>
      <c r="O24" s="40">
        <f>ABS(I$2-$F24)/1</f>
        <v/>
      </c>
      <c r="P24" s="11" t="n"/>
      <c r="Q24" s="37" t="n">
        <v>0</v>
      </c>
      <c r="R24" s="38">
        <f>($J24/$J$27) * (G$27/$J$27)</f>
        <v/>
      </c>
      <c r="S24" s="39">
        <f>($J24/$J$27) * (H$27/$J$27)</f>
        <v/>
      </c>
      <c r="T24" s="40">
        <f>($J24/$J$27) * (I$27/$J$27)</f>
        <v/>
      </c>
      <c r="U24" s="11" t="n"/>
      <c r="V24" s="41" t="inlineStr">
        <is>
          <t>Observed Weighted Disagreement (D_obs)</t>
        </is>
      </c>
      <c r="W24" s="38">
        <f>SUMPRODUCT(G24:I26, M24:O26) /$J$27</f>
        <v/>
      </c>
      <c r="X24" s="40" t="inlineStr">
        <is>
          <t>Sum of (confusion-matrix counts × weights) divided by total items.</t>
        </is>
      </c>
    </row>
    <row r="25" ht="15.75" customHeight="1" s="67">
      <c r="A25" s="4">
        <f>'Gemini 3 Pro Grading'!A25</f>
        <v/>
      </c>
      <c r="B25" s="4">
        <f>'Gemini 3 Pro Grading'!B25</f>
        <v/>
      </c>
      <c r="C25" s="4">
        <f>'Gemini 3 Pro Grading'!C25</f>
        <v/>
      </c>
      <c r="D25" s="4">
        <f>'Gemini 3 Pro Grading'!C25</f>
        <v/>
      </c>
      <c r="E25" s="30" t="n"/>
      <c r="F25" s="37" t="n">
        <v>0.5</v>
      </c>
      <c r="G25" s="42">
        <f>COUNTIFS($A$2:$A$90,$F$23,$C$2:$C$90,$F25,$D$2:$D$90,G$23)</f>
        <v/>
      </c>
      <c r="H25" s="11">
        <f>COUNTIFS($A$2:$A$90,$F$23,$C$2:$C$90,$F25,$D$2:$D$90,H$23)</f>
        <v/>
      </c>
      <c r="I25" s="43">
        <f>COUNTIFS($A$2:$A$90,$F$23,$C$2:$C$90,$F25,$D$2:$D$90,I$23)</f>
        <v/>
      </c>
      <c r="J25" s="11">
        <f>SUM(G25:I25)</f>
        <v/>
      </c>
      <c r="K25" s="11" t="n"/>
      <c r="L25" s="37" t="n">
        <v>0.5</v>
      </c>
      <c r="M25" s="42">
        <f>ABS(G$2-$F25)/1</f>
        <v/>
      </c>
      <c r="N25" s="11">
        <f>ABS(H$2-$F25)/3</f>
        <v/>
      </c>
      <c r="O25" s="43">
        <f>ABS(I$2-$F25)/1</f>
        <v/>
      </c>
      <c r="P25" s="11" t="n"/>
      <c r="Q25" s="37" t="n">
        <v>0.5</v>
      </c>
      <c r="R25" s="42">
        <f>($J25/$J$27) * (G$27/$J$27)</f>
        <v/>
      </c>
      <c r="S25" s="11">
        <f>($J25/$J$27) * (H$27/$J$27)</f>
        <v/>
      </c>
      <c r="T25" s="43">
        <f>($J25/$J$27) * (I$27/$J$27)</f>
        <v/>
      </c>
      <c r="U25" s="11" t="n"/>
      <c r="V25" s="41" t="inlineStr">
        <is>
          <t>Expected Weighted Disagreement (D_exp)</t>
        </is>
      </c>
      <c r="W25" s="42">
        <f>SUMPRODUCT(R24:T26, M24:O26)</f>
        <v/>
      </c>
      <c r="X25" s="43" t="inlineStr">
        <is>
          <t>Sum of (expected cell proportions × weights) under chance agreement.</t>
        </is>
      </c>
    </row>
    <row r="26" ht="15.75" customHeight="1" s="67">
      <c r="A26" s="4">
        <f>'Gemini 3 Pro Grading'!A26</f>
        <v/>
      </c>
      <c r="B26" s="4">
        <f>'Gemini 3 Pro Grading'!B26</f>
        <v/>
      </c>
      <c r="C26" s="4">
        <f>'Gemini 3 Pro Grading'!C26</f>
        <v/>
      </c>
      <c r="D26" s="4">
        <f>'Gemini 3 Pro Grading'!C26</f>
        <v/>
      </c>
      <c r="E26" s="30" t="n"/>
      <c r="F26" s="37" t="n">
        <v>1</v>
      </c>
      <c r="G26" s="44">
        <f>COUNTIFS($A$2:$A$46,$F$23,$C$2:$C$46,$F26,$D$2:$D$46,G$23) + MAX(C51-D51,0)</f>
        <v/>
      </c>
      <c r="H26" s="45">
        <f>COUNTIFS($A$2:$A$90,$F$23,$C$2:$C$90,$F26,$D$2:$D$90,H$23)</f>
        <v/>
      </c>
      <c r="I26" s="46">
        <f>COUNTIFS($A$2:$A$46,$F$23,$C$2:$C$46,$F26,$D$2:$D$46,I$23) + MIN(C51,D51)</f>
        <v/>
      </c>
      <c r="J26" s="11">
        <f>SUM(G26:I26)</f>
        <v/>
      </c>
      <c r="K26" s="11" t="n"/>
      <c r="L26" s="37" t="n">
        <v>1</v>
      </c>
      <c r="M26" s="44">
        <f>ABS(G$2-$F26)/1</f>
        <v/>
      </c>
      <c r="N26" s="45">
        <f>ABS(H$2-$F26)/1</f>
        <v/>
      </c>
      <c r="O26" s="46">
        <f>ABS(I$2-$F26)/1</f>
        <v/>
      </c>
      <c r="P26" s="11" t="n"/>
      <c r="Q26" s="37" t="n">
        <v>1</v>
      </c>
      <c r="R26" s="44">
        <f>($J26/$J$27) * (G$27/$J$27)</f>
        <v/>
      </c>
      <c r="S26" s="45">
        <f>($J26/$J$27) * (H$27/$J$27)</f>
        <v/>
      </c>
      <c r="T26" s="46">
        <f>($J26/$J$27) * (I$27/$J$27)</f>
        <v/>
      </c>
      <c r="U26" s="11" t="n"/>
      <c r="V26" s="41" t="inlineStr">
        <is>
          <t>Cohen's Kappa</t>
        </is>
      </c>
      <c r="W26" s="44">
        <f>1-W24/W25</f>
        <v/>
      </c>
      <c r="X26" s="46" t="inlineStr">
        <is>
          <t>1 - (D_obs / D_exp)</t>
        </is>
      </c>
    </row>
    <row r="27" ht="15.75" customHeight="1" s="67">
      <c r="A27" s="4">
        <f>'Gemini 3 Pro Grading'!A27</f>
        <v/>
      </c>
      <c r="B27" s="4">
        <f>'Gemini 3 Pro Grading'!B27</f>
        <v/>
      </c>
      <c r="C27" s="4">
        <f>'Gemini 3 Pro Grading'!C27</f>
        <v/>
      </c>
      <c r="D27" s="4">
        <f>'Gemini 3 Pro Grading'!C27</f>
        <v/>
      </c>
      <c r="E27" s="30" t="n"/>
      <c r="F27" s="47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>
        <f>SUM(G24:I26)</f>
        <v/>
      </c>
    </row>
    <row r="28" ht="15.75" customHeight="1" s="67">
      <c r="A28" s="4">
        <f>'Gemini 3 Pro Grading'!A28</f>
        <v/>
      </c>
      <c r="B28" s="4">
        <f>'Gemini 3 Pro Grading'!B28</f>
        <v/>
      </c>
      <c r="C28" s="4">
        <f>'Gemini 3 Pro Grading'!C28</f>
        <v/>
      </c>
      <c r="D28" s="4">
        <f>'Gemini 3 Pro Grading'!C28</f>
        <v/>
      </c>
      <c r="E28" s="30" t="n"/>
    </row>
    <row r="29" ht="15.75" customHeight="1" s="67">
      <c r="A29" s="4">
        <f>'Gemini 3 Pro Grading'!A29</f>
        <v/>
      </c>
      <c r="B29" s="4">
        <f>'Gemini 3 Pro Grading'!B29</f>
        <v/>
      </c>
      <c r="C29" s="4">
        <f>'Gemini 3 Pro Grading'!C29</f>
        <v/>
      </c>
      <c r="D29" s="4">
        <f>'Gemini 3 Pro Grading'!C29</f>
        <v/>
      </c>
      <c r="E29" s="30" t="n"/>
      <c r="F29" s="72" t="inlineStr">
        <is>
          <t>Confusion Matrix (Guard)</t>
        </is>
      </c>
    </row>
    <row r="30" ht="15.75" customHeight="1" s="67">
      <c r="A30" s="4">
        <f>'Gemini 3 Pro Grading'!A30</f>
        <v/>
      </c>
      <c r="B30" s="4">
        <f>'Gemini 3 Pro Grading'!B30</f>
        <v/>
      </c>
      <c r="C30" s="4">
        <f>'Gemini 3 Pro Grading'!C30</f>
        <v/>
      </c>
      <c r="D30" s="4">
        <f>'Gemini 3 Pro Grading'!C30</f>
        <v/>
      </c>
      <c r="E30" s="30" t="n"/>
      <c r="F30" s="11" t="inlineStr">
        <is>
          <t>Guard</t>
        </is>
      </c>
      <c r="G30" s="49" t="inlineStr">
        <is>
          <t>0</t>
        </is>
      </c>
      <c r="H30" s="49" t="inlineStr">
        <is>
          <t>0.5</t>
        </is>
      </c>
      <c r="I30" s="49" t="inlineStr">
        <is>
          <t>1</t>
        </is>
      </c>
      <c r="J30" s="50" t="inlineStr">
        <is>
          <t>Row Totals</t>
        </is>
      </c>
      <c r="K30" s="11" t="n"/>
      <c r="L30" s="11" t="inlineStr">
        <is>
          <t>Global</t>
        </is>
      </c>
      <c r="M30" s="49" t="n">
        <v>0</v>
      </c>
      <c r="N30" s="49" t="inlineStr">
        <is>
          <t>0.5</t>
        </is>
      </c>
      <c r="O30" s="49" t="inlineStr">
        <is>
          <t>1</t>
        </is>
      </c>
      <c r="P30" s="11" t="n"/>
      <c r="Q30" s="11" t="inlineStr">
        <is>
          <t>Global</t>
        </is>
      </c>
      <c r="R30" s="49" t="inlineStr">
        <is>
          <t>0</t>
        </is>
      </c>
      <c r="S30" s="49" t="inlineStr">
        <is>
          <t>0.5</t>
        </is>
      </c>
      <c r="T30" s="49" t="inlineStr">
        <is>
          <t>1</t>
        </is>
      </c>
      <c r="V30" s="36">
        <f>"Metrics" &amp; " " &amp; F30</f>
        <v/>
      </c>
      <c r="W30" s="36" t="inlineStr">
        <is>
          <t>Value</t>
        </is>
      </c>
      <c r="X30" s="36" t="inlineStr">
        <is>
          <t>Note</t>
        </is>
      </c>
    </row>
    <row r="31" ht="15.75" customHeight="1" s="67">
      <c r="A31" s="4">
        <f>'Gemini 3 Pro Grading'!A31</f>
        <v/>
      </c>
      <c r="B31" s="4">
        <f>'Gemini 3 Pro Grading'!B31</f>
        <v/>
      </c>
      <c r="C31" s="4">
        <f>'Gemini 3 Pro Grading'!C31</f>
        <v/>
      </c>
      <c r="D31" s="4">
        <f>'Gemini 3 Pro Grading'!C31</f>
        <v/>
      </c>
      <c r="E31" s="30" t="n"/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11">
        <f>SUM(G31:I31)</f>
        <v/>
      </c>
      <c r="K31" s="11" t="n"/>
      <c r="L31" s="37" t="n">
        <v>0</v>
      </c>
      <c r="M31" s="38">
        <f>ABS(G$2-$F31)/1</f>
        <v/>
      </c>
      <c r="N31" s="39">
        <f>ABS(H$2-$F31)/1</f>
        <v/>
      </c>
      <c r="O31" s="40">
        <f>ABS(I$2-$F31)/1</f>
        <v/>
      </c>
      <c r="P31" s="11" t="n"/>
      <c r="Q31" s="37" t="n">
        <v>0</v>
      </c>
      <c r="R31" s="38">
        <f>($J31/$J$34) * (G$34/$J$34)</f>
        <v/>
      </c>
      <c r="S31" s="39">
        <f>($J31/$J$34) * (H$34/$J$34)</f>
        <v/>
      </c>
      <c r="T31" s="40">
        <f>($J31/$J$34) * (I$34/$J$34)</f>
        <v/>
      </c>
      <c r="U31" s="11" t="n"/>
      <c r="V31" s="41" t="inlineStr">
        <is>
          <t>Observed Weighted Disagreement (D_obs)</t>
        </is>
      </c>
      <c r="W31" s="38">
        <f>SUMPRODUCT(G31:I33, M31:O33) /$J$34</f>
        <v/>
      </c>
      <c r="X31" s="40" t="inlineStr">
        <is>
          <t>Sum of (confusion-matrix counts × weights) divided by total items.</t>
        </is>
      </c>
    </row>
    <row r="32" ht="15.75" customHeight="1" s="67">
      <c r="A32" s="4">
        <f>'Gemini 3 Pro Grading'!A32</f>
        <v/>
      </c>
      <c r="B32" s="4">
        <f>'Gemini 3 Pro Grading'!B32</f>
        <v/>
      </c>
      <c r="C32" s="4">
        <f>'Gemini 3 Pro Grading'!C32</f>
        <v/>
      </c>
      <c r="D32" s="4">
        <f>'Gemini 3 Pro Grading'!C32</f>
        <v/>
      </c>
      <c r="E32" s="30" t="n"/>
      <c r="F32" s="37" t="n">
        <v>0.5</v>
      </c>
      <c r="G32" s="42">
        <f>COUNTIFS($A$2:$A$90,$F$30,$C$2:$C$90,$F32,$D$2:$D$90,G$30)</f>
        <v/>
      </c>
      <c r="H32" s="11">
        <f>COUNTIFS($A$2:$A$90,$F$30,$C$2:$C$90,$F32,$D$2:$D$90,H$30)</f>
        <v/>
      </c>
      <c r="I32" s="43">
        <f>COUNTIFS($A$2:$A$90,$F$30,$C$2:$C$90,$F32,$D$2:$D$90,I$30)</f>
        <v/>
      </c>
      <c r="J32" s="11">
        <f>SUM(G32:I32)</f>
        <v/>
      </c>
      <c r="K32" s="11" t="n"/>
      <c r="L32" s="37" t="n">
        <v>0.5</v>
      </c>
      <c r="M32" s="42">
        <f>ABS(G$2-$F32)/1</f>
        <v/>
      </c>
      <c r="N32" s="11">
        <f>ABS(H$2-$F32)/3</f>
        <v/>
      </c>
      <c r="O32" s="43">
        <f>ABS(I$2-$F32)/1</f>
        <v/>
      </c>
      <c r="P32" s="11" t="n"/>
      <c r="Q32" s="37" t="n">
        <v>0.5</v>
      </c>
      <c r="R32" s="42">
        <f>($J32/$J$34) * (G$34/$J$34)</f>
        <v/>
      </c>
      <c r="S32" s="11">
        <f>($J32/$J$34) * (H$34/$J$34)</f>
        <v/>
      </c>
      <c r="T32" s="43">
        <f>($J32/$J$34) * (I$34/$J$34)</f>
        <v/>
      </c>
      <c r="U32" s="11" t="n"/>
      <c r="V32" s="41" t="inlineStr">
        <is>
          <t>Expected Weighted Disagreement (D_exp)</t>
        </is>
      </c>
      <c r="W32" s="42">
        <f>SUMPRODUCT(R31:T33, M31:O33)</f>
        <v/>
      </c>
      <c r="X32" s="43" t="inlineStr">
        <is>
          <t>Sum of (expected cell proportions × weights) under chance agreement.</t>
        </is>
      </c>
    </row>
    <row r="33" ht="15.75" customHeight="1" s="67">
      <c r="A33" s="4">
        <f>'Gemini 3 Pro Grading'!A33</f>
        <v/>
      </c>
      <c r="B33" s="4">
        <f>'Gemini 3 Pro Grading'!B33</f>
        <v/>
      </c>
      <c r="C33" s="4">
        <f>'Gemini 3 Pro Grading'!C33</f>
        <v/>
      </c>
      <c r="D33" s="4">
        <f>'Gemini 3 Pro Grading'!C33</f>
        <v/>
      </c>
      <c r="E33" s="30" t="n"/>
      <c r="F33" s="37" t="n">
        <v>1</v>
      </c>
      <c r="G33" s="44">
        <f>COUNTIFS($A$2:$A$46,$F$30,$C$2:$C$46,$F33,$D$2:$D$46,G$30) + MAX(C49-D49,0)</f>
        <v/>
      </c>
      <c r="H33" s="45">
        <f>COUNTIFS($A$2:$A$90,$F$30,$C$2:$C$90,$F33,$D$2:$D$90,H$30)</f>
        <v/>
      </c>
      <c r="I33" s="46">
        <f>COUNTIFS($A$2:$A$46,$F$30,$C$2:$C$46,$F33,$D$2:$D$46,I$30) + MIN(C49,D49)</f>
        <v/>
      </c>
      <c r="J33" s="11">
        <f>SUM(G33:I33)</f>
        <v/>
      </c>
      <c r="K33" s="11" t="n"/>
      <c r="L33" s="37" t="n">
        <v>1</v>
      </c>
      <c r="M33" s="44">
        <f>ABS(G$2-$F33)/1</f>
        <v/>
      </c>
      <c r="N33" s="45">
        <f>ABS(H$2-$F33)/1</f>
        <v/>
      </c>
      <c r="O33" s="46">
        <f>ABS(I$2-$F33)/1</f>
        <v/>
      </c>
      <c r="P33" s="11" t="n"/>
      <c r="Q33" s="37" t="n">
        <v>1</v>
      </c>
      <c r="R33" s="44">
        <f>($J33/$J$34) * (G$34/$J$34)</f>
        <v/>
      </c>
      <c r="S33" s="45">
        <f>($J33/$J$34) * (H$34/$J$34)</f>
        <v/>
      </c>
      <c r="T33" s="46">
        <f>($J33/$J$34) * (I$34/$J$34)</f>
        <v/>
      </c>
      <c r="U33" s="11" t="n"/>
      <c r="V33" s="41" t="inlineStr">
        <is>
          <t>Cohen's Kappa</t>
        </is>
      </c>
      <c r="W33" s="44">
        <f>1-W31/W32</f>
        <v/>
      </c>
      <c r="X33" s="46" t="inlineStr">
        <is>
          <t>1 - (D_obs / D_exp)</t>
        </is>
      </c>
    </row>
    <row r="34" ht="15.75" customHeight="1" s="67">
      <c r="A34" s="4">
        <f>'Gemini 3 Pro Grading'!A34</f>
        <v/>
      </c>
      <c r="B34" s="4">
        <f>'Gemini 3 Pro Grading'!B34</f>
        <v/>
      </c>
      <c r="C34" s="4">
        <f>'Gemini 3 Pro Grading'!C34</f>
        <v/>
      </c>
      <c r="D34" s="4">
        <f>'Gemini 3 Pro Grading'!C34</f>
        <v/>
      </c>
      <c r="E34" s="30" t="n"/>
      <c r="F34" s="47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>
        <f>SUM(G31:I33)</f>
        <v/>
      </c>
    </row>
    <row r="35" ht="15.75" customHeight="1" s="67">
      <c r="A35" s="4">
        <f>'Gemini 3 Pro Grading'!A35</f>
        <v/>
      </c>
      <c r="B35" s="4">
        <f>'Gemini 3 Pro Grading'!B35</f>
        <v/>
      </c>
      <c r="C35" s="4">
        <f>'Gemini 3 Pro Grading'!C35</f>
        <v/>
      </c>
      <c r="D35" s="4">
        <f>'Gemini 3 Pro Grading'!C35</f>
        <v/>
      </c>
      <c r="E35" s="30" t="n"/>
    </row>
    <row r="36" ht="15.75" customHeight="1" s="67">
      <c r="A36" s="4">
        <f>'Gemini 3 Pro Grading'!A36</f>
        <v/>
      </c>
      <c r="B36" s="4">
        <f>'Gemini 3 Pro Grading'!B36</f>
        <v/>
      </c>
      <c r="C36" s="4">
        <f>'Gemini 3 Pro Grading'!C36</f>
        <v/>
      </c>
      <c r="D36" s="4">
        <f>'Gemini 3 Pro Grading'!C36</f>
        <v/>
      </c>
      <c r="E36" s="30" t="n"/>
      <c r="F36" s="72" t="inlineStr">
        <is>
          <t>Confusion Matrix (Action)</t>
        </is>
      </c>
    </row>
    <row r="37" ht="15.75" customHeight="1" s="67">
      <c r="A37" s="4">
        <f>'Gemini 3 Pro Grading'!A37</f>
        <v/>
      </c>
      <c r="B37" s="4">
        <f>'Gemini 3 Pro Grading'!B37</f>
        <v/>
      </c>
      <c r="C37" s="4">
        <f>'Gemini 3 Pro Grading'!C37</f>
        <v/>
      </c>
      <c r="D37" s="4">
        <f>'Gemini 3 Pro Grading'!C37</f>
        <v/>
      </c>
      <c r="E37" s="30" t="n"/>
      <c r="F37" s="11" t="inlineStr">
        <is>
          <t>Action</t>
        </is>
      </c>
      <c r="G37" s="49" t="inlineStr">
        <is>
          <t>0</t>
        </is>
      </c>
      <c r="H37" s="49" t="inlineStr">
        <is>
          <t>0.5</t>
        </is>
      </c>
      <c r="I37" s="49" t="inlineStr">
        <is>
          <t>1</t>
        </is>
      </c>
      <c r="J37" s="50" t="inlineStr">
        <is>
          <t>Row Totals</t>
        </is>
      </c>
      <c r="K37" s="11" t="n"/>
      <c r="L37" s="11" t="inlineStr">
        <is>
          <t>Global</t>
        </is>
      </c>
      <c r="M37" s="49" t="inlineStr">
        <is>
          <t>0</t>
        </is>
      </c>
      <c r="N37" s="49" t="inlineStr">
        <is>
          <t>0.5</t>
        </is>
      </c>
      <c r="O37" s="49" t="inlineStr">
        <is>
          <t>1</t>
        </is>
      </c>
      <c r="P37" s="11" t="n"/>
      <c r="Q37" s="53" t="inlineStr">
        <is>
          <t>Global</t>
        </is>
      </c>
      <c r="R37" s="54" t="inlineStr">
        <is>
          <t>0</t>
        </is>
      </c>
      <c r="S37" s="54" t="inlineStr">
        <is>
          <t>0.5</t>
        </is>
      </c>
      <c r="T37" s="54" t="inlineStr">
        <is>
          <t>1</t>
        </is>
      </c>
      <c r="V37" s="36">
        <f>"Metrics" &amp; " " &amp; F37</f>
        <v/>
      </c>
      <c r="W37" s="36" t="inlineStr">
        <is>
          <t>Value</t>
        </is>
      </c>
      <c r="X37" s="36" t="inlineStr">
        <is>
          <t>Note</t>
        </is>
      </c>
    </row>
    <row r="38" ht="15.75" customHeight="1" s="67">
      <c r="A38" s="4">
        <f>'Gemini 3 Pro Grading'!A38</f>
        <v/>
      </c>
      <c r="B38" s="4">
        <f>'Gemini 3 Pro Grading'!B38</f>
        <v/>
      </c>
      <c r="C38" s="4">
        <f>'Gemini 3 Pro Grading'!C38</f>
        <v/>
      </c>
      <c r="D38" s="4">
        <f>'Gemini 3 Pro Grading'!C38</f>
        <v/>
      </c>
      <c r="E38" s="30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11">
        <f>SUM(G38:I38)</f>
        <v/>
      </c>
      <c r="K38" s="11" t="n"/>
      <c r="L38" s="37" t="n">
        <v>0</v>
      </c>
      <c r="M38" s="38">
        <f>ABS(G$2-$F38)/1</f>
        <v/>
      </c>
      <c r="N38" s="39">
        <f>ABS(H$2-$F38)/1</f>
        <v/>
      </c>
      <c r="O38" s="40">
        <f>ABS(I$2-$F38)/1</f>
        <v/>
      </c>
      <c r="P38" s="11" t="n"/>
      <c r="Q38" s="55" t="n">
        <v>0</v>
      </c>
      <c r="R38" s="56">
        <f>($J38/$J$41) * (G$41/$J$41)</f>
        <v/>
      </c>
      <c r="S38" s="57">
        <f>($J38/$J$41) * (H$41/$J$41)</f>
        <v/>
      </c>
      <c r="T38" s="58">
        <f>($J38/$J$41) * (I$41/$J$41)</f>
        <v/>
      </c>
      <c r="U38" s="11" t="n"/>
      <c r="V38" s="41" t="inlineStr">
        <is>
          <t>Observed Weighted Disagreement (D_obs)</t>
        </is>
      </c>
      <c r="W38" s="38">
        <f>SUMPRODUCT(G38:I40, M38:O40) /$J$41</f>
        <v/>
      </c>
      <c r="X38" s="40" t="inlineStr">
        <is>
          <t>Sum of (confusion-matrix counts × weights) divided by total items.</t>
        </is>
      </c>
    </row>
    <row r="39" ht="15.75" customHeight="1" s="67">
      <c r="A39" s="4">
        <f>'Gemini 3 Pro Grading'!A39</f>
        <v/>
      </c>
      <c r="B39" s="4">
        <f>'Gemini 3 Pro Grading'!B39</f>
        <v/>
      </c>
      <c r="C39" s="4">
        <f>'Gemini 3 Pro Grading'!C39</f>
        <v/>
      </c>
      <c r="D39" s="4">
        <f>'Gemini 3 Pro Grading'!C39</f>
        <v/>
      </c>
      <c r="E39" s="30" t="n"/>
      <c r="F39" s="37" t="n">
        <v>0.5</v>
      </c>
      <c r="G39" s="42">
        <f>COUNTIFS($A$2:$A$90,$F$37,$C$2:$C$90,$F39,$D$2:$D$90,G$37)</f>
        <v/>
      </c>
      <c r="H39" s="11">
        <f>COUNTIFS($A$2:$A$90,$F$37,$C$2:$C$90,$F39,$D$2:$D$90,H$37)</f>
        <v/>
      </c>
      <c r="I39" s="43">
        <f>COUNTIFS($A$2:$A$90,$F$37,$C$2:$C$90,$F39,$D$2:$D$90,I$37)</f>
        <v/>
      </c>
      <c r="J39" s="11">
        <f>SUM(G39:I39)</f>
        <v/>
      </c>
      <c r="K39" s="11" t="n"/>
      <c r="L39" s="37" t="n">
        <v>0.5</v>
      </c>
      <c r="M39" s="42">
        <f>ABS(G$2-$F39)/1</f>
        <v/>
      </c>
      <c r="N39" s="11">
        <f>ABS(H$2-$F39)/3</f>
        <v/>
      </c>
      <c r="O39" s="43">
        <f>ABS(I$2-$F39)/1</f>
        <v/>
      </c>
      <c r="P39" s="11" t="n"/>
      <c r="Q39" s="55" t="n">
        <v>0.5</v>
      </c>
      <c r="R39" s="59">
        <f>($J39/$J$41) * (G$41/$J$41)</f>
        <v/>
      </c>
      <c r="S39" s="53">
        <f>($J39/$J$41) * (H$41/$J$41)</f>
        <v/>
      </c>
      <c r="T39" s="60">
        <f>($J39/$J$41) * (I$41/$J$41)</f>
        <v/>
      </c>
      <c r="U39" s="11" t="n"/>
      <c r="V39" s="41" t="inlineStr">
        <is>
          <t>Expected Weighted Disagreement (D_exp)</t>
        </is>
      </c>
      <c r="W39" s="42">
        <f>SUMPRODUCT(R38:T40, M38:O40)</f>
        <v/>
      </c>
      <c r="X39" s="43" t="inlineStr">
        <is>
          <t>Sum of (expected cell proportions × weights) under chance agreement.</t>
        </is>
      </c>
    </row>
    <row r="40" ht="15.75" customHeight="1" s="67">
      <c r="A40" s="4">
        <f>'Gemini 3 Pro Grading'!A40</f>
        <v/>
      </c>
      <c r="B40" s="4">
        <f>'Gemini 3 Pro Grading'!B40</f>
        <v/>
      </c>
      <c r="C40" s="4">
        <f>'Gemini 3 Pro Grading'!C40</f>
        <v/>
      </c>
      <c r="D40" s="4">
        <f>'Gemini 3 Pro Grading'!C40</f>
        <v/>
      </c>
      <c r="E40" s="30" t="n"/>
      <c r="F40" s="37" t="n">
        <v>1</v>
      </c>
      <c r="G40" s="44">
        <f>COUNTIFS($A$2:$A$46,$F$37,$C$2:$C$46,$F40,$D$2:$D$46,G$37)+MAX(C50-D50,0)</f>
        <v/>
      </c>
      <c r="H40" s="45">
        <f>COUNTIFS($A$2:$A$90,$F$37,$C$2:$C$90,$F40,$D$2:$D$90,H$37)</f>
        <v/>
      </c>
      <c r="I40" s="46">
        <f>COUNTIFS($A$2:$A$46,$F$37,$C$2:$C$46,$F40,$D$2:$D$46,I$37) + MIN(C50,D50)</f>
        <v/>
      </c>
      <c r="J40" s="11">
        <f>SUM(G40:I40)</f>
        <v/>
      </c>
      <c r="K40" s="11" t="n"/>
      <c r="L40" s="37" t="n">
        <v>1</v>
      </c>
      <c r="M40" s="44">
        <f>ABS(G$2-$F40)/1</f>
        <v/>
      </c>
      <c r="N40" s="45">
        <f>ABS(H$2-$F40)/1</f>
        <v/>
      </c>
      <c r="O40" s="46">
        <f>ABS(I$2-$F40)/1</f>
        <v/>
      </c>
      <c r="P40" s="11" t="n"/>
      <c r="Q40" s="55" t="n">
        <v>1</v>
      </c>
      <c r="R40" s="61">
        <f>($J40/$J$41) * (G$41/$J$41)</f>
        <v/>
      </c>
      <c r="S40" s="62">
        <f>($J40/$J$41) * (H$41/$J$41)</f>
        <v/>
      </c>
      <c r="T40" s="63">
        <f>($J40/$J$41) * (I$41/$J$41)</f>
        <v/>
      </c>
      <c r="U40" s="11" t="n"/>
      <c r="V40" s="41" t="inlineStr">
        <is>
          <t>Cohen's Kappa</t>
        </is>
      </c>
      <c r="W40" s="44">
        <f>1-W38/W39</f>
        <v/>
      </c>
      <c r="X40" s="46" t="inlineStr">
        <is>
          <t>1 - (D_obs / D_exp)</t>
        </is>
      </c>
    </row>
    <row r="41" ht="15.75" customHeight="1" s="67">
      <c r="A41" s="4">
        <f>'Gemini 3 Pro Grading'!A41</f>
        <v/>
      </c>
      <c r="B41" s="4">
        <f>'Gemini 3 Pro Grading'!B41</f>
        <v/>
      </c>
      <c r="C41" s="4">
        <f>'Gemini 3 Pro Grading'!C41</f>
        <v/>
      </c>
      <c r="D41" s="4">
        <f>'Gemini 3 Pro Grading'!C41</f>
        <v/>
      </c>
      <c r="E41" s="30" t="n"/>
      <c r="F41" s="47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>
        <f>SUM(G38:I40)</f>
        <v/>
      </c>
    </row>
    <row r="42" ht="15.75" customHeight="1" s="67">
      <c r="A42" s="4">
        <f>'Gemini 3 Pro Grading'!A42</f>
        <v/>
      </c>
      <c r="B42" s="4">
        <f>'Gemini 3 Pro Grading'!B42</f>
        <v/>
      </c>
      <c r="C42" s="4">
        <f>'Gemini 3 Pro Grading'!C42</f>
        <v/>
      </c>
      <c r="D42" s="4">
        <f>'Gemini 3 Pro Grading'!C42</f>
        <v/>
      </c>
      <c r="E42" s="30" t="n"/>
    </row>
    <row r="43" ht="15.75" customHeight="1" s="67">
      <c r="A43" s="4">
        <f>'Gemini 3 Pro Grading'!A43</f>
        <v/>
      </c>
      <c r="B43" s="4">
        <f>'Gemini 3 Pro Grading'!B43</f>
        <v/>
      </c>
      <c r="C43" s="4">
        <f>'Gemini 3 Pro Grading'!C43</f>
        <v/>
      </c>
      <c r="D43" s="4">
        <f>'Gemini 3 Pro Grading'!C43</f>
        <v/>
      </c>
      <c r="E43" s="30" t="n"/>
      <c r="F43" s="72" t="inlineStr">
        <is>
          <t>Confusion Matrix (History State)</t>
        </is>
      </c>
    </row>
    <row r="44" ht="15.75" customHeight="1" s="67">
      <c r="A44" s="4">
        <f>'Gemini 3 Pro Grading'!A44</f>
        <v/>
      </c>
      <c r="B44" s="4">
        <f>'Gemini 3 Pro Grading'!B44</f>
        <v/>
      </c>
      <c r="C44" s="4">
        <f>'Gemini 3 Pro Grading'!C44</f>
        <v/>
      </c>
      <c r="D44" s="4">
        <f>'Gemini 3 Pro Grading'!C44</f>
        <v/>
      </c>
      <c r="E44" s="30" t="n"/>
      <c r="F44" s="11" t="inlineStr">
        <is>
          <t>History State</t>
        </is>
      </c>
      <c r="G44" s="49" t="inlineStr">
        <is>
          <t>0</t>
        </is>
      </c>
      <c r="H44" s="49" t="inlineStr">
        <is>
          <t>0.5</t>
        </is>
      </c>
      <c r="I44" s="49" t="inlineStr">
        <is>
          <t>1</t>
        </is>
      </c>
      <c r="J44" s="50" t="inlineStr">
        <is>
          <t>Row Totals</t>
        </is>
      </c>
      <c r="K44" s="11" t="n"/>
      <c r="L44" s="11" t="inlineStr">
        <is>
          <t>Global</t>
        </is>
      </c>
      <c r="M44" s="49" t="inlineStr">
        <is>
          <t>0</t>
        </is>
      </c>
      <c r="N44" s="49" t="inlineStr">
        <is>
          <t>0.5</t>
        </is>
      </c>
      <c r="O44" s="49" t="inlineStr">
        <is>
          <t>1</t>
        </is>
      </c>
      <c r="P44" s="11" t="n"/>
      <c r="Q44" s="11" t="inlineStr">
        <is>
          <t>Global</t>
        </is>
      </c>
      <c r="R44" s="49" t="inlineStr">
        <is>
          <t>0</t>
        </is>
      </c>
      <c r="S44" s="49" t="inlineStr">
        <is>
          <t>0.5</t>
        </is>
      </c>
      <c r="T44" s="49" t="inlineStr">
        <is>
          <t>1</t>
        </is>
      </c>
      <c r="V44" s="36">
        <f>"Metrics" &amp; " " &amp; F44</f>
        <v/>
      </c>
      <c r="W44" s="36" t="inlineStr">
        <is>
          <t>Value</t>
        </is>
      </c>
      <c r="X44" s="36" t="inlineStr">
        <is>
          <t>Note</t>
        </is>
      </c>
    </row>
    <row r="45" ht="15.75" customHeight="1" s="67">
      <c r="A45" s="4">
        <f>'Gemini 3 Pro Grading'!A45</f>
        <v/>
      </c>
      <c r="B45" s="4">
        <f>'Gemini 3 Pro Grading'!B45</f>
        <v/>
      </c>
      <c r="C45" s="4">
        <f>'Gemini 3 Pro Grading'!C45</f>
        <v/>
      </c>
      <c r="D45" s="4">
        <f>'Gemini 3 Pro Grading'!C45</f>
        <v/>
      </c>
      <c r="E45" s="30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0">
        <f>COUNTIFS($A$2:$A$46,$F$44,$C$2:$C$46,$F45,$D$2:$D$46,I$44) + MAX(D53-C53,0)</f>
        <v/>
      </c>
      <c r="J45" s="11">
        <f>SUM(G45:I45)</f>
        <v/>
      </c>
      <c r="K45" s="11" t="n"/>
      <c r="L45" s="37" t="n">
        <v>0</v>
      </c>
      <c r="M45" s="38">
        <f>ABS(G$2-$F45)/1</f>
        <v/>
      </c>
      <c r="N45" s="39">
        <f>ABS(H$2-$F45)/1</f>
        <v/>
      </c>
      <c r="O45" s="40">
        <f>ABS(I$2-$F45)/1</f>
        <v/>
      </c>
      <c r="P45" s="11" t="n"/>
      <c r="Q45" s="37" t="n">
        <v>0</v>
      </c>
      <c r="R45" s="38">
        <f>($J45/$J$48) * (G$48/$J$48)</f>
        <v/>
      </c>
      <c r="S45" s="39">
        <f>($J45/$J$48) * (H$48/$J$48)</f>
        <v/>
      </c>
      <c r="T45" s="40">
        <f>($J45/$J$48) * (I$48/$J$48)</f>
        <v/>
      </c>
      <c r="U45" s="11" t="n"/>
      <c r="V45" s="41" t="inlineStr">
        <is>
          <t>Observed Weighted Disagreement (D_obs)</t>
        </is>
      </c>
      <c r="W45" s="38">
        <f>SUMPRODUCT(G45:I47, M45:O47) /$J$48</f>
        <v/>
      </c>
      <c r="X45" s="40" t="inlineStr">
        <is>
          <t>Sum of (confusion-matrix counts × weights) divided by total items.</t>
        </is>
      </c>
    </row>
    <row r="46" ht="15.75" customHeight="1" s="67">
      <c r="A46" s="4">
        <f>'Gemini 3 Pro Grading'!A46</f>
        <v/>
      </c>
      <c r="B46" s="4">
        <f>'Gemini 3 Pro Grading'!B46</f>
        <v/>
      </c>
      <c r="C46" s="4">
        <f>'Gemini 3 Pro Grading'!C46</f>
        <v/>
      </c>
      <c r="D46" s="4">
        <f>'Gemini 3 Pro Grading'!C46</f>
        <v/>
      </c>
      <c r="E46" s="30" t="n"/>
      <c r="F46" s="37" t="n">
        <v>0.5</v>
      </c>
      <c r="G46" s="42">
        <f>COUNTIFS($A$2:$A$90,$F$44,$C$2:$C$90,$F46,$D$2:$D$90,G$44)</f>
        <v/>
      </c>
      <c r="H46" s="11">
        <f>COUNTIFS($A$2:$A$90,$F$44,$C$2:$C$90,$F46,$D$2:$D$90,H$44)</f>
        <v/>
      </c>
      <c r="I46" s="43">
        <f>COUNTIFS($A$2:$A$90,$F$44,$C$2:$C$90,$F46,$D$2:$D$90,I$44)</f>
        <v/>
      </c>
      <c r="J46" s="11">
        <f>SUM(G46:I46)</f>
        <v/>
      </c>
      <c r="K46" s="11" t="n"/>
      <c r="L46" s="37" t="n">
        <v>0.5</v>
      </c>
      <c r="M46" s="42">
        <f>ABS(G$2-$F46)/1</f>
        <v/>
      </c>
      <c r="N46" s="11">
        <f>ABS(H$2-$F46)/3</f>
        <v/>
      </c>
      <c r="O46" s="43">
        <f>ABS(I$2-$F46)/1</f>
        <v/>
      </c>
      <c r="P46" s="11" t="n"/>
      <c r="Q46" s="37" t="n">
        <v>0.5</v>
      </c>
      <c r="R46" s="42">
        <f>($J46/$J$48) * (G$48/$J$48)</f>
        <v/>
      </c>
      <c r="S46" s="11">
        <f>($J46/$J$48) * (H$48/$J$48)</f>
        <v/>
      </c>
      <c r="T46" s="43">
        <f>($J46/$J$48) * (I$48/$J$48)</f>
        <v/>
      </c>
      <c r="U46" s="11" t="n"/>
      <c r="V46" s="41" t="inlineStr">
        <is>
          <t>Expected Weighted Disagreement (D_exp)</t>
        </is>
      </c>
      <c r="W46" s="42">
        <f>SUMPRODUCT(R45:T47, M45:O47)</f>
        <v/>
      </c>
      <c r="X46" s="43" t="inlineStr">
        <is>
          <t>Sum of (expected cell proportions × weights) under chance agreement.</t>
        </is>
      </c>
    </row>
    <row r="47" ht="15.75" customHeight="1" s="67">
      <c r="A47" s="51">
        <f>'Gemini 3 Pro Grading'!A47</f>
        <v/>
      </c>
      <c r="B47" s="51">
        <f>'Gemini 3 Pro Grading'!B47</f>
        <v/>
      </c>
      <c r="C47" s="51">
        <f>'Gemini 3 Pro Grading'!C47</f>
        <v/>
      </c>
      <c r="D47" s="51">
        <f>'Gemini 3 Pro Grading'!C47</f>
        <v/>
      </c>
      <c r="E47" s="30" t="n"/>
      <c r="F47" s="37" t="n">
        <v>1</v>
      </c>
      <c r="G47" s="44">
        <f>COUNTIFS($A$2:$A$46,$F$44,$C$2:$C$46,$F47,$D$2:$D$46,G$44) + MAX(C53-D53,0)</f>
        <v/>
      </c>
      <c r="H47" s="45">
        <f>COUNTIFS($A$2:$A$90,$F$44,$C$2:$C$90,$F47,$D$2:$D$90,H$44)</f>
        <v/>
      </c>
      <c r="I47" s="46">
        <f>COUNTIFS($A$2:$A$46,$F$44,$C$2:$C$46,$F47,$D$2:$D$46,I$44) + MIN(C53,D53)</f>
        <v/>
      </c>
      <c r="J47" s="11">
        <f>SUM(G47:I47)</f>
        <v/>
      </c>
      <c r="K47" s="11" t="n"/>
      <c r="L47" s="37" t="n">
        <v>1</v>
      </c>
      <c r="M47" s="44">
        <f>ABS(G$2-$F47)/1</f>
        <v/>
      </c>
      <c r="N47" s="45">
        <f>ABS(H$2-$F47)/1</f>
        <v/>
      </c>
      <c r="O47" s="46">
        <f>ABS(I$2-$F47)/1</f>
        <v/>
      </c>
      <c r="P47" s="11" t="n"/>
      <c r="Q47" s="37" t="n">
        <v>1</v>
      </c>
      <c r="R47" s="44">
        <f>($J47/$J$48) * (G$48/$J$48)</f>
        <v/>
      </c>
      <c r="S47" s="45">
        <f>($J47/$J$48) * (H$48/$J$48)</f>
        <v/>
      </c>
      <c r="T47" s="46">
        <f>($J47/$J$48) * (I$48/$J$48)</f>
        <v/>
      </c>
      <c r="U47" s="11" t="n"/>
      <c r="V47" s="41" t="inlineStr">
        <is>
          <t>Cohen's Kappa</t>
        </is>
      </c>
      <c r="W47" s="44">
        <f>1-W45/W46</f>
        <v/>
      </c>
      <c r="X47" s="46" t="inlineStr">
        <is>
          <t>1 - (D_obs / D_exp)</t>
        </is>
      </c>
    </row>
    <row r="48" ht="15.75" customHeight="1" s="67">
      <c r="A48" s="4">
        <f>'Gemini 3 Pro Grading'!A48</f>
        <v/>
      </c>
      <c r="B48" s="4">
        <f>'Gemini 3 Pro Grading'!B48</f>
        <v/>
      </c>
      <c r="C48" s="4">
        <f>'Gemini 3 Pro Grading'!C48</f>
        <v/>
      </c>
      <c r="D48" s="4">
        <f>'Gemini 3 Pro Grading'!C48</f>
        <v/>
      </c>
      <c r="E48" s="30" t="n"/>
      <c r="F48" s="47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>
        <f>SUM(G45:I47)</f>
        <v/>
      </c>
    </row>
    <row r="49" ht="15.75" customHeight="1" s="67">
      <c r="A49" s="4">
        <f>'Gemini 3 Pro Grading'!A49</f>
        <v/>
      </c>
      <c r="B49" s="4">
        <f>'Gemini 3 Pro Grading'!B49</f>
        <v/>
      </c>
      <c r="C49" s="4">
        <f>'Gemini 3 Pro Grading'!C49</f>
        <v/>
      </c>
      <c r="D49" s="4">
        <f>'Gemini 3 Pro Grading'!C49</f>
        <v/>
      </c>
      <c r="E49" s="30" t="n"/>
    </row>
    <row r="50" ht="15.75" customHeight="1" s="67">
      <c r="A50" s="4">
        <f>'Gemini 3 Pro Grading'!A50</f>
        <v/>
      </c>
      <c r="B50" s="4">
        <f>'Gemini 3 Pro Grading'!B50</f>
        <v/>
      </c>
      <c r="C50" s="4">
        <f>'Gemini 3 Pro Grading'!C50</f>
        <v/>
      </c>
      <c r="D50" s="4">
        <f>'Gemini 3 Pro Grading'!C50</f>
        <v/>
      </c>
      <c r="E50" s="30" t="n"/>
      <c r="F50" s="72" t="inlineStr">
        <is>
          <t>Confusion Matrix (Region)</t>
        </is>
      </c>
    </row>
    <row r="51" ht="15.75" customHeight="1" s="67">
      <c r="A51" s="4">
        <f>'Gemini 3 Pro Grading'!A51</f>
        <v/>
      </c>
      <c r="B51" s="4">
        <f>'Gemini 3 Pro Grading'!B51</f>
        <v/>
      </c>
      <c r="C51" s="4">
        <f>'Gemini 3 Pro Grading'!C51</f>
        <v/>
      </c>
      <c r="D51" s="4">
        <f>'Gemini 3 Pro Grading'!C51</f>
        <v/>
      </c>
      <c r="E51" s="30" t="n"/>
      <c r="F51" s="11" t="inlineStr">
        <is>
          <t>Region</t>
        </is>
      </c>
      <c r="G51" s="49" t="inlineStr">
        <is>
          <t>0</t>
        </is>
      </c>
      <c r="H51" s="49" t="inlineStr">
        <is>
          <t>0.5</t>
        </is>
      </c>
      <c r="I51" s="49" t="inlineStr">
        <is>
          <t>1</t>
        </is>
      </c>
      <c r="J51" s="50" t="inlineStr">
        <is>
          <t>Row Totals</t>
        </is>
      </c>
      <c r="K51" s="11" t="n"/>
      <c r="L51" s="11" t="inlineStr">
        <is>
          <t>Global</t>
        </is>
      </c>
      <c r="M51" s="49" t="inlineStr">
        <is>
          <t>0</t>
        </is>
      </c>
      <c r="N51" s="49" t="inlineStr">
        <is>
          <t>0.5</t>
        </is>
      </c>
      <c r="O51" s="49" t="inlineStr">
        <is>
          <t>1</t>
        </is>
      </c>
      <c r="P51" s="11" t="n"/>
      <c r="Q51" s="11" t="inlineStr">
        <is>
          <t>Global</t>
        </is>
      </c>
      <c r="R51" s="49" t="inlineStr">
        <is>
          <t>0</t>
        </is>
      </c>
      <c r="S51" s="49" t="inlineStr">
        <is>
          <t>0.5</t>
        </is>
      </c>
      <c r="T51" s="49" t="inlineStr">
        <is>
          <t>1</t>
        </is>
      </c>
      <c r="V51" s="36">
        <f>"Metrics" &amp; " " &amp; F51</f>
        <v/>
      </c>
      <c r="W51" s="36" t="inlineStr">
        <is>
          <t>Value</t>
        </is>
      </c>
      <c r="X51" s="36" t="inlineStr">
        <is>
          <t>Note</t>
        </is>
      </c>
    </row>
    <row r="52" ht="15.75" customHeight="1" s="67">
      <c r="A52" s="4">
        <f>'Gemini 3 Pro Grading'!A52</f>
        <v/>
      </c>
      <c r="B52" s="4">
        <f>'Gemini 3 Pro Grading'!B52</f>
        <v/>
      </c>
      <c r="C52" s="4">
        <f>'Gemini 3 Pro Grading'!C52</f>
        <v/>
      </c>
      <c r="D52" s="4">
        <f>'Gemini 3 Pro Grading'!C52</f>
        <v/>
      </c>
      <c r="E52" s="30" t="n"/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11">
        <f>SUM(G52:I52)</f>
        <v/>
      </c>
      <c r="K52" s="11" t="n"/>
      <c r="L52" s="37" t="n">
        <v>0</v>
      </c>
      <c r="M52" s="38">
        <f>ABS(G$2-$F52)/1</f>
        <v/>
      </c>
      <c r="N52" s="39">
        <f>ABS(H$2-$F52)/1</f>
        <v/>
      </c>
      <c r="O52" s="40">
        <f>ABS(I$2-$F52)/1</f>
        <v/>
      </c>
      <c r="P52" s="11" t="n"/>
      <c r="Q52" s="37" t="n">
        <v>0</v>
      </c>
      <c r="R52" s="38">
        <f>($J52/$J$55) * (G$55/$J$55)</f>
        <v/>
      </c>
      <c r="S52" s="39">
        <f>($J52/$J$55) * (H$55/$J$55)</f>
        <v/>
      </c>
      <c r="T52" s="40">
        <f>($J52/$J$55) * (I$55/$J$55)</f>
        <v/>
      </c>
      <c r="U52" s="11" t="n"/>
      <c r="V52" s="41" t="inlineStr">
        <is>
          <t>Observed Weighted Disagreement (D_obs)</t>
        </is>
      </c>
      <c r="W52" s="38">
        <f>SUMPRODUCT(G52:I54, M52:O54) /$J$55</f>
        <v/>
      </c>
      <c r="X52" s="40" t="inlineStr">
        <is>
          <t>Sum of (confusion-matrix counts × weights) divided by total items.</t>
        </is>
      </c>
    </row>
    <row r="53" ht="15.75" customHeight="1" s="67">
      <c r="A53" s="4">
        <f>'Gemini 3 Pro Grading'!A53</f>
        <v/>
      </c>
      <c r="B53" s="4">
        <f>'Gemini 3 Pro Grading'!B53</f>
        <v/>
      </c>
      <c r="C53" s="4">
        <f>'Gemini 3 Pro Grading'!C53</f>
        <v/>
      </c>
      <c r="D53" s="4">
        <f>'Gemini 3 Pro Grading'!C53</f>
        <v/>
      </c>
      <c r="E53" s="30" t="n"/>
      <c r="F53" s="37" t="n">
        <v>0.5</v>
      </c>
      <c r="G53" s="42">
        <f>COUNTIFS($A$2:$A$90,$F$51,$C$2:$C$90,$F53,$D$2:$D$90,G$51)</f>
        <v/>
      </c>
      <c r="H53" s="11">
        <f>COUNTIFS($A$2:$A$90,$F$51,$C$2:$C$90,$F53,$D$2:$D$90,H$51)</f>
        <v/>
      </c>
      <c r="I53" s="43">
        <f>COUNTIFS($A$2:$A$90,$F$51,$C$2:$C$90,$F53,$D$2:$D$90,I$51)</f>
        <v/>
      </c>
      <c r="J53" s="11">
        <f>SUM(G53:I53)</f>
        <v/>
      </c>
      <c r="K53" s="11" t="n"/>
      <c r="L53" s="37" t="n">
        <v>0.5</v>
      </c>
      <c r="M53" s="42">
        <f>ABS(G$2-$F53)/1</f>
        <v/>
      </c>
      <c r="N53" s="11">
        <f>ABS(H$2-$F53)/3</f>
        <v/>
      </c>
      <c r="O53" s="43">
        <f>ABS(I$2-$F53)/1</f>
        <v/>
      </c>
      <c r="P53" s="11" t="n"/>
      <c r="Q53" s="37" t="n">
        <v>0.5</v>
      </c>
      <c r="R53" s="42">
        <f>($J53/$J$55) * (G$55/$J$55)</f>
        <v/>
      </c>
      <c r="S53" s="11">
        <f>($J53/$J$55) * (H$55/$J$55)</f>
        <v/>
      </c>
      <c r="T53" s="43">
        <f>($J53/$J$55) * (I$55/$J$55)</f>
        <v/>
      </c>
      <c r="U53" s="11" t="n"/>
      <c r="V53" s="41" t="inlineStr">
        <is>
          <t>Expected Weighted Disagreement (D_exp)</t>
        </is>
      </c>
      <c r="W53" s="42">
        <f>SUMPRODUCT(R52:T54, M52:O54)</f>
        <v/>
      </c>
      <c r="X53" s="43" t="inlineStr">
        <is>
          <t>Sum of (expected cell proportions × weights) under chance agreement.</t>
        </is>
      </c>
    </row>
    <row r="54" ht="15.75" customHeight="1" s="67">
      <c r="A54" s="66" t="n"/>
      <c r="B54" s="52" t="n"/>
      <c r="C54" s="30" t="n"/>
      <c r="D54" s="30" t="n"/>
      <c r="E54" s="30" t="n"/>
      <c r="F54" s="37" t="n">
        <v>1</v>
      </c>
      <c r="G54" s="44">
        <f>COUNTIFS($A$2:$A$46,$F$51,$C$2:$C$46,$F54,$D$2:$D$46,G$51) + MAX(C52-D52,0)</f>
        <v/>
      </c>
      <c r="H54" s="45">
        <f>COUNTIFS($A$2:$A$90,$F$51,$C$2:$C$90,$F54,$D$2:$D$90,H$51)</f>
        <v/>
      </c>
      <c r="I54" s="46">
        <f>COUNTIFS($A$2:$A$46,$F$51,$C$2:$C$46,$F54,$D$2:$D$46,I$51)+MIN(C52,D52)</f>
        <v/>
      </c>
      <c r="J54" s="11">
        <f>SUM(G54:I54)</f>
        <v/>
      </c>
      <c r="K54" s="11" t="n"/>
      <c r="L54" s="37" t="n">
        <v>1</v>
      </c>
      <c r="M54" s="44">
        <f>ABS(G$2-$F54)/1</f>
        <v/>
      </c>
      <c r="N54" s="45">
        <f>ABS(H$2-$F54)/1</f>
        <v/>
      </c>
      <c r="O54" s="46">
        <f>ABS(I$2-$F54)/1</f>
        <v/>
      </c>
      <c r="P54" s="11" t="n"/>
      <c r="Q54" s="37" t="n">
        <v>1</v>
      </c>
      <c r="R54" s="44">
        <f>($J54/$J$55) * (G$55/$J$55)</f>
        <v/>
      </c>
      <c r="S54" s="45">
        <f>($J54/$J$55) * (H$55/$J$55)</f>
        <v/>
      </c>
      <c r="T54" s="46">
        <f>($J54/$J$55) * (I$55/$J$55)</f>
        <v/>
      </c>
      <c r="U54" s="11" t="n"/>
      <c r="V54" s="41" t="inlineStr">
        <is>
          <t>Cohen's Kappa</t>
        </is>
      </c>
      <c r="W54" s="44">
        <f>1-W52/W53</f>
        <v/>
      </c>
      <c r="X54" s="46" t="inlineStr">
        <is>
          <t>1 - (D_obs / D_exp)</t>
        </is>
      </c>
    </row>
    <row r="55" ht="15.75" customHeight="1" s="67">
      <c r="A55" s="66" t="n"/>
      <c r="B55" s="52" t="n"/>
      <c r="C55" s="30" t="n"/>
      <c r="D55" s="30" t="n"/>
      <c r="E55" s="30" t="n"/>
      <c r="F55" s="47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>
        <f>SUM(G52:I54)</f>
        <v/>
      </c>
      <c r="L55" s="11" t="n"/>
      <c r="M55" s="48" t="n"/>
    </row>
    <row r="56" ht="15.75" customHeight="1" s="67">
      <c r="A56" s="66" t="n"/>
      <c r="B56" s="52" t="n"/>
      <c r="C56" s="30" t="n"/>
      <c r="D56" s="30" t="n"/>
      <c r="E56" s="30" t="n"/>
    </row>
    <row r="57" ht="15.75" customHeight="1" s="67">
      <c r="A57" s="66" t="n"/>
      <c r="B57" s="52" t="n"/>
      <c r="C57" s="30" t="n"/>
      <c r="D57" s="30" t="n"/>
      <c r="E57" s="30" t="n"/>
    </row>
    <row r="58" ht="15.75" customHeight="1" s="67">
      <c r="A58" s="66" t="n"/>
      <c r="B58" s="52" t="n"/>
      <c r="C58" s="30" t="n"/>
      <c r="D58" s="30" t="n"/>
      <c r="E58" s="30" t="n"/>
    </row>
    <row r="59" ht="15.75" customHeight="1" s="67">
      <c r="A59" s="66" t="n"/>
      <c r="B59" s="52" t="n"/>
      <c r="C59" s="30" t="n"/>
      <c r="D59" s="30" t="n"/>
      <c r="E59" s="30" t="n"/>
    </row>
    <row r="60" ht="15.75" customHeight="1" s="67">
      <c r="A60" s="66" t="n"/>
      <c r="B60" s="52" t="n"/>
      <c r="C60" s="30" t="n"/>
      <c r="D60" s="30" t="n"/>
      <c r="E60" s="30" t="n"/>
    </row>
    <row r="61" ht="15.75" customHeight="1" s="67">
      <c r="A61" s="66" t="n"/>
      <c r="B61" s="52" t="n"/>
      <c r="C61" s="30" t="n"/>
      <c r="D61" s="30" t="n"/>
      <c r="E61" s="30" t="n"/>
    </row>
    <row r="62" ht="15.75" customHeight="1" s="67">
      <c r="A62" s="66" t="n"/>
      <c r="B62" s="52" t="n"/>
      <c r="C62" s="30" t="n"/>
      <c r="D62" s="30" t="n"/>
      <c r="E62" s="30" t="n"/>
    </row>
    <row r="63" ht="15.75" customHeight="1" s="67">
      <c r="A63" s="66" t="n"/>
      <c r="B63" s="52" t="n"/>
      <c r="C63" s="30" t="n"/>
      <c r="D63" s="30" t="n"/>
      <c r="E63" s="30" t="n"/>
    </row>
    <row r="64" ht="15.75" customHeight="1" s="67">
      <c r="A64" s="66" t="n"/>
      <c r="B64" s="52" t="n"/>
      <c r="C64" s="30" t="n"/>
      <c r="D64" s="30" t="n"/>
      <c r="E64" s="30" t="n"/>
    </row>
    <row r="65" ht="15.75" customHeight="1" s="67">
      <c r="A65" s="66" t="n"/>
      <c r="B65" s="52" t="n"/>
      <c r="C65" s="30" t="n"/>
      <c r="D65" s="30" t="n"/>
      <c r="E65" s="30" t="n"/>
    </row>
    <row r="66" ht="15.75" customHeight="1" s="67">
      <c r="A66" s="66" t="n"/>
      <c r="B66" s="52" t="n"/>
      <c r="C66" s="30" t="n"/>
      <c r="D66" s="30" t="n"/>
      <c r="E66" s="30" t="n"/>
    </row>
    <row r="67" ht="15.75" customHeight="1" s="67">
      <c r="A67" s="66" t="n"/>
      <c r="B67" s="52" t="n"/>
      <c r="C67" s="30" t="n"/>
      <c r="D67" s="30" t="n"/>
      <c r="E67" s="30" t="n"/>
    </row>
    <row r="68" ht="15.75" customHeight="1" s="67">
      <c r="A68" s="66" t="n"/>
      <c r="B68" s="52" t="n"/>
      <c r="C68" s="30" t="n"/>
      <c r="D68" s="30" t="n"/>
      <c r="E68" s="30" t="n"/>
    </row>
    <row r="69" ht="15.75" customHeight="1" s="67">
      <c r="A69" s="66" t="n"/>
      <c r="B69" s="52" t="n"/>
      <c r="C69" s="30" t="n"/>
      <c r="D69" s="30" t="n"/>
      <c r="E69" s="30" t="n"/>
    </row>
    <row r="70" ht="15.75" customHeight="1" s="67">
      <c r="A70" s="66" t="n"/>
      <c r="B70" s="52" t="n"/>
      <c r="C70" s="30" t="n"/>
      <c r="D70" s="30" t="n"/>
      <c r="E70" s="30" t="n"/>
    </row>
    <row r="71" ht="15.75" customHeight="1" s="67">
      <c r="B71" s="52" t="n"/>
      <c r="D71" s="30" t="n"/>
      <c r="E71" s="30" t="n"/>
    </row>
    <row r="72" ht="15.75" customHeight="1" s="67">
      <c r="B72" s="52" t="n"/>
      <c r="D72" s="30" t="n"/>
    </row>
    <row r="73" ht="15.75" customHeight="1" s="67">
      <c r="D73" s="30" t="n"/>
    </row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2026-05-04T23:43:47Z</dcterms:modified>
  <cp:lastModifiedBy>Marc-Antoine Nadeau</cp:lastModifiedBy>
</cp:coreProperties>
</file>