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8_{57779368-DE8B-E74C-B86C-F70A071119D0}" xr6:coauthVersionLast="47" xr6:coauthVersionMax="47" xr10:uidLastSave="{00000000-0000-0000-0000-000000000000}"/>
  <bookViews>
    <workbookView xWindow="18900" yWindow="-20420" windowWidth="30240" windowHeight="17300" activeTab="2" xr2:uid="{00000000-000D-0000-FFFF-FFFF00000000}"/>
  </bookViews>
  <sheets>
    <sheet name="Chess Clock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E9" i="3"/>
  <c r="D9" i="3"/>
  <c r="C9" i="3"/>
  <c r="G9" i="3" s="1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B3" i="3"/>
  <c r="G5" i="3" l="1"/>
  <c r="E10" i="3"/>
  <c r="F6" i="3"/>
  <c r="G3" i="3"/>
  <c r="G8" i="3"/>
  <c r="G4" i="3"/>
  <c r="G6" i="3"/>
  <c r="H6" i="3" s="1"/>
  <c r="G7" i="3"/>
  <c r="B10" i="3"/>
  <c r="D10" i="3"/>
  <c r="F5" i="3"/>
  <c r="H5" i="3" s="1"/>
  <c r="F9" i="3"/>
  <c r="H9" i="3" s="1"/>
  <c r="F8" i="3"/>
  <c r="C10" i="3"/>
  <c r="F4" i="3"/>
  <c r="F7" i="3"/>
  <c r="F3" i="3"/>
  <c r="H3" i="3" s="1"/>
  <c r="H8" i="3" l="1"/>
  <c r="H4" i="3"/>
  <c r="H7" i="3"/>
  <c r="G10" i="3"/>
  <c r="F10" i="3"/>
  <c r="H10" i="3" s="1"/>
</calcChain>
</file>

<file path=xl/sharedStrings.xml><?xml version="1.0" encoding="utf-8"?>
<sst xmlns="http://schemas.openxmlformats.org/spreadsheetml/2006/main" count="289" uniqueCount="124">
  <si>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</si>
  <si>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</si>
  <si>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</si>
  <si>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</si>
  <si>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</si>
  <si>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</si>
  <si>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</si>
  <si>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</si>
  <si>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</si>
  <si>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</si>
  <si>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</si>
  <si>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</si>
  <si>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</si>
  <si>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</si>
  <si>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</si>
  <si>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</si>
  <si>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</si>
  <si>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</si>
  <si>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</si>
  <si>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</si>
  <si>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</si>
  <si>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</si>
  <si>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</si>
  <si>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</si>
  <si>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</si>
  <si>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</si>
  <si>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</si>
  <si>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</si>
  <si>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</si>
  <si>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</si>
  <si>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</si>
  <si>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</si>
  <si>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</si>
  <si>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</si>
  <si>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</si>
  <si>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</si>
  <si>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</si>
  <si>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</si>
  <si>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</si>
  <si>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</si>
  <si>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</si>
  <si>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</si>
  <si>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</si>
  <si>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</si>
  <si>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</si>
  <si>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</si>
  <si>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</si>
  <si>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</si>
  <si>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</si>
  <si>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</si>
  <si>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</si>
  <si>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</si>
  <si>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</si>
  <si>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</si>
  <si>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</si>
  <si>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GPT-5 Generation</t>
  </si>
  <si>
    <t>Notes</t>
  </si>
  <si>
    <t>Represented by [*] --&gt; Off at the top level</t>
  </si>
  <si>
    <t>Transition [*] --&gt; Off is present</t>
  </si>
  <si>
    <t>Off state is explicitly defined</t>
  </si>
  <si>
    <t>Off --&gt; On : onOff / powerOn() transition is present</t>
  </si>
  <si>
    <t>On composite state is defined with nested states</t>
  </si>
  <si>
    <t>[*] --&gt; Setup within On state serves as initial state</t>
  </si>
  <si>
    <t>Represented by Setup composite state which handles timing selection and orientation</t>
  </si>
  <si>
    <t>ChoosingTiming handles timing selection functionality as a region-equivalent structure</t>
  </si>
  <si>
    <t>[*] --&gt; ChoosingTiming serves as initial state for timing selection</t>
  </si>
  <si>
    <t>ChoosingTiming with BrowseWhiteLeft and BrowseWhiteRight represents timing selection</t>
  </si>
  <si>
    <t>showNextPredefinedTiming() action on plus button captures increment behavior</t>
  </si>
  <si>
    <t>showPreviousPredefinedTiming() action on minus button captures decrement behavior</t>
  </si>
  <si>
    <t>Self-transitions on BrowseWhiteLeft and BrowseWhiteRight with plus/minus events</t>
  </si>
  <si>
    <t>BrowseWhiteLeft/Right --&gt; ReadyWhiteLeft/Right : select transitions present</t>
  </si>
  <si>
    <t>TimingSelected with ReadyWhiteLeft and ReadyWhiteRight handles orientation as region-equivalent</t>
  </si>
  <si>
    <t>[*] --&gt; ReadyWhiteLeft in TimingSelected serves as initial state</t>
  </si>
  <si>
    <t>BrowseWhiteLeft and ReadyWhiteLeft represent white king on left orientation</t>
  </si>
  <si>
    <t>BrowseWhiteRight and ReadyWhiteRight represent white king on right orientation</t>
  </si>
  <si>
    <t>[*] --&gt; BrowseWhiteLeft serves as initial transition to white king on left</t>
  </si>
  <si>
    <t>flip transitions between BrowseWhiteLeft and BrowseWhiteRight and between ReadyWhiteLeft and ReadyWhiteRight</t>
  </si>
  <si>
    <t>flip transitions in reverse direction are present</t>
  </si>
  <si>
    <t>TimingSelected state with ReadyWhiteLeft and ReadyWhiteRight represents ready to start</t>
  </si>
  <si>
    <t>ReadyWhiteLeft/Right --&gt; Game : startStop transitions present</t>
  </si>
  <si>
    <t>GameRunning composite state is defined with clock states</t>
  </si>
  <si>
    <t>H history state is defined within GameRunning</t>
  </si>
  <si>
    <t>WhiteRunning state is present</t>
  </si>
  <si>
    <t>startWhiteCountdown() entry action captures starting white timer</t>
  </si>
  <si>
    <t>stopWhiteCountdown() exit action captures stopping white timer</t>
  </si>
  <si>
    <t>[whiteTime &gt; 1] guard on self-transition captures clock running condition</t>
  </si>
  <si>
    <t>decrementWhiteClock() action captures decrementing white clock</t>
  </si>
  <si>
    <t>WhiteRunning --&gt; WhiteRunning self-transition with after1sec event</t>
  </si>
  <si>
    <t>BlackRunning state is present</t>
  </si>
  <si>
    <t>startBlackCountdown() entry action captures starting black timer</t>
  </si>
  <si>
    <t>stopBlackCountdown() exit action captures stopping black timer</t>
  </si>
  <si>
    <t>[blackTime &gt; 1] guard on self-transition captures clock running condition</t>
  </si>
  <si>
    <t>decrementBlackClock() action captures decrementing black clock</t>
  </si>
  <si>
    <t>BlackRunning --&gt; BlackRunning self-transition with after1sec event</t>
  </si>
  <si>
    <t>GameRunning --&gt; Paused : startStop transition is present</t>
  </si>
  <si>
    <t>WhiteRunning --&gt; WhiteFlag and BlackRunning --&gt; BlackFlag transitions represent game finishing</t>
  </si>
  <si>
    <t>[whiteTime &lt;= 1] guard on transition to WhiteFlag captures zero condition</t>
  </si>
  <si>
    <t>[blackTime &lt;= 1] guard on transition to BlackFlag captures zero condition</t>
  </si>
  <si>
    <t>Paused state is present within Game composite state</t>
  </si>
  <si>
    <t>Paused --&gt; H : startStop transition resumes game</t>
  </si>
  <si>
    <t>WhiteFlag and BlackFlag states represent game finished conditions</t>
  </si>
  <si>
    <t>On --&gt; Off : onOff / powerOff() transition is present</t>
  </si>
  <si>
    <t>No fundamentally incorrect states present</t>
  </si>
  <si>
    <t>All transitions are reasonable and support the system behavior</t>
  </si>
  <si>
    <t>All guards are appropriate for the modeled behavior</t>
  </si>
  <si>
    <t>All actions are reasonable and support the system requirements</t>
  </si>
  <si>
    <t>Game composite state is a reasonable organizational choice</t>
  </si>
  <si>
    <t>No incorrect regions present</t>
  </si>
  <si>
    <t>History state usage is appropriate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</si>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</sst>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8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2" fillId="3" borderId="0" xfId="0" applyFont="1" applyFill="1" applyBorder="1"/>
    <xf numFmtId="0" fontId="7" fillId="0" borderId="0" xfId="0" applyFont="1" applyBorder="1"/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23" workbookViewId="0">
      <selection activeCell="C33" sqref="C33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5.33203125" bestFit="1" customWidth="1"/>
    <col min="4" max="4" width="93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 t="s">
        <v>57</v>
      </c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 t="s">
        <v>58</v>
      </c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 t="s">
        <v>59</v>
      </c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 t="s">
        <v>60</v>
      </c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 t="s">
        <v>61</v>
      </c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 t="s">
        <v>62</v>
      </c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 t="s">
        <v>63</v>
      </c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 t="s">
        <v>64</v>
      </c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 t="s">
        <v>65</v>
      </c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 t="s">
        <v>66</v>
      </c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 t="s">
        <v>67</v>
      </c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 t="s">
        <v>68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 t="s">
        <v>69</v>
      </c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 t="s">
        <v>70</v>
      </c>
    </row>
    <row r="16" spans="1:4" ht="12.75" customHeight="1" x14ac:dyDescent="0.15">
      <c r="A16" s="3" t="s">
        <v>12</v>
      </c>
      <c r="B16" s="4" t="s">
        <v>21</v>
      </c>
      <c r="C16" s="13">
        <v>1</v>
      </c>
      <c r="D16" s="13" t="s">
        <v>71</v>
      </c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 t="s">
        <v>72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 t="s">
        <v>73</v>
      </c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 t="s">
        <v>74</v>
      </c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 t="s">
        <v>75</v>
      </c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 t="s">
        <v>76</v>
      </c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 t="s">
        <v>77</v>
      </c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 t="s">
        <v>78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79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 t="s">
        <v>80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 t="s">
        <v>81</v>
      </c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 t="s">
        <v>82</v>
      </c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83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 t="s">
        <v>84</v>
      </c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 t="s">
        <v>85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 t="s">
        <v>86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87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 t="s">
        <v>88</v>
      </c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 t="s">
        <v>89</v>
      </c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 t="s">
        <v>90</v>
      </c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 t="s">
        <v>91</v>
      </c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 t="s">
        <v>92</v>
      </c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93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 t="s">
        <v>94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3" t="s">
        <v>95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96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 t="s">
        <v>97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 t="s">
        <v>98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 t="s">
        <v>99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1</v>
      </c>
      <c r="D45" s="14" t="s">
        <v>100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 t="s">
        <v>101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 t="s">
        <v>102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 t="s">
        <v>103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 t="s">
        <v>104</v>
      </c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 t="s">
        <v>105</v>
      </c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 t="s">
        <v>106</v>
      </c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 t="s">
        <v>107</v>
      </c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 t="s">
        <v>108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selection activeCell="C14" sqref="C1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30" t="s">
        <v>109</v>
      </c>
      <c r="B1" s="30"/>
      <c r="C1" s="30"/>
      <c r="D1" s="30"/>
      <c r="E1" s="30"/>
      <c r="F1" s="30"/>
      <c r="G1" s="30"/>
      <c r="H1" s="30"/>
      <c r="J1" s="21" t="s">
        <v>110</v>
      </c>
      <c r="K1" s="15"/>
    </row>
    <row r="2" spans="1:11" ht="15.75" customHeight="1" x14ac:dyDescent="0.15">
      <c r="A2" s="22" t="s">
        <v>0</v>
      </c>
      <c r="B2" s="22" t="s">
        <v>111</v>
      </c>
      <c r="C2" s="22" t="s">
        <v>112</v>
      </c>
      <c r="D2" s="22" t="s">
        <v>113</v>
      </c>
      <c r="E2" s="22" t="s">
        <v>114</v>
      </c>
      <c r="F2" s="22" t="s">
        <v>115</v>
      </c>
      <c r="G2" s="22" t="s">
        <v>116</v>
      </c>
      <c r="H2" s="22" t="s">
        <v>117</v>
      </c>
      <c r="J2" s="23" t="s">
        <v>118</v>
      </c>
      <c r="K2" s="15"/>
    </row>
    <row r="3" spans="1:11" ht="15.75" customHeight="1" x14ac:dyDescent="0.15">
      <c r="A3" s="24" t="s">
        <v>8</v>
      </c>
      <c r="B3" s="25">
        <f>COUNTIF('Chess Clock'!$A$2:$A$46, A3)</f>
        <v>3</v>
      </c>
      <c r="C3" s="26">
        <f>SUMIF('GPT-5 Generation'!$A$2:$A$46, $A3, 'GPT-5 Generation'!$C$2:$C$46)</f>
        <v>3</v>
      </c>
      <c r="D3" s="26">
        <f>SUMIF('GPT-5 Generation'!$A$47:$A$53, $A3, 'GPT-5 Generation'!$C$47:$C$53)</f>
        <v>0</v>
      </c>
      <c r="E3" s="26">
        <f>COUNTIFS('GPT-5 Generation'!$A$2:$A$46, $A3, 'GPT-5 Generation'!$C$2:$C$46,0)</f>
        <v>0</v>
      </c>
      <c r="F3" s="26">
        <f>IFERROR(C3 / (C3 + D3), "Not Available")</f>
        <v>1</v>
      </c>
      <c r="G3" s="26">
        <f t="shared" ref="G3:G10" si="0">IFERROR(C3 / B3, "Not Available")</f>
        <v>1</v>
      </c>
      <c r="H3" s="26">
        <f t="shared" ref="H3:H10" si="1">IFERROR(2*((F3*G3)/(F3+G3)),"Not Available")</f>
        <v>1</v>
      </c>
      <c r="J3" s="15"/>
      <c r="K3" s="15"/>
    </row>
    <row r="4" spans="1:11" ht="15.75" customHeight="1" x14ac:dyDescent="0.15">
      <c r="A4" s="27" t="s">
        <v>2</v>
      </c>
      <c r="B4" s="25">
        <f>COUNTIF('Chess Clock'!$A$2:$A$46, A4)</f>
        <v>13</v>
      </c>
      <c r="C4" s="26">
        <f>SUMIF('GPT-5 Generation'!$A$2:$A$46, $A4, 'GPT-5 Generation'!$C$2:$C$46)</f>
        <v>13</v>
      </c>
      <c r="D4" s="26">
        <f>SUMIF('GPT-5 Generation'!$A$47:$A$53, $A4, 'GPT-5 Generation'!$C$47:$C$53)</f>
        <v>0</v>
      </c>
      <c r="E4" s="26">
        <f>COUNTIFS('GPT-5 Generation'!$A$2:$A$46, $A4, 'GPT-5 Generation'!$C$2:$C$46,0)</f>
        <v>0</v>
      </c>
      <c r="F4" s="26">
        <f>IFERROR(C4 / (C4 + D4), "Not Available")</f>
        <v>1</v>
      </c>
      <c r="G4" s="26">
        <f t="shared" si="0"/>
        <v>1</v>
      </c>
      <c r="H4" s="26">
        <f t="shared" si="1"/>
        <v>1</v>
      </c>
      <c r="J4" s="21" t="s">
        <v>119</v>
      </c>
      <c r="K4" s="15"/>
    </row>
    <row r="5" spans="1:11" ht="15.75" customHeight="1" x14ac:dyDescent="0.15">
      <c r="A5" s="27" t="s">
        <v>4</v>
      </c>
      <c r="B5" s="25">
        <f>COUNTIF('Chess Clock'!$A$2:$A$46, A5)</f>
        <v>14</v>
      </c>
      <c r="C5" s="26">
        <f>SUMIF('GPT-5 Generation'!$A$2:$A$46, $A5, 'GPT-5 Generation'!$C$2:$C$46)</f>
        <v>14</v>
      </c>
      <c r="D5" s="26">
        <f>SUMIF('GPT-5 Generation'!$A$47:$A$53, $A5, 'GPT-5 Generation'!$C$47:$C$53)</f>
        <v>0</v>
      </c>
      <c r="E5" s="26">
        <f>COUNTIFS('GPT-5 Generation'!$A$2:$A$46, $A5, 'GPT-5 Generation'!$C$2:$C$46,0)</f>
        <v>0</v>
      </c>
      <c r="F5" s="26">
        <f>IFERROR(C5 / (C5 + D5), "Not Available")</f>
        <v>1</v>
      </c>
      <c r="G5" s="26">
        <f t="shared" si="0"/>
        <v>1</v>
      </c>
      <c r="H5" s="26">
        <f t="shared" si="1"/>
        <v>1</v>
      </c>
      <c r="J5" s="28" t="s">
        <v>122</v>
      </c>
      <c r="K5" s="15"/>
    </row>
    <row r="6" spans="1:11" ht="15.75" customHeight="1" x14ac:dyDescent="0.15">
      <c r="A6" s="27" t="s">
        <v>16</v>
      </c>
      <c r="B6" s="25">
        <f>COUNTIF('Chess Clock'!$A$2:$A$46, A6)</f>
        <v>8</v>
      </c>
      <c r="C6" s="26">
        <f>SUMIF('GPT-5 Generation'!$A$2:$A$46, $A6, 'GPT-5 Generation'!$C$2:$C$46)</f>
        <v>8</v>
      </c>
      <c r="D6" s="26">
        <f>SUMIF('GPT-5 Generation'!$A$47:$A$53, $A6, 'GPT-5 Generation'!$C$47:$C$53)</f>
        <v>0</v>
      </c>
      <c r="E6" s="26">
        <f>COUNTIFS('GPT-5 Generation'!$A$2:$A$46, $A6, 'GPT-5 Generation'!$C$2:$C$46,0)</f>
        <v>0</v>
      </c>
      <c r="F6" s="26">
        <f>IFERROR(C6 / (C6 + D6), "Not Available")</f>
        <v>1</v>
      </c>
      <c r="G6" s="26">
        <f t="shared" si="0"/>
        <v>1</v>
      </c>
      <c r="H6" s="26">
        <f t="shared" si="1"/>
        <v>1</v>
      </c>
      <c r="J6" s="15"/>
      <c r="K6" s="15"/>
    </row>
    <row r="7" spans="1:11" ht="15.75" customHeight="1" x14ac:dyDescent="0.15">
      <c r="A7" s="27" t="s">
        <v>12</v>
      </c>
      <c r="B7" s="25">
        <f>COUNTIF('Chess Clock'!$A$2:$A$46, A7)</f>
        <v>2</v>
      </c>
      <c r="C7" s="26">
        <f>SUMIF('GPT-5 Generation'!$A$2:$A$46, $A7, 'GPT-5 Generation'!$C$2:$C$46)</f>
        <v>2</v>
      </c>
      <c r="D7" s="26">
        <f>SUMIF('GPT-5 Generation'!$A$47:$A$53, $A7, 'GPT-5 Generation'!$C$47:$C$53)</f>
        <v>0</v>
      </c>
      <c r="E7" s="26">
        <f>COUNTIFS('GPT-5 Generation'!$A$2:$A$46, $A7, 'GPT-5 Generation'!$C$2:$C$46,0)</f>
        <v>0</v>
      </c>
      <c r="F7" s="26">
        <f>IFERROR(C7 / (C7 + D8), "Not Available")</f>
        <v>1</v>
      </c>
      <c r="G7" s="26">
        <f t="shared" si="0"/>
        <v>1</v>
      </c>
      <c r="H7" s="26">
        <f t="shared" si="1"/>
        <v>1</v>
      </c>
      <c r="J7" s="29" t="s">
        <v>120</v>
      </c>
    </row>
    <row r="8" spans="1:11" ht="15.75" customHeight="1" x14ac:dyDescent="0.15">
      <c r="A8" s="27" t="s">
        <v>31</v>
      </c>
      <c r="B8" s="25">
        <f>COUNTIF('Chess Clock'!$A$2:$A$46, A8)</f>
        <v>1</v>
      </c>
      <c r="C8" s="26">
        <f>SUMIF('GPT-5 Generation'!$A$2:$A$46, $A8, 'GPT-5 Generation'!$C$2:$C$46)</f>
        <v>1</v>
      </c>
      <c r="D8" s="26">
        <f>SUMIF('GPT-5 Generation'!$A$47:$A$53, $A8, 'GPT-5 Generation'!$C$47:$C$53)</f>
        <v>0</v>
      </c>
      <c r="E8" s="26">
        <f>COUNTIFS('GPT-5 Generation'!$A$2:$A$46, $A8, 'GPT-5 Generation'!$C$2:$C$46,0)</f>
        <v>0</v>
      </c>
      <c r="F8" s="26" t="str">
        <f>IFERROR(C8 / (C8 +#REF!), "Not Available")</f>
        <v>Not Available</v>
      </c>
      <c r="G8" s="26">
        <f t="shared" si="0"/>
        <v>1</v>
      </c>
      <c r="H8" s="26" t="str">
        <f t="shared" si="1"/>
        <v>Not Available</v>
      </c>
      <c r="J8" s="28" t="s">
        <v>123</v>
      </c>
    </row>
    <row r="9" spans="1:11" ht="15.75" customHeight="1" x14ac:dyDescent="0.15">
      <c r="A9" s="27" t="s">
        <v>36</v>
      </c>
      <c r="B9" s="25">
        <f>COUNTIF('Chess Clock'!$A$2:$A$46, A9)</f>
        <v>4</v>
      </c>
      <c r="C9" s="26">
        <f>SUMIF('GPT-5 Generation'!$A$2:$A$46, $A9, 'GPT-5 Generation'!$C$2:$C$46)</f>
        <v>4</v>
      </c>
      <c r="D9" s="26">
        <f>SUMIF('GPT-5 Generation'!$A$47:$A$53, $A9, 'GPT-5 Generation'!$C$47:$C$53)</f>
        <v>0</v>
      </c>
      <c r="E9" s="26">
        <f>COUNTIFS('GPT-5 Generation'!$A$2:$A$46, $A9, 'GPT-5 Generation'!$C$2:$C$46,0)</f>
        <v>0</v>
      </c>
      <c r="F9" s="26">
        <f>IFERROR(C9 / (C9 + D9), "Not Available")</f>
        <v>1</v>
      </c>
      <c r="G9" s="26">
        <f t="shared" si="0"/>
        <v>1</v>
      </c>
      <c r="H9" s="26">
        <f t="shared" si="1"/>
        <v>1</v>
      </c>
    </row>
    <row r="10" spans="1:11" ht="15.75" customHeight="1" x14ac:dyDescent="0.15">
      <c r="A10" s="27" t="s">
        <v>121</v>
      </c>
      <c r="B10" s="26">
        <f>SUM(B3:B9)</f>
        <v>45</v>
      </c>
      <c r="C10" s="26">
        <f>SUM(C3:C9)</f>
        <v>45</v>
      </c>
      <c r="D10" s="26">
        <f>SUM(D3:D9)</f>
        <v>0</v>
      </c>
      <c r="E10" s="26">
        <f>SUM(E3:E9)</f>
        <v>0</v>
      </c>
      <c r="F10" s="26">
        <f>IFERROR(C10 / (C10 + D10), "Not Available")</f>
        <v>1</v>
      </c>
      <c r="G10" s="26">
        <f t="shared" si="0"/>
        <v>1</v>
      </c>
      <c r="H10" s="26">
        <f t="shared" si="1"/>
        <v>1</v>
      </c>
    </row>
    <row r="11" spans="1:11" ht="15.75" customHeight="1" x14ac:dyDescent="0.15"/>
    <row r="12" spans="1:11" ht="15.75" customHeight="1" x14ac:dyDescent="0.15"/>
    <row r="13" spans="1:11" ht="15.75" customHeight="1" x14ac:dyDescent="0.15"/>
    <row r="14" spans="1:11" ht="15.75" customHeight="1" x14ac:dyDescent="0.15"/>
    <row r="15" spans="1:11" ht="15.75" customHeight="1" x14ac:dyDescent="0.15"/>
    <row r="16" spans="1:11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Chess Clock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2026-05-14T22:05:32Z</dcterms:modified>
</cp:coreProperties>
</file>