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6-examples/"/>
    </mc:Choice>
  </mc:AlternateContent>
  <xr:revisionPtr revIDLastSave="0" documentId="8_{D8A34B07-7831-694F-8835-98E6CCBAFBF8}" xr6:coauthVersionLast="47" xr6:coauthVersionMax="47" xr10:uidLastSave="{00000000-0000-0000-0000-000000000000}"/>
  <bookViews>
    <workbookView xWindow="19780" yWindow="-21000" windowWidth="30240" windowHeight="17300" activeTab="2" xr2:uid="{00000000-000D-0000-FFFF-FFFF00000000}"/>
  </bookViews>
  <sheets>
    <sheet name="Chess Clock" sheetId="1" r:id="rId1"/>
    <sheet name="Gemini 3 Pro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E9" i="3"/>
  <c r="D9" i="3"/>
  <c r="C9" i="3"/>
  <c r="E8" i="3"/>
  <c r="D8" i="3"/>
  <c r="C8" i="3"/>
  <c r="F8" i="3" s="1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B3" i="3"/>
  <c r="G8" i="3" l="1"/>
  <c r="H8" i="3" s="1"/>
  <c r="D10" i="3"/>
  <c r="E10" i="3"/>
  <c r="G5" i="3"/>
  <c r="G9" i="3"/>
  <c r="G6" i="3"/>
  <c r="B10" i="3"/>
  <c r="G10" i="3" s="1"/>
  <c r="G3" i="3"/>
  <c r="F5" i="3"/>
  <c r="H5" i="3" s="1"/>
  <c r="C10" i="3"/>
  <c r="G4" i="3"/>
  <c r="G7" i="3"/>
  <c r="F3" i="3"/>
  <c r="F6" i="3"/>
  <c r="F9" i="3"/>
  <c r="H9" i="3" s="1"/>
  <c r="F4" i="3"/>
  <c r="F7" i="3"/>
  <c r="H3" i="3" l="1"/>
  <c r="F10" i="3"/>
  <c r="H10" i="3" s="1"/>
  <c r="H7" i="3"/>
  <c r="H4" i="3"/>
  <c r="H6" i="3"/>
</calcChain>
</file>

<file path=xl/sharedStrings.xml><?xml version="1.0" encoding="utf-8"?>
<sst xmlns="http://schemas.openxmlformats.org/spreadsheetml/2006/main" count="289" uniqueCount="122">
  <si>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</si>
  <si>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</si>
  <si>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</si>
  <si>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</si>
  <si>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</si>
  <si>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</si>
  <si>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</si>
  <si>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</si>
  <si>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</si>
  <si>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</si>
  <si>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</si>
  <si>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</si>
  <si>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</si>
  <si>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</si>
  <si>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</si>
  <si>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</si>
  <si>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</si>
  <si>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</si>
  <si>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</si>
  <si>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</si>
  <si>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</si>
  <si>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</si>
  <si>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</si>
  <si>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</si>
  <si>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</si>
  <si>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</si>
  <si>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</si>
  <si>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</si>
  <si>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</si>
  <si>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</si>
  <si>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</si>
  <si>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</si>
  <si>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</si>
  <si>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</si>
  <si>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</si>
  <si>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</si>
  <si>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</si>
  <si>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</si>
  <si>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</si>
  <si>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</si>
  <si>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</si>
  <si>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</si>
  <si>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</si>
  <si>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</si>
  <si>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</si>
  <si>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</si>
  <si>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</si>
  <si>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</si>
  <si>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</si>
  <si>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</si>
  <si>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</si>
  <si>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</si>
  <si>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</si>
  <si>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</si>
  <si>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</si>
  <si>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Gemini 3 Pro Generation</t>
  </si>
  <si>
    <t>Notes</t>
  </si>
  <si>
    <t>Represented by [*] --&gt; Off</t>
  </si>
  <si>
    <t>Transition from [*] to Off is present</t>
  </si>
  <si>
    <t>Off state is present</t>
  </si>
  <si>
    <t>Off --&gt; On : onOff transition is present</t>
  </si>
  <si>
    <t>On is a composite state containing substates</t>
  </si>
  <si>
    <t>Represented by [*] --&gt; Configuring within On state</t>
  </si>
  <si>
    <t>Configuring and ReadyToStart states exist but not grouped as a composite GameSetup state with parallel regions</t>
  </si>
  <si>
    <t>No parallel regions for timing selection within GameSetup</t>
  </si>
  <si>
    <t>No region 1 initial state as regions are not present</t>
  </si>
  <si>
    <t>Configuring state handles timing selection but not as a separate state within a region</t>
  </si>
  <si>
    <t>nextTiming() action is present on plus transitions which is semantically similar</t>
  </si>
  <si>
    <t>prevTiming() action is present on minus transitions which is semantically similar</t>
  </si>
  <si>
    <t>Self-transitions on Configuring with plus/minus are present</t>
  </si>
  <si>
    <t>Configuring --&gt; ReadyToStart : select transition is present</t>
  </si>
  <si>
    <t>No parallel region for white king status</t>
  </si>
  <si>
    <t>No region 2 initial state as regions are not present</t>
  </si>
  <si>
    <t>No explicit state for white king position</t>
  </si>
  <si>
    <t>No such transition as white king states are not present</t>
  </si>
  <si>
    <t>flip action swapColors() is present in Configuring and ReadyToStart but not as transitions between explicit states</t>
  </si>
  <si>
    <t>ReadyToStart state is present</t>
  </si>
  <si>
    <t>ReadyToStart --&gt; ActiveGame : startStop transition is present</t>
  </si>
  <si>
    <t>ActiveGame is a composite state representing the running game</t>
  </si>
  <si>
    <t>History state H is present within ActiveGame</t>
  </si>
  <si>
    <t>WhiteTurn state represents white clock running</t>
  </si>
  <si>
    <t>No explicit entry action for starting white timer</t>
  </si>
  <si>
    <t>No explicit exit action for stopping white timer</t>
  </si>
  <si>
    <t>[whiteTime &gt; 0] guard is present on WhiteTurn self-transition</t>
  </si>
  <si>
    <t>decrementWhite() action is present on WhiteTurn self-transition</t>
  </si>
  <si>
    <t>WhiteTurn --&gt; WhiteTurn self-transition with after1sec is present</t>
  </si>
  <si>
    <t>BlackTurn state represents black clock running</t>
  </si>
  <si>
    <t>No explicit entry action for starting black timer</t>
  </si>
  <si>
    <t>No explicit exit action for stopping black timer</t>
  </si>
  <si>
    <t>[blackTime &gt; 0] guard is present on BlackTurn self-transition</t>
  </si>
  <si>
    <t>decrementBlack() action is present on BlackTurn self-transition</t>
  </si>
  <si>
    <t>BlackTurn --&gt; BlackTurn self-transition with after1sec is present</t>
  </si>
  <si>
    <t>ActiveGame --&gt; Paused : startStop transition is present</t>
  </si>
  <si>
    <t>WhiteTurn/BlackTurn --&gt; Flagged transitions represent game finishing</t>
  </si>
  <si>
    <t>[whiteTime == 0] guard is present on WhiteTurn to Flagged transition</t>
  </si>
  <si>
    <t>[blackTime == 0] guard is present on BlackTurn to Flagged transition</t>
  </si>
  <si>
    <t>Paused state is present</t>
  </si>
  <si>
    <t>Paused --&gt; H : startStop transition resumes game</t>
  </si>
  <si>
    <t>Flagged state represents game finished</t>
  </si>
  <si>
    <t>On --&gt; Off : onOff transition is present</t>
  </si>
  <si>
    <t>No additional incorrect states</t>
  </si>
  <si>
    <t>No additional incorrect transitions</t>
  </si>
  <si>
    <t>No additional incorrect guards</t>
  </si>
  <si>
    <t>flashFlag() action is used but should specify which player's flag per system description</t>
  </si>
  <si>
    <t>No additional incorrect composite states</t>
  </si>
  <si>
    <t>No additional incorrect regions</t>
  </si>
  <si>
    <t>No additional incorrect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</si>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</sst>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8"/>
  </cellStyleXfs>
  <cellXfs count="33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4" fillId="0" borderId="0" xfId="0" applyFont="1" applyBorder="1"/>
    <xf numFmtId="0" fontId="0" fillId="8" borderId="0" xfId="0" applyFill="1" applyBorder="1"/>
    <xf numFmtId="0" fontId="2" fillId="3" borderId="0" xfId="0" applyFont="1" applyFill="1" applyBorder="1"/>
    <xf numFmtId="0" fontId="7" fillId="9" borderId="0" xfId="0" applyFont="1" applyFill="1" applyBorder="1"/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10" workbookViewId="0">
      <selection activeCell="D38" sqref="D38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20.5" bestFit="1" customWidth="1"/>
    <col min="4" max="4" width="91.3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 t="s">
        <v>57</v>
      </c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 t="s">
        <v>58</v>
      </c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 t="s">
        <v>59</v>
      </c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 t="s">
        <v>60</v>
      </c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 t="s">
        <v>61</v>
      </c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 t="s">
        <v>62</v>
      </c>
    </row>
    <row r="8" spans="1:4" ht="12.75" customHeight="1" x14ac:dyDescent="0.15">
      <c r="A8" s="3" t="s">
        <v>8</v>
      </c>
      <c r="B8" s="4" t="s">
        <v>11</v>
      </c>
      <c r="C8" s="13">
        <v>0.5</v>
      </c>
      <c r="D8" s="13" t="s">
        <v>63</v>
      </c>
    </row>
    <row r="9" spans="1:4" ht="12.75" customHeight="1" x14ac:dyDescent="0.15">
      <c r="A9" s="5" t="s">
        <v>12</v>
      </c>
      <c r="B9" s="6" t="s">
        <v>13</v>
      </c>
      <c r="C9" s="14">
        <v>0</v>
      </c>
      <c r="D9" s="14" t="s">
        <v>64</v>
      </c>
    </row>
    <row r="10" spans="1:4" ht="12.75" customHeight="1" x14ac:dyDescent="0.15">
      <c r="A10" s="3" t="s">
        <v>2</v>
      </c>
      <c r="B10" s="4" t="s">
        <v>14</v>
      </c>
      <c r="C10" s="13">
        <v>0</v>
      </c>
      <c r="D10" s="13" t="s">
        <v>65</v>
      </c>
    </row>
    <row r="11" spans="1:4" ht="12.75" customHeight="1" x14ac:dyDescent="0.15">
      <c r="A11" s="5" t="s">
        <v>2</v>
      </c>
      <c r="B11" s="6" t="s">
        <v>15</v>
      </c>
      <c r="C11" s="14">
        <v>0.5</v>
      </c>
      <c r="D11" s="14" t="s">
        <v>66</v>
      </c>
    </row>
    <row r="12" spans="1:4" ht="12.75" customHeight="1" x14ac:dyDescent="0.15">
      <c r="A12" s="3" t="s">
        <v>16</v>
      </c>
      <c r="B12" s="4" t="s">
        <v>17</v>
      </c>
      <c r="C12" s="13">
        <v>0.5</v>
      </c>
      <c r="D12" s="13" t="s">
        <v>67</v>
      </c>
    </row>
    <row r="13" spans="1:4" ht="12.75" customHeight="1" x14ac:dyDescent="0.15">
      <c r="A13" s="5" t="s">
        <v>16</v>
      </c>
      <c r="B13" s="6" t="s">
        <v>18</v>
      </c>
      <c r="C13" s="14">
        <v>0.5</v>
      </c>
      <c r="D13" s="14" t="s">
        <v>68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 t="s">
        <v>69</v>
      </c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 t="s">
        <v>70</v>
      </c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 t="s">
        <v>71</v>
      </c>
    </row>
    <row r="17" spans="1:22" ht="15" customHeight="1" x14ac:dyDescent="0.15">
      <c r="A17" s="5" t="s">
        <v>2</v>
      </c>
      <c r="B17" s="6" t="s">
        <v>22</v>
      </c>
      <c r="C17" s="14">
        <v>0</v>
      </c>
      <c r="D17" s="14" t="s">
        <v>72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0</v>
      </c>
      <c r="D18" s="13" t="s">
        <v>73</v>
      </c>
    </row>
    <row r="19" spans="1:22" ht="12.75" customHeight="1" x14ac:dyDescent="0.15">
      <c r="A19" s="5" t="s">
        <v>2</v>
      </c>
      <c r="B19" s="6" t="s">
        <v>24</v>
      </c>
      <c r="C19" s="14">
        <v>0</v>
      </c>
      <c r="D19" s="14" t="s">
        <v>73</v>
      </c>
    </row>
    <row r="20" spans="1:22" ht="12.75" customHeight="1" x14ac:dyDescent="0.15">
      <c r="A20" s="3" t="s">
        <v>4</v>
      </c>
      <c r="B20" s="4" t="s">
        <v>25</v>
      </c>
      <c r="C20" s="13">
        <v>0</v>
      </c>
      <c r="D20" s="13" t="s">
        <v>74</v>
      </c>
    </row>
    <row r="21" spans="1:22" ht="12.75" customHeight="1" x14ac:dyDescent="0.15">
      <c r="A21" s="5" t="s">
        <v>4</v>
      </c>
      <c r="B21" s="6" t="s">
        <v>26</v>
      </c>
      <c r="C21" s="14">
        <v>0.5</v>
      </c>
      <c r="D21" s="14" t="s">
        <v>75</v>
      </c>
    </row>
    <row r="22" spans="1:22" ht="12.75" customHeight="1" x14ac:dyDescent="0.15">
      <c r="A22" s="3" t="s">
        <v>4</v>
      </c>
      <c r="B22" s="4" t="s">
        <v>27</v>
      </c>
      <c r="C22" s="13">
        <v>0.5</v>
      </c>
      <c r="D22" s="13" t="s">
        <v>75</v>
      </c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 t="s">
        <v>76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 t="s">
        <v>77</v>
      </c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 t="s">
        <v>78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 t="s">
        <v>79</v>
      </c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 t="s">
        <v>80</v>
      </c>
    </row>
    <row r="28" spans="1:22" ht="12.75" customHeight="1" x14ac:dyDescent="0.15">
      <c r="A28" s="3" t="s">
        <v>16</v>
      </c>
      <c r="B28" s="4" t="s">
        <v>34</v>
      </c>
      <c r="C28" s="13">
        <v>0</v>
      </c>
      <c r="D28" s="13" t="s">
        <v>81</v>
      </c>
    </row>
    <row r="29" spans="1:22" ht="12.75" customHeight="1" x14ac:dyDescent="0.15">
      <c r="A29" s="5" t="s">
        <v>16</v>
      </c>
      <c r="B29" s="6" t="s">
        <v>35</v>
      </c>
      <c r="C29" s="14">
        <v>0</v>
      </c>
      <c r="D29" s="14" t="s">
        <v>82</v>
      </c>
    </row>
    <row r="30" spans="1:22" ht="12.75" customHeight="1" x14ac:dyDescent="0.15">
      <c r="A30" s="3" t="s">
        <v>36</v>
      </c>
      <c r="B30" s="4" t="s">
        <v>37</v>
      </c>
      <c r="C30" s="13">
        <v>1</v>
      </c>
      <c r="D30" s="13" t="s">
        <v>83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 t="s">
        <v>84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 t="s">
        <v>85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 t="s">
        <v>86</v>
      </c>
    </row>
    <row r="34" spans="1:22" ht="12.75" customHeight="1" x14ac:dyDescent="0.15">
      <c r="A34" s="3" t="s">
        <v>16</v>
      </c>
      <c r="B34" s="4" t="s">
        <v>41</v>
      </c>
      <c r="C34" s="13">
        <v>0</v>
      </c>
      <c r="D34" s="13" t="s">
        <v>87</v>
      </c>
    </row>
    <row r="35" spans="1:22" ht="12.75" customHeight="1" x14ac:dyDescent="0.15">
      <c r="A35" s="5" t="s">
        <v>16</v>
      </c>
      <c r="B35" s="6" t="s">
        <v>42</v>
      </c>
      <c r="C35" s="14">
        <v>0</v>
      </c>
      <c r="D35" s="14" t="s">
        <v>88</v>
      </c>
    </row>
    <row r="36" spans="1:22" ht="12.75" customHeight="1" x14ac:dyDescent="0.15">
      <c r="A36" s="3" t="s">
        <v>36</v>
      </c>
      <c r="B36" s="4" t="s">
        <v>43</v>
      </c>
      <c r="C36" s="13">
        <v>1</v>
      </c>
      <c r="D36" s="13" t="s">
        <v>89</v>
      </c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 t="s">
        <v>90</v>
      </c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 t="s">
        <v>91</v>
      </c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 t="s">
        <v>92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3" t="s">
        <v>93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1</v>
      </c>
      <c r="D41" s="14" t="s">
        <v>94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1</v>
      </c>
      <c r="D42" s="13" t="s">
        <v>95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 t="s">
        <v>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1</v>
      </c>
      <c r="D45" s="14" t="s">
        <v>98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 t="s">
        <v>99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 t="s">
        <v>100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 t="s">
        <v>101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 t="s">
        <v>102</v>
      </c>
    </row>
    <row r="50" spans="1:4" ht="12.75" customHeight="1" x14ac:dyDescent="0.15">
      <c r="A50" s="3" t="s">
        <v>16</v>
      </c>
      <c r="B50" s="4" t="s">
        <v>54</v>
      </c>
      <c r="C50" s="13">
        <v>1</v>
      </c>
      <c r="D50" s="13" t="s">
        <v>103</v>
      </c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 t="s">
        <v>104</v>
      </c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 t="s">
        <v>105</v>
      </c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 t="s">
        <v>106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zoomScale="150" workbookViewId="0">
      <selection activeCell="B3" sqref="B3:B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1" ht="15.75" customHeight="1" x14ac:dyDescent="0.15">
      <c r="A1" s="32" t="s">
        <v>107</v>
      </c>
      <c r="B1" s="32"/>
      <c r="C1" s="32"/>
      <c r="D1" s="32"/>
      <c r="E1" s="32"/>
      <c r="F1" s="32"/>
      <c r="G1" s="32"/>
      <c r="H1" s="32"/>
      <c r="J1" s="21" t="s">
        <v>108</v>
      </c>
      <c r="K1" s="15"/>
    </row>
    <row r="2" spans="1:11" ht="15.75" customHeight="1" x14ac:dyDescent="0.15">
      <c r="A2" s="22" t="s">
        <v>0</v>
      </c>
      <c r="B2" s="22" t="s">
        <v>109</v>
      </c>
      <c r="C2" s="22" t="s">
        <v>110</v>
      </c>
      <c r="D2" s="22" t="s">
        <v>111</v>
      </c>
      <c r="E2" s="22" t="s">
        <v>112</v>
      </c>
      <c r="F2" s="22" t="s">
        <v>113</v>
      </c>
      <c r="G2" s="22" t="s">
        <v>114</v>
      </c>
      <c r="H2" s="22" t="s">
        <v>115</v>
      </c>
      <c r="J2" s="23" t="s">
        <v>116</v>
      </c>
      <c r="K2" s="15"/>
    </row>
    <row r="3" spans="1:11" ht="15.75" customHeight="1" x14ac:dyDescent="0.15">
      <c r="A3" s="24" t="s">
        <v>8</v>
      </c>
      <c r="B3" s="25">
        <f>COUNTIF('Chess Clock'!$A$2:$A$46, A3)</f>
        <v>3</v>
      </c>
      <c r="C3" s="26">
        <f>SUMIF('Gemini 3 Pro Generation'!$A$2:$A$46, $A3, 'Gemini 3 Pro Generation'!$C$2:$C$46)</f>
        <v>2.5</v>
      </c>
      <c r="D3" s="26">
        <f>SUMIF('Gemini 3 Pro Generation'!$A$47:$A$53, $A3, 'Gemini 3 Pro Generation'!$C$47:$C$53)</f>
        <v>0</v>
      </c>
      <c r="E3" s="26">
        <f>COUNTIFS('Gemini 3 Pro Generation'!$A$2:$A$46, $A3, 'Gemini 3 Pro Generation'!$C$2:$C$46,0)</f>
        <v>0</v>
      </c>
      <c r="F3" s="26">
        <f>IFERROR(C3 / (C3 + D3), "Not Available")</f>
        <v>1</v>
      </c>
      <c r="G3" s="26">
        <f t="shared" ref="G3:G10" si="0">IFERROR(C3 / B3, "Not Available")</f>
        <v>0.83333333333333337</v>
      </c>
      <c r="H3" s="26">
        <f t="shared" ref="H3:H10" si="1">IFERROR(2*((F3*G3)/(F3+G3)),"Not Available")</f>
        <v>0.90909090909090906</v>
      </c>
      <c r="J3" s="15"/>
      <c r="K3" s="15"/>
    </row>
    <row r="4" spans="1:11" ht="15.75" customHeight="1" x14ac:dyDescent="0.15">
      <c r="A4" s="27" t="s">
        <v>2</v>
      </c>
      <c r="B4" s="25">
        <f>COUNTIF('Chess Clock'!$A$2:$A$46, A4)</f>
        <v>13</v>
      </c>
      <c r="C4" s="26">
        <f>SUMIF('Gemini 3 Pro Generation'!$A$2:$A$46, $A4, 'Gemini 3 Pro Generation'!$C$2:$C$46)</f>
        <v>8.5</v>
      </c>
      <c r="D4" s="26">
        <f>SUMIF('Gemini 3 Pro Generation'!$A$47:$A$53, $A4, 'Gemini 3 Pro Generation'!$C$47:$C$53)</f>
        <v>0</v>
      </c>
      <c r="E4" s="26">
        <f>COUNTIFS('Gemini 3 Pro Generation'!$A$2:$A$46, $A4, 'Gemini 3 Pro Generation'!$C$2:$C$46,0)</f>
        <v>4</v>
      </c>
      <c r="F4" s="26">
        <f>IFERROR(C4 / (C4 + D4), "Not Available")</f>
        <v>1</v>
      </c>
      <c r="G4" s="26">
        <f t="shared" si="0"/>
        <v>0.65384615384615385</v>
      </c>
      <c r="H4" s="26">
        <f t="shared" si="1"/>
        <v>0.79069767441860472</v>
      </c>
      <c r="J4" s="21" t="s">
        <v>117</v>
      </c>
      <c r="K4" s="15"/>
    </row>
    <row r="5" spans="1:11" ht="15.75" customHeight="1" x14ac:dyDescent="0.15">
      <c r="A5" s="27" t="s">
        <v>4</v>
      </c>
      <c r="B5" s="25">
        <f>COUNTIF('Chess Clock'!$A$2:$A$46, A5)</f>
        <v>14</v>
      </c>
      <c r="C5" s="26">
        <f>SUMIF('Gemini 3 Pro Generation'!$A$2:$A$46, $A5, 'Gemini 3 Pro Generation'!$C$2:$C$46)</f>
        <v>12</v>
      </c>
      <c r="D5" s="26">
        <f>SUMIF('Gemini 3 Pro Generation'!$A$47:$A$53, $A5, 'Gemini 3 Pro Generation'!$C$47:$C$53)</f>
        <v>0</v>
      </c>
      <c r="E5" s="26">
        <f>COUNTIFS('Gemini 3 Pro Generation'!$A$2:$A$46, $A5, 'Gemini 3 Pro Generation'!$C$2:$C$46,0)</f>
        <v>1</v>
      </c>
      <c r="F5" s="26">
        <f>IFERROR(C5 / (C5 + D5), "Not Available")</f>
        <v>1</v>
      </c>
      <c r="G5" s="26">
        <f t="shared" si="0"/>
        <v>0.8571428571428571</v>
      </c>
      <c r="H5" s="26">
        <f t="shared" si="1"/>
        <v>0.92307692307692302</v>
      </c>
      <c r="J5" s="30" t="s">
        <v>120</v>
      </c>
      <c r="K5" s="15"/>
    </row>
    <row r="6" spans="1:11" ht="15.75" customHeight="1" x14ac:dyDescent="0.15">
      <c r="A6" s="27" t="s">
        <v>16</v>
      </c>
      <c r="B6" s="25">
        <f>COUNTIF('Chess Clock'!$A$2:$A$46, A6)</f>
        <v>8</v>
      </c>
      <c r="C6" s="26">
        <f>SUMIF('Gemini 3 Pro Generation'!$A$2:$A$46, $A6, 'Gemini 3 Pro Generation'!$C$2:$C$46)</f>
        <v>3</v>
      </c>
      <c r="D6" s="26">
        <f>SUMIF('Gemini 3 Pro Generation'!$A$47:$A$53, $A6, 'Gemini 3 Pro Generation'!$C$47:$C$53)</f>
        <v>1</v>
      </c>
      <c r="E6" s="26">
        <f>COUNTIFS('Gemini 3 Pro Generation'!$A$2:$A$46, $A6, 'Gemini 3 Pro Generation'!$C$2:$C$46,0)</f>
        <v>4</v>
      </c>
      <c r="F6" s="26">
        <f>IFERROR(C6 / (C6 + D6), "Not Available")</f>
        <v>0.75</v>
      </c>
      <c r="G6" s="26">
        <f t="shared" si="0"/>
        <v>0.375</v>
      </c>
      <c r="H6" s="26">
        <f t="shared" si="1"/>
        <v>0.5</v>
      </c>
      <c r="J6" s="15"/>
      <c r="K6" s="15"/>
    </row>
    <row r="7" spans="1:11" ht="15.75" customHeight="1" x14ac:dyDescent="0.15">
      <c r="A7" s="27" t="s">
        <v>12</v>
      </c>
      <c r="B7" s="25">
        <f>COUNTIF('Chess Clock'!$A$2:$A$46, A7)</f>
        <v>2</v>
      </c>
      <c r="C7" s="26">
        <f>SUMIF('Gemini 3 Pro Generation'!$A$2:$A$46, $A7, 'Gemini 3 Pro Generation'!$C$2:$C$46)</f>
        <v>0</v>
      </c>
      <c r="D7" s="26">
        <f>SUMIF('Gemini 3 Pro Generation'!$A$47:$A$53, $A7, 'Gemini 3 Pro Generation'!$C$47:$C$53)</f>
        <v>0</v>
      </c>
      <c r="E7" s="26">
        <f>COUNTIFS('Gemini 3 Pro Generation'!$A$2:$A$46, $A7, 'Gemini 3 Pro Generation'!$C$2:$C$46,0)</f>
        <v>2</v>
      </c>
      <c r="F7" s="26" t="str">
        <f>IFERROR(C7 / (C7 + D8), "Not Available")</f>
        <v>Not Available</v>
      </c>
      <c r="G7" s="26">
        <f t="shared" si="0"/>
        <v>0</v>
      </c>
      <c r="H7" s="26" t="str">
        <f t="shared" si="1"/>
        <v>Not Available</v>
      </c>
      <c r="J7" s="29" t="s">
        <v>118</v>
      </c>
    </row>
    <row r="8" spans="1:11" ht="15.75" customHeight="1" x14ac:dyDescent="0.15">
      <c r="A8" s="27" t="s">
        <v>31</v>
      </c>
      <c r="B8" s="25">
        <f>COUNTIF('Chess Clock'!$A$2:$A$46, A8)</f>
        <v>1</v>
      </c>
      <c r="C8" s="26">
        <f>SUMIF('Gemini 3 Pro Generation'!$A$2:$A$46, $A8, 'Gemini 3 Pro Generation'!$C$2:$C$46)</f>
        <v>1</v>
      </c>
      <c r="D8" s="26">
        <f>SUMIF('Gemini 3 Pro Generation'!$A$47:$A$53, $A8, 'Gemini 3 Pro Generation'!$C$47:$C$53)</f>
        <v>0</v>
      </c>
      <c r="E8" s="26">
        <f>COUNTIFS('Gemini 3 Pro Generation'!$A$2:$A$46, $A8, 'Gemini 3 Pro Generation'!$C$2:$C$46,0)</f>
        <v>0</v>
      </c>
      <c r="F8" s="26" t="str">
        <f>IFERROR(C8 / (C8 +#REF!), "Not Available")</f>
        <v>Not Available</v>
      </c>
      <c r="G8" s="26">
        <f t="shared" si="0"/>
        <v>1</v>
      </c>
      <c r="H8" s="26" t="str">
        <f t="shared" si="1"/>
        <v>Not Available</v>
      </c>
      <c r="J8" s="31" t="s">
        <v>121</v>
      </c>
    </row>
    <row r="9" spans="1:11" ht="15.75" customHeight="1" x14ac:dyDescent="0.15">
      <c r="A9" s="27" t="s">
        <v>36</v>
      </c>
      <c r="B9" s="25">
        <f>COUNTIF('Chess Clock'!$A$2:$A$46, A9)</f>
        <v>4</v>
      </c>
      <c r="C9" s="26">
        <f>SUMIF('Gemini 3 Pro Generation'!$A$2:$A$46, $A9, 'Gemini 3 Pro Generation'!$C$2:$C$46)</f>
        <v>4</v>
      </c>
      <c r="D9" s="26">
        <f>SUMIF('Gemini 3 Pro Generation'!$A$47:$A$53, $A9, 'Gemini 3 Pro Generation'!$C$47:$C$53)</f>
        <v>0</v>
      </c>
      <c r="E9" s="26">
        <f>COUNTIFS('Gemini 3 Pro Generation'!$A$2:$A$46, $A9, 'Gemini 3 Pro Generation'!$C$2:$C$46,0)</f>
        <v>0</v>
      </c>
      <c r="F9" s="26">
        <f>IFERROR(C9 / (C9 + D9), "Not Available")</f>
        <v>1</v>
      </c>
      <c r="G9" s="26">
        <f t="shared" si="0"/>
        <v>1</v>
      </c>
      <c r="H9" s="26">
        <f t="shared" si="1"/>
        <v>1</v>
      </c>
    </row>
    <row r="10" spans="1:11" ht="15.75" customHeight="1" x14ac:dyDescent="0.15">
      <c r="A10" s="27" t="s">
        <v>119</v>
      </c>
      <c r="B10" s="26">
        <f>SUM(B3:B9)</f>
        <v>45</v>
      </c>
      <c r="C10" s="26">
        <f>SUM(C3:C9)</f>
        <v>31</v>
      </c>
      <c r="D10" s="26">
        <f>SUM(D3:D9)</f>
        <v>1</v>
      </c>
      <c r="E10" s="26">
        <f>SUM(E3:E9)</f>
        <v>11</v>
      </c>
      <c r="F10" s="26">
        <f>IFERROR(C10 / (C10 + D10), "Not Available")</f>
        <v>0.96875</v>
      </c>
      <c r="G10" s="26">
        <f t="shared" si="0"/>
        <v>0.68888888888888888</v>
      </c>
      <c r="H10" s="26">
        <f t="shared" si="1"/>
        <v>0.80519480519480513</v>
      </c>
    </row>
    <row r="11" spans="1:11" ht="15.75" customHeight="1" x14ac:dyDescent="0.15"/>
    <row r="12" spans="1:11" ht="15.75" customHeight="1" x14ac:dyDescent="0.15"/>
    <row r="13" spans="1:11" ht="15.75" customHeight="1" x14ac:dyDescent="0.15"/>
    <row r="14" spans="1:11" ht="15.75" customHeight="1" x14ac:dyDescent="0.15"/>
    <row r="15" spans="1:11" ht="15.75" customHeight="1" x14ac:dyDescent="0.15"/>
    <row r="16" spans="1:11" ht="15.75" customHeight="1" x14ac:dyDescent="0.15"/>
    <row r="17" spans="8:8" ht="15.75" customHeight="1" x14ac:dyDescent="0.15"/>
    <row r="18" spans="8:8" ht="15.75" customHeight="1" x14ac:dyDescent="0.15"/>
    <row r="19" spans="8:8" ht="15.75" customHeight="1" x14ac:dyDescent="0.15"/>
    <row r="20" spans="8:8" ht="15.75" customHeight="1" x14ac:dyDescent="0.15"/>
    <row r="21" spans="8:8" ht="15.75" customHeight="1" x14ac:dyDescent="0.15"/>
    <row r="22" spans="8:8" ht="15.75" customHeight="1" x14ac:dyDescent="0.15">
      <c r="H22" s="28"/>
    </row>
    <row r="23" spans="8:8" ht="15.75" customHeight="1" x14ac:dyDescent="0.15"/>
    <row r="24" spans="8:8" ht="15.75" customHeight="1" x14ac:dyDescent="0.15"/>
    <row r="25" spans="8:8" ht="15.75" customHeight="1" x14ac:dyDescent="0.15"/>
    <row r="26" spans="8:8" ht="15.75" customHeight="1" x14ac:dyDescent="0.15"/>
    <row r="27" spans="8:8" ht="15.75" customHeight="1" x14ac:dyDescent="0.15"/>
    <row r="28" spans="8:8" ht="15.75" customHeight="1" x14ac:dyDescent="0.15"/>
    <row r="29" spans="8:8" ht="15.75" customHeight="1" x14ac:dyDescent="0.15"/>
    <row r="30" spans="8:8" ht="15.75" customHeight="1" x14ac:dyDescent="0.15"/>
    <row r="31" spans="8:8" ht="15.75" customHeight="1" x14ac:dyDescent="0.15"/>
    <row r="32" spans="8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Chess Clock</vt:lpstr>
      <vt:lpstr>Gemini 3 Pro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2026-05-14T22:07:47Z</dcterms:modified>
</cp:coreProperties>
</file>