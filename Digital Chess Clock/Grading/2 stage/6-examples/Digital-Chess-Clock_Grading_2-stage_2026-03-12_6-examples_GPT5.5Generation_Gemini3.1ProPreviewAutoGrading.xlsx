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900" yWindow="-20420" windowWidth="30240" windowHeight="17300" tabRatio="600" firstSheet="0" activeTab="0" autoFilterDateGrouping="1"/>
  </bookViews>
  <sheets>
    <sheet xmlns:r="http://schemas.openxmlformats.org/officeDocument/2006/relationships" name="Chess Clock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0" pivotButton="0" quotePrefix="0" xfId="0"/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5" fillId="0" borderId="0" pivotButton="0" quotePrefix="0" xfId="0"/>
    <xf numFmtId="0" fontId="2" fillId="3" borderId="3" pivotButton="0" quotePrefix="0" xfId="0"/>
    <xf numFmtId="0" fontId="2" fillId="3" borderId="4" applyAlignment="1" pivotButton="0" quotePrefix="0" xfId="0">
      <alignment horizontal="center"/>
    </xf>
    <xf numFmtId="0" fontId="2" fillId="4" borderId="5" pivotButton="0" quotePrefix="0" xfId="0"/>
    <xf numFmtId="0" fontId="2" fillId="3" borderId="6" pivotButton="0" quotePrefix="0" xfId="0"/>
    <xf numFmtId="0" fontId="2" fillId="4" borderId="7" pivotButton="0" quotePrefix="0" xfId="0"/>
    <xf numFmtId="0" fontId="5" fillId="0" borderId="0" applyAlignment="1" pivotButton="0" quotePrefix="0" xfId="0">
      <alignment horizontal="right"/>
    </xf>
    <xf numFmtId="0" fontId="2" fillId="4" borderId="4" applyAlignment="1" pivotButton="0" quotePrefix="0" xfId="0">
      <alignment horizontal="center"/>
    </xf>
    <xf numFmtId="0" fontId="5" fillId="6" borderId="0" pivotButton="0" quotePrefix="0" xfId="0"/>
    <xf numFmtId="0" fontId="3" fillId="5" borderId="9" applyAlignment="1" pivotButton="0" quotePrefix="0" xfId="0">
      <alignment horizontal="center"/>
    </xf>
    <xf numFmtId="0" fontId="5" fillId="3" borderId="0" pivotButton="0" quotePrefix="0" xfId="0"/>
    <xf numFmtId="0" fontId="6" fillId="7" borderId="9" applyAlignment="1" pivotButton="0" quotePrefix="0" xfId="0">
      <alignment vertical="center" wrapText="1"/>
    </xf>
    <xf numFmtId="0" fontId="2" fillId="0" borderId="9" pivotButton="0" quotePrefix="0" xfId="0"/>
    <xf numFmtId="0" fontId="4" fillId="0" borderId="9" pivotButton="0" quotePrefix="0" xfId="0"/>
    <xf numFmtId="0" fontId="3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1" applyAlignment="1" pivotButton="0" quotePrefix="0" xfId="0">
      <alignment horizontal="center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4" applyAlignment="1" pivotButton="0" quotePrefix="0" xfId="0">
      <alignment horizontal="center" vertical="center"/>
    </xf>
    <xf numFmtId="0" fontId="4" fillId="8" borderId="25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8" borderId="24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7" fillId="2" borderId="8" pivotButton="0" quotePrefix="0" xfId="0"/>
    <xf numFmtId="0" fontId="2" fillId="3" borderId="0" pivotButton="0" quotePrefix="0" xfId="0"/>
    <xf numFmtId="0" fontId="7" fillId="0" borderId="0" pivotButton="0" quotePrefix="0" xfId="0"/>
    <xf numFmtId="0" fontId="3" fillId="5" borderId="8" applyAlignment="1" pivotButton="0" quotePrefix="0" xfId="0">
      <alignment horizontal="center"/>
    </xf>
    <xf numFmtId="0" fontId="0" fillId="0" borderId="0" pivotButton="0" quotePrefix="0" xfId="0"/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3" fillId="0" borderId="8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3" headerRowCount="1">
  <tableColumns count="2">
    <tableColumn id="1" name="Type"/>
    <tableColumn id="2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.6640625" customWidth="1" style="68" min="1" max="1"/>
    <col width="51.1640625" customWidth="1" style="68" min="2" max="2"/>
    <col width="10.6640625" customWidth="1" style="68" min="3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4" t="inlineStr">
        <is>
          <t>GameFinished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5" customHeight="1" s="68">
      <c r="A49" s="5" t="inlineStr">
        <is>
          <t>Guard</t>
        </is>
      </c>
      <c r="B49" s="6" t="inlineStr">
        <is>
          <t>additional elements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</row>
    <row r="50" ht="15" customHeight="1" s="68">
      <c r="A50" s="3" t="inlineStr">
        <is>
          <t>Action</t>
        </is>
      </c>
      <c r="B50" s="4" t="inlineStr">
        <is>
          <t>additional elements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</row>
    <row r="51" ht="12.75" customHeight="1" s="68">
      <c r="A51" s="5" t="inlineStr">
        <is>
          <t>Composite State</t>
        </is>
      </c>
      <c r="B51" s="4" t="inlineStr">
        <is>
          <t>additional elements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>
      <c r="A995" s="10" t="n"/>
      <c r="B995" s="11" t="n"/>
    </row>
    <row r="996" ht="12.75" customHeight="1" s="68">
      <c r="A996" s="10" t="n"/>
      <c r="B996" s="11" t="n"/>
    </row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  <row r="1005" ht="12.75" customHeight="1" s="68"/>
    <row r="1006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33" sqref="C33"/>
    </sheetView>
  </sheetViews>
  <sheetFormatPr baseColWidth="10" defaultColWidth="12.6640625" defaultRowHeight="15" customHeight="1"/>
  <cols>
    <col width="28" customWidth="1" style="68" min="1" max="1"/>
    <col width="42.83203125" customWidth="1" style="68" min="2" max="2"/>
    <col width="15.33203125" bestFit="1" customWidth="1" style="68" min="3" max="3"/>
    <col width="93.83203125" bestFit="1" customWidth="1" style="68" min="4" max="4"/>
    <col width="10.6640625" customWidth="1" style="68" min="5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  <c r="C1" s="12" t="inlineStr">
        <is>
          <t>GPT-5 Generation</t>
        </is>
      </c>
      <c r="D1" s="12" t="inlineStr">
        <is>
          <t>Notes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  <c r="C2" s="13" t="n">
        <v>1</v>
      </c>
      <c r="D2" s="13" t="inlineStr">
        <is>
          <t>Represented by [*] --&gt; Off at the top level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  <c r="C3" s="14" t="n">
        <v>1</v>
      </c>
      <c r="D3" s="14" t="inlineStr">
        <is>
          <t>Transition [*] --&gt; Off is present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  <c r="C4" s="13" t="n">
        <v>1</v>
      </c>
      <c r="D4" s="13" t="inlineStr">
        <is>
          <t>Off state is explicitly defined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  <c r="C5" s="14" t="n">
        <v>1</v>
      </c>
      <c r="D5" s="14" t="inlineStr">
        <is>
          <t>Off --&gt; On : onOff / powerOn() transition is present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  <c r="C6" s="13" t="n">
        <v>1</v>
      </c>
      <c r="D6" s="13" t="inlineStr">
        <is>
          <t>On composite state is defined with nested states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  <c r="C7" s="14" t="n">
        <v>1</v>
      </c>
      <c r="D7" s="14" t="inlineStr">
        <is>
          <t>[*] --&gt; Setup within On state serves as initial state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  <c r="C8" s="13" t="n">
        <v>1</v>
      </c>
      <c r="D8" s="13" t="inlineStr">
        <is>
          <t>Represented by Setup composite state which handles timing selection and orientation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  <c r="C9" s="14" t="n">
        <v>1</v>
      </c>
      <c r="D9" s="14" t="inlineStr">
        <is>
          <t>ChoosingTiming handles timing selection functionality as a region-equivalent structure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  <c r="C10" s="13" t="n">
        <v>1</v>
      </c>
      <c r="D10" s="13" t="inlineStr">
        <is>
          <t>[*] --&gt; ChoosingTiming serves as initial state for timing selection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  <c r="C11" s="14" t="n">
        <v>1</v>
      </c>
      <c r="D11" s="14" t="inlineStr">
        <is>
          <t>ChoosingTiming with BrowseWhiteLeft and BrowseWhiteRight represents timing selection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  <c r="C12" s="13" t="n">
        <v>1</v>
      </c>
      <c r="D12" s="13" t="inlineStr">
        <is>
          <t>showNextPredefinedTiming() action on plus button captures increment behavior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  <c r="C13" s="14" t="n">
        <v>1</v>
      </c>
      <c r="D13" s="14" t="inlineStr">
        <is>
          <t>showPreviousPredefinedTiming() action on minus button captures decrement behavior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  <c r="C14" s="13" t="n">
        <v>1</v>
      </c>
      <c r="D14" s="13" t="inlineStr">
        <is>
          <t>Self-transitions on BrowseWhiteLeft and BrowseWhiteRight with plus/minus events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  <c r="C15" s="14" t="n">
        <v>1</v>
      </c>
      <c r="D15" s="14" t="inlineStr">
        <is>
          <t>BrowseWhiteLeft/Right --&gt; ReadyWhiteLeft/Right : select transitions present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  <c r="C16" s="13" t="n">
        <v>1</v>
      </c>
      <c r="D16" s="13" t="inlineStr">
        <is>
          <t>TimingSelected with ReadyWhiteLeft and ReadyWhiteRight handles orientation as region-equivalent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14" t="n">
        <v>1</v>
      </c>
      <c r="D17" s="14" t="inlineStr">
        <is>
          <t>[*] --&gt; ReadyWhiteLeft in TimingSelected serves as initial state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  <c r="C18" s="13" t="n">
        <v>1</v>
      </c>
      <c r="D18" s="13" t="inlineStr">
        <is>
          <t>BrowseWhiteLeft and ReadyWhiteLeft represent white king on left orientation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  <c r="C19" s="14" t="n">
        <v>1</v>
      </c>
      <c r="D19" s="14" t="inlineStr">
        <is>
          <t>BrowseWhiteRight and ReadyWhiteRight represent white king on right orientation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  <c r="C20" s="13" t="n">
        <v>1</v>
      </c>
      <c r="D20" s="13" t="inlineStr">
        <is>
          <t>[*] --&gt; BrowseWhiteLeft serves as initial transition to white king on left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  <c r="C21" s="14" t="n">
        <v>1</v>
      </c>
      <c r="D21" s="14" t="inlineStr">
        <is>
          <t>flip transitions between BrowseWhiteLeft and BrowseWhiteRight and between ReadyWhiteLeft and ReadyWhiteRight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  <c r="C22" s="13" t="n">
        <v>1</v>
      </c>
      <c r="D22" s="13" t="inlineStr">
        <is>
          <t>flip transitions in reverse direction are present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14" t="n">
        <v>1</v>
      </c>
      <c r="D23" s="14" t="inlineStr">
        <is>
          <t>TimingSelected state with ReadyWhiteLeft and ReadyWhiteRight represents ready to start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  <c r="C24" s="13" t="n">
        <v>1</v>
      </c>
      <c r="D24" s="13" t="inlineStr">
        <is>
          <t>ReadyWhiteLeft/Right --&gt; Game : startStop transitions present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  <c r="C25" s="14" t="n">
        <v>1</v>
      </c>
      <c r="D25" s="14" t="inlineStr">
        <is>
          <t>GameRunning composite state is defined with clock states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  <c r="C26" s="13" t="n">
        <v>1</v>
      </c>
      <c r="D26" s="13" t="inlineStr">
        <is>
          <t>H history state is defined within GameRunning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  <c r="C27" s="14" t="n">
        <v>1</v>
      </c>
      <c r="D27" s="14" t="inlineStr">
        <is>
          <t>WhiteRunning state is present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  <c r="C28" s="13" t="n">
        <v>1</v>
      </c>
      <c r="D28" s="13" t="inlineStr">
        <is>
          <t>startWhiteCountdown() entry action captures starting white timer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  <c r="C29" s="14" t="n">
        <v>1</v>
      </c>
      <c r="D29" s="14" t="inlineStr">
        <is>
          <t>stopWhiteCountdown() exit action captures stopping white timer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13" t="n">
        <v>1</v>
      </c>
      <c r="D30" s="13" t="inlineStr">
        <is>
          <t>[whiteTime &gt; 1] guard on self-transition captures clock running condition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14" t="n">
        <v>1</v>
      </c>
      <c r="D31" s="14" t="inlineStr">
        <is>
          <t>decrementWhiteClock() action captures decrementing white clock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  <c r="C32" s="13" t="n">
        <v>1</v>
      </c>
      <c r="D32" s="13" t="inlineStr">
        <is>
          <t>WhiteRunning --&gt; WhiteRunning self-transition with after1sec event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  <c r="C33" s="14" t="n">
        <v>1</v>
      </c>
      <c r="D33" s="14" t="inlineStr">
        <is>
          <t>BlackRunning state is present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  <c r="C34" s="13" t="n">
        <v>1</v>
      </c>
      <c r="D34" s="13" t="inlineStr">
        <is>
          <t>startBlackCountdown() entry action captures starting black timer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  <c r="C35" s="14" t="n">
        <v>1</v>
      </c>
      <c r="D35" s="14" t="inlineStr">
        <is>
          <t>stopBlackCountdown() exit action captures stopping black timer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  <c r="C36" s="13" t="n">
        <v>1</v>
      </c>
      <c r="D36" s="13" t="inlineStr">
        <is>
          <t>[blackTime &gt; 1] guard on self-transition captures clock running condition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  <c r="C37" s="14" t="n">
        <v>1</v>
      </c>
      <c r="D37" s="14" t="inlineStr">
        <is>
          <t>decrementBlackClock() action captures decrementing black clock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  <c r="C38" s="13" t="n">
        <v>1</v>
      </c>
      <c r="D38" s="13" t="inlineStr">
        <is>
          <t>BlackRunning --&gt; BlackRunning self-transition with after1sec event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14" t="n">
        <v>1</v>
      </c>
      <c r="D39" s="14" t="inlineStr">
        <is>
          <t>GameRunning --&gt; Paused : startStop transition is present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13" t="n">
        <v>1</v>
      </c>
      <c r="D40" s="13" t="inlineStr">
        <is>
          <t>WhiteRunning --&gt; WhiteFlag and BlackRunning --&gt; BlackFlag transitions represent game finishing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14" t="n">
        <v>1</v>
      </c>
      <c r="D41" s="14" t="inlineStr">
        <is>
          <t>[whiteTime &lt;= 1] guard on transition to WhiteFlag captures zero condition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13" t="n">
        <v>1</v>
      </c>
      <c r="D42" s="13" t="inlineStr">
        <is>
          <t>[blackTime &lt;= 1] guard on transition to BlackFlag captures zero condition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15" t="n">
        <v>1</v>
      </c>
      <c r="D43" s="14" t="inlineStr">
        <is>
          <t>Paused state is present within Game composite state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14" t="n">
        <v>1</v>
      </c>
      <c r="D44" s="16" t="inlineStr">
        <is>
          <t>Paused --&gt; H : startStop transition resumes game</t>
        </is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17" t="inlineStr">
        <is>
          <t>GameFinished</t>
        </is>
      </c>
      <c r="C45" s="14" t="n">
        <v>1</v>
      </c>
      <c r="D45" s="14" t="inlineStr">
        <is>
          <t>WhiteFlag and BlackFlag states represent game finished conditions</t>
        </is>
      </c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18" t="n">
        <v>1</v>
      </c>
      <c r="D46" s="19" t="inlineStr">
        <is>
          <t>On --&gt; Off : onOff / powerOff() transition is present</t>
        </is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20" t="n">
        <v>0</v>
      </c>
      <c r="D47" s="20" t="inlineStr">
        <is>
          <t>No fundamentally incorrect states present</t>
        </is>
      </c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13" t="n">
        <v>0</v>
      </c>
      <c r="D48" s="13" t="inlineStr">
        <is>
          <t>All transitions are reasonable and support the system behavior</t>
        </is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2.75" customHeight="1" s="68">
      <c r="A49" s="5" t="inlineStr">
        <is>
          <t>Guard</t>
        </is>
      </c>
      <c r="B49" s="6" t="inlineStr">
        <is>
          <t>additional elements</t>
        </is>
      </c>
      <c r="C49" s="14" t="n">
        <v>0</v>
      </c>
      <c r="D49" s="14" t="inlineStr">
        <is>
          <t>All guards are appropriate for the modeled behavior</t>
        </is>
      </c>
    </row>
    <row r="50" ht="12.75" customHeight="1" s="68">
      <c r="A50" s="3" t="inlineStr">
        <is>
          <t>Action</t>
        </is>
      </c>
      <c r="B50" s="4" t="inlineStr">
        <is>
          <t>additional elements</t>
        </is>
      </c>
      <c r="C50" s="13" t="n">
        <v>0</v>
      </c>
      <c r="D50" s="13" t="inlineStr">
        <is>
          <t>All actions are reasonable and support the system requirements</t>
        </is>
      </c>
    </row>
    <row r="51" ht="12.75" customHeight="1" s="68">
      <c r="A51" s="5" t="inlineStr">
        <is>
          <t>Composite State</t>
        </is>
      </c>
      <c r="B51" s="6" t="inlineStr">
        <is>
          <t>additional elements</t>
        </is>
      </c>
      <c r="C51" s="14" t="n">
        <v>0</v>
      </c>
      <c r="D51" s="14" t="inlineStr">
        <is>
          <t>Game composite state is a reasonable organizational choice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  <c r="C52" s="14" t="n">
        <v>0</v>
      </c>
      <c r="D52" s="14" t="inlineStr">
        <is>
          <t>No incorrect regions present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  <c r="C53" s="14" t="n">
        <v>0</v>
      </c>
      <c r="D53" s="14" t="inlineStr">
        <is>
          <t>History state usage is appropriate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/>
    <row r="996" ht="12.75" customHeight="1" s="68"/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22"/>
  <sheetViews>
    <sheetView tabSelected="1" workbookViewId="0">
      <selection activeCell="K16" sqref="K16"/>
    </sheetView>
  </sheetViews>
  <sheetFormatPr baseColWidth="10" defaultColWidth="12.6640625" defaultRowHeight="15" customHeight="1"/>
  <cols>
    <col width="20" customWidth="1" style="68" min="1" max="1"/>
    <col width="17.6640625" customWidth="1" style="68" min="2" max="6"/>
  </cols>
  <sheetData>
    <row r="1" ht="15.75" customHeight="1" s="68">
      <c r="A1" s="67" t="inlineStr">
        <is>
          <t>Generated by GPT-5</t>
        </is>
      </c>
      <c r="J1" s="23" t="inlineStr">
        <is>
          <t>Date</t>
        </is>
      </c>
      <c r="K1" s="15" t="n"/>
    </row>
    <row r="2" ht="15.75" customHeight="1" s="68">
      <c r="A2" s="24" t="inlineStr">
        <is>
          <t>Type</t>
        </is>
      </c>
      <c r="B2" s="24" t="inlineStr">
        <is>
          <t>Ground Truth Count</t>
        </is>
      </c>
      <c r="C2" s="24" t="inlineStr">
        <is>
          <t>True Positive</t>
        </is>
      </c>
      <c r="D2" s="24" t="inlineStr">
        <is>
          <t>False Positive</t>
        </is>
      </c>
      <c r="E2" s="24" t="inlineStr">
        <is>
          <t>False Negative</t>
        </is>
      </c>
      <c r="F2" s="24" t="inlineStr">
        <is>
          <t>Precision</t>
        </is>
      </c>
      <c r="G2" s="24" t="inlineStr">
        <is>
          <t>Recall</t>
        </is>
      </c>
      <c r="H2" s="24" t="inlineStr">
        <is>
          <t>F1 Score</t>
        </is>
      </c>
      <c r="J2" s="25" t="inlineStr">
        <is>
          <t>March 16th, 2026</t>
        </is>
      </c>
      <c r="K2" s="15" t="n"/>
    </row>
    <row r="3" ht="15.75" customHeight="1" s="68">
      <c r="A3" s="26" t="inlineStr">
        <is>
          <t>Composite State</t>
        </is>
      </c>
      <c r="B3" s="27">
        <f>COUNTIF('Chess Clock'!$A$2:$A$46, A3)</f>
        <v/>
      </c>
      <c r="C3" s="28">
        <f>SUMIF('GPT-5 Generation'!$A$2:$A$46, $A3, 'GPT-5 Generation'!$C$2:$C$46)</f>
        <v/>
      </c>
      <c r="D3" s="28">
        <f>SUMIF('GPT-5 Generation'!$A$47:$A$53, $A3, 'GPT-5 Generation'!$C$47:$C$53)</f>
        <v/>
      </c>
      <c r="E3" s="28">
        <f>COUNTIFS('GPT-5 Generation'!$A$2:$A$46, $A3, 'GPT-5 Generation'!$C$2:$C$46,0)</f>
        <v/>
      </c>
      <c r="F3" s="28">
        <f>IFERROR(C3 / (C3 + D3), "Not Available")</f>
        <v/>
      </c>
      <c r="G3" s="28">
        <f>IFERROR(C3 / B3, "Not Available")</f>
        <v/>
      </c>
      <c r="H3" s="28">
        <f>IFERROR(2*((F3*G3)/(F3+G3)),"Not Available")</f>
        <v/>
      </c>
      <c r="J3" s="15" t="n"/>
      <c r="K3" s="15" t="n"/>
    </row>
    <row r="4" ht="15.75" customHeight="1" s="68">
      <c r="A4" s="29" t="inlineStr">
        <is>
          <t>State</t>
        </is>
      </c>
      <c r="B4" s="27">
        <f>COUNTIF('Chess Clock'!$A$2:$A$46, A4)</f>
        <v/>
      </c>
      <c r="C4" s="28">
        <f>SUMIF('GPT-5 Generation'!$A$2:$A$46, $A4, 'GPT-5 Generation'!$C$2:$C$46)</f>
        <v/>
      </c>
      <c r="D4" s="28">
        <f>SUMIF('GPT-5 Generation'!$A$47:$A$53, $A4, 'GPT-5 Generation'!$C$47:$C$53)</f>
        <v/>
      </c>
      <c r="E4" s="28">
        <f>COUNTIFS('GPT-5 Generation'!$A$2:$A$46, $A4, 'GPT-5 Generation'!$C$2:$C$46,0)</f>
        <v/>
      </c>
      <c r="F4" s="28">
        <f>IFERROR(C4 / (C4 + D4), "Not Available")</f>
        <v/>
      </c>
      <c r="G4" s="28">
        <f>IFERROR(C4 / B4, "Not Available")</f>
        <v/>
      </c>
      <c r="H4" s="28">
        <f>IFERROR(2*((F4*G4)/(F4+G4)),"Not Available")</f>
        <v/>
      </c>
      <c r="J4" s="23" t="inlineStr">
        <is>
          <t>Grading LLM</t>
        </is>
      </c>
      <c r="K4" s="15" t="n"/>
    </row>
    <row r="5" ht="15.75" customHeight="1" s="68">
      <c r="A5" s="29" t="inlineStr">
        <is>
          <t>Transition</t>
        </is>
      </c>
      <c r="B5" s="27">
        <f>COUNTIF('Chess Clock'!$A$2:$A$46, A5)</f>
        <v/>
      </c>
      <c r="C5" s="28">
        <f>SUMIF('GPT-5 Generation'!$A$2:$A$46, $A5, 'GPT-5 Generation'!$C$2:$C$46)</f>
        <v/>
      </c>
      <c r="D5" s="28">
        <f>SUMIF('GPT-5 Generation'!$A$47:$A$53, $A5, 'GPT-5 Generation'!$C$47:$C$53)</f>
        <v/>
      </c>
      <c r="E5" s="28">
        <f>COUNTIFS('GPT-5 Generation'!$A$2:$A$46, $A5, 'GPT-5 Generation'!$C$2:$C$46,0)</f>
        <v/>
      </c>
      <c r="F5" s="28">
        <f>IFERROR(C5 / (C5 + D5), "Not Available")</f>
        <v/>
      </c>
      <c r="G5" s="28">
        <f>IFERROR(C5 / B5, "Not Available")</f>
        <v/>
      </c>
      <c r="H5" s="28">
        <f>IFERROR(2*((F5*G5)/(F5+G5)),"Not Available")</f>
        <v/>
      </c>
      <c r="J5" s="25" t="inlineStr">
        <is>
          <t>Gemini</t>
        </is>
      </c>
      <c r="K5" s="15" t="n"/>
    </row>
    <row r="6" ht="15.75" customHeight="1" s="68">
      <c r="A6" s="29" t="inlineStr">
        <is>
          <t>Action</t>
        </is>
      </c>
      <c r="B6" s="27">
        <f>COUNTIF('Chess Clock'!$A$2:$A$46, A6)</f>
        <v/>
      </c>
      <c r="C6" s="28">
        <f>SUMIF('GPT-5 Generation'!$A$2:$A$46, $A6, 'GPT-5 Generation'!$C$2:$C$46)</f>
        <v/>
      </c>
      <c r="D6" s="28">
        <f>SUMIF('GPT-5 Generation'!$A$47:$A$53, $A6, 'GPT-5 Generation'!$C$47:$C$53)</f>
        <v/>
      </c>
      <c r="E6" s="28">
        <f>COUNTIFS('GPT-5 Generation'!$A$2:$A$46, $A6, 'GPT-5 Generation'!$C$2:$C$46,0)</f>
        <v/>
      </c>
      <c r="F6" s="28">
        <f>IFERROR(C6 / (C6 + D6), "Not Available")</f>
        <v/>
      </c>
      <c r="G6" s="28">
        <f>IFERROR(C6 / B6, "Not Available")</f>
        <v/>
      </c>
      <c r="H6" s="28">
        <f>IFERROR(2*((F6*G6)/(F6+G6)),"Not Available")</f>
        <v/>
      </c>
      <c r="J6" s="15" t="n"/>
      <c r="K6" s="15" t="n"/>
    </row>
    <row r="7" ht="15.75" customHeight="1" s="68">
      <c r="A7" s="29" t="inlineStr">
        <is>
          <t>Region</t>
        </is>
      </c>
      <c r="B7" s="27">
        <f>COUNTIF('Chess Clock'!$A$2:$A$44, A7)</f>
        <v/>
      </c>
      <c r="C7" s="28">
        <f>SUMIF('GPT-5 Generation'!$A$2:$A$46, $A7, 'GPT-5 Generation'!$C$2:$C$46)</f>
        <v/>
      </c>
      <c r="D7" s="28">
        <f>SUMIF('GPT-5 Generation'!$A$47:$A$53, $A7, 'GPT-5 Generation'!$C$47:$C$53)</f>
        <v/>
      </c>
      <c r="E7" s="28">
        <f>COUNTIFS('GPT-5 Generation'!$A$2:$A$46, $A7, 'GPT-5 Generation'!$C$2:$C$46,0)</f>
        <v/>
      </c>
      <c r="F7" s="28">
        <f>IFERROR(C7 / (C7 + D8), "Not Available")</f>
        <v/>
      </c>
      <c r="G7" s="28">
        <f>IFERROR(C7 / B7, "Not Available")</f>
        <v/>
      </c>
      <c r="H7" s="28">
        <f>IFERROR(2*((F7*G7)/(F7+G7)),"Not Available")</f>
        <v/>
      </c>
      <c r="J7" s="66" t="inlineStr">
        <is>
          <t>Generation LLMs</t>
        </is>
      </c>
    </row>
    <row r="8" ht="15.75" customHeight="1" s="68">
      <c r="A8" s="29" t="inlineStr">
        <is>
          <t>History State</t>
        </is>
      </c>
      <c r="B8" s="27">
        <f>COUNTIF('Chess Clock'!$A$2:$A$46, A8)</f>
        <v/>
      </c>
      <c r="C8" s="28">
        <f>SUMIF('GPT-5 Generation'!$A$2:$A$46, $A8, 'GPT-5 Generation'!$C$2:$C$46)</f>
        <v/>
      </c>
      <c r="D8" s="28">
        <f>SUMIF('GPT-5 Generation'!$A$47:$A$53, $A8, 'GPT-5 Generation'!$C$47:$C$53)</f>
        <v/>
      </c>
      <c r="E8" s="28">
        <f>COUNTIFS('GPT-5 Generation'!$A$2:$A$46, $A8, 'GPT-5 Generation'!$C$2:$C$46,0)</f>
        <v/>
      </c>
      <c r="F8" s="28">
        <f>IFERROR(C8 / (C8 +#REF!), "Not Available")</f>
        <v/>
      </c>
      <c r="G8" s="28">
        <f>IFERROR(C8 / B8, "Not Available")</f>
        <v/>
      </c>
      <c r="H8" s="28">
        <f>IFERROR(2*((F8*G8)/(F8+G8)),"Not Available")</f>
        <v/>
      </c>
      <c r="J8" s="65" t="inlineStr">
        <is>
          <t>GPT-5</t>
        </is>
      </c>
    </row>
    <row r="9" ht="15.75" customHeight="1" s="68">
      <c r="A9" s="29" t="inlineStr">
        <is>
          <t>Guard</t>
        </is>
      </c>
      <c r="B9" s="27">
        <f>COUNTIF('Chess Clock'!$A$2:$A$44, A9)</f>
        <v/>
      </c>
      <c r="C9" s="28">
        <f>SUMIF('GPT-5 Generation'!$A$2:$A$46, $A9, 'GPT-5 Generation'!$C$2:$C$46)</f>
        <v/>
      </c>
      <c r="D9" s="28">
        <f>SUMIF('GPT-5 Generation'!$A$47:$A$53, $A9, 'GPT-5 Generation'!$C$47:$C$53)</f>
        <v/>
      </c>
      <c r="E9" s="28">
        <f>COUNTIFS('GPT-5 Generation'!$A$2:$A$46, $A9, 'GPT-5 Generation'!$C$2:$C$46,0)</f>
        <v/>
      </c>
      <c r="F9" s="28">
        <f>IFERROR(C9 / (C9 + D9), "Not Available")</f>
        <v/>
      </c>
      <c r="G9" s="28">
        <f>IFERROR(C9 / B9, "Not Available")</f>
        <v/>
      </c>
      <c r="H9" s="28">
        <f>IFERROR(2*((F9*G9)/(F9+G9)),"Not Available")</f>
        <v/>
      </c>
      <c r="J9" s="66" t="n"/>
    </row>
    <row r="10" ht="15.75" customHeight="1" s="68">
      <c r="A10" s="29" t="inlineStr">
        <is>
          <t>Overall Score</t>
        </is>
      </c>
      <c r="B10" s="28">
        <f>SUM(B3:B9)</f>
        <v/>
      </c>
      <c r="C10" s="28">
        <f>SUM(C3:C9)</f>
        <v/>
      </c>
      <c r="D10" s="28">
        <f>SUM(D3:D9)</f>
        <v/>
      </c>
      <c r="E10" s="28">
        <f>SUM(E3:E9)</f>
        <v/>
      </c>
      <c r="F10" s="28">
        <f>IFERROR(C10 / (C10 + D10), "Not Available")</f>
        <v/>
      </c>
      <c r="G10" s="28">
        <f>IFERROR(C10 / B10, "Not Available")</f>
        <v/>
      </c>
      <c r="H10" s="28">
        <f>IFERROR(2*((F10*G10)/(F10+G10)),"Not Available")</f>
        <v/>
      </c>
    </row>
    <row r="11" ht="15.75" customHeight="1" s="68"/>
    <row r="12" ht="15.75" customHeight="1" s="68">
      <c r="A12" s="67" t="n"/>
    </row>
    <row r="13" ht="15.75" customHeight="1" s="68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 ht="15.75" customHeight="1" s="68">
      <c r="A14" s="26" t="n"/>
      <c r="B14" s="27" t="n"/>
      <c r="C14" s="28" t="n"/>
      <c r="D14" s="28" t="n"/>
      <c r="E14" s="28" t="n"/>
      <c r="F14" s="28" t="n"/>
      <c r="G14" s="28" t="n"/>
      <c r="H14" s="28" t="n"/>
    </row>
    <row r="15" ht="15.75" customHeight="1" s="68">
      <c r="A15" s="29" t="n"/>
      <c r="B15" s="27" t="n"/>
      <c r="C15" s="28" t="n"/>
      <c r="D15" s="28" t="n"/>
      <c r="E15" s="28" t="n"/>
      <c r="F15" s="28" t="n"/>
      <c r="G15" s="28" t="n"/>
      <c r="H15" s="28" t="n"/>
    </row>
    <row r="16" ht="15.75" customHeight="1" s="68">
      <c r="A16" s="29" t="n"/>
      <c r="B16" s="27" t="n"/>
      <c r="C16" s="28" t="n"/>
      <c r="D16" s="28" t="n"/>
      <c r="E16" s="28" t="n"/>
      <c r="F16" s="28" t="n"/>
      <c r="G16" s="28" t="n"/>
      <c r="H16" s="28" t="n"/>
    </row>
    <row r="17" ht="15.75" customHeight="1" s="68">
      <c r="A17" s="29" t="n"/>
      <c r="B17" s="27" t="n"/>
      <c r="C17" s="28" t="n"/>
      <c r="D17" s="28" t="n"/>
      <c r="E17" s="28" t="n"/>
      <c r="F17" s="28" t="n"/>
      <c r="G17" s="28" t="n"/>
      <c r="H17" s="28" t="n"/>
    </row>
    <row r="18" ht="15.75" customHeight="1" s="68">
      <c r="A18" s="29" t="n"/>
      <c r="B18" s="27" t="n"/>
      <c r="C18" s="28" t="n"/>
      <c r="D18" s="28" t="n"/>
      <c r="E18" s="28" t="n"/>
      <c r="F18" s="28" t="n"/>
      <c r="G18" s="28" t="n"/>
      <c r="H18" s="28" t="n"/>
    </row>
    <row r="19" ht="15.75" customHeight="1" s="68">
      <c r="A19" s="29" t="n"/>
      <c r="B19" s="27" t="n"/>
      <c r="C19" s="28" t="n"/>
      <c r="D19" s="28" t="n"/>
      <c r="E19" s="28" t="n"/>
      <c r="F19" s="28" t="n"/>
      <c r="G19" s="28" t="n"/>
      <c r="H19" s="28" t="n"/>
    </row>
    <row r="20" ht="15.75" customHeight="1" s="68">
      <c r="A20" s="29" t="n"/>
      <c r="B20" s="27" t="n"/>
      <c r="C20" s="28" t="n"/>
      <c r="D20" s="28" t="n"/>
      <c r="E20" s="28" t="n"/>
      <c r="F20" s="28" t="n"/>
      <c r="G20" s="28" t="n"/>
      <c r="H20" s="28" t="n"/>
    </row>
    <row r="21" ht="15.75" customHeight="1" s="68">
      <c r="A21" s="29" t="n"/>
      <c r="B21" s="28" t="n"/>
      <c r="C21" s="28" t="n"/>
      <c r="D21" s="28" t="n"/>
      <c r="E21" s="28" t="n"/>
      <c r="F21" s="28" t="n"/>
      <c r="G21" s="28" t="n"/>
      <c r="H21" s="28" t="n"/>
    </row>
    <row r="22" ht="15.75" customHeight="1" s="68">
      <c r="H22" s="30" t="n"/>
    </row>
    <row r="23" ht="15.75" customHeight="1" s="68"/>
    <row r="24" ht="15.75" customHeight="1" s="68"/>
    <row r="25" ht="15.75" customHeight="1" s="68"/>
    <row r="26" ht="15.75" customHeight="1" s="68"/>
    <row r="27" ht="15.75" customHeight="1" s="68"/>
    <row r="28" ht="15.75" customHeight="1" s="68"/>
    <row r="29" ht="15.75" customHeight="1" s="68"/>
    <row r="30" ht="15.75" customHeight="1" s="68"/>
    <row r="31" ht="15.75" customHeight="1" s="68"/>
    <row r="32" ht="15.75" customHeight="1" s="68"/>
    <row r="33" ht="15.75" customHeight="1" s="68"/>
    <row r="34" ht="15.75" customHeight="1" s="68"/>
    <row r="35" ht="15.75" customHeight="1" s="68"/>
    <row r="36" ht="15.75" customHeight="1" s="68"/>
    <row r="37" ht="15.75" customHeight="1" s="68"/>
    <row r="38" ht="15.75" customHeight="1" s="68"/>
    <row r="39" ht="15.75" customHeight="1" s="68"/>
    <row r="40" ht="15.75" customHeight="1" s="68"/>
    <row r="41" ht="15.75" customHeight="1" s="68"/>
    <row r="42" ht="15.75" customHeight="1" s="68"/>
    <row r="43" ht="15.75" customHeight="1" s="68"/>
    <row r="44" ht="15.75" customHeight="1" s="68"/>
    <row r="45" ht="15.75" customHeight="1" s="68"/>
    <row r="46" ht="15.75" customHeight="1" s="68"/>
    <row r="47" ht="15.75" customHeight="1" s="68"/>
    <row r="48" ht="15.75" customHeight="1" s="68"/>
    <row r="49" ht="15.75" customHeight="1" s="68"/>
    <row r="50" ht="15.75" customHeight="1" s="68"/>
    <row r="51" ht="15.75" customHeight="1" s="68"/>
    <row r="52" ht="15.75" customHeight="1" s="68"/>
    <row r="53" ht="15.75" customHeight="1" s="68"/>
    <row r="54" ht="15.75" customHeight="1" s="68"/>
    <row r="55" ht="15.75" customHeight="1" s="68"/>
    <row r="56" ht="15.75" customHeight="1" s="68"/>
    <row r="57" ht="15.75" customHeight="1" s="68"/>
    <row r="58" ht="15.75" customHeight="1" s="68"/>
    <row r="59" ht="15.75" customHeight="1" s="68"/>
    <row r="60" ht="15.75" customHeight="1" s="68"/>
    <row r="61" ht="15.75" customHeight="1" s="68"/>
    <row r="62" ht="15.75" customHeight="1" s="68"/>
    <row r="63" ht="15.75" customHeight="1" s="68"/>
    <row r="64" ht="15.75" customHeight="1" s="68"/>
    <row r="65" ht="15.75" customHeight="1" s="68"/>
    <row r="66" ht="15.75" customHeight="1" s="68"/>
    <row r="67" ht="15.75" customHeight="1" s="68"/>
    <row r="68" ht="15.75" customHeight="1" s="68"/>
    <row r="69" ht="15.75" customHeight="1" s="68"/>
    <row r="70" ht="15.75" customHeight="1" s="68"/>
    <row r="71" ht="15.75" customHeight="1" s="68"/>
    <row r="72" ht="15.75" customHeight="1" s="68"/>
    <row r="73" ht="15.75" customHeight="1" s="68"/>
    <row r="74" ht="15.75" customHeight="1" s="68"/>
    <row r="75" ht="15.75" customHeight="1" s="68"/>
    <row r="76" ht="15.75" customHeight="1" s="68"/>
    <row r="77" ht="15.75" customHeight="1" s="68"/>
    <row r="78" ht="15.75" customHeight="1" s="68"/>
    <row r="79" ht="15.75" customHeight="1" s="68"/>
    <row r="80" ht="15.75" customHeight="1" s="68"/>
    <row r="81" ht="15.75" customHeight="1" s="68"/>
    <row r="82" ht="15.75" customHeight="1" s="68"/>
    <row r="83" ht="15.75" customHeight="1" s="68"/>
    <row r="84" ht="15.75" customHeight="1" s="68"/>
    <row r="85" ht="15.75" customHeight="1" s="68"/>
    <row r="86" ht="15.75" customHeight="1" s="68"/>
    <row r="87" ht="15.75" customHeight="1" s="68"/>
    <row r="88" ht="15.75" customHeight="1" s="68"/>
    <row r="89" ht="15.75" customHeight="1" s="68"/>
    <row r="90" ht="15.75" customHeight="1" s="68"/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2026-05-12T19:41:05Z</dcterms:modified>
  <cp:lastModifiedBy>Marc-Antoine Nadeau</cp:lastModifiedBy>
</cp:coreProperties>
</file>