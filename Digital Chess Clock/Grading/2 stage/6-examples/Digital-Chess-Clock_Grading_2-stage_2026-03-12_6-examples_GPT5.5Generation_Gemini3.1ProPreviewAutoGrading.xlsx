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8_{8538C1F6-7E89-E344-91F9-5548C17B2E12}" xr6:coauthVersionLast="47" xr6:coauthVersionMax="47" xr10:uidLastSave="{00000000-0000-0000-0000-000000000000}"/>
  <bookViews>
    <workbookView xWindow="18900" yWindow="-20420" windowWidth="30240" windowHeight="17300" activeTab="2" xr2:uid="{00000000-000D-0000-FFFF-FFFF00000000}"/>
  </bookViews>
  <sheets>
    <sheet name="Chess Clock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G9" i="3" s="1"/>
  <c r="B9" i="3"/>
  <c r="E8" i="3"/>
  <c r="D8" i="3"/>
  <c r="C8" i="3"/>
  <c r="B8" i="3"/>
  <c r="E7" i="3"/>
  <c r="D7" i="3"/>
  <c r="C7" i="3"/>
  <c r="B7" i="3"/>
  <c r="E6" i="3"/>
  <c r="D6" i="3"/>
  <c r="C6" i="3"/>
  <c r="F6" i="3" s="1"/>
  <c r="B6" i="3"/>
  <c r="E5" i="3"/>
  <c r="D5" i="3"/>
  <c r="C5" i="3"/>
  <c r="B5" i="3"/>
  <c r="E4" i="3"/>
  <c r="D4" i="3"/>
  <c r="C4" i="3"/>
  <c r="F4" i="3" s="1"/>
  <c r="B4" i="3"/>
  <c r="E3" i="3"/>
  <c r="D3" i="3"/>
  <c r="C3" i="3"/>
  <c r="B3" i="3"/>
  <c r="G8" i="3" l="1"/>
  <c r="G5" i="3"/>
  <c r="G3" i="3"/>
  <c r="E10" i="3"/>
  <c r="B10" i="3"/>
  <c r="F9" i="3"/>
  <c r="H9" i="3" s="1"/>
  <c r="G7" i="3"/>
  <c r="G6" i="3"/>
  <c r="H6" i="3" s="1"/>
  <c r="D10" i="3"/>
  <c r="F10" i="3" s="1"/>
  <c r="F5" i="3"/>
  <c r="H5" i="3" s="1"/>
  <c r="C10" i="3"/>
  <c r="F8" i="3"/>
  <c r="H8" i="3" s="1"/>
  <c r="G4" i="3"/>
  <c r="H4" i="3" s="1"/>
  <c r="F3" i="3"/>
  <c r="H3" i="3" s="1"/>
  <c r="G10" i="3"/>
  <c r="F7" i="3"/>
  <c r="H7" i="3" s="1"/>
  <c r="H10" i="3" l="1"/>
</calcChain>
</file>

<file path=xl/sharedStrings.xml><?xml version="1.0" encoding="utf-8"?>
<sst xmlns="http://schemas.openxmlformats.org/spreadsheetml/2006/main" count="289" uniqueCount="121">
  <si>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</si>
  <si>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</si>
  <si>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</si>
  <si>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</si>
  <si>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</si>
  <si>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</si>
  <si>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</si>
  <si>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</si>
  <si>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</si>
  <si>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</si>
  <si>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</si>
  <si>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</si>
  <si>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</si>
  <si>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</si>
  <si>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</si>
  <si>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</si>
  <si>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</si>
  <si>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</si>
  <si>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</si>
  <si>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</si>
  <si>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</si>
  <si>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</si>
  <si>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</si>
  <si>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</si>
  <si>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</si>
  <si>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</si>
  <si>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</si>
  <si>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</si>
  <si>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</si>
  <si>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</si>
  <si>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</si>
  <si>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</si>
  <si>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</si>
  <si>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</si>
  <si>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</si>
  <si>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</si>
  <si>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</si>
  <si>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</si>
  <si>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</si>
  <si>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</si>
  <si>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</si>
  <si>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</si>
  <si>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</si>
  <si>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</si>
  <si>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</si>
  <si>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</si>
  <si>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</si>
  <si>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</si>
  <si>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</si>
  <si>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</si>
  <si>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</si>
  <si>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</si>
  <si>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</si>
  <si>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</si>
  <si>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</si>
  <si>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GPT-5 Generation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</si>
  <si>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</si>
  <si>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</si>
  <si>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</si>
  <si>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</si>
  <si>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</si>
  <si>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</si>
  <si>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</si>
  <si>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</si>
  <si>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</si>
  <si>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</si>
  <si>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</si>
  <si>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</si>
  <si>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Generation LLMs</t>
  </si>
  <si>
    <t>Overall Score</t>
  </si>
  <si>
    <t>Initial state transitions to Off.</t>
  </si>
  <si>
    <t>Transition from initial state to Off is present.</t>
  </si>
  <si>
    <t>Off state is present.</t>
  </si>
  <si>
    <t>Transition from Off to On with onOff event is present.</t>
  </si>
  <si>
    <t>On is a composite state.</t>
  </si>
  <si>
    <t>Initial state inside On transitions to Setup.</t>
  </si>
  <si>
    <t>Setup composite state represents GameSetup.</t>
  </si>
  <si>
    <t>Not modeled as a region; flattened into sequential states.</t>
  </si>
  <si>
    <t>Initial state exists but within a flattened structure.</t>
  </si>
  <si>
    <t>ChoosingTiming represents TimingSelection.</t>
  </si>
  <si>
    <t>Action showNextPredefinedTiming() represents incrementing timing.</t>
  </si>
  <si>
    <t>Action showPreviousPredefinedTiming() represents decrementing timing.</t>
  </si>
  <si>
    <t>Self-transitions for plus and minus are present.</t>
  </si>
  <si>
    <t>Transitions from ChoosingTiming to TimingSelected on select.</t>
  </si>
  <si>
    <t>Missing due to lack of orthogonal region.</t>
  </si>
  <si>
    <t>Represented implicitly by Left variations of states.</t>
  </si>
  <si>
    <t>Represented implicitly by Right variations of states.</t>
  </si>
  <si>
    <t>Initial transition goes to BrowseWhiteLeft.</t>
  </si>
  <si>
    <t>Transition on flip is present.</t>
  </si>
  <si>
    <t>TimingSelected represents ReadyToStart.</t>
  </si>
  <si>
    <t>Transition from TimingSelected to Game on startStop.</t>
  </si>
  <si>
    <t>GameRunning is a composite state.</t>
  </si>
  <si>
    <t>History state H is present inside GameRunning.</t>
  </si>
  <si>
    <t>WhiteRunning represents WhiteClockRunning.</t>
  </si>
  <si>
    <t>startWhiteCountdown() on entry.</t>
  </si>
  <si>
    <t>stopWhiteCountdown() on exit.</t>
  </si>
  <si>
    <t>Guard [whiteTime &gt; 1] represents [wc &gt; 0].</t>
  </si>
  <si>
    <t>decrementWhiteClock() represents decrTimer.</t>
  </si>
  <si>
    <t>Self-transition for decrementing clock is present.</t>
  </si>
  <si>
    <t>BlackRunning represents BlackClockRunning.</t>
  </si>
  <si>
    <t>startBlackCountdown() on entry.</t>
  </si>
  <si>
    <t>stopBlackCountdown() on exit.</t>
  </si>
  <si>
    <t>Guard [blackTime &gt; 1] represents [bc &gt; 0].</t>
  </si>
  <si>
    <t>decrementBlackClock() represents decrTimer.</t>
  </si>
  <si>
    <t>Transition from GameRunning to Paused on startStop.</t>
  </si>
  <si>
    <t>Transitions to flag states represent game finished.</t>
  </si>
  <si>
    <t>Guard [whiteTime &lt;= 1] represents [wc == 0].</t>
  </si>
  <si>
    <t>Guard [blackTime &lt;= 1] represents [bc == 0].</t>
  </si>
  <si>
    <t>Paused represents GamePaused.</t>
  </si>
  <si>
    <t>Transition from Paused to H on startStop.</t>
  </si>
  <si>
    <t>WhiteFlag and BlackFlag represent GameFinished.</t>
  </si>
  <si>
    <t>Transition from On to Off on onOff.</t>
  </si>
  <si>
    <t>No fundamentally incorrect additional states.</t>
  </si>
  <si>
    <t>No fundamentally incorrect additional transitions.</t>
  </si>
  <si>
    <t>No fundamentally incorrect additional guards.</t>
  </si>
  <si>
    <t>Additional actions correctly model the increment logic described in the system description.</t>
  </si>
  <si>
    <t>Extra composite state Game is a reasonable grouping.</t>
  </si>
  <si>
    <t>No additional regions.</t>
  </si>
  <si>
    <t>No additional history states.</t>
  </si>
  <si>
    <t>Gemini 3.1 Pro Preview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</si>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</sst>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8"/>
  </cellStyleXfs>
  <cellXfs count="3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 applyBorder="1"/>
    <xf numFmtId="0" fontId="2" fillId="3" borderId="0" xfId="0" applyFont="1" applyFill="1" applyBorder="1"/>
    <xf numFmtId="0" fontId="7" fillId="0" borderId="0" xfId="0" applyFont="1" applyBorder="1"/>
    <xf numFmtId="0" fontId="3" fillId="5" borderId="6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9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topLeftCell="A20" workbookViewId="0">
      <selection activeCell="D12" sqref="D12:D13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5.33203125" bestFit="1" customWidth="1"/>
    <col min="4" max="4" width="93.8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 t="s">
        <v>70</v>
      </c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 t="s">
        <v>71</v>
      </c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 t="s">
        <v>72</v>
      </c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 t="s">
        <v>73</v>
      </c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 t="s">
        <v>74</v>
      </c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 t="s">
        <v>75</v>
      </c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 t="s">
        <v>76</v>
      </c>
    </row>
    <row r="9" spans="1:4" ht="12.75" customHeight="1" x14ac:dyDescent="0.15">
      <c r="A9" s="5" t="s">
        <v>12</v>
      </c>
      <c r="B9" s="6" t="s">
        <v>13</v>
      </c>
      <c r="C9" s="14">
        <v>0</v>
      </c>
      <c r="D9" s="14" t="s">
        <v>77</v>
      </c>
    </row>
    <row r="10" spans="1:4" ht="12.75" customHeight="1" x14ac:dyDescent="0.15">
      <c r="A10" s="3" t="s">
        <v>2</v>
      </c>
      <c r="B10" s="4" t="s">
        <v>14</v>
      </c>
      <c r="C10" s="13">
        <v>0.5</v>
      </c>
      <c r="D10" s="13" t="s">
        <v>78</v>
      </c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 t="s">
        <v>79</v>
      </c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 t="s">
        <v>80</v>
      </c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 t="s">
        <v>81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 t="s">
        <v>82</v>
      </c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 t="s">
        <v>83</v>
      </c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 t="s">
        <v>77</v>
      </c>
    </row>
    <row r="17" spans="1:22" ht="15" customHeight="1" x14ac:dyDescent="0.15">
      <c r="A17" s="5" t="s">
        <v>2</v>
      </c>
      <c r="B17" s="6" t="s">
        <v>22</v>
      </c>
      <c r="C17" s="14">
        <v>0</v>
      </c>
      <c r="D17" s="14" t="s">
        <v>84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0.5</v>
      </c>
      <c r="D18" s="13" t="s">
        <v>85</v>
      </c>
    </row>
    <row r="19" spans="1:22" ht="12.75" customHeight="1" x14ac:dyDescent="0.15">
      <c r="A19" s="5" t="s">
        <v>2</v>
      </c>
      <c r="B19" s="6" t="s">
        <v>24</v>
      </c>
      <c r="C19" s="14">
        <v>0.5</v>
      </c>
      <c r="D19" s="14" t="s">
        <v>86</v>
      </c>
    </row>
    <row r="20" spans="1:22" ht="12.75" customHeight="1" x14ac:dyDescent="0.15">
      <c r="A20" s="3" t="s">
        <v>4</v>
      </c>
      <c r="B20" s="4" t="s">
        <v>25</v>
      </c>
      <c r="C20" s="13">
        <v>0.5</v>
      </c>
      <c r="D20" s="13" t="s">
        <v>87</v>
      </c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 t="s">
        <v>88</v>
      </c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 t="s">
        <v>88</v>
      </c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 t="s">
        <v>89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90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 t="s">
        <v>91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 t="s">
        <v>92</v>
      </c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 t="s">
        <v>93</v>
      </c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94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 t="s">
        <v>95</v>
      </c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 t="s">
        <v>96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 t="s">
        <v>97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98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 t="s">
        <v>99</v>
      </c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 t="s">
        <v>100</v>
      </c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 t="s">
        <v>101</v>
      </c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 t="s">
        <v>102</v>
      </c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 t="s">
        <v>103</v>
      </c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98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 t="s">
        <v>104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3" t="s">
        <v>105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106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 t="s">
        <v>107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 t="s">
        <v>108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 t="s">
        <v>109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1</v>
      </c>
      <c r="D45" s="14" t="s">
        <v>110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 t="s">
        <v>111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 t="s">
        <v>112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 t="s">
        <v>113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 t="s">
        <v>114</v>
      </c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 t="s">
        <v>115</v>
      </c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 t="s">
        <v>116</v>
      </c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 t="s">
        <v>117</v>
      </c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 t="s">
        <v>118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tabSelected="1" workbookViewId="0">
      <selection activeCell="F20" sqref="F20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31" t="s">
        <v>57</v>
      </c>
      <c r="B1" s="31"/>
      <c r="C1" s="31"/>
      <c r="D1" s="31"/>
      <c r="E1" s="31"/>
      <c r="F1" s="31"/>
      <c r="G1" s="31"/>
      <c r="H1" s="31"/>
      <c r="J1" s="21" t="s">
        <v>58</v>
      </c>
      <c r="K1" s="15"/>
    </row>
    <row r="2" spans="1:11" ht="15.75" customHeight="1" x14ac:dyDescent="0.15">
      <c r="A2" s="22" t="s">
        <v>0</v>
      </c>
      <c r="B2" s="22" t="s">
        <v>59</v>
      </c>
      <c r="C2" s="22" t="s">
        <v>60</v>
      </c>
      <c r="D2" s="22" t="s">
        <v>61</v>
      </c>
      <c r="E2" s="22" t="s">
        <v>62</v>
      </c>
      <c r="F2" s="22" t="s">
        <v>63</v>
      </c>
      <c r="G2" s="22" t="s">
        <v>64</v>
      </c>
      <c r="H2" s="22" t="s">
        <v>65</v>
      </c>
      <c r="J2" s="23" t="s">
        <v>66</v>
      </c>
      <c r="K2" s="15"/>
    </row>
    <row r="3" spans="1:11" ht="15.75" customHeight="1" x14ac:dyDescent="0.15">
      <c r="A3" s="24" t="s">
        <v>8</v>
      </c>
      <c r="B3" s="25">
        <f>COUNTIF('Chess Clock'!$A$2:$A$46, A3)</f>
        <v>3</v>
      </c>
      <c r="C3" s="26">
        <f>SUMIF('GPT-5 Generation'!$A$2:$A$46, $A3, 'GPT-5 Generation'!$C$2:$C$46)</f>
        <v>3</v>
      </c>
      <c r="D3" s="26">
        <f>SUMIF('GPT-5 Generation'!$A$47:$A$53, $A3, 'GPT-5 Generation'!$C$47:$C$53)</f>
        <v>0</v>
      </c>
      <c r="E3" s="26">
        <f>COUNTIFS('GPT-5 Generation'!$A$2:$A$46, $A3, 'GPT-5 Generation'!$C$2:$C$46,0)</f>
        <v>0</v>
      </c>
      <c r="F3" s="26">
        <f>IFERROR(C3 / (C3 + D3), "Not Available")</f>
        <v>1</v>
      </c>
      <c r="G3" s="26">
        <f t="shared" ref="G3:G10" si="0">IFERROR(C3 / B3, "Not Available")</f>
        <v>1</v>
      </c>
      <c r="H3" s="26">
        <f t="shared" ref="H3:H10" si="1">IFERROR(2*((F3*G3)/(F3+G3)),"Not Available")</f>
        <v>1</v>
      </c>
      <c r="J3" s="15"/>
      <c r="K3" s="15"/>
    </row>
    <row r="4" spans="1:11" ht="15.75" customHeight="1" x14ac:dyDescent="0.15">
      <c r="A4" s="27" t="s">
        <v>2</v>
      </c>
      <c r="B4" s="25">
        <f>COUNTIF('Chess Clock'!$A$2:$A$46, A4)</f>
        <v>13</v>
      </c>
      <c r="C4" s="26">
        <f>SUMIF('GPT-5 Generation'!$A$2:$A$46, $A4, 'GPT-5 Generation'!$C$2:$C$46)</f>
        <v>10.5</v>
      </c>
      <c r="D4" s="26">
        <f>SUMIF('GPT-5 Generation'!$A$47:$A$53, $A4, 'GPT-5 Generation'!$C$47:$C$53)</f>
        <v>0</v>
      </c>
      <c r="E4" s="26">
        <f>COUNTIFS('GPT-5 Generation'!$A$2:$A$46, $A4, 'GPT-5 Generation'!$C$2:$C$46,0)</f>
        <v>1</v>
      </c>
      <c r="F4" s="26">
        <f>IFERROR(C4 / (C4 + D4), "Not Available")</f>
        <v>1</v>
      </c>
      <c r="G4" s="26">
        <f t="shared" si="0"/>
        <v>0.80769230769230771</v>
      </c>
      <c r="H4" s="26">
        <f t="shared" si="1"/>
        <v>0.8936170212765957</v>
      </c>
      <c r="J4" s="21" t="s">
        <v>67</v>
      </c>
      <c r="K4" s="15"/>
    </row>
    <row r="5" spans="1:11" ht="15.75" customHeight="1" x14ac:dyDescent="0.15">
      <c r="A5" s="27" t="s">
        <v>4</v>
      </c>
      <c r="B5" s="25">
        <f>COUNTIF('Chess Clock'!$A$2:$A$46, A5)</f>
        <v>14</v>
      </c>
      <c r="C5" s="26">
        <f>SUMIF('GPT-5 Generation'!$A$2:$A$46, $A5, 'GPT-5 Generation'!$C$2:$C$46)</f>
        <v>13.5</v>
      </c>
      <c r="D5" s="26">
        <f>SUMIF('GPT-5 Generation'!$A$47:$A$53, $A5, 'GPT-5 Generation'!$C$47:$C$53)</f>
        <v>0</v>
      </c>
      <c r="E5" s="26">
        <f>COUNTIFS('GPT-5 Generation'!$A$2:$A$46, $A5, 'GPT-5 Generation'!$C$2:$C$46,0)</f>
        <v>0</v>
      </c>
      <c r="F5" s="26">
        <f>IFERROR(C5 / (C5 + D5), "Not Available")</f>
        <v>1</v>
      </c>
      <c r="G5" s="26">
        <f t="shared" si="0"/>
        <v>0.9642857142857143</v>
      </c>
      <c r="H5" s="26">
        <f t="shared" si="1"/>
        <v>0.98181818181818181</v>
      </c>
      <c r="J5" s="29" t="s">
        <v>119</v>
      </c>
      <c r="K5" s="15"/>
    </row>
    <row r="6" spans="1:11" ht="15.75" customHeight="1" x14ac:dyDescent="0.15">
      <c r="A6" s="27" t="s">
        <v>16</v>
      </c>
      <c r="B6" s="25">
        <f>COUNTIF('Chess Clock'!$A$2:$A$46, A6)</f>
        <v>8</v>
      </c>
      <c r="C6" s="26">
        <f>SUMIF('GPT-5 Generation'!$A$2:$A$46, $A6, 'GPT-5 Generation'!$C$2:$C$46)</f>
        <v>8</v>
      </c>
      <c r="D6" s="26">
        <f>SUMIF('GPT-5 Generation'!$A$47:$A$53, $A6, 'GPT-5 Generation'!$C$47:$C$53)</f>
        <v>0</v>
      </c>
      <c r="E6" s="26">
        <f>COUNTIFS('GPT-5 Generation'!$A$2:$A$46, $A6, 'GPT-5 Generation'!$C$2:$C$46,0)</f>
        <v>0</v>
      </c>
      <c r="F6" s="26">
        <f>IFERROR(C6 / (C6 + D6), "Not Available")</f>
        <v>1</v>
      </c>
      <c r="G6" s="26">
        <f t="shared" si="0"/>
        <v>1</v>
      </c>
      <c r="H6" s="26">
        <f t="shared" si="1"/>
        <v>1</v>
      </c>
      <c r="J6" s="15"/>
      <c r="K6" s="15"/>
    </row>
    <row r="7" spans="1:11" ht="15.75" customHeight="1" x14ac:dyDescent="0.15">
      <c r="A7" s="27" t="s">
        <v>12</v>
      </c>
      <c r="B7" s="25">
        <f>COUNTIF('Chess Clock'!$A$2:$A$44, A7)</f>
        <v>2</v>
      </c>
      <c r="C7" s="26">
        <f>SUMIF('GPT-5 Generation'!$A$2:$A$46, $A7, 'GPT-5 Generation'!$C$2:$C$46)</f>
        <v>0</v>
      </c>
      <c r="D7" s="26">
        <f>SUMIF('GPT-5 Generation'!$A$47:$A$53, $A7, 'GPT-5 Generation'!$C$47:$C$53)</f>
        <v>0</v>
      </c>
      <c r="E7" s="26">
        <f>COUNTIFS('GPT-5 Generation'!$A$2:$A$46, $A7, 'GPT-5 Generation'!$C$2:$C$46,0)</f>
        <v>2</v>
      </c>
      <c r="F7" s="26" t="str">
        <f>IFERROR(C7 / (C7 + D8), "Not Available")</f>
        <v>Not Available</v>
      </c>
      <c r="G7" s="26">
        <f t="shared" si="0"/>
        <v>0</v>
      </c>
      <c r="H7" s="26" t="str">
        <f t="shared" si="1"/>
        <v>Not Available</v>
      </c>
      <c r="J7" s="30" t="s">
        <v>68</v>
      </c>
    </row>
    <row r="8" spans="1:11" ht="15.75" customHeight="1" x14ac:dyDescent="0.15">
      <c r="A8" s="27" t="s">
        <v>31</v>
      </c>
      <c r="B8" s="25">
        <f>COUNTIF('Chess Clock'!$A$2:$A$46, A8)</f>
        <v>1</v>
      </c>
      <c r="C8" s="26">
        <f>SUMIF('GPT-5 Generation'!$A$2:$A$46, $A8, 'GPT-5 Generation'!$C$2:$C$46)</f>
        <v>1</v>
      </c>
      <c r="D8" s="26">
        <f>SUMIF('GPT-5 Generation'!$A$47:$A$53, $A8, 'GPT-5 Generation'!$C$47:$C$53)</f>
        <v>0</v>
      </c>
      <c r="E8" s="26">
        <f>COUNTIFS('GPT-5 Generation'!$A$2:$A$46, $A8, 'GPT-5 Generation'!$C$2:$C$46,0)</f>
        <v>0</v>
      </c>
      <c r="F8" s="26" t="str">
        <f>IFERROR(C8 / (C8 +#REF!), "Not Available")</f>
        <v>Not Available</v>
      </c>
      <c r="G8" s="26">
        <f t="shared" si="0"/>
        <v>1</v>
      </c>
      <c r="H8" s="26" t="str">
        <f t="shared" si="1"/>
        <v>Not Available</v>
      </c>
      <c r="J8" s="29" t="s">
        <v>120</v>
      </c>
    </row>
    <row r="9" spans="1:11" ht="15.75" customHeight="1" x14ac:dyDescent="0.15">
      <c r="A9" s="27" t="s">
        <v>36</v>
      </c>
      <c r="B9" s="25">
        <f>COUNTIF('Chess Clock'!$A$2:$A$44, A9)</f>
        <v>4</v>
      </c>
      <c r="C9" s="26">
        <f>SUMIF('GPT-5 Generation'!$A$2:$A$46, $A9, 'GPT-5 Generation'!$C$2:$C$46)</f>
        <v>4</v>
      </c>
      <c r="D9" s="26">
        <f>SUMIF('GPT-5 Generation'!$A$47:$A$53, $A9, 'GPT-5 Generation'!$C$47:$C$53)</f>
        <v>0</v>
      </c>
      <c r="E9" s="26">
        <f>COUNTIFS('GPT-5 Generation'!$A$2:$A$46, $A9, 'GPT-5 Generation'!$C$2:$C$46,0)</f>
        <v>0</v>
      </c>
      <c r="F9" s="26">
        <f>IFERROR(C9 / (C9 + D9), "Not Available")</f>
        <v>1</v>
      </c>
      <c r="G9" s="26">
        <f t="shared" si="0"/>
        <v>1</v>
      </c>
      <c r="H9" s="26">
        <f t="shared" si="1"/>
        <v>1</v>
      </c>
      <c r="J9" s="30"/>
    </row>
    <row r="10" spans="1:11" ht="15.75" customHeight="1" x14ac:dyDescent="0.15">
      <c r="A10" s="27" t="s">
        <v>69</v>
      </c>
      <c r="B10" s="26">
        <f>SUM(B3:B9)</f>
        <v>45</v>
      </c>
      <c r="C10" s="26">
        <f>SUM(C3:C9)</f>
        <v>40</v>
      </c>
      <c r="D10" s="26">
        <f>SUM(D3:D9)</f>
        <v>0</v>
      </c>
      <c r="E10" s="26">
        <f>SUM(E3:E9)</f>
        <v>3</v>
      </c>
      <c r="F10" s="26">
        <f>IFERROR(C10 / (C10 + D10), "Not Available")</f>
        <v>1</v>
      </c>
      <c r="G10" s="26">
        <f t="shared" si="0"/>
        <v>0.88888888888888884</v>
      </c>
      <c r="H10" s="26">
        <f t="shared" si="1"/>
        <v>0.94117647058823528</v>
      </c>
    </row>
    <row r="11" spans="1:11" ht="15.75" customHeight="1" x14ac:dyDescent="0.15"/>
    <row r="12" spans="1:11" ht="15.75" customHeight="1" x14ac:dyDescent="0.15"/>
    <row r="13" spans="1:11" ht="15.75" customHeight="1" x14ac:dyDescent="0.15"/>
    <row r="14" spans="1:11" ht="15.75" customHeight="1" x14ac:dyDescent="0.15"/>
    <row r="15" spans="1:11" ht="15.75" customHeight="1" x14ac:dyDescent="0.15"/>
    <row r="16" spans="1:11" ht="15.75" customHeight="1" x14ac:dyDescent="0.15"/>
    <row r="17" spans="8:8" ht="15.75" customHeight="1" x14ac:dyDescent="0.15"/>
    <row r="18" spans="8:8" ht="15.75" customHeight="1" x14ac:dyDescent="0.15"/>
    <row r="19" spans="8:8" ht="15.75" customHeight="1" x14ac:dyDescent="0.15"/>
    <row r="20" spans="8:8" ht="15.75" customHeight="1" x14ac:dyDescent="0.15"/>
    <row r="21" spans="8:8" ht="15.75" customHeight="1" x14ac:dyDescent="0.15"/>
    <row r="22" spans="8:8" ht="15.75" customHeight="1" x14ac:dyDescent="0.15">
      <c r="H22" s="28"/>
    </row>
    <row r="23" spans="8:8" ht="15.75" customHeight="1" x14ac:dyDescent="0.15"/>
    <row r="24" spans="8:8" ht="15.75" customHeight="1" x14ac:dyDescent="0.15"/>
    <row r="25" spans="8:8" ht="15.75" customHeight="1" x14ac:dyDescent="0.15"/>
    <row r="26" spans="8:8" ht="15.75" customHeight="1" x14ac:dyDescent="0.15"/>
    <row r="27" spans="8:8" ht="15.75" customHeight="1" x14ac:dyDescent="0.15"/>
    <row r="28" spans="8:8" ht="15.75" customHeight="1" x14ac:dyDescent="0.15"/>
    <row r="29" spans="8:8" ht="15.75" customHeight="1" x14ac:dyDescent="0.15"/>
    <row r="30" spans="8:8" ht="15.75" customHeight="1" x14ac:dyDescent="0.15"/>
    <row r="31" spans="8:8" ht="15.75" customHeight="1" x14ac:dyDescent="0.15"/>
    <row r="32" spans="8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Chess Clock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2026-05-13T16:35:16Z</dcterms:modified>
</cp:coreProperties>
</file>