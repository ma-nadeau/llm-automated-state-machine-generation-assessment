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Digital Chess Clock/Grading/2 stage/6-examples/"/>
    </mc:Choice>
  </mc:AlternateContent>
  <xr:revisionPtr revIDLastSave="0" documentId="8_{A93F81B4-6713-424F-8F45-AECA02B5C3A9}" xr6:coauthVersionLast="47" xr6:coauthVersionMax="47" xr10:uidLastSave="{00000000-0000-0000-0000-000000000000}"/>
  <bookViews>
    <workbookView xWindow="18880" yWindow="-20420" windowWidth="30240" windowHeight="17300" activeTab="2" xr2:uid="{00000000-000D-0000-FFFF-FFFF00000000}"/>
  </bookViews>
  <sheets>
    <sheet name="Chess Clock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G4" i="3" s="1"/>
  <c r="B5" i="3"/>
  <c r="B6" i="3"/>
  <c r="B7" i="3"/>
  <c r="B8" i="3"/>
  <c r="B9" i="3"/>
  <c r="E9" i="3"/>
  <c r="D9" i="3"/>
  <c r="C9" i="3"/>
  <c r="E8" i="3"/>
  <c r="D8" i="3"/>
  <c r="F7" i="3" s="1"/>
  <c r="C8" i="3"/>
  <c r="E7" i="3"/>
  <c r="D7" i="3"/>
  <c r="C7" i="3"/>
  <c r="E6" i="3"/>
  <c r="D6" i="3"/>
  <c r="C6" i="3"/>
  <c r="E5" i="3"/>
  <c r="D5" i="3"/>
  <c r="C5" i="3"/>
  <c r="E4" i="3"/>
  <c r="D4" i="3"/>
  <c r="C4" i="3"/>
  <c r="F4" i="3" s="1"/>
  <c r="E3" i="3"/>
  <c r="D3" i="3"/>
  <c r="C3" i="3"/>
  <c r="F3" i="3" s="1"/>
  <c r="B3" i="3"/>
  <c r="G9" i="3" l="1"/>
  <c r="G5" i="3"/>
  <c r="G7" i="3"/>
  <c r="C10" i="3"/>
  <c r="G6" i="3"/>
  <c r="G8" i="3"/>
  <c r="G3" i="3"/>
  <c r="H3" i="3" s="1"/>
  <c r="B10" i="3"/>
  <c r="G10" i="3" s="1"/>
  <c r="H7" i="3"/>
  <c r="D10" i="3"/>
  <c r="F10" i="3" s="1"/>
  <c r="H4" i="3"/>
  <c r="F6" i="3"/>
  <c r="E10" i="3"/>
  <c r="F9" i="3"/>
  <c r="H9" i="3" s="1"/>
  <c r="F5" i="3"/>
  <c r="H5" i="3" s="1"/>
  <c r="F8" i="3"/>
  <c r="H8" i="3" l="1"/>
  <c r="H10" i="3"/>
  <c r="H6" i="3"/>
</calcChain>
</file>

<file path=xl/sharedStrings.xml><?xml version="1.0" encoding="utf-8"?>
<sst xmlns="http://schemas.openxmlformats.org/spreadsheetml/2006/main" count="289" uniqueCount="123">
  <si>
    <t>Type</t>
  </si>
  <si>
    <t>Element</t>
  </si>
  <si>
    <t>State</t>
  </si>
  <si>
    <t>initial state (off)</t>
  </si>
  <si>
    <t>Transition</t>
  </si>
  <si>
    <t>initial state (off) =&gt; off</t>
  </si>
  <si>
    <t>Off</t>
  </si>
  <si>
    <t>off =&gt; on</t>
  </si>
  <si>
    <t>Composite State</t>
  </si>
  <si>
    <t>On</t>
  </si>
  <si>
    <t>initial state (on)</t>
  </si>
  <si>
    <t>GameSetup</t>
  </si>
  <si>
    <t>Region</t>
  </si>
  <si>
    <t>GameSetup Region 1</t>
  </si>
  <si>
    <t>Initial state (region 1)</t>
  </si>
  <si>
    <t>TimingSelection</t>
  </si>
  <si>
    <t>Action</t>
  </si>
  <si>
    <t>incrTimingProgram()</t>
  </si>
  <si>
    <t>decrTimingProgram()</t>
  </si>
  <si>
    <t>timing selection =&gt; timing selection</t>
  </si>
  <si>
    <t>game setup =&gt; ready to start</t>
  </si>
  <si>
    <t>GameSetup Region 2</t>
  </si>
  <si>
    <t>Initial state (region 2)</t>
  </si>
  <si>
    <t>WhiteKingOnLeft</t>
  </si>
  <si>
    <t>WhiteKingOnRight</t>
  </si>
  <si>
    <t>initial state =&gt; white king on left</t>
  </si>
  <si>
    <t>white king on left =&gt; white king on right</t>
  </si>
  <si>
    <t>white king on right =&gt; white king on left</t>
  </si>
  <si>
    <t>ReadyToStart</t>
  </si>
  <si>
    <t>ready to start =&gt; game running</t>
  </si>
  <si>
    <t>GameRunning</t>
  </si>
  <si>
    <t>History State</t>
  </si>
  <si>
    <t>H</t>
  </si>
  <si>
    <t>WhiteClockRunning</t>
  </si>
  <si>
    <t>startTimer(wc)</t>
  </si>
  <si>
    <t>stopTimer(wc)</t>
  </si>
  <si>
    <t>Guard</t>
  </si>
  <si>
    <t>[wc &gt; 0]</t>
  </si>
  <si>
    <t>decrTimer(wc)</t>
  </si>
  <si>
    <t>white clock running =&gt; white clock running</t>
  </si>
  <si>
    <t>BlackClockRunning</t>
  </si>
  <si>
    <t>startTimer(bc)</t>
  </si>
  <si>
    <t>stopTimer(bc)</t>
  </si>
  <si>
    <t>[bc &gt; 0]</t>
  </si>
  <si>
    <t>decrTimer(bc)</t>
  </si>
  <si>
    <t>balck clock running =&gt; black clock running</t>
  </si>
  <si>
    <t>game running =&gt; game paused</t>
  </si>
  <si>
    <t>game running =&gt; game finished</t>
  </si>
  <si>
    <t>[wc == 0]</t>
  </si>
  <si>
    <t>[bc == 0]</t>
  </si>
  <si>
    <t>GamePaused</t>
  </si>
  <si>
    <t>game paused =&gt; game running</t>
  </si>
  <si>
    <t>GameFinished</t>
  </si>
  <si>
    <t>on =&gt; off</t>
  </si>
  <si>
    <t>additional elements</t>
  </si>
  <si>
    <t>GPT-5 Generation</t>
  </si>
  <si>
    <t>Notes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</si>
  <si>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</si>
  <si>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</si>
  <si>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</si>
  <si>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</si>
  <si>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</si>
  <si>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</si>
  <si>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</si>
  <si>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</si>
  <si>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</si>
  <si>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</si>
  <si>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</si>
  <si>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</si>
  <si>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</si>
  <si>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Top level initial pseudostate is present.</t>
  </si>
  <si>
    <t>Initial transition goes to Off.</t>
  </si>
  <si>
    <t>Off state is explicitly modeled.</t>
  </si>
  <si>
    <t>onOff powers the clock from Off to On.</t>
  </si>
  <si>
    <t>On is modeled as a composite containing setup and game behavior.</t>
  </si>
  <si>
    <t>Initial state inside On enters Setup.</t>
  </si>
  <si>
    <t>Setup composite covers pregame timing and seating configuration.</t>
  </si>
  <si>
    <t>Timing selection behavior is represented in ChoosingTiming.</t>
  </si>
  <si>
    <t>ChoosingTiming has an initial transition to BrowseWhiteLeft.</t>
  </si>
  <si>
    <t>Timing browsing is explicitly modeled by ChoosingTiming.</t>
  </si>
  <si>
    <t>plus advances to the next predefined timing.</t>
  </si>
  <si>
    <t>minus goes to the previous predefined timing.</t>
  </si>
  <si>
    <t>plus and minus self loops keep the user in timing selection.</t>
  </si>
  <si>
    <t>select stores the timing and moves to ready states.</t>
  </si>
  <si>
    <t>White and black seating orientation is represented by left and right variants.</t>
  </si>
  <si>
    <t>Default orientation is modeled as white on the left.</t>
  </si>
  <si>
    <t>White-left orientation is represented by BrowseWhiteLeft and ReadyWhiteLeft.</t>
  </si>
  <si>
    <t>White-right orientation is represented by BrowseWhiteRight and ReadyWhiteRight.</t>
  </si>
  <si>
    <t>Initial setup starts with the white-left orientation.</t>
  </si>
  <si>
    <t>flip swaps from white-left to white-right.</t>
  </si>
  <si>
    <t>flip swaps from white-right to white-left.</t>
  </si>
  <si>
    <t>TimingSelected with ReadyWhiteLeft and ReadyWhiteRight represents ready to start.</t>
  </si>
  <si>
    <t>startStop from ready states initializes clocks and enters Game.</t>
  </si>
  <si>
    <t>GameRunning composite contains the active clock states.</t>
  </si>
  <si>
    <t>H is declared in GameRunning and used for resume from pause.</t>
  </si>
  <si>
    <t>WhiteRunning represents the white clock running.</t>
  </si>
  <si>
    <t>WhiteRunning entry starts the white countdown.</t>
  </si>
  <si>
    <t>WhiteRunning exit stops the white countdown.</t>
  </si>
  <si>
    <t>White decrement is guarded by positive remaining time before timeout handling.</t>
  </si>
  <si>
    <t>White clock is decremented on each one-second event.</t>
  </si>
  <si>
    <t>WhiteRunning has a timed self transition while time remains.</t>
  </si>
  <si>
    <t>BlackRunning represents the black clock running.</t>
  </si>
  <si>
    <t>BlackRunning entry starts the black countdown.</t>
  </si>
  <si>
    <t>BlackRunning exit stops the black countdown.</t>
  </si>
  <si>
    <t>Black decrement is guarded by positive remaining time before timeout handling.</t>
  </si>
  <si>
    <t>Black clock is decremented on each one-second event.</t>
  </si>
  <si>
    <t>BlackRunning has a timed self transition while time remains.</t>
  </si>
  <si>
    <t>startStop moves from GameRunning to Paused.</t>
  </si>
  <si>
    <t>Timeout transitions leave running play and enter a flashing flag state.</t>
  </si>
  <si>
    <t>White timeout is detected when the next tick reaches zero.</t>
  </si>
  <si>
    <t>Black timeout is detected when the next tick reaches zero.</t>
  </si>
  <si>
    <t>Paused state is explicitly modeled.</t>
  </si>
  <si>
    <t>startStop from Paused resumes via H.</t>
  </si>
  <si>
    <t>WhiteFlag and BlackFlag represent finished timeout states with flashing flags.</t>
  </si>
  <si>
    <t>onOff from On powers the clock off at any time.</t>
  </si>
  <si>
    <t>Extra orientation and flag states are reasonable refinements.</t>
  </si>
  <si>
    <t>No fundamentally incorrect extra transitions are present.</t>
  </si>
  <si>
    <t>No fundamentally incorrect extra guards are present.</t>
  </si>
  <si>
    <t>Extra actions are reasonable implementation details.</t>
  </si>
  <si>
    <t>Additional composites preserve the intended behavior.</t>
  </si>
  <si>
    <t>No incorrect extra regions are introduced.</t>
  </si>
  <si>
    <t>No incorrect extra history states are introduced.</t>
  </si>
  <si>
    <t>GPT-5.5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</si>
</sst>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8"/>
  </cellStyleXfs>
  <cellXfs count="32"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 applyBorder="1"/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5" fillId="0" borderId="0" xfId="0" applyFont="1" applyBorder="1"/>
    <xf numFmtId="0" fontId="2" fillId="3" borderId="3" xfId="0" applyFont="1" applyFill="1" applyBorder="1"/>
    <xf numFmtId="0" fontId="2" fillId="3" borderId="4" xfId="0" applyFont="1" applyFill="1" applyBorder="1" applyAlignment="1">
      <alignment horizontal="center"/>
    </xf>
    <xf numFmtId="0" fontId="2" fillId="4" borderId="5" xfId="0" applyFont="1" applyFill="1" applyBorder="1"/>
    <xf numFmtId="0" fontId="2" fillId="3" borderId="6" xfId="0" applyFont="1" applyFill="1" applyBorder="1"/>
    <xf numFmtId="0" fontId="2" fillId="4" borderId="7" xfId="0" applyFont="1" applyFill="1" applyBorder="1"/>
    <xf numFmtId="0" fontId="5" fillId="6" borderId="0" xfId="0" applyFont="1" applyFill="1" applyBorder="1"/>
    <xf numFmtId="0" fontId="3" fillId="5" borderId="9" xfId="0" applyFont="1" applyFill="1" applyBorder="1" applyAlignment="1">
      <alignment horizontal="center"/>
    </xf>
    <xf numFmtId="0" fontId="5" fillId="3" borderId="0" xfId="0" applyFont="1" applyFill="1" applyBorder="1"/>
    <xf numFmtId="0" fontId="6" fillId="7" borderId="9" xfId="0" applyFont="1" applyFill="1" applyBorder="1" applyAlignment="1">
      <alignment vertical="center" wrapText="1"/>
    </xf>
    <xf numFmtId="0" fontId="2" fillId="0" borderId="9" xfId="0" applyFont="1" applyBorder="1"/>
    <xf numFmtId="0" fontId="4" fillId="0" borderId="9" xfId="0" applyFont="1" applyBorder="1"/>
    <xf numFmtId="0" fontId="3" fillId="0" borderId="9" xfId="0" applyFont="1" applyBorder="1"/>
    <xf numFmtId="0" fontId="4" fillId="0" borderId="0" xfId="0" applyFont="1" applyBorder="1"/>
    <xf numFmtId="0" fontId="2" fillId="3" borderId="0" xfId="0" applyFont="1" applyFill="1" applyBorder="1"/>
    <xf numFmtId="0" fontId="7" fillId="0" borderId="0" xfId="0" applyFont="1" applyBorder="1"/>
    <xf numFmtId="0" fontId="3" fillId="5" borderId="8" xfId="0" applyFont="1" applyFill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Chess Clock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3">
  <tableColumns count="2">
    <tableColumn id="1" xr3:uid="{00000000-0010-0000-0000-000001000000}" name="Type"/>
    <tableColumn id="2" xr3:uid="{00000000-0010-0000-0000-000002000000}" name="Element"/>
  </tableColumns>
  <tableStyleInfo name="Chess Clock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3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9" displayName="Table_59" ref="J7:J8">
  <tableColumns count="1">
    <tableColumn id="1" xr3:uid="{00000000-0010-0000-0400-000001000000}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.6640625" customWidth="1"/>
    <col min="2" max="2" width="51.16406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5" t="s">
        <v>4</v>
      </c>
      <c r="B3" s="6" t="s">
        <v>5</v>
      </c>
    </row>
    <row r="4" spans="1:2" ht="12.75" customHeight="1" x14ac:dyDescent="0.15">
      <c r="A4" s="3" t="s">
        <v>2</v>
      </c>
      <c r="B4" s="4" t="s">
        <v>6</v>
      </c>
    </row>
    <row r="5" spans="1:2" ht="12.75" customHeight="1" x14ac:dyDescent="0.15">
      <c r="A5" s="5" t="s">
        <v>4</v>
      </c>
      <c r="B5" s="6" t="s">
        <v>7</v>
      </c>
    </row>
    <row r="6" spans="1:2" ht="12.75" customHeight="1" x14ac:dyDescent="0.15">
      <c r="A6" s="3" t="s">
        <v>8</v>
      </c>
      <c r="B6" s="4" t="s">
        <v>9</v>
      </c>
    </row>
    <row r="7" spans="1:2" ht="12.75" customHeight="1" x14ac:dyDescent="0.15">
      <c r="A7" s="5" t="s">
        <v>2</v>
      </c>
      <c r="B7" s="6" t="s">
        <v>10</v>
      </c>
    </row>
    <row r="8" spans="1:2" ht="12.75" customHeight="1" x14ac:dyDescent="0.15">
      <c r="A8" s="3" t="s">
        <v>8</v>
      </c>
      <c r="B8" s="4" t="s">
        <v>11</v>
      </c>
    </row>
    <row r="9" spans="1:2" ht="12.75" customHeight="1" x14ac:dyDescent="0.15">
      <c r="A9" s="5" t="s">
        <v>12</v>
      </c>
      <c r="B9" s="6" t="s">
        <v>13</v>
      </c>
    </row>
    <row r="10" spans="1:2" ht="12.75" customHeight="1" x14ac:dyDescent="0.15">
      <c r="A10" s="3" t="s">
        <v>2</v>
      </c>
      <c r="B10" s="4" t="s">
        <v>14</v>
      </c>
    </row>
    <row r="11" spans="1:2" ht="12.75" customHeight="1" x14ac:dyDescent="0.15">
      <c r="A11" s="5" t="s">
        <v>2</v>
      </c>
      <c r="B11" s="6" t="s">
        <v>15</v>
      </c>
    </row>
    <row r="12" spans="1:2" ht="12.75" customHeight="1" x14ac:dyDescent="0.15">
      <c r="A12" s="3" t="s">
        <v>16</v>
      </c>
      <c r="B12" s="4" t="s">
        <v>17</v>
      </c>
    </row>
    <row r="13" spans="1:2" ht="12.75" customHeight="1" x14ac:dyDescent="0.15">
      <c r="A13" s="5" t="s">
        <v>16</v>
      </c>
      <c r="B13" s="6" t="s">
        <v>18</v>
      </c>
    </row>
    <row r="14" spans="1:2" ht="12.75" customHeight="1" x14ac:dyDescent="0.15">
      <c r="A14" s="3" t="s">
        <v>4</v>
      </c>
      <c r="B14" s="4" t="s">
        <v>19</v>
      </c>
    </row>
    <row r="15" spans="1:2" ht="12.75" customHeight="1" x14ac:dyDescent="0.15">
      <c r="A15" s="5" t="s">
        <v>4</v>
      </c>
      <c r="B15" s="6" t="s">
        <v>20</v>
      </c>
    </row>
    <row r="16" spans="1:2" ht="12.75" customHeight="1" x14ac:dyDescent="0.15">
      <c r="A16" s="3" t="s">
        <v>12</v>
      </c>
      <c r="B16" s="4" t="s">
        <v>21</v>
      </c>
    </row>
    <row r="17" spans="1:22" ht="15" customHeight="1" x14ac:dyDescent="0.15">
      <c r="A17" s="5" t="s">
        <v>2</v>
      </c>
      <c r="B17" s="6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</row>
    <row r="19" spans="1:22" ht="12.75" customHeight="1" x14ac:dyDescent="0.15">
      <c r="A19" s="5" t="s">
        <v>2</v>
      </c>
      <c r="B19" s="6" t="s">
        <v>24</v>
      </c>
    </row>
    <row r="20" spans="1:22" ht="12.75" customHeight="1" x14ac:dyDescent="0.15">
      <c r="A20" s="3" t="s">
        <v>4</v>
      </c>
      <c r="B20" s="4" t="s">
        <v>25</v>
      </c>
    </row>
    <row r="21" spans="1:22" ht="12.75" customHeight="1" x14ac:dyDescent="0.15">
      <c r="A21" s="5" t="s">
        <v>4</v>
      </c>
      <c r="B21" s="6" t="s">
        <v>26</v>
      </c>
    </row>
    <row r="22" spans="1:22" ht="12.75" customHeight="1" x14ac:dyDescent="0.15">
      <c r="A22" s="3" t="s">
        <v>4</v>
      </c>
      <c r="B22" s="4" t="s">
        <v>27</v>
      </c>
    </row>
    <row r="23" spans="1:22" ht="12.75" customHeight="1" x14ac:dyDescent="0.15">
      <c r="A23" s="5" t="s">
        <v>2</v>
      </c>
      <c r="B23" s="6" t="s">
        <v>28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</row>
    <row r="25" spans="1:22" ht="12.75" customHeight="1" x14ac:dyDescent="0.15">
      <c r="A25" s="5" t="s">
        <v>8</v>
      </c>
      <c r="B25" s="6" t="s">
        <v>30</v>
      </c>
    </row>
    <row r="26" spans="1:22" ht="15" customHeight="1" x14ac:dyDescent="0.15">
      <c r="A26" s="3" t="s">
        <v>31</v>
      </c>
      <c r="B26" s="4" t="s">
        <v>32</v>
      </c>
    </row>
    <row r="27" spans="1:22" ht="12.75" customHeight="1" x14ac:dyDescent="0.15">
      <c r="A27" s="5" t="s">
        <v>2</v>
      </c>
      <c r="B27" s="6" t="s">
        <v>33</v>
      </c>
    </row>
    <row r="28" spans="1:22" ht="12.75" customHeight="1" x14ac:dyDescent="0.15">
      <c r="A28" s="3" t="s">
        <v>16</v>
      </c>
      <c r="B28" s="4" t="s">
        <v>34</v>
      </c>
    </row>
    <row r="29" spans="1:22" ht="12.75" customHeight="1" x14ac:dyDescent="0.15">
      <c r="A29" s="5" t="s">
        <v>16</v>
      </c>
      <c r="B29" s="6" t="s">
        <v>35</v>
      </c>
    </row>
    <row r="30" spans="1:22" ht="12.75" customHeight="1" x14ac:dyDescent="0.15">
      <c r="A30" s="3" t="s">
        <v>36</v>
      </c>
      <c r="B30" s="4" t="s">
        <v>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</row>
    <row r="33" spans="1:22" ht="12.75" customHeight="1" x14ac:dyDescent="0.15">
      <c r="A33" s="5" t="s">
        <v>2</v>
      </c>
      <c r="B33" s="6" t="s">
        <v>40</v>
      </c>
    </row>
    <row r="34" spans="1:22" ht="12.75" customHeight="1" x14ac:dyDescent="0.15">
      <c r="A34" s="3" t="s">
        <v>16</v>
      </c>
      <c r="B34" s="4" t="s">
        <v>41</v>
      </c>
    </row>
    <row r="35" spans="1:22" ht="12.75" customHeight="1" x14ac:dyDescent="0.15">
      <c r="A35" s="5" t="s">
        <v>16</v>
      </c>
      <c r="B35" s="6" t="s">
        <v>42</v>
      </c>
    </row>
    <row r="36" spans="1:22" ht="12.75" customHeight="1" x14ac:dyDescent="0.15">
      <c r="A36" s="3" t="s">
        <v>36</v>
      </c>
      <c r="B36" s="4" t="s">
        <v>43</v>
      </c>
    </row>
    <row r="37" spans="1:22" ht="12.75" customHeight="1" x14ac:dyDescent="0.15">
      <c r="A37" s="5" t="s">
        <v>16</v>
      </c>
      <c r="B37" s="6" t="s">
        <v>44</v>
      </c>
    </row>
    <row r="38" spans="1:22" ht="12.75" customHeight="1" x14ac:dyDescent="0.15">
      <c r="A38" s="3" t="s">
        <v>4</v>
      </c>
      <c r="B38" s="4" t="s">
        <v>45</v>
      </c>
    </row>
    <row r="39" spans="1:22" ht="15" customHeight="1" x14ac:dyDescent="0.15">
      <c r="A39" s="5" t="s">
        <v>4</v>
      </c>
      <c r="B39" s="6" t="s">
        <v>46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4" t="s">
        <v>52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" customHeight="1" x14ac:dyDescent="0.15">
      <c r="A49" s="5" t="s">
        <v>36</v>
      </c>
      <c r="B49" s="6" t="s">
        <v>54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" customHeight="1" x14ac:dyDescent="0.15">
      <c r="A50" s="3" t="s">
        <v>16</v>
      </c>
      <c r="B50" s="4" t="s">
        <v>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2.75" customHeight="1" x14ac:dyDescent="0.15">
      <c r="A51" s="5" t="s">
        <v>8</v>
      </c>
      <c r="B51" s="4" t="s">
        <v>54</v>
      </c>
    </row>
    <row r="52" spans="1:22" ht="12.75" customHeight="1" x14ac:dyDescent="0.15">
      <c r="A52" s="3" t="s">
        <v>12</v>
      </c>
      <c r="B52" s="4" t="s">
        <v>54</v>
      </c>
    </row>
    <row r="53" spans="1:22" ht="12.75" customHeight="1" x14ac:dyDescent="0.15">
      <c r="A53" s="5" t="s">
        <v>31</v>
      </c>
      <c r="B53" s="6" t="s">
        <v>54</v>
      </c>
    </row>
    <row r="54" spans="1:22" ht="12.75" customHeight="1" x14ac:dyDescent="0.15">
      <c r="A54" s="10"/>
      <c r="B54" s="11"/>
    </row>
    <row r="55" spans="1:22" ht="12.75" customHeight="1" x14ac:dyDescent="0.15">
      <c r="A55" s="10"/>
      <c r="B55" s="11"/>
    </row>
    <row r="56" spans="1:22" ht="12.75" customHeight="1" x14ac:dyDescent="0.15">
      <c r="A56" s="10"/>
      <c r="B56" s="11"/>
    </row>
    <row r="57" spans="1:22" ht="12.75" customHeight="1" x14ac:dyDescent="0.15">
      <c r="A57" s="10"/>
      <c r="B57" s="11"/>
    </row>
    <row r="58" spans="1:22" ht="12.75" customHeight="1" x14ac:dyDescent="0.15">
      <c r="A58" s="10"/>
      <c r="B58" s="11"/>
    </row>
    <row r="59" spans="1:22" ht="12.75" customHeight="1" x14ac:dyDescent="0.15">
      <c r="A59" s="10"/>
      <c r="B59" s="11"/>
    </row>
    <row r="60" spans="1:22" ht="12.75" customHeight="1" x14ac:dyDescent="0.15">
      <c r="A60" s="10"/>
      <c r="B60" s="11"/>
    </row>
    <row r="61" spans="1:22" ht="12.75" customHeight="1" x14ac:dyDescent="0.15">
      <c r="A61" s="10"/>
      <c r="B61" s="11"/>
    </row>
    <row r="62" spans="1:22" ht="12.75" customHeight="1" x14ac:dyDescent="0.15">
      <c r="A62" s="10"/>
      <c r="B62" s="11"/>
    </row>
    <row r="63" spans="1:22" ht="12.75" customHeight="1" x14ac:dyDescent="0.15">
      <c r="A63" s="10"/>
      <c r="B63" s="11"/>
    </row>
    <row r="64" spans="1:22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>
      <c r="A995" s="10"/>
      <c r="B995" s="11"/>
    </row>
    <row r="996" spans="1:2" ht="12.75" customHeight="1" x14ac:dyDescent="0.15">
      <c r="A996" s="10"/>
      <c r="B996" s="11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topLeftCell="A21" workbookViewId="0">
      <selection activeCell="C2" sqref="C2:D53"/>
    </sheetView>
  </sheetViews>
  <sheetFormatPr baseColWidth="10" defaultColWidth="12.6640625" defaultRowHeight="15" customHeight="1" x14ac:dyDescent="0.15"/>
  <cols>
    <col min="1" max="1" width="28" customWidth="1"/>
    <col min="2" max="2" width="42.83203125" customWidth="1"/>
    <col min="3" max="3" width="15.33203125" bestFit="1" customWidth="1"/>
    <col min="4" max="4" width="93.83203125" bestFit="1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12" t="s">
        <v>55</v>
      </c>
      <c r="D1" s="12" t="s">
        <v>56</v>
      </c>
    </row>
    <row r="2" spans="1:4" ht="12.75" customHeight="1" x14ac:dyDescent="0.15">
      <c r="A2" s="3" t="s">
        <v>2</v>
      </c>
      <c r="B2" s="4" t="s">
        <v>3</v>
      </c>
      <c r="C2" s="13">
        <v>1</v>
      </c>
      <c r="D2" s="13" t="s">
        <v>70</v>
      </c>
    </row>
    <row r="3" spans="1:4" ht="12.75" customHeight="1" x14ac:dyDescent="0.15">
      <c r="A3" s="5" t="s">
        <v>4</v>
      </c>
      <c r="B3" s="6" t="s">
        <v>5</v>
      </c>
      <c r="C3" s="14">
        <v>1</v>
      </c>
      <c r="D3" s="14" t="s">
        <v>71</v>
      </c>
    </row>
    <row r="4" spans="1:4" ht="12.75" customHeight="1" x14ac:dyDescent="0.15">
      <c r="A4" s="3" t="s">
        <v>2</v>
      </c>
      <c r="B4" s="4" t="s">
        <v>6</v>
      </c>
      <c r="C4" s="13">
        <v>1</v>
      </c>
      <c r="D4" s="13" t="s">
        <v>72</v>
      </c>
    </row>
    <row r="5" spans="1:4" ht="12.75" customHeight="1" x14ac:dyDescent="0.15">
      <c r="A5" s="5" t="s">
        <v>4</v>
      </c>
      <c r="B5" s="6" t="s">
        <v>7</v>
      </c>
      <c r="C5" s="14">
        <v>1</v>
      </c>
      <c r="D5" s="14" t="s">
        <v>73</v>
      </c>
    </row>
    <row r="6" spans="1:4" ht="12.75" customHeight="1" x14ac:dyDescent="0.15">
      <c r="A6" s="3" t="s">
        <v>8</v>
      </c>
      <c r="B6" s="4" t="s">
        <v>9</v>
      </c>
      <c r="C6" s="13">
        <v>1</v>
      </c>
      <c r="D6" s="13" t="s">
        <v>74</v>
      </c>
    </row>
    <row r="7" spans="1:4" ht="12.75" customHeight="1" x14ac:dyDescent="0.15">
      <c r="A7" s="5" t="s">
        <v>2</v>
      </c>
      <c r="B7" s="6" t="s">
        <v>10</v>
      </c>
      <c r="C7" s="14">
        <v>1</v>
      </c>
      <c r="D7" s="14" t="s">
        <v>75</v>
      </c>
    </row>
    <row r="8" spans="1:4" ht="12.75" customHeight="1" x14ac:dyDescent="0.15">
      <c r="A8" s="3" t="s">
        <v>8</v>
      </c>
      <c r="B8" s="4" t="s">
        <v>11</v>
      </c>
      <c r="C8" s="13">
        <v>1</v>
      </c>
      <c r="D8" s="13" t="s">
        <v>76</v>
      </c>
    </row>
    <row r="9" spans="1:4" ht="12.75" customHeight="1" x14ac:dyDescent="0.15">
      <c r="A9" s="5" t="s">
        <v>12</v>
      </c>
      <c r="B9" s="6" t="s">
        <v>13</v>
      </c>
      <c r="C9" s="14">
        <v>1</v>
      </c>
      <c r="D9" s="14" t="s">
        <v>77</v>
      </c>
    </row>
    <row r="10" spans="1:4" ht="12.75" customHeight="1" x14ac:dyDescent="0.15">
      <c r="A10" s="3" t="s">
        <v>2</v>
      </c>
      <c r="B10" s="4" t="s">
        <v>14</v>
      </c>
      <c r="C10" s="13">
        <v>1</v>
      </c>
      <c r="D10" s="13" t="s">
        <v>78</v>
      </c>
    </row>
    <row r="11" spans="1:4" ht="12.75" customHeight="1" x14ac:dyDescent="0.15">
      <c r="A11" s="5" t="s">
        <v>2</v>
      </c>
      <c r="B11" s="6" t="s">
        <v>15</v>
      </c>
      <c r="C11" s="14">
        <v>1</v>
      </c>
      <c r="D11" s="14" t="s">
        <v>79</v>
      </c>
    </row>
    <row r="12" spans="1:4" ht="12.75" customHeight="1" x14ac:dyDescent="0.15">
      <c r="A12" s="3" t="s">
        <v>16</v>
      </c>
      <c r="B12" s="4" t="s">
        <v>17</v>
      </c>
      <c r="C12" s="13">
        <v>1</v>
      </c>
      <c r="D12" s="13" t="s">
        <v>80</v>
      </c>
    </row>
    <row r="13" spans="1:4" ht="12.75" customHeight="1" x14ac:dyDescent="0.15">
      <c r="A13" s="5" t="s">
        <v>16</v>
      </c>
      <c r="B13" s="6" t="s">
        <v>18</v>
      </c>
      <c r="C13" s="14">
        <v>1</v>
      </c>
      <c r="D13" s="14" t="s">
        <v>81</v>
      </c>
    </row>
    <row r="14" spans="1:4" ht="12.75" customHeight="1" x14ac:dyDescent="0.15">
      <c r="A14" s="3" t="s">
        <v>4</v>
      </c>
      <c r="B14" s="4" t="s">
        <v>19</v>
      </c>
      <c r="C14" s="13">
        <v>1</v>
      </c>
      <c r="D14" s="13" t="s">
        <v>82</v>
      </c>
    </row>
    <row r="15" spans="1:4" ht="12.75" customHeight="1" x14ac:dyDescent="0.15">
      <c r="A15" s="5" t="s">
        <v>4</v>
      </c>
      <c r="B15" s="6" t="s">
        <v>20</v>
      </c>
      <c r="C15" s="14">
        <v>1</v>
      </c>
      <c r="D15" s="14" t="s">
        <v>83</v>
      </c>
    </row>
    <row r="16" spans="1:4" ht="12.75" customHeight="1" x14ac:dyDescent="0.15">
      <c r="A16" s="3" t="s">
        <v>12</v>
      </c>
      <c r="B16" s="4" t="s">
        <v>21</v>
      </c>
      <c r="C16" s="13">
        <v>1</v>
      </c>
      <c r="D16" s="13" t="s">
        <v>84</v>
      </c>
    </row>
    <row r="17" spans="1:22" ht="15" customHeight="1" x14ac:dyDescent="0.15">
      <c r="A17" s="5" t="s">
        <v>2</v>
      </c>
      <c r="B17" s="6" t="s">
        <v>22</v>
      </c>
      <c r="C17" s="14">
        <v>1</v>
      </c>
      <c r="D17" s="14" t="s">
        <v>85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  <c r="C18" s="13">
        <v>1</v>
      </c>
      <c r="D18" s="13" t="s">
        <v>86</v>
      </c>
    </row>
    <row r="19" spans="1:22" ht="12.75" customHeight="1" x14ac:dyDescent="0.15">
      <c r="A19" s="5" t="s">
        <v>2</v>
      </c>
      <c r="B19" s="6" t="s">
        <v>24</v>
      </c>
      <c r="C19" s="14">
        <v>1</v>
      </c>
      <c r="D19" s="14" t="s">
        <v>87</v>
      </c>
    </row>
    <row r="20" spans="1:22" ht="12.75" customHeight="1" x14ac:dyDescent="0.15">
      <c r="A20" s="3" t="s">
        <v>4</v>
      </c>
      <c r="B20" s="4" t="s">
        <v>25</v>
      </c>
      <c r="C20" s="13">
        <v>1</v>
      </c>
      <c r="D20" s="13" t="s">
        <v>88</v>
      </c>
    </row>
    <row r="21" spans="1:22" ht="12.75" customHeight="1" x14ac:dyDescent="0.15">
      <c r="A21" s="5" t="s">
        <v>4</v>
      </c>
      <c r="B21" s="6" t="s">
        <v>26</v>
      </c>
      <c r="C21" s="14">
        <v>1</v>
      </c>
      <c r="D21" s="14" t="s">
        <v>89</v>
      </c>
    </row>
    <row r="22" spans="1:22" ht="12.75" customHeight="1" x14ac:dyDescent="0.15">
      <c r="A22" s="3" t="s">
        <v>4</v>
      </c>
      <c r="B22" s="4" t="s">
        <v>27</v>
      </c>
      <c r="C22" s="13">
        <v>1</v>
      </c>
      <c r="D22" s="13" t="s">
        <v>90</v>
      </c>
    </row>
    <row r="23" spans="1:22" ht="12.75" customHeight="1" x14ac:dyDescent="0.15">
      <c r="A23" s="5" t="s">
        <v>2</v>
      </c>
      <c r="B23" s="6" t="s">
        <v>28</v>
      </c>
      <c r="C23" s="14">
        <v>1</v>
      </c>
      <c r="D23" s="14" t="s">
        <v>91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  <c r="C24" s="13">
        <v>1</v>
      </c>
      <c r="D24" s="13" t="s">
        <v>92</v>
      </c>
    </row>
    <row r="25" spans="1:22" ht="12.75" customHeight="1" x14ac:dyDescent="0.15">
      <c r="A25" s="5" t="s">
        <v>8</v>
      </c>
      <c r="B25" s="6" t="s">
        <v>30</v>
      </c>
      <c r="C25" s="14">
        <v>1</v>
      </c>
      <c r="D25" s="14" t="s">
        <v>93</v>
      </c>
    </row>
    <row r="26" spans="1:22" ht="15" customHeight="1" x14ac:dyDescent="0.15">
      <c r="A26" s="3" t="s">
        <v>31</v>
      </c>
      <c r="B26" s="4" t="s">
        <v>32</v>
      </c>
      <c r="C26" s="13">
        <v>1</v>
      </c>
      <c r="D26" s="13" t="s">
        <v>94</v>
      </c>
    </row>
    <row r="27" spans="1:22" ht="12.75" customHeight="1" x14ac:dyDescent="0.15">
      <c r="A27" s="5" t="s">
        <v>2</v>
      </c>
      <c r="B27" s="6" t="s">
        <v>33</v>
      </c>
      <c r="C27" s="14">
        <v>1</v>
      </c>
      <c r="D27" s="14" t="s">
        <v>95</v>
      </c>
    </row>
    <row r="28" spans="1:22" ht="12.75" customHeight="1" x14ac:dyDescent="0.15">
      <c r="A28" s="3" t="s">
        <v>16</v>
      </c>
      <c r="B28" s="4" t="s">
        <v>34</v>
      </c>
      <c r="C28" s="13">
        <v>1</v>
      </c>
      <c r="D28" s="13" t="s">
        <v>96</v>
      </c>
    </row>
    <row r="29" spans="1:22" ht="12.75" customHeight="1" x14ac:dyDescent="0.15">
      <c r="A29" s="5" t="s">
        <v>16</v>
      </c>
      <c r="B29" s="6" t="s">
        <v>35</v>
      </c>
      <c r="C29" s="14">
        <v>1</v>
      </c>
      <c r="D29" s="14" t="s">
        <v>97</v>
      </c>
    </row>
    <row r="30" spans="1:22" ht="12.75" customHeight="1" x14ac:dyDescent="0.15">
      <c r="A30" s="3" t="s">
        <v>36</v>
      </c>
      <c r="B30" s="4" t="s">
        <v>37</v>
      </c>
      <c r="C30" s="13">
        <v>1</v>
      </c>
      <c r="D30" s="13" t="s">
        <v>98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14">
        <v>1</v>
      </c>
      <c r="D31" s="14" t="s">
        <v>99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  <c r="C32" s="13">
        <v>1</v>
      </c>
      <c r="D32" s="13" t="s">
        <v>100</v>
      </c>
    </row>
    <row r="33" spans="1:22" ht="12.75" customHeight="1" x14ac:dyDescent="0.15">
      <c r="A33" s="5" t="s">
        <v>2</v>
      </c>
      <c r="B33" s="6" t="s">
        <v>40</v>
      </c>
      <c r="C33" s="14">
        <v>1</v>
      </c>
      <c r="D33" s="14" t="s">
        <v>101</v>
      </c>
    </row>
    <row r="34" spans="1:22" ht="12.75" customHeight="1" x14ac:dyDescent="0.15">
      <c r="A34" s="3" t="s">
        <v>16</v>
      </c>
      <c r="B34" s="4" t="s">
        <v>41</v>
      </c>
      <c r="C34" s="13">
        <v>1</v>
      </c>
      <c r="D34" s="13" t="s">
        <v>102</v>
      </c>
    </row>
    <row r="35" spans="1:22" ht="12.75" customHeight="1" x14ac:dyDescent="0.15">
      <c r="A35" s="5" t="s">
        <v>16</v>
      </c>
      <c r="B35" s="6" t="s">
        <v>42</v>
      </c>
      <c r="C35" s="14">
        <v>1</v>
      </c>
      <c r="D35" s="14" t="s">
        <v>103</v>
      </c>
    </row>
    <row r="36" spans="1:22" ht="12.75" customHeight="1" x14ac:dyDescent="0.15">
      <c r="A36" s="3" t="s">
        <v>36</v>
      </c>
      <c r="B36" s="4" t="s">
        <v>43</v>
      </c>
      <c r="C36" s="13">
        <v>1</v>
      </c>
      <c r="D36" s="13" t="s">
        <v>104</v>
      </c>
    </row>
    <row r="37" spans="1:22" ht="12.75" customHeight="1" x14ac:dyDescent="0.15">
      <c r="A37" s="5" t="s">
        <v>16</v>
      </c>
      <c r="B37" s="6" t="s">
        <v>44</v>
      </c>
      <c r="C37" s="14">
        <v>1</v>
      </c>
      <c r="D37" s="14" t="s">
        <v>105</v>
      </c>
    </row>
    <row r="38" spans="1:22" ht="12.75" customHeight="1" x14ac:dyDescent="0.15">
      <c r="A38" s="3" t="s">
        <v>4</v>
      </c>
      <c r="B38" s="4" t="s">
        <v>45</v>
      </c>
      <c r="C38" s="13">
        <v>1</v>
      </c>
      <c r="D38" s="13" t="s">
        <v>106</v>
      </c>
    </row>
    <row r="39" spans="1:22" ht="15" customHeight="1" x14ac:dyDescent="0.15">
      <c r="A39" s="5" t="s">
        <v>4</v>
      </c>
      <c r="B39" s="6" t="s">
        <v>46</v>
      </c>
      <c r="C39" s="14">
        <v>1</v>
      </c>
      <c r="D39" s="14" t="s">
        <v>107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13">
        <v>1</v>
      </c>
      <c r="D40" s="13" t="s">
        <v>108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14">
        <v>1</v>
      </c>
      <c r="D41" s="14" t="s">
        <v>109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13">
        <v>1</v>
      </c>
      <c r="D42" s="13" t="s">
        <v>110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15">
        <v>1</v>
      </c>
      <c r="D43" s="14" t="s">
        <v>111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14">
        <v>1</v>
      </c>
      <c r="D44" s="16" t="s">
        <v>112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17" t="s">
        <v>52</v>
      </c>
      <c r="C45" s="14">
        <v>1</v>
      </c>
      <c r="D45" s="14" t="s">
        <v>113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18">
        <v>1</v>
      </c>
      <c r="D46" s="19" t="s">
        <v>114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20">
        <v>0</v>
      </c>
      <c r="D47" s="20" t="s">
        <v>115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13">
        <v>0</v>
      </c>
      <c r="D48" s="13" t="s">
        <v>116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4" ht="12.75" customHeight="1" x14ac:dyDescent="0.15">
      <c r="A49" s="5" t="s">
        <v>36</v>
      </c>
      <c r="B49" s="6" t="s">
        <v>54</v>
      </c>
      <c r="C49" s="14">
        <v>0</v>
      </c>
      <c r="D49" s="14" t="s">
        <v>117</v>
      </c>
    </row>
    <row r="50" spans="1:4" ht="12.75" customHeight="1" x14ac:dyDescent="0.15">
      <c r="A50" s="3" t="s">
        <v>16</v>
      </c>
      <c r="B50" s="4" t="s">
        <v>54</v>
      </c>
      <c r="C50" s="13">
        <v>0</v>
      </c>
      <c r="D50" s="13" t="s">
        <v>118</v>
      </c>
    </row>
    <row r="51" spans="1:4" ht="12.75" customHeight="1" x14ac:dyDescent="0.15">
      <c r="A51" s="5" t="s">
        <v>8</v>
      </c>
      <c r="B51" s="6" t="s">
        <v>54</v>
      </c>
      <c r="C51" s="14">
        <v>0</v>
      </c>
      <c r="D51" s="14" t="s">
        <v>119</v>
      </c>
    </row>
    <row r="52" spans="1:4" ht="12.75" customHeight="1" x14ac:dyDescent="0.15">
      <c r="A52" s="3" t="s">
        <v>12</v>
      </c>
      <c r="B52" s="4" t="s">
        <v>54</v>
      </c>
      <c r="C52" s="14">
        <v>0</v>
      </c>
      <c r="D52" s="14" t="s">
        <v>120</v>
      </c>
    </row>
    <row r="53" spans="1:4" ht="12.75" customHeight="1" x14ac:dyDescent="0.15">
      <c r="A53" s="5" t="s">
        <v>31</v>
      </c>
      <c r="B53" s="6" t="s">
        <v>54</v>
      </c>
      <c r="C53" s="14">
        <v>0</v>
      </c>
      <c r="D53" s="14" t="s">
        <v>121</v>
      </c>
    </row>
    <row r="54" spans="1:4" ht="12.75" customHeight="1" x14ac:dyDescent="0.15">
      <c r="A54" s="10"/>
      <c r="B54" s="11"/>
    </row>
    <row r="55" spans="1:4" ht="12.75" customHeight="1" x14ac:dyDescent="0.15">
      <c r="A55" s="10"/>
      <c r="B55" s="11"/>
    </row>
    <row r="56" spans="1:4" ht="12.75" customHeight="1" x14ac:dyDescent="0.15">
      <c r="A56" s="10"/>
      <c r="B56" s="11"/>
    </row>
    <row r="57" spans="1:4" ht="12.75" customHeight="1" x14ac:dyDescent="0.15">
      <c r="A57" s="10"/>
      <c r="B57" s="11"/>
    </row>
    <row r="58" spans="1:4" ht="12.75" customHeight="1" x14ac:dyDescent="0.15">
      <c r="A58" s="10"/>
      <c r="B58" s="11"/>
    </row>
    <row r="59" spans="1:4" ht="12.75" customHeight="1" x14ac:dyDescent="0.15">
      <c r="A59" s="10"/>
      <c r="B59" s="11"/>
    </row>
    <row r="60" spans="1:4" ht="12.75" customHeight="1" x14ac:dyDescent="0.15">
      <c r="A60" s="10"/>
      <c r="B60" s="11"/>
    </row>
    <row r="61" spans="1:4" ht="12.75" customHeight="1" x14ac:dyDescent="0.15">
      <c r="A61" s="10"/>
      <c r="B61" s="11"/>
    </row>
    <row r="62" spans="1:4" ht="12.75" customHeight="1" x14ac:dyDescent="0.15">
      <c r="A62" s="10"/>
      <c r="B62" s="11"/>
    </row>
    <row r="63" spans="1:4" ht="12.75" customHeight="1" x14ac:dyDescent="0.15">
      <c r="A63" s="10"/>
      <c r="B63" s="11"/>
    </row>
    <row r="64" spans="1:4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0"/>
  <sheetViews>
    <sheetView tabSelected="1" workbookViewId="0">
      <selection activeCell="B9" sqref="B9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1" ht="15.75" customHeight="1" x14ac:dyDescent="0.15">
      <c r="A1" s="31" t="s">
        <v>57</v>
      </c>
      <c r="J1" s="21" t="s">
        <v>58</v>
      </c>
      <c r="K1" s="15"/>
    </row>
    <row r="2" spans="1:11" ht="15.75" customHeight="1" x14ac:dyDescent="0.15">
      <c r="A2" s="22" t="s">
        <v>0</v>
      </c>
      <c r="B2" s="22" t="s">
        <v>59</v>
      </c>
      <c r="C2" s="22" t="s">
        <v>60</v>
      </c>
      <c r="D2" s="22" t="s">
        <v>61</v>
      </c>
      <c r="E2" s="22" t="s">
        <v>62</v>
      </c>
      <c r="F2" s="22" t="s">
        <v>63</v>
      </c>
      <c r="G2" s="22" t="s">
        <v>64</v>
      </c>
      <c r="H2" s="22" t="s">
        <v>65</v>
      </c>
      <c r="J2" s="23" t="s">
        <v>66</v>
      </c>
      <c r="K2" s="15"/>
    </row>
    <row r="3" spans="1:11" ht="15.75" customHeight="1" x14ac:dyDescent="0.15">
      <c r="A3" s="24" t="s">
        <v>8</v>
      </c>
      <c r="B3" s="25">
        <f>COUNTIF('Chess Clock'!$A$2:$A$46, A3)</f>
        <v>3</v>
      </c>
      <c r="C3" s="26">
        <f>SUMIF('GPT-5 Generation'!$A$2:$A$46, $A3, 'GPT-5 Generation'!$C$2:$C$46)</f>
        <v>3</v>
      </c>
      <c r="D3" s="26">
        <f>SUMIF('GPT-5 Generation'!$A$47:$A$53, $A3, 'GPT-5 Generation'!$C$47:$C$53)</f>
        <v>0</v>
      </c>
      <c r="E3" s="26">
        <f>COUNTIFS('GPT-5 Generation'!$A$2:$A$46, $A3, 'GPT-5 Generation'!$C$2:$C$46,0)</f>
        <v>0</v>
      </c>
      <c r="F3" s="26">
        <f>IFERROR(C3 / (C3 + D3), "Not Available")</f>
        <v>1</v>
      </c>
      <c r="G3" s="26">
        <f t="shared" ref="G3:G10" si="0">IFERROR(C3 / B3, "Not Available")</f>
        <v>1</v>
      </c>
      <c r="H3" s="26">
        <f t="shared" ref="H3:H10" si="1">IFERROR(2*((F3*G3)/(F3+G3)),"Not Available")</f>
        <v>1</v>
      </c>
      <c r="J3" s="15"/>
      <c r="K3" s="15"/>
    </row>
    <row r="4" spans="1:11" ht="15.75" customHeight="1" x14ac:dyDescent="0.15">
      <c r="A4" s="27" t="s">
        <v>2</v>
      </c>
      <c r="B4" s="25">
        <f>COUNTIF('Chess Clock'!$A$2:$A$46, A4)</f>
        <v>13</v>
      </c>
      <c r="C4" s="26">
        <f>SUMIF('GPT-5 Generation'!$A$2:$A$46, $A4, 'GPT-5 Generation'!$C$2:$C$46)</f>
        <v>13</v>
      </c>
      <c r="D4" s="26">
        <f>SUMIF('GPT-5 Generation'!$A$47:$A$53, $A4, 'GPT-5 Generation'!$C$47:$C$53)</f>
        <v>0</v>
      </c>
      <c r="E4" s="26">
        <f>COUNTIFS('GPT-5 Generation'!$A$2:$A$46, $A4, 'GPT-5 Generation'!$C$2:$C$46,0)</f>
        <v>0</v>
      </c>
      <c r="F4" s="26">
        <f>IFERROR(C4 / (C4 + D4), "Not Available")</f>
        <v>1</v>
      </c>
      <c r="G4" s="26">
        <f t="shared" si="0"/>
        <v>1</v>
      </c>
      <c r="H4" s="26">
        <f t="shared" si="1"/>
        <v>1</v>
      </c>
      <c r="J4" s="21" t="s">
        <v>67</v>
      </c>
      <c r="K4" s="15"/>
    </row>
    <row r="5" spans="1:11" ht="15.75" customHeight="1" x14ac:dyDescent="0.15">
      <c r="A5" s="27" t="s">
        <v>4</v>
      </c>
      <c r="B5" s="25">
        <f>COUNTIF('Chess Clock'!$A$2:$A$46, A5)</f>
        <v>14</v>
      </c>
      <c r="C5" s="26">
        <f>SUMIF('GPT-5 Generation'!$A$2:$A$46, $A5, 'GPT-5 Generation'!$C$2:$C$46)</f>
        <v>14</v>
      </c>
      <c r="D5" s="26">
        <f>SUMIF('GPT-5 Generation'!$A$47:$A$53, $A5, 'GPT-5 Generation'!$C$47:$C$53)</f>
        <v>0</v>
      </c>
      <c r="E5" s="26">
        <f>COUNTIFS('GPT-5 Generation'!$A$2:$A$46, $A5, 'GPT-5 Generation'!$C$2:$C$46,0)</f>
        <v>0</v>
      </c>
      <c r="F5" s="26">
        <f>IFERROR(C5 / (C5 + D5), "Not Available")</f>
        <v>1</v>
      </c>
      <c r="G5" s="26">
        <f t="shared" si="0"/>
        <v>1</v>
      </c>
      <c r="H5" s="26">
        <f t="shared" si="1"/>
        <v>1</v>
      </c>
      <c r="J5" s="29" t="s">
        <v>122</v>
      </c>
      <c r="K5" s="15"/>
    </row>
    <row r="6" spans="1:11" ht="15.75" customHeight="1" x14ac:dyDescent="0.15">
      <c r="A6" s="27" t="s">
        <v>16</v>
      </c>
      <c r="B6" s="25">
        <f>COUNTIF('Chess Clock'!$A$2:$A$46, A6)</f>
        <v>8</v>
      </c>
      <c r="C6" s="26">
        <f>SUMIF('GPT-5 Generation'!$A$2:$A$46, $A6, 'GPT-5 Generation'!$C$2:$C$46)</f>
        <v>8</v>
      </c>
      <c r="D6" s="26">
        <f>SUMIF('GPT-5 Generation'!$A$47:$A$53, $A6, 'GPT-5 Generation'!$C$47:$C$53)</f>
        <v>0</v>
      </c>
      <c r="E6" s="26">
        <f>COUNTIFS('GPT-5 Generation'!$A$2:$A$46, $A6, 'GPT-5 Generation'!$C$2:$C$46,0)</f>
        <v>0</v>
      </c>
      <c r="F6" s="26">
        <f>IFERROR(C6 / (C6 + D6), "Not Available")</f>
        <v>1</v>
      </c>
      <c r="G6" s="26">
        <f t="shared" si="0"/>
        <v>1</v>
      </c>
      <c r="H6" s="26">
        <f t="shared" si="1"/>
        <v>1</v>
      </c>
      <c r="J6" s="15"/>
      <c r="K6" s="15"/>
    </row>
    <row r="7" spans="1:11" ht="15.75" customHeight="1" x14ac:dyDescent="0.15">
      <c r="A7" s="27" t="s">
        <v>12</v>
      </c>
      <c r="B7" s="25">
        <f>COUNTIF('Chess Clock'!$A$2:$A$46, A7)</f>
        <v>2</v>
      </c>
      <c r="C7" s="26">
        <f>SUMIF('GPT-5 Generation'!$A$2:$A$46, $A7, 'GPT-5 Generation'!$C$2:$C$46)</f>
        <v>2</v>
      </c>
      <c r="D7" s="26">
        <f>SUMIF('GPT-5 Generation'!$A$47:$A$53, $A7, 'GPT-5 Generation'!$C$47:$C$53)</f>
        <v>0</v>
      </c>
      <c r="E7" s="26">
        <f>COUNTIFS('GPT-5 Generation'!$A$2:$A$46, $A7, 'GPT-5 Generation'!$C$2:$C$46,0)</f>
        <v>0</v>
      </c>
      <c r="F7" s="26">
        <f>IFERROR(C7 / (C7 + D8), "Not Available")</f>
        <v>1</v>
      </c>
      <c r="G7" s="26">
        <f t="shared" si="0"/>
        <v>1</v>
      </c>
      <c r="H7" s="26">
        <f t="shared" si="1"/>
        <v>1</v>
      </c>
      <c r="J7" s="30" t="s">
        <v>68</v>
      </c>
    </row>
    <row r="8" spans="1:11" ht="15.75" customHeight="1" x14ac:dyDescent="0.15">
      <c r="A8" s="27" t="s">
        <v>31</v>
      </c>
      <c r="B8" s="25">
        <f>COUNTIF('Chess Clock'!$A$2:$A$46, A8)</f>
        <v>1</v>
      </c>
      <c r="C8" s="26">
        <f>SUMIF('GPT-5 Generation'!$A$2:$A$46, $A8, 'GPT-5 Generation'!$C$2:$C$46)</f>
        <v>1</v>
      </c>
      <c r="D8" s="26">
        <f>SUMIF('GPT-5 Generation'!$A$47:$A$53, $A8, 'GPT-5 Generation'!$C$47:$C$53)</f>
        <v>0</v>
      </c>
      <c r="E8" s="26">
        <f>COUNTIFS('GPT-5 Generation'!$A$2:$A$46, $A8, 'GPT-5 Generation'!$C$2:$C$46,0)</f>
        <v>0</v>
      </c>
      <c r="F8" s="26" t="str">
        <f>IFERROR(C8 / (C8 +#REF!), "Not Available")</f>
        <v>Not Available</v>
      </c>
      <c r="G8" s="26">
        <f t="shared" si="0"/>
        <v>1</v>
      </c>
      <c r="H8" s="26" t="str">
        <f t="shared" si="1"/>
        <v>Not Available</v>
      </c>
      <c r="J8" s="29" t="s">
        <v>122</v>
      </c>
    </row>
    <row r="9" spans="1:11" ht="15.75" customHeight="1" x14ac:dyDescent="0.15">
      <c r="A9" s="27" t="s">
        <v>36</v>
      </c>
      <c r="B9" s="25">
        <f>COUNTIF('Chess Clock'!$A$2:$A$46, A9)</f>
        <v>4</v>
      </c>
      <c r="C9" s="26">
        <f>SUMIF('GPT-5 Generation'!$A$2:$A$46, $A9, 'GPT-5 Generation'!$C$2:$C$46)</f>
        <v>4</v>
      </c>
      <c r="D9" s="26">
        <f>SUMIF('GPT-5 Generation'!$A$47:$A$53, $A9, 'GPT-5 Generation'!$C$47:$C$53)</f>
        <v>0</v>
      </c>
      <c r="E9" s="26">
        <f>COUNTIFS('GPT-5 Generation'!$A$2:$A$46, $A9, 'GPT-5 Generation'!$C$2:$C$46,0)</f>
        <v>0</v>
      </c>
      <c r="F9" s="26">
        <f>IFERROR(C9 / (C9 + D9), "Not Available")</f>
        <v>1</v>
      </c>
      <c r="G9" s="26">
        <f t="shared" si="0"/>
        <v>1</v>
      </c>
      <c r="H9" s="26">
        <f t="shared" si="1"/>
        <v>1</v>
      </c>
    </row>
    <row r="10" spans="1:11" ht="15.75" customHeight="1" x14ac:dyDescent="0.15">
      <c r="A10" s="27" t="s">
        <v>69</v>
      </c>
      <c r="B10" s="26">
        <f>SUM(B3:B9)</f>
        <v>45</v>
      </c>
      <c r="C10" s="26">
        <f>SUM(C3:C9)</f>
        <v>45</v>
      </c>
      <c r="D10" s="26">
        <f>SUM(D3:D9)</f>
        <v>0</v>
      </c>
      <c r="E10" s="26">
        <f>SUM(E3:E9)</f>
        <v>0</v>
      </c>
      <c r="F10" s="26">
        <f>IFERROR(C10 / (C10 + D10), "Not Available")</f>
        <v>1</v>
      </c>
      <c r="G10" s="26">
        <f t="shared" si="0"/>
        <v>1</v>
      </c>
      <c r="H10" s="26">
        <f t="shared" si="1"/>
        <v>1</v>
      </c>
    </row>
    <row r="11" spans="1:11" ht="15.75" customHeight="1" x14ac:dyDescent="0.15"/>
    <row r="12" spans="1:11" ht="15.75" customHeight="1" x14ac:dyDescent="0.15"/>
    <row r="13" spans="1:11" ht="15.75" customHeight="1" x14ac:dyDescent="0.15"/>
    <row r="14" spans="1:11" ht="15.75" customHeight="1" x14ac:dyDescent="0.15"/>
    <row r="15" spans="1:11" ht="15.75" customHeight="1" x14ac:dyDescent="0.15"/>
    <row r="16" spans="1:11" ht="15.75" customHeight="1" x14ac:dyDescent="0.15"/>
    <row r="17" spans="8:8" ht="15.75" customHeight="1" x14ac:dyDescent="0.15"/>
    <row r="18" spans="8:8" ht="15.75" customHeight="1" x14ac:dyDescent="0.15"/>
    <row r="19" spans="8:8" ht="15.75" customHeight="1" x14ac:dyDescent="0.15"/>
    <row r="20" spans="8:8" ht="15.75" customHeight="1" x14ac:dyDescent="0.15"/>
    <row r="21" spans="8:8" ht="15.75" customHeight="1" x14ac:dyDescent="0.15"/>
    <row r="22" spans="8:8" ht="15.75" customHeight="1" x14ac:dyDescent="0.15">
      <c r="H22" s="28"/>
    </row>
    <row r="23" spans="8:8" ht="15.75" customHeight="1" x14ac:dyDescent="0.15"/>
    <row r="24" spans="8:8" ht="15.75" customHeight="1" x14ac:dyDescent="0.15"/>
    <row r="25" spans="8:8" ht="15.75" customHeight="1" x14ac:dyDescent="0.15"/>
    <row r="26" spans="8:8" ht="15.75" customHeight="1" x14ac:dyDescent="0.15"/>
    <row r="27" spans="8:8" ht="15.75" customHeight="1" x14ac:dyDescent="0.15"/>
    <row r="28" spans="8:8" ht="15.75" customHeight="1" x14ac:dyDescent="0.15"/>
    <row r="29" spans="8:8" ht="15.75" customHeight="1" x14ac:dyDescent="0.15"/>
    <row r="30" spans="8:8" ht="15.75" customHeight="1" x14ac:dyDescent="0.15"/>
    <row r="31" spans="8:8" ht="15.75" customHeight="1" x14ac:dyDescent="0.15"/>
    <row r="32" spans="8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Chess Clock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2026-05-14T22:04:51Z</dcterms:modified>
</cp:coreProperties>
</file>