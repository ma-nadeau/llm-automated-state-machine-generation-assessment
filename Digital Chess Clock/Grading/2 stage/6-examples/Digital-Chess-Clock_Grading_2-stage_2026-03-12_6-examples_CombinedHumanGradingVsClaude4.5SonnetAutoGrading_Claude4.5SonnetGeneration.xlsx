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gital Chess Clock/Grading/2 stage/6-examples/"/>
    </mc:Choice>
  </mc:AlternateContent>
  <xr:revisionPtr revIDLastSave="0" documentId="13_ncr:1_{95BF2897-C2BF-F44D-AC5B-2A6B05E14882}" xr6:coauthVersionLast="47" xr6:coauthVersionMax="47" xr10:uidLastSave="{00000000-0000-0000-0000-000000000000}"/>
  <bookViews>
    <workbookView xWindow="16180" yWindow="-21600" windowWidth="38400" windowHeight="21600" activeTab="3" xr2:uid="{00000000-000D-0000-FFFF-FFFF00000000}"/>
  </bookViews>
  <sheets>
    <sheet name="Chess Clock" sheetId="1" r:id="rId1"/>
    <sheet name="Human 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/IIZz0f1NEPk+lRb7HYRUe2QMhAJD98b/IhdQf8aUOs="/>
    </ext>
  </extLst>
</workbook>
</file>

<file path=xl/calcChain.xml><?xml version="1.0" encoding="utf-8"?>
<calcChain xmlns="http://schemas.openxmlformats.org/spreadsheetml/2006/main">
  <c r="B15" i="4" l="1"/>
  <c r="B16" i="4"/>
  <c r="B17" i="4"/>
  <c r="B18" i="4"/>
  <c r="B19" i="4"/>
  <c r="B20" i="4"/>
  <c r="B14" i="4"/>
  <c r="O54" i="6"/>
  <c r="N54" i="6"/>
  <c r="M54" i="6"/>
  <c r="O53" i="6"/>
  <c r="N53" i="6"/>
  <c r="M53" i="6"/>
  <c r="D53" i="6"/>
  <c r="I45" i="6" s="1"/>
  <c r="C53" i="6"/>
  <c r="B53" i="6"/>
  <c r="A53" i="6"/>
  <c r="O52" i="6"/>
  <c r="N52" i="6"/>
  <c r="M52" i="6"/>
  <c r="D52" i="6"/>
  <c r="I52" i="6" s="1"/>
  <c r="C52" i="6"/>
  <c r="G54" i="6" s="1"/>
  <c r="B52" i="6"/>
  <c r="A52" i="6"/>
  <c r="V51" i="6"/>
  <c r="D51" i="6"/>
  <c r="I24" i="6" s="1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I12" i="6" s="1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I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G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53" i="5"/>
  <c r="C53" i="5"/>
  <c r="B53" i="5"/>
  <c r="A53" i="5"/>
  <c r="D52" i="5"/>
  <c r="I52" i="5" s="1"/>
  <c r="C52" i="5"/>
  <c r="G54" i="5" s="1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I12" i="5" s="1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H12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H3" i="5"/>
  <c r="D3" i="5"/>
  <c r="C3" i="5"/>
  <c r="B3" i="5"/>
  <c r="A3" i="5"/>
  <c r="D2" i="5"/>
  <c r="C2" i="5"/>
  <c r="B2" i="5"/>
  <c r="A2" i="5"/>
  <c r="E20" i="4"/>
  <c r="E21" i="4" s="1"/>
  <c r="D20" i="4"/>
  <c r="D21" i="4" s="1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B21" i="4" l="1"/>
  <c r="I5" i="6"/>
  <c r="G3" i="6"/>
  <c r="H5" i="6"/>
  <c r="H3" i="6"/>
  <c r="H4" i="6"/>
  <c r="G5" i="6"/>
  <c r="J5" i="6" s="1"/>
  <c r="I3" i="6"/>
  <c r="I4" i="6"/>
  <c r="H11" i="6"/>
  <c r="G19" i="6"/>
  <c r="J19" i="6" s="1"/>
  <c r="G38" i="6"/>
  <c r="G33" i="6"/>
  <c r="I32" i="6"/>
  <c r="G32" i="6"/>
  <c r="H31" i="6"/>
  <c r="G31" i="6"/>
  <c r="I26" i="6"/>
  <c r="G26" i="6"/>
  <c r="H25" i="6"/>
  <c r="G25" i="6"/>
  <c r="G11" i="6"/>
  <c r="J11" i="6" s="1"/>
  <c r="I10" i="6"/>
  <c r="I13" i="6" s="1"/>
  <c r="G46" i="6"/>
  <c r="H46" i="6"/>
  <c r="I46" i="6"/>
  <c r="H24" i="6"/>
  <c r="G24" i="6"/>
  <c r="G12" i="6"/>
  <c r="J12" i="6" s="1"/>
  <c r="G47" i="6"/>
  <c r="H45" i="6"/>
  <c r="G45" i="6"/>
  <c r="I40" i="6"/>
  <c r="H40" i="6"/>
  <c r="G40" i="6"/>
  <c r="I39" i="6"/>
  <c r="H39" i="6"/>
  <c r="G39" i="6"/>
  <c r="J39" i="6" s="1"/>
  <c r="H38" i="6"/>
  <c r="H41" i="6" s="1"/>
  <c r="H33" i="6"/>
  <c r="H32" i="6"/>
  <c r="I31" i="6"/>
  <c r="I34" i="6" s="1"/>
  <c r="H26" i="6"/>
  <c r="I25" i="6"/>
  <c r="I27" i="6" s="1"/>
  <c r="H10" i="6"/>
  <c r="H13" i="6" s="1"/>
  <c r="H47" i="6"/>
  <c r="I47" i="6"/>
  <c r="G52" i="6"/>
  <c r="H52" i="6"/>
  <c r="H55" i="6" s="1"/>
  <c r="H12" i="6"/>
  <c r="H54" i="6"/>
  <c r="I19" i="6"/>
  <c r="I38" i="6"/>
  <c r="H19" i="6"/>
  <c r="I53" i="6"/>
  <c r="H53" i="6"/>
  <c r="G10" i="6"/>
  <c r="I54" i="6"/>
  <c r="I11" i="6"/>
  <c r="G17" i="6"/>
  <c r="H17" i="6"/>
  <c r="I17" i="6"/>
  <c r="G18" i="6"/>
  <c r="H18" i="6"/>
  <c r="I18" i="6"/>
  <c r="G53" i="6"/>
  <c r="J53" i="6" s="1"/>
  <c r="G4" i="5"/>
  <c r="I5" i="5"/>
  <c r="G3" i="5"/>
  <c r="H4" i="5"/>
  <c r="H5" i="5"/>
  <c r="I3" i="5"/>
  <c r="I4" i="5"/>
  <c r="G5" i="5"/>
  <c r="J5" i="5" s="1"/>
  <c r="G45" i="5"/>
  <c r="I46" i="5"/>
  <c r="H32" i="5"/>
  <c r="G33" i="5"/>
  <c r="J33" i="5" s="1"/>
  <c r="G38" i="5"/>
  <c r="I39" i="5"/>
  <c r="I40" i="5"/>
  <c r="I45" i="5"/>
  <c r="I48" i="5" s="1"/>
  <c r="H46" i="5"/>
  <c r="G47" i="5"/>
  <c r="I53" i="5"/>
  <c r="G52" i="5"/>
  <c r="G26" i="5"/>
  <c r="H47" i="5"/>
  <c r="H40" i="5"/>
  <c r="G39" i="5"/>
  <c r="H38" i="5"/>
  <c r="H41" i="5" s="1"/>
  <c r="H33" i="5"/>
  <c r="G32" i="5"/>
  <c r="H31" i="5"/>
  <c r="G25" i="5"/>
  <c r="H19" i="5"/>
  <c r="I17" i="5"/>
  <c r="I20" i="5" s="1"/>
  <c r="G53" i="5"/>
  <c r="J53" i="5" s="1"/>
  <c r="I54" i="5"/>
  <c r="H52" i="5"/>
  <c r="G24" i="5"/>
  <c r="H53" i="5"/>
  <c r="H39" i="5"/>
  <c r="I26" i="5"/>
  <c r="I25" i="5"/>
  <c r="I24" i="5"/>
  <c r="I27" i="5" s="1"/>
  <c r="I19" i="5"/>
  <c r="I18" i="5"/>
  <c r="H17" i="5"/>
  <c r="G10" i="5"/>
  <c r="G46" i="5"/>
  <c r="G11" i="5"/>
  <c r="H25" i="5"/>
  <c r="G18" i="5"/>
  <c r="G17" i="5"/>
  <c r="G12" i="5"/>
  <c r="J12" i="5" s="1"/>
  <c r="I11" i="5"/>
  <c r="I10" i="5"/>
  <c r="G19" i="5"/>
  <c r="J19" i="5" s="1"/>
  <c r="H11" i="5"/>
  <c r="H10" i="5"/>
  <c r="H13" i="5" s="1"/>
  <c r="I31" i="5"/>
  <c r="H18" i="5"/>
  <c r="H54" i="5"/>
  <c r="J54" i="5" s="1"/>
  <c r="H24" i="5"/>
  <c r="H26" i="5"/>
  <c r="G31" i="5"/>
  <c r="I32" i="5"/>
  <c r="I33" i="5"/>
  <c r="I38" i="5"/>
  <c r="G40" i="5"/>
  <c r="H45" i="5"/>
  <c r="I47" i="5"/>
  <c r="C21" i="4"/>
  <c r="G20" i="4"/>
  <c r="F20" i="4"/>
  <c r="H20" i="4" s="1"/>
  <c r="G19" i="4"/>
  <c r="F19" i="4"/>
  <c r="H19" i="4" s="1"/>
  <c r="G18" i="4"/>
  <c r="F18" i="4"/>
  <c r="H18" i="4" s="1"/>
  <c r="G17" i="4"/>
  <c r="F17" i="4"/>
  <c r="G16" i="4"/>
  <c r="F16" i="4"/>
  <c r="G15" i="4"/>
  <c r="F15" i="4"/>
  <c r="H15" i="4" s="1"/>
  <c r="G14" i="4"/>
  <c r="F14" i="4"/>
  <c r="F9" i="4"/>
  <c r="G9" i="4"/>
  <c r="F8" i="4"/>
  <c r="G8" i="4"/>
  <c r="F7" i="4"/>
  <c r="G7" i="4"/>
  <c r="F6" i="4"/>
  <c r="G6" i="4"/>
  <c r="F5" i="4"/>
  <c r="G5" i="4"/>
  <c r="G4" i="4"/>
  <c r="F4" i="4"/>
  <c r="H4" i="4" s="1"/>
  <c r="G3" i="4"/>
  <c r="F3" i="4"/>
  <c r="H3" i="4" s="1"/>
  <c r="C10" i="4"/>
  <c r="H17" i="4" l="1"/>
  <c r="H16" i="4"/>
  <c r="J3" i="6"/>
  <c r="G6" i="6"/>
  <c r="J6" i="6"/>
  <c r="W3" i="6"/>
  <c r="T5" i="6"/>
  <c r="R5" i="6"/>
  <c r="J38" i="6"/>
  <c r="G41" i="6"/>
  <c r="J41" i="6"/>
  <c r="W38" i="6" s="1"/>
  <c r="J31" i="6"/>
  <c r="G34" i="6"/>
  <c r="J34" i="6"/>
  <c r="W31" i="6"/>
  <c r="J24" i="6"/>
  <c r="J27" i="6"/>
  <c r="W24" i="6" s="1"/>
  <c r="G27" i="6"/>
  <c r="J45" i="6"/>
  <c r="G48" i="6"/>
  <c r="J48" i="6"/>
  <c r="W45" i="6" s="1"/>
  <c r="R39" i="6"/>
  <c r="S39" i="6"/>
  <c r="J52" i="6"/>
  <c r="G55" i="6"/>
  <c r="J55" i="6"/>
  <c r="W52" i="6" s="1"/>
  <c r="G13" i="6"/>
  <c r="J13" i="6"/>
  <c r="W10" i="6"/>
  <c r="J10" i="6"/>
  <c r="J17" i="6"/>
  <c r="G20" i="6"/>
  <c r="J20" i="6"/>
  <c r="R53" i="6"/>
  <c r="S53" i="6"/>
  <c r="M3" i="5"/>
  <c r="J3" i="5"/>
  <c r="G6" i="5"/>
  <c r="G48" i="5"/>
  <c r="J45" i="5"/>
  <c r="M45" i="5"/>
  <c r="J38" i="5"/>
  <c r="G41" i="5"/>
  <c r="M38" i="5"/>
  <c r="G55" i="5"/>
  <c r="J52" i="5"/>
  <c r="M52" i="5"/>
  <c r="J24" i="5"/>
  <c r="M24" i="5"/>
  <c r="G27" i="5"/>
  <c r="M10" i="5"/>
  <c r="J10" i="5"/>
  <c r="G13" i="5"/>
  <c r="J17" i="5"/>
  <c r="M17" i="5"/>
  <c r="G20" i="5"/>
  <c r="J31" i="5"/>
  <c r="M31" i="5"/>
  <c r="G34" i="5"/>
  <c r="F21" i="4"/>
  <c r="G21" i="4"/>
  <c r="F10" i="4"/>
  <c r="G10" i="4"/>
  <c r="J26" i="6"/>
  <c r="J54" i="6"/>
  <c r="I41" i="6"/>
  <c r="T39" i="6" s="1"/>
  <c r="I55" i="6"/>
  <c r="T53" i="6" s="1"/>
  <c r="H20" i="6"/>
  <c r="I20" i="6"/>
  <c r="J18" i="6"/>
  <c r="I6" i="5"/>
  <c r="J4" i="5"/>
  <c r="H6" i="5"/>
  <c r="J47" i="5"/>
  <c r="I55" i="5"/>
  <c r="J26" i="5"/>
  <c r="J39" i="5"/>
  <c r="J32" i="5"/>
  <c r="H34" i="5"/>
  <c r="J25" i="5"/>
  <c r="J11" i="5"/>
  <c r="J18" i="5"/>
  <c r="H27" i="5"/>
  <c r="J40" i="5"/>
  <c r="H55" i="5"/>
  <c r="H20" i="5"/>
  <c r="J46" i="5"/>
  <c r="I13" i="5"/>
  <c r="I34" i="5"/>
  <c r="I41" i="5"/>
  <c r="H48" i="5"/>
  <c r="H6" i="6"/>
  <c r="S5" i="6" s="1"/>
  <c r="J4" i="6"/>
  <c r="J33" i="6"/>
  <c r="J32" i="6"/>
  <c r="H27" i="6"/>
  <c r="H48" i="6"/>
  <c r="H14" i="4"/>
  <c r="H9" i="4"/>
  <c r="H8" i="4"/>
  <c r="H7" i="4"/>
  <c r="H6" i="4"/>
  <c r="H5" i="4"/>
  <c r="I6" i="6"/>
  <c r="H34" i="6"/>
  <c r="J25" i="6"/>
  <c r="J46" i="6"/>
  <c r="I48" i="6"/>
  <c r="J47" i="6"/>
  <c r="J40" i="6"/>
  <c r="T3" i="6" l="1"/>
  <c r="R3" i="6"/>
  <c r="S3" i="6"/>
  <c r="R38" i="6"/>
  <c r="T38" i="6"/>
  <c r="S38" i="6"/>
  <c r="S31" i="6"/>
  <c r="T31" i="6"/>
  <c r="R31" i="6"/>
  <c r="W32" i="6" s="1"/>
  <c r="W33" i="6" s="1"/>
  <c r="R24" i="6"/>
  <c r="S24" i="6"/>
  <c r="T24" i="6"/>
  <c r="R45" i="6"/>
  <c r="S45" i="6"/>
  <c r="T45" i="6"/>
  <c r="R52" i="6"/>
  <c r="S52" i="6"/>
  <c r="T52" i="6"/>
  <c r="S10" i="6"/>
  <c r="T10" i="6"/>
  <c r="R10" i="6"/>
  <c r="R17" i="6"/>
  <c r="S17" i="6"/>
  <c r="T17" i="6"/>
  <c r="T26" i="6"/>
  <c r="R26" i="6"/>
  <c r="S26" i="6"/>
  <c r="R54" i="6"/>
  <c r="S54" i="6"/>
  <c r="T54" i="6"/>
  <c r="T18" i="6"/>
  <c r="S18" i="6"/>
  <c r="R18" i="6"/>
  <c r="S4" i="6"/>
  <c r="T4" i="6"/>
  <c r="R4" i="6"/>
  <c r="T33" i="6"/>
  <c r="S33" i="6"/>
  <c r="R33" i="6"/>
  <c r="S32" i="6"/>
  <c r="T32" i="6"/>
  <c r="R32" i="6"/>
  <c r="T25" i="6"/>
  <c r="S25" i="6"/>
  <c r="R25" i="6"/>
  <c r="T46" i="6"/>
  <c r="S46" i="6"/>
  <c r="R46" i="6"/>
  <c r="T47" i="6"/>
  <c r="S47" i="6"/>
  <c r="R47" i="6"/>
  <c r="T40" i="6"/>
  <c r="S40" i="6"/>
  <c r="R40" i="6"/>
  <c r="M46" i="5" a="1"/>
  <c r="M46" i="5" s="1"/>
  <c r="M47" i="5" s="1"/>
  <c r="M18" i="5" a="1"/>
  <c r="M18" i="5" s="1"/>
  <c r="M19" i="5" s="1"/>
  <c r="H21" i="4"/>
  <c r="H10" i="4"/>
  <c r="M25" i="5" a="1"/>
  <c r="M25" i="5" s="1"/>
  <c r="M26" i="5" s="1"/>
  <c r="M11" i="5" a="1"/>
  <c r="M11" i="5" s="1"/>
  <c r="M12" i="5" s="1"/>
  <c r="M4" i="5" a="1"/>
  <c r="M4" i="5" s="1"/>
  <c r="M5" i="5" s="1"/>
  <c r="M39" i="5" a="1"/>
  <c r="M39" i="5" s="1"/>
  <c r="M40" i="5" s="1"/>
  <c r="M53" i="5" a="1"/>
  <c r="M53" i="5" s="1"/>
  <c r="M54" i="5" s="1"/>
  <c r="M32" i="5" a="1"/>
  <c r="M32" i="5" s="1"/>
  <c r="M33" i="5" s="1"/>
  <c r="R11" i="6"/>
  <c r="S11" i="6"/>
  <c r="T11" i="6"/>
  <c r="R12" i="6"/>
  <c r="S12" i="6"/>
  <c r="T12" i="6"/>
  <c r="R19" i="6"/>
  <c r="S19" i="6"/>
  <c r="T19" i="6"/>
  <c r="W17" i="6"/>
  <c r="W25" i="6" l="1"/>
  <c r="W26" i="6" s="1"/>
  <c r="W11" i="6"/>
  <c r="W12" i="6" s="1"/>
  <c r="W18" i="6"/>
  <c r="W19" i="6" s="1"/>
  <c r="W4" i="6"/>
  <c r="W5" i="6" s="1"/>
  <c r="W39" i="6"/>
  <c r="W40" i="6" s="1"/>
  <c r="W46" i="6"/>
  <c r="W47" i="6" s="1"/>
  <c r="W53" i="6"/>
  <c r="W54" i="6" s="1"/>
</calcChain>
</file>

<file path=xl/sharedStrings.xml><?xml version="1.0" encoding="utf-8"?>
<sst xmlns="http://schemas.openxmlformats.org/spreadsheetml/2006/main" count="748" uniqueCount="163">
  <si>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</si>
  <si>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</si>
  <si>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</si>
  <si>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</si>
  <si>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</si>
  <si>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</si>
  <si>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</si>
  <si>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</si>
  <si>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</si>
  <si>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</si>
  <si>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</si>
  <si>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</si>
  <si>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</si>
  <si>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</si>
  <si>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</si>
  <si>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</si>
  <si>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</si>
  <si>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</si>
  <si>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</si>
  <si>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</si>
  <si>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</si>
  <si>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</si>
  <si>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</si>
  <si>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</si>
  <si>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</si>
  <si>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</si>
  <si>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</si>
  <si>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</si>
  <si>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</si>
  <si>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</si>
  <si>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</si>
  <si>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</si>
  <si>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</si>
  <si>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</si>
  <si>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</si>
  <si>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</si>
  <si>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</si>
  <si>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</si>
  <si>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</si>
  <si>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</si>
  <si>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</si>
  <si>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</si>
  <si>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</si>
  <si>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</si>
  <si>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</si>
  <si>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</si>
  <si>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</si>
  <si>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</si>
  <si>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</si>
  <si>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</si>
  <si>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</si>
  <si>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</si>
  <si>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</si>
  <si>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</si>
  <si>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</si>
  <si>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Notes</t>
  </si>
  <si>
    <t>doesnt have parralel regions but its equivalent</t>
  </si>
  <si>
    <t xml:space="preserve">shown with swaporientation() </t>
  </si>
  <si>
    <t>from setup to gameActive</t>
  </si>
  <si>
    <t>represented as countdown as a DO action</t>
  </si>
  <si>
    <t>because of the DO ACTION, this is equivalent</t>
  </si>
  <si>
    <t>shown but as whiteTimeout and blackTimeout states instead of to GameFinished</t>
  </si>
  <si>
    <t>LLM</t>
  </si>
  <si>
    <t>Correctly represented with [*] --&gt; Off</t>
  </si>
  <si>
    <t>Off state is present</t>
  </si>
  <si>
    <t>Off --&gt; On : onOff transition is present</t>
  </si>
  <si>
    <t>On composite state is present</t>
  </si>
  <si>
    <t>[*] --&gt; Setup within On state</t>
  </si>
  <si>
    <t>Setup composite state exists but lacks parallel regions for timing and orientation</t>
  </si>
  <si>
    <t>No parallel regions defined; timing selection is within Setup but not as a separate region</t>
  </si>
  <si>
    <t>No separate region 1 with initial state</t>
  </si>
  <si>
    <t>TimingSelection state exists within Setup</t>
  </si>
  <si>
    <t>selectNextTiming() action on plus event is semantically equivalent</t>
  </si>
  <si>
    <t>selectPreviousTiming() action on minus event is semantically equivalent</t>
  </si>
  <si>
    <t>Self-transitions on plus and minus events are present</t>
  </si>
  <si>
    <t>Setup --&gt; GameActive via startStop exists but no explicit ReadyToStart state</t>
  </si>
  <si>
    <t>No parallel region 2 for orientation tracking</t>
  </si>
  <si>
    <t>No separate region 2 with initial state</t>
  </si>
  <si>
    <t>No explicit state for white king orientation</t>
  </si>
  <si>
    <t>No separate orientation region or initial transition</t>
  </si>
  <si>
    <t>Flip action exists but no separate orientation states</t>
  </si>
  <si>
    <t>TimingSelected state serves similar purpose but not explicitly named ReadyToStart</t>
  </si>
  <si>
    <t>Setup --&gt; GameActive : startStop transition is present</t>
  </si>
  <si>
    <t>GameActive composite state represents game running</t>
  </si>
  <si>
    <t>History state H is present in GameActive</t>
  </si>
  <si>
    <t>WhiteTurn state represents white clock running</t>
  </si>
  <si>
    <t>startWhiteClock() action is semantically equivalent</t>
  </si>
  <si>
    <t>stopWhiteClock() action is present</t>
  </si>
  <si>
    <t>No explicit guard for white clock countdown; timeout handled separately</t>
  </si>
  <si>
    <t>countDownWhite() do activity is semantically equivalent</t>
  </si>
  <si>
    <t>No self-transition for countdown; handled via do activity</t>
  </si>
  <si>
    <t>BlackTurn state represents black clock running</t>
  </si>
  <si>
    <t>startBlackClock() action is semantically equivalent</t>
  </si>
  <si>
    <t>stopBlackClock() action is present</t>
  </si>
  <si>
    <t>No explicit guard for black clock countdown; timeout handled separately</t>
  </si>
  <si>
    <t>countDownBlack() do activity is semantically equivalent</t>
  </si>
  <si>
    <t>WhiteTurn/BlackTurn --&gt; Paused : startStop transitions present</t>
  </si>
  <si>
    <t>Timeout states exist but no explicit GameFinished state</t>
  </si>
  <si>
    <t>[whiteTime == 0] guard is present on WhiteTurn --&gt; WhiteTimeout</t>
  </si>
  <si>
    <t>[blackTime == 0] guard is present on BlackTurn --&gt; BlackTimeout</t>
  </si>
  <si>
    <t>Paused state is present</t>
  </si>
  <si>
    <t>Paused --&gt; H : startStop / resumeClock() transition present</t>
  </si>
  <si>
    <t>WhiteTimeout and BlackTimeout states represent finished game but no unified GameFinished state</t>
  </si>
  <si>
    <t>On --&gt; Off : onOff transition is present</t>
  </si>
  <si>
    <t>WhiteTimeout and BlackTimeout states are extra; system description only mentions flag display not separate states</t>
  </si>
  <si>
    <t>All transitions are reasonable</t>
  </si>
  <si>
    <t>All guards are reasonable</t>
  </si>
  <si>
    <t>addIncrementToWhite/Black actions are redundant; increment should be added on exit not on flip</t>
  </si>
  <si>
    <t>All composite states are reasonable</t>
  </si>
  <si>
    <t>No additional regions present</t>
  </si>
  <si>
    <t>Only one history state H which is appropriate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</si>
  <si>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</si>
  <si>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</si>
  <si>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</si>
  <si>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</si>
  <si>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</si>
  <si>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</si>
  <si>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</si>
  <si>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</si>
  <si>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</si>
  <si>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LLM Used</t>
  </si>
  <si>
    <t>Claude 4.5 Sonnet</t>
  </si>
  <si>
    <t>Overall Score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</si>
  <si>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</si>
  <si>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</si>
  <si>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</si>
  <si>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</si>
  <si>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</si>
  <si>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</si>
  <si>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</si>
  <si>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</si>
  <si>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</si>
  <si>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</si>
  <si>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</si>
  <si>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</si>
  <si>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</si>
  <si>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</si>
  <si>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</si>
  <si>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</si>
  <si>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</si>
  <si>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</si>
  <si>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</si>
  <si>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</si>
  <si>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</si>
  <si>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</si>
  <si>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</si>
  <si>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</si>
  <si>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</si>
  <si>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</si>
  <si>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</si>
  <si>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</si>
  <si>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</si>
  <si>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</si>
  <si>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</si>
  <si>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</si>
  <si>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</si>
  <si>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</si>
  <si>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</si>
  <si>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</si>
  <si>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</si>
  <si>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Human</t>
  </si>
  <si>
    <t>Claude Grader Human</t>
  </si>
  <si>
    <t>Claude Grader 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</si>
</sst>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5" fillId="0" borderId="0" xfId="0" applyFont="1"/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4" borderId="5" xfId="0" applyFont="1" applyFill="1" applyBorder="1"/>
    <xf numFmtId="0" fontId="2" fillId="3" borderId="6" xfId="0" applyFont="1" applyFill="1" applyBorder="1"/>
    <xf numFmtId="0" fontId="2" fillId="4" borderId="7" xfId="0" applyFont="1" applyFill="1" applyBorder="1"/>
    <xf numFmtId="0" fontId="5" fillId="0" borderId="0" xfId="0" applyFont="1" applyAlignment="1">
      <alignment horizontal="right"/>
    </xf>
    <xf numFmtId="0" fontId="2" fillId="4" borderId="4" xfId="0" applyFont="1" applyFill="1" applyBorder="1" applyAlignment="1">
      <alignment horizontal="center"/>
    </xf>
    <xf numFmtId="0" fontId="5" fillId="6" borderId="0" xfId="0" applyFont="1" applyFill="1"/>
    <xf numFmtId="0" fontId="3" fillId="5" borderId="9" xfId="0" applyFont="1" applyFill="1" applyBorder="1" applyAlignment="1">
      <alignment horizontal="center"/>
    </xf>
    <xf numFmtId="0" fontId="5" fillId="3" borderId="0" xfId="0" applyFont="1" applyFill="1"/>
    <xf numFmtId="0" fontId="7" fillId="7" borderId="9" xfId="0" applyFont="1" applyFill="1" applyBorder="1" applyAlignment="1">
      <alignment vertical="center" wrapText="1"/>
    </xf>
    <xf numFmtId="0" fontId="2" fillId="0" borderId="9" xfId="0" applyFont="1" applyBorder="1"/>
    <xf numFmtId="0" fontId="4" fillId="0" borderId="9" xfId="0" applyFont="1" applyBorder="1"/>
    <xf numFmtId="0" fontId="3" fillId="0" borderId="9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4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8" borderId="24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8" fillId="2" borderId="8" xfId="0" applyFont="1" applyFill="1" applyBorder="1"/>
    <xf numFmtId="0" fontId="3" fillId="5" borderId="4" xfId="0" applyFont="1" applyFill="1" applyBorder="1" applyAlignment="1">
      <alignment horizontal="center"/>
    </xf>
    <xf numFmtId="0" fontId="6" fillId="0" borderId="8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0" xfId="0" applyFont="1" applyBorder="1" applyAlignment="1">
      <alignment horizontal="center"/>
    </xf>
    <xf numFmtId="0" fontId="6" fillId="0" borderId="10" xfId="0" applyFont="1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Chess Clock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3">
  <tableColumns count="2">
    <tableColumn id="1" xr3:uid="{00000000-0010-0000-0000-000001000000}" name="Type"/>
    <tableColumn id="2" xr3:uid="{00000000-0010-0000-0000-000002000000}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3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3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3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3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51.16406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5" t="s">
        <v>4</v>
      </c>
      <c r="B3" s="6" t="s">
        <v>5</v>
      </c>
    </row>
    <row r="4" spans="1:2" ht="12.75" customHeight="1" x14ac:dyDescent="0.15">
      <c r="A4" s="3" t="s">
        <v>2</v>
      </c>
      <c r="B4" s="4" t="s">
        <v>6</v>
      </c>
    </row>
    <row r="5" spans="1:2" ht="12.75" customHeight="1" x14ac:dyDescent="0.15">
      <c r="A5" s="5" t="s">
        <v>4</v>
      </c>
      <c r="B5" s="6" t="s">
        <v>7</v>
      </c>
    </row>
    <row r="6" spans="1:2" ht="12.75" customHeight="1" x14ac:dyDescent="0.15">
      <c r="A6" s="3" t="s">
        <v>8</v>
      </c>
      <c r="B6" s="4" t="s">
        <v>9</v>
      </c>
    </row>
    <row r="7" spans="1:2" ht="12.75" customHeight="1" x14ac:dyDescent="0.15">
      <c r="A7" s="5" t="s">
        <v>2</v>
      </c>
      <c r="B7" s="6" t="s">
        <v>10</v>
      </c>
    </row>
    <row r="8" spans="1:2" ht="12.75" customHeight="1" x14ac:dyDescent="0.15">
      <c r="A8" s="3" t="s">
        <v>8</v>
      </c>
      <c r="B8" s="4" t="s">
        <v>11</v>
      </c>
    </row>
    <row r="9" spans="1:2" ht="12.75" customHeight="1" x14ac:dyDescent="0.15">
      <c r="A9" s="5" t="s">
        <v>12</v>
      </c>
      <c r="B9" s="6" t="s">
        <v>13</v>
      </c>
    </row>
    <row r="10" spans="1:2" ht="12.75" customHeight="1" x14ac:dyDescent="0.15">
      <c r="A10" s="3" t="s">
        <v>2</v>
      </c>
      <c r="B10" s="4" t="s">
        <v>14</v>
      </c>
    </row>
    <row r="11" spans="1:2" ht="12.75" customHeight="1" x14ac:dyDescent="0.15">
      <c r="A11" s="5" t="s">
        <v>2</v>
      </c>
      <c r="B11" s="6" t="s">
        <v>15</v>
      </c>
    </row>
    <row r="12" spans="1:2" ht="12.75" customHeight="1" x14ac:dyDescent="0.15">
      <c r="A12" s="3" t="s">
        <v>16</v>
      </c>
      <c r="B12" s="4" t="s">
        <v>17</v>
      </c>
    </row>
    <row r="13" spans="1:2" ht="12.75" customHeight="1" x14ac:dyDescent="0.15">
      <c r="A13" s="5" t="s">
        <v>16</v>
      </c>
      <c r="B13" s="6" t="s">
        <v>18</v>
      </c>
    </row>
    <row r="14" spans="1:2" ht="12.75" customHeight="1" x14ac:dyDescent="0.15">
      <c r="A14" s="3" t="s">
        <v>4</v>
      </c>
      <c r="B14" s="4" t="s">
        <v>19</v>
      </c>
    </row>
    <row r="15" spans="1:2" ht="12.75" customHeight="1" x14ac:dyDescent="0.15">
      <c r="A15" s="5" t="s">
        <v>4</v>
      </c>
      <c r="B15" s="6" t="s">
        <v>20</v>
      </c>
    </row>
    <row r="16" spans="1:2" ht="12.75" customHeight="1" x14ac:dyDescent="0.15">
      <c r="A16" s="3" t="s">
        <v>12</v>
      </c>
      <c r="B16" s="4" t="s">
        <v>21</v>
      </c>
    </row>
    <row r="17" spans="1:22" ht="15" customHeight="1" x14ac:dyDescent="0.15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</row>
    <row r="19" spans="1:22" ht="12.75" customHeight="1" x14ac:dyDescent="0.15">
      <c r="A19" s="5" t="s">
        <v>2</v>
      </c>
      <c r="B19" s="6" t="s">
        <v>24</v>
      </c>
    </row>
    <row r="20" spans="1:22" ht="12.75" customHeight="1" x14ac:dyDescent="0.15">
      <c r="A20" s="3" t="s">
        <v>4</v>
      </c>
      <c r="B20" s="4" t="s">
        <v>25</v>
      </c>
    </row>
    <row r="21" spans="1:22" ht="12.75" customHeight="1" x14ac:dyDescent="0.15">
      <c r="A21" s="5" t="s">
        <v>4</v>
      </c>
      <c r="B21" s="6" t="s">
        <v>26</v>
      </c>
    </row>
    <row r="22" spans="1:22" ht="12.75" customHeight="1" x14ac:dyDescent="0.15">
      <c r="A22" s="3" t="s">
        <v>4</v>
      </c>
      <c r="B22" s="4" t="s">
        <v>27</v>
      </c>
    </row>
    <row r="23" spans="1:22" ht="12.75" customHeight="1" x14ac:dyDescent="0.15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</row>
    <row r="25" spans="1:22" ht="12.75" customHeight="1" x14ac:dyDescent="0.15">
      <c r="A25" s="5" t="s">
        <v>8</v>
      </c>
      <c r="B25" s="6" t="s">
        <v>30</v>
      </c>
    </row>
    <row r="26" spans="1:22" ht="15" customHeight="1" x14ac:dyDescent="0.15">
      <c r="A26" s="3" t="s">
        <v>31</v>
      </c>
      <c r="B26" s="4" t="s">
        <v>32</v>
      </c>
    </row>
    <row r="27" spans="1:22" ht="12.75" customHeight="1" x14ac:dyDescent="0.15">
      <c r="A27" s="5" t="s">
        <v>2</v>
      </c>
      <c r="B27" s="6" t="s">
        <v>33</v>
      </c>
    </row>
    <row r="28" spans="1:22" ht="12.75" customHeight="1" x14ac:dyDescent="0.15">
      <c r="A28" s="3" t="s">
        <v>16</v>
      </c>
      <c r="B28" s="4" t="s">
        <v>34</v>
      </c>
    </row>
    <row r="29" spans="1:22" ht="12.75" customHeight="1" x14ac:dyDescent="0.15">
      <c r="A29" s="5" t="s">
        <v>16</v>
      </c>
      <c r="B29" s="6" t="s">
        <v>35</v>
      </c>
    </row>
    <row r="30" spans="1:22" ht="12.75" customHeight="1" x14ac:dyDescent="0.15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</row>
    <row r="33" spans="1:22" ht="12.75" customHeight="1" x14ac:dyDescent="0.15">
      <c r="A33" s="5" t="s">
        <v>2</v>
      </c>
      <c r="B33" s="6" t="s">
        <v>40</v>
      </c>
    </row>
    <row r="34" spans="1:22" ht="12.75" customHeight="1" x14ac:dyDescent="0.15">
      <c r="A34" s="3" t="s">
        <v>16</v>
      </c>
      <c r="B34" s="4" t="s">
        <v>41</v>
      </c>
    </row>
    <row r="35" spans="1:22" ht="12.75" customHeight="1" x14ac:dyDescent="0.15">
      <c r="A35" s="5" t="s">
        <v>16</v>
      </c>
      <c r="B35" s="6" t="s">
        <v>42</v>
      </c>
    </row>
    <row r="36" spans="1:22" ht="12.75" customHeight="1" x14ac:dyDescent="0.15">
      <c r="A36" s="3" t="s">
        <v>36</v>
      </c>
      <c r="B36" s="4" t="s">
        <v>43</v>
      </c>
    </row>
    <row r="37" spans="1:22" ht="12.75" customHeight="1" x14ac:dyDescent="0.15">
      <c r="A37" s="5" t="s">
        <v>16</v>
      </c>
      <c r="B37" s="6" t="s">
        <v>44</v>
      </c>
    </row>
    <row r="38" spans="1:22" ht="12.75" customHeight="1" x14ac:dyDescent="0.15">
      <c r="A38" s="3" t="s">
        <v>4</v>
      </c>
      <c r="B38" s="4" t="s">
        <v>45</v>
      </c>
    </row>
    <row r="39" spans="1:22" ht="15" customHeight="1" x14ac:dyDescent="0.15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5" t="s">
        <v>8</v>
      </c>
      <c r="B51" s="4" t="s">
        <v>54</v>
      </c>
    </row>
    <row r="52" spans="1:22" ht="12.75" customHeight="1" x14ac:dyDescent="0.15">
      <c r="A52" s="3" t="s">
        <v>12</v>
      </c>
      <c r="B52" s="4" t="s">
        <v>54</v>
      </c>
    </row>
    <row r="53" spans="1:22" ht="12.75" customHeight="1" x14ac:dyDescent="0.15">
      <c r="A53" s="5" t="s">
        <v>31</v>
      </c>
      <c r="B53" s="6" t="s">
        <v>54</v>
      </c>
    </row>
    <row r="54" spans="1:22" ht="12.75" customHeight="1" x14ac:dyDescent="0.15">
      <c r="A54" s="10"/>
      <c r="B54" s="11"/>
    </row>
    <row r="55" spans="1:22" ht="12.75" customHeight="1" x14ac:dyDescent="0.15">
      <c r="A55" s="10"/>
      <c r="B55" s="11"/>
    </row>
    <row r="56" spans="1:22" ht="12.75" customHeight="1" x14ac:dyDescent="0.15">
      <c r="A56" s="10"/>
      <c r="B56" s="11"/>
    </row>
    <row r="57" spans="1:22" ht="12.75" customHeight="1" x14ac:dyDescent="0.15">
      <c r="A57" s="10"/>
      <c r="B57" s="11"/>
    </row>
    <row r="58" spans="1:22" ht="12.75" customHeight="1" x14ac:dyDescent="0.15">
      <c r="A58" s="10"/>
      <c r="B58" s="11"/>
    </row>
    <row r="59" spans="1:22" ht="12.75" customHeight="1" x14ac:dyDescent="0.15">
      <c r="A59" s="10"/>
      <c r="B59" s="11"/>
    </row>
    <row r="60" spans="1:22" ht="12.75" customHeight="1" x14ac:dyDescent="0.15">
      <c r="A60" s="10"/>
      <c r="B60" s="11"/>
    </row>
    <row r="61" spans="1:22" ht="12.75" customHeight="1" x14ac:dyDescent="0.15">
      <c r="A61" s="10"/>
      <c r="B61" s="11"/>
    </row>
    <row r="62" spans="1:22" ht="12.75" customHeight="1" x14ac:dyDescent="0.15">
      <c r="A62" s="10"/>
      <c r="B62" s="11"/>
    </row>
    <row r="63" spans="1:22" ht="12.75" customHeight="1" x14ac:dyDescent="0.15">
      <c r="A63" s="10"/>
      <c r="B63" s="11"/>
    </row>
    <row r="64" spans="1:22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>
      <c r="A995" s="10"/>
      <c r="B995" s="11"/>
    </row>
    <row r="996" spans="1:2" ht="12.75" customHeight="1" x14ac:dyDescent="0.15">
      <c r="A996" s="10"/>
      <c r="B996" s="11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>
      <selection activeCell="C1" sqref="C1"/>
    </sheetView>
  </sheetViews>
  <sheetFormatPr baseColWidth="10" defaultColWidth="12.6640625" defaultRowHeight="15" customHeight="1" x14ac:dyDescent="0.15"/>
  <cols>
    <col min="1" max="1" width="28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160</v>
      </c>
      <c r="D1" s="12" t="s">
        <v>55</v>
      </c>
    </row>
    <row r="2" spans="1:4" ht="12.75" customHeight="1" x14ac:dyDescent="0.15">
      <c r="A2" s="3" t="s">
        <v>2</v>
      </c>
      <c r="B2" s="4" t="s">
        <v>3</v>
      </c>
      <c r="C2" s="13">
        <v>1</v>
      </c>
      <c r="D2" s="13"/>
    </row>
    <row r="3" spans="1:4" ht="12.75" customHeight="1" x14ac:dyDescent="0.15">
      <c r="A3" s="5" t="s">
        <v>4</v>
      </c>
      <c r="B3" s="6" t="s">
        <v>5</v>
      </c>
      <c r="C3" s="14">
        <v>1</v>
      </c>
      <c r="D3" s="14"/>
    </row>
    <row r="4" spans="1:4" ht="12.75" customHeight="1" x14ac:dyDescent="0.15">
      <c r="A4" s="3" t="s">
        <v>2</v>
      </c>
      <c r="B4" s="4" t="s">
        <v>6</v>
      </c>
      <c r="C4" s="13">
        <v>1</v>
      </c>
      <c r="D4" s="13"/>
    </row>
    <row r="5" spans="1:4" ht="12.75" customHeight="1" x14ac:dyDescent="0.15">
      <c r="A5" s="5" t="s">
        <v>4</v>
      </c>
      <c r="B5" s="6" t="s">
        <v>7</v>
      </c>
      <c r="C5" s="14">
        <v>1</v>
      </c>
      <c r="D5" s="14"/>
    </row>
    <row r="6" spans="1:4" ht="12.75" customHeight="1" x14ac:dyDescent="0.15">
      <c r="A6" s="3" t="s">
        <v>8</v>
      </c>
      <c r="B6" s="4" t="s">
        <v>9</v>
      </c>
      <c r="C6" s="13">
        <v>1</v>
      </c>
      <c r="D6" s="13"/>
    </row>
    <row r="7" spans="1:4" ht="12.75" customHeight="1" x14ac:dyDescent="0.15">
      <c r="A7" s="5" t="s">
        <v>2</v>
      </c>
      <c r="B7" s="6" t="s">
        <v>10</v>
      </c>
      <c r="C7" s="14">
        <v>1</v>
      </c>
      <c r="D7" s="14"/>
    </row>
    <row r="8" spans="1:4" ht="12.75" customHeight="1" x14ac:dyDescent="0.15">
      <c r="A8" s="3" t="s">
        <v>8</v>
      </c>
      <c r="B8" s="4" t="s">
        <v>11</v>
      </c>
      <c r="C8" s="13">
        <v>1</v>
      </c>
      <c r="D8" s="13"/>
    </row>
    <row r="9" spans="1:4" ht="12.75" customHeight="1" x14ac:dyDescent="0.15">
      <c r="A9" s="5" t="s">
        <v>12</v>
      </c>
      <c r="B9" s="6" t="s">
        <v>13</v>
      </c>
      <c r="C9" s="14">
        <v>1</v>
      </c>
      <c r="D9" s="14" t="s">
        <v>56</v>
      </c>
    </row>
    <row r="10" spans="1:4" ht="12.75" customHeight="1" x14ac:dyDescent="0.15">
      <c r="A10" s="3" t="s">
        <v>2</v>
      </c>
      <c r="B10" s="4" t="s">
        <v>14</v>
      </c>
      <c r="C10" s="13">
        <v>1</v>
      </c>
      <c r="D10" s="13"/>
    </row>
    <row r="11" spans="1:4" ht="12.75" customHeight="1" x14ac:dyDescent="0.15">
      <c r="A11" s="5" t="s">
        <v>2</v>
      </c>
      <c r="B11" s="6" t="s">
        <v>15</v>
      </c>
      <c r="C11" s="14">
        <v>1</v>
      </c>
      <c r="D11" s="14"/>
    </row>
    <row r="12" spans="1:4" ht="12.75" customHeight="1" x14ac:dyDescent="0.15">
      <c r="A12" s="3" t="s">
        <v>16</v>
      </c>
      <c r="B12" s="4" t="s">
        <v>17</v>
      </c>
      <c r="C12" s="13">
        <v>1</v>
      </c>
      <c r="D12" s="13"/>
    </row>
    <row r="13" spans="1:4" ht="12.75" customHeight="1" x14ac:dyDescent="0.15">
      <c r="A13" s="5" t="s">
        <v>16</v>
      </c>
      <c r="B13" s="6" t="s">
        <v>18</v>
      </c>
      <c r="C13" s="14">
        <v>1</v>
      </c>
      <c r="D13" s="14"/>
    </row>
    <row r="14" spans="1:4" ht="12.75" customHeight="1" x14ac:dyDescent="0.15">
      <c r="A14" s="3" t="s">
        <v>4</v>
      </c>
      <c r="B14" s="4" t="s">
        <v>19</v>
      </c>
      <c r="C14" s="13">
        <v>1</v>
      </c>
      <c r="D14" s="13"/>
    </row>
    <row r="15" spans="1:4" ht="12.75" customHeight="1" x14ac:dyDescent="0.15">
      <c r="A15" s="5" t="s">
        <v>4</v>
      </c>
      <c r="B15" s="6" t="s">
        <v>20</v>
      </c>
      <c r="C15" s="14">
        <v>0</v>
      </c>
      <c r="D15" s="14"/>
    </row>
    <row r="16" spans="1:4" ht="12.75" customHeight="1" x14ac:dyDescent="0.15">
      <c r="A16" s="3" t="s">
        <v>12</v>
      </c>
      <c r="B16" s="4" t="s">
        <v>21</v>
      </c>
      <c r="C16" s="13">
        <v>0</v>
      </c>
      <c r="D16" s="13"/>
    </row>
    <row r="17" spans="1:22" ht="15" customHeight="1" x14ac:dyDescent="0.15">
      <c r="A17" s="5" t="s">
        <v>2</v>
      </c>
      <c r="B17" s="6" t="s">
        <v>22</v>
      </c>
      <c r="C17" s="14">
        <v>1</v>
      </c>
      <c r="D17" s="14" t="s">
        <v>57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3">
        <v>1</v>
      </c>
      <c r="D18" s="13"/>
    </row>
    <row r="19" spans="1:22" ht="12.75" customHeight="1" x14ac:dyDescent="0.15">
      <c r="A19" s="5" t="s">
        <v>2</v>
      </c>
      <c r="B19" s="6" t="s">
        <v>24</v>
      </c>
      <c r="C19" s="14">
        <v>1</v>
      </c>
      <c r="D19" s="14"/>
    </row>
    <row r="20" spans="1:22" ht="12.75" customHeight="1" x14ac:dyDescent="0.15">
      <c r="A20" s="3" t="s">
        <v>4</v>
      </c>
      <c r="B20" s="4" t="s">
        <v>25</v>
      </c>
      <c r="C20" s="13">
        <v>1</v>
      </c>
      <c r="D20" s="13"/>
    </row>
    <row r="21" spans="1:22" ht="12.75" customHeight="1" x14ac:dyDescent="0.15">
      <c r="A21" s="5" t="s">
        <v>4</v>
      </c>
      <c r="B21" s="6" t="s">
        <v>26</v>
      </c>
      <c r="C21" s="14">
        <v>1</v>
      </c>
      <c r="D21" s="14"/>
    </row>
    <row r="22" spans="1:22" ht="12.75" customHeight="1" x14ac:dyDescent="0.15">
      <c r="A22" s="3" t="s">
        <v>4</v>
      </c>
      <c r="B22" s="4" t="s">
        <v>27</v>
      </c>
      <c r="C22" s="13">
        <v>1</v>
      </c>
      <c r="D22" s="13"/>
    </row>
    <row r="23" spans="1:22" ht="12.75" customHeight="1" x14ac:dyDescent="0.15">
      <c r="A23" s="5" t="s">
        <v>2</v>
      </c>
      <c r="B23" s="6" t="s">
        <v>28</v>
      </c>
      <c r="C23" s="14">
        <v>0</v>
      </c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>
        <v>1</v>
      </c>
      <c r="D24" s="13" t="s">
        <v>58</v>
      </c>
    </row>
    <row r="25" spans="1:22" ht="12.75" customHeight="1" x14ac:dyDescent="0.15">
      <c r="A25" s="5" t="s">
        <v>8</v>
      </c>
      <c r="B25" s="6" t="s">
        <v>30</v>
      </c>
      <c r="C25" s="14">
        <v>1</v>
      </c>
      <c r="D25" s="14"/>
    </row>
    <row r="26" spans="1:22" ht="15" customHeight="1" x14ac:dyDescent="0.15">
      <c r="A26" s="3" t="s">
        <v>31</v>
      </c>
      <c r="B26" s="4" t="s">
        <v>32</v>
      </c>
      <c r="C26" s="13">
        <v>1</v>
      </c>
      <c r="D26" s="13"/>
    </row>
    <row r="27" spans="1:22" ht="12.75" customHeight="1" x14ac:dyDescent="0.15">
      <c r="A27" s="5" t="s">
        <v>2</v>
      </c>
      <c r="B27" s="6" t="s">
        <v>33</v>
      </c>
      <c r="C27" s="14">
        <v>1</v>
      </c>
      <c r="D27" s="14"/>
    </row>
    <row r="28" spans="1:22" ht="12.75" customHeight="1" x14ac:dyDescent="0.15">
      <c r="A28" s="3" t="s">
        <v>16</v>
      </c>
      <c r="B28" s="4" t="s">
        <v>34</v>
      </c>
      <c r="C28" s="13">
        <v>1</v>
      </c>
      <c r="D28" s="13" t="s">
        <v>59</v>
      </c>
    </row>
    <row r="29" spans="1:22" ht="12.75" customHeight="1" x14ac:dyDescent="0.15">
      <c r="A29" s="5" t="s">
        <v>16</v>
      </c>
      <c r="B29" s="6" t="s">
        <v>35</v>
      </c>
      <c r="C29" s="14">
        <v>1</v>
      </c>
      <c r="D29" s="14"/>
    </row>
    <row r="30" spans="1:22" ht="12.75" customHeight="1" x14ac:dyDescent="0.15">
      <c r="A30" s="3" t="s">
        <v>36</v>
      </c>
      <c r="B30" s="4" t="s">
        <v>37</v>
      </c>
      <c r="C30" s="13">
        <v>1</v>
      </c>
      <c r="D30" s="1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4">
        <v>1</v>
      </c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3">
        <v>1</v>
      </c>
      <c r="D32" s="13" t="s">
        <v>60</v>
      </c>
    </row>
    <row r="33" spans="1:22" ht="12.75" customHeight="1" x14ac:dyDescent="0.15">
      <c r="A33" s="5" t="s">
        <v>2</v>
      </c>
      <c r="B33" s="6" t="s">
        <v>40</v>
      </c>
      <c r="C33" s="14">
        <v>1</v>
      </c>
      <c r="D33" s="14"/>
    </row>
    <row r="34" spans="1:22" ht="12.75" customHeight="1" x14ac:dyDescent="0.15">
      <c r="A34" s="3" t="s">
        <v>16</v>
      </c>
      <c r="B34" s="4" t="s">
        <v>41</v>
      </c>
      <c r="C34" s="13">
        <v>1</v>
      </c>
      <c r="D34" s="13"/>
    </row>
    <row r="35" spans="1:22" ht="12.75" customHeight="1" x14ac:dyDescent="0.15">
      <c r="A35" s="5" t="s">
        <v>16</v>
      </c>
      <c r="B35" s="6" t="s">
        <v>42</v>
      </c>
      <c r="C35" s="14">
        <v>1</v>
      </c>
      <c r="D35" s="14"/>
    </row>
    <row r="36" spans="1:22" ht="12.75" customHeight="1" x14ac:dyDescent="0.15">
      <c r="A36" s="3" t="s">
        <v>36</v>
      </c>
      <c r="B36" s="4" t="s">
        <v>43</v>
      </c>
      <c r="C36" s="13">
        <v>1</v>
      </c>
      <c r="D36" s="13"/>
    </row>
    <row r="37" spans="1:22" ht="12.75" customHeight="1" x14ac:dyDescent="0.15">
      <c r="A37" s="5" t="s">
        <v>16</v>
      </c>
      <c r="B37" s="6" t="s">
        <v>44</v>
      </c>
      <c r="C37" s="14">
        <v>1</v>
      </c>
      <c r="D37" s="14"/>
    </row>
    <row r="38" spans="1:22" ht="12.75" customHeight="1" x14ac:dyDescent="0.15">
      <c r="A38" s="3" t="s">
        <v>4</v>
      </c>
      <c r="B38" s="4" t="s">
        <v>45</v>
      </c>
      <c r="C38" s="13">
        <v>1</v>
      </c>
      <c r="D38" s="13" t="s">
        <v>60</v>
      </c>
    </row>
    <row r="39" spans="1:22" ht="15" customHeight="1" x14ac:dyDescent="0.15">
      <c r="A39" s="5" t="s">
        <v>4</v>
      </c>
      <c r="B39" s="6" t="s">
        <v>46</v>
      </c>
      <c r="C39" s="14">
        <v>1</v>
      </c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>
        <v>0</v>
      </c>
      <c r="D40" s="1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4">
        <v>1</v>
      </c>
      <c r="D41" s="14" t="s">
        <v>61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13">
        <v>1</v>
      </c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15">
        <v>1</v>
      </c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14">
        <v>1</v>
      </c>
      <c r="D44" s="1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14">
        <v>0.5</v>
      </c>
      <c r="D45" s="14" t="s">
        <v>61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18">
        <v>1</v>
      </c>
      <c r="D46" s="1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0">
        <v>0</v>
      </c>
      <c r="D47" s="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13">
        <v>0</v>
      </c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14">
        <v>0</v>
      </c>
      <c r="D49" s="14"/>
    </row>
    <row r="50" spans="1:4" ht="12.75" customHeight="1" x14ac:dyDescent="0.15">
      <c r="A50" s="3" t="s">
        <v>16</v>
      </c>
      <c r="B50" s="4" t="s">
        <v>54</v>
      </c>
      <c r="C50" s="13">
        <v>0</v>
      </c>
      <c r="D50" s="13"/>
    </row>
    <row r="51" spans="1:4" ht="12.75" customHeight="1" x14ac:dyDescent="0.15">
      <c r="A51" s="5" t="s">
        <v>8</v>
      </c>
      <c r="B51" s="6" t="s">
        <v>54</v>
      </c>
      <c r="C51" s="14">
        <v>0</v>
      </c>
      <c r="D51" s="14"/>
    </row>
    <row r="52" spans="1:4" ht="12.75" customHeight="1" x14ac:dyDescent="0.15">
      <c r="A52" s="3" t="s">
        <v>12</v>
      </c>
      <c r="B52" s="4" t="s">
        <v>54</v>
      </c>
      <c r="C52" s="14">
        <v>0</v>
      </c>
      <c r="D52" s="14"/>
    </row>
    <row r="53" spans="1:4" ht="12.75" customHeight="1" x14ac:dyDescent="0.15">
      <c r="A53" s="5" t="s">
        <v>31</v>
      </c>
      <c r="B53" s="6" t="s">
        <v>54</v>
      </c>
      <c r="C53" s="14">
        <v>0</v>
      </c>
      <c r="D53" s="14"/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25.83203125" customWidth="1"/>
    <col min="2" max="2" width="42.83203125" customWidth="1"/>
    <col min="3" max="3" width="10.6640625" customWidth="1"/>
    <col min="4" max="4" width="85.66406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62</v>
      </c>
      <c r="D1" s="12" t="s">
        <v>55</v>
      </c>
    </row>
    <row r="2" spans="1:4" ht="12.75" customHeight="1" x14ac:dyDescent="0.15">
      <c r="A2" s="3" t="s">
        <v>2</v>
      </c>
      <c r="B2" s="4" t="s">
        <v>3</v>
      </c>
      <c r="C2" s="21">
        <v>1</v>
      </c>
      <c r="D2" s="15" t="s">
        <v>63</v>
      </c>
    </row>
    <row r="3" spans="1:4" ht="12.75" customHeight="1" x14ac:dyDescent="0.15">
      <c r="A3" s="5" t="s">
        <v>4</v>
      </c>
      <c r="B3" s="6" t="s">
        <v>5</v>
      </c>
      <c r="C3" s="21">
        <v>1</v>
      </c>
      <c r="D3" s="15" t="s">
        <v>63</v>
      </c>
    </row>
    <row r="4" spans="1:4" ht="12.75" customHeight="1" x14ac:dyDescent="0.15">
      <c r="A4" s="3" t="s">
        <v>2</v>
      </c>
      <c r="B4" s="4" t="s">
        <v>6</v>
      </c>
      <c r="C4" s="21">
        <v>1</v>
      </c>
      <c r="D4" s="15" t="s">
        <v>64</v>
      </c>
    </row>
    <row r="5" spans="1:4" ht="12.75" customHeight="1" x14ac:dyDescent="0.15">
      <c r="A5" s="5" t="s">
        <v>4</v>
      </c>
      <c r="B5" s="6" t="s">
        <v>7</v>
      </c>
      <c r="C5" s="21">
        <v>1</v>
      </c>
      <c r="D5" s="15" t="s">
        <v>65</v>
      </c>
    </row>
    <row r="6" spans="1:4" ht="12.75" customHeight="1" x14ac:dyDescent="0.15">
      <c r="A6" s="3" t="s">
        <v>8</v>
      </c>
      <c r="B6" s="4" t="s">
        <v>9</v>
      </c>
      <c r="C6" s="21">
        <v>1</v>
      </c>
      <c r="D6" s="15" t="s">
        <v>66</v>
      </c>
    </row>
    <row r="7" spans="1:4" ht="12.75" customHeight="1" x14ac:dyDescent="0.15">
      <c r="A7" s="5" t="s">
        <v>2</v>
      </c>
      <c r="B7" s="6" t="s">
        <v>10</v>
      </c>
      <c r="C7" s="21">
        <v>1</v>
      </c>
      <c r="D7" s="15" t="s">
        <v>67</v>
      </c>
    </row>
    <row r="8" spans="1:4" ht="12.75" customHeight="1" x14ac:dyDescent="0.15">
      <c r="A8" s="3" t="s">
        <v>8</v>
      </c>
      <c r="B8" s="4" t="s">
        <v>11</v>
      </c>
      <c r="C8" s="21">
        <v>0.5</v>
      </c>
      <c r="D8" s="15" t="s">
        <v>68</v>
      </c>
    </row>
    <row r="9" spans="1:4" ht="12.75" customHeight="1" x14ac:dyDescent="0.15">
      <c r="A9" s="5" t="s">
        <v>12</v>
      </c>
      <c r="B9" s="6" t="s">
        <v>13</v>
      </c>
      <c r="C9" s="21">
        <v>0</v>
      </c>
      <c r="D9" s="15" t="s">
        <v>69</v>
      </c>
    </row>
    <row r="10" spans="1:4" ht="12.75" customHeight="1" x14ac:dyDescent="0.15">
      <c r="A10" s="3" t="s">
        <v>2</v>
      </c>
      <c r="B10" s="4" t="s">
        <v>14</v>
      </c>
      <c r="C10" s="21">
        <v>0</v>
      </c>
      <c r="D10" s="15" t="s">
        <v>70</v>
      </c>
    </row>
    <row r="11" spans="1:4" ht="12.75" customHeight="1" x14ac:dyDescent="0.15">
      <c r="A11" s="5" t="s">
        <v>2</v>
      </c>
      <c r="B11" s="6" t="s">
        <v>15</v>
      </c>
      <c r="C11" s="21">
        <v>1</v>
      </c>
      <c r="D11" s="15" t="s">
        <v>71</v>
      </c>
    </row>
    <row r="12" spans="1:4" ht="12.75" customHeight="1" x14ac:dyDescent="0.15">
      <c r="A12" s="3" t="s">
        <v>16</v>
      </c>
      <c r="B12" s="4" t="s">
        <v>17</v>
      </c>
      <c r="C12" s="21">
        <v>1</v>
      </c>
      <c r="D12" s="15" t="s">
        <v>72</v>
      </c>
    </row>
    <row r="13" spans="1:4" ht="12.75" customHeight="1" x14ac:dyDescent="0.15">
      <c r="A13" s="5" t="s">
        <v>16</v>
      </c>
      <c r="B13" s="6" t="s">
        <v>18</v>
      </c>
      <c r="C13" s="21">
        <v>1</v>
      </c>
      <c r="D13" s="15" t="s">
        <v>73</v>
      </c>
    </row>
    <row r="14" spans="1:4" ht="12.75" customHeight="1" x14ac:dyDescent="0.15">
      <c r="A14" s="3" t="s">
        <v>4</v>
      </c>
      <c r="B14" s="4" t="s">
        <v>19</v>
      </c>
      <c r="C14" s="21">
        <v>1</v>
      </c>
      <c r="D14" s="15" t="s">
        <v>74</v>
      </c>
    </row>
    <row r="15" spans="1:4" ht="12.75" customHeight="1" x14ac:dyDescent="0.15">
      <c r="A15" s="5" t="s">
        <v>4</v>
      </c>
      <c r="B15" s="6" t="s">
        <v>20</v>
      </c>
      <c r="C15" s="21">
        <v>0.5</v>
      </c>
      <c r="D15" s="15" t="s">
        <v>75</v>
      </c>
    </row>
    <row r="16" spans="1:4" ht="12.75" customHeight="1" x14ac:dyDescent="0.15">
      <c r="A16" s="3" t="s">
        <v>12</v>
      </c>
      <c r="B16" s="4" t="s">
        <v>21</v>
      </c>
      <c r="C16" s="21">
        <v>0</v>
      </c>
      <c r="D16" s="15" t="s">
        <v>76</v>
      </c>
    </row>
    <row r="17" spans="1:22" ht="15" customHeight="1" x14ac:dyDescent="0.15">
      <c r="A17" s="5" t="s">
        <v>2</v>
      </c>
      <c r="B17" s="6" t="s">
        <v>22</v>
      </c>
      <c r="C17" s="21">
        <v>0</v>
      </c>
      <c r="D17" s="15" t="s">
        <v>77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21">
        <v>0</v>
      </c>
      <c r="D18" s="15" t="s">
        <v>78</v>
      </c>
    </row>
    <row r="19" spans="1:22" ht="12.75" customHeight="1" x14ac:dyDescent="0.15">
      <c r="A19" s="5" t="s">
        <v>2</v>
      </c>
      <c r="B19" s="6" t="s">
        <v>24</v>
      </c>
      <c r="C19" s="21">
        <v>0</v>
      </c>
      <c r="D19" s="15" t="s">
        <v>78</v>
      </c>
    </row>
    <row r="20" spans="1:22" ht="12.75" customHeight="1" x14ac:dyDescent="0.15">
      <c r="A20" s="3" t="s">
        <v>4</v>
      </c>
      <c r="B20" s="4" t="s">
        <v>25</v>
      </c>
      <c r="C20" s="21">
        <v>0</v>
      </c>
      <c r="D20" s="15" t="s">
        <v>79</v>
      </c>
    </row>
    <row r="21" spans="1:22" ht="12.75" customHeight="1" x14ac:dyDescent="0.15">
      <c r="A21" s="5" t="s">
        <v>4</v>
      </c>
      <c r="B21" s="6" t="s">
        <v>26</v>
      </c>
      <c r="C21" s="21">
        <v>0</v>
      </c>
      <c r="D21" s="15" t="s">
        <v>80</v>
      </c>
    </row>
    <row r="22" spans="1:22" ht="12.75" customHeight="1" x14ac:dyDescent="0.15">
      <c r="A22" s="3" t="s">
        <v>4</v>
      </c>
      <c r="B22" s="4" t="s">
        <v>27</v>
      </c>
      <c r="C22" s="21">
        <v>0</v>
      </c>
      <c r="D22" s="15" t="s">
        <v>80</v>
      </c>
    </row>
    <row r="23" spans="1:22" ht="12.75" customHeight="1" x14ac:dyDescent="0.15">
      <c r="A23" s="5" t="s">
        <v>2</v>
      </c>
      <c r="B23" s="6" t="s">
        <v>28</v>
      </c>
      <c r="C23" s="21">
        <v>0.5</v>
      </c>
      <c r="D23" s="15" t="s">
        <v>81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21">
        <v>1</v>
      </c>
      <c r="D24" s="15" t="s">
        <v>82</v>
      </c>
    </row>
    <row r="25" spans="1:22" ht="12.75" customHeight="1" x14ac:dyDescent="0.15">
      <c r="A25" s="5" t="s">
        <v>8</v>
      </c>
      <c r="B25" s="6" t="s">
        <v>30</v>
      </c>
      <c r="C25" s="21">
        <v>1</v>
      </c>
      <c r="D25" s="15" t="s">
        <v>83</v>
      </c>
    </row>
    <row r="26" spans="1:22" ht="15" customHeight="1" x14ac:dyDescent="0.15">
      <c r="A26" s="3" t="s">
        <v>31</v>
      </c>
      <c r="B26" s="4" t="s">
        <v>32</v>
      </c>
      <c r="C26" s="21">
        <v>1</v>
      </c>
      <c r="D26" s="15" t="s">
        <v>84</v>
      </c>
    </row>
    <row r="27" spans="1:22" ht="12.75" customHeight="1" x14ac:dyDescent="0.15">
      <c r="A27" s="5" t="s">
        <v>2</v>
      </c>
      <c r="B27" s="6" t="s">
        <v>33</v>
      </c>
      <c r="C27" s="21">
        <v>1</v>
      </c>
      <c r="D27" s="15" t="s">
        <v>85</v>
      </c>
    </row>
    <row r="28" spans="1:22" ht="12.75" customHeight="1" x14ac:dyDescent="0.15">
      <c r="A28" s="3" t="s">
        <v>16</v>
      </c>
      <c r="B28" s="4" t="s">
        <v>34</v>
      </c>
      <c r="C28" s="21">
        <v>1</v>
      </c>
      <c r="D28" s="15" t="s">
        <v>86</v>
      </c>
    </row>
    <row r="29" spans="1:22" ht="12.75" customHeight="1" x14ac:dyDescent="0.15">
      <c r="A29" s="5" t="s">
        <v>16</v>
      </c>
      <c r="B29" s="6" t="s">
        <v>35</v>
      </c>
      <c r="C29" s="21">
        <v>1</v>
      </c>
      <c r="D29" s="15" t="s">
        <v>87</v>
      </c>
    </row>
    <row r="30" spans="1:22" ht="12.75" customHeight="1" x14ac:dyDescent="0.15">
      <c r="A30" s="3" t="s">
        <v>36</v>
      </c>
      <c r="B30" s="4" t="s">
        <v>37</v>
      </c>
      <c r="C30" s="21">
        <v>0</v>
      </c>
      <c r="D30" s="15" t="s">
        <v>88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21">
        <v>1</v>
      </c>
      <c r="D31" s="15" t="s">
        <v>89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21">
        <v>0</v>
      </c>
      <c r="D32" s="15" t="s">
        <v>90</v>
      </c>
    </row>
    <row r="33" spans="1:22" ht="12.75" customHeight="1" x14ac:dyDescent="0.15">
      <c r="A33" s="5" t="s">
        <v>2</v>
      </c>
      <c r="B33" s="6" t="s">
        <v>40</v>
      </c>
      <c r="C33" s="21">
        <v>1</v>
      </c>
      <c r="D33" s="15" t="s">
        <v>91</v>
      </c>
    </row>
    <row r="34" spans="1:22" ht="12.75" customHeight="1" x14ac:dyDescent="0.15">
      <c r="A34" s="3" t="s">
        <v>16</v>
      </c>
      <c r="B34" s="4" t="s">
        <v>41</v>
      </c>
      <c r="C34" s="21">
        <v>1</v>
      </c>
      <c r="D34" s="15" t="s">
        <v>92</v>
      </c>
    </row>
    <row r="35" spans="1:22" ht="12.75" customHeight="1" x14ac:dyDescent="0.15">
      <c r="A35" s="5" t="s">
        <v>16</v>
      </c>
      <c r="B35" s="6" t="s">
        <v>42</v>
      </c>
      <c r="C35" s="21">
        <v>1</v>
      </c>
      <c r="D35" s="15" t="s">
        <v>93</v>
      </c>
    </row>
    <row r="36" spans="1:22" ht="12.75" customHeight="1" x14ac:dyDescent="0.15">
      <c r="A36" s="3" t="s">
        <v>36</v>
      </c>
      <c r="B36" s="4" t="s">
        <v>43</v>
      </c>
      <c r="C36" s="21">
        <v>0</v>
      </c>
      <c r="D36" s="15" t="s">
        <v>94</v>
      </c>
    </row>
    <row r="37" spans="1:22" ht="12.75" customHeight="1" x14ac:dyDescent="0.15">
      <c r="A37" s="5" t="s">
        <v>16</v>
      </c>
      <c r="B37" s="6" t="s">
        <v>44</v>
      </c>
      <c r="C37" s="21">
        <v>1</v>
      </c>
      <c r="D37" s="15" t="s">
        <v>95</v>
      </c>
    </row>
    <row r="38" spans="1:22" ht="12.75" customHeight="1" x14ac:dyDescent="0.15">
      <c r="A38" s="3" t="s">
        <v>4</v>
      </c>
      <c r="B38" s="4" t="s">
        <v>45</v>
      </c>
      <c r="C38" s="21">
        <v>0</v>
      </c>
      <c r="D38" s="15" t="s">
        <v>90</v>
      </c>
    </row>
    <row r="39" spans="1:22" ht="15" customHeight="1" x14ac:dyDescent="0.15">
      <c r="A39" s="5" t="s">
        <v>4</v>
      </c>
      <c r="B39" s="6" t="s">
        <v>46</v>
      </c>
      <c r="C39" s="21">
        <v>1</v>
      </c>
      <c r="D39" s="15" t="s">
        <v>96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21">
        <v>0.5</v>
      </c>
      <c r="D40" s="15" t="s">
        <v>97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21">
        <v>1</v>
      </c>
      <c r="D41" s="15" t="s">
        <v>98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17" t="s">
        <v>49</v>
      </c>
      <c r="C42" s="21">
        <v>1</v>
      </c>
      <c r="D42" s="15" t="s">
        <v>99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22" t="s">
        <v>50</v>
      </c>
      <c r="C43" s="21">
        <v>1</v>
      </c>
      <c r="D43" s="15" t="s">
        <v>100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17" t="s">
        <v>51</v>
      </c>
      <c r="C44" s="21">
        <v>1</v>
      </c>
      <c r="D44" s="15" t="s">
        <v>101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21">
        <v>0.5</v>
      </c>
      <c r="D45" s="15" t="s">
        <v>102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17" t="s">
        <v>53</v>
      </c>
      <c r="C46" s="21">
        <v>1</v>
      </c>
      <c r="D46" s="15" t="s">
        <v>103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1">
        <v>2</v>
      </c>
      <c r="D47" s="15" t="s">
        <v>104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21">
        <v>0</v>
      </c>
      <c r="D48" s="15" t="s">
        <v>105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21">
        <v>0</v>
      </c>
      <c r="D49" s="15" t="s">
        <v>106</v>
      </c>
    </row>
    <row r="50" spans="1:4" ht="12.75" customHeight="1" x14ac:dyDescent="0.15">
      <c r="A50" s="3" t="s">
        <v>16</v>
      </c>
      <c r="B50" s="4" t="s">
        <v>54</v>
      </c>
      <c r="C50" s="21">
        <v>1</v>
      </c>
      <c r="D50" s="15" t="s">
        <v>107</v>
      </c>
    </row>
    <row r="51" spans="1:4" ht="12.75" customHeight="1" x14ac:dyDescent="0.15">
      <c r="A51" s="5" t="s">
        <v>8</v>
      </c>
      <c r="B51" s="6" t="s">
        <v>54</v>
      </c>
      <c r="C51" s="21">
        <v>0</v>
      </c>
      <c r="D51" s="15" t="s">
        <v>108</v>
      </c>
    </row>
    <row r="52" spans="1:4" ht="12.75" customHeight="1" x14ac:dyDescent="0.15">
      <c r="A52" s="3" t="s">
        <v>12</v>
      </c>
      <c r="B52" s="4" t="s">
        <v>54</v>
      </c>
      <c r="C52" s="21">
        <v>0</v>
      </c>
      <c r="D52" s="15" t="s">
        <v>109</v>
      </c>
    </row>
    <row r="53" spans="1:4" ht="12.75" customHeight="1" x14ac:dyDescent="0.15">
      <c r="A53" s="5" t="s">
        <v>31</v>
      </c>
      <c r="B53" s="6" t="s">
        <v>54</v>
      </c>
      <c r="C53" s="21">
        <v>0</v>
      </c>
      <c r="D53" s="15" t="s">
        <v>110</v>
      </c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tabSelected="1" zoomScale="119" workbookViewId="0">
      <selection activeCell="A33" sqref="A33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1" ht="15.75" customHeight="1" x14ac:dyDescent="0.15">
      <c r="A1" s="65" t="s">
        <v>161</v>
      </c>
      <c r="B1" s="66"/>
      <c r="C1" s="66"/>
      <c r="D1" s="66"/>
      <c r="E1" s="66"/>
      <c r="F1" s="66"/>
      <c r="G1" s="66"/>
      <c r="H1" s="66"/>
      <c r="J1" s="23" t="s">
        <v>111</v>
      </c>
      <c r="K1" s="15"/>
    </row>
    <row r="2" spans="1:11" ht="15.75" customHeight="1" x14ac:dyDescent="0.15">
      <c r="A2" s="24" t="s">
        <v>0</v>
      </c>
      <c r="B2" s="24" t="s">
        <v>112</v>
      </c>
      <c r="C2" s="24" t="s">
        <v>113</v>
      </c>
      <c r="D2" s="24" t="s">
        <v>114</v>
      </c>
      <c r="E2" s="24" t="s">
        <v>115</v>
      </c>
      <c r="F2" s="24" t="s">
        <v>116</v>
      </c>
      <c r="G2" s="24" t="s">
        <v>117</v>
      </c>
      <c r="H2" s="24" t="s">
        <v>118</v>
      </c>
      <c r="J2" s="25" t="s">
        <v>119</v>
      </c>
      <c r="K2" s="15"/>
    </row>
    <row r="3" spans="1:11" ht="15.75" customHeight="1" x14ac:dyDescent="0.15">
      <c r="A3" s="26" t="s">
        <v>8</v>
      </c>
      <c r="B3" s="27">
        <f>COUNTIF('Chess Clock'!$A$2:$A$46, A3)</f>
        <v>3</v>
      </c>
      <c r="C3" s="28">
        <f>SUMIF('Human Grading'!$A$2:$A$46, $A3, 'Human Grading'!$C$2:$C$46)</f>
        <v>3</v>
      </c>
      <c r="D3" s="28">
        <f>SUMIF('Human Grading'!$A$47:$A$53, $A3, 'Human Grading'!$C$47:$C$53)</f>
        <v>0</v>
      </c>
      <c r="E3" s="28">
        <f>COUNTIFS('Human Grading'!$A$2:$A$46, $A3, 'Human Grading'!$C$2:$C$46,0)</f>
        <v>0</v>
      </c>
      <c r="F3" s="28">
        <f t="shared" ref="F3:F6" si="0">IFERROR(C3 / (C3 + D3), "Not Available")</f>
        <v>1</v>
      </c>
      <c r="G3" s="28">
        <f t="shared" ref="G3:G10" si="1">IFERROR(C3 / B3, "Not Available")</f>
        <v>1</v>
      </c>
      <c r="H3" s="28">
        <f t="shared" ref="H3:H10" si="2">IFERROR(2*((F3*G3)/(F3+G3)),"Not Available")</f>
        <v>1</v>
      </c>
      <c r="J3" s="15"/>
      <c r="K3" s="15"/>
    </row>
    <row r="4" spans="1:11" ht="15.75" customHeight="1" x14ac:dyDescent="0.15">
      <c r="A4" s="29" t="s">
        <v>2</v>
      </c>
      <c r="B4" s="27">
        <f>COUNTIF('Chess Clock'!$A$2:$A$46, A4)</f>
        <v>13</v>
      </c>
      <c r="C4" s="28">
        <f>SUMIF('Human Grading'!$A$2:$A$46, $A4, 'Human Grading'!$C$2:$C$46)</f>
        <v>11.5</v>
      </c>
      <c r="D4" s="28">
        <f>SUMIF('Human Grading'!$A$47:$A$53, $A4, 'Human Grading'!$C$47:$C$53)</f>
        <v>0</v>
      </c>
      <c r="E4" s="28">
        <f>COUNTIFS('Human Grading'!$A$2:$A$46, $A4, 'Human Grading'!$C$2:$C$46,0)</f>
        <v>1</v>
      </c>
      <c r="F4" s="28">
        <f t="shared" si="0"/>
        <v>1</v>
      </c>
      <c r="G4" s="28">
        <f t="shared" si="1"/>
        <v>0.88461538461538458</v>
      </c>
      <c r="H4" s="28">
        <f t="shared" si="2"/>
        <v>0.93877551020408156</v>
      </c>
      <c r="J4" s="23" t="s">
        <v>120</v>
      </c>
      <c r="K4" s="15"/>
    </row>
    <row r="5" spans="1:11" ht="15.75" customHeight="1" x14ac:dyDescent="0.15">
      <c r="A5" s="29" t="s">
        <v>4</v>
      </c>
      <c r="B5" s="27">
        <f>COUNTIF('Chess Clock'!$A$2:$A$46, A5)</f>
        <v>14</v>
      </c>
      <c r="C5" s="28">
        <f>SUMIF('Human Grading'!$A$2:$A$46, $A5, 'Human Grading'!$C$2:$C$46)</f>
        <v>12</v>
      </c>
      <c r="D5" s="28">
        <f>SUMIF('Human Grading'!$A$47:$A$53, $A5, 'Human Grading'!$C$47:$C$53)</f>
        <v>0</v>
      </c>
      <c r="E5" s="28">
        <f>COUNTIFS('Human Grading'!$A$2:$A$46, $A5, 'Human Grading'!$C$2:$C$46,0)</f>
        <v>2</v>
      </c>
      <c r="F5" s="28">
        <f t="shared" si="0"/>
        <v>1</v>
      </c>
      <c r="G5" s="28">
        <f t="shared" si="1"/>
        <v>0.8571428571428571</v>
      </c>
      <c r="H5" s="28">
        <f t="shared" si="2"/>
        <v>0.92307692307692302</v>
      </c>
      <c r="J5" s="25" t="s">
        <v>121</v>
      </c>
      <c r="K5" s="15"/>
    </row>
    <row r="6" spans="1:11" ht="15.75" customHeight="1" x14ac:dyDescent="0.15">
      <c r="A6" s="29" t="s">
        <v>16</v>
      </c>
      <c r="B6" s="27">
        <f>COUNTIF('Chess Clock'!$A$2:$A$46, A6)</f>
        <v>8</v>
      </c>
      <c r="C6" s="28">
        <f>SUMIF('Human Grading'!$A$2:$A$46, $A6, 'Human Grading'!$C$2:$C$46)</f>
        <v>8</v>
      </c>
      <c r="D6" s="28">
        <f>SUMIF('Human Grading'!$A$47:$A$53, $A6, 'Human Grading'!$C$47:$C$53)</f>
        <v>0</v>
      </c>
      <c r="E6" s="28">
        <f>COUNTIFS('Human Grading'!$A$2:$A$46, $A6, 'Human Grading'!$C$2:$C$46,0)</f>
        <v>0</v>
      </c>
      <c r="F6" s="28">
        <f t="shared" si="0"/>
        <v>1</v>
      </c>
      <c r="G6" s="28">
        <f t="shared" si="1"/>
        <v>1</v>
      </c>
      <c r="H6" s="28">
        <f t="shared" si="2"/>
        <v>1</v>
      </c>
      <c r="J6" s="15"/>
      <c r="K6" s="15"/>
    </row>
    <row r="7" spans="1:11" ht="15.75" customHeight="1" x14ac:dyDescent="0.15">
      <c r="A7" s="29" t="s">
        <v>12</v>
      </c>
      <c r="B7" s="27">
        <f>COUNTIF('Chess Clock'!$A$2:$A$44, A7)</f>
        <v>2</v>
      </c>
      <c r="C7" s="28">
        <f>SUMIF('Human Grading'!$A$2:$A$46, $A7, 'Human Grading'!$C$2:$C$46)</f>
        <v>1</v>
      </c>
      <c r="D7" s="28">
        <f>SUMIF('Human Grading'!$A$47:$A$53, $A7, 'Human Grading'!$C$47:$C$53)</f>
        <v>0</v>
      </c>
      <c r="E7" s="28">
        <f>COUNTIFS('Human Grading'!$A$2:$A$46, $A7, 'Human Grading'!$C$2:$C$46,0)</f>
        <v>1</v>
      </c>
      <c r="F7" s="28">
        <f>IFERROR(C7 / (C7 + D8), "Not Available")</f>
        <v>1</v>
      </c>
      <c r="G7" s="28">
        <f t="shared" si="1"/>
        <v>0.5</v>
      </c>
      <c r="H7" s="28">
        <f t="shared" si="2"/>
        <v>0.66666666666666663</v>
      </c>
    </row>
    <row r="8" spans="1:11" ht="15.75" customHeight="1" x14ac:dyDescent="0.15">
      <c r="A8" s="29" t="s">
        <v>31</v>
      </c>
      <c r="B8" s="27">
        <f>COUNTIF('Chess Clock'!$A$2:$A$46, A8)</f>
        <v>1</v>
      </c>
      <c r="C8" s="28">
        <f>SUMIF('Human Grading'!$A$2:$A$46, $A8, 'Human Grading'!$C$2:$C$46)</f>
        <v>1</v>
      </c>
      <c r="D8" s="28">
        <f>SUMIF('Human Grading'!$A$47:$A$53, $A8, 'Human Grading'!$C$47:$C$53)</f>
        <v>0</v>
      </c>
      <c r="E8" s="28">
        <f>COUNTIFS('Human Grading'!$A$2:$A$46, $A8, 'Human Grading'!$C$2:$C$46,0)</f>
        <v>0</v>
      </c>
      <c r="F8" s="28" t="str">
        <f>IFERROR(C8 / (C8 +#REF!), "Not Available")</f>
        <v>Not Available</v>
      </c>
      <c r="G8" s="28">
        <f t="shared" si="1"/>
        <v>1</v>
      </c>
      <c r="H8" s="28" t="str">
        <f t="shared" si="2"/>
        <v>Not Available</v>
      </c>
    </row>
    <row r="9" spans="1:11" ht="15.75" customHeight="1" x14ac:dyDescent="0.15">
      <c r="A9" s="29" t="s">
        <v>36</v>
      </c>
      <c r="B9" s="27">
        <f>COUNTIF('Chess Clock'!$A$2:$A$44, A9)</f>
        <v>4</v>
      </c>
      <c r="C9" s="28">
        <f>SUMIF('Human Grading'!$A$2:$A$46, $A9, 'Human Grading'!$C$2:$C$46)</f>
        <v>4</v>
      </c>
      <c r="D9" s="28">
        <f>SUMIF('Human Grading'!$A$47:$A$53, $A9, 'Human Grading'!$C$47:$C$53)</f>
        <v>0</v>
      </c>
      <c r="E9" s="28">
        <f>COUNTIFS('Human Grading'!$A$2:$A$46, $A9, 'Human Grading'!$C$2:$C$46,0)</f>
        <v>0</v>
      </c>
      <c r="F9" s="28">
        <f t="shared" ref="F9:F10" si="3">IFERROR(C9 / (C9 + D9), "Not Available")</f>
        <v>1</v>
      </c>
      <c r="G9" s="28">
        <f t="shared" si="1"/>
        <v>1</v>
      </c>
      <c r="H9" s="28">
        <f t="shared" si="2"/>
        <v>1</v>
      </c>
    </row>
    <row r="10" spans="1:11" ht="15.75" customHeight="1" x14ac:dyDescent="0.15">
      <c r="A10" s="29" t="s">
        <v>122</v>
      </c>
      <c r="B10" s="28">
        <f t="shared" ref="B10:E10" si="4">SUM(B3:B9)</f>
        <v>45</v>
      </c>
      <c r="C10" s="28">
        <f t="shared" si="4"/>
        <v>40.5</v>
      </c>
      <c r="D10" s="28">
        <f t="shared" si="4"/>
        <v>0</v>
      </c>
      <c r="E10" s="28">
        <f t="shared" si="4"/>
        <v>4</v>
      </c>
      <c r="F10" s="28">
        <f t="shared" si="3"/>
        <v>1</v>
      </c>
      <c r="G10" s="28">
        <f t="shared" si="1"/>
        <v>0.9</v>
      </c>
      <c r="H10" s="28">
        <f t="shared" si="2"/>
        <v>0.94736842105263164</v>
      </c>
    </row>
    <row r="11" spans="1:11" ht="15.75" customHeight="1" x14ac:dyDescent="0.15"/>
    <row r="12" spans="1:11" ht="15.75" customHeight="1" x14ac:dyDescent="0.15">
      <c r="A12" s="65" t="s">
        <v>162</v>
      </c>
      <c r="B12" s="66"/>
      <c r="C12" s="66"/>
      <c r="D12" s="66"/>
      <c r="E12" s="66"/>
      <c r="F12" s="66"/>
      <c r="G12" s="66"/>
      <c r="H12" s="66"/>
    </row>
    <row r="13" spans="1:11" ht="15.75" customHeight="1" x14ac:dyDescent="0.15">
      <c r="A13" s="24" t="s">
        <v>0</v>
      </c>
      <c r="B13" s="24" t="s">
        <v>112</v>
      </c>
      <c r="C13" s="24" t="s">
        <v>113</v>
      </c>
      <c r="D13" s="24" t="s">
        <v>114</v>
      </c>
      <c r="E13" s="24" t="s">
        <v>115</v>
      </c>
      <c r="F13" s="24" t="s">
        <v>116</v>
      </c>
      <c r="G13" s="24" t="s">
        <v>117</v>
      </c>
      <c r="H13" s="24" t="s">
        <v>118</v>
      </c>
    </row>
    <row r="14" spans="1:11" ht="15.75" customHeight="1" x14ac:dyDescent="0.15">
      <c r="A14" s="26" t="s">
        <v>123</v>
      </c>
      <c r="B14" s="27">
        <f>COUNTIF('Chess Clock'!$A$2:$A$46, A14)</f>
        <v>3</v>
      </c>
      <c r="C14" s="28">
        <f>SUMIF('LLM Grading'!$A$2:$A$46, $A14, 'LLM Grading'!$C$2:$C$46)</f>
        <v>2.5</v>
      </c>
      <c r="D14" s="28">
        <f>SUMIF('LLM Grading'!$A$47:$A$53, $A3, 'LLM Grading'!$C$47:$C$53)</f>
        <v>0</v>
      </c>
      <c r="E14" s="28">
        <f>COUNTIFS('LLM Grading'!$A$2:$A$46, $A3, 'LLM Grading'!$C$2:$C$46,0)</f>
        <v>0</v>
      </c>
      <c r="F14" s="28">
        <f t="shared" ref="F14:F21" si="5">IFERROR(C14 / (C14 + D14), "Not Available")</f>
        <v>1</v>
      </c>
      <c r="G14" s="28">
        <f t="shared" ref="G14:G21" si="6">IFERROR(C14 / B14, "Not Available")</f>
        <v>0.83333333333333337</v>
      </c>
      <c r="H14" s="28">
        <f t="shared" ref="H14:H21" si="7">IFERROR(2*((F14*G14)/(F14+G14)),"Not Available")</f>
        <v>0.90909090909090906</v>
      </c>
    </row>
    <row r="15" spans="1:11" ht="15.75" customHeight="1" x14ac:dyDescent="0.15">
      <c r="A15" s="29" t="s">
        <v>2</v>
      </c>
      <c r="B15" s="27">
        <f>COUNTIF('Chess Clock'!$A$2:$A$46, A15)</f>
        <v>13</v>
      </c>
      <c r="C15" s="28">
        <f>SUMIF('LLM Grading'!$A$2:$A$46, $A15, 'LLM Grading'!$C$2:$C$46)</f>
        <v>8</v>
      </c>
      <c r="D15" s="28">
        <f>SUMIF('LLM Grading'!$A$47:$A$53, $A4, 'LLM Grading'!$C$47:$C$53)</f>
        <v>2</v>
      </c>
      <c r="E15" s="28">
        <f>COUNTIFS('LLM Grading'!$A$2:$A$46, $A4, 'LLM Grading'!$C$2:$C$46,0)</f>
        <v>4</v>
      </c>
      <c r="F15" s="28">
        <f t="shared" si="5"/>
        <v>0.8</v>
      </c>
      <c r="G15" s="28">
        <f t="shared" si="6"/>
        <v>0.61538461538461542</v>
      </c>
      <c r="H15" s="28">
        <f t="shared" si="7"/>
        <v>0.69565217391304346</v>
      </c>
    </row>
    <row r="16" spans="1:11" ht="15.75" customHeight="1" x14ac:dyDescent="0.15">
      <c r="A16" s="29" t="s">
        <v>4</v>
      </c>
      <c r="B16" s="27">
        <f>COUNTIF('Chess Clock'!$A$2:$A$46, A16)</f>
        <v>14</v>
      </c>
      <c r="C16" s="28">
        <f>SUMIF('LLM Grading'!$A$2:$A$46, $A16, 'LLM Grading'!$C$2:$C$46)</f>
        <v>8</v>
      </c>
      <c r="D16" s="28">
        <f>SUMIF('LLM Grading'!$A$47:$A$53, $A5, 'LLM Grading'!$C$47:$C$53)</f>
        <v>0</v>
      </c>
      <c r="E16" s="28">
        <f>COUNTIFS('LLM Grading'!$A$2:$A$46, $A5, 'LLM Grading'!$C$2:$C$46,0)</f>
        <v>5</v>
      </c>
      <c r="F16" s="28">
        <f t="shared" si="5"/>
        <v>1</v>
      </c>
      <c r="G16" s="28">
        <f t="shared" si="6"/>
        <v>0.5714285714285714</v>
      </c>
      <c r="H16" s="28">
        <f t="shared" si="7"/>
        <v>0.72727272727272729</v>
      </c>
    </row>
    <row r="17" spans="1:8" ht="15.75" customHeight="1" x14ac:dyDescent="0.15">
      <c r="A17" s="29" t="s">
        <v>16</v>
      </c>
      <c r="B17" s="27">
        <f>COUNTIF('Chess Clock'!$A$2:$A$46, A17)</f>
        <v>8</v>
      </c>
      <c r="C17" s="28">
        <f>SUMIF('LLM Grading'!$A$2:$A$46, $A17, 'LLM Grading'!$C$2:$C$46)</f>
        <v>8</v>
      </c>
      <c r="D17" s="28">
        <f>SUMIF('LLM Grading'!$A$47:$A$53, $A6, 'LLM Grading'!$C$47:$C$53)</f>
        <v>1</v>
      </c>
      <c r="E17" s="28">
        <f>COUNTIFS('LLM Grading'!$A$2:$A$46, $A6, 'LLM Grading'!$C$2:$C$46,0)</f>
        <v>0</v>
      </c>
      <c r="F17" s="28">
        <f t="shared" si="5"/>
        <v>0.88888888888888884</v>
      </c>
      <c r="G17" s="28">
        <f t="shared" si="6"/>
        <v>1</v>
      </c>
      <c r="H17" s="28">
        <f t="shared" si="7"/>
        <v>0.94117647058823528</v>
      </c>
    </row>
    <row r="18" spans="1:8" ht="15.75" customHeight="1" x14ac:dyDescent="0.15">
      <c r="A18" s="29" t="s">
        <v>12</v>
      </c>
      <c r="B18" s="27">
        <f>COUNTIF('Chess Clock'!$A$2:$A$46, A18)</f>
        <v>2</v>
      </c>
      <c r="C18" s="28">
        <f>SUMIF('LLM Grading'!$A$2:$A$46, $A18, 'LLM Grading'!$C$2:$C$46)</f>
        <v>0</v>
      </c>
      <c r="D18" s="28">
        <f>SUMIF('LLM Grading'!$A$47:$A$53, $A7, 'LLM Grading'!$C$47:$C$53)</f>
        <v>0</v>
      </c>
      <c r="E18" s="28">
        <f>COUNTIFS('LLM Grading'!$A$2:$A$46, $A7, 'LLM Grading'!$C$2:$C$46,0)</f>
        <v>2</v>
      </c>
      <c r="F18" s="28" t="str">
        <f t="shared" si="5"/>
        <v>Not Available</v>
      </c>
      <c r="G18" s="28">
        <f t="shared" si="6"/>
        <v>0</v>
      </c>
      <c r="H18" s="28" t="str">
        <f t="shared" si="7"/>
        <v>Not Available</v>
      </c>
    </row>
    <row r="19" spans="1:8" ht="15.75" customHeight="1" x14ac:dyDescent="0.15">
      <c r="A19" s="29" t="s">
        <v>31</v>
      </c>
      <c r="B19" s="27">
        <f>COUNTIF('Chess Clock'!$A$2:$A$46, A19)</f>
        <v>1</v>
      </c>
      <c r="C19" s="28">
        <f>SUMIF('LLM Grading'!$A$2:$A$46, $A19, 'LLM Grading'!$C$2:$C$46)</f>
        <v>1</v>
      </c>
      <c r="D19" s="28">
        <f>SUMIF('LLM Grading'!$A$47:$A$53, $A8, 'LLM Grading'!$C$47:$C$53)</f>
        <v>0</v>
      </c>
      <c r="E19" s="28">
        <f>COUNTIFS('LLM Grading'!$A$2:$A$46, $A8, 'LLM Grading'!$C$2:$C$46,0)</f>
        <v>0</v>
      </c>
      <c r="F19" s="28">
        <f t="shared" si="5"/>
        <v>1</v>
      </c>
      <c r="G19" s="28">
        <f t="shared" si="6"/>
        <v>1</v>
      </c>
      <c r="H19" s="28">
        <f t="shared" si="7"/>
        <v>1</v>
      </c>
    </row>
    <row r="20" spans="1:8" ht="15.75" customHeight="1" x14ac:dyDescent="0.15">
      <c r="A20" s="29" t="s">
        <v>36</v>
      </c>
      <c r="B20" s="27">
        <f>COUNTIF('Chess Clock'!$A$2:$A$46, A20)</f>
        <v>4</v>
      </c>
      <c r="C20" s="28">
        <f>SUMIF('LLM Grading'!$A$2:$A$46, $A20, 'LLM Grading'!$C$2:$C$46)</f>
        <v>2</v>
      </c>
      <c r="D20" s="28">
        <f>SUMIF('LLM Grading'!$A$47:$A$53, $A9, 'LLM Grading'!$C$47:$C$53)</f>
        <v>0</v>
      </c>
      <c r="E20" s="28">
        <f>COUNTIFS('LLM Grading'!$A$2:$A$46, $A9, 'LLM Grading'!$C$2:$C$46,0)</f>
        <v>2</v>
      </c>
      <c r="F20" s="28">
        <f t="shared" si="5"/>
        <v>1</v>
      </c>
      <c r="G20" s="28">
        <f t="shared" si="6"/>
        <v>0.5</v>
      </c>
      <c r="H20" s="28">
        <f t="shared" si="7"/>
        <v>0.66666666666666663</v>
      </c>
    </row>
    <row r="21" spans="1:8" ht="15.75" customHeight="1" x14ac:dyDescent="0.15">
      <c r="A21" s="29" t="s">
        <v>122</v>
      </c>
      <c r="B21" s="28">
        <f t="shared" ref="B21:E21" si="8">SUM(B14:B20)</f>
        <v>45</v>
      </c>
      <c r="C21" s="28">
        <f t="shared" si="8"/>
        <v>29.5</v>
      </c>
      <c r="D21" s="28">
        <f t="shared" si="8"/>
        <v>3</v>
      </c>
      <c r="E21" s="28">
        <f t="shared" si="8"/>
        <v>13</v>
      </c>
      <c r="F21" s="28">
        <f t="shared" si="5"/>
        <v>0.90769230769230769</v>
      </c>
      <c r="G21" s="28">
        <f t="shared" si="6"/>
        <v>0.65555555555555556</v>
      </c>
      <c r="H21" s="28">
        <f t="shared" si="7"/>
        <v>0.76129032258064522</v>
      </c>
    </row>
    <row r="22" spans="1:8" ht="15.75" customHeight="1" x14ac:dyDescent="0.15">
      <c r="H22" s="30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4" max="14" width="50" customWidth="1"/>
    <col min="15" max="15" width="7.5" customWidth="1"/>
    <col min="16" max="16" width="56.1640625" customWidth="1"/>
  </cols>
  <sheetData>
    <row r="1" spans="1:14" ht="15.75" customHeight="1" thickBot="1" x14ac:dyDescent="0.2">
      <c r="A1" s="1" t="s">
        <v>0</v>
      </c>
      <c r="B1" s="2" t="s">
        <v>1</v>
      </c>
      <c r="C1" s="64" t="s">
        <v>160</v>
      </c>
      <c r="D1" s="64" t="s">
        <v>62</v>
      </c>
      <c r="E1" s="30"/>
      <c r="F1" s="67" t="s">
        <v>124</v>
      </c>
      <c r="G1" s="68"/>
      <c r="H1" s="68"/>
      <c r="I1" s="68"/>
      <c r="L1" s="69" t="s">
        <v>125</v>
      </c>
      <c r="M1" s="70"/>
      <c r="N1" s="70"/>
    </row>
    <row r="2" spans="1:14" ht="15.75" customHeight="1" thickTop="1" thickBot="1" x14ac:dyDescent="0.2">
      <c r="A2" s="4" t="str">
        <f>'Human Grading'!A2</f>
        <v>State</v>
      </c>
      <c r="B2" s="4" t="str">
        <f>'Human Grading'!B2</f>
        <v>initial state (off)</v>
      </c>
      <c r="C2" s="4">
        <f>'Human Grading'!C2</f>
        <v>1</v>
      </c>
      <c r="D2" s="4">
        <f>'LLM Grading'!C2</f>
        <v>1</v>
      </c>
      <c r="E2" s="30"/>
      <c r="F2" s="11" t="s">
        <v>126</v>
      </c>
      <c r="G2" s="32" t="s">
        <v>127</v>
      </c>
      <c r="H2" s="33" t="s">
        <v>128</v>
      </c>
      <c r="I2" s="34" t="s">
        <v>129</v>
      </c>
      <c r="J2" s="35" t="s">
        <v>130</v>
      </c>
      <c r="K2" s="11"/>
      <c r="L2" s="36" t="s">
        <v>131</v>
      </c>
      <c r="M2" s="36" t="s">
        <v>132</v>
      </c>
      <c r="N2" s="36" t="s">
        <v>133</v>
      </c>
    </row>
    <row r="3" spans="1:14" ht="15.75" customHeight="1" x14ac:dyDescent="0.15">
      <c r="A3" s="4" t="str">
        <f>'Human Grading'!A3</f>
        <v>Transition</v>
      </c>
      <c r="B3" s="4" t="str">
        <f>'Human Grading'!B3</f>
        <v>initial state (off) =&gt; off</v>
      </c>
      <c r="C3" s="4">
        <f>'Human Grading'!C3</f>
        <v>1</v>
      </c>
      <c r="D3" s="4">
        <f>'LLM Grading'!C3</f>
        <v>1</v>
      </c>
      <c r="E3" s="30"/>
      <c r="F3" s="37">
        <v>0</v>
      </c>
      <c r="G3" s="38">
        <f>COUNTIFS($C$2:$C$90, $F3, $D$2:$D$90, G$2)</f>
        <v>6</v>
      </c>
      <c r="H3" s="39">
        <f>COUNTIFS($C$2:$C$46, $F3, $D$2:$D$46, H$2)</f>
        <v>3</v>
      </c>
      <c r="I3" s="40">
        <f>COUNTIFS($C$2:$C$46, $F3, $D$2:$D$46, I$2)+MAX(D47-C47,0)+MAX(D48-C48,0)+MAX(D49-C49,0)+MAX(D50-C50,0)+MAX(D51-C51,0)+MAX(D52-C52,0)+MAX(D53-C53,0)</f>
        <v>3</v>
      </c>
      <c r="J3" s="11">
        <f t="shared" ref="J3:J5" si="0">SUM(G3:I3)</f>
        <v>12</v>
      </c>
      <c r="K3" s="11"/>
      <c r="L3" s="41" t="s">
        <v>134</v>
      </c>
      <c r="M3" s="38">
        <f>(G3+H4+I5)/COUNTA($C$2:$C$100)</f>
        <v>0.65384615384615385</v>
      </c>
      <c r="N3" s="40" t="s">
        <v>135</v>
      </c>
    </row>
    <row r="4" spans="1:14" ht="15.75" customHeight="1" x14ac:dyDescent="0.15">
      <c r="A4" s="4" t="str">
        <f>'Human Grading'!A4</f>
        <v>State</v>
      </c>
      <c r="B4" s="4" t="str">
        <f>'Human Grading'!B4</f>
        <v>Off</v>
      </c>
      <c r="C4" s="4">
        <f>'Human Grading'!C4</f>
        <v>1</v>
      </c>
      <c r="D4" s="4">
        <f>'LLM Grading'!C4</f>
        <v>1</v>
      </c>
      <c r="E4" s="30"/>
      <c r="F4" s="37">
        <v>0.5</v>
      </c>
      <c r="G4" s="42">
        <f t="shared" ref="G4:I4" si="1">COUNTIFS($C$2:$C$46, $F4, $D$2:$D$46, G$2)</f>
        <v>0</v>
      </c>
      <c r="H4" s="11">
        <f t="shared" si="1"/>
        <v>1</v>
      </c>
      <c r="I4" s="43">
        <f t="shared" si="1"/>
        <v>0</v>
      </c>
      <c r="J4" s="11">
        <f t="shared" si="0"/>
        <v>1</v>
      </c>
      <c r="K4" s="11"/>
      <c r="L4" s="41" t="s">
        <v>136</v>
      </c>
      <c r="M4" s="42">
        <f t="array" ref="M4">SUMPRODUCT(J3:J5/COUNTA($C$2:$C$100), TRANSPOSE(G6:I6)/COUNTA($C$2:$C$100))</f>
        <v>0.52551775147928992</v>
      </c>
      <c r="N4" s="43" t="s">
        <v>137</v>
      </c>
    </row>
    <row r="5" spans="1:14" ht="15.75" customHeight="1" x14ac:dyDescent="0.15">
      <c r="A5" s="4" t="str">
        <f>'Human Grading'!A5</f>
        <v>Transition</v>
      </c>
      <c r="B5" s="4" t="str">
        <f>'Human Grading'!B5</f>
        <v>off =&gt; on</v>
      </c>
      <c r="C5" s="4">
        <f>'Human Grading'!C5</f>
        <v>1</v>
      </c>
      <c r="D5" s="4">
        <f>'LLM Grading'!C5</f>
        <v>1</v>
      </c>
      <c r="E5" s="30"/>
      <c r="F5" s="37">
        <v>1</v>
      </c>
      <c r="G5" s="44">
        <f>COUNTIFS($C$2:$C$46, $F5, $D$2:$D$46, G$2)+MAX(C47-D47,0)+MAX(C48-D48,0)+MAX(C49-D49,0)+MAX(C50-D50,0)+MAX(C51-D51,0)+MAX(C52-D52,0)+MAX(C53-D53,0)</f>
        <v>12</v>
      </c>
      <c r="H5" s="45">
        <f>COUNTIFS($C$2:$C$46, $F5, $D$2:$D$46, H$2)</f>
        <v>1</v>
      </c>
      <c r="I5" s="46">
        <f>COUNTIFS($C$2:$C$46, $F5, $D$2:$D$46, I$2)+ SUM(MIN(C47,D47), MIN(C48,D48), MIN(C49,D49), MIN(C50,D50), MIN(C51,D51), MIN(C52,D52), MIN(C53,D53))</f>
        <v>27</v>
      </c>
      <c r="J5" s="11">
        <f t="shared" si="0"/>
        <v>40</v>
      </c>
      <c r="K5" s="11"/>
      <c r="L5" s="41" t="s">
        <v>125</v>
      </c>
      <c r="M5" s="44">
        <f>(M3-M4)/(1-M4)</f>
        <v>0.27045985970381925</v>
      </c>
      <c r="N5" s="46" t="s">
        <v>138</v>
      </c>
    </row>
    <row r="6" spans="1:14" ht="15.75" customHeight="1" x14ac:dyDescent="0.15">
      <c r="A6" s="4" t="str">
        <f>'Human Grading'!A6</f>
        <v>Composite State</v>
      </c>
      <c r="B6" s="4" t="str">
        <f>'Human Grading'!B6</f>
        <v>On</v>
      </c>
      <c r="C6" s="4">
        <f>'Human Grading'!C6</f>
        <v>1</v>
      </c>
      <c r="D6" s="4">
        <f>'LLM Grading'!C6</f>
        <v>1</v>
      </c>
      <c r="E6" s="30"/>
      <c r="F6" s="47" t="s">
        <v>139</v>
      </c>
      <c r="G6" s="11">
        <f t="shared" ref="G6:I6" si="2">SUM(G3:G5)</f>
        <v>18</v>
      </c>
      <c r="H6" s="11">
        <f t="shared" si="2"/>
        <v>5</v>
      </c>
      <c r="I6" s="11">
        <f t="shared" si="2"/>
        <v>30</v>
      </c>
      <c r="J6" s="11"/>
      <c r="L6" s="11"/>
      <c r="M6" s="48"/>
    </row>
    <row r="7" spans="1:14" ht="15.75" customHeight="1" x14ac:dyDescent="0.15">
      <c r="A7" s="4" t="str">
        <f>'Human Grading'!A7</f>
        <v>State</v>
      </c>
      <c r="B7" s="4" t="str">
        <f>'Human Grading'!B7</f>
        <v>initial state (on)</v>
      </c>
      <c r="C7" s="4">
        <f>'Human Grading'!C7</f>
        <v>1</v>
      </c>
      <c r="D7" s="4">
        <f>'LLM Grading'!C7</f>
        <v>1</v>
      </c>
      <c r="E7" s="30"/>
      <c r="L7" s="11"/>
      <c r="M7" s="11"/>
      <c r="N7" s="11"/>
    </row>
    <row r="8" spans="1:14" ht="15.75" customHeight="1" x14ac:dyDescent="0.15">
      <c r="A8" s="4" t="str">
        <f>'Human Grading'!A8</f>
        <v>Composite State</v>
      </c>
      <c r="B8" s="4" t="str">
        <f>'Human Grading'!B8</f>
        <v>GameSetup</v>
      </c>
      <c r="C8" s="4">
        <f>'Human Grading'!C8</f>
        <v>1</v>
      </c>
      <c r="D8" s="4">
        <f>'LLM Grading'!C8</f>
        <v>0.5</v>
      </c>
      <c r="E8" s="30"/>
      <c r="F8" s="67" t="s">
        <v>140</v>
      </c>
      <c r="G8" s="68"/>
      <c r="H8" s="68"/>
      <c r="I8" s="68"/>
      <c r="L8" s="69" t="s">
        <v>141</v>
      </c>
      <c r="M8" s="70"/>
      <c r="N8" s="70"/>
    </row>
    <row r="9" spans="1:14" ht="15.75" customHeight="1" x14ac:dyDescent="0.15">
      <c r="A9" s="4" t="str">
        <f>'Human Grading'!A9</f>
        <v>Region</v>
      </c>
      <c r="B9" s="4" t="str">
        <f>'Human Grading'!B9</f>
        <v>GameSetup Region 1</v>
      </c>
      <c r="C9" s="4">
        <f>'Human Grading'!C9</f>
        <v>1</v>
      </c>
      <c r="D9" s="4">
        <f>'LLM Grading'!C9</f>
        <v>0</v>
      </c>
      <c r="E9" s="30"/>
      <c r="F9" s="11" t="s">
        <v>2</v>
      </c>
      <c r="G9" s="49" t="s">
        <v>127</v>
      </c>
      <c r="H9" s="49" t="s">
        <v>128</v>
      </c>
      <c r="I9" s="49" t="s">
        <v>129</v>
      </c>
      <c r="J9" s="50" t="s">
        <v>130</v>
      </c>
      <c r="K9" s="11"/>
      <c r="L9" s="36" t="s">
        <v>131</v>
      </c>
      <c r="M9" s="36" t="s">
        <v>132</v>
      </c>
      <c r="N9" s="36" t="s">
        <v>133</v>
      </c>
    </row>
    <row r="10" spans="1:14" ht="15.75" customHeight="1" x14ac:dyDescent="0.15">
      <c r="A10" s="4" t="str">
        <f>'Human Grading'!A10</f>
        <v>State</v>
      </c>
      <c r="B10" s="4" t="str">
        <f>'Human Grading'!B10</f>
        <v>Initial state (region 1)</v>
      </c>
      <c r="C10" s="4">
        <f>'Human Grading'!C10</f>
        <v>1</v>
      </c>
      <c r="D10" s="4">
        <f>'LLM Grading'!C10</f>
        <v>0</v>
      </c>
      <c r="E10" s="30"/>
      <c r="F10" s="37">
        <v>0</v>
      </c>
      <c r="G10" s="38">
        <f t="shared" ref="G10:H10" si="3">COUNTIFS($A$2:$A$90,$F$9,$C$2:$C$90,$F10,$D$2:$D$90,G$9)</f>
        <v>0</v>
      </c>
      <c r="H10" s="39">
        <f t="shared" si="3"/>
        <v>1</v>
      </c>
      <c r="I10" s="40">
        <f>COUNTIFS($A$2:$A$46,$F$9,$C$2:$C$46,$F10,$D$2:$D$46,I$9)+MAX(D47-C47,0)</f>
        <v>2</v>
      </c>
      <c r="J10" s="11">
        <f t="shared" ref="J10:J12" si="4">SUM(G10:I10)</f>
        <v>3</v>
      </c>
      <c r="K10" s="11"/>
      <c r="L10" s="41" t="s">
        <v>134</v>
      </c>
      <c r="M10" s="38">
        <f>(G10+H11+I12)/COUNTIF($A$2:$A$100,F9)</f>
        <v>0.42857142857142855</v>
      </c>
      <c r="N10" s="40" t="s">
        <v>135</v>
      </c>
    </row>
    <row r="11" spans="1:14" ht="15.75" customHeight="1" x14ac:dyDescent="0.15">
      <c r="A11" s="4" t="str">
        <f>'Human Grading'!A11</f>
        <v>State</v>
      </c>
      <c r="B11" s="4" t="str">
        <f>'Human Grading'!B11</f>
        <v>TimingSelection</v>
      </c>
      <c r="C11" s="4">
        <f>'Human Grading'!C11</f>
        <v>1</v>
      </c>
      <c r="D11" s="4">
        <f>'LLM Grading'!C11</f>
        <v>1</v>
      </c>
      <c r="E11" s="30"/>
      <c r="F11" s="37">
        <v>0.5</v>
      </c>
      <c r="G11" s="42">
        <f t="shared" ref="G11:I11" si="5">COUNTIFS($A$2:$A$90,$F$9,$C$2:$C$90,$F11,$D$2:$D$90,G$9)</f>
        <v>0</v>
      </c>
      <c r="H11" s="11">
        <f t="shared" si="5"/>
        <v>1</v>
      </c>
      <c r="I11" s="43">
        <f t="shared" si="5"/>
        <v>0</v>
      </c>
      <c r="J11" s="11">
        <f t="shared" si="4"/>
        <v>1</v>
      </c>
      <c r="K11" s="11"/>
      <c r="L11" s="41" t="s">
        <v>136</v>
      </c>
      <c r="M11" s="42">
        <f t="array" ref="M11">SUMPRODUCT(J10:J12/COUNTIF($A$2:$A$100,F9), TRANSPOSE(G13:I13)/COUNTIF($A$2:$A$100,F9))</f>
        <v>0.3928571428571429</v>
      </c>
      <c r="N11" s="43" t="s">
        <v>137</v>
      </c>
    </row>
    <row r="12" spans="1:14" ht="15.75" customHeight="1" x14ac:dyDescent="0.15">
      <c r="A12" s="4" t="str">
        <f>'Human Grading'!A12</f>
        <v>Action</v>
      </c>
      <c r="B12" s="4" t="str">
        <f>'Human Grading'!B12</f>
        <v>incrTimingProgram()</v>
      </c>
      <c r="C12" s="4">
        <f>'Human Grading'!C12</f>
        <v>1</v>
      </c>
      <c r="D12" s="4">
        <f>'LLM Grading'!C12</f>
        <v>1</v>
      </c>
      <c r="E12" s="30"/>
      <c r="F12" s="37">
        <v>1</v>
      </c>
      <c r="G12" s="44">
        <f>COUNTIFS($A$2:$A$46,$F$9,$C$2:$C$46,$F12,$D$2:$D$46,G$9)+MAX(C47-D47,0)</f>
        <v>4</v>
      </c>
      <c r="H12" s="45">
        <f>COUNTIFS($A$2:$A$90,$F$9,$C$2:$C$90,$F12,$D$2:$D$90,H$9)</f>
        <v>0</v>
      </c>
      <c r="I12" s="46">
        <f>COUNTIFS($A$2:$A$46,$F$9,$C$2:$C$46,$F12,$D$2:$D$46,I$9)+MIN(C47-D47)</f>
        <v>5</v>
      </c>
      <c r="J12" s="11">
        <f t="shared" si="4"/>
        <v>9</v>
      </c>
      <c r="K12" s="11"/>
      <c r="L12" s="41" t="s">
        <v>125</v>
      </c>
      <c r="M12" s="44">
        <f>(M10-M11)/(1-M11)</f>
        <v>5.8823529411764594E-2</v>
      </c>
      <c r="N12" s="46" t="s">
        <v>138</v>
      </c>
    </row>
    <row r="13" spans="1:14" ht="15.75" customHeight="1" x14ac:dyDescent="0.15">
      <c r="A13" s="4" t="str">
        <f>'Human Grading'!A13</f>
        <v>Action</v>
      </c>
      <c r="B13" s="4" t="str">
        <f>'Human Grading'!B13</f>
        <v>decrTimingProgram()</v>
      </c>
      <c r="C13" s="4">
        <f>'Human Grading'!C13</f>
        <v>1</v>
      </c>
      <c r="D13" s="4">
        <f>'LLM Grading'!C13</f>
        <v>1</v>
      </c>
      <c r="E13" s="30"/>
      <c r="F13" s="47" t="s">
        <v>139</v>
      </c>
      <c r="G13" s="11">
        <f t="shared" ref="G13:I13" si="6">SUM(G10:G12)</f>
        <v>4</v>
      </c>
      <c r="H13" s="11">
        <f t="shared" si="6"/>
        <v>2</v>
      </c>
      <c r="I13" s="11">
        <f t="shared" si="6"/>
        <v>7</v>
      </c>
      <c r="J13" s="11"/>
      <c r="L13" s="11"/>
      <c r="M13" s="48"/>
    </row>
    <row r="14" spans="1:14" ht="15.75" customHeight="1" x14ac:dyDescent="0.15">
      <c r="A14" s="4" t="str">
        <f>'Human Grading'!A14</f>
        <v>Transition</v>
      </c>
      <c r="B14" s="4" t="str">
        <f>'Human Grading'!B14</f>
        <v>timing selection =&gt; timing selection</v>
      </c>
      <c r="C14" s="4">
        <f>'Human Grading'!C14</f>
        <v>1</v>
      </c>
      <c r="D14" s="4">
        <f>'LLM Grading'!C14</f>
        <v>1</v>
      </c>
      <c r="E14" s="30"/>
    </row>
    <row r="15" spans="1:14" ht="15.75" customHeight="1" x14ac:dyDescent="0.15">
      <c r="A15" s="4" t="str">
        <f>'Human Grading'!A15</f>
        <v>Transition</v>
      </c>
      <c r="B15" s="4" t="str">
        <f>'Human Grading'!B15</f>
        <v>game setup =&gt; ready to start</v>
      </c>
      <c r="C15" s="4">
        <f>'Human Grading'!C15</f>
        <v>0</v>
      </c>
      <c r="D15" s="4">
        <f>'LLM Grading'!C15</f>
        <v>0.5</v>
      </c>
      <c r="E15" s="30"/>
      <c r="F15" s="67" t="s">
        <v>142</v>
      </c>
      <c r="G15" s="68"/>
      <c r="H15" s="68"/>
      <c r="I15" s="68"/>
      <c r="L15" s="69" t="s">
        <v>143</v>
      </c>
      <c r="M15" s="70"/>
      <c r="N15" s="70"/>
    </row>
    <row r="16" spans="1:14" ht="15.75" customHeight="1" x14ac:dyDescent="0.15">
      <c r="A16" s="4" t="str">
        <f>'Human Grading'!A16</f>
        <v>Region</v>
      </c>
      <c r="B16" s="4" t="str">
        <f>'Human Grading'!B16</f>
        <v>GameSetup Region 2</v>
      </c>
      <c r="C16" s="4">
        <f>'Human Grading'!C16</f>
        <v>0</v>
      </c>
      <c r="D16" s="4">
        <f>'LLM Grading'!C16</f>
        <v>0</v>
      </c>
      <c r="E16" s="30"/>
      <c r="F16" s="11" t="s">
        <v>4</v>
      </c>
      <c r="G16" s="49" t="s">
        <v>127</v>
      </c>
      <c r="H16" s="49" t="s">
        <v>128</v>
      </c>
      <c r="I16" s="49" t="s">
        <v>129</v>
      </c>
      <c r="J16" s="50" t="s">
        <v>130</v>
      </c>
      <c r="K16" s="11"/>
      <c r="L16" s="36" t="s">
        <v>131</v>
      </c>
      <c r="M16" s="36" t="s">
        <v>132</v>
      </c>
      <c r="N16" s="36" t="s">
        <v>133</v>
      </c>
    </row>
    <row r="17" spans="1:14" ht="15.75" customHeight="1" x14ac:dyDescent="0.15">
      <c r="A17" s="4" t="str">
        <f>'Human Grading'!A17</f>
        <v>State</v>
      </c>
      <c r="B17" s="4" t="str">
        <f>'Human Grading'!B17</f>
        <v>Initial state (region 2)</v>
      </c>
      <c r="C17" s="4">
        <f>'Human Grading'!C17</f>
        <v>1</v>
      </c>
      <c r="D17" s="4">
        <f>'LLM Grading'!C17</f>
        <v>0</v>
      </c>
      <c r="E17" s="30"/>
      <c r="F17" s="37">
        <v>0</v>
      </c>
      <c r="G17" s="38">
        <f t="shared" ref="G17:H17" si="7">COUNTIFS($A$2:$A$90,$F$16,$C$2:$C$90,$F17,$D$2:$D$90,G$16)</f>
        <v>1</v>
      </c>
      <c r="H17" s="39">
        <f t="shared" si="7"/>
        <v>2</v>
      </c>
      <c r="I17" s="40">
        <f>COUNTIFS($A$2:$A$46,$F$16,$C$2:$C$46,$F17,$D$2:$D$46,I$16) + MAX(D48-C48,0)</f>
        <v>0</v>
      </c>
      <c r="J17" s="11">
        <f t="shared" ref="J17:J19" si="8">SUM(G17:I17)</f>
        <v>3</v>
      </c>
      <c r="K17" s="11"/>
      <c r="L17" s="41" t="s">
        <v>134</v>
      </c>
      <c r="M17" s="38">
        <f>(G17+H18+I19)/COUNTIF($A$2:$A$100,F16)</f>
        <v>0.53333333333333333</v>
      </c>
      <c r="N17" s="40" t="s">
        <v>135</v>
      </c>
    </row>
    <row r="18" spans="1:14" ht="15.75" customHeight="1" x14ac:dyDescent="0.15">
      <c r="A18" s="4" t="str">
        <f>'Human Grading'!A18</f>
        <v>State</v>
      </c>
      <c r="B18" s="4" t="str">
        <f>'Human Grading'!B18</f>
        <v>WhiteKingOnLeft</v>
      </c>
      <c r="C18" s="4">
        <f>'Human Grading'!C18</f>
        <v>1</v>
      </c>
      <c r="D18" s="4">
        <f>'LLM Grading'!C18</f>
        <v>0</v>
      </c>
      <c r="E18" s="30"/>
      <c r="F18" s="37">
        <v>0.5</v>
      </c>
      <c r="G18" s="42">
        <f t="shared" ref="G18:I18" si="9">COUNTIFS($A$2:$A$90,$F$16,$C$2:$C$90,$F18,$D$2:$D$90,G$16)</f>
        <v>0</v>
      </c>
      <c r="H18" s="11">
        <f t="shared" si="9"/>
        <v>0</v>
      </c>
      <c r="I18" s="43">
        <f t="shared" si="9"/>
        <v>0</v>
      </c>
      <c r="J18" s="11">
        <f t="shared" si="8"/>
        <v>0</v>
      </c>
      <c r="K18" s="11"/>
      <c r="L18" s="41" t="s">
        <v>136</v>
      </c>
      <c r="M18" s="42">
        <f t="array" ref="M18">SUMPRODUCT(J17:J19/COUNTIF($A$2:$A$100,F16), TRANSPOSE(G20:I20)/COUNTIF($A$2:$A$100,F16))</f>
        <v>0.45333333333333337</v>
      </c>
      <c r="N18" s="43" t="s">
        <v>137</v>
      </c>
    </row>
    <row r="19" spans="1:14" ht="15.75" customHeight="1" x14ac:dyDescent="0.15">
      <c r="A19" s="4" t="str">
        <f>'Human Grading'!A19</f>
        <v>State</v>
      </c>
      <c r="B19" s="4" t="str">
        <f>'Human Grading'!B19</f>
        <v>WhiteKingOnRight</v>
      </c>
      <c r="C19" s="4">
        <f>'Human Grading'!C19</f>
        <v>1</v>
      </c>
      <c r="D19" s="4">
        <f>'LLM Grading'!C19</f>
        <v>0</v>
      </c>
      <c r="E19" s="30"/>
      <c r="F19" s="37">
        <v>1</v>
      </c>
      <c r="G19" s="44">
        <f>COUNTIFS($A$2:$A$46,$F$16,$C$2:$C$46,$F19,$D$2:$D$46,G$16)+MAX(C48-D48,0)</f>
        <v>5</v>
      </c>
      <c r="H19" s="45">
        <f>COUNTIFS($A$2:$A$90,$F$16,$C$2:$C$90,$F19,$D$2:$D$90,H$16)</f>
        <v>0</v>
      </c>
      <c r="I19" s="46">
        <f>COUNTIFS($A$2:$A$46,$F$16,$C$2:$C$46,$F19,$D$2:$D$46,I$16) + MIN(C48,D48)</f>
        <v>7</v>
      </c>
      <c r="J19" s="11">
        <f t="shared" si="8"/>
        <v>12</v>
      </c>
      <c r="K19" s="11"/>
      <c r="L19" s="41" t="s">
        <v>125</v>
      </c>
      <c r="M19" s="44">
        <f>(M17-M18)/(1-M18)</f>
        <v>0.14634146341463408</v>
      </c>
      <c r="N19" s="46" t="s">
        <v>138</v>
      </c>
    </row>
    <row r="20" spans="1:14" ht="15.75" customHeight="1" x14ac:dyDescent="0.15">
      <c r="A20" s="4" t="str">
        <f>'Human Grading'!A20</f>
        <v>Transition</v>
      </c>
      <c r="B20" s="4" t="str">
        <f>'Human Grading'!B20</f>
        <v>initial state =&gt; white king on left</v>
      </c>
      <c r="C20" s="4">
        <f>'Human Grading'!C20</f>
        <v>1</v>
      </c>
      <c r="D20" s="4">
        <f>'LLM Grading'!C20</f>
        <v>0</v>
      </c>
      <c r="E20" s="30"/>
      <c r="F20" s="47" t="s">
        <v>139</v>
      </c>
      <c r="G20" s="11">
        <f t="shared" ref="G20:I20" si="10">SUM(G17:G19)</f>
        <v>6</v>
      </c>
      <c r="H20" s="11">
        <f t="shared" si="10"/>
        <v>2</v>
      </c>
      <c r="I20" s="11">
        <f t="shared" si="10"/>
        <v>7</v>
      </c>
      <c r="J20" s="11"/>
      <c r="L20" s="11"/>
      <c r="M20" s="48"/>
    </row>
    <row r="21" spans="1:14" ht="15.75" customHeight="1" x14ac:dyDescent="0.15">
      <c r="A21" s="4" t="str">
        <f>'Human Grading'!A21</f>
        <v>Transition</v>
      </c>
      <c r="B21" s="4" t="str">
        <f>'Human Grading'!B21</f>
        <v>white king on left =&gt; white king on right</v>
      </c>
      <c r="C21" s="4">
        <f>'Human Grading'!C21</f>
        <v>1</v>
      </c>
      <c r="D21" s="4">
        <f>'LLM Grading'!C21</f>
        <v>0</v>
      </c>
      <c r="E21" s="30"/>
    </row>
    <row r="22" spans="1:14" ht="15.75" customHeight="1" x14ac:dyDescent="0.15">
      <c r="A22" s="4" t="str">
        <f>'Human Grading'!A22</f>
        <v>Transition</v>
      </c>
      <c r="B22" s="4" t="str">
        <f>'Human Grading'!B22</f>
        <v>white king on right =&gt; white king on left</v>
      </c>
      <c r="C22" s="4">
        <f>'Human Grading'!C22</f>
        <v>1</v>
      </c>
      <c r="D22" s="4">
        <f>'LLM Grading'!C22</f>
        <v>0</v>
      </c>
      <c r="E22" s="30"/>
      <c r="F22" s="67" t="s">
        <v>144</v>
      </c>
      <c r="G22" s="68"/>
      <c r="H22" s="68"/>
      <c r="I22" s="68"/>
      <c r="L22" s="69" t="s">
        <v>145</v>
      </c>
      <c r="M22" s="70"/>
      <c r="N22" s="70"/>
    </row>
    <row r="23" spans="1:14" ht="15.75" customHeight="1" x14ac:dyDescent="0.15">
      <c r="A23" s="4" t="str">
        <f>'Human Grading'!A23</f>
        <v>State</v>
      </c>
      <c r="B23" s="4" t="str">
        <f>'Human Grading'!B23</f>
        <v>ReadyToStart</v>
      </c>
      <c r="C23" s="4">
        <f>'Human Grading'!C23</f>
        <v>0</v>
      </c>
      <c r="D23" s="4">
        <f>'LLM Grading'!C23</f>
        <v>0.5</v>
      </c>
      <c r="E23" s="30"/>
      <c r="F23" s="11" t="s">
        <v>8</v>
      </c>
      <c r="G23" s="49" t="s">
        <v>127</v>
      </c>
      <c r="H23" s="49" t="s">
        <v>128</v>
      </c>
      <c r="I23" s="49" t="s">
        <v>129</v>
      </c>
      <c r="J23" s="50" t="s">
        <v>130</v>
      </c>
      <c r="K23" s="11"/>
      <c r="L23" s="36" t="s">
        <v>131</v>
      </c>
      <c r="M23" s="36" t="s">
        <v>132</v>
      </c>
      <c r="N23" s="36" t="s">
        <v>133</v>
      </c>
    </row>
    <row r="24" spans="1:14" ht="15.75" customHeight="1" x14ac:dyDescent="0.15">
      <c r="A24" s="4" t="str">
        <f>'Human Grading'!A24</f>
        <v>Transition</v>
      </c>
      <c r="B24" s="4" t="str">
        <f>'Human Grading'!B24</f>
        <v>ready to start =&gt; game running</v>
      </c>
      <c r="C24" s="4">
        <f>'Human Grading'!C24</f>
        <v>1</v>
      </c>
      <c r="D24" s="4">
        <f>'LLM Grading'!C24</f>
        <v>1</v>
      </c>
      <c r="E24" s="30"/>
      <c r="F24" s="37">
        <v>0</v>
      </c>
      <c r="G24" s="38">
        <f t="shared" ref="G24:H24" si="11">COUNTIFS($A$2:$A$90,$F$23,$C$2:$C$90,$F24,$D$2:$D$90,G$23)</f>
        <v>1</v>
      </c>
      <c r="H24" s="39">
        <f t="shared" si="11"/>
        <v>0</v>
      </c>
      <c r="I24" s="40">
        <f>COUNTIFS($A$2:$A$46,$F$23,$C$2:$C$46,$F24,$D$2:$D$46,I$23) + MAX(D51-C51,0)</f>
        <v>0</v>
      </c>
      <c r="J24" s="11">
        <f t="shared" ref="J24:J26" si="12">SUM(G24:I24)</f>
        <v>1</v>
      </c>
      <c r="K24" s="11"/>
      <c r="L24" s="41" t="s">
        <v>134</v>
      </c>
      <c r="M24" s="38">
        <f>(G24+H25+I26)/COUNTIF($A$2:$A$100,F23)</f>
        <v>0.75</v>
      </c>
      <c r="N24" s="40" t="s">
        <v>135</v>
      </c>
    </row>
    <row r="25" spans="1:14" ht="15.75" customHeight="1" x14ac:dyDescent="0.15">
      <c r="A25" s="4" t="str">
        <f>'Human Grading'!A25</f>
        <v>Composite State</v>
      </c>
      <c r="B25" s="4" t="str">
        <f>'Human Grading'!B25</f>
        <v>GameRunning</v>
      </c>
      <c r="C25" s="4">
        <f>'Human Grading'!C25</f>
        <v>1</v>
      </c>
      <c r="D25" s="4">
        <f>'LLM Grading'!C25</f>
        <v>1</v>
      </c>
      <c r="E25" s="30"/>
      <c r="F25" s="37">
        <v>0.5</v>
      </c>
      <c r="G25" s="42">
        <f t="shared" ref="G25:I25" si="13">COUNTIFS($A$2:$A$90,$F$23,$C$2:$C$90,$F25,$D$2:$D$90,G$23)</f>
        <v>0</v>
      </c>
      <c r="H25" s="11">
        <f t="shared" si="13"/>
        <v>0</v>
      </c>
      <c r="I25" s="43">
        <f t="shared" si="13"/>
        <v>0</v>
      </c>
      <c r="J25" s="11">
        <f t="shared" si="12"/>
        <v>0</v>
      </c>
      <c r="K25" s="11"/>
      <c r="L25" s="41" t="s">
        <v>136</v>
      </c>
      <c r="M25" s="42">
        <f t="array" ref="M25">SUMPRODUCT(J24:J26/COUNTIF($A$2:$A$100,F23), TRANSPOSE(G27:I27)/COUNTIF($A$2:$A$100,F23))</f>
        <v>0.4375</v>
      </c>
      <c r="N25" s="43" t="s">
        <v>137</v>
      </c>
    </row>
    <row r="26" spans="1:14" ht="15.75" customHeight="1" x14ac:dyDescent="0.15">
      <c r="A26" s="4" t="str">
        <f>'Human Grading'!A26</f>
        <v>History State</v>
      </c>
      <c r="B26" s="4" t="str">
        <f>'Human Grading'!B26</f>
        <v>H</v>
      </c>
      <c r="C26" s="4">
        <f>'Human Grading'!C26</f>
        <v>1</v>
      </c>
      <c r="D26" s="4">
        <f>'LLM Grading'!C26</f>
        <v>1</v>
      </c>
      <c r="E26" s="30"/>
      <c r="F26" s="37">
        <v>1</v>
      </c>
      <c r="G26" s="44">
        <f>COUNTIFS($A$2:$A$46,$F$23,$C$2:$C$46,$F26,$D$2:$D$46,G$23) + MAX(C51-D51,0)</f>
        <v>0</v>
      </c>
      <c r="H26" s="45">
        <f>COUNTIFS($A$2:$A$90,$F$23,$C$2:$C$90,$F26,$D$2:$D$90,H$23)</f>
        <v>1</v>
      </c>
      <c r="I26" s="46">
        <f>COUNTIFS($A$2:$A$46,$F$23,$C$2:$C$46,$F26,$D$2:$D$46,I$23) + MIN(C51,D51)</f>
        <v>2</v>
      </c>
      <c r="J26" s="11">
        <f t="shared" si="12"/>
        <v>3</v>
      </c>
      <c r="K26" s="11"/>
      <c r="L26" s="41" t="s">
        <v>125</v>
      </c>
      <c r="M26" s="44">
        <f>(M24-M25)/(1-M25)</f>
        <v>0.55555555555555558</v>
      </c>
      <c r="N26" s="46" t="s">
        <v>138</v>
      </c>
    </row>
    <row r="27" spans="1:14" ht="15.75" customHeight="1" x14ac:dyDescent="0.15">
      <c r="A27" s="4" t="str">
        <f>'Human Grading'!A27</f>
        <v>State</v>
      </c>
      <c r="B27" s="4" t="str">
        <f>'Human Grading'!B27</f>
        <v>WhiteClockRunning</v>
      </c>
      <c r="C27" s="4">
        <f>'Human Grading'!C27</f>
        <v>1</v>
      </c>
      <c r="D27" s="4">
        <f>'LLM Grading'!C27</f>
        <v>1</v>
      </c>
      <c r="E27" s="30"/>
      <c r="F27" s="47" t="s">
        <v>139</v>
      </c>
      <c r="G27" s="11">
        <f t="shared" ref="G27:I27" si="14">SUM(G24:G26)</f>
        <v>1</v>
      </c>
      <c r="H27" s="11">
        <f t="shared" si="14"/>
        <v>1</v>
      </c>
      <c r="I27" s="11">
        <f t="shared" si="14"/>
        <v>2</v>
      </c>
      <c r="J27" s="11"/>
      <c r="L27" s="11"/>
      <c r="M27" s="48"/>
    </row>
    <row r="28" spans="1:14" ht="15.75" customHeight="1" x14ac:dyDescent="0.15">
      <c r="A28" s="4" t="str">
        <f>'Human Grading'!A28</f>
        <v>Action</v>
      </c>
      <c r="B28" s="4" t="str">
        <f>'Human Grading'!B28</f>
        <v>startTimer(wc)</v>
      </c>
      <c r="C28" s="4">
        <f>'Human Grading'!C28</f>
        <v>1</v>
      </c>
      <c r="D28" s="4">
        <f>'LLM Grading'!C28</f>
        <v>1</v>
      </c>
      <c r="E28" s="30"/>
    </row>
    <row r="29" spans="1:14" ht="15.75" customHeight="1" x14ac:dyDescent="0.15">
      <c r="A29" s="4" t="str">
        <f>'Human Grading'!A29</f>
        <v>Action</v>
      </c>
      <c r="B29" s="4" t="str">
        <f>'Human Grading'!B29</f>
        <v>stopTimer(wc)</v>
      </c>
      <c r="C29" s="4">
        <f>'Human Grading'!C29</f>
        <v>1</v>
      </c>
      <c r="D29" s="4">
        <f>'LLM Grading'!C29</f>
        <v>1</v>
      </c>
      <c r="E29" s="30"/>
      <c r="F29" s="67" t="s">
        <v>146</v>
      </c>
      <c r="G29" s="68"/>
      <c r="H29" s="68"/>
      <c r="I29" s="68"/>
      <c r="L29" s="69" t="s">
        <v>147</v>
      </c>
      <c r="M29" s="70"/>
      <c r="N29" s="70"/>
    </row>
    <row r="30" spans="1:14" ht="15.75" customHeight="1" x14ac:dyDescent="0.15">
      <c r="A30" s="4" t="str">
        <f>'Human Grading'!A30</f>
        <v>Guard</v>
      </c>
      <c r="B30" s="4" t="str">
        <f>'Human Grading'!B30</f>
        <v>[wc &gt; 0]</v>
      </c>
      <c r="C30" s="4">
        <f>'Human Grading'!C30</f>
        <v>1</v>
      </c>
      <c r="D30" s="4">
        <f>'LLM Grading'!C30</f>
        <v>0</v>
      </c>
      <c r="E30" s="30"/>
      <c r="F30" s="11" t="s">
        <v>36</v>
      </c>
      <c r="G30" s="49" t="s">
        <v>127</v>
      </c>
      <c r="H30" s="49" t="s">
        <v>128</v>
      </c>
      <c r="I30" s="49" t="s">
        <v>129</v>
      </c>
      <c r="J30" s="50" t="s">
        <v>130</v>
      </c>
      <c r="K30" s="11"/>
      <c r="L30" s="36" t="s">
        <v>131</v>
      </c>
      <c r="M30" s="36" t="s">
        <v>132</v>
      </c>
      <c r="N30" s="36" t="s">
        <v>133</v>
      </c>
    </row>
    <row r="31" spans="1:14" ht="15.75" customHeight="1" x14ac:dyDescent="0.15">
      <c r="A31" s="4" t="str">
        <f>'Human Grading'!A31</f>
        <v>Action</v>
      </c>
      <c r="B31" s="4" t="str">
        <f>'Human Grading'!B31</f>
        <v>decrTimer(wc)</v>
      </c>
      <c r="C31" s="4">
        <f>'Human Grading'!C31</f>
        <v>1</v>
      </c>
      <c r="D31" s="4">
        <f>'LLM Grading'!C31</f>
        <v>1</v>
      </c>
      <c r="E31" s="30"/>
      <c r="F31" s="37">
        <v>0</v>
      </c>
      <c r="G31" s="38">
        <f t="shared" ref="G31:H31" si="15">COUNTIFS($A$2:$A$90,$F$30,$C$2:$C$90,$F31,$D$2:$D$90,G$30)</f>
        <v>1</v>
      </c>
      <c r="H31" s="39">
        <f t="shared" si="15"/>
        <v>0</v>
      </c>
      <c r="I31" s="40">
        <f>COUNTIFS($A$2:$A$46,$F$30,$C$2:$C$46,$F31,$D$2:$D$46,I$30) + MAX(D49-C49,0)</f>
        <v>0</v>
      </c>
      <c r="J31" s="11">
        <f t="shared" ref="J31:J33" si="16">SUM(G31:I31)</f>
        <v>1</v>
      </c>
      <c r="K31" s="11"/>
      <c r="L31" s="41" t="s">
        <v>134</v>
      </c>
      <c r="M31" s="38">
        <f>(G31+H32+I33)/COUNTIF($A$2:$A$100,F30)</f>
        <v>0.6</v>
      </c>
      <c r="N31" s="40" t="s">
        <v>135</v>
      </c>
    </row>
    <row r="32" spans="1:14" ht="15.75" customHeight="1" x14ac:dyDescent="0.15">
      <c r="A32" s="4" t="str">
        <f>'Human Grading'!A32</f>
        <v>Transition</v>
      </c>
      <c r="B32" s="4" t="str">
        <f>'Human Grading'!B32</f>
        <v>white clock running =&gt; white clock running</v>
      </c>
      <c r="C32" s="4">
        <f>'Human Grading'!C32</f>
        <v>1</v>
      </c>
      <c r="D32" s="4">
        <f>'LLM Grading'!C32</f>
        <v>0</v>
      </c>
      <c r="E32" s="30"/>
      <c r="F32" s="37">
        <v>0.5</v>
      </c>
      <c r="G32" s="42">
        <f t="shared" ref="G32:I32" si="17">COUNTIFS($A$2:$A$90,$F$30,$C$2:$C$90,$F32,$D$2:$D$90,G$30)</f>
        <v>0</v>
      </c>
      <c r="H32" s="11">
        <f t="shared" si="17"/>
        <v>0</v>
      </c>
      <c r="I32" s="43">
        <f t="shared" si="17"/>
        <v>0</v>
      </c>
      <c r="J32" s="11">
        <f t="shared" si="16"/>
        <v>0</v>
      </c>
      <c r="K32" s="11"/>
      <c r="L32" s="41" t="s">
        <v>136</v>
      </c>
      <c r="M32" s="42">
        <f t="array" ref="M32">SUMPRODUCT(J31:J33/COUNTIF($A$2:$A$100,F30), TRANSPOSE(G34:I34)/COUNTIF($A$2:$A$100,F30))</f>
        <v>0.44000000000000006</v>
      </c>
      <c r="N32" s="43" t="s">
        <v>137</v>
      </c>
    </row>
    <row r="33" spans="1:14" ht="15.75" customHeight="1" x14ac:dyDescent="0.15">
      <c r="A33" s="4" t="str">
        <f>'Human Grading'!A33</f>
        <v>State</v>
      </c>
      <c r="B33" s="4" t="str">
        <f>'Human Grading'!B33</f>
        <v>BlackClockRunning</v>
      </c>
      <c r="C33" s="4">
        <f>'Human Grading'!C33</f>
        <v>1</v>
      </c>
      <c r="D33" s="4">
        <f>'LLM Grading'!C33</f>
        <v>1</v>
      </c>
      <c r="E33" s="30"/>
      <c r="F33" s="37">
        <v>1</v>
      </c>
      <c r="G33" s="44">
        <f>COUNTIFS($A$2:$A$46,$F$30,$C$2:$C$46,$F33,$D$2:$D$46,G$30) + MAX(C49-D49,0)</f>
        <v>2</v>
      </c>
      <c r="H33" s="45">
        <f>COUNTIFS($A$2:$A$90,$F$30,$C$2:$C$90,$F33,$D$2:$D$90,H$30)</f>
        <v>0</v>
      </c>
      <c r="I33" s="46">
        <f>COUNTIFS($A$2:$A$46,$F$30,$C$2:$C$46,$F33,$D$2:$D$46,I$30) + MIN(C49,D49)</f>
        <v>2</v>
      </c>
      <c r="J33" s="11">
        <f t="shared" si="16"/>
        <v>4</v>
      </c>
      <c r="K33" s="11"/>
      <c r="L33" s="41" t="s">
        <v>125</v>
      </c>
      <c r="M33" s="44">
        <f>(M31-M32)/(1-M32)</f>
        <v>0.28571428571428559</v>
      </c>
      <c r="N33" s="46" t="s">
        <v>138</v>
      </c>
    </row>
    <row r="34" spans="1:14" ht="15.75" customHeight="1" x14ac:dyDescent="0.15">
      <c r="A34" s="4" t="str">
        <f>'Human Grading'!A34</f>
        <v>Action</v>
      </c>
      <c r="B34" s="4" t="str">
        <f>'Human Grading'!B34</f>
        <v>startTimer(bc)</v>
      </c>
      <c r="C34" s="4">
        <f>'Human Grading'!C34</f>
        <v>1</v>
      </c>
      <c r="D34" s="4">
        <f>'LLM Grading'!C34</f>
        <v>1</v>
      </c>
      <c r="E34" s="30"/>
      <c r="F34" s="47" t="s">
        <v>139</v>
      </c>
      <c r="G34" s="11">
        <f t="shared" ref="G34:I34" si="18">SUM(G31:G33)</f>
        <v>3</v>
      </c>
      <c r="H34" s="11">
        <f t="shared" si="18"/>
        <v>0</v>
      </c>
      <c r="I34" s="11">
        <f t="shared" si="18"/>
        <v>2</v>
      </c>
      <c r="J34" s="11"/>
      <c r="L34" s="11"/>
      <c r="M34" s="48"/>
    </row>
    <row r="35" spans="1:14" ht="15.75" customHeight="1" x14ac:dyDescent="0.15">
      <c r="A35" s="4" t="str">
        <f>'Human Grading'!A35</f>
        <v>Action</v>
      </c>
      <c r="B35" s="4" t="str">
        <f>'Human Grading'!B35</f>
        <v>stopTimer(bc)</v>
      </c>
      <c r="C35" s="4">
        <f>'Human Grading'!C35</f>
        <v>1</v>
      </c>
      <c r="D35" s="4">
        <f>'LLM Grading'!C35</f>
        <v>1</v>
      </c>
      <c r="E35" s="30"/>
    </row>
    <row r="36" spans="1:14" ht="15.75" customHeight="1" x14ac:dyDescent="0.15">
      <c r="A36" s="4" t="str">
        <f>'Human Grading'!A36</f>
        <v>Guard</v>
      </c>
      <c r="B36" s="4" t="str">
        <f>'Human Grading'!B36</f>
        <v>[bc &gt; 0]</v>
      </c>
      <c r="C36" s="4">
        <f>'Human Grading'!C36</f>
        <v>1</v>
      </c>
      <c r="D36" s="4">
        <f>'LLM Grading'!C36</f>
        <v>0</v>
      </c>
      <c r="E36" s="30"/>
      <c r="F36" s="67" t="s">
        <v>148</v>
      </c>
      <c r="G36" s="68"/>
      <c r="H36" s="68"/>
      <c r="I36" s="68"/>
      <c r="L36" s="69" t="s">
        <v>149</v>
      </c>
      <c r="M36" s="70"/>
      <c r="N36" s="70"/>
    </row>
    <row r="37" spans="1:14" ht="15.75" customHeight="1" x14ac:dyDescent="0.15">
      <c r="A37" s="4" t="str">
        <f>'Human Grading'!A37</f>
        <v>Action</v>
      </c>
      <c r="B37" s="4" t="str">
        <f>'Human Grading'!B37</f>
        <v>decrTimer(bc)</v>
      </c>
      <c r="C37" s="4">
        <f>'Human Grading'!C37</f>
        <v>1</v>
      </c>
      <c r="D37" s="4">
        <f>'LLM Grading'!C37</f>
        <v>1</v>
      </c>
      <c r="E37" s="30"/>
      <c r="F37" s="11" t="s">
        <v>16</v>
      </c>
      <c r="G37" s="49" t="s">
        <v>127</v>
      </c>
      <c r="H37" s="49" t="s">
        <v>128</v>
      </c>
      <c r="I37" s="49" t="s">
        <v>129</v>
      </c>
      <c r="J37" s="50" t="s">
        <v>130</v>
      </c>
      <c r="K37" s="11"/>
      <c r="L37" s="36" t="s">
        <v>131</v>
      </c>
      <c r="M37" s="36" t="s">
        <v>132</v>
      </c>
      <c r="N37" s="36" t="s">
        <v>133</v>
      </c>
    </row>
    <row r="38" spans="1:14" ht="15.75" customHeight="1" x14ac:dyDescent="0.15">
      <c r="A38" s="4" t="str">
        <f>'Human Grading'!A38</f>
        <v>Transition</v>
      </c>
      <c r="B38" s="4" t="str">
        <f>'Human Grading'!B38</f>
        <v>balck clock running =&gt; black clock running</v>
      </c>
      <c r="C38" s="4">
        <f>'Human Grading'!C38</f>
        <v>1</v>
      </c>
      <c r="D38" s="4">
        <f>'LLM Grading'!C38</f>
        <v>0</v>
      </c>
      <c r="E38" s="30"/>
      <c r="F38" s="37">
        <v>0</v>
      </c>
      <c r="G38" s="38">
        <f t="shared" ref="G38:H38" si="19">COUNTIFS($A$2:$A$90,$F$37,$C$2:$C$90,$F38,$D$2:$D$90,G$37)</f>
        <v>0</v>
      </c>
      <c r="H38" s="39">
        <f t="shared" si="19"/>
        <v>0</v>
      </c>
      <c r="I38" s="40">
        <f>COUNTIFS($A$2:$A$46,$F$37,$C$2:$C$46,$F38,$D$2:$D$46,I$37)+MAX(D50-C50,0)</f>
        <v>1</v>
      </c>
      <c r="J38" s="11">
        <f t="shared" ref="J38:J40" si="20">SUM(G38:I38)</f>
        <v>1</v>
      </c>
      <c r="K38" s="11"/>
      <c r="L38" s="41" t="s">
        <v>134</v>
      </c>
      <c r="M38" s="38">
        <f>(G38+H39+I40)/COUNTIF($A$2:$A$100,F37)</f>
        <v>0.88888888888888884</v>
      </c>
      <c r="N38" s="40" t="s">
        <v>135</v>
      </c>
    </row>
    <row r="39" spans="1:14" ht="15.75" customHeight="1" x14ac:dyDescent="0.15">
      <c r="A39" s="4" t="str">
        <f>'Human Grading'!A39</f>
        <v>Transition</v>
      </c>
      <c r="B39" s="4" t="str">
        <f>'Human Grading'!B39</f>
        <v>game running =&gt; game paused</v>
      </c>
      <c r="C39" s="4">
        <f>'Human Grading'!C39</f>
        <v>1</v>
      </c>
      <c r="D39" s="4">
        <f>'LLM Grading'!C39</f>
        <v>1</v>
      </c>
      <c r="E39" s="30"/>
      <c r="F39" s="37">
        <v>0.5</v>
      </c>
      <c r="G39" s="42">
        <f t="shared" ref="G39:I39" si="21">COUNTIFS($A$2:$A$90,$F$37,$C$2:$C$90,$F39,$D$2:$D$90,G$37)</f>
        <v>0</v>
      </c>
      <c r="H39" s="11">
        <f t="shared" si="21"/>
        <v>0</v>
      </c>
      <c r="I39" s="43">
        <f t="shared" si="21"/>
        <v>0</v>
      </c>
      <c r="J39" s="11">
        <f t="shared" si="20"/>
        <v>0</v>
      </c>
      <c r="K39" s="11"/>
      <c r="L39" s="41" t="s">
        <v>136</v>
      </c>
      <c r="M39" s="42">
        <f t="array" ref="M39">SUMPRODUCT(J38:J40/COUNTIF($A$2:$A$100,F37), TRANSPOSE(G41:I41)/COUNTIF($A$2:$A$100,F37))</f>
        <v>0.88888888888888884</v>
      </c>
      <c r="N39" s="43" t="s">
        <v>137</v>
      </c>
    </row>
    <row r="40" spans="1:14" ht="15.75" customHeight="1" x14ac:dyDescent="0.15">
      <c r="A40" s="4" t="str">
        <f>'Human Grading'!A40</f>
        <v>Transition</v>
      </c>
      <c r="B40" s="4" t="str">
        <f>'Human Grading'!B40</f>
        <v>game running =&gt; game finished</v>
      </c>
      <c r="C40" s="4">
        <f>'Human Grading'!C40</f>
        <v>0</v>
      </c>
      <c r="D40" s="4">
        <f>'LLM Grading'!C40</f>
        <v>0.5</v>
      </c>
      <c r="E40" s="30"/>
      <c r="F40" s="37">
        <v>1</v>
      </c>
      <c r="G40" s="44">
        <f>COUNTIFS($A$2:$A$46,$F$37,$C$2:$C$46,$F40,$D$2:$D$46,G$37)+MAX(C50-D50,0)</f>
        <v>0</v>
      </c>
      <c r="H40" s="45">
        <f>COUNTIFS($A$2:$A$90,$F$37,$C$2:$C$90,$F40,$D$2:$D$90,H$37)</f>
        <v>0</v>
      </c>
      <c r="I40" s="46">
        <f>COUNTIFS($A$2:$A$46,$F$37,$C$2:$C$46,$F40,$D$2:$D$46,I$37) + MIN(C50,D50)</f>
        <v>8</v>
      </c>
      <c r="J40" s="11">
        <f t="shared" si="20"/>
        <v>8</v>
      </c>
      <c r="K40" s="11"/>
      <c r="L40" s="41" t="s">
        <v>125</v>
      </c>
      <c r="M40" s="44">
        <f>(M38-M39)/(1-M39)</f>
        <v>0</v>
      </c>
      <c r="N40" s="46" t="s">
        <v>138</v>
      </c>
    </row>
    <row r="41" spans="1:14" ht="15.75" customHeight="1" x14ac:dyDescent="0.15">
      <c r="A41" s="4" t="str">
        <f>'Human Grading'!A41</f>
        <v>Guard</v>
      </c>
      <c r="B41" s="4" t="str">
        <f>'Human Grading'!B41</f>
        <v>[wc == 0]</v>
      </c>
      <c r="C41" s="4">
        <f>'Human Grading'!C41</f>
        <v>1</v>
      </c>
      <c r="D41" s="4">
        <f>'LLM Grading'!C41</f>
        <v>1</v>
      </c>
      <c r="E41" s="30"/>
      <c r="F41" s="47" t="s">
        <v>139</v>
      </c>
      <c r="G41" s="11">
        <f t="shared" ref="G41:I41" si="22">SUM(G38:G40)</f>
        <v>0</v>
      </c>
      <c r="H41" s="11">
        <f t="shared" si="22"/>
        <v>0</v>
      </c>
      <c r="I41" s="11">
        <f t="shared" si="22"/>
        <v>9</v>
      </c>
      <c r="J41" s="11"/>
      <c r="L41" s="11"/>
      <c r="M41" s="48"/>
    </row>
    <row r="42" spans="1:14" ht="15.75" customHeight="1" x14ac:dyDescent="0.15">
      <c r="A42" s="4" t="str">
        <f>'Human Grading'!A42</f>
        <v>Guard</v>
      </c>
      <c r="B42" s="4" t="str">
        <f>'Human Grading'!B42</f>
        <v>[bc == 0]</v>
      </c>
      <c r="C42" s="4">
        <f>'Human Grading'!C42</f>
        <v>1</v>
      </c>
      <c r="D42" s="4">
        <f>'LLM Grading'!C42</f>
        <v>1</v>
      </c>
      <c r="E42" s="30"/>
    </row>
    <row r="43" spans="1:14" ht="15.75" customHeight="1" x14ac:dyDescent="0.15">
      <c r="A43" s="4" t="str">
        <f>'Human Grading'!A43</f>
        <v>State</v>
      </c>
      <c r="B43" s="4" t="str">
        <f>'Human Grading'!B43</f>
        <v>GamePaused</v>
      </c>
      <c r="C43" s="4">
        <f>'Human Grading'!C43</f>
        <v>1</v>
      </c>
      <c r="D43" s="4">
        <f>'LLM Grading'!C43</f>
        <v>1</v>
      </c>
      <c r="E43" s="30"/>
      <c r="F43" s="67" t="s">
        <v>150</v>
      </c>
      <c r="G43" s="68"/>
      <c r="H43" s="68"/>
      <c r="I43" s="68"/>
      <c r="L43" s="69" t="s">
        <v>151</v>
      </c>
      <c r="M43" s="70"/>
      <c r="N43" s="70"/>
    </row>
    <row r="44" spans="1:14" ht="15.75" customHeight="1" x14ac:dyDescent="0.15">
      <c r="A44" s="4" t="str">
        <f>'Human Grading'!A44</f>
        <v>Transition</v>
      </c>
      <c r="B44" s="4" t="str">
        <f>'Human Grading'!B44</f>
        <v>game paused =&gt; game running</v>
      </c>
      <c r="C44" s="4">
        <f>'Human Grading'!C44</f>
        <v>1</v>
      </c>
      <c r="D44" s="4">
        <f>'LLM Grading'!C44</f>
        <v>1</v>
      </c>
      <c r="E44" s="30"/>
      <c r="F44" s="11" t="s">
        <v>31</v>
      </c>
      <c r="G44" s="49" t="s">
        <v>127</v>
      </c>
      <c r="H44" s="49" t="s">
        <v>128</v>
      </c>
      <c r="I44" s="49" t="s">
        <v>129</v>
      </c>
      <c r="J44" s="50" t="s">
        <v>130</v>
      </c>
      <c r="K44" s="11"/>
      <c r="L44" s="36" t="s">
        <v>131</v>
      </c>
      <c r="M44" s="36" t="s">
        <v>132</v>
      </c>
      <c r="N44" s="36" t="s">
        <v>133</v>
      </c>
    </row>
    <row r="45" spans="1:14" ht="15.75" customHeight="1" x14ac:dyDescent="0.15">
      <c r="A45" s="4" t="str">
        <f>'Human Grading'!A45</f>
        <v>State</v>
      </c>
      <c r="B45" s="4" t="str">
        <f>'Human Grading'!B45</f>
        <v>GameFinished</v>
      </c>
      <c r="C45" s="4">
        <f>'Human Grading'!C45</f>
        <v>0.5</v>
      </c>
      <c r="D45" s="4">
        <f>'LLM Grading'!C45</f>
        <v>0.5</v>
      </c>
      <c r="E45" s="30"/>
      <c r="F45" s="37">
        <v>0</v>
      </c>
      <c r="G45" s="38">
        <f t="shared" ref="G45:H45" si="23">COUNTIFS($A$2:$A$90,$F$44,$C$2:$C$90,$F45,$D$2:$D$90,G$44)</f>
        <v>1</v>
      </c>
      <c r="H45" s="39">
        <f t="shared" si="23"/>
        <v>0</v>
      </c>
      <c r="I45" s="40">
        <f>COUNTIFS($A$2:$A$46,$F$44,$C$2:$C$46,$F45,$D$2:$D$46,I$44) + MAX(D53-C53,0)</f>
        <v>0</v>
      </c>
      <c r="J45" s="11">
        <f t="shared" ref="J45:J47" si="24">SUM(G45:I45)</f>
        <v>1</v>
      </c>
      <c r="K45" s="11"/>
      <c r="L45" s="41" t="s">
        <v>134</v>
      </c>
      <c r="M45" s="38">
        <f>(G45+H46+I47)/COUNTIF($A$2:$A$100,F44)</f>
        <v>1</v>
      </c>
      <c r="N45" s="40" t="s">
        <v>135</v>
      </c>
    </row>
    <row r="46" spans="1:14" ht="15.75" customHeight="1" x14ac:dyDescent="0.15">
      <c r="A46" s="4" t="str">
        <f>'Human Grading'!A46</f>
        <v>Transition</v>
      </c>
      <c r="B46" s="4" t="str">
        <f>'Human Grading'!B46</f>
        <v>on =&gt; off</v>
      </c>
      <c r="C46" s="4">
        <f>'Human Grading'!C46</f>
        <v>1</v>
      </c>
      <c r="D46" s="4">
        <f>'LLM Grading'!C46</f>
        <v>1</v>
      </c>
      <c r="E46" s="30"/>
      <c r="F46" s="37">
        <v>0.5</v>
      </c>
      <c r="G46" s="42">
        <f t="shared" ref="G46:I46" si="25">COUNTIFS($A$2:$A$90,$F$44,$C$2:$C$90,$F46,$D$2:$D$90,G$44)</f>
        <v>0</v>
      </c>
      <c r="H46" s="11">
        <f t="shared" si="25"/>
        <v>0</v>
      </c>
      <c r="I46" s="43">
        <f t="shared" si="25"/>
        <v>0</v>
      </c>
      <c r="J46" s="11">
        <f t="shared" si="24"/>
        <v>0</v>
      </c>
      <c r="K46" s="11"/>
      <c r="L46" s="41" t="s">
        <v>136</v>
      </c>
      <c r="M46" s="42">
        <f t="array" ref="M46">SUMPRODUCT(J45:J47/COUNTIF($A$2:$A$100,F44), TRANSPOSE(G48:I48)/COUNTIF($A$2:$A$100,F44))</f>
        <v>0.5</v>
      </c>
      <c r="N46" s="43" t="s">
        <v>137</v>
      </c>
    </row>
    <row r="47" spans="1:14" ht="15.75" customHeight="1" x14ac:dyDescent="0.15">
      <c r="A47" s="51" t="str">
        <f>'Human Grading'!A47</f>
        <v>State</v>
      </c>
      <c r="B47" s="51" t="str">
        <f>'Human Grading'!B47</f>
        <v>additional elements</v>
      </c>
      <c r="C47" s="51">
        <f>'Human Grading'!C47</f>
        <v>0</v>
      </c>
      <c r="D47" s="51">
        <f>'LLM Grading'!C47</f>
        <v>2</v>
      </c>
      <c r="E47" s="30"/>
      <c r="F47" s="37">
        <v>1</v>
      </c>
      <c r="G47" s="44">
        <f>COUNTIFS($A$2:$A$46,$F$44,$C$2:$C$46,$F47,$D$2:$D$46,G$44) + MAX(C53-D53,0)</f>
        <v>0</v>
      </c>
      <c r="H47" s="45">
        <f>COUNTIFS($A$2:$A$90,$F$44,$C$2:$C$90,$F47,$D$2:$D$90,H$44)</f>
        <v>0</v>
      </c>
      <c r="I47" s="46">
        <f>COUNTIFS($A$2:$A$46,$F$44,$C$2:$C$46,$F47,$D$2:$D$46,I$44) + MIN(C53,D53)</f>
        <v>1</v>
      </c>
      <c r="J47" s="11">
        <f t="shared" si="24"/>
        <v>1</v>
      </c>
      <c r="K47" s="11"/>
      <c r="L47" s="41" t="s">
        <v>125</v>
      </c>
      <c r="M47" s="44">
        <f>(M45-M46)/(1-M46)</f>
        <v>1</v>
      </c>
      <c r="N47" s="46" t="s">
        <v>138</v>
      </c>
    </row>
    <row r="48" spans="1:14" ht="15.75" customHeight="1" x14ac:dyDescent="0.15">
      <c r="A48" s="4" t="str">
        <f>'Human Grading'!A48</f>
        <v>Transition</v>
      </c>
      <c r="B48" s="4" t="str">
        <f>'Human Grading'!B48</f>
        <v>additional elements</v>
      </c>
      <c r="C48" s="4">
        <f>'Human Grading'!C48</f>
        <v>0</v>
      </c>
      <c r="D48" s="4">
        <f>'LLM Grading'!C48</f>
        <v>0</v>
      </c>
      <c r="E48" s="30"/>
      <c r="F48" s="47" t="s">
        <v>139</v>
      </c>
      <c r="G48" s="11">
        <f t="shared" ref="G48:I48" si="26">SUM(G45:G47)</f>
        <v>1</v>
      </c>
      <c r="H48" s="11">
        <f t="shared" si="26"/>
        <v>0</v>
      </c>
      <c r="I48" s="11">
        <f t="shared" si="26"/>
        <v>1</v>
      </c>
      <c r="J48" s="11"/>
      <c r="L48" s="11"/>
      <c r="M48" s="48"/>
    </row>
    <row r="49" spans="1:14" ht="15.75" customHeight="1" x14ac:dyDescent="0.15">
      <c r="A49" s="4" t="str">
        <f>'Human Grading'!A49</f>
        <v>Guard</v>
      </c>
      <c r="B49" s="4" t="str">
        <f>'Human Grading'!B49</f>
        <v>additional elements</v>
      </c>
      <c r="C49" s="4">
        <f>'Human Grading'!C49</f>
        <v>0</v>
      </c>
      <c r="D49" s="4">
        <f>'LLM Grading'!C49</f>
        <v>0</v>
      </c>
      <c r="E49" s="30"/>
    </row>
    <row r="50" spans="1:14" ht="15.75" customHeight="1" x14ac:dyDescent="0.15">
      <c r="A50" s="4" t="str">
        <f>'Human Grading'!A50</f>
        <v>Action</v>
      </c>
      <c r="B50" s="4" t="str">
        <f>'Human Grading'!B50</f>
        <v>additional elements</v>
      </c>
      <c r="C50" s="4">
        <f>'Human Grading'!C50</f>
        <v>0</v>
      </c>
      <c r="D50" s="4">
        <f>'LLM Grading'!C50</f>
        <v>1</v>
      </c>
      <c r="E50" s="30"/>
      <c r="F50" s="67" t="s">
        <v>152</v>
      </c>
      <c r="G50" s="68"/>
      <c r="H50" s="68"/>
      <c r="I50" s="68"/>
      <c r="L50" s="69" t="s">
        <v>153</v>
      </c>
      <c r="M50" s="70"/>
      <c r="N50" s="70"/>
    </row>
    <row r="51" spans="1:14" ht="15.75" customHeight="1" x14ac:dyDescent="0.15">
      <c r="A51" s="4" t="str">
        <f>'Human Grading'!A51</f>
        <v>Composite State</v>
      </c>
      <c r="B51" s="4" t="str">
        <f>'Human Grading'!B51</f>
        <v>additional elements</v>
      </c>
      <c r="C51" s="4">
        <f>'Human Grading'!C51</f>
        <v>0</v>
      </c>
      <c r="D51" s="4">
        <f>'LLM Grading'!C51</f>
        <v>0</v>
      </c>
      <c r="E51" s="30"/>
      <c r="F51" s="11" t="s">
        <v>12</v>
      </c>
      <c r="G51" s="49" t="s">
        <v>127</v>
      </c>
      <c r="H51" s="49" t="s">
        <v>128</v>
      </c>
      <c r="I51" s="49" t="s">
        <v>129</v>
      </c>
      <c r="J51" s="50" t="s">
        <v>130</v>
      </c>
      <c r="K51" s="11"/>
      <c r="L51" s="36" t="s">
        <v>131</v>
      </c>
      <c r="M51" s="36" t="s">
        <v>132</v>
      </c>
      <c r="N51" s="36" t="s">
        <v>133</v>
      </c>
    </row>
    <row r="52" spans="1:14" ht="15.75" customHeight="1" x14ac:dyDescent="0.15">
      <c r="A52" s="4" t="str">
        <f>'Human Grading'!A52</f>
        <v>Region</v>
      </c>
      <c r="B52" s="4" t="str">
        <f>'Human Grading'!B52</f>
        <v>additional elements</v>
      </c>
      <c r="C52" s="4">
        <f>'Human Grading'!C52</f>
        <v>0</v>
      </c>
      <c r="D52" s="4">
        <f>'LLM Grading'!C52</f>
        <v>0</v>
      </c>
      <c r="E52" s="30"/>
      <c r="F52" s="37">
        <v>0</v>
      </c>
      <c r="G52" s="38">
        <f t="shared" ref="G52:H52" si="27">COUNTIFS($A$2:$A$90,$F$51,$C$2:$C$90,$F52,$D$2:$D$90,G$51)</f>
        <v>2</v>
      </c>
      <c r="H52" s="39">
        <f t="shared" si="27"/>
        <v>0</v>
      </c>
      <c r="I52" s="40">
        <f>COUNTIFS($A$2:$A$46,$F$51,$C$2:$C$46,$F52,$D$2:$D$46,I$51)+MAX(D52-C52,0)</f>
        <v>0</v>
      </c>
      <c r="J52" s="11">
        <f t="shared" ref="J52:J54" si="28">SUM(G52:I52)</f>
        <v>2</v>
      </c>
      <c r="K52" s="11"/>
      <c r="L52" s="41" t="s">
        <v>134</v>
      </c>
      <c r="M52" s="38">
        <f>(G52+H53+I54)/COUNTIF($A$2:$A$100,F51)</f>
        <v>0.66666666666666663</v>
      </c>
      <c r="N52" s="40" t="s">
        <v>135</v>
      </c>
    </row>
    <row r="53" spans="1:14" ht="15.75" customHeight="1" x14ac:dyDescent="0.15">
      <c r="A53" s="4" t="str">
        <f>'Human Grading'!A53</f>
        <v>History State</v>
      </c>
      <c r="B53" s="4" t="str">
        <f>'Human Grading'!B53</f>
        <v>additional elements</v>
      </c>
      <c r="C53" s="4">
        <f>'Human Grading'!C53</f>
        <v>0</v>
      </c>
      <c r="D53" s="4">
        <f>'LLM Grading'!C53</f>
        <v>0</v>
      </c>
      <c r="E53" s="30"/>
      <c r="F53" s="37">
        <v>0.5</v>
      </c>
      <c r="G53" s="42">
        <f t="shared" ref="G53:I53" si="29">COUNTIFS($A$2:$A$90,$F$51,$C$2:$C$90,$F53,$D$2:$D$90,G$51)</f>
        <v>0</v>
      </c>
      <c r="H53" s="11">
        <f t="shared" si="29"/>
        <v>0</v>
      </c>
      <c r="I53" s="43">
        <f t="shared" si="29"/>
        <v>0</v>
      </c>
      <c r="J53" s="11">
        <f t="shared" si="28"/>
        <v>0</v>
      </c>
      <c r="K53" s="11"/>
      <c r="L53" s="41" t="s">
        <v>136</v>
      </c>
      <c r="M53" s="42">
        <f t="array" ref="M53">SUMPRODUCT(J52:J54/COUNTIF($A$2:$A$100,F51), TRANSPOSE(G55:I55)/COUNTIF($A$2:$A$100,F51))</f>
        <v>0.66666666666666663</v>
      </c>
      <c r="N53" s="43" t="s">
        <v>137</v>
      </c>
    </row>
    <row r="54" spans="1:14" ht="15.75" customHeight="1" x14ac:dyDescent="0.15">
      <c r="A54" s="31"/>
      <c r="B54" s="52"/>
      <c r="C54" s="30"/>
      <c r="D54" s="30"/>
      <c r="E54" s="30"/>
      <c r="F54" s="37">
        <v>1</v>
      </c>
      <c r="G54" s="44">
        <f>COUNTIFS($A$2:$A$46,$F$51,$C$2:$C$46,$F54,$D$2:$D$46,G$51) + MAX(C52-D52,0)</f>
        <v>1</v>
      </c>
      <c r="H54" s="45">
        <f>COUNTIFS($A$2:$A$90,$F$51,$C$2:$C$90,$F54,$D$2:$D$90,H$51)</f>
        <v>0</v>
      </c>
      <c r="I54" s="46">
        <f>COUNTIFS($A$2:$A$46,$F$51,$C$2:$C$46,$F54,$D$2:$D$46,I$51)+MIN(C52,D52)</f>
        <v>0</v>
      </c>
      <c r="J54" s="11">
        <f t="shared" si="28"/>
        <v>1</v>
      </c>
      <c r="K54" s="11"/>
      <c r="L54" s="41" t="s">
        <v>125</v>
      </c>
      <c r="M54" s="44">
        <f>(M52-M53)/(1-M53)</f>
        <v>0</v>
      </c>
      <c r="N54" s="46" t="s">
        <v>138</v>
      </c>
    </row>
    <row r="55" spans="1:14" ht="15.75" customHeight="1" x14ac:dyDescent="0.15">
      <c r="A55" s="31"/>
      <c r="B55" s="52"/>
      <c r="C55" s="30"/>
      <c r="D55" s="30"/>
      <c r="E55" s="30"/>
      <c r="F55" s="47" t="s">
        <v>139</v>
      </c>
      <c r="G55" s="11">
        <f t="shared" ref="G55:I55" si="30">SUM(G52:G54)</f>
        <v>3</v>
      </c>
      <c r="H55" s="11">
        <f t="shared" si="30"/>
        <v>0</v>
      </c>
      <c r="I55" s="11">
        <f t="shared" si="30"/>
        <v>0</v>
      </c>
      <c r="J55" s="11"/>
      <c r="L55" s="11"/>
      <c r="M55" s="48"/>
    </row>
    <row r="56" spans="1:14" ht="15.75" customHeight="1" x14ac:dyDescent="0.15">
      <c r="A56" s="31"/>
      <c r="B56" s="52"/>
      <c r="C56" s="30"/>
      <c r="D56" s="30"/>
      <c r="E56" s="30"/>
    </row>
    <row r="57" spans="1:14" ht="15.75" customHeight="1" x14ac:dyDescent="0.15">
      <c r="A57" s="31"/>
      <c r="B57" s="52"/>
      <c r="C57" s="30"/>
      <c r="D57" s="30"/>
      <c r="E57" s="30"/>
    </row>
    <row r="58" spans="1:14" ht="15.75" customHeight="1" x14ac:dyDescent="0.15">
      <c r="A58" s="31"/>
      <c r="B58" s="52"/>
      <c r="C58" s="30"/>
      <c r="D58" s="30"/>
      <c r="E58" s="30"/>
    </row>
    <row r="59" spans="1:14" ht="15.75" customHeight="1" x14ac:dyDescent="0.15">
      <c r="A59" s="31"/>
      <c r="B59" s="52"/>
      <c r="C59" s="30"/>
      <c r="D59" s="30"/>
      <c r="E59" s="30"/>
    </row>
    <row r="60" spans="1:14" ht="15.75" customHeight="1" x14ac:dyDescent="0.15">
      <c r="A60" s="31"/>
      <c r="B60" s="52"/>
      <c r="C60" s="30"/>
      <c r="D60" s="30"/>
      <c r="E60" s="30"/>
    </row>
    <row r="61" spans="1:14" ht="15.75" customHeight="1" x14ac:dyDescent="0.15">
      <c r="A61" s="31"/>
      <c r="B61" s="52"/>
      <c r="C61" s="30"/>
      <c r="D61" s="30"/>
      <c r="E61" s="30"/>
    </row>
    <row r="62" spans="1:14" ht="15.75" customHeight="1" x14ac:dyDescent="0.15">
      <c r="A62" s="31"/>
      <c r="B62" s="52"/>
      <c r="C62" s="30"/>
      <c r="D62" s="30"/>
      <c r="E62" s="30"/>
    </row>
    <row r="63" spans="1:14" ht="15.75" customHeight="1" x14ac:dyDescent="0.15">
      <c r="A63" s="31"/>
      <c r="B63" s="52"/>
      <c r="C63" s="30"/>
      <c r="D63" s="30"/>
      <c r="E63" s="30"/>
    </row>
    <row r="64" spans="1:14" ht="15.75" customHeight="1" x14ac:dyDescent="0.15">
      <c r="A64" s="31"/>
      <c r="B64" s="52"/>
      <c r="C64" s="30"/>
      <c r="D64" s="30"/>
      <c r="E64" s="30"/>
    </row>
    <row r="65" spans="1:5" ht="15.75" customHeight="1" x14ac:dyDescent="0.15">
      <c r="A65" s="31"/>
      <c r="B65" s="52"/>
      <c r="C65" s="30"/>
      <c r="D65" s="30"/>
      <c r="E65" s="30"/>
    </row>
    <row r="66" spans="1:5" ht="15.75" customHeight="1" x14ac:dyDescent="0.15">
      <c r="A66" s="31"/>
      <c r="B66" s="52"/>
      <c r="C66" s="30"/>
      <c r="D66" s="30"/>
      <c r="E66" s="30"/>
    </row>
    <row r="67" spans="1:5" ht="15.75" customHeight="1" x14ac:dyDescent="0.15">
      <c r="A67" s="31"/>
      <c r="B67" s="52"/>
      <c r="C67" s="30"/>
      <c r="D67" s="30"/>
      <c r="E67" s="30"/>
    </row>
    <row r="68" spans="1:5" ht="15.75" customHeight="1" x14ac:dyDescent="0.15">
      <c r="A68" s="31"/>
      <c r="B68" s="52"/>
      <c r="C68" s="30"/>
      <c r="D68" s="30"/>
      <c r="E68" s="30"/>
    </row>
    <row r="69" spans="1:5" ht="15.75" customHeight="1" x14ac:dyDescent="0.15">
      <c r="A69" s="31"/>
      <c r="B69" s="52"/>
      <c r="C69" s="30"/>
      <c r="D69" s="30"/>
      <c r="E69" s="30"/>
    </row>
    <row r="70" spans="1:5" ht="15.75" customHeight="1" x14ac:dyDescent="0.15">
      <c r="A70" s="31"/>
      <c r="B70" s="52"/>
      <c r="C70" s="30"/>
      <c r="D70" s="30"/>
      <c r="E70" s="30"/>
    </row>
    <row r="71" spans="1:5" ht="15.75" customHeight="1" x14ac:dyDescent="0.15">
      <c r="B71" s="52"/>
      <c r="D71" s="30"/>
      <c r="E71" s="30"/>
    </row>
    <row r="72" spans="1:5" ht="15.75" customHeight="1" x14ac:dyDescent="0.15">
      <c r="B72" s="52"/>
      <c r="D72" s="30"/>
    </row>
    <row r="73" spans="1:5" ht="15.75" customHeight="1" x14ac:dyDescent="0.15">
      <c r="D73" s="30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4.164062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3" max="23" width="15.33203125" customWidth="1"/>
    <col min="24" max="24" width="54.832031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thickBot="1" x14ac:dyDescent="0.2">
      <c r="A1" s="1" t="s">
        <v>0</v>
      </c>
      <c r="B1" s="2" t="s">
        <v>1</v>
      </c>
      <c r="C1" s="64" t="s">
        <v>160</v>
      </c>
      <c r="D1" s="64" t="s">
        <v>62</v>
      </c>
      <c r="E1" s="30"/>
      <c r="F1" s="67" t="s">
        <v>124</v>
      </c>
      <c r="G1" s="68"/>
      <c r="H1" s="68"/>
      <c r="I1" s="68"/>
      <c r="L1" s="67" t="s">
        <v>154</v>
      </c>
      <c r="M1" s="68"/>
      <c r="N1" s="68"/>
      <c r="O1" s="68"/>
    </row>
    <row r="2" spans="1:24" ht="15.75" customHeight="1" thickTop="1" thickBot="1" x14ac:dyDescent="0.2">
      <c r="A2" s="4" t="str">
        <f>'Human Grading'!A2</f>
        <v>State</v>
      </c>
      <c r="B2" s="4" t="str">
        <f>'Human Grading'!B2</f>
        <v>initial state (off)</v>
      </c>
      <c r="C2" s="4">
        <f>'Human Grading'!C2</f>
        <v>1</v>
      </c>
      <c r="D2" s="4">
        <f>'Human Grading'!C2</f>
        <v>1</v>
      </c>
      <c r="E2" s="30"/>
      <c r="F2" s="11" t="s">
        <v>126</v>
      </c>
      <c r="G2" s="32" t="s">
        <v>127</v>
      </c>
      <c r="H2" s="33" t="s">
        <v>128</v>
      </c>
      <c r="I2" s="34" t="s">
        <v>129</v>
      </c>
      <c r="J2" s="50" t="s">
        <v>130</v>
      </c>
      <c r="K2" s="11"/>
      <c r="L2" s="11" t="s">
        <v>126</v>
      </c>
      <c r="M2" s="49" t="s">
        <v>127</v>
      </c>
      <c r="N2" s="49" t="s">
        <v>128</v>
      </c>
      <c r="O2" s="49" t="s">
        <v>129</v>
      </c>
      <c r="P2" s="11"/>
      <c r="Q2" s="11" t="s">
        <v>126</v>
      </c>
      <c r="R2" s="49" t="s">
        <v>127</v>
      </c>
      <c r="S2" s="49" t="s">
        <v>128</v>
      </c>
      <c r="T2" s="49" t="s">
        <v>129</v>
      </c>
      <c r="V2" s="36" t="str">
        <f>"Metrics" &amp; " " &amp; F2</f>
        <v>Metrics Global</v>
      </c>
      <c r="W2" s="36" t="s">
        <v>132</v>
      </c>
      <c r="X2" s="36" t="s">
        <v>133</v>
      </c>
    </row>
    <row r="3" spans="1:24" ht="15.75" customHeight="1" x14ac:dyDescent="0.15">
      <c r="A3" s="4" t="str">
        <f>'Human Grading'!A3</f>
        <v>Transition</v>
      </c>
      <c r="B3" s="4" t="str">
        <f>'Human Grading'!B3</f>
        <v>initial state (off) =&gt; off</v>
      </c>
      <c r="C3" s="4">
        <f>'Human Grading'!C3</f>
        <v>1</v>
      </c>
      <c r="D3" s="4">
        <f>'Human Grading'!C3</f>
        <v>1</v>
      </c>
      <c r="E3" s="30"/>
      <c r="F3" s="37">
        <v>0</v>
      </c>
      <c r="G3" s="38">
        <f>COUNTIFS($C$2:$C$90, $F3, $D$2:$D$90, G$2)</f>
        <v>11</v>
      </c>
      <c r="H3" s="39">
        <f>COUNTIFS($C$2:$C$46, $F3, $D$2:$D$46, H$2)</f>
        <v>0</v>
      </c>
      <c r="I3" s="40">
        <f>COUNTIFS($C$2:$C$46, $F3, $D$2:$D$46, I$2)+MAX(D47-C47,0)+MAX(D48-C48,0)+MAX(D49-C49,0)+MAX(D50-C50,0)+MAX(D51-C51,0)+MAX(D52-C52,0)+MAX(D53-C53,0)</f>
        <v>0</v>
      </c>
      <c r="J3" s="11">
        <f t="shared" ref="J3:J5" si="0">SUM(G3:I3)</f>
        <v>11</v>
      </c>
      <c r="K3" s="11"/>
      <c r="L3" s="37">
        <v>0</v>
      </c>
      <c r="M3" s="38">
        <f t="shared" ref="M3:O3" si="1">ABS(G$2-$F3)/1</f>
        <v>0</v>
      </c>
      <c r="N3" s="39">
        <f t="shared" si="1"/>
        <v>0.5</v>
      </c>
      <c r="O3" s="40">
        <f t="shared" si="1"/>
        <v>1</v>
      </c>
      <c r="P3" s="11"/>
      <c r="Q3" s="37">
        <v>0</v>
      </c>
      <c r="R3" s="38">
        <f t="shared" ref="R3:T3" si="2">($J3/$J$6) * (G$6/$J$6)</f>
        <v>4.4748520710059171E-2</v>
      </c>
      <c r="S3" s="39">
        <f t="shared" si="2"/>
        <v>4.0680473372781065E-3</v>
      </c>
      <c r="T3" s="40">
        <f t="shared" si="2"/>
        <v>0.16272189349112426</v>
      </c>
      <c r="U3" s="11"/>
      <c r="V3" s="41" t="s">
        <v>155</v>
      </c>
      <c r="W3" s="38">
        <f>SUMPRODUCT(G3:I5, M3:O5) /$J$6</f>
        <v>0</v>
      </c>
      <c r="X3" s="40" t="s">
        <v>156</v>
      </c>
    </row>
    <row r="4" spans="1:24" ht="15.75" customHeight="1" x14ac:dyDescent="0.15">
      <c r="A4" s="4" t="str">
        <f>'Human Grading'!A4</f>
        <v>State</v>
      </c>
      <c r="B4" s="4" t="str">
        <f>'Human Grading'!B4</f>
        <v>Off</v>
      </c>
      <c r="C4" s="4">
        <f>'Human Grading'!C4</f>
        <v>1</v>
      </c>
      <c r="D4" s="4">
        <f>'Human Grading'!C4</f>
        <v>1</v>
      </c>
      <c r="E4" s="30"/>
      <c r="F4" s="37">
        <v>0.5</v>
      </c>
      <c r="G4" s="42">
        <f t="shared" ref="G4:I4" si="3">COUNTIFS($C$2:$C$46, $F4, $D$2:$D$46, G$2)</f>
        <v>0</v>
      </c>
      <c r="H4" s="11">
        <f t="shared" si="3"/>
        <v>1</v>
      </c>
      <c r="I4" s="43">
        <f t="shared" si="3"/>
        <v>0</v>
      </c>
      <c r="J4" s="11">
        <f t="shared" si="0"/>
        <v>1</v>
      </c>
      <c r="K4" s="11"/>
      <c r="L4" s="37">
        <v>0.5</v>
      </c>
      <c r="M4" s="42">
        <f t="shared" ref="M4:M5" si="4">ABS(G$2-$F4)/1</f>
        <v>0.5</v>
      </c>
      <c r="N4" s="11">
        <f>ABS(H$2-$F4)/3</f>
        <v>0</v>
      </c>
      <c r="O4" s="43">
        <f>ABS(I$2-$F4)/1</f>
        <v>0.5</v>
      </c>
      <c r="P4" s="11"/>
      <c r="Q4" s="37">
        <v>0.5</v>
      </c>
      <c r="R4" s="42">
        <f t="shared" ref="R4:T4" si="5">($J4/$J$6) * (G$6/$J$6)</f>
        <v>4.0680473372781065E-3</v>
      </c>
      <c r="S4" s="11">
        <f t="shared" si="5"/>
        <v>3.6982248520710064E-4</v>
      </c>
      <c r="T4" s="43">
        <f t="shared" si="5"/>
        <v>1.4792899408284025E-2</v>
      </c>
      <c r="U4" s="11"/>
      <c r="V4" s="41" t="s">
        <v>157</v>
      </c>
      <c r="W4" s="42">
        <f>SUMPRODUCT(R3:T5, M3:O5)</f>
        <v>0.34430473372781067</v>
      </c>
      <c r="X4" s="43" t="s">
        <v>158</v>
      </c>
    </row>
    <row r="5" spans="1:24" ht="15.75" customHeight="1" x14ac:dyDescent="0.15">
      <c r="A5" s="4" t="str">
        <f>'Human Grading'!A5</f>
        <v>Transition</v>
      </c>
      <c r="B5" s="4" t="str">
        <f>'Human Grading'!B5</f>
        <v>off =&gt; on</v>
      </c>
      <c r="C5" s="4">
        <f>'Human Grading'!C5</f>
        <v>1</v>
      </c>
      <c r="D5" s="4">
        <f>'Human Grading'!C5</f>
        <v>1</v>
      </c>
      <c r="E5" s="30"/>
      <c r="F5" s="37">
        <v>1</v>
      </c>
      <c r="G5" s="44">
        <f>COUNTIFS($C$2:$C$46, $F5, $D$2:$D$46, G$2)+MAX(C47-D47,0)+MAX(C48-D48,0)+MAX(C49-D49,0)+MAX(C50-D50,0)+MAX(C51-D51,0)+MAX(C52-D52,0)+MAX(C53-D53,0)</f>
        <v>0</v>
      </c>
      <c r="H5" s="45">
        <f>COUNTIFS($C$2:$C$46, $F5, $D$2:$D$46, H$2)</f>
        <v>0</v>
      </c>
      <c r="I5" s="46">
        <f>COUNTIFS($C$2:$C$46, $F5, $D$2:$D$46, I$2)+ SUM(MIN(C47,D47), MIN(C48,D48), MIN(C49,D49), MIN(C50,D50), MIN(C51,D51), MIN(C52,D52), MIN(C53,D53))</f>
        <v>40</v>
      </c>
      <c r="J5" s="11">
        <f t="shared" si="0"/>
        <v>40</v>
      </c>
      <c r="K5" s="11"/>
      <c r="L5" s="37">
        <v>1</v>
      </c>
      <c r="M5" s="44">
        <f t="shared" si="4"/>
        <v>1</v>
      </c>
      <c r="N5" s="45">
        <f t="shared" ref="N5:O5" si="6">ABS(H$2-$F5)/1</f>
        <v>0.5</v>
      </c>
      <c r="O5" s="46">
        <f t="shared" si="6"/>
        <v>0</v>
      </c>
      <c r="P5" s="11"/>
      <c r="Q5" s="37">
        <v>1</v>
      </c>
      <c r="R5" s="44">
        <f t="shared" ref="R5:T5" si="7">($J5/$J$6) * (G$6/$J$6)</f>
        <v>0.16272189349112426</v>
      </c>
      <c r="S5" s="45">
        <f t="shared" si="7"/>
        <v>1.4792899408284025E-2</v>
      </c>
      <c r="T5" s="46">
        <f t="shared" si="7"/>
        <v>0.59171597633136097</v>
      </c>
      <c r="U5" s="11"/>
      <c r="V5" s="41" t="s">
        <v>125</v>
      </c>
      <c r="W5" s="44">
        <f>1-W3/W4</f>
        <v>1</v>
      </c>
      <c r="X5" s="46" t="s">
        <v>159</v>
      </c>
    </row>
    <row r="6" spans="1:24" ht="15.75" customHeight="1" x14ac:dyDescent="0.15">
      <c r="A6" s="4" t="str">
        <f>'Human Grading'!A6</f>
        <v>Composite State</v>
      </c>
      <c r="B6" s="4" t="str">
        <f>'Human Grading'!B6</f>
        <v>On</v>
      </c>
      <c r="C6" s="4">
        <f>'Human Grading'!C6</f>
        <v>1</v>
      </c>
      <c r="D6" s="4">
        <f>'Human Grading'!C6</f>
        <v>1</v>
      </c>
      <c r="E6" s="30"/>
      <c r="F6" s="47" t="s">
        <v>139</v>
      </c>
      <c r="G6" s="11">
        <f t="shared" ref="G6:I6" si="8">SUM(G3:G5)</f>
        <v>11</v>
      </c>
      <c r="H6" s="11">
        <f t="shared" si="8"/>
        <v>1</v>
      </c>
      <c r="I6" s="11">
        <f t="shared" si="8"/>
        <v>40</v>
      </c>
      <c r="J6" s="11">
        <f>SUM(G3:I5)</f>
        <v>52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48"/>
    </row>
    <row r="7" spans="1:24" ht="15.75" customHeight="1" x14ac:dyDescent="0.15">
      <c r="A7" s="4" t="str">
        <f>'Human Grading'!A7</f>
        <v>State</v>
      </c>
      <c r="B7" s="4" t="str">
        <f>'Human Grading'!B7</f>
        <v>initial state (on)</v>
      </c>
      <c r="C7" s="4">
        <f>'Human Grading'!C7</f>
        <v>1</v>
      </c>
      <c r="D7" s="4">
        <f>'Human Grading'!C7</f>
        <v>1</v>
      </c>
      <c r="E7" s="30"/>
      <c r="L7" s="11"/>
      <c r="M7" s="11"/>
      <c r="N7" s="11"/>
    </row>
    <row r="8" spans="1:24" ht="15.75" customHeight="1" x14ac:dyDescent="0.15">
      <c r="A8" s="4" t="str">
        <f>'Human Grading'!A8</f>
        <v>Composite State</v>
      </c>
      <c r="B8" s="4" t="str">
        <f>'Human Grading'!B8</f>
        <v>GameSetup</v>
      </c>
      <c r="C8" s="4">
        <f>'Human Grading'!C8</f>
        <v>1</v>
      </c>
      <c r="D8" s="4">
        <f>'Human Grading'!C8</f>
        <v>1</v>
      </c>
      <c r="E8" s="30"/>
      <c r="F8" s="67" t="s">
        <v>140</v>
      </c>
      <c r="G8" s="68"/>
      <c r="H8" s="68"/>
      <c r="I8" s="68"/>
    </row>
    <row r="9" spans="1:24" ht="15.75" customHeight="1" x14ac:dyDescent="0.15">
      <c r="A9" s="4" t="str">
        <f>'Human Grading'!A9</f>
        <v>Region</v>
      </c>
      <c r="B9" s="4" t="str">
        <f>'Human Grading'!B9</f>
        <v>GameSetup Region 1</v>
      </c>
      <c r="C9" s="4">
        <f>'Human Grading'!C9</f>
        <v>1</v>
      </c>
      <c r="D9" s="4">
        <f>'Human Grading'!C9</f>
        <v>1</v>
      </c>
      <c r="E9" s="30"/>
      <c r="F9" s="11" t="s">
        <v>2</v>
      </c>
      <c r="G9" s="49" t="s">
        <v>127</v>
      </c>
      <c r="H9" s="49" t="s">
        <v>128</v>
      </c>
      <c r="I9" s="49" t="s">
        <v>129</v>
      </c>
      <c r="J9" s="50" t="s">
        <v>130</v>
      </c>
      <c r="K9" s="11"/>
      <c r="L9" s="11" t="s">
        <v>126</v>
      </c>
      <c r="M9" s="49" t="s">
        <v>127</v>
      </c>
      <c r="N9" s="49" t="s">
        <v>128</v>
      </c>
      <c r="O9" s="49" t="s">
        <v>129</v>
      </c>
      <c r="P9" s="11"/>
      <c r="Q9" s="11" t="s">
        <v>126</v>
      </c>
      <c r="R9" s="49" t="s">
        <v>127</v>
      </c>
      <c r="S9" s="49" t="s">
        <v>128</v>
      </c>
      <c r="T9" s="49" t="s">
        <v>129</v>
      </c>
      <c r="V9" s="36" t="str">
        <f>"Metrics" &amp; " " &amp; F9</f>
        <v>Metrics State</v>
      </c>
      <c r="W9" s="36" t="s">
        <v>132</v>
      </c>
      <c r="X9" s="36" t="s">
        <v>133</v>
      </c>
    </row>
    <row r="10" spans="1:24" ht="15.75" customHeight="1" x14ac:dyDescent="0.15">
      <c r="A10" s="4" t="str">
        <f>'Human Grading'!A10</f>
        <v>State</v>
      </c>
      <c r="B10" s="4" t="str">
        <f>'Human Grading'!B10</f>
        <v>Initial state (region 1)</v>
      </c>
      <c r="C10" s="4">
        <f>'Human Grading'!C10</f>
        <v>1</v>
      </c>
      <c r="D10" s="4">
        <f>'Human Grading'!C10</f>
        <v>1</v>
      </c>
      <c r="E10" s="30"/>
      <c r="F10" s="37">
        <v>0</v>
      </c>
      <c r="G10" s="38">
        <f t="shared" ref="G10:H10" si="9">COUNTIFS($A$2:$A$90,$F$9,$C$2:$C$90,$F10,$D$2:$D$90,G$9)</f>
        <v>2</v>
      </c>
      <c r="H10" s="39">
        <f t="shared" si="9"/>
        <v>0</v>
      </c>
      <c r="I10" s="40">
        <f>COUNTIFS($A$2:$A$46,$F$9,$C$2:$C$46,$F10,$D$2:$D$46,I$9)+MAX(D47-C47,0)</f>
        <v>0</v>
      </c>
      <c r="J10" s="11">
        <f t="shared" ref="J10:J12" si="10">SUM(G10:I10)</f>
        <v>2</v>
      </c>
      <c r="K10" s="11"/>
      <c r="L10" s="37">
        <v>0</v>
      </c>
      <c r="M10" s="38">
        <f t="shared" ref="M10:O10" si="11">ABS(G$2-$F10)/1</f>
        <v>0</v>
      </c>
      <c r="N10" s="39">
        <f t="shared" si="11"/>
        <v>0.5</v>
      </c>
      <c r="O10" s="40">
        <f t="shared" si="11"/>
        <v>1</v>
      </c>
      <c r="P10" s="11"/>
      <c r="Q10" s="37">
        <v>0</v>
      </c>
      <c r="R10" s="38">
        <f t="shared" ref="R10:T10" si="12">($J10/$J$13) * (G$13/$J$13)</f>
        <v>2.0408163265306121E-2</v>
      </c>
      <c r="S10" s="39">
        <f t="shared" si="12"/>
        <v>1.020408163265306E-2</v>
      </c>
      <c r="T10" s="40">
        <f t="shared" si="12"/>
        <v>0.11224489795918366</v>
      </c>
      <c r="U10" s="11"/>
      <c r="V10" s="41" t="s">
        <v>155</v>
      </c>
      <c r="W10" s="38">
        <f>SUMPRODUCT(G10:I12, M10:O12) /$J$13</f>
        <v>0</v>
      </c>
      <c r="X10" s="40" t="s">
        <v>156</v>
      </c>
    </row>
    <row r="11" spans="1:24" ht="15.75" customHeight="1" x14ac:dyDescent="0.15">
      <c r="A11" s="4" t="str">
        <f>'Human Grading'!A11</f>
        <v>State</v>
      </c>
      <c r="B11" s="4" t="str">
        <f>'Human Grading'!B11</f>
        <v>TimingSelection</v>
      </c>
      <c r="C11" s="4">
        <f>'Human Grading'!C11</f>
        <v>1</v>
      </c>
      <c r="D11" s="4">
        <f>'Human Grading'!C11</f>
        <v>1</v>
      </c>
      <c r="E11" s="30"/>
      <c r="F11" s="37">
        <v>0.5</v>
      </c>
      <c r="G11" s="42">
        <f t="shared" ref="G11:I11" si="13">COUNTIFS($A$2:$A$90,$F$9,$C$2:$C$90,$F11,$D$2:$D$90,G$9)</f>
        <v>0</v>
      </c>
      <c r="H11" s="11">
        <f t="shared" si="13"/>
        <v>1</v>
      </c>
      <c r="I11" s="43">
        <f t="shared" si="13"/>
        <v>0</v>
      </c>
      <c r="J11" s="11">
        <f t="shared" si="10"/>
        <v>1</v>
      </c>
      <c r="K11" s="11"/>
      <c r="L11" s="37">
        <v>0.5</v>
      </c>
      <c r="M11" s="42">
        <f t="shared" ref="M11:M12" si="14">ABS(G$2-$F11)/1</f>
        <v>0.5</v>
      </c>
      <c r="N11" s="11">
        <f>ABS(H$2-$F11)/3</f>
        <v>0</v>
      </c>
      <c r="O11" s="43">
        <f>ABS(I$2-$F11)/1</f>
        <v>0.5</v>
      </c>
      <c r="P11" s="11"/>
      <c r="Q11" s="37">
        <v>0.5</v>
      </c>
      <c r="R11" s="42">
        <f t="shared" ref="R11:T11" si="15">($J11/$J$13) * (G$13/$J$13)</f>
        <v>1.020408163265306E-2</v>
      </c>
      <c r="S11" s="11">
        <f t="shared" si="15"/>
        <v>5.1020408163265302E-3</v>
      </c>
      <c r="T11" s="43">
        <f t="shared" si="15"/>
        <v>5.612244897959183E-2</v>
      </c>
      <c r="U11" s="11"/>
      <c r="V11" s="41" t="s">
        <v>157</v>
      </c>
      <c r="W11" s="42">
        <f>SUMPRODUCT(R10:T12, M10:O12)</f>
        <v>0.29081632653061223</v>
      </c>
      <c r="X11" s="43" t="s">
        <v>158</v>
      </c>
    </row>
    <row r="12" spans="1:24" ht="15.75" customHeight="1" x14ac:dyDescent="0.15">
      <c r="A12" s="4" t="str">
        <f>'Human Grading'!A12</f>
        <v>Action</v>
      </c>
      <c r="B12" s="4" t="str">
        <f>'Human Grading'!B12</f>
        <v>incrTimingProgram()</v>
      </c>
      <c r="C12" s="4">
        <f>'Human Grading'!C12</f>
        <v>1</v>
      </c>
      <c r="D12" s="4">
        <f>'Human Grading'!C12</f>
        <v>1</v>
      </c>
      <c r="E12" s="30"/>
      <c r="F12" s="37">
        <v>1</v>
      </c>
      <c r="G12" s="44">
        <f>COUNTIFS($A$2:$A$46,$F$9,$C$2:$C$46,$F12,$D$2:$D$46,G$9)+MAX(C47-D47,0)</f>
        <v>0</v>
      </c>
      <c r="H12" s="45">
        <f>COUNTIFS($A$2:$A$90,$F$9,$C$2:$C$90,$F12,$D$2:$D$90,H$9)</f>
        <v>0</v>
      </c>
      <c r="I12" s="46">
        <f>COUNTIFS($A$2:$A$46,$F$9,$C$2:$C$46,$F12,$D$2:$D$46,I$9)+MIN(C47-D47)</f>
        <v>11</v>
      </c>
      <c r="J12" s="11">
        <f t="shared" si="10"/>
        <v>11</v>
      </c>
      <c r="K12" s="11"/>
      <c r="L12" s="37">
        <v>1</v>
      </c>
      <c r="M12" s="44">
        <f t="shared" si="14"/>
        <v>1</v>
      </c>
      <c r="N12" s="45">
        <f t="shared" ref="N12:O12" si="16">ABS(H$2-$F12)/1</f>
        <v>0.5</v>
      </c>
      <c r="O12" s="46">
        <f t="shared" si="16"/>
        <v>0</v>
      </c>
      <c r="P12" s="11"/>
      <c r="Q12" s="37">
        <v>1</v>
      </c>
      <c r="R12" s="44">
        <f t="shared" ref="R12:T12" si="17">($J12/$J$13) * (G$13/$J$13)</f>
        <v>0.11224489795918366</v>
      </c>
      <c r="S12" s="45">
        <f t="shared" si="17"/>
        <v>5.612244897959183E-2</v>
      </c>
      <c r="T12" s="46">
        <f t="shared" si="17"/>
        <v>0.61734693877551017</v>
      </c>
      <c r="U12" s="11"/>
      <c r="V12" s="41" t="s">
        <v>125</v>
      </c>
      <c r="W12" s="44">
        <f>1-W10/W11</f>
        <v>1</v>
      </c>
      <c r="X12" s="46" t="s">
        <v>159</v>
      </c>
    </row>
    <row r="13" spans="1:24" ht="15.75" customHeight="1" x14ac:dyDescent="0.15">
      <c r="A13" s="4" t="str">
        <f>'Human Grading'!A13</f>
        <v>Action</v>
      </c>
      <c r="B13" s="4" t="str">
        <f>'Human Grading'!B13</f>
        <v>decrTimingProgram()</v>
      </c>
      <c r="C13" s="4">
        <f>'Human Grading'!C13</f>
        <v>1</v>
      </c>
      <c r="D13" s="4">
        <f>'Human Grading'!C13</f>
        <v>1</v>
      </c>
      <c r="E13" s="30"/>
      <c r="F13" s="47" t="s">
        <v>139</v>
      </c>
      <c r="G13" s="11">
        <f t="shared" ref="G13:I13" si="18">SUM(G10:G12)</f>
        <v>2</v>
      </c>
      <c r="H13" s="11">
        <f t="shared" si="18"/>
        <v>1</v>
      </c>
      <c r="I13" s="11">
        <f t="shared" si="18"/>
        <v>11</v>
      </c>
      <c r="J13" s="11">
        <f>SUM(G10:I12)</f>
        <v>14</v>
      </c>
    </row>
    <row r="14" spans="1:24" ht="15.75" customHeight="1" x14ac:dyDescent="0.15">
      <c r="A14" s="4" t="str">
        <f>'Human Grading'!A14</f>
        <v>Transition</v>
      </c>
      <c r="B14" s="4" t="str">
        <f>'Human Grading'!B14</f>
        <v>timing selection =&gt; timing selection</v>
      </c>
      <c r="C14" s="4">
        <f>'Human Grading'!C14</f>
        <v>1</v>
      </c>
      <c r="D14" s="4">
        <f>'Human Grading'!C14</f>
        <v>1</v>
      </c>
      <c r="E14" s="30"/>
    </row>
    <row r="15" spans="1:24" ht="15.75" customHeight="1" x14ac:dyDescent="0.15">
      <c r="A15" s="4" t="str">
        <f>'Human Grading'!A15</f>
        <v>Transition</v>
      </c>
      <c r="B15" s="4" t="str">
        <f>'Human Grading'!B15</f>
        <v>game setup =&gt; ready to start</v>
      </c>
      <c r="C15" s="4">
        <f>'Human Grading'!C15</f>
        <v>0</v>
      </c>
      <c r="D15" s="4">
        <f>'Human Grading'!C15</f>
        <v>0</v>
      </c>
      <c r="E15" s="30"/>
      <c r="F15" s="67" t="s">
        <v>142</v>
      </c>
      <c r="G15" s="68"/>
      <c r="H15" s="68"/>
      <c r="I15" s="68"/>
    </row>
    <row r="16" spans="1:24" ht="15.75" customHeight="1" x14ac:dyDescent="0.15">
      <c r="A16" s="4" t="str">
        <f>'Human Grading'!A16</f>
        <v>Region</v>
      </c>
      <c r="B16" s="4" t="str">
        <f>'Human Grading'!B16</f>
        <v>GameSetup Region 2</v>
      </c>
      <c r="C16" s="4">
        <f>'Human Grading'!C16</f>
        <v>0</v>
      </c>
      <c r="D16" s="4">
        <f>'Human Grading'!C16</f>
        <v>0</v>
      </c>
      <c r="E16" s="30"/>
      <c r="F16" s="11" t="s">
        <v>4</v>
      </c>
      <c r="G16" s="49" t="s">
        <v>127</v>
      </c>
      <c r="H16" s="49" t="s">
        <v>128</v>
      </c>
      <c r="I16" s="49" t="s">
        <v>129</v>
      </c>
      <c r="J16" s="50" t="s">
        <v>130</v>
      </c>
      <c r="K16" s="11"/>
      <c r="L16" s="11" t="s">
        <v>126</v>
      </c>
      <c r="M16" s="49" t="s">
        <v>127</v>
      </c>
      <c r="N16" s="49" t="s">
        <v>128</v>
      </c>
      <c r="O16" s="49" t="s">
        <v>129</v>
      </c>
      <c r="P16" s="11"/>
      <c r="Q16" s="11" t="s">
        <v>126</v>
      </c>
      <c r="R16" s="49" t="s">
        <v>127</v>
      </c>
      <c r="S16" s="49" t="s">
        <v>128</v>
      </c>
      <c r="T16" s="49" t="s">
        <v>129</v>
      </c>
      <c r="V16" s="36" t="str">
        <f>"Metrics" &amp; " " &amp; F16</f>
        <v>Metrics Transition</v>
      </c>
      <c r="W16" s="36" t="s">
        <v>132</v>
      </c>
      <c r="X16" s="36" t="s">
        <v>133</v>
      </c>
    </row>
    <row r="17" spans="1:24" ht="15.75" customHeight="1" x14ac:dyDescent="0.15">
      <c r="A17" s="4" t="str">
        <f>'Human Grading'!A17</f>
        <v>State</v>
      </c>
      <c r="B17" s="4" t="str">
        <f>'Human Grading'!B17</f>
        <v>Initial state (region 2)</v>
      </c>
      <c r="C17" s="4">
        <f>'Human Grading'!C17</f>
        <v>1</v>
      </c>
      <c r="D17" s="4">
        <f>'Human Grading'!C17</f>
        <v>1</v>
      </c>
      <c r="E17" s="30"/>
      <c r="F17" s="37">
        <v>0</v>
      </c>
      <c r="G17" s="38">
        <f t="shared" ref="G17:H17" si="19">COUNTIFS($A$2:$A$90,$F$16,$C$2:$C$90,$F17,$D$2:$D$90,G$16)</f>
        <v>3</v>
      </c>
      <c r="H17" s="39">
        <f t="shared" si="19"/>
        <v>0</v>
      </c>
      <c r="I17" s="40">
        <f>COUNTIFS($A$2:$A$46,$F$16,$C$2:$C$46,$F17,$D$2:$D$46,I$16) + MAX(D48-C48,0)</f>
        <v>0</v>
      </c>
      <c r="J17" s="11">
        <f t="shared" ref="J17:J19" si="20">SUM(G17:I17)</f>
        <v>3</v>
      </c>
      <c r="K17" s="11"/>
      <c r="L17" s="37">
        <v>0</v>
      </c>
      <c r="M17" s="38">
        <f t="shared" ref="M17:O17" si="21">ABS(G$2-$F17)/1</f>
        <v>0</v>
      </c>
      <c r="N17" s="39">
        <f t="shared" si="21"/>
        <v>0.5</v>
      </c>
      <c r="O17" s="40">
        <f t="shared" si="21"/>
        <v>1</v>
      </c>
      <c r="P17" s="11"/>
      <c r="Q17" s="37">
        <v>0</v>
      </c>
      <c r="R17" s="38">
        <f t="shared" ref="R17:T17" si="22">($J17/$J$20) * (G$20/$J$20)</f>
        <v>4.0000000000000008E-2</v>
      </c>
      <c r="S17" s="39">
        <f t="shared" si="22"/>
        <v>0</v>
      </c>
      <c r="T17" s="40">
        <f t="shared" si="22"/>
        <v>0.16000000000000003</v>
      </c>
      <c r="U17" s="11"/>
      <c r="V17" s="41" t="s">
        <v>155</v>
      </c>
      <c r="W17" s="38">
        <f>SUMPRODUCT(G17:I19, M17:O19) /$J$20</f>
        <v>0</v>
      </c>
      <c r="X17" s="40" t="s">
        <v>156</v>
      </c>
    </row>
    <row r="18" spans="1:24" ht="15.75" customHeight="1" x14ac:dyDescent="0.15">
      <c r="A18" s="4" t="str">
        <f>'Human Grading'!A18</f>
        <v>State</v>
      </c>
      <c r="B18" s="4" t="str">
        <f>'Human Grading'!B18</f>
        <v>WhiteKingOnLeft</v>
      </c>
      <c r="C18" s="4">
        <f>'Human Grading'!C18</f>
        <v>1</v>
      </c>
      <c r="D18" s="4">
        <f>'Human Grading'!C18</f>
        <v>1</v>
      </c>
      <c r="E18" s="30"/>
      <c r="F18" s="37">
        <v>0.5</v>
      </c>
      <c r="G18" s="42">
        <f t="shared" ref="G18:I18" si="23">COUNTIFS($A$2:$A$90,$F$16,$C$2:$C$90,$F18,$D$2:$D$90,G$16)</f>
        <v>0</v>
      </c>
      <c r="H18" s="11">
        <f t="shared" si="23"/>
        <v>0</v>
      </c>
      <c r="I18" s="43">
        <f t="shared" si="23"/>
        <v>0</v>
      </c>
      <c r="J18" s="11">
        <f t="shared" si="20"/>
        <v>0</v>
      </c>
      <c r="K18" s="11"/>
      <c r="L18" s="37">
        <v>0.5</v>
      </c>
      <c r="M18" s="42">
        <f t="shared" ref="M18:M19" si="24">ABS(G$2-$F18)/1</f>
        <v>0.5</v>
      </c>
      <c r="N18" s="11">
        <f>ABS(H$2-$F18)/3</f>
        <v>0</v>
      </c>
      <c r="O18" s="43">
        <f>ABS(I$2-$F18)/1</f>
        <v>0.5</v>
      </c>
      <c r="P18" s="11"/>
      <c r="Q18" s="37">
        <v>0.5</v>
      </c>
      <c r="R18" s="42">
        <f t="shared" ref="R18:T18" si="25">($J18/$J$20) * (G$20/$J$20)</f>
        <v>0</v>
      </c>
      <c r="S18" s="11">
        <f t="shared" si="25"/>
        <v>0</v>
      </c>
      <c r="T18" s="43">
        <f t="shared" si="25"/>
        <v>0</v>
      </c>
      <c r="U18" s="11"/>
      <c r="V18" s="41" t="s">
        <v>157</v>
      </c>
      <c r="W18" s="42">
        <f>SUMPRODUCT(R17:T19, M17:O19)</f>
        <v>0.32000000000000006</v>
      </c>
      <c r="X18" s="43" t="s">
        <v>158</v>
      </c>
    </row>
    <row r="19" spans="1:24" ht="15.75" customHeight="1" x14ac:dyDescent="0.15">
      <c r="A19" s="4" t="str">
        <f>'Human Grading'!A19</f>
        <v>State</v>
      </c>
      <c r="B19" s="4" t="str">
        <f>'Human Grading'!B19</f>
        <v>WhiteKingOnRight</v>
      </c>
      <c r="C19" s="4">
        <f>'Human Grading'!C19</f>
        <v>1</v>
      </c>
      <c r="D19" s="4">
        <f>'Human Grading'!C19</f>
        <v>1</v>
      </c>
      <c r="E19" s="30"/>
      <c r="F19" s="37">
        <v>1</v>
      </c>
      <c r="G19" s="44">
        <f>COUNTIFS($A$2:$A$46,$F$16,$C$2:$C$46,$F19,$D$2:$D$46,G$16)+MAX(C48-D48,0)</f>
        <v>0</v>
      </c>
      <c r="H19" s="45">
        <f>COUNTIFS($A$2:$A$90,$F$16,$C$2:$C$90,$F19,$D$2:$D$90,H$16)</f>
        <v>0</v>
      </c>
      <c r="I19" s="46">
        <f>COUNTIFS($A$2:$A$46,$F$16,$C$2:$C$46,$F19,$D$2:$D$46,I$16) + MIN(C48,D48)</f>
        <v>12</v>
      </c>
      <c r="J19" s="11">
        <f t="shared" si="20"/>
        <v>12</v>
      </c>
      <c r="K19" s="11"/>
      <c r="L19" s="37">
        <v>1</v>
      </c>
      <c r="M19" s="44">
        <f t="shared" si="24"/>
        <v>1</v>
      </c>
      <c r="N19" s="45">
        <f t="shared" ref="N19:O19" si="26">ABS(H$2-$F19)/1</f>
        <v>0.5</v>
      </c>
      <c r="O19" s="46">
        <f t="shared" si="26"/>
        <v>0</v>
      </c>
      <c r="P19" s="11"/>
      <c r="Q19" s="37">
        <v>1</v>
      </c>
      <c r="R19" s="44">
        <f t="shared" ref="R19:T19" si="27">($J19/$J$20) * (G$20/$J$20)</f>
        <v>0.16000000000000003</v>
      </c>
      <c r="S19" s="45">
        <f t="shared" si="27"/>
        <v>0</v>
      </c>
      <c r="T19" s="46">
        <f t="shared" si="27"/>
        <v>0.64000000000000012</v>
      </c>
      <c r="U19" s="11"/>
      <c r="V19" s="41" t="s">
        <v>125</v>
      </c>
      <c r="W19" s="44">
        <f>1-W17/W18</f>
        <v>1</v>
      </c>
      <c r="X19" s="46" t="s">
        <v>159</v>
      </c>
    </row>
    <row r="20" spans="1:24" ht="15.75" customHeight="1" x14ac:dyDescent="0.15">
      <c r="A20" s="4" t="str">
        <f>'Human Grading'!A20</f>
        <v>Transition</v>
      </c>
      <c r="B20" s="4" t="str">
        <f>'Human Grading'!B20</f>
        <v>initial state =&gt; white king on left</v>
      </c>
      <c r="C20" s="4">
        <f>'Human Grading'!C20</f>
        <v>1</v>
      </c>
      <c r="D20" s="4">
        <f>'Human Grading'!C20</f>
        <v>1</v>
      </c>
      <c r="E20" s="30"/>
      <c r="F20" s="47" t="s">
        <v>139</v>
      </c>
      <c r="G20" s="11">
        <f t="shared" ref="G20:I20" si="28">SUM(G17:G19)</f>
        <v>3</v>
      </c>
      <c r="H20" s="11">
        <f t="shared" si="28"/>
        <v>0</v>
      </c>
      <c r="I20" s="11">
        <f t="shared" si="28"/>
        <v>12</v>
      </c>
      <c r="J20" s="11">
        <f>SUM(G17:I19)</f>
        <v>15</v>
      </c>
    </row>
    <row r="21" spans="1:24" ht="15.75" customHeight="1" x14ac:dyDescent="0.15">
      <c r="A21" s="4" t="str">
        <f>'Human Grading'!A21</f>
        <v>Transition</v>
      </c>
      <c r="B21" s="4" t="str">
        <f>'Human Grading'!B21</f>
        <v>white king on left =&gt; white king on right</v>
      </c>
      <c r="C21" s="4">
        <f>'Human Grading'!C21</f>
        <v>1</v>
      </c>
      <c r="D21" s="4">
        <f>'Human Grading'!C21</f>
        <v>1</v>
      </c>
      <c r="E21" s="30"/>
    </row>
    <row r="22" spans="1:24" ht="15.75" customHeight="1" x14ac:dyDescent="0.15">
      <c r="A22" s="4" t="str">
        <f>'Human Grading'!A22</f>
        <v>Transition</v>
      </c>
      <c r="B22" s="4" t="str">
        <f>'Human Grading'!B22</f>
        <v>white king on right =&gt; white king on left</v>
      </c>
      <c r="C22" s="4">
        <f>'Human Grading'!C22</f>
        <v>1</v>
      </c>
      <c r="D22" s="4">
        <f>'Human Grading'!C22</f>
        <v>1</v>
      </c>
      <c r="E22" s="30"/>
      <c r="F22" s="67" t="s">
        <v>144</v>
      </c>
      <c r="G22" s="68"/>
      <c r="H22" s="68"/>
      <c r="I22" s="68"/>
    </row>
    <row r="23" spans="1:24" ht="15.75" customHeight="1" x14ac:dyDescent="0.15">
      <c r="A23" s="4" t="str">
        <f>'Human Grading'!A23</f>
        <v>State</v>
      </c>
      <c r="B23" s="4" t="str">
        <f>'Human Grading'!B23</f>
        <v>ReadyToStart</v>
      </c>
      <c r="C23" s="4">
        <f>'Human Grading'!C23</f>
        <v>0</v>
      </c>
      <c r="D23" s="4">
        <f>'Human Grading'!C23</f>
        <v>0</v>
      </c>
      <c r="E23" s="30"/>
      <c r="F23" s="11" t="s">
        <v>8</v>
      </c>
      <c r="G23" s="49" t="s">
        <v>127</v>
      </c>
      <c r="H23" s="49" t="s">
        <v>128</v>
      </c>
      <c r="I23" s="49" t="s">
        <v>129</v>
      </c>
      <c r="J23" s="50" t="s">
        <v>130</v>
      </c>
      <c r="K23" s="11"/>
      <c r="L23" s="11" t="s">
        <v>126</v>
      </c>
      <c r="M23" s="49" t="s">
        <v>127</v>
      </c>
      <c r="N23" s="49" t="s">
        <v>128</v>
      </c>
      <c r="O23" s="49" t="s">
        <v>129</v>
      </c>
      <c r="P23" s="11"/>
      <c r="Q23" s="11" t="s">
        <v>126</v>
      </c>
      <c r="R23" s="49" t="s">
        <v>127</v>
      </c>
      <c r="S23" s="49" t="s">
        <v>128</v>
      </c>
      <c r="T23" s="49" t="s">
        <v>129</v>
      </c>
      <c r="V23" s="36" t="str">
        <f>"Metrics" &amp; " " &amp; F23</f>
        <v>Metrics Composite State</v>
      </c>
      <c r="W23" s="36" t="s">
        <v>132</v>
      </c>
      <c r="X23" s="36" t="s">
        <v>133</v>
      </c>
    </row>
    <row r="24" spans="1:24" ht="15.75" customHeight="1" x14ac:dyDescent="0.15">
      <c r="A24" s="4" t="str">
        <f>'Human Grading'!A24</f>
        <v>Transition</v>
      </c>
      <c r="B24" s="4" t="str">
        <f>'Human Grading'!B24</f>
        <v>ready to start =&gt; game running</v>
      </c>
      <c r="C24" s="4">
        <f>'Human Grading'!C24</f>
        <v>1</v>
      </c>
      <c r="D24" s="4">
        <f>'Human Grading'!C24</f>
        <v>1</v>
      </c>
      <c r="E24" s="30"/>
      <c r="F24" s="37">
        <v>0</v>
      </c>
      <c r="G24" s="38">
        <f t="shared" ref="G24:H24" si="29">COUNTIFS($A$2:$A$90,$F$23,$C$2:$C$90,$F24,$D$2:$D$90,G$23)</f>
        <v>1</v>
      </c>
      <c r="H24" s="39">
        <f t="shared" si="29"/>
        <v>0</v>
      </c>
      <c r="I24" s="40">
        <f>COUNTIFS($A$2:$A$46,$F$23,$C$2:$C$46,$F24,$D$2:$D$46,I$23) + MAX(D51-C51,0)</f>
        <v>0</v>
      </c>
      <c r="J24" s="11">
        <f t="shared" ref="J24:J26" si="30">SUM(G24:I24)</f>
        <v>1</v>
      </c>
      <c r="K24" s="11"/>
      <c r="L24" s="37">
        <v>0</v>
      </c>
      <c r="M24" s="38">
        <f t="shared" ref="M24:O24" si="31">ABS(G$2-$F24)/1</f>
        <v>0</v>
      </c>
      <c r="N24" s="39">
        <f t="shared" si="31"/>
        <v>0.5</v>
      </c>
      <c r="O24" s="40">
        <f t="shared" si="31"/>
        <v>1</v>
      </c>
      <c r="P24" s="11"/>
      <c r="Q24" s="37">
        <v>0</v>
      </c>
      <c r="R24" s="38">
        <f t="shared" ref="R24:T24" si="32">($J24/$J$27) * (G$27/$J$27)</f>
        <v>6.25E-2</v>
      </c>
      <c r="S24" s="39">
        <f t="shared" si="32"/>
        <v>0</v>
      </c>
      <c r="T24" s="40">
        <f t="shared" si="32"/>
        <v>0.1875</v>
      </c>
      <c r="U24" s="11"/>
      <c r="V24" s="41" t="s">
        <v>155</v>
      </c>
      <c r="W24" s="38">
        <f>SUMPRODUCT(G24:I26, M24:O26) /$J$27</f>
        <v>0</v>
      </c>
      <c r="X24" s="40" t="s">
        <v>156</v>
      </c>
    </row>
    <row r="25" spans="1:24" ht="15.75" customHeight="1" x14ac:dyDescent="0.15">
      <c r="A25" s="4" t="str">
        <f>'Human Grading'!A25</f>
        <v>Composite State</v>
      </c>
      <c r="B25" s="4" t="str">
        <f>'Human Grading'!B25</f>
        <v>GameRunning</v>
      </c>
      <c r="C25" s="4">
        <f>'Human Grading'!C25</f>
        <v>1</v>
      </c>
      <c r="D25" s="4">
        <f>'Human Grading'!C25</f>
        <v>1</v>
      </c>
      <c r="E25" s="30"/>
      <c r="F25" s="37">
        <v>0.5</v>
      </c>
      <c r="G25" s="42">
        <f t="shared" ref="G25:I25" si="33">COUNTIFS($A$2:$A$90,$F$23,$C$2:$C$90,$F25,$D$2:$D$90,G$23)</f>
        <v>0</v>
      </c>
      <c r="H25" s="11">
        <f t="shared" si="33"/>
        <v>0</v>
      </c>
      <c r="I25" s="43">
        <f t="shared" si="33"/>
        <v>0</v>
      </c>
      <c r="J25" s="11">
        <f t="shared" si="30"/>
        <v>0</v>
      </c>
      <c r="K25" s="11"/>
      <c r="L25" s="37">
        <v>0.5</v>
      </c>
      <c r="M25" s="42">
        <f t="shared" ref="M25:M26" si="34">ABS(G$2-$F25)/1</f>
        <v>0.5</v>
      </c>
      <c r="N25" s="11">
        <f>ABS(H$2-$F25)/3</f>
        <v>0</v>
      </c>
      <c r="O25" s="43">
        <f>ABS(I$2-$F25)/1</f>
        <v>0.5</v>
      </c>
      <c r="P25" s="11"/>
      <c r="Q25" s="37">
        <v>0.5</v>
      </c>
      <c r="R25" s="42">
        <f t="shared" ref="R25:T25" si="35">($J25/$J$27) * (G$27/$J$27)</f>
        <v>0</v>
      </c>
      <c r="S25" s="11">
        <f t="shared" si="35"/>
        <v>0</v>
      </c>
      <c r="T25" s="43">
        <f t="shared" si="35"/>
        <v>0</v>
      </c>
      <c r="U25" s="11"/>
      <c r="V25" s="41" t="s">
        <v>157</v>
      </c>
      <c r="W25" s="42">
        <f>SUMPRODUCT(R24:T26, M24:O26)</f>
        <v>0.375</v>
      </c>
      <c r="X25" s="43" t="s">
        <v>158</v>
      </c>
    </row>
    <row r="26" spans="1:24" ht="15.75" customHeight="1" x14ac:dyDescent="0.15">
      <c r="A26" s="4" t="str">
        <f>'Human Grading'!A26</f>
        <v>History State</v>
      </c>
      <c r="B26" s="4" t="str">
        <f>'Human Grading'!B26</f>
        <v>H</v>
      </c>
      <c r="C26" s="4">
        <f>'Human Grading'!C26</f>
        <v>1</v>
      </c>
      <c r="D26" s="4">
        <f>'Human Grading'!C26</f>
        <v>1</v>
      </c>
      <c r="E26" s="30"/>
      <c r="F26" s="37">
        <v>1</v>
      </c>
      <c r="G26" s="44">
        <f>COUNTIFS($A$2:$A$46,$F$23,$C$2:$C$46,$F26,$D$2:$D$46,G$23) + MAX(C51-D51,0)</f>
        <v>0</v>
      </c>
      <c r="H26" s="45">
        <f>COUNTIFS($A$2:$A$90,$F$23,$C$2:$C$90,$F26,$D$2:$D$90,H$23)</f>
        <v>0</v>
      </c>
      <c r="I26" s="46">
        <f>COUNTIFS($A$2:$A$46,$F$23,$C$2:$C$46,$F26,$D$2:$D$46,I$23) + MIN(C51,D51)</f>
        <v>3</v>
      </c>
      <c r="J26" s="11">
        <f t="shared" si="30"/>
        <v>3</v>
      </c>
      <c r="K26" s="11"/>
      <c r="L26" s="37">
        <v>1</v>
      </c>
      <c r="M26" s="44">
        <f t="shared" si="34"/>
        <v>1</v>
      </c>
      <c r="N26" s="45">
        <f t="shared" ref="N26:O26" si="36">ABS(H$2-$F26)/1</f>
        <v>0.5</v>
      </c>
      <c r="O26" s="46">
        <f t="shared" si="36"/>
        <v>0</v>
      </c>
      <c r="P26" s="11"/>
      <c r="Q26" s="37">
        <v>1</v>
      </c>
      <c r="R26" s="44">
        <f t="shared" ref="R26:T26" si="37">($J26/$J$27) * (G$27/$J$27)</f>
        <v>0.1875</v>
      </c>
      <c r="S26" s="45">
        <f t="shared" si="37"/>
        <v>0</v>
      </c>
      <c r="T26" s="46">
        <f t="shared" si="37"/>
        <v>0.5625</v>
      </c>
      <c r="U26" s="11"/>
      <c r="V26" s="41" t="s">
        <v>125</v>
      </c>
      <c r="W26" s="44">
        <f>1-W24/W25</f>
        <v>1</v>
      </c>
      <c r="X26" s="46" t="s">
        <v>159</v>
      </c>
    </row>
    <row r="27" spans="1:24" ht="15.75" customHeight="1" x14ac:dyDescent="0.15">
      <c r="A27" s="4" t="str">
        <f>'Human Grading'!A27</f>
        <v>State</v>
      </c>
      <c r="B27" s="4" t="str">
        <f>'Human Grading'!B27</f>
        <v>WhiteClockRunning</v>
      </c>
      <c r="C27" s="4">
        <f>'Human Grading'!C27</f>
        <v>1</v>
      </c>
      <c r="D27" s="4">
        <f>'Human Grading'!C27</f>
        <v>1</v>
      </c>
      <c r="E27" s="30"/>
      <c r="F27" s="47" t="s">
        <v>139</v>
      </c>
      <c r="G27" s="11">
        <f t="shared" ref="G27:I27" si="38">SUM(G24:G26)</f>
        <v>1</v>
      </c>
      <c r="H27" s="11">
        <f t="shared" si="38"/>
        <v>0</v>
      </c>
      <c r="I27" s="11">
        <f t="shared" si="38"/>
        <v>3</v>
      </c>
      <c r="J27" s="11">
        <f>SUM(G24:I26)</f>
        <v>4</v>
      </c>
    </row>
    <row r="28" spans="1:24" ht="15.75" customHeight="1" x14ac:dyDescent="0.15">
      <c r="A28" s="4" t="str">
        <f>'Human Grading'!A28</f>
        <v>Action</v>
      </c>
      <c r="B28" s="4" t="str">
        <f>'Human Grading'!B28</f>
        <v>startTimer(wc)</v>
      </c>
      <c r="C28" s="4">
        <f>'Human Grading'!C28</f>
        <v>1</v>
      </c>
      <c r="D28" s="4">
        <f>'Human Grading'!C28</f>
        <v>1</v>
      </c>
      <c r="E28" s="30"/>
    </row>
    <row r="29" spans="1:24" ht="15.75" customHeight="1" x14ac:dyDescent="0.15">
      <c r="A29" s="4" t="str">
        <f>'Human Grading'!A29</f>
        <v>Action</v>
      </c>
      <c r="B29" s="4" t="str">
        <f>'Human Grading'!B29</f>
        <v>stopTimer(wc)</v>
      </c>
      <c r="C29" s="4">
        <f>'Human Grading'!C29</f>
        <v>1</v>
      </c>
      <c r="D29" s="4">
        <f>'Human Grading'!C29</f>
        <v>1</v>
      </c>
      <c r="E29" s="30"/>
      <c r="F29" s="67" t="s">
        <v>146</v>
      </c>
      <c r="G29" s="68"/>
      <c r="H29" s="68"/>
      <c r="I29" s="68"/>
    </row>
    <row r="30" spans="1:24" ht="15.75" customHeight="1" x14ac:dyDescent="0.15">
      <c r="A30" s="4" t="str">
        <f>'Human Grading'!A30</f>
        <v>Guard</v>
      </c>
      <c r="B30" s="4" t="str">
        <f>'Human Grading'!B30</f>
        <v>[wc &gt; 0]</v>
      </c>
      <c r="C30" s="4">
        <f>'Human Grading'!C30</f>
        <v>1</v>
      </c>
      <c r="D30" s="4">
        <f>'Human Grading'!C30</f>
        <v>1</v>
      </c>
      <c r="E30" s="30"/>
      <c r="F30" s="11" t="s">
        <v>36</v>
      </c>
      <c r="G30" s="49" t="s">
        <v>127</v>
      </c>
      <c r="H30" s="49" t="s">
        <v>128</v>
      </c>
      <c r="I30" s="49" t="s">
        <v>129</v>
      </c>
      <c r="J30" s="50" t="s">
        <v>130</v>
      </c>
      <c r="K30" s="11"/>
      <c r="L30" s="11" t="s">
        <v>126</v>
      </c>
      <c r="M30" s="49">
        <v>0</v>
      </c>
      <c r="N30" s="49" t="s">
        <v>128</v>
      </c>
      <c r="O30" s="49" t="s">
        <v>129</v>
      </c>
      <c r="P30" s="11"/>
      <c r="Q30" s="11" t="s">
        <v>126</v>
      </c>
      <c r="R30" s="49" t="s">
        <v>127</v>
      </c>
      <c r="S30" s="49" t="s">
        <v>128</v>
      </c>
      <c r="T30" s="49" t="s">
        <v>129</v>
      </c>
      <c r="V30" s="36" t="str">
        <f>"Metrics" &amp; " " &amp; F30</f>
        <v>Metrics Guard</v>
      </c>
      <c r="W30" s="36" t="s">
        <v>132</v>
      </c>
      <c r="X30" s="36" t="s">
        <v>133</v>
      </c>
    </row>
    <row r="31" spans="1:24" ht="15.75" customHeight="1" x14ac:dyDescent="0.15">
      <c r="A31" s="4" t="str">
        <f>'Human Grading'!A31</f>
        <v>Action</v>
      </c>
      <c r="B31" s="4" t="str">
        <f>'Human Grading'!B31</f>
        <v>decrTimer(wc)</v>
      </c>
      <c r="C31" s="4">
        <f>'Human Grading'!C31</f>
        <v>1</v>
      </c>
      <c r="D31" s="4">
        <f>'Human Grading'!C31</f>
        <v>1</v>
      </c>
      <c r="E31" s="30"/>
      <c r="F31" s="37">
        <v>0</v>
      </c>
      <c r="G31" s="38">
        <f t="shared" ref="G31:H31" si="39">COUNTIFS($A$2:$A$90,$F$30,$C$2:$C$90,$F31,$D$2:$D$90,G$30)</f>
        <v>1</v>
      </c>
      <c r="H31" s="39">
        <f t="shared" si="39"/>
        <v>0</v>
      </c>
      <c r="I31" s="40">
        <f>COUNTIFS($A$2:$A$46,$F$30,$C$2:$C$46,$F31,$D$2:$D$46,I$30) + MAX(D49-C49,0)</f>
        <v>0</v>
      </c>
      <c r="J31" s="11">
        <f t="shared" ref="J31:J33" si="40">SUM(G31:I31)</f>
        <v>1</v>
      </c>
      <c r="K31" s="11"/>
      <c r="L31" s="37">
        <v>0</v>
      </c>
      <c r="M31" s="38">
        <f t="shared" ref="M31:O31" si="41">ABS(G$2-$F31)/1</f>
        <v>0</v>
      </c>
      <c r="N31" s="39">
        <f t="shared" si="41"/>
        <v>0.5</v>
      </c>
      <c r="O31" s="40">
        <f t="shared" si="41"/>
        <v>1</v>
      </c>
      <c r="P31" s="11"/>
      <c r="Q31" s="37">
        <v>0</v>
      </c>
      <c r="R31" s="38">
        <f t="shared" ref="R31:T31" si="42">($J31/$J$34) * (G$34/$J$34)</f>
        <v>4.0000000000000008E-2</v>
      </c>
      <c r="S31" s="39">
        <f t="shared" si="42"/>
        <v>0</v>
      </c>
      <c r="T31" s="40">
        <f t="shared" si="42"/>
        <v>0.16000000000000003</v>
      </c>
      <c r="U31" s="11"/>
      <c r="V31" s="41" t="s">
        <v>155</v>
      </c>
      <c r="W31" s="38">
        <f>SUMPRODUCT(G31:I33, M31:O33) /$J$34</f>
        <v>0</v>
      </c>
      <c r="X31" s="40" t="s">
        <v>156</v>
      </c>
    </row>
    <row r="32" spans="1:24" ht="15.75" customHeight="1" x14ac:dyDescent="0.15">
      <c r="A32" s="4" t="str">
        <f>'Human Grading'!A32</f>
        <v>Transition</v>
      </c>
      <c r="B32" s="4" t="str">
        <f>'Human Grading'!B32</f>
        <v>white clock running =&gt; white clock running</v>
      </c>
      <c r="C32" s="4">
        <f>'Human Grading'!C32</f>
        <v>1</v>
      </c>
      <c r="D32" s="4">
        <f>'Human Grading'!C32</f>
        <v>1</v>
      </c>
      <c r="E32" s="30"/>
      <c r="F32" s="37">
        <v>0.5</v>
      </c>
      <c r="G32" s="42">
        <f t="shared" ref="G32:I32" si="43">COUNTIFS($A$2:$A$90,$F$30,$C$2:$C$90,$F32,$D$2:$D$90,G$30)</f>
        <v>0</v>
      </c>
      <c r="H32" s="11">
        <f t="shared" si="43"/>
        <v>0</v>
      </c>
      <c r="I32" s="43">
        <f t="shared" si="43"/>
        <v>0</v>
      </c>
      <c r="J32" s="11">
        <f t="shared" si="40"/>
        <v>0</v>
      </c>
      <c r="K32" s="11"/>
      <c r="L32" s="37">
        <v>0.5</v>
      </c>
      <c r="M32" s="42">
        <f t="shared" ref="M32:M33" si="44">ABS(G$2-$F32)/1</f>
        <v>0.5</v>
      </c>
      <c r="N32" s="11">
        <f>ABS(H$2-$F32)/3</f>
        <v>0</v>
      </c>
      <c r="O32" s="43">
        <f>ABS(I$2-$F32)/1</f>
        <v>0.5</v>
      </c>
      <c r="P32" s="11"/>
      <c r="Q32" s="37">
        <v>0.5</v>
      </c>
      <c r="R32" s="42">
        <f t="shared" ref="R32:T32" si="45">($J32/$J$34) * (G$34/$J$34)</f>
        <v>0</v>
      </c>
      <c r="S32" s="11">
        <f t="shared" si="45"/>
        <v>0</v>
      </c>
      <c r="T32" s="43">
        <f t="shared" si="45"/>
        <v>0</v>
      </c>
      <c r="U32" s="11"/>
      <c r="V32" s="41" t="s">
        <v>157</v>
      </c>
      <c r="W32" s="42">
        <f>SUMPRODUCT(R31:T33, M31:O33)</f>
        <v>0.32000000000000006</v>
      </c>
      <c r="X32" s="43" t="s">
        <v>158</v>
      </c>
    </row>
    <row r="33" spans="1:24" ht="15.75" customHeight="1" x14ac:dyDescent="0.15">
      <c r="A33" s="4" t="str">
        <f>'Human Grading'!A33</f>
        <v>State</v>
      </c>
      <c r="B33" s="4" t="str">
        <f>'Human Grading'!B33</f>
        <v>BlackClockRunning</v>
      </c>
      <c r="C33" s="4">
        <f>'Human Grading'!C33</f>
        <v>1</v>
      </c>
      <c r="D33" s="4">
        <f>'Human Grading'!C33</f>
        <v>1</v>
      </c>
      <c r="E33" s="30"/>
      <c r="F33" s="37">
        <v>1</v>
      </c>
      <c r="G33" s="44">
        <f>COUNTIFS($A$2:$A$46,$F$30,$C$2:$C$46,$F33,$D$2:$D$46,G$30) + MAX(C49-D49,0)</f>
        <v>0</v>
      </c>
      <c r="H33" s="45">
        <f>COUNTIFS($A$2:$A$90,$F$30,$C$2:$C$90,$F33,$D$2:$D$90,H$30)</f>
        <v>0</v>
      </c>
      <c r="I33" s="46">
        <f>COUNTIFS($A$2:$A$46,$F$30,$C$2:$C$46,$F33,$D$2:$D$46,I$30) + MIN(C49,D49)</f>
        <v>4</v>
      </c>
      <c r="J33" s="11">
        <f t="shared" si="40"/>
        <v>4</v>
      </c>
      <c r="K33" s="11"/>
      <c r="L33" s="37">
        <v>1</v>
      </c>
      <c r="M33" s="44">
        <f t="shared" si="44"/>
        <v>1</v>
      </c>
      <c r="N33" s="45">
        <f t="shared" ref="N33:O33" si="46">ABS(H$2-$F33)/1</f>
        <v>0.5</v>
      </c>
      <c r="O33" s="46">
        <f t="shared" si="46"/>
        <v>0</v>
      </c>
      <c r="P33" s="11"/>
      <c r="Q33" s="37">
        <v>1</v>
      </c>
      <c r="R33" s="44">
        <f t="shared" ref="R33:T33" si="47">($J33/$J$34) * (G$34/$J$34)</f>
        <v>0.16000000000000003</v>
      </c>
      <c r="S33" s="45">
        <f t="shared" si="47"/>
        <v>0</v>
      </c>
      <c r="T33" s="46">
        <f t="shared" si="47"/>
        <v>0.64000000000000012</v>
      </c>
      <c r="U33" s="11"/>
      <c r="V33" s="41" t="s">
        <v>125</v>
      </c>
      <c r="W33" s="44">
        <f>1-W31/W32</f>
        <v>1</v>
      </c>
      <c r="X33" s="46" t="s">
        <v>159</v>
      </c>
    </row>
    <row r="34" spans="1:24" ht="15.75" customHeight="1" x14ac:dyDescent="0.15">
      <c r="A34" s="4" t="str">
        <f>'Human Grading'!A34</f>
        <v>Action</v>
      </c>
      <c r="B34" s="4" t="str">
        <f>'Human Grading'!B34</f>
        <v>startTimer(bc)</v>
      </c>
      <c r="C34" s="4">
        <f>'Human Grading'!C34</f>
        <v>1</v>
      </c>
      <c r="D34" s="4">
        <f>'Human Grading'!C34</f>
        <v>1</v>
      </c>
      <c r="E34" s="30"/>
      <c r="F34" s="47" t="s">
        <v>139</v>
      </c>
      <c r="G34" s="11">
        <f t="shared" ref="G34:I34" si="48">SUM(G31:G33)</f>
        <v>1</v>
      </c>
      <c r="H34" s="11">
        <f t="shared" si="48"/>
        <v>0</v>
      </c>
      <c r="I34" s="11">
        <f t="shared" si="48"/>
        <v>4</v>
      </c>
      <c r="J34" s="11">
        <f>SUM(G31:I33)</f>
        <v>5</v>
      </c>
    </row>
    <row r="35" spans="1:24" ht="15.75" customHeight="1" x14ac:dyDescent="0.15">
      <c r="A35" s="4" t="str">
        <f>'Human Grading'!A35</f>
        <v>Action</v>
      </c>
      <c r="B35" s="4" t="str">
        <f>'Human Grading'!B35</f>
        <v>stopTimer(bc)</v>
      </c>
      <c r="C35" s="4">
        <f>'Human Grading'!C35</f>
        <v>1</v>
      </c>
      <c r="D35" s="4">
        <f>'Human Grading'!C35</f>
        <v>1</v>
      </c>
      <c r="E35" s="30"/>
    </row>
    <row r="36" spans="1:24" ht="15.75" customHeight="1" x14ac:dyDescent="0.15">
      <c r="A36" s="4" t="str">
        <f>'Human Grading'!A36</f>
        <v>Guard</v>
      </c>
      <c r="B36" s="4" t="str">
        <f>'Human Grading'!B36</f>
        <v>[bc &gt; 0]</v>
      </c>
      <c r="C36" s="4">
        <f>'Human Grading'!C36</f>
        <v>1</v>
      </c>
      <c r="D36" s="4">
        <f>'Human Grading'!C36</f>
        <v>1</v>
      </c>
      <c r="E36" s="30"/>
      <c r="F36" s="67" t="s">
        <v>148</v>
      </c>
      <c r="G36" s="68"/>
      <c r="H36" s="68"/>
      <c r="I36" s="68"/>
    </row>
    <row r="37" spans="1:24" ht="15.75" customHeight="1" x14ac:dyDescent="0.15">
      <c r="A37" s="4" t="str">
        <f>'Human Grading'!A37</f>
        <v>Action</v>
      </c>
      <c r="B37" s="4" t="str">
        <f>'Human Grading'!B37</f>
        <v>decrTimer(bc)</v>
      </c>
      <c r="C37" s="4">
        <f>'Human Grading'!C37</f>
        <v>1</v>
      </c>
      <c r="D37" s="4">
        <f>'Human Grading'!C37</f>
        <v>1</v>
      </c>
      <c r="E37" s="30"/>
      <c r="F37" s="11" t="s">
        <v>16</v>
      </c>
      <c r="G37" s="49" t="s">
        <v>127</v>
      </c>
      <c r="H37" s="49" t="s">
        <v>128</v>
      </c>
      <c r="I37" s="49" t="s">
        <v>129</v>
      </c>
      <c r="J37" s="50" t="s">
        <v>130</v>
      </c>
      <c r="K37" s="11"/>
      <c r="L37" s="11" t="s">
        <v>126</v>
      </c>
      <c r="M37" s="49" t="s">
        <v>127</v>
      </c>
      <c r="N37" s="49" t="s">
        <v>128</v>
      </c>
      <c r="O37" s="49" t="s">
        <v>129</v>
      </c>
      <c r="P37" s="11"/>
      <c r="Q37" s="53" t="s">
        <v>126</v>
      </c>
      <c r="R37" s="54" t="s">
        <v>127</v>
      </c>
      <c r="S37" s="54" t="s">
        <v>128</v>
      </c>
      <c r="T37" s="54" t="s">
        <v>129</v>
      </c>
      <c r="V37" s="36" t="str">
        <f>"Metrics" &amp; " " &amp; F37</f>
        <v>Metrics Action</v>
      </c>
      <c r="W37" s="36" t="s">
        <v>132</v>
      </c>
      <c r="X37" s="36" t="s">
        <v>133</v>
      </c>
    </row>
    <row r="38" spans="1:24" ht="15.75" customHeight="1" x14ac:dyDescent="0.15">
      <c r="A38" s="4" t="str">
        <f>'Human Grading'!A38</f>
        <v>Transition</v>
      </c>
      <c r="B38" s="4" t="str">
        <f>'Human Grading'!B38</f>
        <v>balck clock running =&gt; black clock running</v>
      </c>
      <c r="C38" s="4">
        <f>'Human Grading'!C38</f>
        <v>1</v>
      </c>
      <c r="D38" s="4">
        <f>'Human Grading'!C38</f>
        <v>1</v>
      </c>
      <c r="E38" s="30"/>
      <c r="F38" s="37">
        <v>0</v>
      </c>
      <c r="G38" s="38">
        <f t="shared" ref="G38:H38" si="49">COUNTIFS($A$2:$A$90,$F$37,$C$2:$C$90,$F38,$D$2:$D$90,G$37)</f>
        <v>1</v>
      </c>
      <c r="H38" s="39">
        <f t="shared" si="49"/>
        <v>0</v>
      </c>
      <c r="I38" s="40">
        <f>COUNTIFS($A$2:$A$46,$F$37,$C$2:$C$46,$F38,$D$2:$D$46,I$37)+MAX(D50-C50,0)</f>
        <v>0</v>
      </c>
      <c r="J38" s="11">
        <f t="shared" ref="J38:J40" si="50">SUM(G38:I38)</f>
        <v>1</v>
      </c>
      <c r="K38" s="11"/>
      <c r="L38" s="37">
        <v>0</v>
      </c>
      <c r="M38" s="38">
        <f t="shared" ref="M38:O38" si="51">ABS(G$2-$F38)/1</f>
        <v>0</v>
      </c>
      <c r="N38" s="39">
        <f t="shared" si="51"/>
        <v>0.5</v>
      </c>
      <c r="O38" s="40">
        <f t="shared" si="51"/>
        <v>1</v>
      </c>
      <c r="P38" s="11"/>
      <c r="Q38" s="55">
        <v>0</v>
      </c>
      <c r="R38" s="56">
        <f t="shared" ref="R38:T38" si="52">($J38/$J$41) * (G$41/$J$41)</f>
        <v>1.2345679012345678E-2</v>
      </c>
      <c r="S38" s="57">
        <f t="shared" si="52"/>
        <v>0</v>
      </c>
      <c r="T38" s="58">
        <f t="shared" si="52"/>
        <v>9.8765432098765427E-2</v>
      </c>
      <c r="U38" s="11"/>
      <c r="V38" s="41" t="s">
        <v>155</v>
      </c>
      <c r="W38" s="38">
        <f>SUMPRODUCT(G38:I40, M38:O40) /$J$41</f>
        <v>0</v>
      </c>
      <c r="X38" s="40" t="s">
        <v>156</v>
      </c>
    </row>
    <row r="39" spans="1:24" ht="15.75" customHeight="1" x14ac:dyDescent="0.15">
      <c r="A39" s="4" t="str">
        <f>'Human Grading'!A39</f>
        <v>Transition</v>
      </c>
      <c r="B39" s="4" t="str">
        <f>'Human Grading'!B39</f>
        <v>game running =&gt; game paused</v>
      </c>
      <c r="C39" s="4">
        <f>'Human Grading'!C39</f>
        <v>1</v>
      </c>
      <c r="D39" s="4">
        <f>'Human Grading'!C39</f>
        <v>1</v>
      </c>
      <c r="E39" s="30"/>
      <c r="F39" s="37">
        <v>0.5</v>
      </c>
      <c r="G39" s="42">
        <f t="shared" ref="G39:I39" si="53">COUNTIFS($A$2:$A$90,$F$37,$C$2:$C$90,$F39,$D$2:$D$90,G$37)</f>
        <v>0</v>
      </c>
      <c r="H39" s="11">
        <f t="shared" si="53"/>
        <v>0</v>
      </c>
      <c r="I39" s="43">
        <f t="shared" si="53"/>
        <v>0</v>
      </c>
      <c r="J39" s="11">
        <f t="shared" si="50"/>
        <v>0</v>
      </c>
      <c r="K39" s="11"/>
      <c r="L39" s="37">
        <v>0.5</v>
      </c>
      <c r="M39" s="42">
        <f t="shared" ref="M39:M40" si="54">ABS(G$2-$F39)/1</f>
        <v>0.5</v>
      </c>
      <c r="N39" s="11">
        <f>ABS(H$2-$F39)/3</f>
        <v>0</v>
      </c>
      <c r="O39" s="43">
        <f>ABS(I$2-$F39)/1</f>
        <v>0.5</v>
      </c>
      <c r="P39" s="11"/>
      <c r="Q39" s="55">
        <v>0.5</v>
      </c>
      <c r="R39" s="59">
        <f t="shared" ref="R39:T39" si="55">($J39/$J$41) * (G$41/$J$41)</f>
        <v>0</v>
      </c>
      <c r="S39" s="53">
        <f t="shared" si="55"/>
        <v>0</v>
      </c>
      <c r="T39" s="60">
        <f t="shared" si="55"/>
        <v>0</v>
      </c>
      <c r="U39" s="11"/>
      <c r="V39" s="41" t="s">
        <v>157</v>
      </c>
      <c r="W39" s="42">
        <f>SUMPRODUCT(R38:T40, M38:O40)</f>
        <v>0.19753086419753085</v>
      </c>
      <c r="X39" s="43" t="s">
        <v>158</v>
      </c>
    </row>
    <row r="40" spans="1:24" ht="15.75" customHeight="1" x14ac:dyDescent="0.15">
      <c r="A40" s="4" t="str">
        <f>'Human Grading'!A40</f>
        <v>Transition</v>
      </c>
      <c r="B40" s="4" t="str">
        <f>'Human Grading'!B40</f>
        <v>game running =&gt; game finished</v>
      </c>
      <c r="C40" s="4">
        <f>'Human Grading'!C40</f>
        <v>0</v>
      </c>
      <c r="D40" s="4">
        <f>'Human Grading'!C40</f>
        <v>0</v>
      </c>
      <c r="E40" s="30"/>
      <c r="F40" s="37">
        <v>1</v>
      </c>
      <c r="G40" s="44">
        <f>COUNTIFS($A$2:$A$46,$F$37,$C$2:$C$46,$F40,$D$2:$D$46,G$37)+MAX(C50-D50,0)</f>
        <v>0</v>
      </c>
      <c r="H40" s="45">
        <f>COUNTIFS($A$2:$A$90,$F$37,$C$2:$C$90,$F40,$D$2:$D$90,H$37)</f>
        <v>0</v>
      </c>
      <c r="I40" s="46">
        <f>COUNTIFS($A$2:$A$46,$F$37,$C$2:$C$46,$F40,$D$2:$D$46,I$37) + MIN(C50,D50)</f>
        <v>8</v>
      </c>
      <c r="J40" s="11">
        <f t="shared" si="50"/>
        <v>8</v>
      </c>
      <c r="K40" s="11"/>
      <c r="L40" s="37">
        <v>1</v>
      </c>
      <c r="M40" s="44">
        <f t="shared" si="54"/>
        <v>1</v>
      </c>
      <c r="N40" s="45">
        <f t="shared" ref="N40:O40" si="56">ABS(H$2-$F40)/1</f>
        <v>0.5</v>
      </c>
      <c r="O40" s="46">
        <f t="shared" si="56"/>
        <v>0</v>
      </c>
      <c r="P40" s="11"/>
      <c r="Q40" s="55">
        <v>1</v>
      </c>
      <c r="R40" s="61">
        <f t="shared" ref="R40:T40" si="57">($J40/$J$41) * (G$41/$J$41)</f>
        <v>9.8765432098765427E-2</v>
      </c>
      <c r="S40" s="62">
        <f t="shared" si="57"/>
        <v>0</v>
      </c>
      <c r="T40" s="63">
        <f t="shared" si="57"/>
        <v>0.79012345679012341</v>
      </c>
      <c r="U40" s="11"/>
      <c r="V40" s="41" t="s">
        <v>125</v>
      </c>
      <c r="W40" s="44">
        <f>1-W38/W39</f>
        <v>1</v>
      </c>
      <c r="X40" s="46" t="s">
        <v>159</v>
      </c>
    </row>
    <row r="41" spans="1:24" ht="15.75" customHeight="1" x14ac:dyDescent="0.15">
      <c r="A41" s="4" t="str">
        <f>'Human Grading'!A41</f>
        <v>Guard</v>
      </c>
      <c r="B41" s="4" t="str">
        <f>'Human Grading'!B41</f>
        <v>[wc == 0]</v>
      </c>
      <c r="C41" s="4">
        <f>'Human Grading'!C41</f>
        <v>1</v>
      </c>
      <c r="D41" s="4">
        <f>'Human Grading'!C41</f>
        <v>1</v>
      </c>
      <c r="E41" s="30"/>
      <c r="F41" s="47" t="s">
        <v>139</v>
      </c>
      <c r="G41" s="11">
        <f t="shared" ref="G41:I41" si="58">SUM(G38:G40)</f>
        <v>1</v>
      </c>
      <c r="H41" s="11">
        <f t="shared" si="58"/>
        <v>0</v>
      </c>
      <c r="I41" s="11">
        <f t="shared" si="58"/>
        <v>8</v>
      </c>
      <c r="J41" s="11">
        <f>SUM(G38:I40)</f>
        <v>9</v>
      </c>
    </row>
    <row r="42" spans="1:24" ht="15.75" customHeight="1" x14ac:dyDescent="0.15">
      <c r="A42" s="4" t="str">
        <f>'Human Grading'!A42</f>
        <v>Guard</v>
      </c>
      <c r="B42" s="4" t="str">
        <f>'Human Grading'!B42</f>
        <v>[bc == 0]</v>
      </c>
      <c r="C42" s="4">
        <f>'Human Grading'!C42</f>
        <v>1</v>
      </c>
      <c r="D42" s="4">
        <f>'Human Grading'!C42</f>
        <v>1</v>
      </c>
      <c r="E42" s="30"/>
    </row>
    <row r="43" spans="1:24" ht="15.75" customHeight="1" x14ac:dyDescent="0.15">
      <c r="A43" s="4" t="str">
        <f>'Human Grading'!A43</f>
        <v>State</v>
      </c>
      <c r="B43" s="4" t="str">
        <f>'Human Grading'!B43</f>
        <v>GamePaused</v>
      </c>
      <c r="C43" s="4">
        <f>'Human Grading'!C43</f>
        <v>1</v>
      </c>
      <c r="D43" s="4">
        <f>'Human Grading'!C43</f>
        <v>1</v>
      </c>
      <c r="E43" s="30"/>
      <c r="F43" s="67" t="s">
        <v>150</v>
      </c>
      <c r="G43" s="68"/>
      <c r="H43" s="68"/>
      <c r="I43" s="68"/>
    </row>
    <row r="44" spans="1:24" ht="15.75" customHeight="1" x14ac:dyDescent="0.15">
      <c r="A44" s="4" t="str">
        <f>'Human Grading'!A44</f>
        <v>Transition</v>
      </c>
      <c r="B44" s="4" t="str">
        <f>'Human Grading'!B44</f>
        <v>game paused =&gt; game running</v>
      </c>
      <c r="C44" s="4">
        <f>'Human Grading'!C44</f>
        <v>1</v>
      </c>
      <c r="D44" s="4">
        <f>'Human Grading'!C44</f>
        <v>1</v>
      </c>
      <c r="E44" s="30"/>
      <c r="F44" s="11" t="s">
        <v>31</v>
      </c>
      <c r="G44" s="49" t="s">
        <v>127</v>
      </c>
      <c r="H44" s="49" t="s">
        <v>128</v>
      </c>
      <c r="I44" s="49" t="s">
        <v>129</v>
      </c>
      <c r="J44" s="50" t="s">
        <v>130</v>
      </c>
      <c r="K44" s="11"/>
      <c r="L44" s="11" t="s">
        <v>126</v>
      </c>
      <c r="M44" s="49" t="s">
        <v>127</v>
      </c>
      <c r="N44" s="49" t="s">
        <v>128</v>
      </c>
      <c r="O44" s="49" t="s">
        <v>129</v>
      </c>
      <c r="P44" s="11"/>
      <c r="Q44" s="11" t="s">
        <v>126</v>
      </c>
      <c r="R44" s="49" t="s">
        <v>127</v>
      </c>
      <c r="S44" s="49" t="s">
        <v>128</v>
      </c>
      <c r="T44" s="49" t="s">
        <v>129</v>
      </c>
      <c r="V44" s="36" t="str">
        <f>"Metrics" &amp; " " &amp; F44</f>
        <v>Metrics History State</v>
      </c>
      <c r="W44" s="36" t="s">
        <v>132</v>
      </c>
      <c r="X44" s="36" t="s">
        <v>133</v>
      </c>
    </row>
    <row r="45" spans="1:24" ht="15.75" customHeight="1" x14ac:dyDescent="0.15">
      <c r="A45" s="4" t="str">
        <f>'Human Grading'!A45</f>
        <v>State</v>
      </c>
      <c r="B45" s="4" t="str">
        <f>'Human Grading'!B45</f>
        <v>GameFinished</v>
      </c>
      <c r="C45" s="4">
        <f>'Human Grading'!C45</f>
        <v>0.5</v>
      </c>
      <c r="D45" s="4">
        <f>'Human Grading'!C45</f>
        <v>0.5</v>
      </c>
      <c r="E45" s="30"/>
      <c r="F45" s="37">
        <v>0</v>
      </c>
      <c r="G45" s="38">
        <f t="shared" ref="G45:H45" si="59">COUNTIFS($A$2:$A$90,$F$44,$C$2:$C$90,$F45,$D$2:$D$90,G$44)</f>
        <v>1</v>
      </c>
      <c r="H45" s="39">
        <f t="shared" si="59"/>
        <v>0</v>
      </c>
      <c r="I45" s="40">
        <f>COUNTIFS($A$2:$A$46,$F$44,$C$2:$C$46,$F45,$D$2:$D$46,I$44) + MAX(D53-C53,0)</f>
        <v>0</v>
      </c>
      <c r="J45" s="11">
        <f t="shared" ref="J45:J47" si="60">SUM(G45:I45)</f>
        <v>1</v>
      </c>
      <c r="K45" s="11"/>
      <c r="L45" s="37">
        <v>0</v>
      </c>
      <c r="M45" s="38">
        <f t="shared" ref="M45:O45" si="61">ABS(G$2-$F45)/1</f>
        <v>0</v>
      </c>
      <c r="N45" s="39">
        <f t="shared" si="61"/>
        <v>0.5</v>
      </c>
      <c r="O45" s="40">
        <f t="shared" si="61"/>
        <v>1</v>
      </c>
      <c r="P45" s="11"/>
      <c r="Q45" s="37">
        <v>0</v>
      </c>
      <c r="R45" s="38">
        <f t="shared" ref="R45:T45" si="62">($J45/$J$48) * (G$48/$J$48)</f>
        <v>0.25</v>
      </c>
      <c r="S45" s="39">
        <f t="shared" si="62"/>
        <v>0</v>
      </c>
      <c r="T45" s="40">
        <f t="shared" si="62"/>
        <v>0.25</v>
      </c>
      <c r="U45" s="11"/>
      <c r="V45" s="41" t="s">
        <v>155</v>
      </c>
      <c r="W45" s="38">
        <f>SUMPRODUCT(G45:I47, M45:O47) /$J$48</f>
        <v>0</v>
      </c>
      <c r="X45" s="40" t="s">
        <v>156</v>
      </c>
    </row>
    <row r="46" spans="1:24" ht="15.75" customHeight="1" x14ac:dyDescent="0.15">
      <c r="A46" s="4" t="str">
        <f>'Human Grading'!A46</f>
        <v>Transition</v>
      </c>
      <c r="B46" s="4" t="str">
        <f>'Human Grading'!B46</f>
        <v>on =&gt; off</v>
      </c>
      <c r="C46" s="4">
        <f>'Human Grading'!C46</f>
        <v>1</v>
      </c>
      <c r="D46" s="4">
        <f>'Human Grading'!C46</f>
        <v>1</v>
      </c>
      <c r="E46" s="30"/>
      <c r="F46" s="37">
        <v>0.5</v>
      </c>
      <c r="G46" s="42">
        <f t="shared" ref="G46:I46" si="63">COUNTIFS($A$2:$A$90,$F$44,$C$2:$C$90,$F46,$D$2:$D$90,G$44)</f>
        <v>0</v>
      </c>
      <c r="H46" s="11">
        <f t="shared" si="63"/>
        <v>0</v>
      </c>
      <c r="I46" s="43">
        <f t="shared" si="63"/>
        <v>0</v>
      </c>
      <c r="J46" s="11">
        <f t="shared" si="60"/>
        <v>0</v>
      </c>
      <c r="K46" s="11"/>
      <c r="L46" s="37">
        <v>0.5</v>
      </c>
      <c r="M46" s="42">
        <f t="shared" ref="M46:M47" si="64">ABS(G$2-$F46)/1</f>
        <v>0.5</v>
      </c>
      <c r="N46" s="11">
        <f>ABS(H$2-$F46)/3</f>
        <v>0</v>
      </c>
      <c r="O46" s="43">
        <f>ABS(I$2-$F46)/1</f>
        <v>0.5</v>
      </c>
      <c r="P46" s="11"/>
      <c r="Q46" s="37">
        <v>0.5</v>
      </c>
      <c r="R46" s="42">
        <f t="shared" ref="R46:T46" si="65">($J46/$J$48) * (G$48/$J$48)</f>
        <v>0</v>
      </c>
      <c r="S46" s="11">
        <f t="shared" si="65"/>
        <v>0</v>
      </c>
      <c r="T46" s="43">
        <f t="shared" si="65"/>
        <v>0</v>
      </c>
      <c r="U46" s="11"/>
      <c r="V46" s="41" t="s">
        <v>157</v>
      </c>
      <c r="W46" s="42">
        <f>SUMPRODUCT(R45:T47, M45:O47)</f>
        <v>0.5</v>
      </c>
      <c r="X46" s="43" t="s">
        <v>158</v>
      </c>
    </row>
    <row r="47" spans="1:24" ht="15.75" customHeight="1" x14ac:dyDescent="0.15">
      <c r="A47" s="51" t="str">
        <f>'Human Grading'!A47</f>
        <v>State</v>
      </c>
      <c r="B47" s="51" t="str">
        <f>'Human Grading'!B47</f>
        <v>additional elements</v>
      </c>
      <c r="C47" s="51">
        <f>'Human Grading'!C47</f>
        <v>0</v>
      </c>
      <c r="D47" s="51">
        <f>'Human Grading'!C47</f>
        <v>0</v>
      </c>
      <c r="E47" s="30"/>
      <c r="F47" s="37">
        <v>1</v>
      </c>
      <c r="G47" s="44">
        <f>COUNTIFS($A$2:$A$46,$F$44,$C$2:$C$46,$F47,$D$2:$D$46,G$44) + MAX(C53-D53,0)</f>
        <v>0</v>
      </c>
      <c r="H47" s="45">
        <f>COUNTIFS($A$2:$A$90,$F$44,$C$2:$C$90,$F47,$D$2:$D$90,H$44)</f>
        <v>0</v>
      </c>
      <c r="I47" s="46">
        <f>COUNTIFS($A$2:$A$46,$F$44,$C$2:$C$46,$F47,$D$2:$D$46,I$44) + MIN(C53,D53)</f>
        <v>1</v>
      </c>
      <c r="J47" s="11">
        <f t="shared" si="60"/>
        <v>1</v>
      </c>
      <c r="K47" s="11"/>
      <c r="L47" s="37">
        <v>1</v>
      </c>
      <c r="M47" s="44">
        <f t="shared" si="64"/>
        <v>1</v>
      </c>
      <c r="N47" s="45">
        <f t="shared" ref="N47:O47" si="66">ABS(H$2-$F47)/1</f>
        <v>0.5</v>
      </c>
      <c r="O47" s="46">
        <f t="shared" si="66"/>
        <v>0</v>
      </c>
      <c r="P47" s="11"/>
      <c r="Q47" s="37">
        <v>1</v>
      </c>
      <c r="R47" s="44">
        <f t="shared" ref="R47:T47" si="67">($J47/$J$48) * (G$48/$J$48)</f>
        <v>0.25</v>
      </c>
      <c r="S47" s="45">
        <f t="shared" si="67"/>
        <v>0</v>
      </c>
      <c r="T47" s="46">
        <f t="shared" si="67"/>
        <v>0.25</v>
      </c>
      <c r="U47" s="11"/>
      <c r="V47" s="41" t="s">
        <v>125</v>
      </c>
      <c r="W47" s="44">
        <f>1-W45/W46</f>
        <v>1</v>
      </c>
      <c r="X47" s="46" t="s">
        <v>159</v>
      </c>
    </row>
    <row r="48" spans="1:24" ht="15.75" customHeight="1" x14ac:dyDescent="0.15">
      <c r="A48" s="4" t="str">
        <f>'Human Grading'!A48</f>
        <v>Transition</v>
      </c>
      <c r="B48" s="4" t="str">
        <f>'Human Grading'!B48</f>
        <v>additional elements</v>
      </c>
      <c r="C48" s="4">
        <f>'Human Grading'!C48</f>
        <v>0</v>
      </c>
      <c r="D48" s="4">
        <f>'Human Grading'!C48</f>
        <v>0</v>
      </c>
      <c r="E48" s="30"/>
      <c r="F48" s="47" t="s">
        <v>139</v>
      </c>
      <c r="G48" s="11">
        <f t="shared" ref="G48:I48" si="68">SUM(G45:G47)</f>
        <v>1</v>
      </c>
      <c r="H48" s="11">
        <f t="shared" si="68"/>
        <v>0</v>
      </c>
      <c r="I48" s="11">
        <f t="shared" si="68"/>
        <v>1</v>
      </c>
      <c r="J48" s="11">
        <f>SUM(G45:I47)</f>
        <v>2</v>
      </c>
    </row>
    <row r="49" spans="1:24" ht="15.75" customHeight="1" x14ac:dyDescent="0.15">
      <c r="A49" s="4" t="str">
        <f>'Human Grading'!A49</f>
        <v>Guard</v>
      </c>
      <c r="B49" s="4" t="str">
        <f>'Human Grading'!B49</f>
        <v>additional elements</v>
      </c>
      <c r="C49" s="4">
        <f>'Human Grading'!C49</f>
        <v>0</v>
      </c>
      <c r="D49" s="4">
        <f>'Human Grading'!C49</f>
        <v>0</v>
      </c>
      <c r="E49" s="30"/>
    </row>
    <row r="50" spans="1:24" ht="15.75" customHeight="1" x14ac:dyDescent="0.15">
      <c r="A50" s="4" t="str">
        <f>'Human Grading'!A50</f>
        <v>Action</v>
      </c>
      <c r="B50" s="4" t="str">
        <f>'Human Grading'!B50</f>
        <v>additional elements</v>
      </c>
      <c r="C50" s="4">
        <f>'Human Grading'!C50</f>
        <v>0</v>
      </c>
      <c r="D50" s="4">
        <f>'Human Grading'!C50</f>
        <v>0</v>
      </c>
      <c r="E50" s="30"/>
      <c r="F50" s="67" t="s">
        <v>152</v>
      </c>
      <c r="G50" s="68"/>
      <c r="H50" s="68"/>
      <c r="I50" s="68"/>
    </row>
    <row r="51" spans="1:24" ht="15.75" customHeight="1" x14ac:dyDescent="0.15">
      <c r="A51" s="4" t="str">
        <f>'Human Grading'!A51</f>
        <v>Composite State</v>
      </c>
      <c r="B51" s="4" t="str">
        <f>'Human Grading'!B51</f>
        <v>additional elements</v>
      </c>
      <c r="C51" s="4">
        <f>'Human Grading'!C51</f>
        <v>0</v>
      </c>
      <c r="D51" s="4">
        <f>'Human Grading'!C51</f>
        <v>0</v>
      </c>
      <c r="E51" s="30"/>
      <c r="F51" s="11" t="s">
        <v>12</v>
      </c>
      <c r="G51" s="49" t="s">
        <v>127</v>
      </c>
      <c r="H51" s="49" t="s">
        <v>128</v>
      </c>
      <c r="I51" s="49" t="s">
        <v>129</v>
      </c>
      <c r="J51" s="50" t="s">
        <v>130</v>
      </c>
      <c r="K51" s="11"/>
      <c r="L51" s="11" t="s">
        <v>126</v>
      </c>
      <c r="M51" s="49" t="s">
        <v>127</v>
      </c>
      <c r="N51" s="49" t="s">
        <v>128</v>
      </c>
      <c r="O51" s="49" t="s">
        <v>129</v>
      </c>
      <c r="P51" s="11"/>
      <c r="Q51" s="11" t="s">
        <v>126</v>
      </c>
      <c r="R51" s="49" t="s">
        <v>127</v>
      </c>
      <c r="S51" s="49" t="s">
        <v>128</v>
      </c>
      <c r="T51" s="49" t="s">
        <v>129</v>
      </c>
      <c r="V51" s="36" t="str">
        <f>"Metrics" &amp; " " &amp; F51</f>
        <v>Metrics Region</v>
      </c>
      <c r="W51" s="36" t="s">
        <v>132</v>
      </c>
      <c r="X51" s="36" t="s">
        <v>133</v>
      </c>
    </row>
    <row r="52" spans="1:24" ht="15.75" customHeight="1" x14ac:dyDescent="0.15">
      <c r="A52" s="4" t="str">
        <f>'Human Grading'!A52</f>
        <v>Region</v>
      </c>
      <c r="B52" s="4" t="str">
        <f>'Human Grading'!B52</f>
        <v>additional elements</v>
      </c>
      <c r="C52" s="4">
        <f>'Human Grading'!C52</f>
        <v>0</v>
      </c>
      <c r="D52" s="4">
        <f>'Human Grading'!C52</f>
        <v>0</v>
      </c>
      <c r="E52" s="30"/>
      <c r="F52" s="37">
        <v>0</v>
      </c>
      <c r="G52" s="38">
        <f t="shared" ref="G52:H52" si="69">COUNTIFS($A$2:$A$90,$F$51,$C$2:$C$90,$F52,$D$2:$D$90,G$51)</f>
        <v>2</v>
      </c>
      <c r="H52" s="39">
        <f t="shared" si="69"/>
        <v>0</v>
      </c>
      <c r="I52" s="40">
        <f>COUNTIFS($A$2:$A$46,$F$51,$C$2:$C$46,$F52,$D$2:$D$46,I$51)+MAX(D52-C52,0)</f>
        <v>0</v>
      </c>
      <c r="J52" s="11">
        <f t="shared" ref="J52:J54" si="70">SUM(G52:I52)</f>
        <v>2</v>
      </c>
      <c r="K52" s="11"/>
      <c r="L52" s="37">
        <v>0</v>
      </c>
      <c r="M52" s="38">
        <f t="shared" ref="M52:O52" si="71">ABS(G$2-$F52)/1</f>
        <v>0</v>
      </c>
      <c r="N52" s="39">
        <f t="shared" si="71"/>
        <v>0.5</v>
      </c>
      <c r="O52" s="40">
        <f t="shared" si="71"/>
        <v>1</v>
      </c>
      <c r="P52" s="11"/>
      <c r="Q52" s="37">
        <v>0</v>
      </c>
      <c r="R52" s="38">
        <f t="shared" ref="R52:T52" si="72">($J52/$J$55) * (G$55/$J$55)</f>
        <v>0.44444444444444442</v>
      </c>
      <c r="S52" s="39">
        <f t="shared" si="72"/>
        <v>0</v>
      </c>
      <c r="T52" s="40">
        <f t="shared" si="72"/>
        <v>0.22222222222222221</v>
      </c>
      <c r="U52" s="11"/>
      <c r="V52" s="41" t="s">
        <v>155</v>
      </c>
      <c r="W52" s="38">
        <f>SUMPRODUCT(G52:I54, M52:O54) /$J$55</f>
        <v>0</v>
      </c>
      <c r="X52" s="40" t="s">
        <v>156</v>
      </c>
    </row>
    <row r="53" spans="1:24" ht="15.75" customHeight="1" x14ac:dyDescent="0.15">
      <c r="A53" s="4" t="str">
        <f>'Human Grading'!A53</f>
        <v>History State</v>
      </c>
      <c r="B53" s="4" t="str">
        <f>'Human Grading'!B53</f>
        <v>additional elements</v>
      </c>
      <c r="C53" s="4">
        <f>'Human Grading'!C53</f>
        <v>0</v>
      </c>
      <c r="D53" s="4">
        <f>'Human Grading'!C53</f>
        <v>0</v>
      </c>
      <c r="E53" s="30"/>
      <c r="F53" s="37">
        <v>0.5</v>
      </c>
      <c r="G53" s="42">
        <f t="shared" ref="G53:I53" si="73">COUNTIFS($A$2:$A$90,$F$51,$C$2:$C$90,$F53,$D$2:$D$90,G$51)</f>
        <v>0</v>
      </c>
      <c r="H53" s="11">
        <f t="shared" si="73"/>
        <v>0</v>
      </c>
      <c r="I53" s="43">
        <f t="shared" si="73"/>
        <v>0</v>
      </c>
      <c r="J53" s="11">
        <f t="shared" si="70"/>
        <v>0</v>
      </c>
      <c r="K53" s="11"/>
      <c r="L53" s="37">
        <v>0.5</v>
      </c>
      <c r="M53" s="42">
        <f t="shared" ref="M53:M54" si="74">ABS(G$2-$F53)/1</f>
        <v>0.5</v>
      </c>
      <c r="N53" s="11">
        <f>ABS(H$2-$F53)/3</f>
        <v>0</v>
      </c>
      <c r="O53" s="43">
        <f>ABS(I$2-$F53)/1</f>
        <v>0.5</v>
      </c>
      <c r="P53" s="11"/>
      <c r="Q53" s="37">
        <v>0.5</v>
      </c>
      <c r="R53" s="42">
        <f t="shared" ref="R53:T53" si="75">($J53/$J$55) * (G$55/$J$55)</f>
        <v>0</v>
      </c>
      <c r="S53" s="11">
        <f t="shared" si="75"/>
        <v>0</v>
      </c>
      <c r="T53" s="43">
        <f t="shared" si="75"/>
        <v>0</v>
      </c>
      <c r="U53" s="11"/>
      <c r="V53" s="41" t="s">
        <v>157</v>
      </c>
      <c r="W53" s="42">
        <f>SUMPRODUCT(R52:T54, M52:O54)</f>
        <v>0.44444444444444442</v>
      </c>
      <c r="X53" s="43" t="s">
        <v>158</v>
      </c>
    </row>
    <row r="54" spans="1:24" ht="15.75" customHeight="1" x14ac:dyDescent="0.15">
      <c r="A54" s="31"/>
      <c r="B54" s="52"/>
      <c r="C54" s="30"/>
      <c r="D54" s="30"/>
      <c r="E54" s="30"/>
      <c r="F54" s="37">
        <v>1</v>
      </c>
      <c r="G54" s="44">
        <f>COUNTIFS($A$2:$A$46,$F$51,$C$2:$C$46,$F54,$D$2:$D$46,G$51) + MAX(C52-D52,0)</f>
        <v>0</v>
      </c>
      <c r="H54" s="45">
        <f>COUNTIFS($A$2:$A$90,$F$51,$C$2:$C$90,$F54,$D$2:$D$90,H$51)</f>
        <v>0</v>
      </c>
      <c r="I54" s="46">
        <f>COUNTIFS($A$2:$A$46,$F$51,$C$2:$C$46,$F54,$D$2:$D$46,I$51)+MIN(C52,D52)</f>
        <v>1</v>
      </c>
      <c r="J54" s="11">
        <f t="shared" si="70"/>
        <v>1</v>
      </c>
      <c r="K54" s="11"/>
      <c r="L54" s="37">
        <v>1</v>
      </c>
      <c r="M54" s="44">
        <f t="shared" si="74"/>
        <v>1</v>
      </c>
      <c r="N54" s="45">
        <f t="shared" ref="N54:O54" si="76">ABS(H$2-$F54)/1</f>
        <v>0.5</v>
      </c>
      <c r="O54" s="46">
        <f t="shared" si="76"/>
        <v>0</v>
      </c>
      <c r="P54" s="11"/>
      <c r="Q54" s="37">
        <v>1</v>
      </c>
      <c r="R54" s="44">
        <f t="shared" ref="R54:T54" si="77">($J54/$J$55) * (G$55/$J$55)</f>
        <v>0.22222222222222221</v>
      </c>
      <c r="S54" s="45">
        <f t="shared" si="77"/>
        <v>0</v>
      </c>
      <c r="T54" s="46">
        <f t="shared" si="77"/>
        <v>0.1111111111111111</v>
      </c>
      <c r="U54" s="11"/>
      <c r="V54" s="41" t="s">
        <v>125</v>
      </c>
      <c r="W54" s="44">
        <f>1-W52/W53</f>
        <v>1</v>
      </c>
      <c r="X54" s="46" t="s">
        <v>159</v>
      </c>
    </row>
    <row r="55" spans="1:24" ht="15.75" customHeight="1" x14ac:dyDescent="0.15">
      <c r="A55" s="31"/>
      <c r="B55" s="52"/>
      <c r="C55" s="30"/>
      <c r="D55" s="30"/>
      <c r="E55" s="30"/>
      <c r="F55" s="47" t="s">
        <v>139</v>
      </c>
      <c r="G55" s="11">
        <f t="shared" ref="G55:I55" si="78">SUM(G52:G54)</f>
        <v>2</v>
      </c>
      <c r="H55" s="11">
        <f t="shared" si="78"/>
        <v>0</v>
      </c>
      <c r="I55" s="11">
        <f t="shared" si="78"/>
        <v>1</v>
      </c>
      <c r="J55" s="11">
        <f>SUM(G52:I54)</f>
        <v>3</v>
      </c>
      <c r="L55" s="11"/>
      <c r="M55" s="48"/>
    </row>
    <row r="56" spans="1:24" ht="15.75" customHeight="1" x14ac:dyDescent="0.15">
      <c r="A56" s="31"/>
      <c r="B56" s="52"/>
      <c r="C56" s="30"/>
      <c r="D56" s="30"/>
      <c r="E56" s="30"/>
    </row>
    <row r="57" spans="1:24" ht="15.75" customHeight="1" x14ac:dyDescent="0.15">
      <c r="A57" s="31"/>
      <c r="B57" s="52"/>
      <c r="C57" s="30"/>
      <c r="D57" s="30"/>
      <c r="E57" s="30"/>
    </row>
    <row r="58" spans="1:24" ht="15.75" customHeight="1" x14ac:dyDescent="0.15">
      <c r="A58" s="31"/>
      <c r="B58" s="52"/>
      <c r="C58" s="30"/>
      <c r="D58" s="30"/>
      <c r="E58" s="30"/>
    </row>
    <row r="59" spans="1:24" ht="15.75" customHeight="1" x14ac:dyDescent="0.15">
      <c r="A59" s="31"/>
      <c r="B59" s="52"/>
      <c r="C59" s="30"/>
      <c r="D59" s="30"/>
      <c r="E59" s="30"/>
    </row>
    <row r="60" spans="1:24" ht="15.75" customHeight="1" x14ac:dyDescent="0.15">
      <c r="A60" s="31"/>
      <c r="B60" s="52"/>
      <c r="C60" s="30"/>
      <c r="D60" s="30"/>
      <c r="E60" s="30"/>
    </row>
    <row r="61" spans="1:24" ht="15.75" customHeight="1" x14ac:dyDescent="0.15">
      <c r="A61" s="31"/>
      <c r="B61" s="52"/>
      <c r="C61" s="30"/>
      <c r="D61" s="30"/>
      <c r="E61" s="30"/>
    </row>
    <row r="62" spans="1:24" ht="15.75" customHeight="1" x14ac:dyDescent="0.15">
      <c r="A62" s="31"/>
      <c r="B62" s="52"/>
      <c r="C62" s="30"/>
      <c r="D62" s="30"/>
      <c r="E62" s="30"/>
    </row>
    <row r="63" spans="1:24" ht="15.75" customHeight="1" x14ac:dyDescent="0.15">
      <c r="A63" s="31"/>
      <c r="B63" s="52"/>
      <c r="C63" s="30"/>
      <c r="D63" s="30"/>
      <c r="E63" s="30"/>
    </row>
    <row r="64" spans="1:24" ht="15.75" customHeight="1" x14ac:dyDescent="0.15">
      <c r="A64" s="31"/>
      <c r="B64" s="52"/>
      <c r="C64" s="30"/>
      <c r="D64" s="30"/>
      <c r="E64" s="30"/>
    </row>
    <row r="65" spans="1:5" ht="15.75" customHeight="1" x14ac:dyDescent="0.15">
      <c r="A65" s="31"/>
      <c r="B65" s="52"/>
      <c r="C65" s="30"/>
      <c r="D65" s="30"/>
      <c r="E65" s="30"/>
    </row>
    <row r="66" spans="1:5" ht="15.75" customHeight="1" x14ac:dyDescent="0.15">
      <c r="A66" s="31"/>
      <c r="B66" s="52"/>
      <c r="C66" s="30"/>
      <c r="D66" s="30"/>
      <c r="E66" s="30"/>
    </row>
    <row r="67" spans="1:5" ht="15.75" customHeight="1" x14ac:dyDescent="0.15">
      <c r="A67" s="31"/>
      <c r="B67" s="52"/>
      <c r="C67" s="30"/>
      <c r="D67" s="30"/>
      <c r="E67" s="30"/>
    </row>
    <row r="68" spans="1:5" ht="15.75" customHeight="1" x14ac:dyDescent="0.15">
      <c r="A68" s="31"/>
      <c r="B68" s="52"/>
      <c r="C68" s="30"/>
      <c r="D68" s="30"/>
      <c r="E68" s="30"/>
    </row>
    <row r="69" spans="1:5" ht="15.75" customHeight="1" x14ac:dyDescent="0.15">
      <c r="A69" s="31"/>
      <c r="B69" s="52"/>
      <c r="C69" s="30"/>
      <c r="D69" s="30"/>
      <c r="E69" s="30"/>
    </row>
    <row r="70" spans="1:5" ht="15.75" customHeight="1" x14ac:dyDescent="0.15">
      <c r="A70" s="31"/>
      <c r="B70" s="52"/>
      <c r="C70" s="30"/>
      <c r="D70" s="30"/>
      <c r="E70" s="30"/>
    </row>
    <row r="71" spans="1:5" ht="15.75" customHeight="1" x14ac:dyDescent="0.15">
      <c r="B71" s="52"/>
      <c r="D71" s="30"/>
      <c r="E71" s="30"/>
    </row>
    <row r="72" spans="1:5" ht="15.75" customHeight="1" x14ac:dyDescent="0.15">
      <c r="B72" s="52"/>
      <c r="D72" s="30"/>
    </row>
    <row r="73" spans="1:5" ht="15.75" customHeight="1" x14ac:dyDescent="0.15">
      <c r="D73" s="30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Chess Clock</vt:lpstr>
      <vt:lpstr>Human 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2026-05-14T22:09:47Z</dcterms:modified>
</cp:coreProperties>
</file>