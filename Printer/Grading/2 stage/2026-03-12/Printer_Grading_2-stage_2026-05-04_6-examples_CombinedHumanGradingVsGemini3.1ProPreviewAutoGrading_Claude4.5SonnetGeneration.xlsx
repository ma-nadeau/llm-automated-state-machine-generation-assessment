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inter" sheetId="1" r:id="rId4"/>
    <sheet state="visible" name="CombinedHumanGrading" sheetId="2" r:id="rId5"/>
    <sheet state="visible" name="Gemini 3.1 Pro Preview Grading" sheetId="3" r:id="rId6"/>
    <sheet state="visible" name="Metrics" sheetId="4" r:id="rId7"/>
    <sheet state="visible" name="Inter-rater" sheetId="5" r:id="rId8"/>
    <sheet state="visible" name="Weighted Cohens Kappa" sheetId="6" r:id="rId9"/>
  </sheets>
  <definedNames/>
  <calcPr/>
  <extLst>
    <ext uri="GoogleSheetsCustomDataVersion2">
      <go:sheetsCustomData xmlns:go="http://customooxmlschemas.google.com/" r:id="rId10" roundtripDataChecksum="vcHcXjH8MF4HF7VjdwbAZWKJSaz1RR7/zRGHGhzYg4E="/>
    </ext>
  </extLst>
</workbook>
</file>

<file path=xl/sharedStrings.xml><?xml version="1.0" encoding="utf-8"?>
<sst xmlns="http://schemas.openxmlformats.org/spreadsheetml/2006/main" count="686" uniqueCount="146">
  <si>
    <t>Type</t>
  </si>
  <si>
    <t>Element</t>
  </si>
  <si>
    <t>State</t>
  </si>
  <si>
    <t>initial state (Off)</t>
  </si>
  <si>
    <t>Off</t>
  </si>
  <si>
    <t>Transition</t>
  </si>
  <si>
    <t>on (Off =&gt; On)</t>
  </si>
  <si>
    <t>Composite State</t>
  </si>
  <si>
    <t>On</t>
  </si>
  <si>
    <t>off (On =&gt; Off)</t>
  </si>
  <si>
    <t>initial state (Idle)</t>
  </si>
  <si>
    <t>Idle</t>
  </si>
  <si>
    <t>login(cardID) (Idle =&gt; Idle)</t>
  </si>
  <si>
    <t>Guard</t>
  </si>
  <si>
    <t>[!idAuthorized(cardID)]</t>
  </si>
  <si>
    <t>login(cardID) (Idle =&gt; Ready)</t>
  </si>
  <si>
    <t>[idAuthorized(cardID)]</t>
  </si>
  <si>
    <t>Action</t>
  </si>
  <si>
    <t>action="none"</t>
  </si>
  <si>
    <t>Ready</t>
  </si>
  <si>
    <t>logoff (Ready =&gt; Idle)</t>
  </si>
  <si>
    <t>start (Ready =&gt; Ready)</t>
  </si>
  <si>
    <t>[action=="scan" &amp; !originalLoaded()]</t>
  </si>
  <si>
    <t>[action=="print" &amp; !documentInQueue()]</t>
  </si>
  <si>
    <t>scan (Ready =&gt; Ready)</t>
  </si>
  <si>
    <t>action = "scan"</t>
  </si>
  <si>
    <t>print (Ready =&gt; Ready)</t>
  </si>
  <si>
    <t>action="print"</t>
  </si>
  <si>
    <t>start (Ready =&gt; Scan &amp; Email)</t>
  </si>
  <si>
    <t>[action=="scan" &amp;&amp; originalLoaded()]</t>
  </si>
  <si>
    <t>Busy</t>
  </si>
  <si>
    <t>stop (Busy =&gt; Ready)</t>
  </si>
  <si>
    <t>done (Busy =&gt; Ready)</t>
  </si>
  <si>
    <t>jam (Busy =&gt; Suspended)</t>
  </si>
  <si>
    <t>History State</t>
  </si>
  <si>
    <t>for Busy</t>
  </si>
  <si>
    <t>Print</t>
  </si>
  <si>
    <t>start (Ready =&gt; Print)</t>
  </si>
  <si>
    <t>[action="print" &amp;&amp; documentInQueue()]</t>
  </si>
  <si>
    <t>outOfPaper (Print =&gt; Suspended)</t>
  </si>
  <si>
    <t>Scan &amp; Email</t>
  </si>
  <si>
    <t>Suspended</t>
  </si>
  <si>
    <t>resume (Suspended =&gt; History State for Busy)</t>
  </si>
  <si>
    <t>cancel (Suspended =&gt; Ready)</t>
  </si>
  <si>
    <t>additional elements</t>
  </si>
  <si>
    <t>Region</t>
  </si>
  <si>
    <t>CombinedHumanGrading</t>
  </si>
  <si>
    <t>Notes</t>
  </si>
  <si>
    <t>Gemini 3.1 Pro Preview Grading</t>
  </si>
  <si>
    <t>Initial state to Off is present</t>
  </si>
  <si>
    <t>Off state is present</t>
  </si>
  <si>
    <t>Transition from Off to On is present</t>
  </si>
  <si>
    <t>On is modeled as a composite state</t>
  </si>
  <si>
    <t>Transition from On to Off is present</t>
  </si>
  <si>
    <t>Initial state inside On is present</t>
  </si>
  <si>
    <t>WaitingForLogin represents the Idle state</t>
  </si>
  <si>
    <t>Self-transition on WaitingForLogin for unauthorized card tap is present</t>
  </si>
  <si>
    <t>Guard for unauthorized card is present</t>
  </si>
  <si>
    <t>Transition to LoggedIn on authorized card tap is present</t>
  </si>
  <si>
    <t>Guard for authorized card is present</t>
  </si>
  <si>
    <t>No action to reset or set action type upon login</t>
  </si>
  <si>
    <t>LoggedIn represents the Ready state</t>
  </si>
  <si>
    <t>Logoff transition is present</t>
  </si>
  <si>
    <t>Self-transition for scan error is present</t>
  </si>
  <si>
    <t>Guard for missing document on scan is present</t>
  </si>
  <si>
    <t>Self-transition for print error is present</t>
  </si>
  <si>
    <t>Guard for empty queue on print is present</t>
  </si>
  <si>
    <t>No separate transition to select scan action</t>
  </si>
  <si>
    <t>No action variable used for scan</t>
  </si>
  <si>
    <t>No separate transition to select print action</t>
  </si>
  <si>
    <t>No action variable used for print</t>
  </si>
  <si>
    <t>Transition to scanning process is present</t>
  </si>
  <si>
    <t>Guard for document detected is present</t>
  </si>
  <si>
    <t>Busy state is represented by two separate composite states for printing and scanning</t>
  </si>
  <si>
    <t>Stop transitions from both processes to LoggedIn are present</t>
  </si>
  <si>
    <t>Done transitions to LoggedIn are present</t>
  </si>
  <si>
    <t>Jam transitions to suspended states are present</t>
  </si>
  <si>
    <t>No history state used for resuming</t>
  </si>
  <si>
    <t>Printing state is present</t>
  </si>
  <si>
    <t>Transition to printing process is present</t>
  </si>
  <si>
    <t>Guard for non-empty queue is present</t>
  </si>
  <si>
    <t>Out of paper transition to suspended state is present</t>
  </si>
  <si>
    <t>Scanning state is present</t>
  </si>
  <si>
    <t>Suspended state is represented by multiple specific suspended states</t>
  </si>
  <si>
    <t>Resume transitions go directly to specific states which is semantically equivalent</t>
  </si>
  <si>
    <t>Cancel transitions from suspended states to LoggedIn are present</t>
  </si>
  <si>
    <t>Additional states are reasonable modeling choices</t>
  </si>
  <si>
    <t>No fundamentally incorrect additional transitions</t>
  </si>
  <si>
    <t>No fundamentally incorrect additional guards</t>
  </si>
  <si>
    <t>Additional actions are reasonable modeling choices</t>
  </si>
  <si>
    <t>Additional composite states are reasonable modeling choices</t>
  </si>
  <si>
    <t>No additional regions</t>
  </si>
  <si>
    <t>No additional history states</t>
  </si>
  <si>
    <t>Claude Grader Human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</si>
  <si>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</si>
  <si>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</si>
  <si>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</si>
  <si>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</si>
  <si>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</si>
  <si>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</si>
  <si>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</si>
  <si>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</si>
  <si>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May 6th, 2026</t>
  </si>
  <si>
    <t>Generation LLM</t>
  </si>
  <si>
    <t>Claude 4.5 Sonnet</t>
  </si>
  <si>
    <t>Grading LLMs</t>
  </si>
  <si>
    <t>Gemini 3.1 Pro Preview</t>
  </si>
  <si>
    <t>Overall Score</t>
  </si>
  <si>
    <t>Graded by Gemini 3.1 Pro Preview</t>
  </si>
  <si>
    <t>Composite state</t>
  </si>
  <si>
    <t>Confusion Matrix</t>
  </si>
  <si>
    <t>Cohen's Kappa</t>
  </si>
  <si>
    <t>Global</t>
  </si>
  <si>
    <t>0</t>
  </si>
  <si>
    <t>0.5</t>
  </si>
  <si>
    <t>1</t>
  </si>
  <si>
    <t>Row Totals</t>
  </si>
  <si>
    <t>Metric</t>
  </si>
  <si>
    <t>Value</t>
  </si>
  <si>
    <t>Note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</si>
  <si>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</si>
  <si>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</si>
  <si>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</si>
  <si>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</si>
  <si>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</si>
  <si>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Column Totals</t>
  </si>
  <si>
    <t>Confusion Matrix (State)</t>
  </si>
  <si>
    <t>Cohen's Kappa (State)</t>
  </si>
  <si>
    <t>Confusion Matrix (Transition)</t>
  </si>
  <si>
    <t>Cohen's Kappa (Transition)</t>
  </si>
  <si>
    <t>Confusion Matrix (Composite State)</t>
  </si>
  <si>
    <t>Cohen's Kappa (Composite State)</t>
  </si>
  <si>
    <t>Confusion Matrix (Guard)</t>
  </si>
  <si>
    <t>Cohen's Kappa (Guard)</t>
  </si>
  <si>
    <t>Confusion Matrix (Action)</t>
  </si>
  <si>
    <t>Cohen's Kappa (Action)</t>
  </si>
  <si>
    <t>Confusion Matrix (History State)</t>
  </si>
  <si>
    <t xml:space="preserve">Cohen's Kappa (History State)		</t>
  </si>
  <si>
    <t>Confusion Matrix (Region)</t>
  </si>
  <si>
    <t>Cohen's Kappa (Region)</t>
  </si>
  <si>
    <t>Weight Matrix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</si>
  <si>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</si>
  <si>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</si>
  <si>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</si>
  <si>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</si>
  <si>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1 - (D_obs / D_exp)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</si>
</sst>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10.0"/>
      <color rgb="FF000000"/>
      <name val="Arial"/>
    </font>
    <font>
      <sz val="10.0"/>
      <color rgb="FF000000"/>
      <name val="Arial"/>
    </font>
    <font>
      <sz val="10.0"/>
      <color theme="1"/>
      <name val="Arial"/>
    </font>
    <font/>
    <font>
      <b/>
      <sz val="10.0"/>
      <color theme="1"/>
      <name val="Open Sans"/>
    </font>
    <font>
      <color theme="1"/>
      <name val="Arial"/>
    </font>
    <font>
      <color theme="1"/>
      <name val="Arial"/>
      <scheme val="minor"/>
    </font>
    <font>
      <b/>
      <sz val="10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BBC04"/>
        <bgColor rgb="FFFBBC04"/>
      </patternFill>
    </fill>
    <fill>
      <patternFill patternType="solid">
        <fgColor rgb="FFD8D8D8"/>
        <bgColor rgb="FFD8D8D8"/>
      </patternFill>
    </fill>
  </fills>
  <borders count="25">
    <border/>
    <border>
      <top style="thin">
        <color rgb="FF000000"/>
      </top>
    </border>
    <border>
      <left/>
      <right/>
      <top/>
      <bottom/>
    </border>
    <border>
      <left/>
      <right/>
      <top style="thin">
        <color rgb="FF000000"/>
      </top>
      <bottom/>
    </border>
    <border>
      <left/>
      <top/>
      <bottom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double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/>
      <right style="thin">
        <color rgb="FF000000"/>
      </right>
      <top/>
      <bottom/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  <border>
      <left/>
      <right/>
      <top/>
      <bottom style="thin">
        <color rgb="FF000000"/>
      </bottom>
    </border>
    <border>
      <left/>
      <right/>
      <bottom/>
    </border>
  </borders>
  <cellStyleXfs count="1">
    <xf borderId="0" fillId="0" fontId="0" numFmtId="0" applyAlignment="1" applyFont="1"/>
  </cellStyleXfs>
  <cellXfs count="9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top"/>
    </xf>
    <xf borderId="0" fillId="0" fontId="2" numFmtId="0" xfId="0" applyAlignment="1" applyFont="1">
      <alignment horizontal="center" vertical="center"/>
    </xf>
    <xf borderId="0" fillId="0" fontId="2" numFmtId="0" xfId="0" applyFont="1"/>
    <xf borderId="0" fillId="0" fontId="1" numFmtId="0" xfId="0" applyAlignment="1" applyFont="1">
      <alignment horizontal="center" vertical="center"/>
    </xf>
    <xf borderId="0" fillId="0" fontId="3" numFmtId="0" xfId="0" applyFont="1"/>
    <xf borderId="1" fillId="0" fontId="1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top"/>
    </xf>
    <xf borderId="0" fillId="0" fontId="2" numFmtId="0" xfId="0" applyAlignment="1" applyFont="1">
      <alignment horizontal="center" vertical="center"/>
    </xf>
    <xf borderId="2" fillId="2" fontId="3" numFmtId="0" xfId="0" applyBorder="1" applyFill="1" applyFont="1"/>
    <xf borderId="2" fillId="3" fontId="3" numFmtId="0" xfId="0" applyAlignment="1" applyBorder="1" applyFill="1" applyFont="1">
      <alignment horizontal="center"/>
    </xf>
    <xf borderId="2" fillId="3" fontId="3" numFmtId="0" xfId="0" applyBorder="1" applyFont="1"/>
    <xf borderId="2" fillId="4" fontId="3" numFmtId="0" xfId="0" applyAlignment="1" applyBorder="1" applyFill="1" applyFont="1">
      <alignment horizontal="center"/>
    </xf>
    <xf borderId="2" fillId="4" fontId="3" numFmtId="0" xfId="0" applyBorder="1" applyFont="1"/>
    <xf borderId="3" fillId="4" fontId="3" numFmtId="0" xfId="0" applyAlignment="1" applyBorder="1" applyFont="1">
      <alignment horizontal="center"/>
    </xf>
    <xf borderId="3" fillId="4" fontId="3" numFmtId="0" xfId="0" applyBorder="1" applyFont="1"/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2" fillId="3" fontId="3" numFmtId="0" xfId="0" applyAlignment="1" applyBorder="1" applyFont="1">
      <alignment horizontal="center" readingOrder="0"/>
    </xf>
    <xf borderId="2" fillId="3" fontId="3" numFmtId="0" xfId="0" applyAlignment="1" applyBorder="1" applyFont="1">
      <alignment readingOrder="0"/>
    </xf>
    <xf borderId="2" fillId="4" fontId="3" numFmtId="0" xfId="0" applyAlignment="1" applyBorder="1" applyFont="1">
      <alignment horizontal="center" readingOrder="0"/>
    </xf>
    <xf borderId="2" fillId="4" fontId="3" numFmtId="0" xfId="0" applyAlignment="1" applyBorder="1" applyFont="1">
      <alignment readingOrder="0"/>
    </xf>
    <xf borderId="1" fillId="0" fontId="1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3" fillId="4" fontId="3" numFmtId="0" xfId="0" applyAlignment="1" applyBorder="1" applyFont="1">
      <alignment horizontal="center" readingOrder="0"/>
    </xf>
    <xf borderId="3" fillId="4" fontId="3" numFmtId="0" xfId="0" applyAlignment="1" applyBorder="1" applyFont="1">
      <alignment readingOrder="0"/>
    </xf>
    <xf borderId="4" fillId="5" fontId="1" numFmtId="0" xfId="0" applyAlignment="1" applyBorder="1" applyFill="1" applyFont="1">
      <alignment horizontal="center"/>
    </xf>
    <xf borderId="5" fillId="0" fontId="4" numFmtId="0" xfId="0" applyBorder="1" applyFont="1"/>
    <xf borderId="0" fillId="0" fontId="2" numFmtId="0" xfId="0" applyFont="1"/>
    <xf borderId="6" fillId="5" fontId="1" numFmtId="0" xfId="0" applyAlignment="1" applyBorder="1" applyFont="1">
      <alignment horizontal="center"/>
    </xf>
    <xf borderId="0" fillId="0" fontId="3" numFmtId="0" xfId="0" applyAlignment="1" applyFont="1">
      <alignment readingOrder="0"/>
    </xf>
    <xf borderId="6" fillId="6" fontId="5" numFmtId="0" xfId="0" applyAlignment="1" applyBorder="1" applyFill="1" applyFont="1">
      <alignment shrinkToFit="0" vertical="center" wrapText="1"/>
    </xf>
    <xf borderId="6" fillId="0" fontId="6" numFmtId="0" xfId="0" applyAlignment="1" applyBorder="1" applyFont="1">
      <alignment horizontal="right" vertical="bottom"/>
    </xf>
    <xf borderId="6" fillId="0" fontId="2" numFmtId="0" xfId="0" applyBorder="1" applyFont="1"/>
    <xf borderId="6" fillId="0" fontId="1" numFmtId="0" xfId="0" applyBorder="1" applyFont="1"/>
    <xf borderId="0" fillId="7" fontId="6" numFmtId="0" xfId="0" applyAlignment="1" applyFill="1" applyFont="1">
      <alignment vertical="bottom"/>
    </xf>
    <xf borderId="0" fillId="3" fontId="6" numFmtId="0" xfId="0" applyAlignment="1" applyFont="1">
      <alignment vertical="bottom"/>
    </xf>
    <xf borderId="0" fillId="0" fontId="7" numFmtId="0" xfId="0" applyFont="1"/>
    <xf borderId="1" fillId="0" fontId="2" numFmtId="0" xfId="0" applyBorder="1" applyFont="1"/>
    <xf borderId="0" fillId="0" fontId="1" numFmtId="0" xfId="0" applyAlignment="1" applyFont="1">
      <alignment horizontal="center"/>
    </xf>
    <xf borderId="7" fillId="0" fontId="1" numFmtId="0" xfId="0" applyAlignment="1" applyBorder="1" applyFont="1">
      <alignment horizontal="center"/>
    </xf>
    <xf borderId="7" fillId="0" fontId="4" numFmtId="0" xfId="0" applyBorder="1" applyFont="1"/>
    <xf borderId="0" fillId="0" fontId="1" numFmtId="0" xfId="0" applyAlignment="1" applyFont="1">
      <alignment horizontal="center"/>
    </xf>
    <xf borderId="0" fillId="0" fontId="2" numFmtId="0" xfId="0" applyAlignment="1" applyFont="1">
      <alignment horizontal="left"/>
    </xf>
    <xf borderId="8" fillId="8" fontId="2" numFmtId="0" xfId="0" applyAlignment="1" applyBorder="1" applyFill="1" applyFont="1">
      <alignment horizontal="center" vertical="center"/>
    </xf>
    <xf borderId="9" fillId="8" fontId="2" numFmtId="0" xfId="0" applyAlignment="1" applyBorder="1" applyFont="1">
      <alignment horizontal="center" vertical="center"/>
    </xf>
    <xf borderId="10" fillId="8" fontId="2" numFmtId="0" xfId="0" applyAlignment="1" applyBorder="1" applyFont="1">
      <alignment horizontal="center" vertical="center"/>
    </xf>
    <xf borderId="11" fillId="8" fontId="2" numFmtId="0" xfId="0" applyAlignment="1" applyBorder="1" applyFont="1">
      <alignment horizontal="center" vertical="center"/>
    </xf>
    <xf borderId="2" fillId="8" fontId="8" numFmtId="0" xfId="0" applyAlignment="1" applyBorder="1" applyFont="1">
      <alignment horizontal="center" vertical="center"/>
    </xf>
    <xf borderId="12" fillId="8" fontId="2" numFmtId="0" xfId="0" applyAlignment="1" applyBorder="1" applyFont="1">
      <alignment horizontal="center" vertical="center"/>
    </xf>
    <xf borderId="13" fillId="0" fontId="2" numFmtId="0" xfId="0" applyAlignment="1" applyBorder="1" applyFont="1">
      <alignment horizontal="center" vertical="center"/>
    </xf>
    <xf borderId="14" fillId="0" fontId="2" numFmtId="0" xfId="0" applyAlignment="1" applyBorder="1" applyFont="1">
      <alignment horizontal="center" vertical="center"/>
    </xf>
    <xf borderId="15" fillId="0" fontId="2" numFmtId="0" xfId="0" applyAlignment="1" applyBorder="1" applyFont="1">
      <alignment horizontal="center" vertical="center"/>
    </xf>
    <xf borderId="2" fillId="8" fontId="1" numFmtId="0" xfId="0" applyAlignment="1" applyBorder="1" applyFont="1">
      <alignment horizontal="center" vertical="center"/>
    </xf>
    <xf borderId="16" fillId="0" fontId="2" numFmtId="0" xfId="0" applyAlignment="1" applyBorder="1" applyFont="1">
      <alignment horizontal="center" vertical="center"/>
    </xf>
    <xf borderId="17" fillId="0" fontId="2" numFmtId="0" xfId="0" applyAlignment="1" applyBorder="1" applyFont="1">
      <alignment horizontal="center" vertical="center"/>
    </xf>
    <xf borderId="18" fillId="0" fontId="2" numFmtId="0" xfId="0" applyAlignment="1" applyBorder="1" applyFont="1">
      <alignment horizontal="center" vertical="center"/>
    </xf>
    <xf borderId="19" fillId="0" fontId="2" numFmtId="0" xfId="0" applyAlignment="1" applyBorder="1" applyFont="1">
      <alignment horizontal="center" vertical="center"/>
    </xf>
    <xf borderId="20" fillId="0" fontId="2" numFmtId="0" xfId="0" applyAlignment="1" applyBorder="1" applyFont="1">
      <alignment horizontal="center" vertical="center"/>
    </xf>
    <xf borderId="2" fillId="8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center"/>
    </xf>
    <xf borderId="21" fillId="8" fontId="2" numFmtId="0" xfId="0" applyAlignment="1" applyBorder="1" applyFont="1">
      <alignment horizontal="center" vertical="center"/>
    </xf>
    <xf borderId="22" fillId="8" fontId="2" numFmtId="0" xfId="0" applyAlignment="1" applyBorder="1" applyFont="1">
      <alignment horizontal="center" vertical="center"/>
    </xf>
    <xf borderId="23" fillId="3" fontId="3" numFmtId="0" xfId="0" applyAlignment="1" applyBorder="1" applyFont="1">
      <alignment horizontal="center"/>
    </xf>
    <xf borderId="1" fillId="0" fontId="1" numFmtId="0" xfId="0" applyAlignment="1" applyBorder="1" applyFont="1">
      <alignment horizontal="center"/>
    </xf>
    <xf borderId="1" fillId="0" fontId="2" numFmtId="0" xfId="0" applyAlignment="1" applyBorder="1" applyFont="1">
      <alignment horizontal="left"/>
    </xf>
    <xf borderId="24" fillId="3" fontId="3" numFmtId="0" xfId="0" applyAlignment="1" applyBorder="1" applyFont="1">
      <alignment horizontal="center"/>
    </xf>
    <xf borderId="0" fillId="0" fontId="2" numFmtId="0" xfId="0" applyAlignment="1" applyFont="1">
      <alignment horizontal="left"/>
    </xf>
    <xf borderId="0" fillId="0" fontId="6" numFmtId="0" xfId="0" applyFont="1"/>
    <xf borderId="13" fillId="0" fontId="6" numFmtId="0" xfId="0" applyAlignment="1" applyBorder="1" applyFont="1">
      <alignment horizontal="center"/>
    </xf>
    <xf borderId="14" fillId="0" fontId="6" numFmtId="0" xfId="0" applyAlignment="1" applyBorder="1" applyFont="1">
      <alignment horizontal="center"/>
    </xf>
    <xf borderId="15" fillId="0" fontId="6" numFmtId="0" xfId="0" applyAlignment="1" applyBorder="1" applyFont="1">
      <alignment horizontal="center"/>
    </xf>
    <xf borderId="16" fillId="0" fontId="6" numFmtId="0" xfId="0" applyAlignment="1" applyBorder="1" applyFont="1">
      <alignment horizontal="center"/>
    </xf>
    <xf borderId="0" fillId="0" fontId="6" numFmtId="0" xfId="0" applyAlignment="1" applyFont="1">
      <alignment horizontal="center"/>
    </xf>
    <xf borderId="17" fillId="0" fontId="6" numFmtId="0" xfId="0" applyAlignment="1" applyBorder="1" applyFont="1">
      <alignment horizontal="center"/>
    </xf>
    <xf borderId="18" fillId="0" fontId="6" numFmtId="0" xfId="0" applyAlignment="1" applyBorder="1" applyFont="1">
      <alignment horizontal="center"/>
    </xf>
    <xf borderId="19" fillId="0" fontId="6" numFmtId="0" xfId="0" applyAlignment="1" applyBorder="1" applyFont="1">
      <alignment horizontal="center"/>
    </xf>
    <xf borderId="20" fillId="0" fontId="6" numFmtId="0" xfId="0" applyAlignment="1" applyBorder="1" applyFont="1">
      <alignment horizontal="center"/>
    </xf>
    <xf borderId="0" fillId="0" fontId="6" numFmtId="0" xfId="0" applyAlignment="1" applyFont="1">
      <alignment horizontal="center" vertical="bottom"/>
    </xf>
    <xf borderId="21" fillId="8" fontId="6" numFmtId="0" xfId="0" applyAlignment="1" applyBorder="1" applyFont="1">
      <alignment horizontal="center" vertical="bottom"/>
    </xf>
    <xf borderId="12" fillId="8" fontId="6" numFmtId="0" xfId="0" applyAlignment="1" applyBorder="1" applyFont="1">
      <alignment horizontal="center" vertical="bottom"/>
    </xf>
    <xf borderId="13" fillId="0" fontId="6" numFmtId="0" xfId="0" applyAlignment="1" applyBorder="1" applyFont="1">
      <alignment horizontal="center" vertical="bottom"/>
    </xf>
    <xf borderId="14" fillId="0" fontId="6" numFmtId="0" xfId="0" applyAlignment="1" applyBorder="1" applyFont="1">
      <alignment horizontal="center" vertical="bottom"/>
    </xf>
    <xf borderId="15" fillId="0" fontId="6" numFmtId="0" xfId="0" applyAlignment="1" applyBorder="1" applyFont="1">
      <alignment horizontal="center" vertical="bottom"/>
    </xf>
    <xf borderId="16" fillId="0" fontId="6" numFmtId="0" xfId="0" applyAlignment="1" applyBorder="1" applyFont="1">
      <alignment horizontal="center" vertical="bottom"/>
    </xf>
    <xf borderId="17" fillId="0" fontId="6" numFmtId="0" xfId="0" applyAlignment="1" applyBorder="1" applyFont="1">
      <alignment horizontal="center" vertical="bottom"/>
    </xf>
    <xf borderId="18" fillId="0" fontId="6" numFmtId="0" xfId="0" applyAlignment="1" applyBorder="1" applyFont="1">
      <alignment horizontal="center" vertical="bottom"/>
    </xf>
    <xf borderId="19" fillId="0" fontId="6" numFmtId="0" xfId="0" applyAlignment="1" applyBorder="1" applyFont="1">
      <alignment horizontal="center" vertical="bottom"/>
    </xf>
    <xf borderId="20" fillId="0" fontId="6" numFmtId="0" xfId="0" applyAlignment="1" applyBorder="1" applyFont="1">
      <alignment horizontal="center"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6FC"/>
          <bgColor rgb="FFD9E6FC"/>
        </patternFill>
      </fill>
      <border/>
    </dxf>
    <dxf>
      <font/>
      <fill>
        <patternFill patternType="solid">
          <fgColor rgb="FFB3CEFA"/>
          <bgColor rgb="FFB3CEFA"/>
        </patternFill>
      </fill>
      <border/>
    </dxf>
    <dxf>
      <font/>
      <fill>
        <patternFill patternType="solid">
          <fgColor theme="6"/>
          <bgColor theme="6"/>
        </patternFill>
      </fill>
      <border/>
    </dxf>
  </dxfs>
  <tableStyles count="8">
    <tableStyle count="3" pivot="0" name="printer-style">
      <tableStyleElement dxfId="1" type="headerRow"/>
      <tableStyleElement dxfId="2" type="firstRowStripe"/>
      <tableStyleElement dxfId="3" type="secondRowStripe"/>
    </tableStyle>
    <tableStyle count="3" pivot="0" name="CombinedHumanGrading-style">
      <tableStyleElement dxfId="1" type="headerRow"/>
      <tableStyleElement dxfId="2" type="firstRowStripe"/>
      <tableStyleElement dxfId="3" type="secondRowStripe"/>
    </tableStyle>
    <tableStyle count="3" pivot="0" name="Gemini 3.1 Pro Preview Grading-style">
      <tableStyleElement dxfId="1" type="headerRow"/>
      <tableStyleElement dxfId="2" type="firstRowStripe"/>
      <tableStyleElement dxfId="3" type="secondRowStripe"/>
    </tableStyle>
    <tableStyle count="3" pivot="0" name="Metrics-style">
      <tableStyleElement dxfId="4" type="headerRow"/>
      <tableStyleElement dxfId="2" type="firstRowStripe"/>
      <tableStyleElement dxfId="3" type="secondRowStripe"/>
    </tableStyle>
    <tableStyle count="3" pivot="0" name="Metrics-style 2">
      <tableStyleElement dxfId="4" type="headerRow"/>
      <tableStyleElement dxfId="2" type="firstRowStripe"/>
      <tableStyleElement dxfId="3" type="secondRowStripe"/>
    </tableStyle>
    <tableStyle count="3" pivot="0" name="Metrics-style 3">
      <tableStyleElement dxfId="4" type="headerRow"/>
      <tableStyleElement dxfId="2" type="firstRowStripe"/>
      <tableStyleElement dxfId="3" type="secondRowStripe"/>
    </tableStyle>
    <tableStyle count="3" pivot="0" name="Inter-rater-style">
      <tableStyleElement dxfId="1" type="headerRow"/>
      <tableStyleElement dxfId="2" type="firstRowStripe"/>
      <tableStyleElement dxfId="3" type="secondRowStripe"/>
    </tableStyle>
    <tableStyle count="3" pivot="0" name="Weighted Cohens Kapp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45" displayName="Table_1" name="Table_1" id="1">
  <tableColumns count="2">
    <tableColumn name="Type" id="1"/>
    <tableColumn name="Element" id="2"/>
  </tableColumns>
  <tableStyleInfo name="printer-style" showColumnStripes="0" showFirstColumn="1" showLastColumn="1" showRowStripes="1"/>
</table>
</file>

<file path=xl/tables/table2.xml><?xml version="1.0" encoding="utf-8"?>
<table xmlns="http://schemas.openxmlformats.org/spreadsheetml/2006/main" ref="A1:D45" displayName="Table_2" name="Table_2" id="2">
  <tableColumns count="4">
    <tableColumn name="Type" id="1"/>
    <tableColumn name="Element" id="2"/>
    <tableColumn name="CombinedHumanGrading" id="3"/>
    <tableColumn name="Notes" id="4"/>
  </tableColumns>
  <tableStyleInfo name="CombinedHumanGrading-style" showColumnStripes="0" showFirstColumn="1" showLastColumn="1" showRowStripes="1"/>
</table>
</file>

<file path=xl/tables/table3.xml><?xml version="1.0" encoding="utf-8"?>
<table xmlns="http://schemas.openxmlformats.org/spreadsheetml/2006/main" ref="A1:D45" displayName="Table_3" name="Table_3" id="3">
  <tableColumns count="4">
    <tableColumn name="Type" id="1"/>
    <tableColumn name="Element" id="2"/>
    <tableColumn name="Gemini 3.1 Pro Preview Grading" id="3"/>
    <tableColumn name="Notes" id="4"/>
  </tableColumns>
  <tableStyleInfo name="Gemini 3.1 Pro Preview Grading-style" showColumnStripes="0" showFirstColumn="1" showLastColumn="1" showRowStripes="1"/>
</table>
</file>

<file path=xl/tables/table4.xml><?xml version="1.0" encoding="utf-8"?>
<table xmlns="http://schemas.openxmlformats.org/spreadsheetml/2006/main" ref="J1:J2" displayName="Table_4" name="Table_4" id="4">
  <tableColumns count="1">
    <tableColumn name="Date" id="1"/>
  </tableColumns>
  <tableStyleInfo name="Metrics-style" showColumnStripes="0" showFirstColumn="1" showLastColumn="1" showRowStripes="1"/>
</table>
</file>

<file path=xl/tables/table5.xml><?xml version="1.0" encoding="utf-8"?>
<table xmlns="http://schemas.openxmlformats.org/spreadsheetml/2006/main" ref="J4:J5" displayName="Table_5" name="Table_5" id="5">
  <tableColumns count="1">
    <tableColumn name="Generation LLM" id="1"/>
  </tableColumns>
  <tableStyleInfo name="Metrics-style 2" showColumnStripes="0" showFirstColumn="1" showLastColumn="1" showRowStripes="1"/>
</table>
</file>

<file path=xl/tables/table6.xml><?xml version="1.0" encoding="utf-8"?>
<table xmlns="http://schemas.openxmlformats.org/spreadsheetml/2006/main" ref="J7:J8" displayName="Table_6" name="Table_6" id="6">
  <tableColumns count="1">
    <tableColumn name="Grading LLMs" id="1"/>
  </tableColumns>
  <tableStyleInfo name="Metrics-style 3" showColumnStripes="0" showFirstColumn="1" showLastColumn="1" showRowStripes="1"/>
</table>
</file>

<file path=xl/tables/table7.xml><?xml version="1.0" encoding="utf-8"?>
<table xmlns="http://schemas.openxmlformats.org/spreadsheetml/2006/main" ref="A1:D45" displayName="Table_7" name="Table_7" id="7">
  <tableColumns count="4">
    <tableColumn name="Type" id="1"/>
    <tableColumn name="Element" id="2"/>
    <tableColumn name="CombinedHumanGrading" id="3"/>
    <tableColumn name="Gemini 3.1 Pro Preview" id="4"/>
  </tableColumns>
  <tableStyleInfo name="Inter-rater-style" showColumnStripes="0" showFirstColumn="1" showLastColumn="1" showRowStripes="1"/>
</table>
</file>

<file path=xl/tables/table8.xml><?xml version="1.0" encoding="utf-8"?>
<table xmlns="http://schemas.openxmlformats.org/spreadsheetml/2006/main" ref="A1:D45" displayName="Table_8" name="Table_8" id="8">
  <tableColumns count="4">
    <tableColumn name="Type" id="1"/>
    <tableColumn name="Element" id="2"/>
    <tableColumn name="CombinedHumanGrading" id="3"/>
    <tableColumn name="Gemini 3.1 Pro Preview" id="4"/>
  </tableColumns>
  <tableStyleInfo name="Weighted Cohens Kapp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5" Type="http://schemas.openxmlformats.org/officeDocument/2006/relationships/table" Target="../tables/table4.xml"/><Relationship Id="rId6" Type="http://schemas.openxmlformats.org/officeDocument/2006/relationships/table" Target="../tables/table5.xml"/><Relationship Id="rId7" Type="http://schemas.openxmlformats.org/officeDocument/2006/relationships/table" Target="../tables/table6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7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5"/>
    <col customWidth="1" min="2" max="2" width="42.88"/>
    <col customWidth="1" min="3" max="22" width="10.63"/>
  </cols>
  <sheetData>
    <row r="1" ht="13.5" customHeight="1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ht="12.75" customHeight="1">
      <c r="A2" s="4" t="s">
        <v>2</v>
      </c>
      <c r="B2" s="2" t="s">
        <v>3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12.75" customHeight="1">
      <c r="A3" s="4" t="s">
        <v>2</v>
      </c>
      <c r="B3" s="2" t="s">
        <v>4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ht="12.75" customHeight="1">
      <c r="A4" s="4" t="s">
        <v>5</v>
      </c>
      <c r="B4" s="2" t="s">
        <v>6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ht="12.75" customHeight="1">
      <c r="A5" s="4" t="s">
        <v>7</v>
      </c>
      <c r="B5" s="2" t="s">
        <v>8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ht="12.75" customHeight="1">
      <c r="A6" s="4" t="s">
        <v>5</v>
      </c>
      <c r="B6" s="2" t="s">
        <v>9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ht="12.75" customHeight="1">
      <c r="A7" s="4" t="s">
        <v>2</v>
      </c>
      <c r="B7" s="2" t="s">
        <v>10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ht="12.75" customHeight="1">
      <c r="A8" s="4" t="s">
        <v>2</v>
      </c>
      <c r="B8" s="2" t="s">
        <v>11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ht="12.75" customHeight="1">
      <c r="A9" s="4" t="s">
        <v>5</v>
      </c>
      <c r="B9" s="2" t="s">
        <v>12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ht="12.75" customHeight="1">
      <c r="A10" s="4" t="s">
        <v>13</v>
      </c>
      <c r="B10" s="2" t="s">
        <v>14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ht="12.75" customHeight="1">
      <c r="A11" s="4" t="s">
        <v>5</v>
      </c>
      <c r="B11" s="2" t="s">
        <v>15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ht="12.75" customHeight="1">
      <c r="A12" s="4" t="s">
        <v>13</v>
      </c>
      <c r="B12" s="2" t="s">
        <v>16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ht="12.75" customHeight="1">
      <c r="A13" s="4" t="s">
        <v>17</v>
      </c>
      <c r="B13" s="2" t="s">
        <v>18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ht="12.75" customHeight="1">
      <c r="A14" s="4" t="s">
        <v>2</v>
      </c>
      <c r="B14" s="2" t="s">
        <v>19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ht="12.75" customHeight="1">
      <c r="A15" s="4" t="s">
        <v>5</v>
      </c>
      <c r="B15" s="2" t="s">
        <v>20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ht="12.75" customHeight="1">
      <c r="A16" s="4" t="s">
        <v>5</v>
      </c>
      <c r="B16" s="2" t="s">
        <v>21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ht="15.0" customHeight="1">
      <c r="A17" s="4" t="s">
        <v>13</v>
      </c>
      <c r="B17" s="2" t="s">
        <v>22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ht="12.75" customHeight="1">
      <c r="A18" s="4" t="s">
        <v>5</v>
      </c>
      <c r="B18" s="2" t="s">
        <v>21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ht="12.75" customHeight="1">
      <c r="A19" s="4" t="s">
        <v>13</v>
      </c>
      <c r="B19" s="2" t="s">
        <v>23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ht="12.75" customHeight="1">
      <c r="A20" s="4" t="s">
        <v>5</v>
      </c>
      <c r="B20" s="2" t="s">
        <v>24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ht="12.75" customHeight="1">
      <c r="A21" s="4" t="s">
        <v>17</v>
      </c>
      <c r="B21" s="2" t="s">
        <v>25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ht="12.75" customHeight="1">
      <c r="A22" s="4" t="s">
        <v>5</v>
      </c>
      <c r="B22" s="2" t="s">
        <v>26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ht="12.75" customHeight="1">
      <c r="A23" s="4" t="s">
        <v>17</v>
      </c>
      <c r="B23" s="2" t="s">
        <v>27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ht="12.75" customHeight="1">
      <c r="A24" s="4" t="s">
        <v>5</v>
      </c>
      <c r="B24" s="2" t="s">
        <v>28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ht="12.75" customHeight="1">
      <c r="A25" s="4" t="s">
        <v>13</v>
      </c>
      <c r="B25" s="2" t="s">
        <v>29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ht="15.0" customHeight="1">
      <c r="A26" s="4" t="s">
        <v>7</v>
      </c>
      <c r="B26" s="2" t="s">
        <v>30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ht="12.75" customHeight="1">
      <c r="A27" s="4" t="s">
        <v>5</v>
      </c>
      <c r="B27" s="2" t="s">
        <v>31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ht="12.75" customHeight="1">
      <c r="A28" s="4" t="s">
        <v>5</v>
      </c>
      <c r="B28" s="2" t="s">
        <v>32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ht="12.75" customHeight="1">
      <c r="A29" s="4" t="s">
        <v>5</v>
      </c>
      <c r="B29" s="2" t="s">
        <v>33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ht="12.75" customHeight="1">
      <c r="A30" s="4" t="s">
        <v>34</v>
      </c>
      <c r="B30" s="2" t="s">
        <v>35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ht="12.75" customHeight="1">
      <c r="A31" s="4" t="s">
        <v>2</v>
      </c>
      <c r="B31" s="2" t="s">
        <v>36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ht="12.75" customHeight="1">
      <c r="A32" s="4" t="s">
        <v>5</v>
      </c>
      <c r="B32" s="2" t="s">
        <v>37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</row>
    <row r="33" ht="12.75" customHeight="1">
      <c r="A33" s="4" t="s">
        <v>13</v>
      </c>
      <c r="B33" s="2" t="s">
        <v>38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</row>
    <row r="34" ht="12.75" customHeight="1">
      <c r="A34" s="4" t="s">
        <v>5</v>
      </c>
      <c r="B34" s="2" t="s">
        <v>39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ht="12.75" customHeight="1">
      <c r="A35" s="4" t="s">
        <v>2</v>
      </c>
      <c r="B35" s="2" t="s">
        <v>40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ht="12.75" customHeight="1">
      <c r="A36" s="4" t="s">
        <v>2</v>
      </c>
      <c r="B36" s="2" t="s">
        <v>41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ht="12.75" customHeight="1">
      <c r="A37" s="4" t="s">
        <v>5</v>
      </c>
      <c r="B37" s="2" t="s">
        <v>42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ht="12.75" customHeight="1">
      <c r="A38" s="4" t="s">
        <v>5</v>
      </c>
      <c r="B38" s="2" t="s">
        <v>43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ht="15.0" customHeight="1">
      <c r="A39" s="6" t="s">
        <v>2</v>
      </c>
      <c r="B39" s="7" t="s">
        <v>44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ht="15.0" customHeight="1">
      <c r="A40" s="4" t="s">
        <v>5</v>
      </c>
      <c r="B40" s="2" t="s">
        <v>44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ht="15.0" customHeight="1">
      <c r="A41" s="4" t="s">
        <v>13</v>
      </c>
      <c r="B41" s="2" t="s">
        <v>44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ht="15.0" customHeight="1">
      <c r="A42" s="4" t="s">
        <v>17</v>
      </c>
      <c r="B42" s="2" t="s">
        <v>44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ht="15.0" customHeight="1">
      <c r="A43" s="4" t="s">
        <v>7</v>
      </c>
      <c r="B43" s="2" t="s">
        <v>44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ht="15.0" customHeight="1">
      <c r="A44" s="4" t="s">
        <v>45</v>
      </c>
      <c r="B44" s="2" t="s">
        <v>44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ht="15.0" customHeight="1">
      <c r="A45" s="4" t="s">
        <v>34</v>
      </c>
      <c r="B45" s="2" t="s">
        <v>44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ht="15.0" customHeight="1">
      <c r="A46" s="8"/>
      <c r="B46" s="9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</row>
    <row r="47" ht="15.0" customHeight="1">
      <c r="A47" s="8"/>
      <c r="B47" s="9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</row>
    <row r="48" ht="15.0" customHeight="1">
      <c r="A48" s="8"/>
      <c r="B48" s="9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</row>
    <row r="49" ht="12.75" customHeight="1">
      <c r="A49" s="8"/>
      <c r="B49" s="9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</row>
    <row r="50" ht="12.75" customHeight="1">
      <c r="A50" s="8"/>
      <c r="B50" s="9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</row>
    <row r="51" ht="12.75" customHeight="1">
      <c r="A51" s="8"/>
      <c r="B51" s="9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</row>
    <row r="52" ht="12.75" customHeight="1">
      <c r="A52" s="8"/>
      <c r="B52" s="9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</row>
    <row r="53" ht="12.75" customHeight="1">
      <c r="A53" s="8"/>
      <c r="B53" s="9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</row>
    <row r="54" ht="12.75" customHeight="1">
      <c r="A54" s="8"/>
      <c r="B54" s="9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</row>
    <row r="55" ht="12.75" customHeight="1">
      <c r="A55" s="8"/>
      <c r="B55" s="9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</row>
    <row r="56" ht="12.75" customHeight="1">
      <c r="A56" s="8"/>
      <c r="B56" s="9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 ht="12.75" customHeight="1">
      <c r="A57" s="8"/>
      <c r="B57" s="9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</row>
    <row r="58" ht="12.75" customHeight="1">
      <c r="A58" s="8"/>
      <c r="B58" s="9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</row>
    <row r="59" ht="12.75" customHeight="1">
      <c r="A59" s="8"/>
      <c r="B59" s="9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</row>
    <row r="60" ht="12.75" customHeight="1">
      <c r="A60" s="8"/>
      <c r="B60" s="9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</row>
    <row r="61" ht="12.75" customHeight="1">
      <c r="A61" s="8"/>
      <c r="B61" s="9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</row>
    <row r="62" ht="12.75" customHeight="1">
      <c r="A62" s="8"/>
      <c r="B62" s="9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</row>
    <row r="63" ht="12.75" customHeight="1">
      <c r="A63" s="8"/>
      <c r="B63" s="9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</row>
    <row r="64" ht="12.75" customHeight="1">
      <c r="A64" s="8"/>
      <c r="B64" s="9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</row>
    <row r="65" ht="12.75" customHeight="1">
      <c r="A65" s="8"/>
      <c r="B65" s="9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</row>
    <row r="66" ht="12.75" customHeight="1">
      <c r="A66" s="8"/>
      <c r="B66" s="9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</row>
    <row r="67" ht="12.75" customHeight="1">
      <c r="A67" s="8"/>
      <c r="B67" s="9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</row>
    <row r="68" ht="12.75" customHeight="1">
      <c r="A68" s="8"/>
      <c r="B68" s="9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</row>
    <row r="69" ht="12.75" customHeight="1">
      <c r="A69" s="8"/>
      <c r="B69" s="9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</row>
    <row r="70" ht="12.75" customHeight="1">
      <c r="A70" s="8"/>
      <c r="B70" s="9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  <row r="71" ht="12.75" customHeight="1">
      <c r="A71" s="8"/>
      <c r="B71" s="9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</row>
    <row r="72" ht="12.75" customHeight="1">
      <c r="A72" s="8"/>
      <c r="B72" s="9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</row>
    <row r="73" ht="12.75" customHeight="1">
      <c r="A73" s="8"/>
      <c r="B73" s="9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</row>
    <row r="74" ht="12.75" customHeight="1">
      <c r="A74" s="8"/>
      <c r="B74" s="9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</row>
    <row r="75" ht="12.75" customHeight="1">
      <c r="A75" s="8"/>
      <c r="B75" s="9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</row>
    <row r="76" ht="12.75" customHeight="1">
      <c r="A76" s="8"/>
      <c r="B76" s="9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</row>
    <row r="77" ht="12.75" customHeight="1">
      <c r="A77" s="8"/>
      <c r="B77" s="9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</row>
    <row r="78" ht="12.75" customHeight="1">
      <c r="A78" s="8"/>
      <c r="B78" s="9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</row>
    <row r="79" ht="12.75" customHeight="1">
      <c r="A79" s="8"/>
      <c r="B79" s="9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</row>
    <row r="80" ht="12.75" customHeight="1">
      <c r="A80" s="8"/>
      <c r="B80" s="9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</row>
    <row r="81" ht="12.75" customHeight="1">
      <c r="A81" s="8"/>
      <c r="B81" s="9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</row>
    <row r="82" ht="12.75" customHeight="1">
      <c r="A82" s="8"/>
      <c r="B82" s="9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</row>
    <row r="83" ht="12.75" customHeight="1">
      <c r="A83" s="8"/>
      <c r="B83" s="9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</row>
    <row r="84" ht="12.75" customHeight="1">
      <c r="A84" s="8"/>
      <c r="B84" s="9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</row>
    <row r="85" ht="12.75" customHeight="1">
      <c r="A85" s="8"/>
      <c r="B85" s="9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</row>
    <row r="86" ht="12.75" customHeight="1">
      <c r="A86" s="8"/>
      <c r="B86" s="9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ht="12.75" customHeight="1">
      <c r="A87" s="8"/>
      <c r="B87" s="9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  <row r="88" ht="12.75" customHeight="1">
      <c r="A88" s="8"/>
      <c r="B88" s="9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</row>
    <row r="89" ht="12.75" customHeight="1">
      <c r="A89" s="8"/>
      <c r="B89" s="9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</row>
    <row r="90" ht="12.75" customHeight="1">
      <c r="A90" s="8"/>
      <c r="B90" s="9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</row>
    <row r="91" ht="12.75" customHeight="1">
      <c r="A91" s="8"/>
      <c r="B91" s="9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</row>
    <row r="92" ht="12.75" customHeight="1">
      <c r="A92" s="8"/>
      <c r="B92" s="9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</row>
    <row r="93" ht="12.75" customHeight="1">
      <c r="A93" s="8"/>
      <c r="B93" s="9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</row>
    <row r="94" ht="12.75" customHeight="1">
      <c r="A94" s="8"/>
      <c r="B94" s="9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</row>
    <row r="95" ht="12.75" customHeight="1">
      <c r="A95" s="8"/>
      <c r="B95" s="9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</row>
    <row r="96" ht="12.75" customHeight="1">
      <c r="A96" s="8"/>
      <c r="B96" s="9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</row>
    <row r="97" ht="12.75" customHeight="1">
      <c r="A97" s="8"/>
      <c r="B97" s="9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</row>
    <row r="98" ht="12.75" customHeight="1">
      <c r="A98" s="8"/>
      <c r="B98" s="9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</row>
    <row r="99" ht="12.75" customHeight="1">
      <c r="A99" s="8"/>
      <c r="B99" s="9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</row>
    <row r="100" ht="12.75" customHeight="1">
      <c r="A100" s="8"/>
      <c r="B100" s="9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</row>
    <row r="101" ht="12.75" customHeight="1">
      <c r="A101" s="8"/>
      <c r="B101" s="9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</row>
    <row r="102" ht="12.75" customHeight="1">
      <c r="A102" s="8"/>
      <c r="B102" s="9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  <row r="103" ht="12.75" customHeight="1">
      <c r="A103" s="8"/>
      <c r="B103" s="9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</row>
    <row r="104" ht="12.75" customHeight="1">
      <c r="A104" s="8"/>
      <c r="B104" s="9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 ht="12.75" customHeight="1">
      <c r="A105" s="8"/>
      <c r="B105" s="9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ht="12.75" customHeight="1">
      <c r="A106" s="8"/>
      <c r="B106" s="9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ht="12.75" customHeight="1">
      <c r="A107" s="8"/>
      <c r="B107" s="9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ht="12.75" customHeight="1">
      <c r="A108" s="8"/>
      <c r="B108" s="9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</row>
    <row r="109" ht="12.75" customHeight="1">
      <c r="A109" s="8"/>
      <c r="B109" s="9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</row>
    <row r="110" ht="12.75" customHeight="1">
      <c r="A110" s="8"/>
      <c r="B110" s="9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</row>
    <row r="111" ht="12.75" customHeight="1">
      <c r="A111" s="8"/>
      <c r="B111" s="9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</row>
    <row r="112" ht="12.75" customHeight="1">
      <c r="A112" s="8"/>
      <c r="B112" s="9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ht="12.75" customHeight="1">
      <c r="A113" s="8"/>
      <c r="B113" s="9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</row>
    <row r="114" ht="12.75" customHeight="1">
      <c r="A114" s="8"/>
      <c r="B114" s="9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</row>
    <row r="115" ht="12.75" customHeight="1">
      <c r="A115" s="8"/>
      <c r="B115" s="9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</row>
    <row r="116" ht="12.75" customHeight="1">
      <c r="A116" s="8"/>
      <c r="B116" s="9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</row>
    <row r="117" ht="12.75" customHeight="1">
      <c r="A117" s="8"/>
      <c r="B117" s="9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</row>
    <row r="118" ht="12.75" customHeight="1">
      <c r="A118" s="8"/>
      <c r="B118" s="9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</row>
    <row r="119" ht="12.75" customHeight="1">
      <c r="A119" s="8"/>
      <c r="B119" s="9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ht="12.75" customHeight="1">
      <c r="A120" s="8"/>
      <c r="B120" s="9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</row>
    <row r="121" ht="12.75" customHeight="1">
      <c r="A121" s="8"/>
      <c r="B121" s="9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</row>
    <row r="122" ht="12.75" customHeight="1">
      <c r="A122" s="8"/>
      <c r="B122" s="9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</row>
    <row r="123" ht="12.75" customHeight="1">
      <c r="A123" s="8"/>
      <c r="B123" s="9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</row>
    <row r="124" ht="12.75" customHeight="1">
      <c r="A124" s="8"/>
      <c r="B124" s="9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</row>
    <row r="125" ht="12.75" customHeight="1">
      <c r="A125" s="8"/>
      <c r="B125" s="9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</row>
    <row r="126" ht="12.75" customHeight="1">
      <c r="A126" s="8"/>
      <c r="B126" s="9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ht="12.75" customHeight="1">
      <c r="A127" s="8"/>
      <c r="B127" s="9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</row>
    <row r="128" ht="12.75" customHeight="1">
      <c r="A128" s="8"/>
      <c r="B128" s="9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 ht="12.75" customHeight="1">
      <c r="A129" s="8"/>
      <c r="B129" s="9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</row>
    <row r="130" ht="12.75" customHeight="1">
      <c r="A130" s="8"/>
      <c r="B130" s="9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 ht="12.75" customHeight="1">
      <c r="A131" s="8"/>
      <c r="B131" s="9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 ht="12.75" customHeight="1">
      <c r="A132" s="8"/>
      <c r="B132" s="9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</row>
    <row r="133" ht="12.75" customHeight="1">
      <c r="A133" s="8"/>
      <c r="B133" s="9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ht="12.75" customHeight="1">
      <c r="A134" s="8"/>
      <c r="B134" s="9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</row>
    <row r="135" ht="12.75" customHeight="1">
      <c r="A135" s="8"/>
      <c r="B135" s="9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</row>
    <row r="136" ht="12.75" customHeight="1">
      <c r="A136" s="8"/>
      <c r="B136" s="9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</row>
    <row r="137" ht="12.75" customHeight="1">
      <c r="A137" s="8"/>
      <c r="B137" s="9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</row>
    <row r="138" ht="12.75" customHeight="1">
      <c r="A138" s="8"/>
      <c r="B138" s="9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</row>
    <row r="139" ht="12.75" customHeight="1">
      <c r="A139" s="8"/>
      <c r="B139" s="9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</row>
    <row r="140" ht="12.75" customHeight="1">
      <c r="A140" s="8"/>
      <c r="B140" s="9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ht="12.75" customHeight="1">
      <c r="A141" s="8"/>
      <c r="B141" s="9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</row>
    <row r="142" ht="12.75" customHeight="1">
      <c r="A142" s="8"/>
      <c r="B142" s="9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</row>
    <row r="143" ht="12.75" customHeight="1">
      <c r="A143" s="8"/>
      <c r="B143" s="9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</row>
    <row r="144" ht="12.75" customHeight="1">
      <c r="A144" s="8"/>
      <c r="B144" s="9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</row>
    <row r="145" ht="12.75" customHeight="1">
      <c r="A145" s="8"/>
      <c r="B145" s="9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ht="12.75" customHeight="1">
      <c r="A146" s="8"/>
      <c r="B146" s="9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ht="12.75" customHeight="1">
      <c r="A147" s="8"/>
      <c r="B147" s="9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ht="12.75" customHeight="1">
      <c r="A148" s="8"/>
      <c r="B148" s="9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ht="12.75" customHeight="1">
      <c r="A149" s="8"/>
      <c r="B149" s="9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ht="12.75" customHeight="1">
      <c r="A150" s="8"/>
      <c r="B150" s="9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ht="12.75" customHeight="1">
      <c r="A151" s="8"/>
      <c r="B151" s="9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ht="12.75" customHeight="1">
      <c r="A152" s="8"/>
      <c r="B152" s="9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ht="12.75" customHeight="1">
      <c r="A153" s="8"/>
      <c r="B153" s="9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ht="12.75" customHeight="1">
      <c r="A154" s="8"/>
      <c r="B154" s="9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ht="12.75" customHeight="1">
      <c r="A155" s="8"/>
      <c r="B155" s="9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ht="12.75" customHeight="1">
      <c r="A156" s="8"/>
      <c r="B156" s="9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ht="12.75" customHeight="1">
      <c r="A157" s="8"/>
      <c r="B157" s="9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ht="12.75" customHeight="1">
      <c r="A158" s="8"/>
      <c r="B158" s="9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ht="12.75" customHeight="1">
      <c r="A159" s="8"/>
      <c r="B159" s="9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ht="12.75" customHeight="1">
      <c r="A160" s="8"/>
      <c r="B160" s="9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ht="12.75" customHeight="1">
      <c r="A161" s="8"/>
      <c r="B161" s="9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ht="12.75" customHeight="1">
      <c r="A162" s="8"/>
      <c r="B162" s="9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ht="12.75" customHeight="1">
      <c r="A163" s="8"/>
      <c r="B163" s="9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ht="12.75" customHeight="1">
      <c r="A164" s="8"/>
      <c r="B164" s="9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ht="12.75" customHeight="1">
      <c r="A165" s="8"/>
      <c r="B165" s="9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ht="12.75" customHeight="1">
      <c r="A166" s="8"/>
      <c r="B166" s="9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ht="12.75" customHeight="1">
      <c r="A167" s="8"/>
      <c r="B167" s="9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ht="12.75" customHeight="1">
      <c r="A168" s="8"/>
      <c r="B168" s="9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ht="12.75" customHeight="1">
      <c r="A169" s="8"/>
      <c r="B169" s="9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ht="12.75" customHeight="1">
      <c r="A170" s="8"/>
      <c r="B170" s="9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ht="12.75" customHeight="1">
      <c r="A171" s="8"/>
      <c r="B171" s="9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ht="12.75" customHeight="1">
      <c r="A172" s="8"/>
      <c r="B172" s="9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ht="12.75" customHeight="1">
      <c r="A173" s="8"/>
      <c r="B173" s="9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ht="12.75" customHeight="1">
      <c r="A174" s="8"/>
      <c r="B174" s="9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ht="12.75" customHeight="1">
      <c r="A175" s="8"/>
      <c r="B175" s="9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ht="12.75" customHeight="1">
      <c r="A176" s="8"/>
      <c r="B176" s="9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ht="12.75" customHeight="1">
      <c r="A177" s="8"/>
      <c r="B177" s="9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ht="12.75" customHeight="1">
      <c r="A178" s="8"/>
      <c r="B178" s="9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ht="12.75" customHeight="1">
      <c r="A179" s="8"/>
      <c r="B179" s="9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ht="12.75" customHeight="1">
      <c r="A180" s="8"/>
      <c r="B180" s="9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ht="12.75" customHeight="1">
      <c r="A181" s="8"/>
      <c r="B181" s="9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ht="12.75" customHeight="1">
      <c r="A182" s="8"/>
      <c r="B182" s="9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ht="12.75" customHeight="1">
      <c r="A183" s="8"/>
      <c r="B183" s="9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ht="12.75" customHeight="1">
      <c r="A184" s="8"/>
      <c r="B184" s="9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ht="12.75" customHeight="1">
      <c r="A185" s="8"/>
      <c r="B185" s="9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ht="12.75" customHeight="1">
      <c r="A186" s="8"/>
      <c r="B186" s="9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ht="12.75" customHeight="1">
      <c r="A187" s="8"/>
      <c r="B187" s="9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ht="12.75" customHeight="1">
      <c r="A188" s="8"/>
      <c r="B188" s="9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ht="12.75" customHeight="1">
      <c r="A189" s="8"/>
      <c r="B189" s="9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ht="12.75" customHeight="1">
      <c r="A190" s="8"/>
      <c r="B190" s="9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ht="12.75" customHeight="1">
      <c r="A191" s="8"/>
      <c r="B191" s="9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ht="12.75" customHeight="1">
      <c r="A192" s="8"/>
      <c r="B192" s="9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ht="12.75" customHeight="1">
      <c r="A193" s="8"/>
      <c r="B193" s="9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ht="12.75" customHeight="1">
      <c r="A194" s="8"/>
      <c r="B194" s="9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ht="12.75" customHeight="1">
      <c r="A195" s="8"/>
      <c r="B195" s="9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ht="12.75" customHeight="1">
      <c r="A196" s="8"/>
      <c r="B196" s="9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ht="12.75" customHeight="1">
      <c r="A197" s="8"/>
      <c r="B197" s="9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ht="12.75" customHeight="1">
      <c r="A198" s="8"/>
      <c r="B198" s="9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ht="12.75" customHeight="1">
      <c r="A199" s="8"/>
      <c r="B199" s="9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ht="12.75" customHeight="1">
      <c r="A200" s="8"/>
      <c r="B200" s="9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ht="12.75" customHeight="1">
      <c r="A201" s="8"/>
      <c r="B201" s="9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ht="12.75" customHeight="1">
      <c r="A202" s="8"/>
      <c r="B202" s="9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ht="12.75" customHeight="1">
      <c r="A203" s="8"/>
      <c r="B203" s="9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 ht="12.75" customHeight="1">
      <c r="A204" s="8"/>
      <c r="B204" s="9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 ht="12.75" customHeight="1">
      <c r="A205" s="8"/>
      <c r="B205" s="9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 ht="12.75" customHeight="1">
      <c r="A206" s="8"/>
      <c r="B206" s="9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ht="12.75" customHeight="1">
      <c r="A207" s="8"/>
      <c r="B207" s="9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</row>
    <row r="208" ht="12.75" customHeight="1">
      <c r="A208" s="8"/>
      <c r="B208" s="9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</row>
    <row r="209" ht="12.75" customHeight="1">
      <c r="A209" s="8"/>
      <c r="B209" s="9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 ht="12.75" customHeight="1">
      <c r="A210" s="8"/>
      <c r="B210" s="9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</row>
    <row r="211" ht="12.75" customHeight="1">
      <c r="A211" s="8"/>
      <c r="B211" s="9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</row>
    <row r="212" ht="12.75" customHeight="1">
      <c r="A212" s="8"/>
      <c r="B212" s="9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</row>
    <row r="213" ht="12.75" customHeight="1">
      <c r="A213" s="8"/>
      <c r="B213" s="9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</row>
    <row r="214" ht="12.75" customHeight="1">
      <c r="A214" s="8"/>
      <c r="B214" s="9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</row>
    <row r="215" ht="12.75" customHeight="1">
      <c r="A215" s="8"/>
      <c r="B215" s="9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</row>
    <row r="216" ht="12.75" customHeight="1">
      <c r="A216" s="8"/>
      <c r="B216" s="9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ht="12.75" customHeight="1">
      <c r="A217" s="8"/>
      <c r="B217" s="9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ht="12.75" customHeight="1">
      <c r="A218" s="8"/>
      <c r="B218" s="9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ht="12.75" customHeight="1">
      <c r="A219" s="8"/>
      <c r="B219" s="9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ht="12.75" customHeight="1">
      <c r="A220" s="8"/>
      <c r="B220" s="9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ht="12.75" customHeight="1">
      <c r="A221" s="8"/>
      <c r="B221" s="9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ht="12.75" customHeight="1">
      <c r="A222" s="8"/>
      <c r="B222" s="9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ht="12.75" customHeight="1">
      <c r="A223" s="8"/>
      <c r="B223" s="9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ht="12.75" customHeight="1">
      <c r="A224" s="8"/>
      <c r="B224" s="9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ht="12.75" customHeight="1">
      <c r="A225" s="8"/>
      <c r="B225" s="9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ht="12.75" customHeight="1">
      <c r="A226" s="8"/>
      <c r="B226" s="9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ht="12.75" customHeight="1">
      <c r="A227" s="8"/>
      <c r="B227" s="9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ht="12.75" customHeight="1">
      <c r="A228" s="8"/>
      <c r="B228" s="9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ht="12.75" customHeight="1">
      <c r="A229" s="8"/>
      <c r="B229" s="9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ht="12.75" customHeight="1">
      <c r="A230" s="8"/>
      <c r="B230" s="9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ht="12.75" customHeight="1">
      <c r="A231" s="8"/>
      <c r="B231" s="9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ht="12.75" customHeight="1">
      <c r="A232" s="8"/>
      <c r="B232" s="9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ht="12.75" customHeight="1">
      <c r="A233" s="8"/>
      <c r="B233" s="9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ht="12.75" customHeight="1">
      <c r="A234" s="8"/>
      <c r="B234" s="9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ht="12.75" customHeight="1">
      <c r="A235" s="8"/>
      <c r="B235" s="9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ht="12.75" customHeight="1">
      <c r="A236" s="8"/>
      <c r="B236" s="9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ht="12.75" customHeight="1">
      <c r="A237" s="8"/>
      <c r="B237" s="9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ht="12.75" customHeight="1">
      <c r="A238" s="8"/>
      <c r="B238" s="9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ht="12.75" customHeight="1">
      <c r="A239" s="8"/>
      <c r="B239" s="9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ht="12.75" customHeight="1">
      <c r="A240" s="8"/>
      <c r="B240" s="9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ht="12.75" customHeight="1">
      <c r="A241" s="8"/>
      <c r="B241" s="9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ht="12.75" customHeight="1">
      <c r="A242" s="8"/>
      <c r="B242" s="9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ht="12.75" customHeight="1">
      <c r="A243" s="8"/>
      <c r="B243" s="9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ht="12.75" customHeight="1">
      <c r="A244" s="8"/>
      <c r="B244" s="9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ht="12.75" customHeight="1">
      <c r="A245" s="8"/>
      <c r="B245" s="9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5"/>
    <col customWidth="1" min="2" max="2" width="42.88"/>
    <col customWidth="1" min="3" max="3" width="10.63"/>
    <col customWidth="1" min="4" max="4" width="28.5"/>
    <col customWidth="1" min="5" max="22" width="10.63"/>
  </cols>
  <sheetData>
    <row r="1" ht="13.5" customHeight="1">
      <c r="A1" s="1" t="s">
        <v>0</v>
      </c>
      <c r="B1" s="2" t="s">
        <v>1</v>
      </c>
      <c r="C1" s="10" t="s">
        <v>46</v>
      </c>
      <c r="D1" s="10" t="s">
        <v>47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ht="12.75" customHeight="1">
      <c r="A2" s="4" t="s">
        <v>2</v>
      </c>
      <c r="B2" s="2" t="s">
        <v>3</v>
      </c>
      <c r="C2" s="11">
        <v>1.0</v>
      </c>
      <c r="D2" s="12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12.75" customHeight="1">
      <c r="A3" s="4" t="s">
        <v>2</v>
      </c>
      <c r="B3" s="2" t="s">
        <v>4</v>
      </c>
      <c r="C3" s="13">
        <v>1.0</v>
      </c>
      <c r="D3" s="14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ht="12.75" customHeight="1">
      <c r="A4" s="4" t="s">
        <v>5</v>
      </c>
      <c r="B4" s="2" t="s">
        <v>6</v>
      </c>
      <c r="C4" s="11">
        <v>1.0</v>
      </c>
      <c r="D4" s="12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ht="12.75" customHeight="1">
      <c r="A5" s="4" t="s">
        <v>7</v>
      </c>
      <c r="B5" s="2" t="s">
        <v>8</v>
      </c>
      <c r="C5" s="13">
        <v>1.0</v>
      </c>
      <c r="D5" s="14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ht="12.75" customHeight="1">
      <c r="A6" s="4" t="s">
        <v>5</v>
      </c>
      <c r="B6" s="2" t="s">
        <v>9</v>
      </c>
      <c r="C6" s="11">
        <v>1.0</v>
      </c>
      <c r="D6" s="12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ht="12.75" customHeight="1">
      <c r="A7" s="4" t="s">
        <v>2</v>
      </c>
      <c r="B7" s="2" t="s">
        <v>10</v>
      </c>
      <c r="C7" s="13">
        <v>1.0</v>
      </c>
      <c r="D7" s="14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ht="12.75" customHeight="1">
      <c r="A8" s="4" t="s">
        <v>2</v>
      </c>
      <c r="B8" s="2" t="s">
        <v>11</v>
      </c>
      <c r="C8" s="11">
        <v>1.0</v>
      </c>
      <c r="D8" s="12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ht="12.75" customHeight="1">
      <c r="A9" s="4" t="s">
        <v>5</v>
      </c>
      <c r="B9" s="2" t="s">
        <v>12</v>
      </c>
      <c r="C9" s="13">
        <v>1.0</v>
      </c>
      <c r="D9" s="14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ht="12.75" customHeight="1">
      <c r="A10" s="4" t="s">
        <v>13</v>
      </c>
      <c r="B10" s="2" t="s">
        <v>14</v>
      </c>
      <c r="C10" s="11">
        <v>1.0</v>
      </c>
      <c r="D10" s="12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ht="12.75" customHeight="1">
      <c r="A11" s="4" t="s">
        <v>5</v>
      </c>
      <c r="B11" s="2" t="s">
        <v>15</v>
      </c>
      <c r="C11" s="13">
        <v>1.0</v>
      </c>
      <c r="D11" s="14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ht="12.75" customHeight="1">
      <c r="A12" s="4" t="s">
        <v>13</v>
      </c>
      <c r="B12" s="2" t="s">
        <v>16</v>
      </c>
      <c r="C12" s="11">
        <v>1.0</v>
      </c>
      <c r="D12" s="12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ht="12.75" customHeight="1">
      <c r="A13" s="4" t="s">
        <v>17</v>
      </c>
      <c r="B13" s="2" t="s">
        <v>18</v>
      </c>
      <c r="C13" s="13">
        <v>1.0</v>
      </c>
      <c r="D13" s="14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ht="12.75" customHeight="1">
      <c r="A14" s="4" t="s">
        <v>2</v>
      </c>
      <c r="B14" s="2" t="s">
        <v>19</v>
      </c>
      <c r="C14" s="11">
        <v>1.0</v>
      </c>
      <c r="D14" s="12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ht="12.75" customHeight="1">
      <c r="A15" s="4" t="s">
        <v>5</v>
      </c>
      <c r="B15" s="2" t="s">
        <v>20</v>
      </c>
      <c r="C15" s="13">
        <v>1.0</v>
      </c>
      <c r="D15" s="14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ht="12.75" customHeight="1">
      <c r="A16" s="4" t="s">
        <v>5</v>
      </c>
      <c r="B16" s="2" t="s">
        <v>21</v>
      </c>
      <c r="C16" s="11">
        <v>1.0</v>
      </c>
      <c r="D16" s="12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ht="15.0" customHeight="1">
      <c r="A17" s="4" t="s">
        <v>13</v>
      </c>
      <c r="B17" s="2" t="s">
        <v>22</v>
      </c>
      <c r="C17" s="13">
        <v>1.0</v>
      </c>
      <c r="D17" s="14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ht="12.75" customHeight="1">
      <c r="A18" s="4" t="s">
        <v>5</v>
      </c>
      <c r="B18" s="2" t="s">
        <v>21</v>
      </c>
      <c r="C18" s="11">
        <v>1.0</v>
      </c>
      <c r="D18" s="12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ht="12.75" customHeight="1">
      <c r="A19" s="4" t="s">
        <v>13</v>
      </c>
      <c r="B19" s="2" t="s">
        <v>23</v>
      </c>
      <c r="C19" s="13">
        <v>1.0</v>
      </c>
      <c r="D19" s="14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ht="12.75" customHeight="1">
      <c r="A20" s="4" t="s">
        <v>5</v>
      </c>
      <c r="B20" s="2" t="s">
        <v>24</v>
      </c>
      <c r="C20" s="11">
        <v>1.0</v>
      </c>
      <c r="D20" s="12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ht="12.75" customHeight="1">
      <c r="A21" s="4" t="s">
        <v>17</v>
      </c>
      <c r="B21" s="2" t="s">
        <v>25</v>
      </c>
      <c r="C21" s="13">
        <v>1.0</v>
      </c>
      <c r="D21" s="14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ht="12.75" customHeight="1">
      <c r="A22" s="4" t="s">
        <v>5</v>
      </c>
      <c r="B22" s="2" t="s">
        <v>26</v>
      </c>
      <c r="C22" s="11">
        <v>1.0</v>
      </c>
      <c r="D22" s="12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ht="12.75" customHeight="1">
      <c r="A23" s="4" t="s">
        <v>17</v>
      </c>
      <c r="B23" s="2" t="s">
        <v>27</v>
      </c>
      <c r="C23" s="13">
        <v>1.0</v>
      </c>
      <c r="D23" s="14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ht="12.75" customHeight="1">
      <c r="A24" s="4" t="s">
        <v>5</v>
      </c>
      <c r="B24" s="2" t="s">
        <v>28</v>
      </c>
      <c r="C24" s="11">
        <v>1.0</v>
      </c>
      <c r="D24" s="12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ht="12.75" customHeight="1">
      <c r="A25" s="4" t="s">
        <v>13</v>
      </c>
      <c r="B25" s="2" t="s">
        <v>29</v>
      </c>
      <c r="C25" s="13">
        <v>1.0</v>
      </c>
      <c r="D25" s="14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ht="15.0" customHeight="1">
      <c r="A26" s="4" t="s">
        <v>7</v>
      </c>
      <c r="B26" s="2" t="s">
        <v>30</v>
      </c>
      <c r="C26" s="11">
        <v>1.0</v>
      </c>
      <c r="D26" s="12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ht="12.75" customHeight="1">
      <c r="A27" s="4" t="s">
        <v>5</v>
      </c>
      <c r="B27" s="2" t="s">
        <v>31</v>
      </c>
      <c r="C27" s="13">
        <v>1.0</v>
      </c>
      <c r="D27" s="14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ht="12.75" customHeight="1">
      <c r="A28" s="4" t="s">
        <v>5</v>
      </c>
      <c r="B28" s="2" t="s">
        <v>32</v>
      </c>
      <c r="C28" s="11">
        <v>1.0</v>
      </c>
      <c r="D28" s="12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ht="12.75" customHeight="1">
      <c r="A29" s="4" t="s">
        <v>5</v>
      </c>
      <c r="B29" s="2" t="s">
        <v>33</v>
      </c>
      <c r="C29" s="13">
        <v>1.0</v>
      </c>
      <c r="D29" s="14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ht="12.75" customHeight="1">
      <c r="A30" s="4" t="s">
        <v>34</v>
      </c>
      <c r="B30" s="2" t="s">
        <v>35</v>
      </c>
      <c r="C30" s="11">
        <v>1.0</v>
      </c>
      <c r="D30" s="12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ht="12.75" customHeight="1">
      <c r="A31" s="4" t="s">
        <v>2</v>
      </c>
      <c r="B31" s="2" t="s">
        <v>36</v>
      </c>
      <c r="C31" s="13">
        <v>1.0</v>
      </c>
      <c r="D31" s="14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ht="12.75" customHeight="1">
      <c r="A32" s="4" t="s">
        <v>5</v>
      </c>
      <c r="B32" s="2" t="s">
        <v>37</v>
      </c>
      <c r="C32" s="11">
        <v>1.0</v>
      </c>
      <c r="D32" s="12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</row>
    <row r="33" ht="12.75" customHeight="1">
      <c r="A33" s="4" t="s">
        <v>13</v>
      </c>
      <c r="B33" s="2" t="s">
        <v>38</v>
      </c>
      <c r="C33" s="13">
        <v>1.0</v>
      </c>
      <c r="D33" s="14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</row>
    <row r="34" ht="12.75" customHeight="1">
      <c r="A34" s="4" t="s">
        <v>5</v>
      </c>
      <c r="B34" s="2" t="s">
        <v>39</v>
      </c>
      <c r="C34" s="11">
        <v>1.0</v>
      </c>
      <c r="D34" s="12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ht="12.75" customHeight="1">
      <c r="A35" s="4" t="s">
        <v>2</v>
      </c>
      <c r="B35" s="2" t="s">
        <v>40</v>
      </c>
      <c r="C35" s="13">
        <v>1.0</v>
      </c>
      <c r="D35" s="14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ht="12.75" customHeight="1">
      <c r="A36" s="4" t="s">
        <v>2</v>
      </c>
      <c r="B36" s="2" t="s">
        <v>41</v>
      </c>
      <c r="C36" s="11">
        <v>1.0</v>
      </c>
      <c r="D36" s="12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ht="12.75" customHeight="1">
      <c r="A37" s="4" t="s">
        <v>5</v>
      </c>
      <c r="B37" s="2" t="s">
        <v>42</v>
      </c>
      <c r="C37" s="13">
        <v>1.0</v>
      </c>
      <c r="D37" s="14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ht="12.75" customHeight="1">
      <c r="A38" s="4" t="s">
        <v>5</v>
      </c>
      <c r="B38" s="2" t="s">
        <v>43</v>
      </c>
      <c r="C38" s="11">
        <v>1.0</v>
      </c>
      <c r="D38" s="12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ht="15.0" customHeight="1">
      <c r="A39" s="6" t="s">
        <v>2</v>
      </c>
      <c r="B39" s="7" t="s">
        <v>44</v>
      </c>
      <c r="C39" s="15">
        <v>0.0</v>
      </c>
      <c r="D39" s="16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ht="15.0" customHeight="1">
      <c r="A40" s="4" t="s">
        <v>5</v>
      </c>
      <c r="B40" s="2" t="s">
        <v>44</v>
      </c>
      <c r="C40" s="11">
        <v>0.0</v>
      </c>
      <c r="D40" s="12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ht="15.0" customHeight="1">
      <c r="A41" s="4" t="s">
        <v>13</v>
      </c>
      <c r="B41" s="2" t="s">
        <v>44</v>
      </c>
      <c r="C41" s="13">
        <v>0.0</v>
      </c>
      <c r="D41" s="14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ht="15.0" customHeight="1">
      <c r="A42" s="4" t="s">
        <v>17</v>
      </c>
      <c r="B42" s="2" t="s">
        <v>44</v>
      </c>
      <c r="C42" s="11">
        <v>0.0</v>
      </c>
      <c r="D42" s="12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ht="15.0" customHeight="1">
      <c r="A43" s="4" t="s">
        <v>7</v>
      </c>
      <c r="B43" s="2" t="s">
        <v>44</v>
      </c>
      <c r="C43" s="13">
        <v>0.0</v>
      </c>
      <c r="D43" s="14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ht="15.0" customHeight="1">
      <c r="A44" s="4" t="s">
        <v>45</v>
      </c>
      <c r="B44" s="2" t="s">
        <v>44</v>
      </c>
      <c r="C44" s="11">
        <v>0.0</v>
      </c>
      <c r="D44" s="12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ht="15.0" customHeight="1">
      <c r="A45" s="4" t="s">
        <v>34</v>
      </c>
      <c r="B45" s="2" t="s">
        <v>44</v>
      </c>
      <c r="C45" s="13">
        <v>0.0</v>
      </c>
      <c r="D45" s="14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ht="15.0" customHeight="1">
      <c r="A46" s="8"/>
      <c r="B46" s="9"/>
      <c r="C46" s="3"/>
      <c r="D46" s="3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</row>
    <row r="47" ht="15.0" customHeight="1">
      <c r="A47" s="8"/>
      <c r="B47" s="9"/>
      <c r="C47" s="3"/>
      <c r="D47" s="3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</row>
    <row r="48" ht="15.0" customHeight="1">
      <c r="A48" s="8"/>
      <c r="B48" s="9"/>
      <c r="C48" s="3"/>
      <c r="D48" s="3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</row>
    <row r="49" ht="12.75" customHeight="1">
      <c r="A49" s="8"/>
      <c r="B49" s="9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</row>
    <row r="50" ht="12.75" customHeight="1">
      <c r="A50" s="8"/>
      <c r="B50" s="9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</row>
    <row r="51" ht="12.75" customHeight="1">
      <c r="A51" s="8"/>
      <c r="B51" s="9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</row>
    <row r="52" ht="12.75" customHeight="1">
      <c r="A52" s="8"/>
      <c r="B52" s="9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</row>
    <row r="53" ht="12.75" customHeight="1">
      <c r="A53" s="8"/>
      <c r="B53" s="9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</row>
    <row r="54" ht="12.75" customHeight="1">
      <c r="A54" s="8"/>
      <c r="B54" s="9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</row>
    <row r="55" ht="12.75" customHeight="1">
      <c r="A55" s="8"/>
      <c r="B55" s="9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</row>
    <row r="56" ht="12.75" customHeight="1">
      <c r="A56" s="8"/>
      <c r="B56" s="9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 ht="12.75" customHeight="1">
      <c r="A57" s="8"/>
      <c r="B57" s="9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</row>
    <row r="58" ht="12.75" customHeight="1">
      <c r="A58" s="8"/>
      <c r="B58" s="9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</row>
    <row r="59" ht="12.75" customHeight="1">
      <c r="A59" s="8"/>
      <c r="B59" s="9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</row>
    <row r="60" ht="12.75" customHeight="1">
      <c r="A60" s="8"/>
      <c r="B60" s="9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</row>
    <row r="61" ht="12.75" customHeight="1">
      <c r="A61" s="8"/>
      <c r="B61" s="9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</row>
    <row r="62" ht="12.75" customHeight="1">
      <c r="A62" s="8"/>
      <c r="B62" s="9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</row>
    <row r="63" ht="12.75" customHeight="1">
      <c r="A63" s="8"/>
      <c r="B63" s="9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</row>
    <row r="64" ht="12.75" customHeight="1">
      <c r="A64" s="8"/>
      <c r="B64" s="9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</row>
    <row r="65" ht="12.75" customHeight="1">
      <c r="A65" s="8"/>
      <c r="B65" s="9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</row>
    <row r="66" ht="12.75" customHeight="1">
      <c r="A66" s="8"/>
      <c r="B66" s="9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</row>
    <row r="67" ht="12.75" customHeight="1">
      <c r="A67" s="8"/>
      <c r="B67" s="9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</row>
    <row r="68" ht="12.75" customHeight="1">
      <c r="A68" s="8"/>
      <c r="B68" s="9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</row>
    <row r="69" ht="12.75" customHeight="1">
      <c r="A69" s="8"/>
      <c r="B69" s="9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</row>
    <row r="70" ht="12.75" customHeight="1">
      <c r="A70" s="8"/>
      <c r="B70" s="9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  <row r="71" ht="12.75" customHeight="1">
      <c r="A71" s="8"/>
      <c r="B71" s="9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</row>
    <row r="72" ht="12.75" customHeight="1">
      <c r="A72" s="8"/>
      <c r="B72" s="9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</row>
    <row r="73" ht="12.75" customHeight="1">
      <c r="A73" s="8"/>
      <c r="B73" s="9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</row>
    <row r="74" ht="12.75" customHeight="1">
      <c r="A74" s="8"/>
      <c r="B74" s="9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</row>
    <row r="75" ht="12.75" customHeight="1">
      <c r="A75" s="8"/>
      <c r="B75" s="9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</row>
    <row r="76" ht="12.75" customHeight="1">
      <c r="A76" s="8"/>
      <c r="B76" s="9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</row>
    <row r="77" ht="12.75" customHeight="1">
      <c r="A77" s="8"/>
      <c r="B77" s="9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</row>
    <row r="78" ht="12.75" customHeight="1">
      <c r="A78" s="8"/>
      <c r="B78" s="9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</row>
    <row r="79" ht="12.75" customHeight="1">
      <c r="A79" s="8"/>
      <c r="B79" s="9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</row>
    <row r="80" ht="12.75" customHeight="1">
      <c r="A80" s="8"/>
      <c r="B80" s="9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</row>
    <row r="81" ht="12.75" customHeight="1">
      <c r="A81" s="8"/>
      <c r="B81" s="9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</row>
    <row r="82" ht="12.75" customHeight="1">
      <c r="A82" s="8"/>
      <c r="B82" s="9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</row>
    <row r="83" ht="12.75" customHeight="1">
      <c r="A83" s="8"/>
      <c r="B83" s="9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</row>
    <row r="84" ht="12.75" customHeight="1">
      <c r="A84" s="8"/>
      <c r="B84" s="9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</row>
    <row r="85" ht="12.75" customHeight="1">
      <c r="A85" s="8"/>
      <c r="B85" s="9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</row>
    <row r="86" ht="12.75" customHeight="1">
      <c r="A86" s="8"/>
      <c r="B86" s="9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ht="12.75" customHeight="1">
      <c r="A87" s="8"/>
      <c r="B87" s="9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  <row r="88" ht="12.75" customHeight="1">
      <c r="A88" s="8"/>
      <c r="B88" s="9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</row>
    <row r="89" ht="12.75" customHeight="1">
      <c r="A89" s="8"/>
      <c r="B89" s="9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</row>
    <row r="90" ht="12.75" customHeight="1">
      <c r="A90" s="8"/>
      <c r="B90" s="9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</row>
    <row r="91" ht="12.75" customHeight="1">
      <c r="A91" s="8"/>
      <c r="B91" s="9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</row>
    <row r="92" ht="12.75" customHeight="1">
      <c r="A92" s="8"/>
      <c r="B92" s="9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</row>
    <row r="93" ht="12.75" customHeight="1">
      <c r="A93" s="8"/>
      <c r="B93" s="9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</row>
    <row r="94" ht="12.75" customHeight="1">
      <c r="A94" s="8"/>
      <c r="B94" s="9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</row>
    <row r="95" ht="12.75" customHeight="1">
      <c r="A95" s="8"/>
      <c r="B95" s="9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</row>
    <row r="96" ht="12.75" customHeight="1">
      <c r="A96" s="8"/>
      <c r="B96" s="9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</row>
    <row r="97" ht="12.75" customHeight="1">
      <c r="A97" s="8"/>
      <c r="B97" s="9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</row>
    <row r="98" ht="12.75" customHeight="1">
      <c r="A98" s="8"/>
      <c r="B98" s="9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</row>
    <row r="99" ht="12.75" customHeight="1">
      <c r="A99" s="8"/>
      <c r="B99" s="9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</row>
    <row r="100" ht="12.75" customHeight="1">
      <c r="A100" s="8"/>
      <c r="B100" s="9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</row>
    <row r="101" ht="12.75" customHeight="1">
      <c r="A101" s="8"/>
      <c r="B101" s="9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</row>
    <row r="102" ht="12.75" customHeight="1">
      <c r="A102" s="8"/>
      <c r="B102" s="9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  <row r="103" ht="12.75" customHeight="1">
      <c r="A103" s="8"/>
      <c r="B103" s="9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</row>
    <row r="104" ht="12.75" customHeight="1">
      <c r="A104" s="8"/>
      <c r="B104" s="9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 ht="12.75" customHeight="1">
      <c r="A105" s="8"/>
      <c r="B105" s="9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ht="12.75" customHeight="1">
      <c r="A106" s="8"/>
      <c r="B106" s="9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ht="12.75" customHeight="1">
      <c r="A107" s="8"/>
      <c r="B107" s="9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ht="12.75" customHeight="1">
      <c r="A108" s="8"/>
      <c r="B108" s="9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</row>
    <row r="109" ht="12.75" customHeight="1">
      <c r="A109" s="8"/>
      <c r="B109" s="9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</row>
    <row r="110" ht="12.75" customHeight="1">
      <c r="A110" s="8"/>
      <c r="B110" s="9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</row>
    <row r="111" ht="12.75" customHeight="1">
      <c r="A111" s="8"/>
      <c r="B111" s="9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</row>
    <row r="112" ht="12.75" customHeight="1">
      <c r="A112" s="8"/>
      <c r="B112" s="9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ht="12.75" customHeight="1">
      <c r="A113" s="8"/>
      <c r="B113" s="9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</row>
    <row r="114" ht="12.75" customHeight="1">
      <c r="A114" s="8"/>
      <c r="B114" s="9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</row>
    <row r="115" ht="12.75" customHeight="1">
      <c r="A115" s="8"/>
      <c r="B115" s="9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</row>
    <row r="116" ht="12.75" customHeight="1">
      <c r="A116" s="8"/>
      <c r="B116" s="9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</row>
    <row r="117" ht="12.75" customHeight="1">
      <c r="A117" s="8"/>
      <c r="B117" s="9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</row>
    <row r="118" ht="12.75" customHeight="1">
      <c r="A118" s="8"/>
      <c r="B118" s="9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</row>
    <row r="119" ht="12.75" customHeight="1">
      <c r="A119" s="8"/>
      <c r="B119" s="9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ht="12.75" customHeight="1">
      <c r="A120" s="8"/>
      <c r="B120" s="9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</row>
    <row r="121" ht="12.75" customHeight="1">
      <c r="A121" s="8"/>
      <c r="B121" s="9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</row>
    <row r="122" ht="12.75" customHeight="1">
      <c r="A122" s="8"/>
      <c r="B122" s="9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</row>
    <row r="123" ht="12.75" customHeight="1">
      <c r="A123" s="8"/>
      <c r="B123" s="9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</row>
    <row r="124" ht="12.75" customHeight="1">
      <c r="A124" s="8"/>
      <c r="B124" s="9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</row>
    <row r="125" ht="12.75" customHeight="1">
      <c r="A125" s="8"/>
      <c r="B125" s="9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</row>
    <row r="126" ht="12.75" customHeight="1">
      <c r="A126" s="8"/>
      <c r="B126" s="9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ht="12.75" customHeight="1">
      <c r="A127" s="8"/>
      <c r="B127" s="9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</row>
    <row r="128" ht="12.75" customHeight="1">
      <c r="A128" s="8"/>
      <c r="B128" s="9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 ht="12.75" customHeight="1">
      <c r="A129" s="8"/>
      <c r="B129" s="9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</row>
    <row r="130" ht="12.75" customHeight="1">
      <c r="A130" s="8"/>
      <c r="B130" s="9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 ht="12.75" customHeight="1">
      <c r="A131" s="8"/>
      <c r="B131" s="9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 ht="12.75" customHeight="1">
      <c r="A132" s="8"/>
      <c r="B132" s="9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</row>
    <row r="133" ht="12.75" customHeight="1">
      <c r="A133" s="8"/>
      <c r="B133" s="9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ht="12.75" customHeight="1">
      <c r="A134" s="8"/>
      <c r="B134" s="9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</row>
    <row r="135" ht="12.75" customHeight="1">
      <c r="A135" s="8"/>
      <c r="B135" s="9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</row>
    <row r="136" ht="12.75" customHeight="1">
      <c r="A136" s="8"/>
      <c r="B136" s="9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</row>
    <row r="137" ht="12.75" customHeight="1">
      <c r="A137" s="8"/>
      <c r="B137" s="9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</row>
    <row r="138" ht="12.75" customHeight="1">
      <c r="A138" s="8"/>
      <c r="B138" s="9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</row>
    <row r="139" ht="12.75" customHeight="1">
      <c r="A139" s="8"/>
      <c r="B139" s="9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</row>
    <row r="140" ht="12.75" customHeight="1">
      <c r="A140" s="8"/>
      <c r="B140" s="9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ht="12.75" customHeight="1">
      <c r="A141" s="8"/>
      <c r="B141" s="9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</row>
    <row r="142" ht="12.75" customHeight="1">
      <c r="A142" s="8"/>
      <c r="B142" s="9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</row>
    <row r="143" ht="12.75" customHeight="1">
      <c r="A143" s="8"/>
      <c r="B143" s="9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</row>
    <row r="144" ht="12.75" customHeight="1">
      <c r="A144" s="8"/>
      <c r="B144" s="9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</row>
    <row r="145" ht="12.75" customHeight="1">
      <c r="A145" s="8"/>
      <c r="B145" s="9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ht="12.75" customHeight="1">
      <c r="A146" s="8"/>
      <c r="B146" s="9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ht="12.75" customHeight="1">
      <c r="A147" s="8"/>
      <c r="B147" s="9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ht="12.75" customHeight="1">
      <c r="A148" s="8"/>
      <c r="B148" s="9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ht="12.75" customHeight="1">
      <c r="A149" s="8"/>
      <c r="B149" s="9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ht="12.75" customHeight="1">
      <c r="A150" s="8"/>
      <c r="B150" s="9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ht="12.75" customHeight="1">
      <c r="A151" s="8"/>
      <c r="B151" s="9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ht="12.75" customHeight="1">
      <c r="A152" s="8"/>
      <c r="B152" s="9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ht="12.75" customHeight="1">
      <c r="A153" s="8"/>
      <c r="B153" s="9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ht="12.75" customHeight="1">
      <c r="A154" s="8"/>
      <c r="B154" s="9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ht="12.75" customHeight="1">
      <c r="A155" s="8"/>
      <c r="B155" s="9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ht="12.75" customHeight="1">
      <c r="A156" s="8"/>
      <c r="B156" s="9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ht="12.75" customHeight="1">
      <c r="A157" s="8"/>
      <c r="B157" s="9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ht="12.75" customHeight="1">
      <c r="A158" s="8"/>
      <c r="B158" s="9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ht="12.75" customHeight="1">
      <c r="A159" s="8"/>
      <c r="B159" s="9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ht="12.75" customHeight="1">
      <c r="A160" s="8"/>
      <c r="B160" s="9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ht="12.75" customHeight="1">
      <c r="A161" s="8"/>
      <c r="B161" s="9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ht="12.75" customHeight="1">
      <c r="A162" s="8"/>
      <c r="B162" s="9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ht="12.75" customHeight="1">
      <c r="A163" s="8"/>
      <c r="B163" s="9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ht="12.75" customHeight="1">
      <c r="A164" s="8"/>
      <c r="B164" s="9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ht="12.75" customHeight="1">
      <c r="A165" s="8"/>
      <c r="B165" s="9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ht="12.75" customHeight="1">
      <c r="A166" s="8"/>
      <c r="B166" s="9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ht="12.75" customHeight="1">
      <c r="A167" s="8"/>
      <c r="B167" s="9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ht="12.75" customHeight="1">
      <c r="A168" s="8"/>
      <c r="B168" s="9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ht="12.75" customHeight="1">
      <c r="A169" s="8"/>
      <c r="B169" s="9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ht="12.75" customHeight="1">
      <c r="A170" s="8"/>
      <c r="B170" s="9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ht="12.75" customHeight="1">
      <c r="A171" s="8"/>
      <c r="B171" s="9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ht="12.75" customHeight="1">
      <c r="A172" s="8"/>
      <c r="B172" s="9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ht="12.75" customHeight="1">
      <c r="A173" s="8"/>
      <c r="B173" s="9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ht="12.75" customHeight="1">
      <c r="A174" s="8"/>
      <c r="B174" s="9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ht="12.75" customHeight="1">
      <c r="A175" s="8"/>
      <c r="B175" s="9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ht="12.75" customHeight="1">
      <c r="A176" s="8"/>
      <c r="B176" s="9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ht="12.75" customHeight="1">
      <c r="A177" s="8"/>
      <c r="B177" s="9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ht="12.75" customHeight="1">
      <c r="A178" s="8"/>
      <c r="B178" s="9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ht="12.75" customHeight="1">
      <c r="A179" s="8"/>
      <c r="B179" s="9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ht="12.75" customHeight="1">
      <c r="A180" s="8"/>
      <c r="B180" s="9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ht="12.75" customHeight="1">
      <c r="A181" s="8"/>
      <c r="B181" s="9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ht="12.75" customHeight="1">
      <c r="A182" s="8"/>
      <c r="B182" s="9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ht="12.75" customHeight="1">
      <c r="A183" s="8"/>
      <c r="B183" s="9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ht="12.75" customHeight="1">
      <c r="A184" s="8"/>
      <c r="B184" s="9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ht="12.75" customHeight="1">
      <c r="A185" s="8"/>
      <c r="B185" s="9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ht="12.75" customHeight="1">
      <c r="A186" s="8"/>
      <c r="B186" s="9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ht="12.75" customHeight="1">
      <c r="A187" s="8"/>
      <c r="B187" s="9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ht="12.75" customHeight="1">
      <c r="A188" s="8"/>
      <c r="B188" s="9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ht="12.75" customHeight="1">
      <c r="A189" s="8"/>
      <c r="B189" s="9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ht="12.75" customHeight="1">
      <c r="A190" s="8"/>
      <c r="B190" s="9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ht="12.75" customHeight="1">
      <c r="A191" s="8"/>
      <c r="B191" s="9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ht="12.75" customHeight="1">
      <c r="A192" s="8"/>
      <c r="B192" s="9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ht="12.75" customHeight="1">
      <c r="A193" s="8"/>
      <c r="B193" s="9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ht="12.75" customHeight="1">
      <c r="A194" s="8"/>
      <c r="B194" s="9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ht="12.75" customHeight="1">
      <c r="A195" s="8"/>
      <c r="B195" s="9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ht="12.75" customHeight="1">
      <c r="A196" s="8"/>
      <c r="B196" s="9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ht="12.75" customHeight="1">
      <c r="A197" s="8"/>
      <c r="B197" s="9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ht="12.75" customHeight="1">
      <c r="A198" s="8"/>
      <c r="B198" s="9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ht="12.75" customHeight="1">
      <c r="A199" s="8"/>
      <c r="B199" s="9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ht="12.75" customHeight="1">
      <c r="A200" s="8"/>
      <c r="B200" s="9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ht="12.75" customHeight="1">
      <c r="A201" s="8"/>
      <c r="B201" s="9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ht="12.75" customHeight="1">
      <c r="A202" s="8"/>
      <c r="B202" s="9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ht="12.75" customHeight="1">
      <c r="A203" s="8"/>
      <c r="B203" s="9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 ht="12.75" customHeight="1">
      <c r="A204" s="8"/>
      <c r="B204" s="9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 ht="12.75" customHeight="1">
      <c r="A205" s="8"/>
      <c r="B205" s="9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 ht="12.75" customHeight="1">
      <c r="A206" s="8"/>
      <c r="B206" s="9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ht="12.75" customHeight="1">
      <c r="A207" s="8"/>
      <c r="B207" s="9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</row>
    <row r="208" ht="12.75" customHeight="1">
      <c r="A208" s="8"/>
      <c r="B208" s="9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</row>
    <row r="209" ht="12.75" customHeight="1">
      <c r="A209" s="8"/>
      <c r="B209" s="9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 ht="12.75" customHeight="1">
      <c r="A210" s="8"/>
      <c r="B210" s="9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</row>
    <row r="211" ht="12.75" customHeight="1">
      <c r="A211" s="8"/>
      <c r="B211" s="9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</row>
    <row r="212" ht="12.75" customHeight="1">
      <c r="A212" s="8"/>
      <c r="B212" s="9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</row>
    <row r="213" ht="12.75" customHeight="1">
      <c r="A213" s="8"/>
      <c r="B213" s="9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</row>
    <row r="214" ht="12.75" customHeight="1">
      <c r="A214" s="8"/>
      <c r="B214" s="9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</row>
    <row r="215" ht="12.75" customHeight="1">
      <c r="A215" s="8"/>
      <c r="B215" s="9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</row>
    <row r="216" ht="12.75" customHeight="1">
      <c r="A216" s="8"/>
      <c r="B216" s="9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ht="12.75" customHeight="1">
      <c r="A217" s="8"/>
      <c r="B217" s="9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ht="12.75" customHeight="1">
      <c r="A218" s="8"/>
      <c r="B218" s="9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ht="12.75" customHeight="1">
      <c r="A219" s="8"/>
      <c r="B219" s="9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ht="12.75" customHeight="1">
      <c r="A220" s="8"/>
      <c r="B220" s="9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ht="12.75" customHeight="1">
      <c r="A221" s="8"/>
      <c r="B221" s="9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ht="12.75" customHeight="1">
      <c r="A222" s="8"/>
      <c r="B222" s="9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ht="12.75" customHeight="1">
      <c r="A223" s="8"/>
      <c r="B223" s="9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ht="12.75" customHeight="1">
      <c r="A224" s="8"/>
      <c r="B224" s="9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ht="12.75" customHeight="1">
      <c r="A225" s="8"/>
      <c r="B225" s="9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ht="12.75" customHeight="1">
      <c r="A226" s="8"/>
      <c r="B226" s="9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ht="12.75" customHeight="1">
      <c r="A227" s="8"/>
      <c r="B227" s="9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ht="12.75" customHeight="1">
      <c r="A228" s="8"/>
      <c r="B228" s="9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ht="12.75" customHeight="1">
      <c r="A229" s="8"/>
      <c r="B229" s="9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ht="12.75" customHeight="1">
      <c r="A230" s="8"/>
      <c r="B230" s="9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ht="12.75" customHeight="1">
      <c r="A231" s="8"/>
      <c r="B231" s="9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ht="12.75" customHeight="1">
      <c r="A232" s="8"/>
      <c r="B232" s="9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ht="12.75" customHeight="1">
      <c r="A233" s="8"/>
      <c r="B233" s="9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ht="12.75" customHeight="1">
      <c r="A234" s="8"/>
      <c r="B234" s="9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ht="12.75" customHeight="1">
      <c r="A235" s="8"/>
      <c r="B235" s="9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ht="12.75" customHeight="1">
      <c r="A236" s="8"/>
      <c r="B236" s="9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ht="12.75" customHeight="1">
      <c r="A237" s="8"/>
      <c r="B237" s="9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ht="12.75" customHeight="1">
      <c r="A238" s="8"/>
      <c r="B238" s="9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ht="12.75" customHeight="1">
      <c r="A239" s="8"/>
      <c r="B239" s="9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ht="12.75" customHeight="1">
      <c r="A240" s="8"/>
      <c r="B240" s="9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ht="12.75" customHeight="1">
      <c r="A241" s="8"/>
      <c r="B241" s="9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ht="12.75" customHeight="1">
      <c r="A242" s="8"/>
      <c r="B242" s="9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ht="12.75" customHeight="1">
      <c r="A243" s="8"/>
      <c r="B243" s="9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ht="12.75" customHeight="1">
      <c r="A244" s="8"/>
      <c r="B244" s="9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ht="12.75" customHeight="1">
      <c r="A245" s="8"/>
      <c r="B245" s="9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5"/>
    <col customWidth="1" min="2" max="2" width="42.88"/>
    <col customWidth="1" min="3" max="3" width="10.63"/>
    <col customWidth="1" min="4" max="4" width="70.38"/>
    <col customWidth="1" min="5" max="22" width="10.63"/>
  </cols>
  <sheetData>
    <row r="1" ht="13.5" customHeight="1">
      <c r="A1" s="1" t="s">
        <v>0</v>
      </c>
      <c r="B1" s="2" t="s">
        <v>1</v>
      </c>
      <c r="C1" s="10" t="s">
        <v>48</v>
      </c>
      <c r="D1" s="10" t="s">
        <v>47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ht="12.75" customHeight="1">
      <c r="A2" s="17" t="s">
        <v>2</v>
      </c>
      <c r="B2" s="18" t="s">
        <v>3</v>
      </c>
      <c r="C2" s="19">
        <v>1.0</v>
      </c>
      <c r="D2" s="20" t="s">
        <v>49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12.75" customHeight="1">
      <c r="A3" s="17" t="s">
        <v>2</v>
      </c>
      <c r="B3" s="18" t="s">
        <v>4</v>
      </c>
      <c r="C3" s="21">
        <v>1.0</v>
      </c>
      <c r="D3" s="22" t="s">
        <v>50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ht="12.75" customHeight="1">
      <c r="A4" s="17" t="s">
        <v>5</v>
      </c>
      <c r="B4" s="18" t="s">
        <v>6</v>
      </c>
      <c r="C4" s="19">
        <v>1.0</v>
      </c>
      <c r="D4" s="20" t="s">
        <v>51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ht="12.75" customHeight="1">
      <c r="A5" s="17" t="s">
        <v>7</v>
      </c>
      <c r="B5" s="18" t="s">
        <v>8</v>
      </c>
      <c r="C5" s="21">
        <v>1.0</v>
      </c>
      <c r="D5" s="22" t="s">
        <v>52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ht="12.75" customHeight="1">
      <c r="A6" s="17" t="s">
        <v>5</v>
      </c>
      <c r="B6" s="18" t="s">
        <v>9</v>
      </c>
      <c r="C6" s="19">
        <v>1.0</v>
      </c>
      <c r="D6" s="20" t="s">
        <v>53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ht="12.75" customHeight="1">
      <c r="A7" s="17" t="s">
        <v>2</v>
      </c>
      <c r="B7" s="18" t="s">
        <v>10</v>
      </c>
      <c r="C7" s="21">
        <v>1.0</v>
      </c>
      <c r="D7" s="22" t="s">
        <v>54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ht="12.75" customHeight="1">
      <c r="A8" s="17" t="s">
        <v>2</v>
      </c>
      <c r="B8" s="18" t="s">
        <v>11</v>
      </c>
      <c r="C8" s="19">
        <v>1.0</v>
      </c>
      <c r="D8" s="20" t="s">
        <v>55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ht="12.75" customHeight="1">
      <c r="A9" s="17" t="s">
        <v>5</v>
      </c>
      <c r="B9" s="18" t="s">
        <v>12</v>
      </c>
      <c r="C9" s="21">
        <v>1.0</v>
      </c>
      <c r="D9" s="22" t="s">
        <v>56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ht="12.75" customHeight="1">
      <c r="A10" s="17" t="s">
        <v>13</v>
      </c>
      <c r="B10" s="18" t="s">
        <v>14</v>
      </c>
      <c r="C10" s="19">
        <v>1.0</v>
      </c>
      <c r="D10" s="20" t="s">
        <v>57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ht="12.75" customHeight="1">
      <c r="A11" s="17" t="s">
        <v>5</v>
      </c>
      <c r="B11" s="18" t="s">
        <v>15</v>
      </c>
      <c r="C11" s="21">
        <v>1.0</v>
      </c>
      <c r="D11" s="22" t="s">
        <v>58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ht="12.75" customHeight="1">
      <c r="A12" s="17" t="s">
        <v>13</v>
      </c>
      <c r="B12" s="18" t="s">
        <v>16</v>
      </c>
      <c r="C12" s="19">
        <v>1.0</v>
      </c>
      <c r="D12" s="20" t="s">
        <v>59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ht="12.75" customHeight="1">
      <c r="A13" s="17" t="s">
        <v>17</v>
      </c>
      <c r="B13" s="18" t="s">
        <v>18</v>
      </c>
      <c r="C13" s="21">
        <v>0.0</v>
      </c>
      <c r="D13" s="22" t="s">
        <v>60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ht="12.75" customHeight="1">
      <c r="A14" s="17" t="s">
        <v>2</v>
      </c>
      <c r="B14" s="18" t="s">
        <v>19</v>
      </c>
      <c r="C14" s="19">
        <v>1.0</v>
      </c>
      <c r="D14" s="20" t="s">
        <v>61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ht="12.75" customHeight="1">
      <c r="A15" s="17" t="s">
        <v>5</v>
      </c>
      <c r="B15" s="18" t="s">
        <v>20</v>
      </c>
      <c r="C15" s="21">
        <v>1.0</v>
      </c>
      <c r="D15" s="22" t="s">
        <v>62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ht="12.75" customHeight="1">
      <c r="A16" s="17" t="s">
        <v>5</v>
      </c>
      <c r="B16" s="18" t="s">
        <v>21</v>
      </c>
      <c r="C16" s="19">
        <v>1.0</v>
      </c>
      <c r="D16" s="20" t="s">
        <v>63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ht="15.0" customHeight="1">
      <c r="A17" s="17" t="s">
        <v>13</v>
      </c>
      <c r="B17" s="18" t="s">
        <v>22</v>
      </c>
      <c r="C17" s="21">
        <v>1.0</v>
      </c>
      <c r="D17" s="22" t="s">
        <v>64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ht="12.75" customHeight="1">
      <c r="A18" s="17" t="s">
        <v>5</v>
      </c>
      <c r="B18" s="18" t="s">
        <v>21</v>
      </c>
      <c r="C18" s="19">
        <v>1.0</v>
      </c>
      <c r="D18" s="20" t="s">
        <v>65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ht="12.75" customHeight="1">
      <c r="A19" s="17" t="s">
        <v>13</v>
      </c>
      <c r="B19" s="18" t="s">
        <v>23</v>
      </c>
      <c r="C19" s="21">
        <v>1.0</v>
      </c>
      <c r="D19" s="22" t="s">
        <v>66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ht="12.75" customHeight="1">
      <c r="A20" s="17" t="s">
        <v>5</v>
      </c>
      <c r="B20" s="18" t="s">
        <v>24</v>
      </c>
      <c r="C20" s="19">
        <v>0.0</v>
      </c>
      <c r="D20" s="20" t="s">
        <v>67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ht="12.75" customHeight="1">
      <c r="A21" s="17" t="s">
        <v>17</v>
      </c>
      <c r="B21" s="18" t="s">
        <v>25</v>
      </c>
      <c r="C21" s="21">
        <v>0.0</v>
      </c>
      <c r="D21" s="22" t="s">
        <v>68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ht="12.75" customHeight="1">
      <c r="A22" s="17" t="s">
        <v>5</v>
      </c>
      <c r="B22" s="18" t="s">
        <v>26</v>
      </c>
      <c r="C22" s="19">
        <v>0.0</v>
      </c>
      <c r="D22" s="20" t="s">
        <v>69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ht="12.75" customHeight="1">
      <c r="A23" s="17" t="s">
        <v>17</v>
      </c>
      <c r="B23" s="18" t="s">
        <v>27</v>
      </c>
      <c r="C23" s="21">
        <v>0.0</v>
      </c>
      <c r="D23" s="22" t="s">
        <v>70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ht="12.75" customHeight="1">
      <c r="A24" s="17" t="s">
        <v>5</v>
      </c>
      <c r="B24" s="18" t="s">
        <v>28</v>
      </c>
      <c r="C24" s="19">
        <v>1.0</v>
      </c>
      <c r="D24" s="20" t="s">
        <v>71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ht="12.75" customHeight="1">
      <c r="A25" s="17" t="s">
        <v>13</v>
      </c>
      <c r="B25" s="18" t="s">
        <v>29</v>
      </c>
      <c r="C25" s="21">
        <v>1.0</v>
      </c>
      <c r="D25" s="22" t="s">
        <v>72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ht="15.0" customHeight="1">
      <c r="A26" s="17" t="s">
        <v>7</v>
      </c>
      <c r="B26" s="18" t="s">
        <v>30</v>
      </c>
      <c r="C26" s="19">
        <v>1.0</v>
      </c>
      <c r="D26" s="20" t="s">
        <v>73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ht="12.75" customHeight="1">
      <c r="A27" s="17" t="s">
        <v>5</v>
      </c>
      <c r="B27" s="18" t="s">
        <v>31</v>
      </c>
      <c r="C27" s="21">
        <v>1.0</v>
      </c>
      <c r="D27" s="22" t="s">
        <v>74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ht="12.75" customHeight="1">
      <c r="A28" s="17" t="s">
        <v>5</v>
      </c>
      <c r="B28" s="18" t="s">
        <v>32</v>
      </c>
      <c r="C28" s="19">
        <v>1.0</v>
      </c>
      <c r="D28" s="20" t="s">
        <v>75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ht="12.75" customHeight="1">
      <c r="A29" s="17" t="s">
        <v>5</v>
      </c>
      <c r="B29" s="18" t="s">
        <v>33</v>
      </c>
      <c r="C29" s="21">
        <v>1.0</v>
      </c>
      <c r="D29" s="22" t="s">
        <v>76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ht="12.75" customHeight="1">
      <c r="A30" s="17" t="s">
        <v>34</v>
      </c>
      <c r="B30" s="18" t="s">
        <v>35</v>
      </c>
      <c r="C30" s="19">
        <v>0.0</v>
      </c>
      <c r="D30" s="20" t="s">
        <v>77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ht="12.75" customHeight="1">
      <c r="A31" s="17" t="s">
        <v>2</v>
      </c>
      <c r="B31" s="18" t="s">
        <v>36</v>
      </c>
      <c r="C31" s="21">
        <v>1.0</v>
      </c>
      <c r="D31" s="22" t="s">
        <v>78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ht="12.75" customHeight="1">
      <c r="A32" s="17" t="s">
        <v>5</v>
      </c>
      <c r="B32" s="18" t="s">
        <v>37</v>
      </c>
      <c r="C32" s="19">
        <v>1.0</v>
      </c>
      <c r="D32" s="20" t="s">
        <v>79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</row>
    <row r="33" ht="12.75" customHeight="1">
      <c r="A33" s="17" t="s">
        <v>13</v>
      </c>
      <c r="B33" s="18" t="s">
        <v>38</v>
      </c>
      <c r="C33" s="21">
        <v>1.0</v>
      </c>
      <c r="D33" s="22" t="s">
        <v>80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</row>
    <row r="34" ht="12.75" customHeight="1">
      <c r="A34" s="17" t="s">
        <v>5</v>
      </c>
      <c r="B34" s="18" t="s">
        <v>39</v>
      </c>
      <c r="C34" s="19">
        <v>1.0</v>
      </c>
      <c r="D34" s="20" t="s">
        <v>81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ht="12.75" customHeight="1">
      <c r="A35" s="17" t="s">
        <v>2</v>
      </c>
      <c r="B35" s="18" t="s">
        <v>40</v>
      </c>
      <c r="C35" s="21">
        <v>1.0</v>
      </c>
      <c r="D35" s="22" t="s">
        <v>82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ht="12.75" customHeight="1">
      <c r="A36" s="17" t="s">
        <v>2</v>
      </c>
      <c r="B36" s="18" t="s">
        <v>41</v>
      </c>
      <c r="C36" s="19">
        <v>1.0</v>
      </c>
      <c r="D36" s="20" t="s">
        <v>83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ht="12.75" customHeight="1">
      <c r="A37" s="17" t="s">
        <v>5</v>
      </c>
      <c r="B37" s="18" t="s">
        <v>42</v>
      </c>
      <c r="C37" s="21">
        <v>1.0</v>
      </c>
      <c r="D37" s="22" t="s">
        <v>84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ht="12.75" customHeight="1">
      <c r="A38" s="17" t="s">
        <v>5</v>
      </c>
      <c r="B38" s="18" t="s">
        <v>43</v>
      </c>
      <c r="C38" s="19">
        <v>1.0</v>
      </c>
      <c r="D38" s="20" t="s">
        <v>85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ht="15.0" customHeight="1">
      <c r="A39" s="23" t="s">
        <v>2</v>
      </c>
      <c r="B39" s="24" t="s">
        <v>44</v>
      </c>
      <c r="C39" s="25">
        <v>0.0</v>
      </c>
      <c r="D39" s="26" t="s">
        <v>86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ht="15.0" customHeight="1">
      <c r="A40" s="17" t="s">
        <v>5</v>
      </c>
      <c r="B40" s="18" t="s">
        <v>44</v>
      </c>
      <c r="C40" s="19">
        <v>0.0</v>
      </c>
      <c r="D40" s="20" t="s">
        <v>87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ht="15.0" customHeight="1">
      <c r="A41" s="17" t="s">
        <v>13</v>
      </c>
      <c r="B41" s="18" t="s">
        <v>44</v>
      </c>
      <c r="C41" s="21">
        <v>0.0</v>
      </c>
      <c r="D41" s="22" t="s">
        <v>88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ht="15.0" customHeight="1">
      <c r="A42" s="17" t="s">
        <v>17</v>
      </c>
      <c r="B42" s="18" t="s">
        <v>44</v>
      </c>
      <c r="C42" s="19">
        <v>0.0</v>
      </c>
      <c r="D42" s="20" t="s">
        <v>89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ht="15.0" customHeight="1">
      <c r="A43" s="17" t="s">
        <v>7</v>
      </c>
      <c r="B43" s="18" t="s">
        <v>44</v>
      </c>
      <c r="C43" s="21">
        <v>0.0</v>
      </c>
      <c r="D43" s="22" t="s">
        <v>90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ht="15.0" customHeight="1">
      <c r="A44" s="17" t="s">
        <v>45</v>
      </c>
      <c r="B44" s="18" t="s">
        <v>44</v>
      </c>
      <c r="C44" s="19">
        <v>0.0</v>
      </c>
      <c r="D44" s="20" t="s">
        <v>91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ht="15.0" customHeight="1">
      <c r="A45" s="17" t="s">
        <v>34</v>
      </c>
      <c r="B45" s="18" t="s">
        <v>44</v>
      </c>
      <c r="C45" s="21">
        <v>0.0</v>
      </c>
      <c r="D45" s="22" t="s">
        <v>92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</row>
    <row r="46" ht="15.0" customHeight="1">
      <c r="A46" s="8"/>
      <c r="B46" s="9"/>
      <c r="C46" s="3"/>
      <c r="D46" s="3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</row>
    <row r="47" ht="15.0" customHeight="1">
      <c r="A47" s="8"/>
      <c r="B47" s="9"/>
      <c r="C47" s="3"/>
      <c r="D47" s="3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</row>
    <row r="48" ht="15.0" customHeight="1">
      <c r="A48" s="8"/>
      <c r="B48" s="9"/>
      <c r="C48" s="3"/>
      <c r="D48" s="3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</row>
    <row r="49" ht="12.75" customHeight="1">
      <c r="A49" s="8"/>
      <c r="B49" s="9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</row>
    <row r="50" ht="12.75" customHeight="1">
      <c r="A50" s="8"/>
      <c r="B50" s="9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</row>
    <row r="51" ht="12.75" customHeight="1">
      <c r="A51" s="8"/>
      <c r="B51" s="9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</row>
    <row r="52" ht="12.75" customHeight="1">
      <c r="A52" s="8"/>
      <c r="B52" s="9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</row>
    <row r="53" ht="12.75" customHeight="1">
      <c r="A53" s="8"/>
      <c r="B53" s="9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</row>
    <row r="54" ht="12.75" customHeight="1">
      <c r="A54" s="8"/>
      <c r="B54" s="9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</row>
    <row r="55" ht="12.75" customHeight="1">
      <c r="A55" s="8"/>
      <c r="B55" s="9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</row>
    <row r="56" ht="12.75" customHeight="1">
      <c r="A56" s="8"/>
      <c r="B56" s="9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 ht="12.75" customHeight="1">
      <c r="A57" s="8"/>
      <c r="B57" s="9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</row>
    <row r="58" ht="12.75" customHeight="1">
      <c r="A58" s="8"/>
      <c r="B58" s="9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</row>
    <row r="59" ht="12.75" customHeight="1">
      <c r="A59" s="8"/>
      <c r="B59" s="9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</row>
    <row r="60" ht="12.75" customHeight="1">
      <c r="A60" s="8"/>
      <c r="B60" s="9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</row>
    <row r="61" ht="12.75" customHeight="1">
      <c r="A61" s="8"/>
      <c r="B61" s="9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</row>
    <row r="62" ht="12.75" customHeight="1">
      <c r="A62" s="8"/>
      <c r="B62" s="9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</row>
    <row r="63" ht="12.75" customHeight="1">
      <c r="A63" s="8"/>
      <c r="B63" s="9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</row>
    <row r="64" ht="12.75" customHeight="1">
      <c r="A64" s="8"/>
      <c r="B64" s="9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</row>
    <row r="65" ht="12.75" customHeight="1">
      <c r="A65" s="8"/>
      <c r="B65" s="9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</row>
    <row r="66" ht="12.75" customHeight="1">
      <c r="A66" s="8"/>
      <c r="B66" s="9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</row>
    <row r="67" ht="12.75" customHeight="1">
      <c r="A67" s="8"/>
      <c r="B67" s="9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</row>
    <row r="68" ht="12.75" customHeight="1">
      <c r="A68" s="8"/>
      <c r="B68" s="9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</row>
    <row r="69" ht="12.75" customHeight="1">
      <c r="A69" s="8"/>
      <c r="B69" s="9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</row>
    <row r="70" ht="12.75" customHeight="1">
      <c r="A70" s="8"/>
      <c r="B70" s="9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  <row r="71" ht="12.75" customHeight="1">
      <c r="A71" s="8"/>
      <c r="B71" s="9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</row>
    <row r="72" ht="12.75" customHeight="1">
      <c r="A72" s="8"/>
      <c r="B72" s="9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</row>
    <row r="73" ht="12.75" customHeight="1">
      <c r="A73" s="8"/>
      <c r="B73" s="9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</row>
    <row r="74" ht="12.75" customHeight="1">
      <c r="A74" s="8"/>
      <c r="B74" s="9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</row>
    <row r="75" ht="12.75" customHeight="1">
      <c r="A75" s="8"/>
      <c r="B75" s="9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</row>
    <row r="76" ht="12.75" customHeight="1">
      <c r="A76" s="8"/>
      <c r="B76" s="9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</row>
    <row r="77" ht="12.75" customHeight="1">
      <c r="A77" s="8"/>
      <c r="B77" s="9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</row>
    <row r="78" ht="12.75" customHeight="1">
      <c r="A78" s="8"/>
      <c r="B78" s="9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</row>
    <row r="79" ht="12.75" customHeight="1">
      <c r="A79" s="8"/>
      <c r="B79" s="9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</row>
    <row r="80" ht="12.75" customHeight="1">
      <c r="A80" s="8"/>
      <c r="B80" s="9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</row>
    <row r="81" ht="12.75" customHeight="1">
      <c r="A81" s="8"/>
      <c r="B81" s="9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</row>
    <row r="82" ht="12.75" customHeight="1">
      <c r="A82" s="8"/>
      <c r="B82" s="9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</row>
    <row r="83" ht="12.75" customHeight="1">
      <c r="A83" s="8"/>
      <c r="B83" s="9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</row>
    <row r="84" ht="12.75" customHeight="1">
      <c r="A84" s="8"/>
      <c r="B84" s="9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</row>
    <row r="85" ht="12.75" customHeight="1">
      <c r="A85" s="8"/>
      <c r="B85" s="9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</row>
    <row r="86" ht="12.75" customHeight="1">
      <c r="A86" s="8"/>
      <c r="B86" s="9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ht="12.75" customHeight="1">
      <c r="A87" s="8"/>
      <c r="B87" s="9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  <row r="88" ht="12.75" customHeight="1">
      <c r="A88" s="8"/>
      <c r="B88" s="9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</row>
    <row r="89" ht="12.75" customHeight="1">
      <c r="A89" s="8"/>
      <c r="B89" s="9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</row>
    <row r="90" ht="12.75" customHeight="1">
      <c r="A90" s="8"/>
      <c r="B90" s="9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</row>
    <row r="91" ht="12.75" customHeight="1">
      <c r="A91" s="8"/>
      <c r="B91" s="9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</row>
    <row r="92" ht="12.75" customHeight="1">
      <c r="A92" s="8"/>
      <c r="B92" s="9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</row>
    <row r="93" ht="12.75" customHeight="1">
      <c r="A93" s="8"/>
      <c r="B93" s="9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</row>
    <row r="94" ht="12.75" customHeight="1">
      <c r="A94" s="8"/>
      <c r="B94" s="9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</row>
    <row r="95" ht="12.75" customHeight="1">
      <c r="A95" s="8"/>
      <c r="B95" s="9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</row>
    <row r="96" ht="12.75" customHeight="1">
      <c r="A96" s="8"/>
      <c r="B96" s="9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</row>
    <row r="97" ht="12.75" customHeight="1">
      <c r="A97" s="8"/>
      <c r="B97" s="9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</row>
    <row r="98" ht="12.75" customHeight="1">
      <c r="A98" s="8"/>
      <c r="B98" s="9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</row>
    <row r="99" ht="12.75" customHeight="1">
      <c r="A99" s="8"/>
      <c r="B99" s="9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</row>
    <row r="100" ht="12.75" customHeight="1">
      <c r="A100" s="8"/>
      <c r="B100" s="9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</row>
    <row r="101" ht="12.75" customHeight="1">
      <c r="A101" s="8"/>
      <c r="B101" s="9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</row>
    <row r="102" ht="12.75" customHeight="1">
      <c r="A102" s="8"/>
      <c r="B102" s="9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  <row r="103" ht="12.75" customHeight="1">
      <c r="A103" s="8"/>
      <c r="B103" s="9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</row>
    <row r="104" ht="12.75" customHeight="1">
      <c r="A104" s="8"/>
      <c r="B104" s="9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 ht="12.75" customHeight="1">
      <c r="A105" s="8"/>
      <c r="B105" s="9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ht="12.75" customHeight="1">
      <c r="A106" s="8"/>
      <c r="B106" s="9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ht="12.75" customHeight="1">
      <c r="A107" s="8"/>
      <c r="B107" s="9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ht="12.75" customHeight="1">
      <c r="A108" s="8"/>
      <c r="B108" s="9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</row>
    <row r="109" ht="12.75" customHeight="1">
      <c r="A109" s="8"/>
      <c r="B109" s="9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</row>
    <row r="110" ht="12.75" customHeight="1">
      <c r="A110" s="8"/>
      <c r="B110" s="9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</row>
    <row r="111" ht="12.75" customHeight="1">
      <c r="A111" s="8"/>
      <c r="B111" s="9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</row>
    <row r="112" ht="12.75" customHeight="1">
      <c r="A112" s="8"/>
      <c r="B112" s="9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ht="12.75" customHeight="1">
      <c r="A113" s="8"/>
      <c r="B113" s="9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</row>
    <row r="114" ht="12.75" customHeight="1">
      <c r="A114" s="8"/>
      <c r="B114" s="9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</row>
    <row r="115" ht="12.75" customHeight="1">
      <c r="A115" s="8"/>
      <c r="B115" s="9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</row>
    <row r="116" ht="12.75" customHeight="1">
      <c r="A116" s="8"/>
      <c r="B116" s="9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</row>
    <row r="117" ht="12.75" customHeight="1">
      <c r="A117" s="8"/>
      <c r="B117" s="9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</row>
    <row r="118" ht="12.75" customHeight="1">
      <c r="A118" s="8"/>
      <c r="B118" s="9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</row>
    <row r="119" ht="12.75" customHeight="1">
      <c r="A119" s="8"/>
      <c r="B119" s="9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ht="12.75" customHeight="1">
      <c r="A120" s="8"/>
      <c r="B120" s="9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</row>
    <row r="121" ht="12.75" customHeight="1">
      <c r="A121" s="8"/>
      <c r="B121" s="9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</row>
    <row r="122" ht="12.75" customHeight="1">
      <c r="A122" s="8"/>
      <c r="B122" s="9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</row>
    <row r="123" ht="12.75" customHeight="1">
      <c r="A123" s="8"/>
      <c r="B123" s="9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</row>
    <row r="124" ht="12.75" customHeight="1">
      <c r="A124" s="8"/>
      <c r="B124" s="9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</row>
    <row r="125" ht="12.75" customHeight="1">
      <c r="A125" s="8"/>
      <c r="B125" s="9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</row>
    <row r="126" ht="12.75" customHeight="1">
      <c r="A126" s="8"/>
      <c r="B126" s="9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ht="12.75" customHeight="1">
      <c r="A127" s="8"/>
      <c r="B127" s="9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</row>
    <row r="128" ht="12.75" customHeight="1">
      <c r="A128" s="8"/>
      <c r="B128" s="9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 ht="12.75" customHeight="1">
      <c r="A129" s="8"/>
      <c r="B129" s="9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</row>
    <row r="130" ht="12.75" customHeight="1">
      <c r="A130" s="8"/>
      <c r="B130" s="9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 ht="12.75" customHeight="1">
      <c r="A131" s="8"/>
      <c r="B131" s="9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 ht="12.75" customHeight="1">
      <c r="A132" s="8"/>
      <c r="B132" s="9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</row>
    <row r="133" ht="12.75" customHeight="1">
      <c r="A133" s="8"/>
      <c r="B133" s="9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ht="12.75" customHeight="1">
      <c r="A134" s="8"/>
      <c r="B134" s="9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</row>
    <row r="135" ht="12.75" customHeight="1">
      <c r="A135" s="8"/>
      <c r="B135" s="9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</row>
    <row r="136" ht="12.75" customHeight="1">
      <c r="A136" s="8"/>
      <c r="B136" s="9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</row>
    <row r="137" ht="12.75" customHeight="1">
      <c r="A137" s="8"/>
      <c r="B137" s="9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</row>
    <row r="138" ht="12.75" customHeight="1">
      <c r="A138" s="8"/>
      <c r="B138" s="9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</row>
    <row r="139" ht="12.75" customHeight="1">
      <c r="A139" s="8"/>
      <c r="B139" s="9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</row>
    <row r="140" ht="12.75" customHeight="1">
      <c r="A140" s="8"/>
      <c r="B140" s="9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ht="12.75" customHeight="1">
      <c r="A141" s="8"/>
      <c r="B141" s="9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</row>
    <row r="142" ht="12.75" customHeight="1">
      <c r="A142" s="8"/>
      <c r="B142" s="9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</row>
    <row r="143" ht="12.75" customHeight="1">
      <c r="A143" s="8"/>
      <c r="B143" s="9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</row>
    <row r="144" ht="12.75" customHeight="1">
      <c r="A144" s="8"/>
      <c r="B144" s="9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</row>
    <row r="145" ht="12.75" customHeight="1">
      <c r="A145" s="8"/>
      <c r="B145" s="9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ht="12.75" customHeight="1">
      <c r="A146" s="8"/>
      <c r="B146" s="9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ht="12.75" customHeight="1">
      <c r="A147" s="8"/>
      <c r="B147" s="9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ht="12.75" customHeight="1">
      <c r="A148" s="8"/>
      <c r="B148" s="9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ht="12.75" customHeight="1">
      <c r="A149" s="8"/>
      <c r="B149" s="9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ht="12.75" customHeight="1">
      <c r="A150" s="8"/>
      <c r="B150" s="9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ht="12.75" customHeight="1">
      <c r="A151" s="8"/>
      <c r="B151" s="9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ht="12.75" customHeight="1">
      <c r="A152" s="8"/>
      <c r="B152" s="9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ht="12.75" customHeight="1">
      <c r="A153" s="8"/>
      <c r="B153" s="9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ht="12.75" customHeight="1">
      <c r="A154" s="8"/>
      <c r="B154" s="9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ht="12.75" customHeight="1">
      <c r="A155" s="8"/>
      <c r="B155" s="9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ht="12.75" customHeight="1">
      <c r="A156" s="8"/>
      <c r="B156" s="9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ht="12.75" customHeight="1">
      <c r="A157" s="8"/>
      <c r="B157" s="9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ht="12.75" customHeight="1">
      <c r="A158" s="8"/>
      <c r="B158" s="9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ht="12.75" customHeight="1">
      <c r="A159" s="8"/>
      <c r="B159" s="9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ht="12.75" customHeight="1">
      <c r="A160" s="8"/>
      <c r="B160" s="9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ht="12.75" customHeight="1">
      <c r="A161" s="8"/>
      <c r="B161" s="9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ht="12.75" customHeight="1">
      <c r="A162" s="8"/>
      <c r="B162" s="9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ht="12.75" customHeight="1">
      <c r="A163" s="8"/>
      <c r="B163" s="9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ht="12.75" customHeight="1">
      <c r="A164" s="8"/>
      <c r="B164" s="9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ht="12.75" customHeight="1">
      <c r="A165" s="8"/>
      <c r="B165" s="9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ht="12.75" customHeight="1">
      <c r="A166" s="8"/>
      <c r="B166" s="9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ht="12.75" customHeight="1">
      <c r="A167" s="8"/>
      <c r="B167" s="9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ht="12.75" customHeight="1">
      <c r="A168" s="8"/>
      <c r="B168" s="9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ht="12.75" customHeight="1">
      <c r="A169" s="8"/>
      <c r="B169" s="9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ht="12.75" customHeight="1">
      <c r="A170" s="8"/>
      <c r="B170" s="9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ht="12.75" customHeight="1">
      <c r="A171" s="8"/>
      <c r="B171" s="9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ht="12.75" customHeight="1">
      <c r="A172" s="8"/>
      <c r="B172" s="9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ht="12.75" customHeight="1">
      <c r="A173" s="8"/>
      <c r="B173" s="9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ht="12.75" customHeight="1">
      <c r="A174" s="8"/>
      <c r="B174" s="9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ht="12.75" customHeight="1">
      <c r="A175" s="8"/>
      <c r="B175" s="9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ht="12.75" customHeight="1">
      <c r="A176" s="8"/>
      <c r="B176" s="9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ht="12.75" customHeight="1">
      <c r="A177" s="8"/>
      <c r="B177" s="9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ht="12.75" customHeight="1">
      <c r="A178" s="8"/>
      <c r="B178" s="9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ht="12.75" customHeight="1">
      <c r="A179" s="8"/>
      <c r="B179" s="9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ht="12.75" customHeight="1">
      <c r="A180" s="8"/>
      <c r="B180" s="9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ht="12.75" customHeight="1">
      <c r="A181" s="8"/>
      <c r="B181" s="9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ht="12.75" customHeight="1">
      <c r="A182" s="8"/>
      <c r="B182" s="9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ht="12.75" customHeight="1">
      <c r="A183" s="8"/>
      <c r="B183" s="9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ht="12.75" customHeight="1">
      <c r="A184" s="8"/>
      <c r="B184" s="9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ht="12.75" customHeight="1">
      <c r="A185" s="8"/>
      <c r="B185" s="9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ht="12.75" customHeight="1">
      <c r="A186" s="8"/>
      <c r="B186" s="9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ht="12.75" customHeight="1">
      <c r="A187" s="8"/>
      <c r="B187" s="9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ht="12.75" customHeight="1">
      <c r="A188" s="8"/>
      <c r="B188" s="9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ht="12.75" customHeight="1">
      <c r="A189" s="8"/>
      <c r="B189" s="9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ht="12.75" customHeight="1">
      <c r="A190" s="8"/>
      <c r="B190" s="9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ht="12.75" customHeight="1">
      <c r="A191" s="8"/>
      <c r="B191" s="9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ht="12.75" customHeight="1">
      <c r="A192" s="8"/>
      <c r="B192" s="9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ht="12.75" customHeight="1">
      <c r="A193" s="8"/>
      <c r="B193" s="9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ht="12.75" customHeight="1">
      <c r="A194" s="8"/>
      <c r="B194" s="9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ht="12.75" customHeight="1">
      <c r="A195" s="8"/>
      <c r="B195" s="9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ht="12.75" customHeight="1">
      <c r="A196" s="8"/>
      <c r="B196" s="9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ht="12.75" customHeight="1">
      <c r="A197" s="8"/>
      <c r="B197" s="9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ht="12.75" customHeight="1">
      <c r="A198" s="8"/>
      <c r="B198" s="9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ht="12.75" customHeight="1">
      <c r="A199" s="8"/>
      <c r="B199" s="9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ht="12.75" customHeight="1">
      <c r="A200" s="8"/>
      <c r="B200" s="9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ht="12.75" customHeight="1">
      <c r="A201" s="8"/>
      <c r="B201" s="9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ht="12.75" customHeight="1">
      <c r="A202" s="8"/>
      <c r="B202" s="9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ht="12.75" customHeight="1">
      <c r="A203" s="8"/>
      <c r="B203" s="9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 ht="12.75" customHeight="1">
      <c r="A204" s="8"/>
      <c r="B204" s="9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 ht="12.75" customHeight="1">
      <c r="A205" s="8"/>
      <c r="B205" s="9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 ht="12.75" customHeight="1">
      <c r="A206" s="8"/>
      <c r="B206" s="9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ht="12.75" customHeight="1">
      <c r="A207" s="8"/>
      <c r="B207" s="9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</row>
    <row r="208" ht="12.75" customHeight="1">
      <c r="A208" s="8"/>
      <c r="B208" s="9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</row>
    <row r="209" ht="12.75" customHeight="1">
      <c r="A209" s="8"/>
      <c r="B209" s="9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 ht="12.75" customHeight="1">
      <c r="A210" s="8"/>
      <c r="B210" s="9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</row>
    <row r="211" ht="12.75" customHeight="1">
      <c r="A211" s="8"/>
      <c r="B211" s="9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</row>
    <row r="212" ht="12.75" customHeight="1">
      <c r="A212" s="8"/>
      <c r="B212" s="9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</row>
    <row r="213" ht="12.75" customHeight="1">
      <c r="A213" s="8"/>
      <c r="B213" s="9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</row>
    <row r="214" ht="12.75" customHeight="1">
      <c r="A214" s="8"/>
      <c r="B214" s="9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</row>
    <row r="215" ht="12.75" customHeight="1">
      <c r="A215" s="8"/>
      <c r="B215" s="9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</row>
    <row r="216" ht="12.75" customHeight="1">
      <c r="A216" s="8"/>
      <c r="B216" s="9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ht="12.75" customHeight="1">
      <c r="A217" s="8"/>
      <c r="B217" s="9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ht="12.75" customHeight="1">
      <c r="A218" s="8"/>
      <c r="B218" s="9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ht="12.75" customHeight="1">
      <c r="A219" s="8"/>
      <c r="B219" s="9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ht="12.75" customHeight="1">
      <c r="A220" s="8"/>
      <c r="B220" s="9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ht="12.75" customHeight="1">
      <c r="A221" s="8"/>
      <c r="B221" s="9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ht="12.75" customHeight="1">
      <c r="A222" s="8"/>
      <c r="B222" s="9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ht="12.75" customHeight="1">
      <c r="A223" s="8"/>
      <c r="B223" s="9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ht="12.75" customHeight="1">
      <c r="A224" s="8"/>
      <c r="B224" s="9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ht="12.75" customHeight="1">
      <c r="A225" s="8"/>
      <c r="B225" s="9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ht="12.75" customHeight="1">
      <c r="A226" s="8"/>
      <c r="B226" s="9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ht="12.75" customHeight="1">
      <c r="A227" s="8"/>
      <c r="B227" s="9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ht="12.75" customHeight="1">
      <c r="A228" s="8"/>
      <c r="B228" s="9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ht="12.75" customHeight="1">
      <c r="A229" s="8"/>
      <c r="B229" s="9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ht="12.75" customHeight="1">
      <c r="A230" s="8"/>
      <c r="B230" s="9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ht="12.75" customHeight="1">
      <c r="A231" s="8"/>
      <c r="B231" s="9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ht="12.75" customHeight="1">
      <c r="A232" s="8"/>
      <c r="B232" s="9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ht="12.75" customHeight="1">
      <c r="A233" s="8"/>
      <c r="B233" s="9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ht="12.75" customHeight="1">
      <c r="A234" s="8"/>
      <c r="B234" s="9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ht="12.75" customHeight="1">
      <c r="A235" s="8"/>
      <c r="B235" s="9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ht="12.75" customHeight="1">
      <c r="A236" s="8"/>
      <c r="B236" s="9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ht="12.75" customHeight="1">
      <c r="A237" s="8"/>
      <c r="B237" s="9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ht="12.75" customHeight="1">
      <c r="A238" s="8"/>
      <c r="B238" s="9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ht="12.75" customHeight="1">
      <c r="A239" s="8"/>
      <c r="B239" s="9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ht="12.75" customHeight="1">
      <c r="A240" s="8"/>
      <c r="B240" s="9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ht="12.75" customHeight="1">
      <c r="A241" s="8"/>
      <c r="B241" s="9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ht="12.75" customHeight="1">
      <c r="A242" s="8"/>
      <c r="B242" s="9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ht="12.75" customHeight="1">
      <c r="A243" s="8"/>
      <c r="B243" s="9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ht="12.75" customHeight="1">
      <c r="A244" s="8"/>
      <c r="B244" s="9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ht="12.75" customHeight="1">
      <c r="A245" s="8"/>
      <c r="B245" s="9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6" width="17.63"/>
    <col customWidth="1" min="10" max="10" width="16.38"/>
  </cols>
  <sheetData>
    <row r="1" ht="15.75" customHeight="1">
      <c r="A1" s="27" t="s">
        <v>93</v>
      </c>
      <c r="B1" s="28"/>
      <c r="C1" s="28"/>
      <c r="D1" s="28"/>
      <c r="E1" s="28"/>
      <c r="F1" s="28"/>
      <c r="G1" s="28"/>
      <c r="H1" s="28"/>
      <c r="J1" s="29" t="s">
        <v>94</v>
      </c>
    </row>
    <row r="2" ht="15.75" customHeight="1">
      <c r="A2" s="30" t="s">
        <v>0</v>
      </c>
      <c r="B2" s="30" t="s">
        <v>95</v>
      </c>
      <c r="C2" s="30" t="s">
        <v>96</v>
      </c>
      <c r="D2" s="30" t="s">
        <v>97</v>
      </c>
      <c r="E2" s="30" t="s">
        <v>98</v>
      </c>
      <c r="F2" s="30" t="s">
        <v>99</v>
      </c>
      <c r="G2" s="30" t="s">
        <v>100</v>
      </c>
      <c r="H2" s="30" t="s">
        <v>101</v>
      </c>
      <c r="J2" s="31" t="s">
        <v>102</v>
      </c>
    </row>
    <row r="3" ht="15.75" customHeight="1">
      <c r="A3" s="32" t="s">
        <v>7</v>
      </c>
      <c r="B3" s="33">
        <f>COUNTIF(printer!$A$2:$A$38, A3)</f>
        <v>2</v>
      </c>
      <c r="C3" s="33">
        <f>SUMIF(CombinedHumanGrading!$A$2:$A$38, $A3, CombinedHumanGrading!$C$2:$C$38)</f>
        <v>2</v>
      </c>
      <c r="D3" s="33">
        <f>SUMIF(CombinedHumanGrading!$A$39:$A$45, $A3, CombinedHumanGrading!$C$39:$C$45)</f>
        <v>0</v>
      </c>
      <c r="E3" s="34">
        <f>COUNTIFS(CombinedHumanGrading!$A$2:$A$38, $A3, CombinedHumanGrading!$C$2:$C$38,0)</f>
        <v>0</v>
      </c>
      <c r="F3" s="34">
        <f t="shared" ref="F3:F10" si="1">IFERROR(C3 / (C3 + D3), "Not Available")</f>
        <v>1</v>
      </c>
      <c r="G3" s="34">
        <f t="shared" ref="G3:G10" si="2">IFERROR(C3 / B3, "Not Available")</f>
        <v>1</v>
      </c>
      <c r="H3" s="34">
        <f t="shared" ref="H3:H10" si="3">IFERROR(2*((F3*G3)/(F3+G3)),"Not Available")</f>
        <v>1</v>
      </c>
      <c r="J3" s="3"/>
    </row>
    <row r="4" ht="15.75" customHeight="1">
      <c r="A4" s="35" t="s">
        <v>2</v>
      </c>
      <c r="B4" s="33">
        <f>COUNTIF(printer!$A$2:$A$38, A4)</f>
        <v>8</v>
      </c>
      <c r="C4" s="33">
        <f>SUMIF(CombinedHumanGrading!$A$2:$A$38, $A4, CombinedHumanGrading!$C$2:$C$38)</f>
        <v>8</v>
      </c>
      <c r="D4" s="33">
        <f>SUMIF(CombinedHumanGrading!$A$39:$A$45, $A4, CombinedHumanGrading!$C$39:$C$45)</f>
        <v>0</v>
      </c>
      <c r="E4" s="34">
        <f>COUNTIFS(CombinedHumanGrading!$A$2:$A$38, $A4, CombinedHumanGrading!$C$2:$C$38,0)</f>
        <v>0</v>
      </c>
      <c r="F4" s="34">
        <f t="shared" si="1"/>
        <v>1</v>
      </c>
      <c r="G4" s="34">
        <f t="shared" si="2"/>
        <v>1</v>
      </c>
      <c r="H4" s="34">
        <f t="shared" si="3"/>
        <v>1</v>
      </c>
      <c r="J4" s="36" t="s">
        <v>103</v>
      </c>
    </row>
    <row r="5" ht="15.75" customHeight="1">
      <c r="A5" s="35" t="s">
        <v>5</v>
      </c>
      <c r="B5" s="33">
        <f>COUNTIF(printer!$A$2:$A$38, A5)</f>
        <v>17</v>
      </c>
      <c r="C5" s="33">
        <f>SUMIF(CombinedHumanGrading!$A$2:$A$38, $A5, CombinedHumanGrading!$C$2:$C$38)</f>
        <v>17</v>
      </c>
      <c r="D5" s="33">
        <f>SUMIF(CombinedHumanGrading!$A$39:$A$45, $A5, CombinedHumanGrading!$C$39:$C$45)</f>
        <v>0</v>
      </c>
      <c r="E5" s="34">
        <f>COUNTIFS(CombinedHumanGrading!$A$2:$A$38, $A5, CombinedHumanGrading!$C$2:$C$38,0)</f>
        <v>0</v>
      </c>
      <c r="F5" s="34">
        <f t="shared" si="1"/>
        <v>1</v>
      </c>
      <c r="G5" s="34">
        <f t="shared" si="2"/>
        <v>1</v>
      </c>
      <c r="H5" s="34">
        <f t="shared" si="3"/>
        <v>1</v>
      </c>
      <c r="J5" s="37" t="s">
        <v>104</v>
      </c>
    </row>
    <row r="6" ht="15.75" customHeight="1">
      <c r="A6" s="35" t="s">
        <v>17</v>
      </c>
      <c r="B6" s="33">
        <f>COUNTIF(printer!$A$2:$A$38, A6)</f>
        <v>3</v>
      </c>
      <c r="C6" s="33">
        <f>SUMIF(CombinedHumanGrading!$A$2:$A$38, $A6, CombinedHumanGrading!$C$2:$C$38)</f>
        <v>3</v>
      </c>
      <c r="D6" s="33">
        <f>SUMIF(CombinedHumanGrading!$A$39:$A$45, $A6, CombinedHumanGrading!$C$39:$C$45)</f>
        <v>0</v>
      </c>
      <c r="E6" s="34">
        <f>COUNTIFS(CombinedHumanGrading!$A$2:$A$38, $A6, CombinedHumanGrading!$C$2:$C$38,0)</f>
        <v>0</v>
      </c>
      <c r="F6" s="34">
        <f t="shared" si="1"/>
        <v>1</v>
      </c>
      <c r="G6" s="34">
        <f t="shared" si="2"/>
        <v>1</v>
      </c>
      <c r="H6" s="34">
        <f t="shared" si="3"/>
        <v>1</v>
      </c>
      <c r="J6" s="3"/>
    </row>
    <row r="7" ht="15.75" customHeight="1">
      <c r="A7" s="35" t="s">
        <v>45</v>
      </c>
      <c r="B7" s="33">
        <f>COUNTIF(printer!$A$2:$A$38, A7)</f>
        <v>0</v>
      </c>
      <c r="C7" s="33">
        <f>SUMIF(CombinedHumanGrading!$A$2:$A$38, $A7, CombinedHumanGrading!$C$2:$C$38)</f>
        <v>0</v>
      </c>
      <c r="D7" s="33">
        <f>SUMIF(CombinedHumanGrading!$A$39:$A$45, $A7, CombinedHumanGrading!$C$39:$C$45)</f>
        <v>0</v>
      </c>
      <c r="E7" s="34">
        <f>COUNTIFS(CombinedHumanGrading!$A$2:$A$38, $A7, CombinedHumanGrading!$C$2:$C$38,0)</f>
        <v>0</v>
      </c>
      <c r="F7" s="34" t="str">
        <f t="shared" si="1"/>
        <v>Not Available</v>
      </c>
      <c r="G7" s="34" t="str">
        <f t="shared" si="2"/>
        <v>Not Available</v>
      </c>
      <c r="H7" s="34" t="str">
        <f t="shared" si="3"/>
        <v>Not Available</v>
      </c>
      <c r="J7" s="38" t="s">
        <v>105</v>
      </c>
    </row>
    <row r="8" ht="15.75" customHeight="1">
      <c r="A8" s="35" t="s">
        <v>34</v>
      </c>
      <c r="B8" s="33">
        <f>COUNTIF(printer!$A$2:$A$38, A8)</f>
        <v>1</v>
      </c>
      <c r="C8" s="33">
        <f>SUMIF(CombinedHumanGrading!$A$2:$A$38, $A8, CombinedHumanGrading!$C$2:$C$38)</f>
        <v>1</v>
      </c>
      <c r="D8" s="33">
        <f>SUMIF(CombinedHumanGrading!$A$39:$A$45, $A8, CombinedHumanGrading!$C$39:$C$45)</f>
        <v>0</v>
      </c>
      <c r="E8" s="34">
        <f>COUNTIFS(CombinedHumanGrading!$A$2:$A$38, $A8, CombinedHumanGrading!$C$2:$C$38,0)</f>
        <v>0</v>
      </c>
      <c r="F8" s="34">
        <f t="shared" si="1"/>
        <v>1</v>
      </c>
      <c r="G8" s="34">
        <f t="shared" si="2"/>
        <v>1</v>
      </c>
      <c r="H8" s="34">
        <f t="shared" si="3"/>
        <v>1</v>
      </c>
      <c r="J8" s="38" t="s">
        <v>106</v>
      </c>
    </row>
    <row r="9" ht="15.75" customHeight="1">
      <c r="A9" s="35" t="s">
        <v>13</v>
      </c>
      <c r="B9" s="33">
        <f>COUNTIF(printer!$A$2:$A$38, A9)</f>
        <v>6</v>
      </c>
      <c r="C9" s="33">
        <f>SUMIF(CombinedHumanGrading!$A$2:$A$38, $A9, CombinedHumanGrading!$C$2:$C$38)</f>
        <v>6</v>
      </c>
      <c r="D9" s="33">
        <f>SUMIF(CombinedHumanGrading!$A$39:$A$45, $A9, CombinedHumanGrading!$C$39:$C$45)</f>
        <v>0</v>
      </c>
      <c r="E9" s="34">
        <f>COUNTIFS(CombinedHumanGrading!$A$2:$A$38, $A9, CombinedHumanGrading!$C$2:$C$38,0)</f>
        <v>0</v>
      </c>
      <c r="F9" s="34">
        <f t="shared" si="1"/>
        <v>1</v>
      </c>
      <c r="G9" s="34">
        <f t="shared" si="2"/>
        <v>1</v>
      </c>
      <c r="H9" s="34">
        <f t="shared" si="3"/>
        <v>1</v>
      </c>
    </row>
    <row r="10" ht="15.75" customHeight="1">
      <c r="A10" s="35" t="s">
        <v>107</v>
      </c>
      <c r="B10" s="34">
        <f t="shared" ref="B10:E10" si="4">SUM(B3:B9)</f>
        <v>37</v>
      </c>
      <c r="C10" s="34">
        <f t="shared" si="4"/>
        <v>37</v>
      </c>
      <c r="D10" s="34">
        <f t="shared" si="4"/>
        <v>0</v>
      </c>
      <c r="E10" s="34">
        <f t="shared" si="4"/>
        <v>0</v>
      </c>
      <c r="F10" s="34">
        <f t="shared" si="1"/>
        <v>1</v>
      </c>
      <c r="G10" s="34">
        <f t="shared" si="2"/>
        <v>1</v>
      </c>
      <c r="H10" s="34">
        <f t="shared" si="3"/>
        <v>1</v>
      </c>
      <c r="J10" s="3"/>
    </row>
    <row r="11" ht="15.75" customHeight="1">
      <c r="A11" s="3"/>
      <c r="B11" s="3"/>
      <c r="C11" s="3"/>
      <c r="D11" s="3"/>
      <c r="E11" s="3"/>
      <c r="F11" s="3"/>
    </row>
    <row r="12" ht="15.75" customHeight="1">
      <c r="A12" s="27" t="s">
        <v>108</v>
      </c>
      <c r="B12" s="28"/>
      <c r="C12" s="28"/>
      <c r="D12" s="28"/>
      <c r="E12" s="28"/>
      <c r="F12" s="28"/>
      <c r="G12" s="28"/>
      <c r="H12" s="28"/>
    </row>
    <row r="13" ht="15.75" customHeight="1">
      <c r="A13" s="30" t="s">
        <v>0</v>
      </c>
      <c r="B13" s="30" t="s">
        <v>95</v>
      </c>
      <c r="C13" s="30" t="s">
        <v>96</v>
      </c>
      <c r="D13" s="30" t="s">
        <v>97</v>
      </c>
      <c r="E13" s="30" t="s">
        <v>98</v>
      </c>
      <c r="F13" s="30" t="s">
        <v>99</v>
      </c>
      <c r="G13" s="30" t="s">
        <v>100</v>
      </c>
      <c r="H13" s="30" t="s">
        <v>101</v>
      </c>
      <c r="J13" s="3"/>
    </row>
    <row r="14" ht="15.75" customHeight="1">
      <c r="A14" s="32" t="s">
        <v>109</v>
      </c>
      <c r="B14" s="33">
        <f>COUNTIF(printer!$A$2:$A$38, A14)</f>
        <v>2</v>
      </c>
      <c r="C14" s="33">
        <f>SUMIF('Gemini 3.1 Pro Preview Grading'!$A$2:$A$38, $A14, 'Gemini 3.1 Pro Preview Grading'!$C$2:$C$38)</f>
        <v>2</v>
      </c>
      <c r="D14" s="33">
        <f>SUMIF('Gemini 3.1 Pro Preview Grading'!$A$39:$A$45, $A3, 'Gemini 3.1 Pro Preview Grading'!$C$39:$C$45)</f>
        <v>0</v>
      </c>
      <c r="E14" s="33">
        <f>COUNTIFS('Gemini 3.1 Pro Preview Grading'!$A$2:$A$38, $A3, 'Gemini 3.1 Pro Preview Grading'!$C$2:$C$38,0)</f>
        <v>0</v>
      </c>
      <c r="F14" s="34">
        <f t="shared" ref="F14:F21" si="5">IFERROR(C14 / (C14 + D14), "Not Available")</f>
        <v>1</v>
      </c>
      <c r="G14" s="34">
        <f t="shared" ref="G14:G21" si="6">IFERROR(C14 / B14, "Not Available")</f>
        <v>1</v>
      </c>
      <c r="H14" s="34">
        <f t="shared" ref="H14:H21" si="7">IFERROR(2*((F14*G14)/(F14+G14)),"Not Available")</f>
        <v>1</v>
      </c>
      <c r="J14" s="3"/>
    </row>
    <row r="15" ht="15.75" customHeight="1">
      <c r="A15" s="35" t="s">
        <v>2</v>
      </c>
      <c r="B15" s="33">
        <f>COUNTIF(printer!$A$2:$A$38, A15)</f>
        <v>8</v>
      </c>
      <c r="C15" s="33">
        <f>SUMIF('Gemini 3.1 Pro Preview Grading'!$A$2:$A$38, $A15, 'Gemini 3.1 Pro Preview Grading'!$C$2:$C$38)</f>
        <v>8</v>
      </c>
      <c r="D15" s="33">
        <f>SUMIF('Gemini 3.1 Pro Preview Grading'!$A$39:$A$45, $A4, 'Gemini 3.1 Pro Preview Grading'!$C$39:$C$45)</f>
        <v>0</v>
      </c>
      <c r="E15" s="33">
        <f>COUNTIFS('Gemini 3.1 Pro Preview Grading'!$A$2:$A$38, $A4, 'Gemini 3.1 Pro Preview Grading'!$C$2:$C$38,0)</f>
        <v>0</v>
      </c>
      <c r="F15" s="34">
        <f t="shared" si="5"/>
        <v>1</v>
      </c>
      <c r="G15" s="34">
        <f t="shared" si="6"/>
        <v>1</v>
      </c>
      <c r="H15" s="34">
        <f t="shared" si="7"/>
        <v>1</v>
      </c>
      <c r="J15" s="3"/>
    </row>
    <row r="16" ht="15.75" customHeight="1">
      <c r="A16" s="35" t="s">
        <v>5</v>
      </c>
      <c r="B16" s="33">
        <f>COUNTIF(printer!$A$2:$A$38, A16)</f>
        <v>17</v>
      </c>
      <c r="C16" s="33">
        <f>SUMIF('Gemini 3.1 Pro Preview Grading'!$A$2:$A$38, $A16, 'Gemini 3.1 Pro Preview Grading'!$C$2:$C$38)</f>
        <v>15</v>
      </c>
      <c r="D16" s="33">
        <f>SUMIF('Gemini 3.1 Pro Preview Grading'!$A$39:$A$45, $A5, 'Gemini 3.1 Pro Preview Grading'!$C$39:$C$45)</f>
        <v>0</v>
      </c>
      <c r="E16" s="33">
        <f>COUNTIFS('Gemini 3.1 Pro Preview Grading'!$A$2:$A$38, $A5, 'Gemini 3.1 Pro Preview Grading'!$C$2:$C$38,0)</f>
        <v>2</v>
      </c>
      <c r="F16" s="34">
        <f t="shared" si="5"/>
        <v>1</v>
      </c>
      <c r="G16" s="34">
        <f t="shared" si="6"/>
        <v>0.8823529412</v>
      </c>
      <c r="H16" s="34">
        <f t="shared" si="7"/>
        <v>0.9375</v>
      </c>
      <c r="J16" s="3"/>
    </row>
    <row r="17" ht="15.75" customHeight="1">
      <c r="A17" s="35" t="s">
        <v>17</v>
      </c>
      <c r="B17" s="33">
        <f>COUNTIF(printer!$A$2:$A$38, A17)</f>
        <v>3</v>
      </c>
      <c r="C17" s="33">
        <f>SUMIF('Gemini 3.1 Pro Preview Grading'!$A$2:$A$38, $A17, 'Gemini 3.1 Pro Preview Grading'!$C$2:$C$38)</f>
        <v>0</v>
      </c>
      <c r="D17" s="33">
        <f>SUMIF('Gemini 3.1 Pro Preview Grading'!$A$39:$A$45, $A6, 'Gemini 3.1 Pro Preview Grading'!$C$39:$C$45)</f>
        <v>0</v>
      </c>
      <c r="E17" s="33">
        <f>COUNTIFS('Gemini 3.1 Pro Preview Grading'!$A$2:$A$38, $A6, 'Gemini 3.1 Pro Preview Grading'!$C$2:$C$38,0)</f>
        <v>3</v>
      </c>
      <c r="F17" s="34" t="str">
        <f t="shared" si="5"/>
        <v>Not Available</v>
      </c>
      <c r="G17" s="34">
        <f t="shared" si="6"/>
        <v>0</v>
      </c>
      <c r="H17" s="34" t="str">
        <f t="shared" si="7"/>
        <v>Not Available</v>
      </c>
      <c r="J17" s="3"/>
    </row>
    <row r="18" ht="15.75" customHeight="1">
      <c r="A18" s="35" t="s">
        <v>45</v>
      </c>
      <c r="B18" s="33">
        <f>COUNTIF(printer!$A$2:$A$38, A18)</f>
        <v>0</v>
      </c>
      <c r="C18" s="33">
        <f>SUMIF('Gemini 3.1 Pro Preview Grading'!$A$2:$A$38, $A18, 'Gemini 3.1 Pro Preview Grading'!$C$2:$C$38)</f>
        <v>0</v>
      </c>
      <c r="D18" s="33">
        <f>SUMIF('Gemini 3.1 Pro Preview Grading'!$A$39:$A$45, $A7, 'Gemini 3.1 Pro Preview Grading'!$C$39:$C$45)</f>
        <v>0</v>
      </c>
      <c r="E18" s="33">
        <f>COUNTIFS('Gemini 3.1 Pro Preview Grading'!$A$2:$A$38, $A7, 'Gemini 3.1 Pro Preview Grading'!$C$2:$C$38,0)</f>
        <v>0</v>
      </c>
      <c r="F18" s="34" t="str">
        <f t="shared" si="5"/>
        <v>Not Available</v>
      </c>
      <c r="G18" s="34" t="str">
        <f t="shared" si="6"/>
        <v>Not Available</v>
      </c>
      <c r="H18" s="34" t="str">
        <f t="shared" si="7"/>
        <v>Not Available</v>
      </c>
      <c r="J18" s="3"/>
    </row>
    <row r="19" ht="15.75" customHeight="1">
      <c r="A19" s="35" t="s">
        <v>34</v>
      </c>
      <c r="B19" s="33">
        <f>COUNTIF(printer!$A$2:$A$38, A19)</f>
        <v>1</v>
      </c>
      <c r="C19" s="33">
        <f>SUMIF('Gemini 3.1 Pro Preview Grading'!$A$2:$A$38, $A19, 'Gemini 3.1 Pro Preview Grading'!$C$2:$C$38)</f>
        <v>0</v>
      </c>
      <c r="D19" s="33">
        <f>SUMIF('Gemini 3.1 Pro Preview Grading'!$A$39:$A$45, $A8, 'Gemini 3.1 Pro Preview Grading'!$C$39:$C$45)</f>
        <v>0</v>
      </c>
      <c r="E19" s="33">
        <f>COUNTIFS('Gemini 3.1 Pro Preview Grading'!$A$2:$A$38, $A8, 'Gemini 3.1 Pro Preview Grading'!$C$2:$C$38,0)</f>
        <v>1</v>
      </c>
      <c r="F19" s="34" t="str">
        <f t="shared" si="5"/>
        <v>Not Available</v>
      </c>
      <c r="G19" s="34">
        <f t="shared" si="6"/>
        <v>0</v>
      </c>
      <c r="H19" s="34" t="str">
        <f t="shared" si="7"/>
        <v>Not Available</v>
      </c>
      <c r="J19" s="3"/>
    </row>
    <row r="20" ht="15.75" customHeight="1">
      <c r="A20" s="35" t="s">
        <v>13</v>
      </c>
      <c r="B20" s="33">
        <f>COUNTIF(printer!$A$2:$A$38, A20)</f>
        <v>6</v>
      </c>
      <c r="C20" s="33">
        <f>SUMIF('Gemini 3.1 Pro Preview Grading'!$A$2:$A$38, $A20, 'Gemini 3.1 Pro Preview Grading'!$C$2:$C$38)</f>
        <v>6</v>
      </c>
      <c r="D20" s="33">
        <f>SUMIF('Gemini 3.1 Pro Preview Grading'!$A$39:$A$45, $A9, 'Gemini 3.1 Pro Preview Grading'!$C$39:$C$45)</f>
        <v>0</v>
      </c>
      <c r="E20" s="33">
        <f>COUNTIFS('Gemini 3.1 Pro Preview Grading'!$A$2:$A$38, $A9, 'Gemini 3.1 Pro Preview Grading'!$C$2:$C$38,0)</f>
        <v>0</v>
      </c>
      <c r="F20" s="34">
        <f t="shared" si="5"/>
        <v>1</v>
      </c>
      <c r="G20" s="34">
        <f t="shared" si="6"/>
        <v>1</v>
      </c>
      <c r="H20" s="34">
        <f t="shared" si="7"/>
        <v>1</v>
      </c>
      <c r="J20" s="3"/>
    </row>
    <row r="21" ht="15.75" customHeight="1">
      <c r="A21" s="35" t="s">
        <v>107</v>
      </c>
      <c r="B21" s="34">
        <f t="shared" ref="B21:E21" si="8">SUM(B14:B20)</f>
        <v>37</v>
      </c>
      <c r="C21" s="34">
        <f t="shared" si="8"/>
        <v>31</v>
      </c>
      <c r="D21" s="34">
        <f t="shared" si="8"/>
        <v>0</v>
      </c>
      <c r="E21" s="34">
        <f t="shared" si="8"/>
        <v>6</v>
      </c>
      <c r="F21" s="34">
        <f t="shared" si="5"/>
        <v>1</v>
      </c>
      <c r="G21" s="34">
        <f t="shared" si="6"/>
        <v>0.8378378378</v>
      </c>
      <c r="H21" s="34">
        <f t="shared" si="7"/>
        <v>0.9117647059</v>
      </c>
      <c r="J21" s="3"/>
    </row>
    <row r="22" ht="15.75" customHeight="1">
      <c r="A22" s="3"/>
      <c r="B22" s="3"/>
      <c r="C22" s="3"/>
      <c r="D22" s="3"/>
      <c r="E22" s="3"/>
      <c r="F22" s="3"/>
      <c r="H22" s="39"/>
      <c r="J22" s="3"/>
    </row>
    <row r="23" ht="15.75" customHeight="1">
      <c r="A23" s="3"/>
      <c r="B23" s="3"/>
      <c r="C23" s="3"/>
      <c r="D23" s="3"/>
      <c r="E23" s="3"/>
      <c r="F23" s="3"/>
      <c r="J23" s="3"/>
    </row>
    <row r="24" ht="15.75" customHeight="1">
      <c r="A24" s="3"/>
      <c r="B24" s="3"/>
      <c r="C24" s="3"/>
      <c r="D24" s="3"/>
      <c r="E24" s="3"/>
      <c r="F24" s="3"/>
      <c r="J24" s="3"/>
    </row>
    <row r="25" ht="15.75" customHeight="1">
      <c r="A25" s="3"/>
      <c r="B25" s="3"/>
      <c r="C25" s="3"/>
      <c r="D25" s="3"/>
      <c r="E25" s="3"/>
      <c r="F25" s="3"/>
      <c r="J25" s="3"/>
    </row>
    <row r="26" ht="15.75" customHeight="1">
      <c r="A26" s="3"/>
      <c r="B26" s="3"/>
      <c r="C26" s="3"/>
      <c r="D26" s="3"/>
      <c r="E26" s="3"/>
      <c r="F26" s="3"/>
      <c r="J26" s="3"/>
    </row>
    <row r="27" ht="15.75" customHeight="1">
      <c r="A27" s="3"/>
      <c r="B27" s="3"/>
      <c r="C27" s="3"/>
      <c r="D27" s="3"/>
      <c r="E27" s="3"/>
      <c r="F27" s="3"/>
      <c r="J27" s="3"/>
    </row>
    <row r="28" ht="15.75" customHeight="1">
      <c r="A28" s="3"/>
      <c r="B28" s="3"/>
      <c r="C28" s="3"/>
      <c r="D28" s="3"/>
      <c r="E28" s="3"/>
      <c r="F28" s="3"/>
      <c r="J28" s="3"/>
    </row>
    <row r="29" ht="15.75" customHeight="1">
      <c r="A29" s="3"/>
      <c r="B29" s="3"/>
      <c r="C29" s="3"/>
      <c r="D29" s="3"/>
      <c r="E29" s="3"/>
      <c r="F29" s="3"/>
      <c r="J29" s="3"/>
    </row>
    <row r="30" ht="15.75" customHeight="1">
      <c r="A30" s="3"/>
      <c r="B30" s="3"/>
      <c r="C30" s="3"/>
      <c r="D30" s="3"/>
      <c r="E30" s="3"/>
      <c r="F30" s="3"/>
      <c r="J30" s="3"/>
    </row>
    <row r="31" ht="15.75" customHeight="1">
      <c r="A31" s="3"/>
      <c r="B31" s="3"/>
      <c r="C31" s="3"/>
      <c r="D31" s="3"/>
      <c r="E31" s="3"/>
      <c r="F31" s="3"/>
      <c r="J31" s="3"/>
    </row>
    <row r="32" ht="15.75" customHeight="1">
      <c r="A32" s="3"/>
      <c r="B32" s="3"/>
      <c r="C32" s="3"/>
      <c r="D32" s="3"/>
      <c r="E32" s="3"/>
      <c r="F32" s="3"/>
      <c r="J32" s="3"/>
    </row>
    <row r="33" ht="15.75" customHeight="1">
      <c r="A33" s="3"/>
      <c r="B33" s="3"/>
      <c r="C33" s="3"/>
      <c r="D33" s="3"/>
      <c r="E33" s="3"/>
      <c r="F33" s="3"/>
      <c r="J33" s="3"/>
    </row>
    <row r="34" ht="15.75" customHeight="1">
      <c r="A34" s="3"/>
      <c r="B34" s="3"/>
      <c r="C34" s="3"/>
      <c r="D34" s="3"/>
      <c r="E34" s="3"/>
      <c r="F34" s="3"/>
      <c r="J34" s="3"/>
    </row>
    <row r="35" ht="15.75" customHeight="1">
      <c r="A35" s="3"/>
      <c r="B35" s="3"/>
      <c r="C35" s="3"/>
      <c r="D35" s="3"/>
      <c r="E35" s="3"/>
      <c r="F35" s="3"/>
      <c r="J35" s="3"/>
    </row>
    <row r="36" ht="15.75" customHeight="1">
      <c r="A36" s="3"/>
      <c r="B36" s="3"/>
      <c r="C36" s="3"/>
      <c r="D36" s="3"/>
      <c r="E36" s="3"/>
      <c r="F36" s="3"/>
      <c r="J36" s="3"/>
    </row>
    <row r="37" ht="15.75" customHeight="1">
      <c r="A37" s="3"/>
      <c r="B37" s="3"/>
      <c r="C37" s="3"/>
      <c r="D37" s="3"/>
      <c r="E37" s="3"/>
      <c r="F37" s="3"/>
      <c r="J37" s="3"/>
    </row>
    <row r="38" ht="15.75" customHeight="1">
      <c r="A38" s="3"/>
      <c r="B38" s="3"/>
      <c r="C38" s="3"/>
      <c r="D38" s="3"/>
      <c r="E38" s="3"/>
      <c r="F38" s="3"/>
      <c r="J38" s="3"/>
    </row>
    <row r="39" ht="15.75" customHeight="1">
      <c r="A39" s="3"/>
      <c r="B39" s="3"/>
      <c r="C39" s="3"/>
      <c r="D39" s="3"/>
      <c r="E39" s="3"/>
      <c r="F39" s="3"/>
      <c r="J39" s="3"/>
    </row>
    <row r="40" ht="15.75" customHeight="1">
      <c r="A40" s="3"/>
      <c r="B40" s="3"/>
      <c r="C40" s="3"/>
      <c r="D40" s="3"/>
      <c r="E40" s="3"/>
      <c r="F40" s="3"/>
      <c r="J40" s="3"/>
    </row>
    <row r="41" ht="15.75" customHeight="1">
      <c r="A41" s="3"/>
      <c r="B41" s="3"/>
      <c r="C41" s="3"/>
      <c r="D41" s="3"/>
      <c r="E41" s="3"/>
      <c r="F41" s="3"/>
      <c r="J41" s="3"/>
    </row>
    <row r="42" ht="15.75" customHeight="1">
      <c r="A42" s="3"/>
      <c r="B42" s="3"/>
      <c r="C42" s="3"/>
      <c r="D42" s="3"/>
      <c r="E42" s="3"/>
      <c r="F42" s="3"/>
      <c r="J42" s="3"/>
    </row>
    <row r="43" ht="15.75" customHeight="1">
      <c r="A43" s="3"/>
      <c r="B43" s="3"/>
      <c r="C43" s="3"/>
      <c r="D43" s="3"/>
      <c r="E43" s="3"/>
      <c r="F43" s="3"/>
      <c r="J43" s="3"/>
    </row>
    <row r="44" ht="15.75" customHeight="1">
      <c r="A44" s="3"/>
      <c r="B44" s="3"/>
      <c r="C44" s="3"/>
      <c r="D44" s="3"/>
      <c r="E44" s="3"/>
      <c r="F44" s="3"/>
      <c r="J44" s="3"/>
    </row>
    <row r="45" ht="15.75" customHeight="1">
      <c r="A45" s="3"/>
      <c r="B45" s="3"/>
      <c r="C45" s="3"/>
      <c r="D45" s="3"/>
      <c r="E45" s="3"/>
      <c r="F45" s="3"/>
      <c r="J45" s="3"/>
    </row>
    <row r="46" ht="15.75" customHeight="1">
      <c r="A46" s="3"/>
      <c r="B46" s="3"/>
      <c r="C46" s="3"/>
      <c r="D46" s="3"/>
      <c r="E46" s="3"/>
      <c r="F46" s="3"/>
      <c r="J46" s="3"/>
    </row>
    <row r="47" ht="15.75" customHeight="1">
      <c r="A47" s="3"/>
      <c r="B47" s="3"/>
      <c r="C47" s="3"/>
      <c r="D47" s="3"/>
      <c r="E47" s="3"/>
      <c r="F47" s="3"/>
      <c r="J47" s="3"/>
    </row>
    <row r="48" ht="15.75" customHeight="1">
      <c r="A48" s="3"/>
      <c r="B48" s="3"/>
      <c r="C48" s="3"/>
      <c r="D48" s="3"/>
      <c r="E48" s="3"/>
      <c r="F48" s="3"/>
      <c r="J48" s="3"/>
    </row>
    <row r="49" ht="15.75" customHeight="1">
      <c r="A49" s="3"/>
      <c r="B49" s="3"/>
      <c r="C49" s="3"/>
      <c r="D49" s="3"/>
      <c r="E49" s="3"/>
      <c r="F49" s="3"/>
      <c r="J49" s="3"/>
    </row>
    <row r="50" ht="15.75" customHeight="1">
      <c r="A50" s="3"/>
      <c r="B50" s="3"/>
      <c r="C50" s="3"/>
      <c r="D50" s="3"/>
      <c r="E50" s="3"/>
      <c r="F50" s="3"/>
      <c r="J50" s="3"/>
    </row>
    <row r="51" ht="15.75" customHeight="1">
      <c r="A51" s="3"/>
      <c r="B51" s="3"/>
      <c r="C51" s="3"/>
      <c r="D51" s="3"/>
      <c r="E51" s="3"/>
      <c r="F51" s="3"/>
      <c r="J51" s="3"/>
    </row>
    <row r="52" ht="15.75" customHeight="1">
      <c r="A52" s="3"/>
      <c r="B52" s="3"/>
      <c r="C52" s="3"/>
      <c r="D52" s="3"/>
      <c r="E52" s="3"/>
      <c r="F52" s="3"/>
      <c r="J52" s="3"/>
    </row>
    <row r="53" ht="15.75" customHeight="1">
      <c r="A53" s="3"/>
      <c r="B53" s="3"/>
      <c r="C53" s="3"/>
      <c r="D53" s="3"/>
      <c r="E53" s="3"/>
      <c r="F53" s="3"/>
      <c r="J53" s="3"/>
    </row>
    <row r="54" ht="15.75" customHeight="1">
      <c r="A54" s="3"/>
      <c r="B54" s="3"/>
      <c r="C54" s="3"/>
      <c r="D54" s="3"/>
      <c r="E54" s="3"/>
      <c r="F54" s="3"/>
      <c r="J54" s="3"/>
    </row>
    <row r="55" ht="15.75" customHeight="1">
      <c r="A55" s="3"/>
      <c r="B55" s="3"/>
      <c r="C55" s="3"/>
      <c r="D55" s="3"/>
      <c r="E55" s="3"/>
      <c r="F55" s="3"/>
      <c r="J55" s="3"/>
    </row>
    <row r="56" ht="15.75" customHeight="1">
      <c r="A56" s="3"/>
      <c r="B56" s="3"/>
      <c r="C56" s="3"/>
      <c r="D56" s="3"/>
      <c r="E56" s="3"/>
      <c r="F56" s="3"/>
      <c r="J56" s="3"/>
    </row>
    <row r="57" ht="15.75" customHeight="1">
      <c r="A57" s="3"/>
      <c r="B57" s="3"/>
      <c r="C57" s="3"/>
      <c r="D57" s="3"/>
      <c r="E57" s="3"/>
      <c r="F57" s="3"/>
      <c r="J57" s="3"/>
    </row>
    <row r="58" ht="15.75" customHeight="1">
      <c r="A58" s="3"/>
      <c r="B58" s="3"/>
      <c r="C58" s="3"/>
      <c r="D58" s="3"/>
      <c r="E58" s="3"/>
      <c r="F58" s="3"/>
      <c r="J58" s="3"/>
    </row>
    <row r="59" ht="15.75" customHeight="1">
      <c r="A59" s="3"/>
      <c r="B59" s="3"/>
      <c r="C59" s="3"/>
      <c r="D59" s="3"/>
      <c r="E59" s="3"/>
      <c r="F59" s="3"/>
      <c r="J59" s="3"/>
    </row>
    <row r="60" ht="15.75" customHeight="1">
      <c r="A60" s="3"/>
      <c r="B60" s="3"/>
      <c r="C60" s="3"/>
      <c r="D60" s="3"/>
      <c r="E60" s="3"/>
      <c r="F60" s="3"/>
      <c r="J60" s="3"/>
    </row>
    <row r="61" ht="15.75" customHeight="1">
      <c r="A61" s="3"/>
      <c r="B61" s="3"/>
      <c r="C61" s="3"/>
      <c r="D61" s="3"/>
      <c r="E61" s="3"/>
      <c r="F61" s="3"/>
      <c r="J61" s="3"/>
    </row>
    <row r="62" ht="15.75" customHeight="1">
      <c r="A62" s="3"/>
      <c r="B62" s="3"/>
      <c r="C62" s="3"/>
      <c r="D62" s="3"/>
      <c r="E62" s="3"/>
      <c r="F62" s="3"/>
      <c r="J62" s="3"/>
    </row>
    <row r="63" ht="15.75" customHeight="1">
      <c r="A63" s="3"/>
      <c r="B63" s="3"/>
      <c r="C63" s="3"/>
      <c r="D63" s="3"/>
      <c r="E63" s="3"/>
      <c r="F63" s="3"/>
      <c r="J63" s="3"/>
    </row>
    <row r="64" ht="15.75" customHeight="1">
      <c r="A64" s="3"/>
      <c r="B64" s="3"/>
      <c r="C64" s="3"/>
      <c r="D64" s="3"/>
      <c r="E64" s="3"/>
      <c r="F64" s="3"/>
      <c r="J64" s="3"/>
    </row>
    <row r="65" ht="15.75" customHeight="1">
      <c r="A65" s="3"/>
      <c r="B65" s="3"/>
      <c r="C65" s="3"/>
      <c r="D65" s="3"/>
      <c r="E65" s="3"/>
      <c r="F65" s="3"/>
      <c r="J65" s="3"/>
    </row>
    <row r="66" ht="15.75" customHeight="1">
      <c r="A66" s="3"/>
      <c r="B66" s="3"/>
      <c r="C66" s="3"/>
      <c r="D66" s="3"/>
      <c r="E66" s="3"/>
      <c r="F66" s="3"/>
      <c r="J66" s="3"/>
    </row>
    <row r="67" ht="15.75" customHeight="1">
      <c r="A67" s="3"/>
      <c r="B67" s="3"/>
      <c r="C67" s="3"/>
      <c r="D67" s="3"/>
      <c r="E67" s="3"/>
      <c r="F67" s="3"/>
      <c r="J67" s="3"/>
    </row>
    <row r="68" ht="15.75" customHeight="1">
      <c r="A68" s="3"/>
      <c r="B68" s="3"/>
      <c r="C68" s="3"/>
      <c r="D68" s="3"/>
      <c r="E68" s="3"/>
      <c r="F68" s="3"/>
      <c r="J68" s="3"/>
    </row>
    <row r="69" ht="15.75" customHeight="1">
      <c r="A69" s="3"/>
      <c r="B69" s="3"/>
      <c r="C69" s="3"/>
      <c r="D69" s="3"/>
      <c r="E69" s="3"/>
      <c r="F69" s="3"/>
      <c r="J69" s="3"/>
    </row>
    <row r="70" ht="15.75" customHeight="1">
      <c r="A70" s="3"/>
      <c r="B70" s="3"/>
      <c r="C70" s="3"/>
      <c r="D70" s="3"/>
      <c r="E70" s="3"/>
      <c r="F70" s="3"/>
      <c r="J70" s="3"/>
    </row>
    <row r="71" ht="15.75" customHeight="1">
      <c r="A71" s="3"/>
      <c r="B71" s="3"/>
      <c r="C71" s="3"/>
      <c r="D71" s="3"/>
      <c r="E71" s="3"/>
      <c r="F71" s="3"/>
      <c r="J71" s="3"/>
    </row>
    <row r="72" ht="15.75" customHeight="1">
      <c r="A72" s="3"/>
      <c r="B72" s="3"/>
      <c r="C72" s="3"/>
      <c r="D72" s="3"/>
      <c r="E72" s="3"/>
      <c r="F72" s="3"/>
      <c r="J72" s="3"/>
    </row>
    <row r="73" ht="15.75" customHeight="1">
      <c r="A73" s="3"/>
      <c r="B73" s="3"/>
      <c r="C73" s="3"/>
      <c r="D73" s="3"/>
      <c r="E73" s="3"/>
      <c r="F73" s="3"/>
      <c r="J73" s="3"/>
    </row>
    <row r="74" ht="15.75" customHeight="1">
      <c r="A74" s="3"/>
      <c r="B74" s="3"/>
      <c r="C74" s="3"/>
      <c r="D74" s="3"/>
      <c r="E74" s="3"/>
      <c r="F74" s="3"/>
      <c r="J74" s="3"/>
    </row>
    <row r="75" ht="15.75" customHeight="1">
      <c r="A75" s="3"/>
      <c r="B75" s="3"/>
      <c r="C75" s="3"/>
      <c r="D75" s="3"/>
      <c r="E75" s="3"/>
      <c r="F75" s="3"/>
      <c r="J75" s="3"/>
    </row>
    <row r="76" ht="15.75" customHeight="1">
      <c r="A76" s="3"/>
      <c r="B76" s="3"/>
      <c r="C76" s="3"/>
      <c r="D76" s="3"/>
      <c r="E76" s="3"/>
      <c r="F76" s="3"/>
      <c r="J76" s="3"/>
    </row>
    <row r="77" ht="15.75" customHeight="1">
      <c r="A77" s="3"/>
      <c r="B77" s="3"/>
      <c r="C77" s="3"/>
      <c r="D77" s="3"/>
      <c r="E77" s="3"/>
      <c r="F77" s="3"/>
      <c r="J77" s="3"/>
    </row>
    <row r="78" ht="15.75" customHeight="1">
      <c r="A78" s="3"/>
      <c r="B78" s="3"/>
      <c r="C78" s="3"/>
      <c r="D78" s="3"/>
      <c r="E78" s="3"/>
      <c r="F78" s="3"/>
      <c r="J78" s="3"/>
    </row>
    <row r="79" ht="15.75" customHeight="1">
      <c r="A79" s="3"/>
      <c r="B79" s="3"/>
      <c r="C79" s="3"/>
      <c r="D79" s="3"/>
      <c r="E79" s="3"/>
      <c r="F79" s="3"/>
      <c r="J79" s="3"/>
    </row>
    <row r="80" ht="15.75" customHeight="1">
      <c r="A80" s="3"/>
      <c r="B80" s="3"/>
      <c r="C80" s="3"/>
      <c r="D80" s="3"/>
      <c r="E80" s="3"/>
      <c r="F80" s="3"/>
      <c r="J80" s="3"/>
    </row>
    <row r="81" ht="15.75" customHeight="1">
      <c r="A81" s="3"/>
      <c r="B81" s="3"/>
      <c r="C81" s="3"/>
      <c r="D81" s="3"/>
      <c r="E81" s="3"/>
      <c r="F81" s="3"/>
      <c r="J81" s="3"/>
    </row>
    <row r="82" ht="15.75" customHeight="1">
      <c r="A82" s="3"/>
      <c r="B82" s="3"/>
      <c r="C82" s="3"/>
      <c r="D82" s="3"/>
      <c r="E82" s="3"/>
      <c r="F82" s="3"/>
      <c r="J82" s="3"/>
    </row>
    <row r="83" ht="15.75" customHeight="1">
      <c r="A83" s="3"/>
      <c r="B83" s="3"/>
      <c r="C83" s="3"/>
      <c r="D83" s="3"/>
      <c r="E83" s="3"/>
      <c r="F83" s="3"/>
      <c r="J83" s="3"/>
    </row>
    <row r="84" ht="15.75" customHeight="1">
      <c r="A84" s="3"/>
      <c r="B84" s="3"/>
      <c r="C84" s="3"/>
      <c r="D84" s="3"/>
      <c r="E84" s="3"/>
      <c r="F84" s="3"/>
      <c r="J84" s="3"/>
    </row>
    <row r="85" ht="15.75" customHeight="1">
      <c r="A85" s="3"/>
      <c r="B85" s="3"/>
      <c r="C85" s="3"/>
      <c r="D85" s="3"/>
      <c r="E85" s="3"/>
      <c r="F85" s="3"/>
      <c r="J85" s="3"/>
    </row>
    <row r="86" ht="15.75" customHeight="1">
      <c r="A86" s="3"/>
      <c r="B86" s="3"/>
      <c r="C86" s="3"/>
      <c r="D86" s="3"/>
      <c r="E86" s="3"/>
      <c r="F86" s="3"/>
      <c r="J86" s="3"/>
    </row>
    <row r="87" ht="15.75" customHeight="1">
      <c r="A87" s="3"/>
      <c r="B87" s="3"/>
      <c r="C87" s="3"/>
      <c r="D87" s="3"/>
      <c r="E87" s="3"/>
      <c r="F87" s="3"/>
      <c r="J87" s="3"/>
    </row>
    <row r="88" ht="15.75" customHeight="1">
      <c r="A88" s="3"/>
      <c r="B88" s="3"/>
      <c r="C88" s="3"/>
      <c r="D88" s="3"/>
      <c r="E88" s="3"/>
      <c r="F88" s="3"/>
      <c r="J88" s="3"/>
    </row>
    <row r="89" ht="15.75" customHeight="1">
      <c r="A89" s="3"/>
      <c r="B89" s="3"/>
      <c r="C89" s="3"/>
      <c r="D89" s="3"/>
      <c r="E89" s="3"/>
      <c r="F89" s="3"/>
      <c r="J89" s="3"/>
    </row>
    <row r="90" ht="15.75" customHeight="1">
      <c r="A90" s="3"/>
      <c r="B90" s="3"/>
      <c r="C90" s="3"/>
      <c r="D90" s="3"/>
      <c r="E90" s="3"/>
      <c r="F90" s="3"/>
      <c r="J90" s="3"/>
    </row>
    <row r="91" ht="15.75" customHeight="1">
      <c r="A91" s="3"/>
      <c r="B91" s="3"/>
      <c r="C91" s="3"/>
      <c r="D91" s="3"/>
      <c r="E91" s="3"/>
      <c r="F91" s="3"/>
      <c r="J91" s="3"/>
    </row>
    <row r="92" ht="15.75" customHeight="1">
      <c r="A92" s="3"/>
      <c r="B92" s="3"/>
      <c r="C92" s="3"/>
      <c r="D92" s="3"/>
      <c r="E92" s="3"/>
      <c r="F92" s="3"/>
      <c r="J92" s="3"/>
    </row>
    <row r="93" ht="15.75" customHeight="1">
      <c r="A93" s="3"/>
      <c r="B93" s="3"/>
      <c r="C93" s="3"/>
      <c r="D93" s="3"/>
      <c r="E93" s="3"/>
      <c r="F93" s="3"/>
      <c r="J93" s="3"/>
    </row>
    <row r="94" ht="15.75" customHeight="1">
      <c r="A94" s="3"/>
      <c r="B94" s="3"/>
      <c r="C94" s="3"/>
      <c r="D94" s="3"/>
      <c r="E94" s="3"/>
      <c r="F94" s="3"/>
      <c r="J94" s="3"/>
    </row>
    <row r="95" ht="15.75" customHeight="1">
      <c r="A95" s="3"/>
      <c r="B95" s="3"/>
      <c r="C95" s="3"/>
      <c r="D95" s="3"/>
      <c r="E95" s="3"/>
      <c r="F95" s="3"/>
      <c r="J95" s="3"/>
    </row>
    <row r="96" ht="15.75" customHeight="1">
      <c r="A96" s="3"/>
      <c r="B96" s="3"/>
      <c r="C96" s="3"/>
      <c r="D96" s="3"/>
      <c r="E96" s="3"/>
      <c r="F96" s="3"/>
      <c r="J96" s="3"/>
    </row>
    <row r="97" ht="15.75" customHeight="1">
      <c r="A97" s="3"/>
      <c r="B97" s="3"/>
      <c r="C97" s="3"/>
      <c r="D97" s="3"/>
      <c r="E97" s="3"/>
      <c r="F97" s="3"/>
      <c r="J97" s="3"/>
    </row>
    <row r="98" ht="15.75" customHeight="1">
      <c r="A98" s="3"/>
      <c r="B98" s="3"/>
      <c r="C98" s="3"/>
      <c r="D98" s="3"/>
      <c r="E98" s="3"/>
      <c r="F98" s="3"/>
      <c r="J98" s="3"/>
    </row>
    <row r="99" ht="15.75" customHeight="1">
      <c r="A99" s="3"/>
      <c r="B99" s="3"/>
      <c r="C99" s="3"/>
      <c r="D99" s="3"/>
      <c r="E99" s="3"/>
      <c r="F99" s="3"/>
      <c r="J99" s="3"/>
    </row>
    <row r="100" ht="15.75" customHeight="1">
      <c r="A100" s="3"/>
      <c r="B100" s="3"/>
      <c r="C100" s="3"/>
      <c r="D100" s="3"/>
      <c r="E100" s="3"/>
      <c r="F100" s="3"/>
      <c r="J100" s="3"/>
    </row>
    <row r="101" ht="15.75" customHeight="1">
      <c r="A101" s="3"/>
      <c r="B101" s="3"/>
      <c r="C101" s="3"/>
      <c r="D101" s="3"/>
      <c r="E101" s="3"/>
      <c r="F101" s="3"/>
      <c r="J101" s="3"/>
    </row>
    <row r="102" ht="15.75" customHeight="1">
      <c r="A102" s="3"/>
      <c r="B102" s="3"/>
      <c r="C102" s="3"/>
      <c r="D102" s="3"/>
      <c r="E102" s="3"/>
      <c r="F102" s="3"/>
      <c r="J102" s="3"/>
    </row>
    <row r="103" ht="15.75" customHeight="1">
      <c r="A103" s="3"/>
      <c r="B103" s="3"/>
      <c r="C103" s="3"/>
      <c r="D103" s="3"/>
      <c r="E103" s="3"/>
      <c r="F103" s="3"/>
      <c r="J103" s="3"/>
    </row>
    <row r="104" ht="15.75" customHeight="1">
      <c r="A104" s="3"/>
      <c r="B104" s="3"/>
      <c r="C104" s="3"/>
      <c r="D104" s="3"/>
      <c r="E104" s="3"/>
      <c r="F104" s="3"/>
      <c r="J104" s="3"/>
    </row>
    <row r="105" ht="15.75" customHeight="1">
      <c r="A105" s="3"/>
      <c r="B105" s="3"/>
      <c r="C105" s="3"/>
      <c r="D105" s="3"/>
      <c r="E105" s="3"/>
      <c r="F105" s="3"/>
      <c r="J105" s="3"/>
    </row>
    <row r="106" ht="15.75" customHeight="1">
      <c r="A106" s="3"/>
      <c r="B106" s="3"/>
      <c r="C106" s="3"/>
      <c r="D106" s="3"/>
      <c r="E106" s="3"/>
      <c r="F106" s="3"/>
      <c r="J106" s="3"/>
    </row>
    <row r="107" ht="15.75" customHeight="1">
      <c r="A107" s="3"/>
      <c r="B107" s="3"/>
      <c r="C107" s="3"/>
      <c r="D107" s="3"/>
      <c r="E107" s="3"/>
      <c r="F107" s="3"/>
      <c r="J107" s="3"/>
    </row>
    <row r="108" ht="15.75" customHeight="1">
      <c r="A108" s="3"/>
      <c r="B108" s="3"/>
      <c r="C108" s="3"/>
      <c r="D108" s="3"/>
      <c r="E108" s="3"/>
      <c r="F108" s="3"/>
      <c r="J108" s="3"/>
    </row>
    <row r="109" ht="15.75" customHeight="1">
      <c r="A109" s="3"/>
      <c r="B109" s="3"/>
      <c r="C109" s="3"/>
      <c r="D109" s="3"/>
      <c r="E109" s="3"/>
      <c r="F109" s="3"/>
      <c r="J109" s="3"/>
    </row>
    <row r="110" ht="15.75" customHeight="1">
      <c r="A110" s="3"/>
      <c r="B110" s="3"/>
      <c r="C110" s="3"/>
      <c r="D110" s="3"/>
      <c r="E110" s="3"/>
      <c r="F110" s="3"/>
      <c r="J110" s="3"/>
    </row>
    <row r="111" ht="15.75" customHeight="1">
      <c r="A111" s="3"/>
      <c r="B111" s="3"/>
      <c r="C111" s="3"/>
      <c r="D111" s="3"/>
      <c r="E111" s="3"/>
      <c r="F111" s="3"/>
      <c r="J111" s="3"/>
    </row>
    <row r="112" ht="15.75" customHeight="1">
      <c r="A112" s="3"/>
      <c r="B112" s="3"/>
      <c r="C112" s="3"/>
      <c r="D112" s="3"/>
      <c r="E112" s="3"/>
      <c r="F112" s="3"/>
      <c r="J112" s="3"/>
    </row>
    <row r="113" ht="15.75" customHeight="1">
      <c r="A113" s="3"/>
      <c r="B113" s="3"/>
      <c r="C113" s="3"/>
      <c r="D113" s="3"/>
      <c r="E113" s="3"/>
      <c r="F113" s="3"/>
      <c r="J113" s="3"/>
    </row>
    <row r="114" ht="15.75" customHeight="1">
      <c r="A114" s="3"/>
      <c r="B114" s="3"/>
      <c r="C114" s="3"/>
      <c r="D114" s="3"/>
      <c r="E114" s="3"/>
      <c r="F114" s="3"/>
      <c r="J114" s="3"/>
    </row>
    <row r="115" ht="15.75" customHeight="1">
      <c r="A115" s="3"/>
      <c r="B115" s="3"/>
      <c r="C115" s="3"/>
      <c r="D115" s="3"/>
      <c r="E115" s="3"/>
      <c r="F115" s="3"/>
      <c r="J115" s="3"/>
    </row>
    <row r="116" ht="15.75" customHeight="1">
      <c r="A116" s="3"/>
      <c r="B116" s="3"/>
      <c r="C116" s="3"/>
      <c r="D116" s="3"/>
      <c r="E116" s="3"/>
      <c r="F116" s="3"/>
      <c r="J116" s="3"/>
    </row>
    <row r="117" ht="15.75" customHeight="1">
      <c r="A117" s="3"/>
      <c r="B117" s="3"/>
      <c r="C117" s="3"/>
      <c r="D117" s="3"/>
      <c r="E117" s="3"/>
      <c r="F117" s="3"/>
      <c r="J117" s="3"/>
    </row>
    <row r="118" ht="15.75" customHeight="1">
      <c r="A118" s="3"/>
      <c r="B118" s="3"/>
      <c r="C118" s="3"/>
      <c r="D118" s="3"/>
      <c r="E118" s="3"/>
      <c r="F118" s="3"/>
      <c r="J118" s="3"/>
    </row>
    <row r="119" ht="15.75" customHeight="1">
      <c r="A119" s="3"/>
      <c r="B119" s="3"/>
      <c r="C119" s="3"/>
      <c r="D119" s="3"/>
      <c r="E119" s="3"/>
      <c r="F119" s="3"/>
      <c r="J119" s="3"/>
    </row>
    <row r="120" ht="15.75" customHeight="1">
      <c r="A120" s="3"/>
      <c r="B120" s="3"/>
      <c r="C120" s="3"/>
      <c r="D120" s="3"/>
      <c r="E120" s="3"/>
      <c r="F120" s="3"/>
      <c r="J120" s="3"/>
    </row>
    <row r="121" ht="15.75" customHeight="1">
      <c r="A121" s="3"/>
      <c r="B121" s="3"/>
      <c r="C121" s="3"/>
      <c r="D121" s="3"/>
      <c r="E121" s="3"/>
      <c r="F121" s="3"/>
      <c r="J121" s="3"/>
    </row>
    <row r="122" ht="15.75" customHeight="1">
      <c r="A122" s="3"/>
      <c r="B122" s="3"/>
      <c r="C122" s="3"/>
      <c r="D122" s="3"/>
      <c r="E122" s="3"/>
      <c r="F122" s="3"/>
      <c r="J122" s="3"/>
    </row>
    <row r="123" ht="15.75" customHeight="1">
      <c r="A123" s="3"/>
      <c r="B123" s="3"/>
      <c r="C123" s="3"/>
      <c r="D123" s="3"/>
      <c r="E123" s="3"/>
      <c r="F123" s="3"/>
      <c r="J123" s="3"/>
    </row>
    <row r="124" ht="15.75" customHeight="1">
      <c r="A124" s="3"/>
      <c r="B124" s="3"/>
      <c r="C124" s="3"/>
      <c r="D124" s="3"/>
      <c r="E124" s="3"/>
      <c r="F124" s="3"/>
      <c r="J124" s="3"/>
    </row>
    <row r="125" ht="15.75" customHeight="1">
      <c r="A125" s="3"/>
      <c r="B125" s="3"/>
      <c r="C125" s="3"/>
      <c r="D125" s="3"/>
      <c r="E125" s="3"/>
      <c r="F125" s="3"/>
      <c r="J125" s="3"/>
    </row>
    <row r="126" ht="15.75" customHeight="1">
      <c r="A126" s="3"/>
      <c r="B126" s="3"/>
      <c r="C126" s="3"/>
      <c r="D126" s="3"/>
      <c r="E126" s="3"/>
      <c r="F126" s="3"/>
      <c r="J126" s="3"/>
    </row>
    <row r="127" ht="15.75" customHeight="1">
      <c r="A127" s="3"/>
      <c r="B127" s="3"/>
      <c r="C127" s="3"/>
      <c r="D127" s="3"/>
      <c r="E127" s="3"/>
      <c r="F127" s="3"/>
      <c r="J127" s="3"/>
    </row>
    <row r="128" ht="15.75" customHeight="1">
      <c r="A128" s="3"/>
      <c r="B128" s="3"/>
      <c r="C128" s="3"/>
      <c r="D128" s="3"/>
      <c r="E128" s="3"/>
      <c r="F128" s="3"/>
      <c r="J128" s="3"/>
    </row>
    <row r="129" ht="15.75" customHeight="1">
      <c r="A129" s="3"/>
      <c r="B129" s="3"/>
      <c r="C129" s="3"/>
      <c r="D129" s="3"/>
      <c r="E129" s="3"/>
      <c r="F129" s="3"/>
      <c r="J129" s="3"/>
    </row>
    <row r="130" ht="15.75" customHeight="1">
      <c r="A130" s="3"/>
      <c r="B130" s="3"/>
      <c r="C130" s="3"/>
      <c r="D130" s="3"/>
      <c r="E130" s="3"/>
      <c r="F130" s="3"/>
      <c r="J130" s="3"/>
    </row>
    <row r="131" ht="15.75" customHeight="1">
      <c r="A131" s="3"/>
      <c r="B131" s="3"/>
      <c r="C131" s="3"/>
      <c r="D131" s="3"/>
      <c r="E131" s="3"/>
      <c r="F131" s="3"/>
      <c r="J131" s="3"/>
    </row>
    <row r="132" ht="15.75" customHeight="1">
      <c r="A132" s="3"/>
      <c r="B132" s="3"/>
      <c r="C132" s="3"/>
      <c r="D132" s="3"/>
      <c r="E132" s="3"/>
      <c r="F132" s="3"/>
      <c r="J132" s="3"/>
    </row>
    <row r="133" ht="15.75" customHeight="1">
      <c r="A133" s="3"/>
      <c r="B133" s="3"/>
      <c r="C133" s="3"/>
      <c r="D133" s="3"/>
      <c r="E133" s="3"/>
      <c r="F133" s="3"/>
      <c r="J133" s="3"/>
    </row>
    <row r="134" ht="15.75" customHeight="1">
      <c r="A134" s="3"/>
      <c r="B134" s="3"/>
      <c r="C134" s="3"/>
      <c r="D134" s="3"/>
      <c r="E134" s="3"/>
      <c r="F134" s="3"/>
      <c r="J134" s="3"/>
    </row>
    <row r="135" ht="15.75" customHeight="1">
      <c r="A135" s="3"/>
      <c r="B135" s="3"/>
      <c r="C135" s="3"/>
      <c r="D135" s="3"/>
      <c r="E135" s="3"/>
      <c r="F135" s="3"/>
      <c r="J135" s="3"/>
    </row>
    <row r="136" ht="15.75" customHeight="1">
      <c r="A136" s="3"/>
      <c r="B136" s="3"/>
      <c r="C136" s="3"/>
      <c r="D136" s="3"/>
      <c r="E136" s="3"/>
      <c r="F136" s="3"/>
      <c r="J136" s="3"/>
    </row>
    <row r="137" ht="15.75" customHeight="1">
      <c r="A137" s="3"/>
      <c r="B137" s="3"/>
      <c r="C137" s="3"/>
      <c r="D137" s="3"/>
      <c r="E137" s="3"/>
      <c r="F137" s="3"/>
      <c r="J137" s="3"/>
    </row>
    <row r="138" ht="15.75" customHeight="1">
      <c r="A138" s="3"/>
      <c r="B138" s="3"/>
      <c r="C138" s="3"/>
      <c r="D138" s="3"/>
      <c r="E138" s="3"/>
      <c r="F138" s="3"/>
      <c r="J138" s="3"/>
    </row>
    <row r="139" ht="15.75" customHeight="1">
      <c r="A139" s="3"/>
      <c r="B139" s="3"/>
      <c r="C139" s="3"/>
      <c r="D139" s="3"/>
      <c r="E139" s="3"/>
      <c r="F139" s="3"/>
      <c r="J139" s="3"/>
    </row>
    <row r="140" ht="15.75" customHeight="1">
      <c r="A140" s="3"/>
      <c r="B140" s="3"/>
      <c r="C140" s="3"/>
      <c r="D140" s="3"/>
      <c r="E140" s="3"/>
      <c r="F140" s="3"/>
      <c r="J140" s="3"/>
    </row>
    <row r="141" ht="15.75" customHeight="1">
      <c r="A141" s="3"/>
      <c r="B141" s="3"/>
      <c r="C141" s="3"/>
      <c r="D141" s="3"/>
      <c r="E141" s="3"/>
      <c r="F141" s="3"/>
      <c r="J141" s="3"/>
    </row>
    <row r="142" ht="15.75" customHeight="1">
      <c r="A142" s="3"/>
      <c r="B142" s="3"/>
      <c r="C142" s="3"/>
      <c r="D142" s="3"/>
      <c r="E142" s="3"/>
      <c r="F142" s="3"/>
      <c r="J142" s="3"/>
    </row>
    <row r="143" ht="15.75" customHeight="1">
      <c r="A143" s="3"/>
      <c r="B143" s="3"/>
      <c r="C143" s="3"/>
      <c r="D143" s="3"/>
      <c r="E143" s="3"/>
      <c r="F143" s="3"/>
      <c r="J143" s="3"/>
    </row>
    <row r="144" ht="15.75" customHeight="1">
      <c r="A144" s="3"/>
      <c r="B144" s="3"/>
      <c r="C144" s="3"/>
      <c r="D144" s="3"/>
      <c r="E144" s="3"/>
      <c r="F144" s="3"/>
      <c r="J144" s="3"/>
    </row>
    <row r="145" ht="15.75" customHeight="1">
      <c r="A145" s="3"/>
      <c r="B145" s="3"/>
      <c r="C145" s="3"/>
      <c r="D145" s="3"/>
      <c r="E145" s="3"/>
      <c r="F145" s="3"/>
      <c r="J145" s="3"/>
    </row>
    <row r="146" ht="15.75" customHeight="1">
      <c r="A146" s="3"/>
      <c r="B146" s="3"/>
      <c r="C146" s="3"/>
      <c r="D146" s="3"/>
      <c r="E146" s="3"/>
      <c r="F146" s="3"/>
      <c r="J146" s="3"/>
    </row>
    <row r="147" ht="15.75" customHeight="1">
      <c r="A147" s="3"/>
      <c r="B147" s="3"/>
      <c r="C147" s="3"/>
      <c r="D147" s="3"/>
      <c r="E147" s="3"/>
      <c r="F147" s="3"/>
      <c r="J147" s="3"/>
    </row>
    <row r="148" ht="15.75" customHeight="1">
      <c r="A148" s="3"/>
      <c r="B148" s="3"/>
      <c r="C148" s="3"/>
      <c r="D148" s="3"/>
      <c r="E148" s="3"/>
      <c r="F148" s="3"/>
      <c r="J148" s="3"/>
    </row>
    <row r="149" ht="15.75" customHeight="1">
      <c r="A149" s="3"/>
      <c r="B149" s="3"/>
      <c r="C149" s="3"/>
      <c r="D149" s="3"/>
      <c r="E149" s="3"/>
      <c r="F149" s="3"/>
      <c r="J149" s="3"/>
    </row>
    <row r="150" ht="15.75" customHeight="1">
      <c r="A150" s="3"/>
      <c r="B150" s="3"/>
      <c r="C150" s="3"/>
      <c r="D150" s="3"/>
      <c r="E150" s="3"/>
      <c r="F150" s="3"/>
      <c r="J150" s="3"/>
    </row>
    <row r="151" ht="15.75" customHeight="1">
      <c r="A151" s="3"/>
      <c r="B151" s="3"/>
      <c r="C151" s="3"/>
      <c r="D151" s="3"/>
      <c r="E151" s="3"/>
      <c r="F151" s="3"/>
      <c r="J151" s="3"/>
    </row>
    <row r="152" ht="15.75" customHeight="1">
      <c r="A152" s="3"/>
      <c r="B152" s="3"/>
      <c r="C152" s="3"/>
      <c r="D152" s="3"/>
      <c r="E152" s="3"/>
      <c r="F152" s="3"/>
      <c r="J152" s="3"/>
    </row>
    <row r="153" ht="15.75" customHeight="1">
      <c r="A153" s="3"/>
      <c r="B153" s="3"/>
      <c r="C153" s="3"/>
      <c r="D153" s="3"/>
      <c r="E153" s="3"/>
      <c r="F153" s="3"/>
      <c r="J153" s="3"/>
    </row>
    <row r="154" ht="15.75" customHeight="1">
      <c r="A154" s="3"/>
      <c r="B154" s="3"/>
      <c r="C154" s="3"/>
      <c r="D154" s="3"/>
      <c r="E154" s="3"/>
      <c r="F154" s="3"/>
      <c r="J154" s="3"/>
    </row>
    <row r="155" ht="15.75" customHeight="1">
      <c r="A155" s="3"/>
      <c r="B155" s="3"/>
      <c r="C155" s="3"/>
      <c r="D155" s="3"/>
      <c r="E155" s="3"/>
      <c r="F155" s="3"/>
      <c r="J155" s="3"/>
    </row>
    <row r="156" ht="15.75" customHeight="1">
      <c r="A156" s="3"/>
      <c r="B156" s="3"/>
      <c r="C156" s="3"/>
      <c r="D156" s="3"/>
      <c r="E156" s="3"/>
      <c r="F156" s="3"/>
      <c r="J156" s="3"/>
    </row>
    <row r="157" ht="15.75" customHeight="1">
      <c r="A157" s="3"/>
      <c r="B157" s="3"/>
      <c r="C157" s="3"/>
      <c r="D157" s="3"/>
      <c r="E157" s="3"/>
      <c r="F157" s="3"/>
      <c r="J157" s="3"/>
    </row>
    <row r="158" ht="15.75" customHeight="1">
      <c r="A158" s="3"/>
      <c r="B158" s="3"/>
      <c r="C158" s="3"/>
      <c r="D158" s="3"/>
      <c r="E158" s="3"/>
      <c r="F158" s="3"/>
      <c r="J158" s="3"/>
    </row>
    <row r="159" ht="15.75" customHeight="1">
      <c r="A159" s="3"/>
      <c r="B159" s="3"/>
      <c r="C159" s="3"/>
      <c r="D159" s="3"/>
      <c r="E159" s="3"/>
      <c r="F159" s="3"/>
      <c r="J159" s="3"/>
    </row>
    <row r="160" ht="15.75" customHeight="1">
      <c r="A160" s="3"/>
      <c r="B160" s="3"/>
      <c r="C160" s="3"/>
      <c r="D160" s="3"/>
      <c r="E160" s="3"/>
      <c r="F160" s="3"/>
      <c r="J160" s="3"/>
    </row>
    <row r="161" ht="15.75" customHeight="1">
      <c r="A161" s="3"/>
      <c r="B161" s="3"/>
      <c r="C161" s="3"/>
      <c r="D161" s="3"/>
      <c r="E161" s="3"/>
      <c r="F161" s="3"/>
      <c r="J161" s="3"/>
    </row>
    <row r="162" ht="15.75" customHeight="1">
      <c r="A162" s="3"/>
      <c r="B162" s="3"/>
      <c r="C162" s="3"/>
      <c r="D162" s="3"/>
      <c r="E162" s="3"/>
      <c r="F162" s="3"/>
      <c r="J162" s="3"/>
    </row>
    <row r="163" ht="15.75" customHeight="1">
      <c r="A163" s="3"/>
      <c r="B163" s="3"/>
      <c r="C163" s="3"/>
      <c r="D163" s="3"/>
      <c r="E163" s="3"/>
      <c r="F163" s="3"/>
      <c r="J163" s="3"/>
    </row>
    <row r="164" ht="15.75" customHeight="1">
      <c r="A164" s="3"/>
      <c r="B164" s="3"/>
      <c r="C164" s="3"/>
      <c r="D164" s="3"/>
      <c r="E164" s="3"/>
      <c r="F164" s="3"/>
      <c r="J164" s="3"/>
    </row>
    <row r="165" ht="15.75" customHeight="1">
      <c r="A165" s="3"/>
      <c r="B165" s="3"/>
      <c r="C165" s="3"/>
      <c r="D165" s="3"/>
      <c r="E165" s="3"/>
      <c r="F165" s="3"/>
      <c r="J165" s="3"/>
    </row>
    <row r="166" ht="15.75" customHeight="1">
      <c r="A166" s="3"/>
      <c r="B166" s="3"/>
      <c r="C166" s="3"/>
      <c r="D166" s="3"/>
      <c r="E166" s="3"/>
      <c r="F166" s="3"/>
      <c r="J166" s="3"/>
    </row>
    <row r="167" ht="15.75" customHeight="1">
      <c r="A167" s="3"/>
      <c r="B167" s="3"/>
      <c r="C167" s="3"/>
      <c r="D167" s="3"/>
      <c r="E167" s="3"/>
      <c r="F167" s="3"/>
      <c r="J167" s="3"/>
    </row>
    <row r="168" ht="15.75" customHeight="1">
      <c r="A168" s="3"/>
      <c r="B168" s="3"/>
      <c r="C168" s="3"/>
      <c r="D168" s="3"/>
      <c r="E168" s="3"/>
      <c r="F168" s="3"/>
      <c r="J168" s="3"/>
    </row>
    <row r="169" ht="15.75" customHeight="1">
      <c r="A169" s="3"/>
      <c r="B169" s="3"/>
      <c r="C169" s="3"/>
      <c r="D169" s="3"/>
      <c r="E169" s="3"/>
      <c r="F169" s="3"/>
      <c r="J169" s="3"/>
    </row>
    <row r="170" ht="15.75" customHeight="1">
      <c r="A170" s="3"/>
      <c r="B170" s="3"/>
      <c r="C170" s="3"/>
      <c r="D170" s="3"/>
      <c r="E170" s="3"/>
      <c r="F170" s="3"/>
      <c r="J170" s="3"/>
    </row>
    <row r="171" ht="15.75" customHeight="1">
      <c r="A171" s="3"/>
      <c r="B171" s="3"/>
      <c r="C171" s="3"/>
      <c r="D171" s="3"/>
      <c r="E171" s="3"/>
      <c r="F171" s="3"/>
      <c r="J171" s="3"/>
    </row>
    <row r="172" ht="15.75" customHeight="1">
      <c r="A172" s="3"/>
      <c r="B172" s="3"/>
      <c r="C172" s="3"/>
      <c r="D172" s="3"/>
      <c r="E172" s="3"/>
      <c r="F172" s="3"/>
      <c r="J172" s="3"/>
    </row>
    <row r="173" ht="15.75" customHeight="1">
      <c r="A173" s="3"/>
      <c r="B173" s="3"/>
      <c r="C173" s="3"/>
      <c r="D173" s="3"/>
      <c r="E173" s="3"/>
      <c r="F173" s="3"/>
      <c r="J173" s="3"/>
    </row>
    <row r="174" ht="15.75" customHeight="1">
      <c r="A174" s="3"/>
      <c r="B174" s="3"/>
      <c r="C174" s="3"/>
      <c r="D174" s="3"/>
      <c r="E174" s="3"/>
      <c r="F174" s="3"/>
      <c r="J174" s="3"/>
    </row>
    <row r="175" ht="15.75" customHeight="1">
      <c r="A175" s="3"/>
      <c r="B175" s="3"/>
      <c r="C175" s="3"/>
      <c r="D175" s="3"/>
      <c r="E175" s="3"/>
      <c r="F175" s="3"/>
      <c r="J175" s="3"/>
    </row>
    <row r="176" ht="15.75" customHeight="1">
      <c r="A176" s="3"/>
      <c r="B176" s="3"/>
      <c r="C176" s="3"/>
      <c r="D176" s="3"/>
      <c r="E176" s="3"/>
      <c r="F176" s="3"/>
      <c r="J176" s="3"/>
    </row>
    <row r="177" ht="15.75" customHeight="1">
      <c r="A177" s="3"/>
      <c r="B177" s="3"/>
      <c r="C177" s="3"/>
      <c r="D177" s="3"/>
      <c r="E177" s="3"/>
      <c r="F177" s="3"/>
      <c r="J177" s="3"/>
    </row>
    <row r="178" ht="15.75" customHeight="1">
      <c r="A178" s="3"/>
      <c r="B178" s="3"/>
      <c r="C178" s="3"/>
      <c r="D178" s="3"/>
      <c r="E178" s="3"/>
      <c r="F178" s="3"/>
      <c r="J178" s="3"/>
    </row>
    <row r="179" ht="15.75" customHeight="1">
      <c r="A179" s="3"/>
      <c r="B179" s="3"/>
      <c r="C179" s="3"/>
      <c r="D179" s="3"/>
      <c r="E179" s="3"/>
      <c r="F179" s="3"/>
      <c r="J179" s="3"/>
    </row>
    <row r="180" ht="15.75" customHeight="1">
      <c r="A180" s="3"/>
      <c r="B180" s="3"/>
      <c r="C180" s="3"/>
      <c r="D180" s="3"/>
      <c r="E180" s="3"/>
      <c r="F180" s="3"/>
      <c r="J180" s="3"/>
    </row>
    <row r="181" ht="15.75" customHeight="1">
      <c r="A181" s="3"/>
      <c r="B181" s="3"/>
      <c r="C181" s="3"/>
      <c r="D181" s="3"/>
      <c r="E181" s="3"/>
      <c r="F181" s="3"/>
      <c r="J181" s="3"/>
    </row>
    <row r="182" ht="15.75" customHeight="1">
      <c r="A182" s="3"/>
      <c r="B182" s="3"/>
      <c r="C182" s="3"/>
      <c r="D182" s="3"/>
      <c r="E182" s="3"/>
      <c r="F182" s="3"/>
      <c r="J182" s="3"/>
    </row>
    <row r="183" ht="15.75" customHeight="1">
      <c r="A183" s="3"/>
      <c r="B183" s="3"/>
      <c r="C183" s="3"/>
      <c r="D183" s="3"/>
      <c r="E183" s="3"/>
      <c r="F183" s="3"/>
      <c r="J183" s="3"/>
    </row>
    <row r="184" ht="15.75" customHeight="1">
      <c r="A184" s="3"/>
      <c r="B184" s="3"/>
      <c r="C184" s="3"/>
      <c r="D184" s="3"/>
      <c r="E184" s="3"/>
      <c r="F184" s="3"/>
      <c r="J184" s="3"/>
    </row>
    <row r="185" ht="15.75" customHeight="1">
      <c r="A185" s="3"/>
      <c r="B185" s="3"/>
      <c r="C185" s="3"/>
      <c r="D185" s="3"/>
      <c r="E185" s="3"/>
      <c r="F185" s="3"/>
      <c r="J185" s="3"/>
    </row>
    <row r="186" ht="15.75" customHeight="1">
      <c r="A186" s="3"/>
      <c r="B186" s="3"/>
      <c r="C186" s="3"/>
      <c r="D186" s="3"/>
      <c r="E186" s="3"/>
      <c r="F186" s="3"/>
      <c r="J186" s="3"/>
    </row>
    <row r="187" ht="15.75" customHeight="1">
      <c r="A187" s="3"/>
      <c r="B187" s="3"/>
      <c r="C187" s="3"/>
      <c r="D187" s="3"/>
      <c r="E187" s="3"/>
      <c r="F187" s="3"/>
      <c r="J187" s="3"/>
    </row>
    <row r="188" ht="15.75" customHeight="1">
      <c r="A188" s="3"/>
      <c r="B188" s="3"/>
      <c r="C188" s="3"/>
      <c r="D188" s="3"/>
      <c r="E188" s="3"/>
      <c r="F188" s="3"/>
      <c r="J188" s="3"/>
    </row>
    <row r="189" ht="15.75" customHeight="1">
      <c r="A189" s="3"/>
      <c r="B189" s="3"/>
      <c r="C189" s="3"/>
      <c r="D189" s="3"/>
      <c r="E189" s="3"/>
      <c r="F189" s="3"/>
      <c r="J189" s="3"/>
    </row>
    <row r="190" ht="15.75" customHeight="1">
      <c r="A190" s="3"/>
      <c r="B190" s="3"/>
      <c r="C190" s="3"/>
      <c r="D190" s="3"/>
      <c r="E190" s="3"/>
      <c r="F190" s="3"/>
      <c r="J190" s="3"/>
    </row>
    <row r="191" ht="15.75" customHeight="1">
      <c r="A191" s="3"/>
      <c r="B191" s="3"/>
      <c r="C191" s="3"/>
      <c r="D191" s="3"/>
      <c r="E191" s="3"/>
      <c r="F191" s="3"/>
      <c r="J191" s="3"/>
    </row>
    <row r="192" ht="15.75" customHeight="1">
      <c r="A192" s="3"/>
      <c r="B192" s="3"/>
      <c r="C192" s="3"/>
      <c r="D192" s="3"/>
      <c r="E192" s="3"/>
      <c r="F192" s="3"/>
      <c r="J192" s="3"/>
    </row>
    <row r="193" ht="15.75" customHeight="1">
      <c r="A193" s="3"/>
      <c r="B193" s="3"/>
      <c r="C193" s="3"/>
      <c r="D193" s="3"/>
      <c r="E193" s="3"/>
      <c r="F193" s="3"/>
      <c r="J193" s="3"/>
    </row>
    <row r="194" ht="15.75" customHeight="1">
      <c r="A194" s="3"/>
      <c r="B194" s="3"/>
      <c r="C194" s="3"/>
      <c r="D194" s="3"/>
      <c r="E194" s="3"/>
      <c r="F194" s="3"/>
      <c r="J194" s="3"/>
    </row>
    <row r="195" ht="15.75" customHeight="1">
      <c r="A195" s="3"/>
      <c r="B195" s="3"/>
      <c r="C195" s="3"/>
      <c r="D195" s="3"/>
      <c r="E195" s="3"/>
      <c r="F195" s="3"/>
      <c r="J195" s="3"/>
    </row>
    <row r="196" ht="15.75" customHeight="1">
      <c r="A196" s="3"/>
      <c r="B196" s="3"/>
      <c r="C196" s="3"/>
      <c r="D196" s="3"/>
      <c r="E196" s="3"/>
      <c r="F196" s="3"/>
      <c r="J196" s="3"/>
    </row>
    <row r="197" ht="15.75" customHeight="1">
      <c r="A197" s="3"/>
      <c r="B197" s="3"/>
      <c r="C197" s="3"/>
      <c r="D197" s="3"/>
      <c r="E197" s="3"/>
      <c r="F197" s="3"/>
      <c r="J197" s="3"/>
    </row>
    <row r="198" ht="15.75" customHeight="1">
      <c r="A198" s="3"/>
      <c r="B198" s="3"/>
      <c r="C198" s="3"/>
      <c r="D198" s="3"/>
      <c r="E198" s="3"/>
      <c r="F198" s="3"/>
      <c r="J198" s="3"/>
    </row>
    <row r="199" ht="15.75" customHeight="1">
      <c r="A199" s="3"/>
      <c r="B199" s="3"/>
      <c r="C199" s="3"/>
      <c r="D199" s="3"/>
      <c r="E199" s="3"/>
      <c r="F199" s="3"/>
      <c r="J199" s="3"/>
    </row>
    <row r="200" ht="15.75" customHeight="1">
      <c r="A200" s="3"/>
      <c r="B200" s="3"/>
      <c r="C200" s="3"/>
      <c r="D200" s="3"/>
      <c r="E200" s="3"/>
      <c r="F200" s="3"/>
      <c r="J200" s="3"/>
    </row>
    <row r="201" ht="15.75" customHeight="1">
      <c r="A201" s="3"/>
      <c r="B201" s="3"/>
      <c r="C201" s="3"/>
      <c r="D201" s="3"/>
      <c r="E201" s="3"/>
      <c r="F201" s="3"/>
      <c r="J201" s="3"/>
    </row>
    <row r="202" ht="15.75" customHeight="1">
      <c r="A202" s="3"/>
      <c r="B202" s="3"/>
      <c r="C202" s="3"/>
      <c r="D202" s="3"/>
      <c r="E202" s="3"/>
      <c r="F202" s="3"/>
      <c r="J202" s="3"/>
    </row>
    <row r="203" ht="15.75" customHeight="1">
      <c r="A203" s="3"/>
      <c r="B203" s="3"/>
      <c r="C203" s="3"/>
      <c r="D203" s="3"/>
      <c r="E203" s="3"/>
      <c r="F203" s="3"/>
      <c r="J203" s="3"/>
    </row>
    <row r="204" ht="15.75" customHeight="1">
      <c r="A204" s="3"/>
      <c r="B204" s="3"/>
      <c r="C204" s="3"/>
      <c r="D204" s="3"/>
      <c r="E204" s="3"/>
      <c r="F204" s="3"/>
      <c r="J204" s="3"/>
    </row>
    <row r="205" ht="15.75" customHeight="1">
      <c r="A205" s="3"/>
      <c r="B205" s="3"/>
      <c r="C205" s="3"/>
      <c r="D205" s="3"/>
      <c r="E205" s="3"/>
      <c r="F205" s="3"/>
      <c r="J205" s="3"/>
    </row>
    <row r="206" ht="15.75" customHeight="1">
      <c r="A206" s="3"/>
      <c r="B206" s="3"/>
      <c r="C206" s="3"/>
      <c r="D206" s="3"/>
      <c r="E206" s="3"/>
      <c r="F206" s="3"/>
      <c r="J206" s="3"/>
    </row>
    <row r="207" ht="15.75" customHeight="1">
      <c r="A207" s="3"/>
      <c r="B207" s="3"/>
      <c r="C207" s="3"/>
      <c r="D207" s="3"/>
      <c r="E207" s="3"/>
      <c r="F207" s="3"/>
      <c r="J207" s="3"/>
    </row>
    <row r="208" ht="15.75" customHeight="1">
      <c r="A208" s="3"/>
      <c r="B208" s="3"/>
      <c r="C208" s="3"/>
      <c r="D208" s="3"/>
      <c r="E208" s="3"/>
      <c r="F208" s="3"/>
      <c r="J208" s="3"/>
    </row>
    <row r="209" ht="15.75" customHeight="1">
      <c r="A209" s="3"/>
      <c r="B209" s="3"/>
      <c r="C209" s="3"/>
      <c r="D209" s="3"/>
      <c r="E209" s="3"/>
      <c r="F209" s="3"/>
      <c r="J209" s="3"/>
    </row>
    <row r="210" ht="15.75" customHeight="1">
      <c r="A210" s="3"/>
      <c r="B210" s="3"/>
      <c r="C210" s="3"/>
      <c r="D210" s="3"/>
      <c r="E210" s="3"/>
      <c r="F210" s="3"/>
      <c r="J210" s="3"/>
    </row>
    <row r="211" ht="15.75" customHeight="1">
      <c r="A211" s="3"/>
      <c r="B211" s="3"/>
      <c r="C211" s="3"/>
      <c r="D211" s="3"/>
      <c r="E211" s="3"/>
      <c r="F211" s="3"/>
      <c r="J211" s="3"/>
    </row>
    <row r="212" ht="15.75" customHeight="1">
      <c r="A212" s="3"/>
      <c r="B212" s="3"/>
      <c r="C212" s="3"/>
      <c r="D212" s="3"/>
      <c r="E212" s="3"/>
      <c r="F212" s="3"/>
      <c r="J212" s="3"/>
    </row>
    <row r="213" ht="15.75" customHeight="1">
      <c r="A213" s="3"/>
      <c r="B213" s="3"/>
      <c r="C213" s="3"/>
      <c r="D213" s="3"/>
      <c r="E213" s="3"/>
      <c r="F213" s="3"/>
      <c r="J213" s="3"/>
    </row>
    <row r="214" ht="15.75" customHeight="1">
      <c r="A214" s="3"/>
      <c r="B214" s="3"/>
      <c r="C214" s="3"/>
      <c r="D214" s="3"/>
      <c r="E214" s="3"/>
      <c r="F214" s="3"/>
      <c r="J214" s="3"/>
    </row>
    <row r="215" ht="15.75" customHeight="1">
      <c r="A215" s="3"/>
      <c r="B215" s="3"/>
      <c r="C215" s="3"/>
      <c r="D215" s="3"/>
      <c r="E215" s="3"/>
      <c r="F215" s="3"/>
      <c r="J215" s="3"/>
    </row>
    <row r="216" ht="15.75" customHeight="1">
      <c r="A216" s="3"/>
      <c r="B216" s="3"/>
      <c r="C216" s="3"/>
      <c r="D216" s="3"/>
      <c r="E216" s="3"/>
      <c r="F216" s="3"/>
      <c r="J216" s="3"/>
    </row>
    <row r="217" ht="15.75" customHeight="1">
      <c r="A217" s="3"/>
      <c r="B217" s="3"/>
      <c r="C217" s="3"/>
      <c r="D217" s="3"/>
      <c r="E217" s="3"/>
      <c r="F217" s="3"/>
      <c r="J217" s="3"/>
    </row>
    <row r="218" ht="15.75" customHeight="1">
      <c r="A218" s="3"/>
      <c r="B218" s="3"/>
      <c r="C218" s="3"/>
      <c r="D218" s="3"/>
      <c r="E218" s="3"/>
      <c r="F218" s="3"/>
      <c r="J218" s="3"/>
    </row>
    <row r="219" ht="15.75" customHeight="1">
      <c r="A219" s="3"/>
      <c r="B219" s="3"/>
      <c r="C219" s="3"/>
      <c r="D219" s="3"/>
      <c r="E219" s="3"/>
      <c r="F219" s="3"/>
      <c r="J219" s="3"/>
    </row>
    <row r="220" ht="15.75" customHeight="1">
      <c r="A220" s="3"/>
      <c r="B220" s="3"/>
      <c r="C220" s="3"/>
      <c r="D220" s="3"/>
      <c r="E220" s="3"/>
      <c r="F220" s="3"/>
      <c r="J220" s="3"/>
    </row>
    <row r="221" ht="15.75" customHeight="1">
      <c r="A221" s="3"/>
      <c r="B221" s="3"/>
      <c r="C221" s="3"/>
      <c r="D221" s="3"/>
      <c r="E221" s="3"/>
      <c r="F221" s="3"/>
      <c r="J221" s="3"/>
    </row>
    <row r="222" ht="15.75" customHeight="1">
      <c r="A222" s="3"/>
      <c r="B222" s="3"/>
      <c r="C222" s="3"/>
      <c r="D222" s="3"/>
      <c r="E222" s="3"/>
      <c r="F222" s="3"/>
      <c r="J222" s="3"/>
    </row>
    <row r="223" ht="15.75" customHeight="1">
      <c r="A223" s="3"/>
      <c r="B223" s="3"/>
      <c r="C223" s="3"/>
      <c r="D223" s="3"/>
      <c r="E223" s="3"/>
      <c r="F223" s="3"/>
      <c r="J223" s="3"/>
    </row>
    <row r="224" ht="15.75" customHeight="1">
      <c r="A224" s="3"/>
      <c r="B224" s="3"/>
      <c r="C224" s="3"/>
      <c r="D224" s="3"/>
      <c r="E224" s="3"/>
      <c r="F224" s="3"/>
      <c r="J224" s="3"/>
    </row>
    <row r="225" ht="15.75" customHeight="1">
      <c r="A225" s="3"/>
      <c r="B225" s="3"/>
      <c r="C225" s="3"/>
      <c r="D225" s="3"/>
      <c r="E225" s="3"/>
      <c r="F225" s="3"/>
      <c r="J225" s="3"/>
    </row>
    <row r="226" ht="15.75" customHeight="1">
      <c r="A226" s="3"/>
      <c r="B226" s="3"/>
      <c r="C226" s="3"/>
      <c r="D226" s="3"/>
      <c r="E226" s="3"/>
      <c r="F226" s="3"/>
      <c r="J226" s="3"/>
    </row>
    <row r="227" ht="15.75" customHeight="1">
      <c r="A227" s="3"/>
      <c r="B227" s="3"/>
      <c r="C227" s="3"/>
      <c r="D227" s="3"/>
      <c r="E227" s="3"/>
      <c r="F227" s="3"/>
      <c r="J227" s="3"/>
    </row>
    <row r="228" ht="15.75" customHeight="1">
      <c r="A228" s="3"/>
      <c r="B228" s="3"/>
      <c r="C228" s="3"/>
      <c r="D228" s="3"/>
      <c r="E228" s="3"/>
      <c r="F228" s="3"/>
      <c r="J228" s="3"/>
    </row>
    <row r="229" ht="15.75" customHeight="1">
      <c r="A229" s="3"/>
      <c r="B229" s="3"/>
      <c r="C229" s="3"/>
      <c r="D229" s="3"/>
      <c r="E229" s="3"/>
      <c r="F229" s="3"/>
      <c r="J229" s="3"/>
    </row>
    <row r="230" ht="15.75" customHeight="1">
      <c r="A230" s="3"/>
      <c r="B230" s="3"/>
      <c r="C230" s="3"/>
      <c r="D230" s="3"/>
      <c r="E230" s="3"/>
      <c r="F230" s="3"/>
      <c r="J230" s="3"/>
    </row>
    <row r="231" ht="15.75" customHeight="1">
      <c r="A231" s="3"/>
      <c r="B231" s="3"/>
      <c r="C231" s="3"/>
      <c r="D231" s="3"/>
      <c r="E231" s="3"/>
      <c r="F231" s="3"/>
      <c r="J231" s="3"/>
    </row>
    <row r="232" ht="15.75" customHeight="1">
      <c r="A232" s="3"/>
      <c r="B232" s="3"/>
      <c r="C232" s="3"/>
      <c r="D232" s="3"/>
      <c r="E232" s="3"/>
      <c r="F232" s="3"/>
      <c r="J232" s="3"/>
    </row>
    <row r="233" ht="15.75" customHeight="1">
      <c r="A233" s="3"/>
      <c r="B233" s="3"/>
      <c r="C233" s="3"/>
      <c r="D233" s="3"/>
      <c r="E233" s="3"/>
      <c r="F233" s="3"/>
      <c r="J233" s="3"/>
    </row>
    <row r="234" ht="15.75" customHeight="1">
      <c r="A234" s="3"/>
      <c r="B234" s="3"/>
      <c r="C234" s="3"/>
      <c r="D234" s="3"/>
      <c r="E234" s="3"/>
      <c r="F234" s="3"/>
      <c r="J234" s="3"/>
    </row>
    <row r="235" ht="15.75" customHeight="1">
      <c r="A235" s="3"/>
      <c r="B235" s="3"/>
      <c r="C235" s="3"/>
      <c r="D235" s="3"/>
      <c r="E235" s="3"/>
      <c r="F235" s="3"/>
      <c r="J235" s="3"/>
    </row>
    <row r="236" ht="15.75" customHeight="1">
      <c r="A236" s="3"/>
      <c r="B236" s="3"/>
      <c r="C236" s="3"/>
      <c r="D236" s="3"/>
      <c r="E236" s="3"/>
      <c r="F236" s="3"/>
      <c r="J236" s="3"/>
    </row>
    <row r="237" ht="15.75" customHeight="1">
      <c r="A237" s="3"/>
      <c r="B237" s="3"/>
      <c r="C237" s="3"/>
      <c r="D237" s="3"/>
      <c r="E237" s="3"/>
      <c r="F237" s="3"/>
      <c r="J237" s="3"/>
    </row>
    <row r="238" ht="15.75" customHeight="1">
      <c r="A238" s="3"/>
      <c r="B238" s="3"/>
      <c r="C238" s="3"/>
      <c r="D238" s="3"/>
      <c r="E238" s="3"/>
      <c r="F238" s="3"/>
      <c r="J238" s="3"/>
    </row>
    <row r="239" ht="15.75" customHeight="1">
      <c r="A239" s="3"/>
      <c r="B239" s="3"/>
      <c r="C239" s="3"/>
      <c r="D239" s="3"/>
      <c r="E239" s="3"/>
      <c r="F239" s="3"/>
      <c r="J239" s="3"/>
    </row>
    <row r="240" ht="15.75" customHeight="1">
      <c r="A240" s="3"/>
      <c r="B240" s="3"/>
      <c r="C240" s="3"/>
      <c r="D240" s="3"/>
      <c r="E240" s="3"/>
      <c r="F240" s="3"/>
      <c r="J240" s="3"/>
    </row>
    <row r="241" ht="15.75" customHeight="1">
      <c r="A241" s="3"/>
      <c r="B241" s="3"/>
      <c r="C241" s="3"/>
      <c r="D241" s="3"/>
      <c r="E241" s="3"/>
      <c r="F241" s="3"/>
      <c r="J241" s="3"/>
    </row>
    <row r="242" ht="15.75" customHeight="1">
      <c r="A242" s="3"/>
      <c r="B242" s="3"/>
      <c r="C242" s="3"/>
      <c r="D242" s="3"/>
      <c r="E242" s="3"/>
      <c r="F242" s="3"/>
      <c r="J242" s="3"/>
    </row>
    <row r="243" ht="15.75" customHeight="1">
      <c r="A243" s="3"/>
      <c r="B243" s="3"/>
      <c r="C243" s="3"/>
      <c r="D243" s="3"/>
      <c r="E243" s="3"/>
      <c r="F243" s="3"/>
      <c r="J243" s="3"/>
    </row>
    <row r="244" ht="15.75" customHeight="1">
      <c r="A244" s="3"/>
      <c r="B244" s="3"/>
      <c r="C244" s="3"/>
      <c r="D244" s="3"/>
      <c r="E244" s="3"/>
      <c r="F244" s="3"/>
      <c r="J244" s="3"/>
    </row>
    <row r="245" ht="15.75" customHeight="1">
      <c r="A245" s="3"/>
      <c r="B245" s="3"/>
      <c r="C245" s="3"/>
      <c r="D245" s="3"/>
      <c r="E245" s="3"/>
      <c r="F245" s="3"/>
      <c r="J245" s="3"/>
    </row>
    <row r="246" ht="15.75" customHeight="1">
      <c r="A246" s="3"/>
      <c r="B246" s="3"/>
      <c r="C246" s="3"/>
      <c r="D246" s="3"/>
      <c r="E246" s="3"/>
      <c r="F246" s="3"/>
      <c r="J246" s="3"/>
    </row>
    <row r="247" ht="15.75" customHeight="1">
      <c r="A247" s="3"/>
      <c r="B247" s="3"/>
      <c r="C247" s="3"/>
      <c r="D247" s="3"/>
      <c r="E247" s="3"/>
      <c r="F247" s="3"/>
      <c r="J247" s="3"/>
    </row>
    <row r="248" ht="15.75" customHeight="1">
      <c r="A248" s="3"/>
      <c r="B248" s="3"/>
      <c r="C248" s="3"/>
      <c r="D248" s="3"/>
      <c r="E248" s="3"/>
      <c r="F248" s="3"/>
      <c r="J248" s="3"/>
    </row>
    <row r="249" ht="15.75" customHeight="1">
      <c r="A249" s="3"/>
      <c r="B249" s="3"/>
      <c r="C249" s="3"/>
      <c r="D249" s="3"/>
      <c r="E249" s="3"/>
      <c r="F249" s="3"/>
      <c r="J249" s="3"/>
    </row>
    <row r="250" ht="15.75" customHeight="1">
      <c r="A250" s="3"/>
      <c r="B250" s="3"/>
      <c r="C250" s="3"/>
      <c r="D250" s="3"/>
      <c r="E250" s="3"/>
      <c r="F250" s="3"/>
      <c r="J250" s="3"/>
    </row>
    <row r="251" ht="15.75" customHeight="1">
      <c r="A251" s="3"/>
      <c r="B251" s="3"/>
      <c r="C251" s="3"/>
      <c r="D251" s="3"/>
      <c r="E251" s="3"/>
      <c r="F251" s="3"/>
      <c r="J251" s="3"/>
    </row>
    <row r="252" ht="15.75" customHeight="1">
      <c r="A252" s="3"/>
      <c r="B252" s="3"/>
      <c r="C252" s="3"/>
      <c r="D252" s="3"/>
      <c r="E252" s="3"/>
      <c r="F252" s="3"/>
      <c r="J252" s="3"/>
    </row>
    <row r="253" ht="15.75" customHeight="1">
      <c r="A253" s="3"/>
      <c r="B253" s="3"/>
      <c r="C253" s="3"/>
      <c r="D253" s="3"/>
      <c r="E253" s="3"/>
      <c r="F253" s="3"/>
      <c r="J253" s="3"/>
    </row>
    <row r="254" ht="15.75" customHeight="1">
      <c r="A254" s="3"/>
      <c r="B254" s="3"/>
      <c r="C254" s="3"/>
      <c r="D254" s="3"/>
      <c r="E254" s="3"/>
      <c r="F254" s="3"/>
      <c r="J254" s="3"/>
    </row>
    <row r="255" ht="15.75" customHeight="1">
      <c r="A255" s="3"/>
      <c r="B255" s="3"/>
      <c r="C255" s="3"/>
      <c r="D255" s="3"/>
      <c r="E255" s="3"/>
      <c r="F255" s="3"/>
      <c r="J255" s="3"/>
    </row>
    <row r="256" ht="15.75" customHeight="1">
      <c r="A256" s="3"/>
      <c r="B256" s="3"/>
      <c r="C256" s="3"/>
      <c r="D256" s="3"/>
      <c r="E256" s="3"/>
      <c r="F256" s="3"/>
      <c r="J256" s="3"/>
    </row>
    <row r="257" ht="15.75" customHeight="1">
      <c r="A257" s="3"/>
      <c r="B257" s="3"/>
      <c r="C257" s="3"/>
      <c r="D257" s="3"/>
      <c r="E257" s="3"/>
      <c r="F257" s="3"/>
      <c r="J257" s="3"/>
    </row>
    <row r="258" ht="15.75" customHeight="1">
      <c r="A258" s="3"/>
      <c r="B258" s="3"/>
      <c r="C258" s="3"/>
      <c r="D258" s="3"/>
      <c r="E258" s="3"/>
      <c r="F258" s="3"/>
      <c r="J258" s="3"/>
    </row>
    <row r="259" ht="15.75" customHeight="1">
      <c r="A259" s="3"/>
      <c r="B259" s="3"/>
      <c r="C259" s="3"/>
      <c r="D259" s="3"/>
      <c r="E259" s="3"/>
      <c r="F259" s="3"/>
      <c r="J259" s="3"/>
    </row>
    <row r="260" ht="15.75" customHeight="1">
      <c r="A260" s="3"/>
      <c r="B260" s="3"/>
      <c r="C260" s="3"/>
      <c r="D260" s="3"/>
      <c r="E260" s="3"/>
      <c r="F260" s="3"/>
      <c r="J260" s="3"/>
    </row>
    <row r="261" ht="15.75" customHeight="1">
      <c r="A261" s="3"/>
      <c r="B261" s="3"/>
      <c r="C261" s="3"/>
      <c r="D261" s="3"/>
      <c r="E261" s="3"/>
      <c r="F261" s="3"/>
      <c r="J261" s="3"/>
    </row>
    <row r="262" ht="15.75" customHeight="1">
      <c r="A262" s="3"/>
      <c r="B262" s="3"/>
      <c r="C262" s="3"/>
      <c r="D262" s="3"/>
      <c r="E262" s="3"/>
      <c r="F262" s="3"/>
      <c r="J262" s="3"/>
    </row>
    <row r="263" ht="15.75" customHeight="1">
      <c r="A263" s="3"/>
      <c r="B263" s="3"/>
      <c r="C263" s="3"/>
      <c r="D263" s="3"/>
      <c r="E263" s="3"/>
      <c r="F263" s="3"/>
      <c r="J263" s="3"/>
    </row>
    <row r="264" ht="15.75" customHeight="1">
      <c r="A264" s="3"/>
      <c r="B264" s="3"/>
      <c r="C264" s="3"/>
      <c r="D264" s="3"/>
      <c r="E264" s="3"/>
      <c r="F264" s="3"/>
      <c r="J264" s="3"/>
    </row>
    <row r="265" ht="15.75" customHeight="1">
      <c r="A265" s="3"/>
      <c r="B265" s="3"/>
      <c r="C265" s="3"/>
      <c r="D265" s="3"/>
      <c r="E265" s="3"/>
      <c r="F265" s="3"/>
      <c r="J265" s="3"/>
    </row>
    <row r="266" ht="15.75" customHeight="1">
      <c r="A266" s="3"/>
      <c r="B266" s="3"/>
      <c r="C266" s="3"/>
      <c r="D266" s="3"/>
      <c r="E266" s="3"/>
      <c r="F266" s="3"/>
      <c r="J266" s="3"/>
    </row>
    <row r="267" ht="15.75" customHeight="1">
      <c r="A267" s="3"/>
      <c r="B267" s="3"/>
      <c r="C267" s="3"/>
      <c r="D267" s="3"/>
      <c r="E267" s="3"/>
      <c r="F267" s="3"/>
      <c r="J267" s="3"/>
    </row>
    <row r="268" ht="15.75" customHeight="1">
      <c r="A268" s="3"/>
      <c r="B268" s="3"/>
      <c r="C268" s="3"/>
      <c r="D268" s="3"/>
      <c r="E268" s="3"/>
      <c r="F268" s="3"/>
      <c r="J268" s="3"/>
    </row>
    <row r="269" ht="15.75" customHeight="1">
      <c r="A269" s="3"/>
      <c r="B269" s="3"/>
      <c r="C269" s="3"/>
      <c r="D269" s="3"/>
      <c r="E269" s="3"/>
      <c r="F269" s="3"/>
      <c r="J269" s="3"/>
    </row>
    <row r="270" ht="15.75" customHeight="1">
      <c r="A270" s="3"/>
      <c r="B270" s="3"/>
      <c r="C270" s="3"/>
      <c r="D270" s="3"/>
      <c r="E270" s="3"/>
      <c r="F270" s="3"/>
      <c r="J270" s="3"/>
    </row>
    <row r="271" ht="15.75" customHeight="1">
      <c r="A271" s="3"/>
      <c r="B271" s="3"/>
      <c r="C271" s="3"/>
      <c r="D271" s="3"/>
      <c r="E271" s="3"/>
      <c r="F271" s="3"/>
      <c r="J271" s="3"/>
    </row>
    <row r="272" ht="15.75" customHeight="1">
      <c r="A272" s="3"/>
      <c r="B272" s="3"/>
      <c r="C272" s="3"/>
      <c r="D272" s="3"/>
      <c r="E272" s="3"/>
      <c r="F272" s="3"/>
      <c r="J272" s="3"/>
    </row>
    <row r="273" ht="15.75" customHeight="1">
      <c r="A273" s="3"/>
      <c r="B273" s="3"/>
      <c r="C273" s="3"/>
      <c r="D273" s="3"/>
      <c r="E273" s="3"/>
      <c r="F273" s="3"/>
      <c r="J273" s="3"/>
    </row>
    <row r="274" ht="15.75" customHeight="1">
      <c r="A274" s="3"/>
      <c r="B274" s="3"/>
      <c r="C274" s="3"/>
      <c r="D274" s="3"/>
      <c r="E274" s="3"/>
      <c r="F274" s="3"/>
      <c r="J274" s="3"/>
    </row>
    <row r="275" ht="15.75" customHeight="1">
      <c r="A275" s="3"/>
      <c r="B275" s="3"/>
      <c r="C275" s="3"/>
      <c r="D275" s="3"/>
      <c r="E275" s="3"/>
      <c r="F275" s="3"/>
      <c r="J275" s="3"/>
    </row>
    <row r="276" ht="15.75" customHeight="1">
      <c r="A276" s="3"/>
      <c r="B276" s="3"/>
      <c r="C276" s="3"/>
      <c r="D276" s="3"/>
      <c r="E276" s="3"/>
      <c r="F276" s="3"/>
      <c r="J276" s="3"/>
    </row>
    <row r="277" ht="15.75" customHeight="1">
      <c r="A277" s="3"/>
      <c r="B277" s="3"/>
      <c r="C277" s="3"/>
      <c r="D277" s="3"/>
      <c r="E277" s="3"/>
      <c r="F277" s="3"/>
      <c r="J277" s="3"/>
    </row>
    <row r="278" ht="15.75" customHeight="1">
      <c r="A278" s="3"/>
      <c r="B278" s="3"/>
      <c r="C278" s="3"/>
      <c r="D278" s="3"/>
      <c r="E278" s="3"/>
      <c r="F278" s="3"/>
      <c r="J278" s="3"/>
    </row>
    <row r="279" ht="15.75" customHeight="1">
      <c r="A279" s="3"/>
      <c r="B279" s="3"/>
      <c r="C279" s="3"/>
      <c r="D279" s="3"/>
      <c r="E279" s="3"/>
      <c r="F279" s="3"/>
      <c r="J279" s="3"/>
    </row>
    <row r="280" ht="15.75" customHeight="1">
      <c r="A280" s="3"/>
      <c r="B280" s="3"/>
      <c r="C280" s="3"/>
      <c r="D280" s="3"/>
      <c r="E280" s="3"/>
      <c r="F280" s="3"/>
      <c r="J280" s="3"/>
    </row>
    <row r="281" ht="15.75" customHeight="1">
      <c r="A281" s="3"/>
      <c r="B281" s="3"/>
      <c r="C281" s="3"/>
      <c r="D281" s="3"/>
      <c r="E281" s="3"/>
      <c r="F281" s="3"/>
      <c r="J281" s="3"/>
    </row>
    <row r="282" ht="15.75" customHeight="1">
      <c r="A282" s="3"/>
      <c r="B282" s="3"/>
      <c r="C282" s="3"/>
      <c r="D282" s="3"/>
      <c r="E282" s="3"/>
      <c r="F282" s="3"/>
      <c r="J282" s="3"/>
    </row>
    <row r="283" ht="15.75" customHeight="1">
      <c r="A283" s="3"/>
      <c r="B283" s="3"/>
      <c r="C283" s="3"/>
      <c r="D283" s="3"/>
      <c r="E283" s="3"/>
      <c r="F283" s="3"/>
      <c r="J283" s="3"/>
    </row>
    <row r="284" ht="15.75" customHeight="1">
      <c r="A284" s="3"/>
      <c r="B284" s="3"/>
      <c r="C284" s="3"/>
      <c r="D284" s="3"/>
      <c r="E284" s="3"/>
      <c r="F284" s="3"/>
      <c r="J284" s="3"/>
    </row>
    <row r="285" ht="15.75" customHeight="1">
      <c r="A285" s="3"/>
      <c r="B285" s="3"/>
      <c r="C285" s="3"/>
      <c r="D285" s="3"/>
      <c r="E285" s="3"/>
      <c r="F285" s="3"/>
      <c r="J285" s="3"/>
    </row>
    <row r="286" ht="15.75" customHeight="1">
      <c r="A286" s="3"/>
      <c r="B286" s="3"/>
      <c r="C286" s="3"/>
      <c r="D286" s="3"/>
      <c r="E286" s="3"/>
      <c r="F286" s="3"/>
      <c r="J286" s="3"/>
    </row>
    <row r="287" ht="15.75" customHeight="1">
      <c r="A287" s="3"/>
      <c r="B287" s="3"/>
      <c r="C287" s="3"/>
      <c r="D287" s="3"/>
      <c r="E287" s="3"/>
      <c r="F287" s="3"/>
      <c r="J287" s="3"/>
    </row>
    <row r="288" ht="15.75" customHeight="1">
      <c r="A288" s="3"/>
      <c r="B288" s="3"/>
      <c r="C288" s="3"/>
      <c r="D288" s="3"/>
      <c r="E288" s="3"/>
      <c r="F288" s="3"/>
      <c r="J288" s="3"/>
    </row>
    <row r="289" ht="15.75" customHeight="1">
      <c r="A289" s="3"/>
      <c r="B289" s="3"/>
      <c r="C289" s="3"/>
      <c r="D289" s="3"/>
      <c r="E289" s="3"/>
      <c r="F289" s="3"/>
      <c r="J289" s="3"/>
    </row>
    <row r="290" ht="15.75" customHeight="1">
      <c r="A290" s="3"/>
      <c r="B290" s="3"/>
      <c r="C290" s="3"/>
      <c r="D290" s="3"/>
      <c r="E290" s="3"/>
      <c r="F290" s="3"/>
      <c r="J290" s="3"/>
    </row>
    <row r="291" ht="15.75" customHeight="1">
      <c r="A291" s="3"/>
      <c r="B291" s="3"/>
      <c r="C291" s="3"/>
      <c r="D291" s="3"/>
      <c r="E291" s="3"/>
      <c r="F291" s="3"/>
      <c r="J291" s="3"/>
    </row>
    <row r="292" ht="15.75" customHeight="1">
      <c r="A292" s="3"/>
      <c r="B292" s="3"/>
      <c r="C292" s="3"/>
      <c r="D292" s="3"/>
      <c r="E292" s="3"/>
      <c r="F292" s="3"/>
      <c r="J292" s="3"/>
    </row>
    <row r="293" ht="15.75" customHeight="1">
      <c r="A293" s="3"/>
      <c r="B293" s="3"/>
      <c r="C293" s="3"/>
      <c r="D293" s="3"/>
      <c r="E293" s="3"/>
      <c r="F293" s="3"/>
      <c r="J293" s="3"/>
    </row>
    <row r="294" ht="15.75" customHeight="1">
      <c r="A294" s="3"/>
      <c r="B294" s="3"/>
      <c r="C294" s="3"/>
      <c r="D294" s="3"/>
      <c r="E294" s="3"/>
      <c r="F294" s="3"/>
      <c r="J294" s="3"/>
    </row>
    <row r="295" ht="15.75" customHeight="1">
      <c r="A295" s="3"/>
      <c r="B295" s="3"/>
      <c r="C295" s="3"/>
      <c r="D295" s="3"/>
      <c r="E295" s="3"/>
      <c r="F295" s="3"/>
      <c r="J295" s="3"/>
    </row>
    <row r="296" ht="15.75" customHeight="1">
      <c r="A296" s="3"/>
      <c r="B296" s="3"/>
      <c r="C296" s="3"/>
      <c r="D296" s="3"/>
      <c r="E296" s="3"/>
      <c r="F296" s="3"/>
      <c r="J296" s="3"/>
    </row>
    <row r="297" ht="15.75" customHeight="1">
      <c r="A297" s="3"/>
      <c r="B297" s="3"/>
      <c r="C297" s="3"/>
      <c r="D297" s="3"/>
      <c r="E297" s="3"/>
      <c r="F297" s="3"/>
      <c r="J297" s="3"/>
    </row>
    <row r="298" ht="15.75" customHeight="1">
      <c r="A298" s="3"/>
      <c r="B298" s="3"/>
      <c r="C298" s="3"/>
      <c r="D298" s="3"/>
      <c r="E298" s="3"/>
      <c r="F298" s="3"/>
      <c r="J298" s="3"/>
    </row>
    <row r="299" ht="15.75" customHeight="1">
      <c r="A299" s="3"/>
      <c r="B299" s="3"/>
      <c r="C299" s="3"/>
      <c r="D299" s="3"/>
      <c r="E299" s="3"/>
      <c r="F299" s="3"/>
      <c r="J299" s="3"/>
    </row>
    <row r="300" ht="15.75" customHeight="1">
      <c r="A300" s="3"/>
      <c r="B300" s="3"/>
      <c r="C300" s="3"/>
      <c r="D300" s="3"/>
      <c r="E300" s="3"/>
      <c r="F300" s="3"/>
      <c r="J300" s="3"/>
    </row>
    <row r="301" ht="15.75" customHeight="1">
      <c r="A301" s="3"/>
      <c r="B301" s="3"/>
      <c r="C301" s="3"/>
      <c r="D301" s="3"/>
      <c r="E301" s="3"/>
      <c r="F301" s="3"/>
      <c r="J301" s="3"/>
    </row>
    <row r="302" ht="15.75" customHeight="1">
      <c r="A302" s="3"/>
      <c r="B302" s="3"/>
      <c r="C302" s="3"/>
      <c r="D302" s="3"/>
      <c r="E302" s="3"/>
      <c r="F302" s="3"/>
      <c r="J302" s="3"/>
    </row>
    <row r="303" ht="15.75" customHeight="1">
      <c r="A303" s="3"/>
      <c r="B303" s="3"/>
      <c r="C303" s="3"/>
      <c r="D303" s="3"/>
      <c r="E303" s="3"/>
      <c r="F303" s="3"/>
      <c r="J303" s="3"/>
    </row>
    <row r="304" ht="15.75" customHeight="1">
      <c r="A304" s="3"/>
      <c r="B304" s="3"/>
      <c r="C304" s="3"/>
      <c r="D304" s="3"/>
      <c r="E304" s="3"/>
      <c r="F304" s="3"/>
      <c r="J304" s="3"/>
    </row>
    <row r="305" ht="15.75" customHeight="1">
      <c r="A305" s="3"/>
      <c r="B305" s="3"/>
      <c r="C305" s="3"/>
      <c r="D305" s="3"/>
      <c r="E305" s="3"/>
      <c r="F305" s="3"/>
      <c r="J305" s="3"/>
    </row>
    <row r="306" ht="15.75" customHeight="1">
      <c r="A306" s="3"/>
      <c r="B306" s="3"/>
      <c r="C306" s="3"/>
      <c r="D306" s="3"/>
      <c r="E306" s="3"/>
      <c r="F306" s="3"/>
      <c r="J306" s="3"/>
    </row>
    <row r="307" ht="15.75" customHeight="1">
      <c r="A307" s="3"/>
      <c r="B307" s="3"/>
      <c r="C307" s="3"/>
      <c r="D307" s="3"/>
      <c r="E307" s="3"/>
      <c r="F307" s="3"/>
      <c r="J307" s="3"/>
    </row>
    <row r="308" ht="15.75" customHeight="1">
      <c r="A308" s="3"/>
      <c r="B308" s="3"/>
      <c r="C308" s="3"/>
      <c r="D308" s="3"/>
      <c r="E308" s="3"/>
      <c r="F308" s="3"/>
      <c r="J308" s="3"/>
    </row>
    <row r="309" ht="15.75" customHeight="1">
      <c r="A309" s="3"/>
      <c r="B309" s="3"/>
      <c r="C309" s="3"/>
      <c r="D309" s="3"/>
      <c r="E309" s="3"/>
      <c r="F309" s="3"/>
      <c r="J309" s="3"/>
    </row>
    <row r="310" ht="15.75" customHeight="1">
      <c r="A310" s="3"/>
      <c r="B310" s="3"/>
      <c r="C310" s="3"/>
      <c r="D310" s="3"/>
      <c r="E310" s="3"/>
      <c r="F310" s="3"/>
      <c r="J310" s="3"/>
    </row>
    <row r="311" ht="15.75" customHeight="1">
      <c r="A311" s="3"/>
      <c r="B311" s="3"/>
      <c r="C311" s="3"/>
      <c r="D311" s="3"/>
      <c r="E311" s="3"/>
      <c r="F311" s="3"/>
      <c r="J311" s="3"/>
    </row>
    <row r="312" ht="15.75" customHeight="1">
      <c r="A312" s="3"/>
      <c r="B312" s="3"/>
      <c r="C312" s="3"/>
      <c r="D312" s="3"/>
      <c r="E312" s="3"/>
      <c r="F312" s="3"/>
      <c r="J312" s="3"/>
    </row>
    <row r="313" ht="15.75" customHeight="1">
      <c r="A313" s="3"/>
      <c r="B313" s="3"/>
      <c r="C313" s="3"/>
      <c r="D313" s="3"/>
      <c r="E313" s="3"/>
      <c r="F313" s="3"/>
      <c r="J313" s="3"/>
    </row>
    <row r="314" ht="15.75" customHeight="1">
      <c r="A314" s="3"/>
      <c r="B314" s="3"/>
      <c r="C314" s="3"/>
      <c r="D314" s="3"/>
      <c r="E314" s="3"/>
      <c r="F314" s="3"/>
      <c r="J314" s="3"/>
    </row>
    <row r="315" ht="15.75" customHeight="1">
      <c r="A315" s="3"/>
      <c r="B315" s="3"/>
      <c r="C315" s="3"/>
      <c r="D315" s="3"/>
      <c r="E315" s="3"/>
      <c r="F315" s="3"/>
      <c r="J315" s="3"/>
    </row>
    <row r="316" ht="15.75" customHeight="1">
      <c r="A316" s="3"/>
      <c r="B316" s="3"/>
      <c r="C316" s="3"/>
      <c r="D316" s="3"/>
      <c r="E316" s="3"/>
      <c r="F316" s="3"/>
      <c r="J316" s="3"/>
    </row>
    <row r="317" ht="15.75" customHeight="1">
      <c r="A317" s="3"/>
      <c r="B317" s="3"/>
      <c r="C317" s="3"/>
      <c r="D317" s="3"/>
      <c r="E317" s="3"/>
      <c r="F317" s="3"/>
      <c r="J317" s="3"/>
    </row>
    <row r="318" ht="15.75" customHeight="1">
      <c r="A318" s="3"/>
      <c r="B318" s="3"/>
      <c r="C318" s="3"/>
      <c r="D318" s="3"/>
      <c r="E318" s="3"/>
      <c r="F318" s="3"/>
      <c r="J318" s="3"/>
    </row>
    <row r="319" ht="15.75" customHeight="1">
      <c r="A319" s="3"/>
      <c r="B319" s="3"/>
      <c r="C319" s="3"/>
      <c r="D319" s="3"/>
      <c r="E319" s="3"/>
      <c r="F319" s="3"/>
      <c r="J319" s="3"/>
    </row>
    <row r="320" ht="15.75" customHeight="1">
      <c r="A320" s="3"/>
      <c r="B320" s="3"/>
      <c r="C320" s="3"/>
      <c r="D320" s="3"/>
      <c r="E320" s="3"/>
      <c r="F320" s="3"/>
      <c r="J320" s="3"/>
    </row>
    <row r="321" ht="15.75" customHeight="1">
      <c r="A321" s="3"/>
      <c r="B321" s="3"/>
      <c r="C321" s="3"/>
      <c r="D321" s="3"/>
      <c r="E321" s="3"/>
      <c r="F321" s="3"/>
      <c r="J321" s="3"/>
    </row>
    <row r="322" ht="15.75" customHeight="1">
      <c r="A322" s="3"/>
      <c r="B322" s="3"/>
      <c r="C322" s="3"/>
      <c r="D322" s="3"/>
      <c r="E322" s="3"/>
      <c r="F322" s="3"/>
      <c r="J322" s="3"/>
    </row>
    <row r="323" ht="15.75" customHeight="1">
      <c r="A323" s="3"/>
      <c r="B323" s="3"/>
      <c r="C323" s="3"/>
      <c r="D323" s="3"/>
      <c r="E323" s="3"/>
      <c r="F323" s="3"/>
      <c r="J323" s="3"/>
    </row>
    <row r="324" ht="15.75" customHeight="1">
      <c r="A324" s="3"/>
      <c r="B324" s="3"/>
      <c r="C324" s="3"/>
      <c r="D324" s="3"/>
      <c r="E324" s="3"/>
      <c r="F324" s="3"/>
      <c r="J324" s="3"/>
    </row>
    <row r="325" ht="15.75" customHeight="1">
      <c r="A325" s="3"/>
      <c r="B325" s="3"/>
      <c r="C325" s="3"/>
      <c r="D325" s="3"/>
      <c r="E325" s="3"/>
      <c r="F325" s="3"/>
      <c r="J325" s="3"/>
    </row>
    <row r="326" ht="15.75" customHeight="1">
      <c r="A326" s="3"/>
      <c r="B326" s="3"/>
      <c r="C326" s="3"/>
      <c r="D326" s="3"/>
      <c r="E326" s="3"/>
      <c r="F326" s="3"/>
      <c r="J326" s="3"/>
    </row>
    <row r="327" ht="15.75" customHeight="1">
      <c r="A327" s="3"/>
      <c r="B327" s="3"/>
      <c r="C327" s="3"/>
      <c r="D327" s="3"/>
      <c r="E327" s="3"/>
      <c r="F327" s="3"/>
      <c r="J327" s="3"/>
    </row>
    <row r="328" ht="15.75" customHeight="1">
      <c r="A328" s="3"/>
      <c r="B328" s="3"/>
      <c r="C328" s="3"/>
      <c r="D328" s="3"/>
      <c r="E328" s="3"/>
      <c r="F328" s="3"/>
      <c r="J328" s="3"/>
    </row>
    <row r="329" ht="15.75" customHeight="1">
      <c r="A329" s="3"/>
      <c r="B329" s="3"/>
      <c r="C329" s="3"/>
      <c r="D329" s="3"/>
      <c r="E329" s="3"/>
      <c r="F329" s="3"/>
      <c r="J329" s="3"/>
    </row>
    <row r="330" ht="15.75" customHeight="1">
      <c r="A330" s="3"/>
      <c r="B330" s="3"/>
      <c r="C330" s="3"/>
      <c r="D330" s="3"/>
      <c r="E330" s="3"/>
      <c r="F330" s="3"/>
      <c r="J330" s="3"/>
    </row>
    <row r="331" ht="15.75" customHeight="1">
      <c r="A331" s="3"/>
      <c r="B331" s="3"/>
      <c r="C331" s="3"/>
      <c r="D331" s="3"/>
      <c r="E331" s="3"/>
      <c r="F331" s="3"/>
      <c r="J331" s="3"/>
    </row>
    <row r="332" ht="15.75" customHeight="1">
      <c r="A332" s="3"/>
      <c r="B332" s="3"/>
      <c r="C332" s="3"/>
      <c r="D332" s="3"/>
      <c r="E332" s="3"/>
      <c r="F332" s="3"/>
      <c r="J332" s="3"/>
    </row>
    <row r="333" ht="15.75" customHeight="1">
      <c r="A333" s="3"/>
      <c r="B333" s="3"/>
      <c r="C333" s="3"/>
      <c r="D333" s="3"/>
      <c r="E333" s="3"/>
      <c r="F333" s="3"/>
      <c r="J333" s="3"/>
    </row>
    <row r="334" ht="15.75" customHeight="1">
      <c r="A334" s="3"/>
      <c r="B334" s="3"/>
      <c r="C334" s="3"/>
      <c r="D334" s="3"/>
      <c r="E334" s="3"/>
      <c r="F334" s="3"/>
      <c r="J334" s="3"/>
    </row>
    <row r="335" ht="15.75" customHeight="1">
      <c r="A335" s="3"/>
      <c r="B335" s="3"/>
      <c r="C335" s="3"/>
      <c r="D335" s="3"/>
      <c r="E335" s="3"/>
      <c r="F335" s="3"/>
      <c r="J335" s="3"/>
    </row>
    <row r="336" ht="15.75" customHeight="1">
      <c r="A336" s="3"/>
      <c r="B336" s="3"/>
      <c r="C336" s="3"/>
      <c r="D336" s="3"/>
      <c r="E336" s="3"/>
      <c r="F336" s="3"/>
      <c r="J336" s="3"/>
    </row>
    <row r="337" ht="15.75" customHeight="1">
      <c r="A337" s="3"/>
      <c r="B337" s="3"/>
      <c r="C337" s="3"/>
      <c r="D337" s="3"/>
      <c r="E337" s="3"/>
      <c r="F337" s="3"/>
      <c r="J337" s="3"/>
    </row>
    <row r="338" ht="15.75" customHeight="1">
      <c r="A338" s="3"/>
      <c r="B338" s="3"/>
      <c r="C338" s="3"/>
      <c r="D338" s="3"/>
      <c r="E338" s="3"/>
      <c r="F338" s="3"/>
      <c r="J338" s="3"/>
    </row>
    <row r="339" ht="15.75" customHeight="1">
      <c r="A339" s="3"/>
      <c r="B339" s="3"/>
      <c r="C339" s="3"/>
      <c r="D339" s="3"/>
      <c r="E339" s="3"/>
      <c r="F339" s="3"/>
      <c r="J339" s="3"/>
    </row>
    <row r="340" ht="15.75" customHeight="1">
      <c r="A340" s="3"/>
      <c r="B340" s="3"/>
      <c r="C340" s="3"/>
      <c r="D340" s="3"/>
      <c r="E340" s="3"/>
      <c r="F340" s="3"/>
      <c r="J340" s="3"/>
    </row>
    <row r="341" ht="15.75" customHeight="1">
      <c r="A341" s="3"/>
      <c r="B341" s="3"/>
      <c r="C341" s="3"/>
      <c r="D341" s="3"/>
      <c r="E341" s="3"/>
      <c r="F341" s="3"/>
      <c r="J341" s="3"/>
    </row>
    <row r="342" ht="15.75" customHeight="1">
      <c r="A342" s="3"/>
      <c r="B342" s="3"/>
      <c r="C342" s="3"/>
      <c r="D342" s="3"/>
      <c r="E342" s="3"/>
      <c r="F342" s="3"/>
      <c r="J342" s="3"/>
    </row>
    <row r="343" ht="15.75" customHeight="1">
      <c r="A343" s="3"/>
      <c r="B343" s="3"/>
      <c r="C343" s="3"/>
      <c r="D343" s="3"/>
      <c r="E343" s="3"/>
      <c r="F343" s="3"/>
      <c r="J343" s="3"/>
    </row>
    <row r="344" ht="15.75" customHeight="1">
      <c r="A344" s="3"/>
      <c r="B344" s="3"/>
      <c r="C344" s="3"/>
      <c r="D344" s="3"/>
      <c r="E344" s="3"/>
      <c r="F344" s="3"/>
      <c r="J344" s="3"/>
    </row>
    <row r="345" ht="15.75" customHeight="1">
      <c r="A345" s="3"/>
      <c r="B345" s="3"/>
      <c r="C345" s="3"/>
      <c r="D345" s="3"/>
      <c r="E345" s="3"/>
      <c r="F345" s="3"/>
      <c r="J345" s="3"/>
    </row>
    <row r="346" ht="15.75" customHeight="1">
      <c r="A346" s="3"/>
      <c r="B346" s="3"/>
      <c r="C346" s="3"/>
      <c r="D346" s="3"/>
      <c r="E346" s="3"/>
      <c r="F346" s="3"/>
      <c r="J346" s="3"/>
    </row>
    <row r="347" ht="15.75" customHeight="1">
      <c r="A347" s="3"/>
      <c r="B347" s="3"/>
      <c r="C347" s="3"/>
      <c r="D347" s="3"/>
      <c r="E347" s="3"/>
      <c r="F347" s="3"/>
      <c r="J347" s="3"/>
    </row>
    <row r="348" ht="15.75" customHeight="1">
      <c r="A348" s="3"/>
      <c r="B348" s="3"/>
      <c r="C348" s="3"/>
      <c r="D348" s="3"/>
      <c r="E348" s="3"/>
      <c r="F348" s="3"/>
      <c r="J348" s="3"/>
    </row>
    <row r="349" ht="15.75" customHeight="1">
      <c r="A349" s="3"/>
      <c r="B349" s="3"/>
      <c r="C349" s="3"/>
      <c r="D349" s="3"/>
      <c r="E349" s="3"/>
      <c r="F349" s="3"/>
      <c r="J349" s="3"/>
    </row>
    <row r="350" ht="15.75" customHeight="1">
      <c r="A350" s="3"/>
      <c r="B350" s="3"/>
      <c r="C350" s="3"/>
      <c r="D350" s="3"/>
      <c r="E350" s="3"/>
      <c r="F350" s="3"/>
      <c r="J350" s="3"/>
    </row>
    <row r="351" ht="15.75" customHeight="1">
      <c r="A351" s="3"/>
      <c r="B351" s="3"/>
      <c r="C351" s="3"/>
      <c r="D351" s="3"/>
      <c r="E351" s="3"/>
      <c r="F351" s="3"/>
      <c r="J351" s="3"/>
    </row>
    <row r="352" ht="15.75" customHeight="1">
      <c r="A352" s="3"/>
      <c r="B352" s="3"/>
      <c r="C352" s="3"/>
      <c r="D352" s="3"/>
      <c r="E352" s="3"/>
      <c r="F352" s="3"/>
      <c r="J352" s="3"/>
    </row>
    <row r="353" ht="15.75" customHeight="1">
      <c r="A353" s="3"/>
      <c r="B353" s="3"/>
      <c r="C353" s="3"/>
      <c r="D353" s="3"/>
      <c r="E353" s="3"/>
      <c r="F353" s="3"/>
      <c r="J353" s="3"/>
    </row>
    <row r="354" ht="15.75" customHeight="1">
      <c r="A354" s="3"/>
      <c r="B354" s="3"/>
      <c r="C354" s="3"/>
      <c r="D354" s="3"/>
      <c r="E354" s="3"/>
      <c r="F354" s="3"/>
      <c r="J354" s="3"/>
    </row>
    <row r="355" ht="15.75" customHeight="1">
      <c r="A355" s="3"/>
      <c r="B355" s="3"/>
      <c r="C355" s="3"/>
      <c r="D355" s="3"/>
      <c r="E355" s="3"/>
      <c r="F355" s="3"/>
      <c r="J355" s="3"/>
    </row>
    <row r="356" ht="15.75" customHeight="1">
      <c r="A356" s="3"/>
      <c r="B356" s="3"/>
      <c r="C356" s="3"/>
      <c r="D356" s="3"/>
      <c r="E356" s="3"/>
      <c r="F356" s="3"/>
      <c r="J356" s="3"/>
    </row>
    <row r="357" ht="15.75" customHeight="1">
      <c r="A357" s="3"/>
      <c r="B357" s="3"/>
      <c r="C357" s="3"/>
      <c r="D357" s="3"/>
      <c r="E357" s="3"/>
      <c r="F357" s="3"/>
      <c r="J357" s="3"/>
    </row>
    <row r="358" ht="15.75" customHeight="1">
      <c r="A358" s="3"/>
      <c r="B358" s="3"/>
      <c r="C358" s="3"/>
      <c r="D358" s="3"/>
      <c r="E358" s="3"/>
      <c r="F358" s="3"/>
      <c r="J358" s="3"/>
    </row>
    <row r="359" ht="15.75" customHeight="1">
      <c r="A359" s="3"/>
      <c r="B359" s="3"/>
      <c r="C359" s="3"/>
      <c r="D359" s="3"/>
      <c r="E359" s="3"/>
      <c r="F359" s="3"/>
      <c r="J359" s="3"/>
    </row>
    <row r="360" ht="15.75" customHeight="1">
      <c r="A360" s="3"/>
      <c r="B360" s="3"/>
      <c r="C360" s="3"/>
      <c r="D360" s="3"/>
      <c r="E360" s="3"/>
      <c r="F360" s="3"/>
      <c r="J360" s="3"/>
    </row>
    <row r="361" ht="15.75" customHeight="1">
      <c r="A361" s="3"/>
      <c r="B361" s="3"/>
      <c r="C361" s="3"/>
      <c r="D361" s="3"/>
      <c r="E361" s="3"/>
      <c r="F361" s="3"/>
      <c r="J361" s="3"/>
    </row>
    <row r="362" ht="15.75" customHeight="1">
      <c r="A362" s="3"/>
      <c r="B362" s="3"/>
      <c r="C362" s="3"/>
      <c r="D362" s="3"/>
      <c r="E362" s="3"/>
      <c r="F362" s="3"/>
      <c r="J362" s="3"/>
    </row>
    <row r="363" ht="15.75" customHeight="1">
      <c r="A363" s="3"/>
      <c r="B363" s="3"/>
      <c r="C363" s="3"/>
      <c r="D363" s="3"/>
      <c r="E363" s="3"/>
      <c r="F363" s="3"/>
      <c r="J363" s="3"/>
    </row>
    <row r="364" ht="15.75" customHeight="1">
      <c r="A364" s="3"/>
      <c r="B364" s="3"/>
      <c r="C364" s="3"/>
      <c r="D364" s="3"/>
      <c r="E364" s="3"/>
      <c r="F364" s="3"/>
      <c r="J364" s="3"/>
    </row>
    <row r="365" ht="15.75" customHeight="1">
      <c r="A365" s="3"/>
      <c r="B365" s="3"/>
      <c r="C365" s="3"/>
      <c r="D365" s="3"/>
      <c r="E365" s="3"/>
      <c r="F365" s="3"/>
      <c r="J365" s="3"/>
    </row>
    <row r="366" ht="15.75" customHeight="1">
      <c r="A366" s="3"/>
      <c r="B366" s="3"/>
      <c r="C366" s="3"/>
      <c r="D366" s="3"/>
      <c r="E366" s="3"/>
      <c r="F366" s="3"/>
      <c r="J366" s="3"/>
    </row>
    <row r="367" ht="15.75" customHeight="1">
      <c r="A367" s="3"/>
      <c r="B367" s="3"/>
      <c r="C367" s="3"/>
      <c r="D367" s="3"/>
      <c r="E367" s="3"/>
      <c r="F367" s="3"/>
      <c r="J367" s="3"/>
    </row>
    <row r="368" ht="15.75" customHeight="1">
      <c r="A368" s="3"/>
      <c r="B368" s="3"/>
      <c r="C368" s="3"/>
      <c r="D368" s="3"/>
      <c r="E368" s="3"/>
      <c r="F368" s="3"/>
      <c r="J368" s="3"/>
    </row>
    <row r="369" ht="15.75" customHeight="1">
      <c r="A369" s="3"/>
      <c r="B369" s="3"/>
      <c r="C369" s="3"/>
      <c r="D369" s="3"/>
      <c r="E369" s="3"/>
      <c r="F369" s="3"/>
      <c r="J369" s="3"/>
    </row>
    <row r="370" ht="15.75" customHeight="1">
      <c r="A370" s="3"/>
      <c r="B370" s="3"/>
      <c r="C370" s="3"/>
      <c r="D370" s="3"/>
      <c r="E370" s="3"/>
      <c r="F370" s="3"/>
      <c r="J370" s="3"/>
    </row>
    <row r="371" ht="15.75" customHeight="1">
      <c r="A371" s="3"/>
      <c r="B371" s="3"/>
      <c r="C371" s="3"/>
      <c r="D371" s="3"/>
      <c r="E371" s="3"/>
      <c r="F371" s="3"/>
      <c r="J371" s="3"/>
    </row>
    <row r="372" ht="15.75" customHeight="1">
      <c r="A372" s="3"/>
      <c r="B372" s="3"/>
      <c r="C372" s="3"/>
      <c r="D372" s="3"/>
      <c r="E372" s="3"/>
      <c r="F372" s="3"/>
      <c r="J372" s="3"/>
    </row>
    <row r="373" ht="15.75" customHeight="1">
      <c r="A373" s="3"/>
      <c r="B373" s="3"/>
      <c r="C373" s="3"/>
      <c r="D373" s="3"/>
      <c r="E373" s="3"/>
      <c r="F373" s="3"/>
      <c r="J373" s="3"/>
    </row>
    <row r="374" ht="15.75" customHeight="1">
      <c r="A374" s="3"/>
      <c r="B374" s="3"/>
      <c r="C374" s="3"/>
      <c r="D374" s="3"/>
      <c r="E374" s="3"/>
      <c r="F374" s="3"/>
      <c r="J374" s="3"/>
    </row>
    <row r="375" ht="15.75" customHeight="1">
      <c r="A375" s="3"/>
      <c r="B375" s="3"/>
      <c r="C375" s="3"/>
      <c r="D375" s="3"/>
      <c r="E375" s="3"/>
      <c r="F375" s="3"/>
      <c r="J375" s="3"/>
    </row>
    <row r="376" ht="15.75" customHeight="1">
      <c r="A376" s="3"/>
      <c r="B376" s="3"/>
      <c r="C376" s="3"/>
      <c r="D376" s="3"/>
      <c r="E376" s="3"/>
      <c r="F376" s="3"/>
      <c r="J376" s="3"/>
    </row>
    <row r="377" ht="15.75" customHeight="1">
      <c r="A377" s="3"/>
      <c r="B377" s="3"/>
      <c r="C377" s="3"/>
      <c r="D377" s="3"/>
      <c r="E377" s="3"/>
      <c r="F377" s="3"/>
      <c r="J377" s="3"/>
    </row>
    <row r="378" ht="15.75" customHeight="1">
      <c r="A378" s="3"/>
      <c r="B378" s="3"/>
      <c r="C378" s="3"/>
      <c r="D378" s="3"/>
      <c r="E378" s="3"/>
      <c r="F378" s="3"/>
      <c r="J378" s="3"/>
    </row>
    <row r="379" ht="15.75" customHeight="1">
      <c r="A379" s="3"/>
      <c r="B379" s="3"/>
      <c r="C379" s="3"/>
      <c r="D379" s="3"/>
      <c r="E379" s="3"/>
      <c r="F379" s="3"/>
      <c r="J379" s="3"/>
    </row>
    <row r="380" ht="15.75" customHeight="1">
      <c r="A380" s="3"/>
      <c r="B380" s="3"/>
      <c r="C380" s="3"/>
      <c r="D380" s="3"/>
      <c r="E380" s="3"/>
      <c r="F380" s="3"/>
      <c r="J380" s="3"/>
    </row>
    <row r="381" ht="15.75" customHeight="1">
      <c r="A381" s="3"/>
      <c r="B381" s="3"/>
      <c r="C381" s="3"/>
      <c r="D381" s="3"/>
      <c r="E381" s="3"/>
      <c r="F381" s="3"/>
      <c r="J381" s="3"/>
    </row>
    <row r="382" ht="15.75" customHeight="1">
      <c r="A382" s="3"/>
      <c r="B382" s="3"/>
      <c r="C382" s="3"/>
      <c r="D382" s="3"/>
      <c r="E382" s="3"/>
      <c r="F382" s="3"/>
      <c r="J382" s="3"/>
    </row>
    <row r="383" ht="15.75" customHeight="1">
      <c r="A383" s="3"/>
      <c r="B383" s="3"/>
      <c r="C383" s="3"/>
      <c r="D383" s="3"/>
      <c r="E383" s="3"/>
      <c r="F383" s="3"/>
      <c r="J383" s="3"/>
    </row>
    <row r="384" ht="15.75" customHeight="1">
      <c r="A384" s="3"/>
      <c r="B384" s="3"/>
      <c r="C384" s="3"/>
      <c r="D384" s="3"/>
      <c r="E384" s="3"/>
      <c r="F384" s="3"/>
      <c r="J384" s="3"/>
    </row>
    <row r="385" ht="15.75" customHeight="1">
      <c r="A385" s="3"/>
      <c r="B385" s="3"/>
      <c r="C385" s="3"/>
      <c r="D385" s="3"/>
      <c r="E385" s="3"/>
      <c r="F385" s="3"/>
      <c r="J385" s="3"/>
    </row>
    <row r="386" ht="15.75" customHeight="1">
      <c r="A386" s="3"/>
      <c r="B386" s="3"/>
      <c r="C386" s="3"/>
      <c r="D386" s="3"/>
      <c r="E386" s="3"/>
      <c r="F386" s="3"/>
      <c r="J386" s="3"/>
    </row>
    <row r="387" ht="15.75" customHeight="1">
      <c r="A387" s="3"/>
      <c r="B387" s="3"/>
      <c r="C387" s="3"/>
      <c r="D387" s="3"/>
      <c r="E387" s="3"/>
      <c r="F387" s="3"/>
      <c r="J387" s="3"/>
    </row>
    <row r="388" ht="15.75" customHeight="1">
      <c r="A388" s="3"/>
      <c r="B388" s="3"/>
      <c r="C388" s="3"/>
      <c r="D388" s="3"/>
      <c r="E388" s="3"/>
      <c r="F388" s="3"/>
      <c r="J388" s="3"/>
    </row>
    <row r="389" ht="15.75" customHeight="1">
      <c r="A389" s="3"/>
      <c r="B389" s="3"/>
      <c r="C389" s="3"/>
      <c r="D389" s="3"/>
      <c r="E389" s="3"/>
      <c r="F389" s="3"/>
      <c r="J389" s="3"/>
    </row>
    <row r="390" ht="15.75" customHeight="1">
      <c r="A390" s="3"/>
      <c r="B390" s="3"/>
      <c r="C390" s="3"/>
      <c r="D390" s="3"/>
      <c r="E390" s="3"/>
      <c r="F390" s="3"/>
      <c r="J390" s="3"/>
    </row>
    <row r="391" ht="15.75" customHeight="1">
      <c r="A391" s="3"/>
      <c r="B391" s="3"/>
      <c r="C391" s="3"/>
      <c r="D391" s="3"/>
      <c r="E391" s="3"/>
      <c r="F391" s="3"/>
      <c r="J391" s="3"/>
    </row>
    <row r="392" ht="15.75" customHeight="1">
      <c r="A392" s="3"/>
      <c r="B392" s="3"/>
      <c r="C392" s="3"/>
      <c r="D392" s="3"/>
      <c r="E392" s="3"/>
      <c r="F392" s="3"/>
      <c r="J392" s="3"/>
    </row>
    <row r="393" ht="15.75" customHeight="1">
      <c r="A393" s="3"/>
      <c r="B393" s="3"/>
      <c r="C393" s="3"/>
      <c r="D393" s="3"/>
      <c r="E393" s="3"/>
      <c r="F393" s="3"/>
      <c r="J393" s="3"/>
    </row>
    <row r="394" ht="15.75" customHeight="1">
      <c r="A394" s="3"/>
      <c r="B394" s="3"/>
      <c r="C394" s="3"/>
      <c r="D394" s="3"/>
      <c r="E394" s="3"/>
      <c r="F394" s="3"/>
      <c r="J394" s="3"/>
    </row>
    <row r="395" ht="15.75" customHeight="1">
      <c r="A395" s="3"/>
      <c r="B395" s="3"/>
      <c r="C395" s="3"/>
      <c r="D395" s="3"/>
      <c r="E395" s="3"/>
      <c r="F395" s="3"/>
      <c r="J395" s="3"/>
    </row>
    <row r="396" ht="15.75" customHeight="1">
      <c r="A396" s="3"/>
      <c r="B396" s="3"/>
      <c r="C396" s="3"/>
      <c r="D396" s="3"/>
      <c r="E396" s="3"/>
      <c r="F396" s="3"/>
      <c r="J396" s="3"/>
    </row>
    <row r="397" ht="15.75" customHeight="1">
      <c r="A397" s="3"/>
      <c r="B397" s="3"/>
      <c r="C397" s="3"/>
      <c r="D397" s="3"/>
      <c r="E397" s="3"/>
      <c r="F397" s="3"/>
      <c r="J397" s="3"/>
    </row>
    <row r="398" ht="15.75" customHeight="1">
      <c r="A398" s="3"/>
      <c r="B398" s="3"/>
      <c r="C398" s="3"/>
      <c r="D398" s="3"/>
      <c r="E398" s="3"/>
      <c r="F398" s="3"/>
      <c r="J398" s="3"/>
    </row>
    <row r="399" ht="15.75" customHeight="1">
      <c r="A399" s="3"/>
      <c r="B399" s="3"/>
      <c r="C399" s="3"/>
      <c r="D399" s="3"/>
      <c r="E399" s="3"/>
      <c r="F399" s="3"/>
      <c r="J399" s="3"/>
    </row>
    <row r="400" ht="15.75" customHeight="1">
      <c r="A400" s="3"/>
      <c r="B400" s="3"/>
      <c r="C400" s="3"/>
      <c r="D400" s="3"/>
      <c r="E400" s="3"/>
      <c r="F400" s="3"/>
      <c r="J400" s="3"/>
    </row>
    <row r="401" ht="15.75" customHeight="1">
      <c r="A401" s="3"/>
      <c r="B401" s="3"/>
      <c r="C401" s="3"/>
      <c r="D401" s="3"/>
      <c r="E401" s="3"/>
      <c r="F401" s="3"/>
      <c r="J401" s="3"/>
    </row>
    <row r="402" ht="15.75" customHeight="1">
      <c r="A402" s="3"/>
      <c r="B402" s="3"/>
      <c r="C402" s="3"/>
      <c r="D402" s="3"/>
      <c r="E402" s="3"/>
      <c r="F402" s="3"/>
      <c r="J402" s="3"/>
    </row>
    <row r="403" ht="15.75" customHeight="1">
      <c r="A403" s="3"/>
      <c r="B403" s="3"/>
      <c r="C403" s="3"/>
      <c r="D403" s="3"/>
      <c r="E403" s="3"/>
      <c r="F403" s="3"/>
      <c r="J403" s="3"/>
    </row>
    <row r="404" ht="15.75" customHeight="1">
      <c r="A404" s="3"/>
      <c r="B404" s="3"/>
      <c r="C404" s="3"/>
      <c r="D404" s="3"/>
      <c r="E404" s="3"/>
      <c r="F404" s="3"/>
      <c r="J404" s="3"/>
    </row>
    <row r="405" ht="15.75" customHeight="1">
      <c r="A405" s="3"/>
      <c r="B405" s="3"/>
      <c r="C405" s="3"/>
      <c r="D405" s="3"/>
      <c r="E405" s="3"/>
      <c r="F405" s="3"/>
      <c r="J405" s="3"/>
    </row>
    <row r="406" ht="15.75" customHeight="1">
      <c r="A406" s="3"/>
      <c r="B406" s="3"/>
      <c r="C406" s="3"/>
      <c r="D406" s="3"/>
      <c r="E406" s="3"/>
      <c r="F406" s="3"/>
      <c r="J406" s="3"/>
    </row>
    <row r="407" ht="15.75" customHeight="1">
      <c r="A407" s="3"/>
      <c r="B407" s="3"/>
      <c r="C407" s="3"/>
      <c r="D407" s="3"/>
      <c r="E407" s="3"/>
      <c r="F407" s="3"/>
      <c r="J407" s="3"/>
    </row>
    <row r="408" ht="15.75" customHeight="1">
      <c r="A408" s="3"/>
      <c r="B408" s="3"/>
      <c r="C408" s="3"/>
      <c r="D408" s="3"/>
      <c r="E408" s="3"/>
      <c r="F408" s="3"/>
      <c r="J408" s="3"/>
    </row>
    <row r="409" ht="15.75" customHeight="1">
      <c r="A409" s="3"/>
      <c r="B409" s="3"/>
      <c r="C409" s="3"/>
      <c r="D409" s="3"/>
      <c r="E409" s="3"/>
      <c r="F409" s="3"/>
      <c r="J409" s="3"/>
    </row>
    <row r="410" ht="15.75" customHeight="1">
      <c r="A410" s="3"/>
      <c r="B410" s="3"/>
      <c r="C410" s="3"/>
      <c r="D410" s="3"/>
      <c r="E410" s="3"/>
      <c r="F410" s="3"/>
      <c r="J410" s="3"/>
    </row>
    <row r="411" ht="15.75" customHeight="1">
      <c r="A411" s="3"/>
      <c r="B411" s="3"/>
      <c r="C411" s="3"/>
      <c r="D411" s="3"/>
      <c r="E411" s="3"/>
      <c r="F411" s="3"/>
      <c r="J411" s="3"/>
    </row>
    <row r="412" ht="15.75" customHeight="1">
      <c r="A412" s="3"/>
      <c r="B412" s="3"/>
      <c r="C412" s="3"/>
      <c r="D412" s="3"/>
      <c r="E412" s="3"/>
      <c r="F412" s="3"/>
      <c r="J412" s="3"/>
    </row>
    <row r="413" ht="15.75" customHeight="1">
      <c r="A413" s="3"/>
      <c r="B413" s="3"/>
      <c r="C413" s="3"/>
      <c r="D413" s="3"/>
      <c r="E413" s="3"/>
      <c r="F413" s="3"/>
      <c r="J413" s="3"/>
    </row>
    <row r="414" ht="15.75" customHeight="1">
      <c r="A414" s="3"/>
      <c r="B414" s="3"/>
      <c r="C414" s="3"/>
      <c r="D414" s="3"/>
      <c r="E414" s="3"/>
      <c r="F414" s="3"/>
      <c r="J414" s="3"/>
    </row>
    <row r="415" ht="15.75" customHeight="1">
      <c r="A415" s="3"/>
      <c r="B415" s="3"/>
      <c r="C415" s="3"/>
      <c r="D415" s="3"/>
      <c r="E415" s="3"/>
      <c r="F415" s="3"/>
      <c r="J415" s="3"/>
    </row>
    <row r="416" ht="15.75" customHeight="1">
      <c r="A416" s="3"/>
      <c r="B416" s="3"/>
      <c r="C416" s="3"/>
      <c r="D416" s="3"/>
      <c r="E416" s="3"/>
      <c r="F416" s="3"/>
      <c r="J416" s="3"/>
    </row>
    <row r="417" ht="15.75" customHeight="1">
      <c r="A417" s="3"/>
      <c r="B417" s="3"/>
      <c r="C417" s="3"/>
      <c r="D417" s="3"/>
      <c r="E417" s="3"/>
      <c r="F417" s="3"/>
      <c r="J417" s="3"/>
    </row>
    <row r="418" ht="15.75" customHeight="1">
      <c r="A418" s="3"/>
      <c r="B418" s="3"/>
      <c r="C418" s="3"/>
      <c r="D418" s="3"/>
      <c r="E418" s="3"/>
      <c r="F418" s="3"/>
      <c r="J418" s="3"/>
    </row>
    <row r="419" ht="15.75" customHeight="1">
      <c r="A419" s="3"/>
      <c r="B419" s="3"/>
      <c r="C419" s="3"/>
      <c r="D419" s="3"/>
      <c r="E419" s="3"/>
      <c r="F419" s="3"/>
      <c r="J419" s="3"/>
    </row>
    <row r="420" ht="15.75" customHeight="1">
      <c r="A420" s="3"/>
      <c r="B420" s="3"/>
      <c r="C420" s="3"/>
      <c r="D420" s="3"/>
      <c r="E420" s="3"/>
      <c r="F420" s="3"/>
      <c r="J420" s="3"/>
    </row>
    <row r="421" ht="15.75" customHeight="1">
      <c r="A421" s="3"/>
      <c r="B421" s="3"/>
      <c r="C421" s="3"/>
      <c r="D421" s="3"/>
      <c r="E421" s="3"/>
      <c r="F421" s="3"/>
      <c r="J421" s="3"/>
    </row>
    <row r="422" ht="15.75" customHeight="1">
      <c r="A422" s="3"/>
      <c r="B422" s="3"/>
      <c r="C422" s="3"/>
      <c r="D422" s="3"/>
      <c r="E422" s="3"/>
      <c r="F422" s="3"/>
      <c r="J422" s="3"/>
    </row>
    <row r="423" ht="15.75" customHeight="1">
      <c r="A423" s="3"/>
      <c r="B423" s="3"/>
      <c r="C423" s="3"/>
      <c r="D423" s="3"/>
      <c r="E423" s="3"/>
      <c r="F423" s="3"/>
      <c r="J423" s="3"/>
    </row>
    <row r="424" ht="15.75" customHeight="1">
      <c r="A424" s="3"/>
      <c r="B424" s="3"/>
      <c r="C424" s="3"/>
      <c r="D424" s="3"/>
      <c r="E424" s="3"/>
      <c r="F424" s="3"/>
      <c r="J424" s="3"/>
    </row>
    <row r="425" ht="15.75" customHeight="1">
      <c r="A425" s="3"/>
      <c r="B425" s="3"/>
      <c r="C425" s="3"/>
      <c r="D425" s="3"/>
      <c r="E425" s="3"/>
      <c r="F425" s="3"/>
      <c r="J425" s="3"/>
    </row>
    <row r="426" ht="15.75" customHeight="1">
      <c r="A426" s="3"/>
      <c r="B426" s="3"/>
      <c r="C426" s="3"/>
      <c r="D426" s="3"/>
      <c r="E426" s="3"/>
      <c r="F426" s="3"/>
      <c r="J426" s="3"/>
    </row>
    <row r="427" ht="15.75" customHeight="1">
      <c r="A427" s="3"/>
      <c r="B427" s="3"/>
      <c r="C427" s="3"/>
      <c r="D427" s="3"/>
      <c r="E427" s="3"/>
      <c r="F427" s="3"/>
      <c r="J427" s="3"/>
    </row>
    <row r="428" ht="15.75" customHeight="1">
      <c r="A428" s="3"/>
      <c r="B428" s="3"/>
      <c r="C428" s="3"/>
      <c r="D428" s="3"/>
      <c r="E428" s="3"/>
      <c r="F428" s="3"/>
      <c r="J428" s="3"/>
    </row>
    <row r="429" ht="15.75" customHeight="1">
      <c r="A429" s="3"/>
      <c r="B429" s="3"/>
      <c r="C429" s="3"/>
      <c r="D429" s="3"/>
      <c r="E429" s="3"/>
      <c r="F429" s="3"/>
      <c r="J429" s="3"/>
    </row>
    <row r="430" ht="15.75" customHeight="1">
      <c r="A430" s="3"/>
      <c r="B430" s="3"/>
      <c r="C430" s="3"/>
      <c r="D430" s="3"/>
      <c r="E430" s="3"/>
      <c r="F430" s="3"/>
      <c r="J430" s="3"/>
    </row>
    <row r="431" ht="15.75" customHeight="1">
      <c r="A431" s="3"/>
      <c r="B431" s="3"/>
      <c r="C431" s="3"/>
      <c r="D431" s="3"/>
      <c r="E431" s="3"/>
      <c r="F431" s="3"/>
      <c r="J431" s="3"/>
    </row>
    <row r="432" ht="15.75" customHeight="1">
      <c r="A432" s="3"/>
      <c r="B432" s="3"/>
      <c r="C432" s="3"/>
      <c r="D432" s="3"/>
      <c r="E432" s="3"/>
      <c r="F432" s="3"/>
      <c r="J432" s="3"/>
    </row>
    <row r="433" ht="15.75" customHeight="1">
      <c r="A433" s="3"/>
      <c r="B433" s="3"/>
      <c r="C433" s="3"/>
      <c r="D433" s="3"/>
      <c r="E433" s="3"/>
      <c r="F433" s="3"/>
      <c r="J433" s="3"/>
    </row>
    <row r="434" ht="15.75" customHeight="1">
      <c r="A434" s="3"/>
      <c r="B434" s="3"/>
      <c r="C434" s="3"/>
      <c r="D434" s="3"/>
      <c r="E434" s="3"/>
      <c r="F434" s="3"/>
      <c r="J434" s="3"/>
    </row>
    <row r="435" ht="15.75" customHeight="1">
      <c r="A435" s="3"/>
      <c r="B435" s="3"/>
      <c r="C435" s="3"/>
      <c r="D435" s="3"/>
      <c r="E435" s="3"/>
      <c r="F435" s="3"/>
      <c r="J435" s="3"/>
    </row>
    <row r="436" ht="15.75" customHeight="1">
      <c r="A436" s="3"/>
      <c r="B436" s="3"/>
      <c r="C436" s="3"/>
      <c r="D436" s="3"/>
      <c r="E436" s="3"/>
      <c r="F436" s="3"/>
      <c r="J436" s="3"/>
    </row>
    <row r="437" ht="15.75" customHeight="1">
      <c r="A437" s="3"/>
      <c r="B437" s="3"/>
      <c r="C437" s="3"/>
      <c r="D437" s="3"/>
      <c r="E437" s="3"/>
      <c r="F437" s="3"/>
      <c r="J437" s="3"/>
    </row>
    <row r="438" ht="15.75" customHeight="1">
      <c r="A438" s="3"/>
      <c r="B438" s="3"/>
      <c r="C438" s="3"/>
      <c r="D438" s="3"/>
      <c r="E438" s="3"/>
      <c r="F438" s="3"/>
      <c r="J438" s="3"/>
    </row>
    <row r="439" ht="15.75" customHeight="1">
      <c r="A439" s="3"/>
      <c r="B439" s="3"/>
      <c r="C439" s="3"/>
      <c r="D439" s="3"/>
      <c r="E439" s="3"/>
      <c r="F439" s="3"/>
      <c r="J439" s="3"/>
    </row>
    <row r="440" ht="15.75" customHeight="1">
      <c r="A440" s="3"/>
      <c r="B440" s="3"/>
      <c r="C440" s="3"/>
      <c r="D440" s="3"/>
      <c r="E440" s="3"/>
      <c r="F440" s="3"/>
      <c r="J440" s="3"/>
    </row>
    <row r="441" ht="15.75" customHeight="1">
      <c r="A441" s="3"/>
      <c r="B441" s="3"/>
      <c r="C441" s="3"/>
      <c r="D441" s="3"/>
      <c r="E441" s="3"/>
      <c r="F441" s="3"/>
      <c r="J441" s="3"/>
    </row>
    <row r="442" ht="15.75" customHeight="1">
      <c r="A442" s="3"/>
      <c r="B442" s="3"/>
      <c r="C442" s="3"/>
      <c r="D442" s="3"/>
      <c r="E442" s="3"/>
      <c r="F442" s="3"/>
      <c r="J442" s="3"/>
    </row>
    <row r="443" ht="15.75" customHeight="1">
      <c r="A443" s="3"/>
      <c r="B443" s="3"/>
      <c r="C443" s="3"/>
      <c r="D443" s="3"/>
      <c r="E443" s="3"/>
      <c r="F443" s="3"/>
      <c r="J443" s="3"/>
    </row>
    <row r="444" ht="15.75" customHeight="1">
      <c r="A444" s="3"/>
      <c r="B444" s="3"/>
      <c r="C444" s="3"/>
      <c r="D444" s="3"/>
      <c r="E444" s="3"/>
      <c r="F444" s="3"/>
      <c r="J444" s="3"/>
    </row>
    <row r="445" ht="15.75" customHeight="1">
      <c r="A445" s="3"/>
      <c r="B445" s="3"/>
      <c r="C445" s="3"/>
      <c r="D445" s="3"/>
      <c r="E445" s="3"/>
      <c r="F445" s="3"/>
      <c r="J445" s="3"/>
    </row>
    <row r="446" ht="15.75" customHeight="1">
      <c r="A446" s="3"/>
      <c r="B446" s="3"/>
      <c r="C446" s="3"/>
      <c r="D446" s="3"/>
      <c r="E446" s="3"/>
      <c r="F446" s="3"/>
      <c r="J446" s="3"/>
    </row>
    <row r="447" ht="15.75" customHeight="1">
      <c r="A447" s="3"/>
      <c r="B447" s="3"/>
      <c r="C447" s="3"/>
      <c r="D447" s="3"/>
      <c r="E447" s="3"/>
      <c r="F447" s="3"/>
      <c r="J447" s="3"/>
    </row>
    <row r="448" ht="15.75" customHeight="1">
      <c r="A448" s="3"/>
      <c r="B448" s="3"/>
      <c r="C448" s="3"/>
      <c r="D448" s="3"/>
      <c r="E448" s="3"/>
      <c r="F448" s="3"/>
      <c r="J448" s="3"/>
    </row>
    <row r="449" ht="15.75" customHeight="1">
      <c r="A449" s="3"/>
      <c r="B449" s="3"/>
      <c r="C449" s="3"/>
      <c r="D449" s="3"/>
      <c r="E449" s="3"/>
      <c r="F449" s="3"/>
      <c r="J449" s="3"/>
    </row>
    <row r="450" ht="15.75" customHeight="1">
      <c r="A450" s="3"/>
      <c r="B450" s="3"/>
      <c r="C450" s="3"/>
      <c r="D450" s="3"/>
      <c r="E450" s="3"/>
      <c r="F450" s="3"/>
      <c r="J450" s="3"/>
    </row>
    <row r="451" ht="15.75" customHeight="1">
      <c r="A451" s="3"/>
      <c r="B451" s="3"/>
      <c r="C451" s="3"/>
      <c r="D451" s="3"/>
      <c r="E451" s="3"/>
      <c r="F451" s="3"/>
      <c r="J451" s="3"/>
    </row>
    <row r="452" ht="15.75" customHeight="1">
      <c r="A452" s="3"/>
      <c r="B452" s="3"/>
      <c r="C452" s="3"/>
      <c r="D452" s="3"/>
      <c r="E452" s="3"/>
      <c r="F452" s="3"/>
      <c r="J452" s="3"/>
    </row>
    <row r="453" ht="15.75" customHeight="1">
      <c r="A453" s="3"/>
      <c r="B453" s="3"/>
      <c r="C453" s="3"/>
      <c r="D453" s="3"/>
      <c r="E453" s="3"/>
      <c r="F453" s="3"/>
      <c r="J453" s="3"/>
    </row>
    <row r="454" ht="15.75" customHeight="1">
      <c r="A454" s="3"/>
      <c r="B454" s="3"/>
      <c r="C454" s="3"/>
      <c r="D454" s="3"/>
      <c r="E454" s="3"/>
      <c r="F454" s="3"/>
      <c r="J454" s="3"/>
    </row>
    <row r="455" ht="15.75" customHeight="1">
      <c r="A455" s="3"/>
      <c r="B455" s="3"/>
      <c r="C455" s="3"/>
      <c r="D455" s="3"/>
      <c r="E455" s="3"/>
      <c r="F455" s="3"/>
      <c r="J455" s="3"/>
    </row>
    <row r="456" ht="15.75" customHeight="1">
      <c r="A456" s="3"/>
      <c r="B456" s="3"/>
      <c r="C456" s="3"/>
      <c r="D456" s="3"/>
      <c r="E456" s="3"/>
      <c r="F456" s="3"/>
      <c r="J456" s="3"/>
    </row>
    <row r="457" ht="15.75" customHeight="1">
      <c r="A457" s="3"/>
      <c r="B457" s="3"/>
      <c r="C457" s="3"/>
      <c r="D457" s="3"/>
      <c r="E457" s="3"/>
      <c r="F457" s="3"/>
      <c r="J457" s="3"/>
    </row>
    <row r="458" ht="15.75" customHeight="1">
      <c r="A458" s="3"/>
      <c r="B458" s="3"/>
      <c r="C458" s="3"/>
      <c r="D458" s="3"/>
      <c r="E458" s="3"/>
      <c r="F458" s="3"/>
      <c r="J458" s="3"/>
    </row>
    <row r="459" ht="15.75" customHeight="1">
      <c r="A459" s="3"/>
      <c r="B459" s="3"/>
      <c r="C459" s="3"/>
      <c r="D459" s="3"/>
      <c r="E459" s="3"/>
      <c r="F459" s="3"/>
      <c r="J459" s="3"/>
    </row>
    <row r="460" ht="15.75" customHeight="1">
      <c r="A460" s="3"/>
      <c r="B460" s="3"/>
      <c r="C460" s="3"/>
      <c r="D460" s="3"/>
      <c r="E460" s="3"/>
      <c r="F460" s="3"/>
      <c r="J460" s="3"/>
    </row>
    <row r="461" ht="15.75" customHeight="1">
      <c r="A461" s="3"/>
      <c r="B461" s="3"/>
      <c r="C461" s="3"/>
      <c r="D461" s="3"/>
      <c r="E461" s="3"/>
      <c r="F461" s="3"/>
      <c r="J461" s="3"/>
    </row>
    <row r="462" ht="15.75" customHeight="1">
      <c r="A462" s="3"/>
      <c r="B462" s="3"/>
      <c r="C462" s="3"/>
      <c r="D462" s="3"/>
      <c r="E462" s="3"/>
      <c r="F462" s="3"/>
      <c r="J462" s="3"/>
    </row>
    <row r="463" ht="15.75" customHeight="1">
      <c r="A463" s="3"/>
      <c r="B463" s="3"/>
      <c r="C463" s="3"/>
      <c r="D463" s="3"/>
      <c r="E463" s="3"/>
      <c r="F463" s="3"/>
      <c r="J463" s="3"/>
    </row>
    <row r="464" ht="15.75" customHeight="1">
      <c r="A464" s="3"/>
      <c r="B464" s="3"/>
      <c r="C464" s="3"/>
      <c r="D464" s="3"/>
      <c r="E464" s="3"/>
      <c r="F464" s="3"/>
      <c r="J464" s="3"/>
    </row>
    <row r="465" ht="15.75" customHeight="1">
      <c r="A465" s="3"/>
      <c r="B465" s="3"/>
      <c r="C465" s="3"/>
      <c r="D465" s="3"/>
      <c r="E465" s="3"/>
      <c r="F465" s="3"/>
      <c r="J465" s="3"/>
    </row>
    <row r="466" ht="15.75" customHeight="1">
      <c r="A466" s="3"/>
      <c r="B466" s="3"/>
      <c r="C466" s="3"/>
      <c r="D466" s="3"/>
      <c r="E466" s="3"/>
      <c r="F466" s="3"/>
      <c r="J466" s="3"/>
    </row>
    <row r="467" ht="15.75" customHeight="1">
      <c r="A467" s="3"/>
      <c r="B467" s="3"/>
      <c r="C467" s="3"/>
      <c r="D467" s="3"/>
      <c r="E467" s="3"/>
      <c r="F467" s="3"/>
      <c r="J467" s="3"/>
    </row>
    <row r="468" ht="15.75" customHeight="1">
      <c r="A468" s="3"/>
      <c r="B468" s="3"/>
      <c r="C468" s="3"/>
      <c r="D468" s="3"/>
      <c r="E468" s="3"/>
      <c r="F468" s="3"/>
      <c r="J468" s="3"/>
    </row>
    <row r="469" ht="15.75" customHeight="1">
      <c r="A469" s="3"/>
      <c r="B469" s="3"/>
      <c r="C469" s="3"/>
      <c r="D469" s="3"/>
      <c r="E469" s="3"/>
      <c r="F469" s="3"/>
      <c r="J469" s="3"/>
    </row>
    <row r="470" ht="15.75" customHeight="1">
      <c r="A470" s="3"/>
      <c r="B470" s="3"/>
      <c r="C470" s="3"/>
      <c r="D470" s="3"/>
      <c r="E470" s="3"/>
      <c r="F470" s="3"/>
      <c r="J470" s="3"/>
    </row>
    <row r="471" ht="15.75" customHeight="1">
      <c r="A471" s="3"/>
      <c r="B471" s="3"/>
      <c r="C471" s="3"/>
      <c r="D471" s="3"/>
      <c r="E471" s="3"/>
      <c r="F471" s="3"/>
      <c r="J471" s="3"/>
    </row>
    <row r="472" ht="15.75" customHeight="1">
      <c r="A472" s="3"/>
      <c r="B472" s="3"/>
      <c r="C472" s="3"/>
      <c r="D472" s="3"/>
      <c r="E472" s="3"/>
      <c r="F472" s="3"/>
      <c r="J472" s="3"/>
    </row>
    <row r="473" ht="15.75" customHeight="1">
      <c r="A473" s="3"/>
      <c r="B473" s="3"/>
      <c r="C473" s="3"/>
      <c r="D473" s="3"/>
      <c r="E473" s="3"/>
      <c r="F473" s="3"/>
      <c r="J473" s="3"/>
    </row>
    <row r="474" ht="15.75" customHeight="1">
      <c r="A474" s="3"/>
      <c r="B474" s="3"/>
      <c r="C474" s="3"/>
      <c r="D474" s="3"/>
      <c r="E474" s="3"/>
      <c r="F474" s="3"/>
      <c r="J474" s="3"/>
    </row>
    <row r="475" ht="15.75" customHeight="1">
      <c r="A475" s="3"/>
      <c r="B475" s="3"/>
      <c r="C475" s="3"/>
      <c r="D475" s="3"/>
      <c r="E475" s="3"/>
      <c r="F475" s="3"/>
      <c r="J475" s="3"/>
    </row>
    <row r="476" ht="15.75" customHeight="1">
      <c r="A476" s="3"/>
      <c r="B476" s="3"/>
      <c r="C476" s="3"/>
      <c r="D476" s="3"/>
      <c r="E476" s="3"/>
      <c r="F476" s="3"/>
      <c r="J476" s="3"/>
    </row>
    <row r="477" ht="15.75" customHeight="1">
      <c r="A477" s="3"/>
      <c r="B477" s="3"/>
      <c r="C477" s="3"/>
      <c r="D477" s="3"/>
      <c r="E477" s="3"/>
      <c r="F477" s="3"/>
      <c r="J477" s="3"/>
    </row>
    <row r="478" ht="15.75" customHeight="1">
      <c r="A478" s="3"/>
      <c r="B478" s="3"/>
      <c r="C478" s="3"/>
      <c r="D478" s="3"/>
      <c r="E478" s="3"/>
      <c r="F478" s="3"/>
      <c r="J478" s="3"/>
    </row>
    <row r="479" ht="15.75" customHeight="1">
      <c r="A479" s="3"/>
      <c r="B479" s="3"/>
      <c r="C479" s="3"/>
      <c r="D479" s="3"/>
      <c r="E479" s="3"/>
      <c r="F479" s="3"/>
      <c r="J479" s="3"/>
    </row>
    <row r="480" ht="15.75" customHeight="1">
      <c r="A480" s="3"/>
      <c r="B480" s="3"/>
      <c r="C480" s="3"/>
      <c r="D480" s="3"/>
      <c r="E480" s="3"/>
      <c r="F480" s="3"/>
      <c r="J480" s="3"/>
    </row>
    <row r="481" ht="15.75" customHeight="1">
      <c r="A481" s="3"/>
      <c r="B481" s="3"/>
      <c r="C481" s="3"/>
      <c r="D481" s="3"/>
      <c r="E481" s="3"/>
      <c r="F481" s="3"/>
      <c r="J481" s="3"/>
    </row>
    <row r="482" ht="15.75" customHeight="1">
      <c r="A482" s="3"/>
      <c r="B482" s="3"/>
      <c r="C482" s="3"/>
      <c r="D482" s="3"/>
      <c r="E482" s="3"/>
      <c r="F482" s="3"/>
      <c r="J482" s="3"/>
    </row>
    <row r="483" ht="15.75" customHeight="1">
      <c r="A483" s="3"/>
      <c r="B483" s="3"/>
      <c r="C483" s="3"/>
      <c r="D483" s="3"/>
      <c r="E483" s="3"/>
      <c r="F483" s="3"/>
      <c r="J483" s="3"/>
    </row>
    <row r="484" ht="15.75" customHeight="1">
      <c r="A484" s="3"/>
      <c r="B484" s="3"/>
      <c r="C484" s="3"/>
      <c r="D484" s="3"/>
      <c r="E484" s="3"/>
      <c r="F484" s="3"/>
      <c r="J484" s="3"/>
    </row>
    <row r="485" ht="15.75" customHeight="1">
      <c r="A485" s="3"/>
      <c r="B485" s="3"/>
      <c r="C485" s="3"/>
      <c r="D485" s="3"/>
      <c r="E485" s="3"/>
      <c r="F485" s="3"/>
      <c r="J485" s="3"/>
    </row>
    <row r="486" ht="15.75" customHeight="1">
      <c r="A486" s="3"/>
      <c r="B486" s="3"/>
      <c r="C486" s="3"/>
      <c r="D486" s="3"/>
      <c r="E486" s="3"/>
      <c r="F486" s="3"/>
      <c r="J486" s="3"/>
    </row>
    <row r="487" ht="15.75" customHeight="1">
      <c r="A487" s="3"/>
      <c r="B487" s="3"/>
      <c r="C487" s="3"/>
      <c r="D487" s="3"/>
      <c r="E487" s="3"/>
      <c r="F487" s="3"/>
      <c r="J487" s="3"/>
    </row>
    <row r="488" ht="15.75" customHeight="1">
      <c r="A488" s="3"/>
      <c r="B488" s="3"/>
      <c r="C488" s="3"/>
      <c r="D488" s="3"/>
      <c r="E488" s="3"/>
      <c r="F488" s="3"/>
      <c r="J488" s="3"/>
    </row>
    <row r="489" ht="15.75" customHeight="1">
      <c r="A489" s="3"/>
      <c r="B489" s="3"/>
      <c r="C489" s="3"/>
      <c r="D489" s="3"/>
      <c r="E489" s="3"/>
      <c r="F489" s="3"/>
      <c r="J489" s="3"/>
    </row>
    <row r="490" ht="15.75" customHeight="1">
      <c r="A490" s="3"/>
      <c r="B490" s="3"/>
      <c r="C490" s="3"/>
      <c r="D490" s="3"/>
      <c r="E490" s="3"/>
      <c r="F490" s="3"/>
      <c r="J490" s="3"/>
    </row>
    <row r="491" ht="15.75" customHeight="1">
      <c r="A491" s="3"/>
      <c r="B491" s="3"/>
      <c r="C491" s="3"/>
      <c r="D491" s="3"/>
      <c r="E491" s="3"/>
      <c r="F491" s="3"/>
      <c r="J491" s="3"/>
    </row>
    <row r="492" ht="15.75" customHeight="1">
      <c r="A492" s="3"/>
      <c r="B492" s="3"/>
      <c r="C492" s="3"/>
      <c r="D492" s="3"/>
      <c r="E492" s="3"/>
      <c r="F492" s="3"/>
      <c r="J492" s="3"/>
    </row>
    <row r="493" ht="15.75" customHeight="1">
      <c r="A493" s="3"/>
      <c r="B493" s="3"/>
      <c r="C493" s="3"/>
      <c r="D493" s="3"/>
      <c r="E493" s="3"/>
      <c r="F493" s="3"/>
      <c r="J493" s="3"/>
    </row>
    <row r="494" ht="15.75" customHeight="1">
      <c r="A494" s="3"/>
      <c r="B494" s="3"/>
      <c r="C494" s="3"/>
      <c r="D494" s="3"/>
      <c r="E494" s="3"/>
      <c r="F494" s="3"/>
      <c r="J494" s="3"/>
    </row>
    <row r="495" ht="15.75" customHeight="1">
      <c r="A495" s="3"/>
      <c r="B495" s="3"/>
      <c r="C495" s="3"/>
      <c r="D495" s="3"/>
      <c r="E495" s="3"/>
      <c r="F495" s="3"/>
      <c r="J495" s="3"/>
    </row>
    <row r="496" ht="15.75" customHeight="1">
      <c r="A496" s="3"/>
      <c r="B496" s="3"/>
      <c r="C496" s="3"/>
      <c r="D496" s="3"/>
      <c r="E496" s="3"/>
      <c r="F496" s="3"/>
      <c r="J496" s="3"/>
    </row>
    <row r="497" ht="15.75" customHeight="1">
      <c r="A497" s="3"/>
      <c r="B497" s="3"/>
      <c r="C497" s="3"/>
      <c r="D497" s="3"/>
      <c r="E497" s="3"/>
      <c r="F497" s="3"/>
      <c r="J497" s="3"/>
    </row>
    <row r="498" ht="15.75" customHeight="1">
      <c r="A498" s="3"/>
      <c r="B498" s="3"/>
      <c r="C498" s="3"/>
      <c r="D498" s="3"/>
      <c r="E498" s="3"/>
      <c r="F498" s="3"/>
      <c r="J498" s="3"/>
    </row>
    <row r="499" ht="15.75" customHeight="1">
      <c r="A499" s="3"/>
      <c r="B499" s="3"/>
      <c r="C499" s="3"/>
      <c r="D499" s="3"/>
      <c r="E499" s="3"/>
      <c r="F499" s="3"/>
      <c r="J499" s="3"/>
    </row>
    <row r="500" ht="15.75" customHeight="1">
      <c r="A500" s="3"/>
      <c r="B500" s="3"/>
      <c r="C500" s="3"/>
      <c r="D500" s="3"/>
      <c r="E500" s="3"/>
      <c r="F500" s="3"/>
      <c r="J500" s="3"/>
    </row>
    <row r="501" ht="15.75" customHeight="1">
      <c r="A501" s="3"/>
      <c r="B501" s="3"/>
      <c r="C501" s="3"/>
      <c r="D501" s="3"/>
      <c r="E501" s="3"/>
      <c r="F501" s="3"/>
      <c r="J501" s="3"/>
    </row>
    <row r="502" ht="15.75" customHeight="1">
      <c r="A502" s="3"/>
      <c r="B502" s="3"/>
      <c r="C502" s="3"/>
      <c r="D502" s="3"/>
      <c r="E502" s="3"/>
      <c r="F502" s="3"/>
      <c r="J502" s="3"/>
    </row>
    <row r="503" ht="15.75" customHeight="1">
      <c r="A503" s="3"/>
      <c r="B503" s="3"/>
      <c r="C503" s="3"/>
      <c r="D503" s="3"/>
      <c r="E503" s="3"/>
      <c r="F503" s="3"/>
      <c r="J503" s="3"/>
    </row>
    <row r="504" ht="15.75" customHeight="1">
      <c r="A504" s="3"/>
      <c r="B504" s="3"/>
      <c r="C504" s="3"/>
      <c r="D504" s="3"/>
      <c r="E504" s="3"/>
      <c r="F504" s="3"/>
      <c r="J504" s="3"/>
    </row>
    <row r="505" ht="15.75" customHeight="1">
      <c r="A505" s="3"/>
      <c r="B505" s="3"/>
      <c r="C505" s="3"/>
      <c r="D505" s="3"/>
      <c r="E505" s="3"/>
      <c r="F505" s="3"/>
      <c r="J505" s="3"/>
    </row>
    <row r="506" ht="15.75" customHeight="1">
      <c r="A506" s="3"/>
      <c r="B506" s="3"/>
      <c r="C506" s="3"/>
      <c r="D506" s="3"/>
      <c r="E506" s="3"/>
      <c r="F506" s="3"/>
      <c r="J506" s="3"/>
    </row>
    <row r="507" ht="15.75" customHeight="1">
      <c r="A507" s="3"/>
      <c r="B507" s="3"/>
      <c r="C507" s="3"/>
      <c r="D507" s="3"/>
      <c r="E507" s="3"/>
      <c r="F507" s="3"/>
      <c r="J507" s="3"/>
    </row>
    <row r="508" ht="15.75" customHeight="1">
      <c r="A508" s="3"/>
      <c r="B508" s="3"/>
      <c r="C508" s="3"/>
      <c r="D508" s="3"/>
      <c r="E508" s="3"/>
      <c r="F508" s="3"/>
      <c r="J508" s="3"/>
    </row>
    <row r="509" ht="15.75" customHeight="1">
      <c r="A509" s="3"/>
      <c r="B509" s="3"/>
      <c r="C509" s="3"/>
      <c r="D509" s="3"/>
      <c r="E509" s="3"/>
      <c r="F509" s="3"/>
      <c r="J509" s="3"/>
    </row>
    <row r="510" ht="15.75" customHeight="1">
      <c r="A510" s="3"/>
      <c r="B510" s="3"/>
      <c r="C510" s="3"/>
      <c r="D510" s="3"/>
      <c r="E510" s="3"/>
      <c r="F510" s="3"/>
      <c r="J510" s="3"/>
    </row>
    <row r="511" ht="15.75" customHeight="1">
      <c r="A511" s="3"/>
      <c r="B511" s="3"/>
      <c r="C511" s="3"/>
      <c r="D511" s="3"/>
      <c r="E511" s="3"/>
      <c r="F511" s="3"/>
      <c r="J511" s="3"/>
    </row>
    <row r="512" ht="15.75" customHeight="1">
      <c r="A512" s="3"/>
      <c r="B512" s="3"/>
      <c r="C512" s="3"/>
      <c r="D512" s="3"/>
      <c r="E512" s="3"/>
      <c r="F512" s="3"/>
      <c r="J512" s="3"/>
    </row>
    <row r="513" ht="15.75" customHeight="1">
      <c r="A513" s="3"/>
      <c r="B513" s="3"/>
      <c r="C513" s="3"/>
      <c r="D513" s="3"/>
      <c r="E513" s="3"/>
      <c r="F513" s="3"/>
      <c r="J513" s="3"/>
    </row>
    <row r="514" ht="15.75" customHeight="1">
      <c r="A514" s="3"/>
      <c r="B514" s="3"/>
      <c r="C514" s="3"/>
      <c r="D514" s="3"/>
      <c r="E514" s="3"/>
      <c r="F514" s="3"/>
      <c r="J514" s="3"/>
    </row>
    <row r="515" ht="15.75" customHeight="1">
      <c r="A515" s="3"/>
      <c r="B515" s="3"/>
      <c r="C515" s="3"/>
      <c r="D515" s="3"/>
      <c r="E515" s="3"/>
      <c r="F515" s="3"/>
      <c r="J515" s="3"/>
    </row>
    <row r="516" ht="15.75" customHeight="1">
      <c r="A516" s="3"/>
      <c r="B516" s="3"/>
      <c r="C516" s="3"/>
      <c r="D516" s="3"/>
      <c r="E516" s="3"/>
      <c r="F516" s="3"/>
      <c r="J516" s="3"/>
    </row>
    <row r="517" ht="15.75" customHeight="1">
      <c r="A517" s="3"/>
      <c r="B517" s="3"/>
      <c r="C517" s="3"/>
      <c r="D517" s="3"/>
      <c r="E517" s="3"/>
      <c r="F517" s="3"/>
      <c r="J517" s="3"/>
    </row>
    <row r="518" ht="15.75" customHeight="1">
      <c r="A518" s="3"/>
      <c r="B518" s="3"/>
      <c r="C518" s="3"/>
      <c r="D518" s="3"/>
      <c r="E518" s="3"/>
      <c r="F518" s="3"/>
      <c r="J518" s="3"/>
    </row>
    <row r="519" ht="15.75" customHeight="1">
      <c r="A519" s="3"/>
      <c r="B519" s="3"/>
      <c r="C519" s="3"/>
      <c r="D519" s="3"/>
      <c r="E519" s="3"/>
      <c r="F519" s="3"/>
      <c r="J519" s="3"/>
    </row>
    <row r="520" ht="15.75" customHeight="1">
      <c r="A520" s="3"/>
      <c r="B520" s="3"/>
      <c r="C520" s="3"/>
      <c r="D520" s="3"/>
      <c r="E520" s="3"/>
      <c r="F520" s="3"/>
      <c r="J520" s="3"/>
    </row>
    <row r="521" ht="15.75" customHeight="1">
      <c r="A521" s="3"/>
      <c r="B521" s="3"/>
      <c r="C521" s="3"/>
      <c r="D521" s="3"/>
      <c r="E521" s="3"/>
      <c r="F521" s="3"/>
      <c r="J521" s="3"/>
    </row>
    <row r="522" ht="15.75" customHeight="1">
      <c r="A522" s="3"/>
      <c r="B522" s="3"/>
      <c r="C522" s="3"/>
      <c r="D522" s="3"/>
      <c r="E522" s="3"/>
      <c r="F522" s="3"/>
      <c r="J522" s="3"/>
    </row>
    <row r="523" ht="15.75" customHeight="1">
      <c r="A523" s="3"/>
      <c r="B523" s="3"/>
      <c r="C523" s="3"/>
      <c r="D523" s="3"/>
      <c r="E523" s="3"/>
      <c r="F523" s="3"/>
      <c r="J523" s="3"/>
    </row>
    <row r="524" ht="15.75" customHeight="1">
      <c r="A524" s="3"/>
      <c r="B524" s="3"/>
      <c r="C524" s="3"/>
      <c r="D524" s="3"/>
      <c r="E524" s="3"/>
      <c r="F524" s="3"/>
      <c r="J524" s="3"/>
    </row>
    <row r="525" ht="15.75" customHeight="1">
      <c r="A525" s="3"/>
      <c r="B525" s="3"/>
      <c r="C525" s="3"/>
      <c r="D525" s="3"/>
      <c r="E525" s="3"/>
      <c r="F525" s="3"/>
      <c r="J525" s="3"/>
    </row>
    <row r="526" ht="15.75" customHeight="1">
      <c r="A526" s="3"/>
      <c r="B526" s="3"/>
      <c r="C526" s="3"/>
      <c r="D526" s="3"/>
      <c r="E526" s="3"/>
      <c r="F526" s="3"/>
      <c r="J526" s="3"/>
    </row>
    <row r="527" ht="15.75" customHeight="1">
      <c r="A527" s="3"/>
      <c r="B527" s="3"/>
      <c r="C527" s="3"/>
      <c r="D527" s="3"/>
      <c r="E527" s="3"/>
      <c r="F527" s="3"/>
      <c r="J527" s="3"/>
    </row>
    <row r="528" ht="15.75" customHeight="1">
      <c r="A528" s="3"/>
      <c r="B528" s="3"/>
      <c r="C528" s="3"/>
      <c r="D528" s="3"/>
      <c r="E528" s="3"/>
      <c r="F528" s="3"/>
      <c r="J528" s="3"/>
    </row>
    <row r="529" ht="15.75" customHeight="1">
      <c r="A529" s="3"/>
      <c r="B529" s="3"/>
      <c r="C529" s="3"/>
      <c r="D529" s="3"/>
      <c r="E529" s="3"/>
      <c r="F529" s="3"/>
      <c r="J529" s="3"/>
    </row>
    <row r="530" ht="15.75" customHeight="1">
      <c r="A530" s="3"/>
      <c r="B530" s="3"/>
      <c r="C530" s="3"/>
      <c r="D530" s="3"/>
      <c r="E530" s="3"/>
      <c r="F530" s="3"/>
      <c r="J530" s="3"/>
    </row>
    <row r="531" ht="15.75" customHeight="1">
      <c r="A531" s="3"/>
      <c r="B531" s="3"/>
      <c r="C531" s="3"/>
      <c r="D531" s="3"/>
      <c r="E531" s="3"/>
      <c r="F531" s="3"/>
      <c r="J531" s="3"/>
    </row>
    <row r="532" ht="15.75" customHeight="1">
      <c r="A532" s="3"/>
      <c r="B532" s="3"/>
      <c r="C532" s="3"/>
      <c r="D532" s="3"/>
      <c r="E532" s="3"/>
      <c r="F532" s="3"/>
      <c r="J532" s="3"/>
    </row>
    <row r="533" ht="15.75" customHeight="1">
      <c r="A533" s="3"/>
      <c r="B533" s="3"/>
      <c r="C533" s="3"/>
      <c r="D533" s="3"/>
      <c r="E533" s="3"/>
      <c r="F533" s="3"/>
      <c r="J533" s="3"/>
    </row>
    <row r="534" ht="15.75" customHeight="1">
      <c r="A534" s="3"/>
      <c r="B534" s="3"/>
      <c r="C534" s="3"/>
      <c r="D534" s="3"/>
      <c r="E534" s="3"/>
      <c r="F534" s="3"/>
      <c r="J534" s="3"/>
    </row>
    <row r="535" ht="15.75" customHeight="1">
      <c r="A535" s="3"/>
      <c r="B535" s="3"/>
      <c r="C535" s="3"/>
      <c r="D535" s="3"/>
      <c r="E535" s="3"/>
      <c r="F535" s="3"/>
      <c r="J535" s="3"/>
    </row>
    <row r="536" ht="15.75" customHeight="1">
      <c r="A536" s="3"/>
      <c r="B536" s="3"/>
      <c r="C536" s="3"/>
      <c r="D536" s="3"/>
      <c r="E536" s="3"/>
      <c r="F536" s="3"/>
      <c r="J536" s="3"/>
    </row>
    <row r="537" ht="15.75" customHeight="1">
      <c r="A537" s="3"/>
      <c r="B537" s="3"/>
      <c r="C537" s="3"/>
      <c r="D537" s="3"/>
      <c r="E537" s="3"/>
      <c r="F537" s="3"/>
      <c r="J537" s="3"/>
    </row>
    <row r="538" ht="15.75" customHeight="1">
      <c r="A538" s="3"/>
      <c r="B538" s="3"/>
      <c r="C538" s="3"/>
      <c r="D538" s="3"/>
      <c r="E538" s="3"/>
      <c r="F538" s="3"/>
      <c r="J538" s="3"/>
    </row>
    <row r="539" ht="15.75" customHeight="1">
      <c r="A539" s="3"/>
      <c r="B539" s="3"/>
      <c r="C539" s="3"/>
      <c r="D539" s="3"/>
      <c r="E539" s="3"/>
      <c r="F539" s="3"/>
      <c r="J539" s="3"/>
    </row>
    <row r="540" ht="15.75" customHeight="1">
      <c r="A540" s="3"/>
      <c r="B540" s="3"/>
      <c r="C540" s="3"/>
      <c r="D540" s="3"/>
      <c r="E540" s="3"/>
      <c r="F540" s="3"/>
      <c r="J540" s="3"/>
    </row>
    <row r="541" ht="15.75" customHeight="1">
      <c r="A541" s="3"/>
      <c r="B541" s="3"/>
      <c r="C541" s="3"/>
      <c r="D541" s="3"/>
      <c r="E541" s="3"/>
      <c r="F541" s="3"/>
      <c r="J541" s="3"/>
    </row>
    <row r="542" ht="15.75" customHeight="1">
      <c r="A542" s="3"/>
      <c r="B542" s="3"/>
      <c r="C542" s="3"/>
      <c r="D542" s="3"/>
      <c r="E542" s="3"/>
      <c r="F542" s="3"/>
      <c r="J542" s="3"/>
    </row>
    <row r="543" ht="15.75" customHeight="1">
      <c r="A543" s="3"/>
      <c r="B543" s="3"/>
      <c r="C543" s="3"/>
      <c r="D543" s="3"/>
      <c r="E543" s="3"/>
      <c r="F543" s="3"/>
      <c r="J543" s="3"/>
    </row>
    <row r="544" ht="15.75" customHeight="1">
      <c r="A544" s="3"/>
      <c r="B544" s="3"/>
      <c r="C544" s="3"/>
      <c r="D544" s="3"/>
      <c r="E544" s="3"/>
      <c r="F544" s="3"/>
      <c r="J544" s="3"/>
    </row>
    <row r="545" ht="15.75" customHeight="1">
      <c r="A545" s="3"/>
      <c r="B545" s="3"/>
      <c r="C545" s="3"/>
      <c r="D545" s="3"/>
      <c r="E545" s="3"/>
      <c r="F545" s="3"/>
      <c r="J545" s="3"/>
    </row>
    <row r="546" ht="15.75" customHeight="1">
      <c r="A546" s="3"/>
      <c r="B546" s="3"/>
      <c r="C546" s="3"/>
      <c r="D546" s="3"/>
      <c r="E546" s="3"/>
      <c r="F546" s="3"/>
      <c r="J546" s="3"/>
    </row>
    <row r="547" ht="15.75" customHeight="1">
      <c r="A547" s="3"/>
      <c r="B547" s="3"/>
      <c r="C547" s="3"/>
      <c r="D547" s="3"/>
      <c r="E547" s="3"/>
      <c r="F547" s="3"/>
      <c r="J547" s="3"/>
    </row>
    <row r="548" ht="15.75" customHeight="1">
      <c r="A548" s="3"/>
      <c r="B548" s="3"/>
      <c r="C548" s="3"/>
      <c r="D548" s="3"/>
      <c r="E548" s="3"/>
      <c r="F548" s="3"/>
      <c r="J548" s="3"/>
    </row>
    <row r="549" ht="15.75" customHeight="1">
      <c r="A549" s="3"/>
      <c r="B549" s="3"/>
      <c r="C549" s="3"/>
      <c r="D549" s="3"/>
      <c r="E549" s="3"/>
      <c r="F549" s="3"/>
      <c r="J549" s="3"/>
    </row>
    <row r="550" ht="15.75" customHeight="1">
      <c r="A550" s="3"/>
      <c r="B550" s="3"/>
      <c r="C550" s="3"/>
      <c r="D550" s="3"/>
      <c r="E550" s="3"/>
      <c r="F550" s="3"/>
      <c r="J550" s="3"/>
    </row>
    <row r="551" ht="15.75" customHeight="1">
      <c r="A551" s="3"/>
      <c r="B551" s="3"/>
      <c r="C551" s="3"/>
      <c r="D551" s="3"/>
      <c r="E551" s="3"/>
      <c r="F551" s="3"/>
      <c r="J551" s="3"/>
    </row>
    <row r="552" ht="15.75" customHeight="1">
      <c r="A552" s="3"/>
      <c r="B552" s="3"/>
      <c r="C552" s="3"/>
      <c r="D552" s="3"/>
      <c r="E552" s="3"/>
      <c r="F552" s="3"/>
      <c r="J552" s="3"/>
    </row>
    <row r="553" ht="15.75" customHeight="1">
      <c r="A553" s="3"/>
      <c r="B553" s="3"/>
      <c r="C553" s="3"/>
      <c r="D553" s="3"/>
      <c r="E553" s="3"/>
      <c r="F553" s="3"/>
      <c r="J553" s="3"/>
    </row>
    <row r="554" ht="15.75" customHeight="1">
      <c r="A554" s="3"/>
      <c r="B554" s="3"/>
      <c r="C554" s="3"/>
      <c r="D554" s="3"/>
      <c r="E554" s="3"/>
      <c r="F554" s="3"/>
      <c r="J554" s="3"/>
    </row>
    <row r="555" ht="15.75" customHeight="1">
      <c r="A555" s="3"/>
      <c r="B555" s="3"/>
      <c r="C555" s="3"/>
      <c r="D555" s="3"/>
      <c r="E555" s="3"/>
      <c r="F555" s="3"/>
      <c r="J555" s="3"/>
    </row>
    <row r="556" ht="15.75" customHeight="1">
      <c r="A556" s="3"/>
      <c r="B556" s="3"/>
      <c r="C556" s="3"/>
      <c r="D556" s="3"/>
      <c r="E556" s="3"/>
      <c r="F556" s="3"/>
      <c r="J556" s="3"/>
    </row>
    <row r="557" ht="15.75" customHeight="1">
      <c r="A557" s="3"/>
      <c r="B557" s="3"/>
      <c r="C557" s="3"/>
      <c r="D557" s="3"/>
      <c r="E557" s="3"/>
      <c r="F557" s="3"/>
      <c r="J557" s="3"/>
    </row>
    <row r="558" ht="15.75" customHeight="1">
      <c r="A558" s="3"/>
      <c r="B558" s="3"/>
      <c r="C558" s="3"/>
      <c r="D558" s="3"/>
      <c r="E558" s="3"/>
      <c r="F558" s="3"/>
      <c r="J558" s="3"/>
    </row>
    <row r="559" ht="15.75" customHeight="1">
      <c r="A559" s="3"/>
      <c r="B559" s="3"/>
      <c r="C559" s="3"/>
      <c r="D559" s="3"/>
      <c r="E559" s="3"/>
      <c r="F559" s="3"/>
      <c r="J559" s="3"/>
    </row>
    <row r="560" ht="15.75" customHeight="1">
      <c r="A560" s="3"/>
      <c r="B560" s="3"/>
      <c r="C560" s="3"/>
      <c r="D560" s="3"/>
      <c r="E560" s="3"/>
      <c r="F560" s="3"/>
      <c r="J560" s="3"/>
    </row>
    <row r="561" ht="15.75" customHeight="1">
      <c r="A561" s="3"/>
      <c r="B561" s="3"/>
      <c r="C561" s="3"/>
      <c r="D561" s="3"/>
      <c r="E561" s="3"/>
      <c r="F561" s="3"/>
      <c r="J561" s="3"/>
    </row>
    <row r="562" ht="15.75" customHeight="1">
      <c r="A562" s="3"/>
      <c r="B562" s="3"/>
      <c r="C562" s="3"/>
      <c r="D562" s="3"/>
      <c r="E562" s="3"/>
      <c r="F562" s="3"/>
      <c r="J562" s="3"/>
    </row>
    <row r="563" ht="15.75" customHeight="1">
      <c r="A563" s="3"/>
      <c r="B563" s="3"/>
      <c r="C563" s="3"/>
      <c r="D563" s="3"/>
      <c r="E563" s="3"/>
      <c r="F563" s="3"/>
      <c r="J563" s="3"/>
    </row>
    <row r="564" ht="15.75" customHeight="1">
      <c r="A564" s="3"/>
      <c r="B564" s="3"/>
      <c r="C564" s="3"/>
      <c r="D564" s="3"/>
      <c r="E564" s="3"/>
      <c r="F564" s="3"/>
      <c r="J564" s="3"/>
    </row>
    <row r="565" ht="15.75" customHeight="1">
      <c r="A565" s="3"/>
      <c r="B565" s="3"/>
      <c r="C565" s="3"/>
      <c r="D565" s="3"/>
      <c r="E565" s="3"/>
      <c r="F565" s="3"/>
      <c r="J565" s="3"/>
    </row>
    <row r="566" ht="15.75" customHeight="1">
      <c r="A566" s="3"/>
      <c r="B566" s="3"/>
      <c r="C566" s="3"/>
      <c r="D566" s="3"/>
      <c r="E566" s="3"/>
      <c r="F566" s="3"/>
      <c r="J566" s="3"/>
    </row>
    <row r="567" ht="15.75" customHeight="1">
      <c r="A567" s="3"/>
      <c r="B567" s="3"/>
      <c r="C567" s="3"/>
      <c r="D567" s="3"/>
      <c r="E567" s="3"/>
      <c r="F567" s="3"/>
      <c r="J567" s="3"/>
    </row>
    <row r="568" ht="15.75" customHeight="1">
      <c r="A568" s="3"/>
      <c r="B568" s="3"/>
      <c r="C568" s="3"/>
      <c r="D568" s="3"/>
      <c r="E568" s="3"/>
      <c r="F568" s="3"/>
      <c r="J568" s="3"/>
    </row>
    <row r="569" ht="15.75" customHeight="1">
      <c r="A569" s="3"/>
      <c r="B569" s="3"/>
      <c r="C569" s="3"/>
      <c r="D569" s="3"/>
      <c r="E569" s="3"/>
      <c r="F569" s="3"/>
      <c r="J569" s="3"/>
    </row>
    <row r="570" ht="15.75" customHeight="1">
      <c r="A570" s="3"/>
      <c r="B570" s="3"/>
      <c r="C570" s="3"/>
      <c r="D570" s="3"/>
      <c r="E570" s="3"/>
      <c r="F570" s="3"/>
      <c r="J570" s="3"/>
    </row>
    <row r="571" ht="15.75" customHeight="1">
      <c r="A571" s="3"/>
      <c r="B571" s="3"/>
      <c r="C571" s="3"/>
      <c r="D571" s="3"/>
      <c r="E571" s="3"/>
      <c r="F571" s="3"/>
      <c r="J571" s="3"/>
    </row>
    <row r="572" ht="15.75" customHeight="1">
      <c r="A572" s="3"/>
      <c r="B572" s="3"/>
      <c r="C572" s="3"/>
      <c r="D572" s="3"/>
      <c r="E572" s="3"/>
      <c r="F572" s="3"/>
      <c r="J572" s="3"/>
    </row>
    <row r="573" ht="15.75" customHeight="1">
      <c r="A573" s="3"/>
      <c r="B573" s="3"/>
      <c r="C573" s="3"/>
      <c r="D573" s="3"/>
      <c r="E573" s="3"/>
      <c r="F573" s="3"/>
      <c r="J573" s="3"/>
    </row>
    <row r="574" ht="15.75" customHeight="1">
      <c r="A574" s="3"/>
      <c r="B574" s="3"/>
      <c r="C574" s="3"/>
      <c r="D574" s="3"/>
      <c r="E574" s="3"/>
      <c r="F574" s="3"/>
      <c r="J574" s="3"/>
    </row>
    <row r="575" ht="15.75" customHeight="1">
      <c r="A575" s="3"/>
      <c r="B575" s="3"/>
      <c r="C575" s="3"/>
      <c r="D575" s="3"/>
      <c r="E575" s="3"/>
      <c r="F575" s="3"/>
      <c r="J575" s="3"/>
    </row>
    <row r="576" ht="15.75" customHeight="1">
      <c r="A576" s="3"/>
      <c r="B576" s="3"/>
      <c r="C576" s="3"/>
      <c r="D576" s="3"/>
      <c r="E576" s="3"/>
      <c r="F576" s="3"/>
      <c r="J576" s="3"/>
    </row>
    <row r="577" ht="15.75" customHeight="1">
      <c r="A577" s="3"/>
      <c r="B577" s="3"/>
      <c r="C577" s="3"/>
      <c r="D577" s="3"/>
      <c r="E577" s="3"/>
      <c r="F577" s="3"/>
      <c r="J577" s="3"/>
    </row>
    <row r="578" ht="15.75" customHeight="1">
      <c r="A578" s="3"/>
      <c r="B578" s="3"/>
      <c r="C578" s="3"/>
      <c r="D578" s="3"/>
      <c r="E578" s="3"/>
      <c r="F578" s="3"/>
      <c r="J578" s="3"/>
    </row>
    <row r="579" ht="15.75" customHeight="1">
      <c r="A579" s="3"/>
      <c r="B579" s="3"/>
      <c r="C579" s="3"/>
      <c r="D579" s="3"/>
      <c r="E579" s="3"/>
      <c r="F579" s="3"/>
      <c r="J579" s="3"/>
    </row>
    <row r="580" ht="15.75" customHeight="1">
      <c r="A580" s="3"/>
      <c r="B580" s="3"/>
      <c r="C580" s="3"/>
      <c r="D580" s="3"/>
      <c r="E580" s="3"/>
      <c r="F580" s="3"/>
      <c r="J580" s="3"/>
    </row>
    <row r="581" ht="15.75" customHeight="1">
      <c r="A581" s="3"/>
      <c r="B581" s="3"/>
      <c r="C581" s="3"/>
      <c r="D581" s="3"/>
      <c r="E581" s="3"/>
      <c r="F581" s="3"/>
      <c r="J581" s="3"/>
    </row>
    <row r="582" ht="15.75" customHeight="1">
      <c r="A582" s="3"/>
      <c r="B582" s="3"/>
      <c r="C582" s="3"/>
      <c r="D582" s="3"/>
      <c r="E582" s="3"/>
      <c r="F582" s="3"/>
      <c r="J582" s="3"/>
    </row>
    <row r="583" ht="15.75" customHeight="1">
      <c r="A583" s="3"/>
      <c r="B583" s="3"/>
      <c r="C583" s="3"/>
      <c r="D583" s="3"/>
      <c r="E583" s="3"/>
      <c r="F583" s="3"/>
      <c r="J583" s="3"/>
    </row>
    <row r="584" ht="15.75" customHeight="1">
      <c r="A584" s="3"/>
      <c r="B584" s="3"/>
      <c r="C584" s="3"/>
      <c r="D584" s="3"/>
      <c r="E584" s="3"/>
      <c r="F584" s="3"/>
      <c r="J584" s="3"/>
    </row>
    <row r="585" ht="15.75" customHeight="1">
      <c r="A585" s="3"/>
      <c r="B585" s="3"/>
      <c r="C585" s="3"/>
      <c r="D585" s="3"/>
      <c r="E585" s="3"/>
      <c r="F585" s="3"/>
      <c r="J585" s="3"/>
    </row>
    <row r="586" ht="15.75" customHeight="1">
      <c r="A586" s="3"/>
      <c r="B586" s="3"/>
      <c r="C586" s="3"/>
      <c r="D586" s="3"/>
      <c r="E586" s="3"/>
      <c r="F586" s="3"/>
      <c r="J586" s="3"/>
    </row>
    <row r="587" ht="15.75" customHeight="1">
      <c r="A587" s="3"/>
      <c r="B587" s="3"/>
      <c r="C587" s="3"/>
      <c r="D587" s="3"/>
      <c r="E587" s="3"/>
      <c r="F587" s="3"/>
      <c r="J587" s="3"/>
    </row>
    <row r="588" ht="15.75" customHeight="1">
      <c r="A588" s="3"/>
      <c r="B588" s="3"/>
      <c r="C588" s="3"/>
      <c r="D588" s="3"/>
      <c r="E588" s="3"/>
      <c r="F588" s="3"/>
      <c r="J588" s="3"/>
    </row>
    <row r="589" ht="15.75" customHeight="1">
      <c r="A589" s="3"/>
      <c r="B589" s="3"/>
      <c r="C589" s="3"/>
      <c r="D589" s="3"/>
      <c r="E589" s="3"/>
      <c r="F589" s="3"/>
      <c r="J589" s="3"/>
    </row>
    <row r="590" ht="15.75" customHeight="1">
      <c r="A590" s="3"/>
      <c r="B590" s="3"/>
      <c r="C590" s="3"/>
      <c r="D590" s="3"/>
      <c r="E590" s="3"/>
      <c r="F590" s="3"/>
      <c r="J590" s="3"/>
    </row>
    <row r="591" ht="15.75" customHeight="1">
      <c r="A591" s="3"/>
      <c r="B591" s="3"/>
      <c r="C591" s="3"/>
      <c r="D591" s="3"/>
      <c r="E591" s="3"/>
      <c r="F591" s="3"/>
      <c r="J591" s="3"/>
    </row>
    <row r="592" ht="15.75" customHeight="1">
      <c r="A592" s="3"/>
      <c r="B592" s="3"/>
      <c r="C592" s="3"/>
      <c r="D592" s="3"/>
      <c r="E592" s="3"/>
      <c r="F592" s="3"/>
      <c r="J592" s="3"/>
    </row>
    <row r="593" ht="15.75" customHeight="1">
      <c r="A593" s="3"/>
      <c r="B593" s="3"/>
      <c r="C593" s="3"/>
      <c r="D593" s="3"/>
      <c r="E593" s="3"/>
      <c r="F593" s="3"/>
      <c r="J593" s="3"/>
    </row>
    <row r="594" ht="15.75" customHeight="1">
      <c r="A594" s="3"/>
      <c r="B594" s="3"/>
      <c r="C594" s="3"/>
      <c r="D594" s="3"/>
      <c r="E594" s="3"/>
      <c r="F594" s="3"/>
      <c r="J594" s="3"/>
    </row>
    <row r="595" ht="15.75" customHeight="1">
      <c r="A595" s="3"/>
      <c r="B595" s="3"/>
      <c r="C595" s="3"/>
      <c r="D595" s="3"/>
      <c r="E595" s="3"/>
      <c r="F595" s="3"/>
      <c r="J595" s="3"/>
    </row>
    <row r="596" ht="15.75" customHeight="1">
      <c r="A596" s="3"/>
      <c r="B596" s="3"/>
      <c r="C596" s="3"/>
      <c r="D596" s="3"/>
      <c r="E596" s="3"/>
      <c r="F596" s="3"/>
      <c r="J596" s="3"/>
    </row>
    <row r="597" ht="15.75" customHeight="1">
      <c r="A597" s="3"/>
      <c r="B597" s="3"/>
      <c r="C597" s="3"/>
      <c r="D597" s="3"/>
      <c r="E597" s="3"/>
      <c r="F597" s="3"/>
      <c r="J597" s="3"/>
    </row>
    <row r="598" ht="15.75" customHeight="1">
      <c r="A598" s="3"/>
      <c r="B598" s="3"/>
      <c r="C598" s="3"/>
      <c r="D598" s="3"/>
      <c r="E598" s="3"/>
      <c r="F598" s="3"/>
      <c r="J598" s="3"/>
    </row>
    <row r="599" ht="15.75" customHeight="1">
      <c r="A599" s="3"/>
      <c r="B599" s="3"/>
      <c r="C599" s="3"/>
      <c r="D599" s="3"/>
      <c r="E599" s="3"/>
      <c r="F599" s="3"/>
      <c r="J599" s="3"/>
    </row>
    <row r="600" ht="15.75" customHeight="1">
      <c r="A600" s="3"/>
      <c r="B600" s="3"/>
      <c r="C600" s="3"/>
      <c r="D600" s="3"/>
      <c r="E600" s="3"/>
      <c r="F600" s="3"/>
      <c r="J600" s="3"/>
    </row>
    <row r="601" ht="15.75" customHeight="1">
      <c r="A601" s="3"/>
      <c r="B601" s="3"/>
      <c r="C601" s="3"/>
      <c r="D601" s="3"/>
      <c r="E601" s="3"/>
      <c r="F601" s="3"/>
      <c r="J601" s="3"/>
    </row>
    <row r="602" ht="15.75" customHeight="1">
      <c r="A602" s="3"/>
      <c r="B602" s="3"/>
      <c r="C602" s="3"/>
      <c r="D602" s="3"/>
      <c r="E602" s="3"/>
      <c r="F602" s="3"/>
      <c r="J602" s="3"/>
    </row>
    <row r="603" ht="15.75" customHeight="1">
      <c r="A603" s="3"/>
      <c r="B603" s="3"/>
      <c r="C603" s="3"/>
      <c r="D603" s="3"/>
      <c r="E603" s="3"/>
      <c r="F603" s="3"/>
      <c r="J603" s="3"/>
    </row>
    <row r="604" ht="15.75" customHeight="1">
      <c r="A604" s="3"/>
      <c r="B604" s="3"/>
      <c r="C604" s="3"/>
      <c r="D604" s="3"/>
      <c r="E604" s="3"/>
      <c r="F604" s="3"/>
      <c r="J604" s="3"/>
    </row>
    <row r="605" ht="15.75" customHeight="1">
      <c r="A605" s="3"/>
      <c r="B605" s="3"/>
      <c r="C605" s="3"/>
      <c r="D605" s="3"/>
      <c r="E605" s="3"/>
      <c r="F605" s="3"/>
      <c r="J605" s="3"/>
    </row>
    <row r="606" ht="15.75" customHeight="1">
      <c r="A606" s="3"/>
      <c r="B606" s="3"/>
      <c r="C606" s="3"/>
      <c r="D606" s="3"/>
      <c r="E606" s="3"/>
      <c r="F606" s="3"/>
      <c r="J606" s="3"/>
    </row>
    <row r="607" ht="15.75" customHeight="1">
      <c r="A607" s="3"/>
      <c r="B607" s="3"/>
      <c r="C607" s="3"/>
      <c r="D607" s="3"/>
      <c r="E607" s="3"/>
      <c r="F607" s="3"/>
      <c r="J607" s="3"/>
    </row>
    <row r="608" ht="15.75" customHeight="1">
      <c r="A608" s="3"/>
      <c r="B608" s="3"/>
      <c r="C608" s="3"/>
      <c r="D608" s="3"/>
      <c r="E608" s="3"/>
      <c r="F608" s="3"/>
      <c r="J608" s="3"/>
    </row>
    <row r="609" ht="15.75" customHeight="1">
      <c r="A609" s="3"/>
      <c r="B609" s="3"/>
      <c r="C609" s="3"/>
      <c r="D609" s="3"/>
      <c r="E609" s="3"/>
      <c r="F609" s="3"/>
      <c r="J609" s="3"/>
    </row>
    <row r="610" ht="15.75" customHeight="1">
      <c r="A610" s="3"/>
      <c r="B610" s="3"/>
      <c r="C610" s="3"/>
      <c r="D610" s="3"/>
      <c r="E610" s="3"/>
      <c r="F610" s="3"/>
      <c r="J610" s="3"/>
    </row>
    <row r="611" ht="15.75" customHeight="1">
      <c r="A611" s="3"/>
      <c r="B611" s="3"/>
      <c r="C611" s="3"/>
      <c r="D611" s="3"/>
      <c r="E611" s="3"/>
      <c r="F611" s="3"/>
      <c r="J611" s="3"/>
    </row>
    <row r="612" ht="15.75" customHeight="1">
      <c r="A612" s="3"/>
      <c r="B612" s="3"/>
      <c r="C612" s="3"/>
      <c r="D612" s="3"/>
      <c r="E612" s="3"/>
      <c r="F612" s="3"/>
      <c r="J612" s="3"/>
    </row>
    <row r="613" ht="15.75" customHeight="1">
      <c r="A613" s="3"/>
      <c r="B613" s="3"/>
      <c r="C613" s="3"/>
      <c r="D613" s="3"/>
      <c r="E613" s="3"/>
      <c r="F613" s="3"/>
      <c r="J613" s="3"/>
    </row>
    <row r="614" ht="15.75" customHeight="1">
      <c r="A614" s="3"/>
      <c r="B614" s="3"/>
      <c r="C614" s="3"/>
      <c r="D614" s="3"/>
      <c r="E614" s="3"/>
      <c r="F614" s="3"/>
      <c r="J614" s="3"/>
    </row>
    <row r="615" ht="15.75" customHeight="1">
      <c r="A615" s="3"/>
      <c r="B615" s="3"/>
      <c r="C615" s="3"/>
      <c r="D615" s="3"/>
      <c r="E615" s="3"/>
      <c r="F615" s="3"/>
      <c r="J615" s="3"/>
    </row>
    <row r="616" ht="15.75" customHeight="1">
      <c r="A616" s="3"/>
      <c r="B616" s="3"/>
      <c r="C616" s="3"/>
      <c r="D616" s="3"/>
      <c r="E616" s="3"/>
      <c r="F616" s="3"/>
      <c r="J616" s="3"/>
    </row>
    <row r="617" ht="15.75" customHeight="1">
      <c r="A617" s="3"/>
      <c r="B617" s="3"/>
      <c r="C617" s="3"/>
      <c r="D617" s="3"/>
      <c r="E617" s="3"/>
      <c r="F617" s="3"/>
      <c r="J617" s="3"/>
    </row>
    <row r="618" ht="15.75" customHeight="1">
      <c r="A618" s="3"/>
      <c r="B618" s="3"/>
      <c r="C618" s="3"/>
      <c r="D618" s="3"/>
      <c r="E618" s="3"/>
      <c r="F618" s="3"/>
      <c r="J618" s="3"/>
    </row>
    <row r="619" ht="15.75" customHeight="1">
      <c r="A619" s="3"/>
      <c r="B619" s="3"/>
      <c r="C619" s="3"/>
      <c r="D619" s="3"/>
      <c r="E619" s="3"/>
      <c r="F619" s="3"/>
      <c r="J619" s="3"/>
    </row>
    <row r="620" ht="15.75" customHeight="1">
      <c r="A620" s="3"/>
      <c r="B620" s="3"/>
      <c r="C620" s="3"/>
      <c r="D620" s="3"/>
      <c r="E620" s="3"/>
      <c r="F620" s="3"/>
      <c r="J620" s="3"/>
    </row>
    <row r="621" ht="15.75" customHeight="1">
      <c r="A621" s="3"/>
      <c r="B621" s="3"/>
      <c r="C621" s="3"/>
      <c r="D621" s="3"/>
      <c r="E621" s="3"/>
      <c r="F621" s="3"/>
      <c r="J621" s="3"/>
    </row>
    <row r="622" ht="15.75" customHeight="1">
      <c r="A622" s="3"/>
      <c r="B622" s="3"/>
      <c r="C622" s="3"/>
      <c r="D622" s="3"/>
      <c r="E622" s="3"/>
      <c r="F622" s="3"/>
      <c r="J622" s="3"/>
    </row>
    <row r="623" ht="15.75" customHeight="1">
      <c r="A623" s="3"/>
      <c r="B623" s="3"/>
      <c r="C623" s="3"/>
      <c r="D623" s="3"/>
      <c r="E623" s="3"/>
      <c r="F623" s="3"/>
      <c r="J623" s="3"/>
    </row>
    <row r="624" ht="15.75" customHeight="1">
      <c r="A624" s="3"/>
      <c r="B624" s="3"/>
      <c r="C624" s="3"/>
      <c r="D624" s="3"/>
      <c r="E624" s="3"/>
      <c r="F624" s="3"/>
      <c r="J624" s="3"/>
    </row>
    <row r="625" ht="15.75" customHeight="1">
      <c r="A625" s="3"/>
      <c r="B625" s="3"/>
      <c r="C625" s="3"/>
      <c r="D625" s="3"/>
      <c r="E625" s="3"/>
      <c r="F625" s="3"/>
      <c r="J625" s="3"/>
    </row>
    <row r="626" ht="15.75" customHeight="1">
      <c r="A626" s="3"/>
      <c r="B626" s="3"/>
      <c r="C626" s="3"/>
      <c r="D626" s="3"/>
      <c r="E626" s="3"/>
      <c r="F626" s="3"/>
      <c r="J626" s="3"/>
    </row>
    <row r="627" ht="15.75" customHeight="1">
      <c r="A627" s="3"/>
      <c r="B627" s="3"/>
      <c r="C627" s="3"/>
      <c r="D627" s="3"/>
      <c r="E627" s="3"/>
      <c r="F627" s="3"/>
      <c r="J627" s="3"/>
    </row>
    <row r="628" ht="15.75" customHeight="1">
      <c r="A628" s="3"/>
      <c r="B628" s="3"/>
      <c r="C628" s="3"/>
      <c r="D628" s="3"/>
      <c r="E628" s="3"/>
      <c r="F628" s="3"/>
      <c r="J628" s="3"/>
    </row>
    <row r="629" ht="15.75" customHeight="1">
      <c r="A629" s="3"/>
      <c r="B629" s="3"/>
      <c r="C629" s="3"/>
      <c r="D629" s="3"/>
      <c r="E629" s="3"/>
      <c r="F629" s="3"/>
      <c r="J629" s="3"/>
    </row>
    <row r="630" ht="15.75" customHeight="1">
      <c r="A630" s="3"/>
      <c r="B630" s="3"/>
      <c r="C630" s="3"/>
      <c r="D630" s="3"/>
      <c r="E630" s="3"/>
      <c r="F630" s="3"/>
      <c r="J630" s="3"/>
    </row>
    <row r="631" ht="15.75" customHeight="1">
      <c r="A631" s="3"/>
      <c r="B631" s="3"/>
      <c r="C631" s="3"/>
      <c r="D631" s="3"/>
      <c r="E631" s="3"/>
      <c r="F631" s="3"/>
      <c r="J631" s="3"/>
    </row>
    <row r="632" ht="15.75" customHeight="1">
      <c r="A632" s="3"/>
      <c r="B632" s="3"/>
      <c r="C632" s="3"/>
      <c r="D632" s="3"/>
      <c r="E632" s="3"/>
      <c r="F632" s="3"/>
      <c r="J632" s="3"/>
    </row>
    <row r="633" ht="15.75" customHeight="1">
      <c r="A633" s="3"/>
      <c r="B633" s="3"/>
      <c r="C633" s="3"/>
      <c r="D633" s="3"/>
      <c r="E633" s="3"/>
      <c r="F633" s="3"/>
      <c r="J633" s="3"/>
    </row>
    <row r="634" ht="15.75" customHeight="1">
      <c r="A634" s="3"/>
      <c r="B634" s="3"/>
      <c r="C634" s="3"/>
      <c r="D634" s="3"/>
      <c r="E634" s="3"/>
      <c r="F634" s="3"/>
      <c r="J634" s="3"/>
    </row>
    <row r="635" ht="15.75" customHeight="1">
      <c r="A635" s="3"/>
      <c r="B635" s="3"/>
      <c r="C635" s="3"/>
      <c r="D635" s="3"/>
      <c r="E635" s="3"/>
      <c r="F635" s="3"/>
      <c r="J635" s="3"/>
    </row>
    <row r="636" ht="15.75" customHeight="1">
      <c r="A636" s="3"/>
      <c r="B636" s="3"/>
      <c r="C636" s="3"/>
      <c r="D636" s="3"/>
      <c r="E636" s="3"/>
      <c r="F636" s="3"/>
      <c r="J636" s="3"/>
    </row>
    <row r="637" ht="15.75" customHeight="1">
      <c r="A637" s="3"/>
      <c r="B637" s="3"/>
      <c r="C637" s="3"/>
      <c r="D637" s="3"/>
      <c r="E637" s="3"/>
      <c r="F637" s="3"/>
      <c r="J637" s="3"/>
    </row>
    <row r="638" ht="15.75" customHeight="1">
      <c r="A638" s="3"/>
      <c r="B638" s="3"/>
      <c r="C638" s="3"/>
      <c r="D638" s="3"/>
      <c r="E638" s="3"/>
      <c r="F638" s="3"/>
      <c r="J638" s="3"/>
    </row>
    <row r="639" ht="15.75" customHeight="1">
      <c r="A639" s="3"/>
      <c r="B639" s="3"/>
      <c r="C639" s="3"/>
      <c r="D639" s="3"/>
      <c r="E639" s="3"/>
      <c r="F639" s="3"/>
      <c r="J639" s="3"/>
    </row>
    <row r="640" ht="15.75" customHeight="1">
      <c r="A640" s="3"/>
      <c r="B640" s="3"/>
      <c r="C640" s="3"/>
      <c r="D640" s="3"/>
      <c r="E640" s="3"/>
      <c r="F640" s="3"/>
      <c r="J640" s="3"/>
    </row>
    <row r="641" ht="15.75" customHeight="1">
      <c r="A641" s="3"/>
      <c r="B641" s="3"/>
      <c r="C641" s="3"/>
      <c r="D641" s="3"/>
      <c r="E641" s="3"/>
      <c r="F641" s="3"/>
      <c r="J641" s="3"/>
    </row>
    <row r="642" ht="15.75" customHeight="1">
      <c r="A642" s="3"/>
      <c r="B642" s="3"/>
      <c r="C642" s="3"/>
      <c r="D642" s="3"/>
      <c r="E642" s="3"/>
      <c r="F642" s="3"/>
      <c r="J642" s="3"/>
    </row>
    <row r="643" ht="15.75" customHeight="1">
      <c r="A643" s="3"/>
      <c r="B643" s="3"/>
      <c r="C643" s="3"/>
      <c r="D643" s="3"/>
      <c r="E643" s="3"/>
      <c r="F643" s="3"/>
      <c r="J643" s="3"/>
    </row>
    <row r="644" ht="15.75" customHeight="1">
      <c r="A644" s="3"/>
      <c r="B644" s="3"/>
      <c r="C644" s="3"/>
      <c r="D644" s="3"/>
      <c r="E644" s="3"/>
      <c r="F644" s="3"/>
      <c r="J644" s="3"/>
    </row>
    <row r="645" ht="15.75" customHeight="1">
      <c r="A645" s="3"/>
      <c r="B645" s="3"/>
      <c r="C645" s="3"/>
      <c r="D645" s="3"/>
      <c r="E645" s="3"/>
      <c r="F645" s="3"/>
      <c r="J645" s="3"/>
    </row>
    <row r="646" ht="15.75" customHeight="1">
      <c r="A646" s="3"/>
      <c r="B646" s="3"/>
      <c r="C646" s="3"/>
      <c r="D646" s="3"/>
      <c r="E646" s="3"/>
      <c r="F646" s="3"/>
      <c r="J646" s="3"/>
    </row>
    <row r="647" ht="15.75" customHeight="1">
      <c r="A647" s="3"/>
      <c r="B647" s="3"/>
      <c r="C647" s="3"/>
      <c r="D647" s="3"/>
      <c r="E647" s="3"/>
      <c r="F647" s="3"/>
      <c r="J647" s="3"/>
    </row>
    <row r="648" ht="15.75" customHeight="1">
      <c r="A648" s="3"/>
      <c r="B648" s="3"/>
      <c r="C648" s="3"/>
      <c r="D648" s="3"/>
      <c r="E648" s="3"/>
      <c r="F648" s="3"/>
      <c r="J648" s="3"/>
    </row>
    <row r="649" ht="15.75" customHeight="1">
      <c r="A649" s="3"/>
      <c r="B649" s="3"/>
      <c r="C649" s="3"/>
      <c r="D649" s="3"/>
      <c r="E649" s="3"/>
      <c r="F649" s="3"/>
      <c r="J649" s="3"/>
    </row>
    <row r="650" ht="15.75" customHeight="1">
      <c r="A650" s="3"/>
      <c r="B650" s="3"/>
      <c r="C650" s="3"/>
      <c r="D650" s="3"/>
      <c r="E650" s="3"/>
      <c r="F650" s="3"/>
      <c r="J650" s="3"/>
    </row>
    <row r="651" ht="15.75" customHeight="1">
      <c r="A651" s="3"/>
      <c r="B651" s="3"/>
      <c r="C651" s="3"/>
      <c r="D651" s="3"/>
      <c r="E651" s="3"/>
      <c r="F651" s="3"/>
      <c r="J651" s="3"/>
    </row>
    <row r="652" ht="15.75" customHeight="1">
      <c r="A652" s="3"/>
      <c r="B652" s="3"/>
      <c r="C652" s="3"/>
      <c r="D652" s="3"/>
      <c r="E652" s="3"/>
      <c r="F652" s="3"/>
      <c r="J652" s="3"/>
    </row>
    <row r="653" ht="15.75" customHeight="1">
      <c r="A653" s="3"/>
      <c r="B653" s="3"/>
      <c r="C653" s="3"/>
      <c r="D653" s="3"/>
      <c r="E653" s="3"/>
      <c r="F653" s="3"/>
      <c r="J653" s="3"/>
    </row>
    <row r="654" ht="15.75" customHeight="1">
      <c r="A654" s="3"/>
      <c r="B654" s="3"/>
      <c r="C654" s="3"/>
      <c r="D654" s="3"/>
      <c r="E654" s="3"/>
      <c r="F654" s="3"/>
      <c r="J654" s="3"/>
    </row>
    <row r="655" ht="15.75" customHeight="1">
      <c r="A655" s="3"/>
      <c r="B655" s="3"/>
      <c r="C655" s="3"/>
      <c r="D655" s="3"/>
      <c r="E655" s="3"/>
      <c r="F655" s="3"/>
      <c r="J655" s="3"/>
    </row>
    <row r="656" ht="15.75" customHeight="1">
      <c r="A656" s="3"/>
      <c r="B656" s="3"/>
      <c r="C656" s="3"/>
      <c r="D656" s="3"/>
      <c r="E656" s="3"/>
      <c r="F656" s="3"/>
      <c r="J656" s="3"/>
    </row>
    <row r="657" ht="15.75" customHeight="1">
      <c r="A657" s="3"/>
      <c r="B657" s="3"/>
      <c r="C657" s="3"/>
      <c r="D657" s="3"/>
      <c r="E657" s="3"/>
      <c r="F657" s="3"/>
      <c r="J657" s="3"/>
    </row>
    <row r="658" ht="15.75" customHeight="1">
      <c r="A658" s="3"/>
      <c r="B658" s="3"/>
      <c r="C658" s="3"/>
      <c r="D658" s="3"/>
      <c r="E658" s="3"/>
      <c r="F658" s="3"/>
      <c r="J658" s="3"/>
    </row>
    <row r="659" ht="15.75" customHeight="1">
      <c r="A659" s="3"/>
      <c r="B659" s="3"/>
      <c r="C659" s="3"/>
      <c r="D659" s="3"/>
      <c r="E659" s="3"/>
      <c r="F659" s="3"/>
      <c r="J659" s="3"/>
    </row>
    <row r="660" ht="15.75" customHeight="1">
      <c r="A660" s="3"/>
      <c r="B660" s="3"/>
      <c r="C660" s="3"/>
      <c r="D660" s="3"/>
      <c r="E660" s="3"/>
      <c r="F660" s="3"/>
      <c r="J660" s="3"/>
    </row>
    <row r="661" ht="15.75" customHeight="1">
      <c r="A661" s="3"/>
      <c r="B661" s="3"/>
      <c r="C661" s="3"/>
      <c r="D661" s="3"/>
      <c r="E661" s="3"/>
      <c r="F661" s="3"/>
      <c r="J661" s="3"/>
    </row>
    <row r="662" ht="15.75" customHeight="1">
      <c r="A662" s="3"/>
      <c r="B662" s="3"/>
      <c r="C662" s="3"/>
      <c r="D662" s="3"/>
      <c r="E662" s="3"/>
      <c r="F662" s="3"/>
      <c r="J662" s="3"/>
    </row>
    <row r="663" ht="15.75" customHeight="1">
      <c r="A663" s="3"/>
      <c r="B663" s="3"/>
      <c r="C663" s="3"/>
      <c r="D663" s="3"/>
      <c r="E663" s="3"/>
      <c r="F663" s="3"/>
      <c r="J663" s="3"/>
    </row>
    <row r="664" ht="15.75" customHeight="1">
      <c r="A664" s="3"/>
      <c r="B664" s="3"/>
      <c r="C664" s="3"/>
      <c r="D664" s="3"/>
      <c r="E664" s="3"/>
      <c r="F664" s="3"/>
      <c r="J664" s="3"/>
    </row>
    <row r="665" ht="15.75" customHeight="1">
      <c r="A665" s="3"/>
      <c r="B665" s="3"/>
      <c r="C665" s="3"/>
      <c r="D665" s="3"/>
      <c r="E665" s="3"/>
      <c r="F665" s="3"/>
      <c r="J665" s="3"/>
    </row>
    <row r="666" ht="15.75" customHeight="1">
      <c r="A666" s="3"/>
      <c r="B666" s="3"/>
      <c r="C666" s="3"/>
      <c r="D666" s="3"/>
      <c r="E666" s="3"/>
      <c r="F666" s="3"/>
      <c r="J666" s="3"/>
    </row>
    <row r="667" ht="15.75" customHeight="1">
      <c r="A667" s="3"/>
      <c r="B667" s="3"/>
      <c r="C667" s="3"/>
      <c r="D667" s="3"/>
      <c r="E667" s="3"/>
      <c r="F667" s="3"/>
      <c r="J667" s="3"/>
    </row>
    <row r="668" ht="15.75" customHeight="1">
      <c r="A668" s="3"/>
      <c r="B668" s="3"/>
      <c r="C668" s="3"/>
      <c r="D668" s="3"/>
      <c r="E668" s="3"/>
      <c r="F668" s="3"/>
      <c r="J668" s="3"/>
    </row>
    <row r="669" ht="15.75" customHeight="1">
      <c r="A669" s="3"/>
      <c r="B669" s="3"/>
      <c r="C669" s="3"/>
      <c r="D669" s="3"/>
      <c r="E669" s="3"/>
      <c r="F669" s="3"/>
      <c r="J669" s="3"/>
    </row>
    <row r="670" ht="15.75" customHeight="1">
      <c r="A670" s="3"/>
      <c r="B670" s="3"/>
      <c r="C670" s="3"/>
      <c r="D670" s="3"/>
      <c r="E670" s="3"/>
      <c r="F670" s="3"/>
      <c r="J670" s="3"/>
    </row>
    <row r="671" ht="15.75" customHeight="1">
      <c r="A671" s="3"/>
      <c r="B671" s="3"/>
      <c r="C671" s="3"/>
      <c r="D671" s="3"/>
      <c r="E671" s="3"/>
      <c r="F671" s="3"/>
      <c r="J671" s="3"/>
    </row>
    <row r="672" ht="15.75" customHeight="1">
      <c r="A672" s="3"/>
      <c r="B672" s="3"/>
      <c r="C672" s="3"/>
      <c r="D672" s="3"/>
      <c r="E672" s="3"/>
      <c r="F672" s="3"/>
      <c r="J672" s="3"/>
    </row>
    <row r="673" ht="15.75" customHeight="1">
      <c r="A673" s="3"/>
      <c r="B673" s="3"/>
      <c r="C673" s="3"/>
      <c r="D673" s="3"/>
      <c r="E673" s="3"/>
      <c r="F673" s="3"/>
      <c r="J673" s="3"/>
    </row>
    <row r="674" ht="15.75" customHeight="1">
      <c r="A674" s="3"/>
      <c r="B674" s="3"/>
      <c r="C674" s="3"/>
      <c r="D674" s="3"/>
      <c r="E674" s="3"/>
      <c r="F674" s="3"/>
      <c r="J674" s="3"/>
    </row>
    <row r="675" ht="15.75" customHeight="1">
      <c r="A675" s="3"/>
      <c r="B675" s="3"/>
      <c r="C675" s="3"/>
      <c r="D675" s="3"/>
      <c r="E675" s="3"/>
      <c r="F675" s="3"/>
      <c r="J675" s="3"/>
    </row>
    <row r="676" ht="15.75" customHeight="1">
      <c r="A676" s="3"/>
      <c r="B676" s="3"/>
      <c r="C676" s="3"/>
      <c r="D676" s="3"/>
      <c r="E676" s="3"/>
      <c r="F676" s="3"/>
      <c r="J676" s="3"/>
    </row>
    <row r="677" ht="15.75" customHeight="1">
      <c r="A677" s="3"/>
      <c r="B677" s="3"/>
      <c r="C677" s="3"/>
      <c r="D677" s="3"/>
      <c r="E677" s="3"/>
      <c r="F677" s="3"/>
      <c r="J677" s="3"/>
    </row>
    <row r="678" ht="15.75" customHeight="1">
      <c r="A678" s="3"/>
      <c r="B678" s="3"/>
      <c r="C678" s="3"/>
      <c r="D678" s="3"/>
      <c r="E678" s="3"/>
      <c r="F678" s="3"/>
      <c r="J678" s="3"/>
    </row>
    <row r="679" ht="15.75" customHeight="1">
      <c r="A679" s="3"/>
      <c r="B679" s="3"/>
      <c r="C679" s="3"/>
      <c r="D679" s="3"/>
      <c r="E679" s="3"/>
      <c r="F679" s="3"/>
      <c r="J679" s="3"/>
    </row>
    <row r="680" ht="15.75" customHeight="1">
      <c r="A680" s="3"/>
      <c r="B680" s="3"/>
      <c r="C680" s="3"/>
      <c r="D680" s="3"/>
      <c r="E680" s="3"/>
      <c r="F680" s="3"/>
      <c r="J680" s="3"/>
    </row>
    <row r="681" ht="15.75" customHeight="1">
      <c r="A681" s="3"/>
      <c r="B681" s="3"/>
      <c r="C681" s="3"/>
      <c r="D681" s="3"/>
      <c r="E681" s="3"/>
      <c r="F681" s="3"/>
      <c r="J681" s="3"/>
    </row>
    <row r="682" ht="15.75" customHeight="1">
      <c r="A682" s="3"/>
      <c r="B682" s="3"/>
      <c r="C682" s="3"/>
      <c r="D682" s="3"/>
      <c r="E682" s="3"/>
      <c r="F682" s="3"/>
      <c r="J682" s="3"/>
    </row>
    <row r="683" ht="15.75" customHeight="1">
      <c r="A683" s="3"/>
      <c r="B683" s="3"/>
      <c r="C683" s="3"/>
      <c r="D683" s="3"/>
      <c r="E683" s="3"/>
      <c r="F683" s="3"/>
      <c r="J683" s="3"/>
    </row>
    <row r="684" ht="15.75" customHeight="1">
      <c r="A684" s="3"/>
      <c r="B684" s="3"/>
      <c r="C684" s="3"/>
      <c r="D684" s="3"/>
      <c r="E684" s="3"/>
      <c r="F684" s="3"/>
      <c r="J684" s="3"/>
    </row>
    <row r="685" ht="15.75" customHeight="1">
      <c r="A685" s="3"/>
      <c r="B685" s="3"/>
      <c r="C685" s="3"/>
      <c r="D685" s="3"/>
      <c r="E685" s="3"/>
      <c r="F685" s="3"/>
      <c r="J685" s="3"/>
    </row>
    <row r="686" ht="15.75" customHeight="1">
      <c r="A686" s="3"/>
      <c r="B686" s="3"/>
      <c r="C686" s="3"/>
      <c r="D686" s="3"/>
      <c r="E686" s="3"/>
      <c r="F686" s="3"/>
      <c r="J686" s="3"/>
    </row>
    <row r="687" ht="15.75" customHeight="1">
      <c r="A687" s="3"/>
      <c r="B687" s="3"/>
      <c r="C687" s="3"/>
      <c r="D687" s="3"/>
      <c r="E687" s="3"/>
      <c r="F687" s="3"/>
      <c r="J687" s="3"/>
    </row>
    <row r="688" ht="15.75" customHeight="1">
      <c r="A688" s="3"/>
      <c r="B688" s="3"/>
      <c r="C688" s="3"/>
      <c r="D688" s="3"/>
      <c r="E688" s="3"/>
      <c r="F688" s="3"/>
      <c r="J688" s="3"/>
    </row>
    <row r="689" ht="15.75" customHeight="1">
      <c r="A689" s="3"/>
      <c r="B689" s="3"/>
      <c r="C689" s="3"/>
      <c r="D689" s="3"/>
      <c r="E689" s="3"/>
      <c r="F689" s="3"/>
      <c r="J689" s="3"/>
    </row>
    <row r="690" ht="15.75" customHeight="1">
      <c r="A690" s="3"/>
      <c r="B690" s="3"/>
      <c r="C690" s="3"/>
      <c r="D690" s="3"/>
      <c r="E690" s="3"/>
      <c r="F690" s="3"/>
      <c r="J690" s="3"/>
    </row>
    <row r="691" ht="15.75" customHeight="1">
      <c r="A691" s="3"/>
      <c r="B691" s="3"/>
      <c r="C691" s="3"/>
      <c r="D691" s="3"/>
      <c r="E691" s="3"/>
      <c r="F691" s="3"/>
      <c r="J691" s="3"/>
    </row>
    <row r="692" ht="15.75" customHeight="1">
      <c r="A692" s="3"/>
      <c r="B692" s="3"/>
      <c r="C692" s="3"/>
      <c r="D692" s="3"/>
      <c r="E692" s="3"/>
      <c r="F692" s="3"/>
      <c r="J692" s="3"/>
    </row>
    <row r="693" ht="15.75" customHeight="1">
      <c r="A693" s="3"/>
      <c r="B693" s="3"/>
      <c r="C693" s="3"/>
      <c r="D693" s="3"/>
      <c r="E693" s="3"/>
      <c r="F693" s="3"/>
      <c r="J693" s="3"/>
    </row>
    <row r="694" ht="15.75" customHeight="1">
      <c r="A694" s="3"/>
      <c r="B694" s="3"/>
      <c r="C694" s="3"/>
      <c r="D694" s="3"/>
      <c r="E694" s="3"/>
      <c r="F694" s="3"/>
      <c r="J694" s="3"/>
    </row>
    <row r="695" ht="15.75" customHeight="1">
      <c r="A695" s="3"/>
      <c r="B695" s="3"/>
      <c r="C695" s="3"/>
      <c r="D695" s="3"/>
      <c r="E695" s="3"/>
      <c r="F695" s="3"/>
      <c r="J695" s="3"/>
    </row>
    <row r="696" ht="15.75" customHeight="1">
      <c r="A696" s="3"/>
      <c r="B696" s="3"/>
      <c r="C696" s="3"/>
      <c r="D696" s="3"/>
      <c r="E696" s="3"/>
      <c r="F696" s="3"/>
      <c r="J696" s="3"/>
    </row>
    <row r="697" ht="15.75" customHeight="1">
      <c r="A697" s="3"/>
      <c r="B697" s="3"/>
      <c r="C697" s="3"/>
      <c r="D697" s="3"/>
      <c r="E697" s="3"/>
      <c r="F697" s="3"/>
      <c r="J697" s="3"/>
    </row>
    <row r="698" ht="15.75" customHeight="1">
      <c r="A698" s="3"/>
      <c r="B698" s="3"/>
      <c r="C698" s="3"/>
      <c r="D698" s="3"/>
      <c r="E698" s="3"/>
      <c r="F698" s="3"/>
      <c r="J698" s="3"/>
    </row>
    <row r="699" ht="15.75" customHeight="1">
      <c r="A699" s="3"/>
      <c r="B699" s="3"/>
      <c r="C699" s="3"/>
      <c r="D699" s="3"/>
      <c r="E699" s="3"/>
      <c r="F699" s="3"/>
      <c r="J699" s="3"/>
    </row>
    <row r="700" ht="15.75" customHeight="1">
      <c r="A700" s="3"/>
      <c r="B700" s="3"/>
      <c r="C700" s="3"/>
      <c r="D700" s="3"/>
      <c r="E700" s="3"/>
      <c r="F700" s="3"/>
      <c r="J700" s="3"/>
    </row>
    <row r="701" ht="15.75" customHeight="1">
      <c r="A701" s="3"/>
      <c r="B701" s="3"/>
      <c r="C701" s="3"/>
      <c r="D701" s="3"/>
      <c r="E701" s="3"/>
      <c r="F701" s="3"/>
      <c r="J701" s="3"/>
    </row>
    <row r="702" ht="15.75" customHeight="1">
      <c r="A702" s="3"/>
      <c r="B702" s="3"/>
      <c r="C702" s="3"/>
      <c r="D702" s="3"/>
      <c r="E702" s="3"/>
      <c r="F702" s="3"/>
      <c r="J702" s="3"/>
    </row>
    <row r="703" ht="15.75" customHeight="1">
      <c r="A703" s="3"/>
      <c r="B703" s="3"/>
      <c r="C703" s="3"/>
      <c r="D703" s="3"/>
      <c r="E703" s="3"/>
      <c r="F703" s="3"/>
      <c r="J703" s="3"/>
    </row>
    <row r="704" ht="15.75" customHeight="1">
      <c r="A704" s="3"/>
      <c r="B704" s="3"/>
      <c r="C704" s="3"/>
      <c r="D704" s="3"/>
      <c r="E704" s="3"/>
      <c r="F704" s="3"/>
      <c r="J704" s="3"/>
    </row>
    <row r="705" ht="15.75" customHeight="1">
      <c r="A705" s="3"/>
      <c r="B705" s="3"/>
      <c r="C705" s="3"/>
      <c r="D705" s="3"/>
      <c r="E705" s="3"/>
      <c r="F705" s="3"/>
      <c r="J705" s="3"/>
    </row>
    <row r="706" ht="15.75" customHeight="1">
      <c r="A706" s="3"/>
      <c r="B706" s="3"/>
      <c r="C706" s="3"/>
      <c r="D706" s="3"/>
      <c r="E706" s="3"/>
      <c r="F706" s="3"/>
      <c r="J706" s="3"/>
    </row>
    <row r="707" ht="15.75" customHeight="1">
      <c r="A707" s="3"/>
      <c r="B707" s="3"/>
      <c r="C707" s="3"/>
      <c r="D707" s="3"/>
      <c r="E707" s="3"/>
      <c r="F707" s="3"/>
      <c r="J707" s="3"/>
    </row>
    <row r="708" ht="15.75" customHeight="1">
      <c r="A708" s="3"/>
      <c r="B708" s="3"/>
      <c r="C708" s="3"/>
      <c r="D708" s="3"/>
      <c r="E708" s="3"/>
      <c r="F708" s="3"/>
      <c r="J708" s="3"/>
    </row>
    <row r="709" ht="15.75" customHeight="1">
      <c r="A709" s="3"/>
      <c r="B709" s="3"/>
      <c r="C709" s="3"/>
      <c r="D709" s="3"/>
      <c r="E709" s="3"/>
      <c r="F709" s="3"/>
      <c r="J709" s="3"/>
    </row>
    <row r="710" ht="15.75" customHeight="1">
      <c r="A710" s="3"/>
      <c r="B710" s="3"/>
      <c r="C710" s="3"/>
      <c r="D710" s="3"/>
      <c r="E710" s="3"/>
      <c r="F710" s="3"/>
      <c r="J710" s="3"/>
    </row>
    <row r="711" ht="15.75" customHeight="1">
      <c r="A711" s="3"/>
      <c r="B711" s="3"/>
      <c r="C711" s="3"/>
      <c r="D711" s="3"/>
      <c r="E711" s="3"/>
      <c r="F711" s="3"/>
      <c r="J711" s="3"/>
    </row>
    <row r="712" ht="15.75" customHeight="1">
      <c r="A712" s="3"/>
      <c r="B712" s="3"/>
      <c r="C712" s="3"/>
      <c r="D712" s="3"/>
      <c r="E712" s="3"/>
      <c r="F712" s="3"/>
      <c r="J712" s="3"/>
    </row>
    <row r="713" ht="15.75" customHeight="1">
      <c r="A713" s="3"/>
      <c r="B713" s="3"/>
      <c r="C713" s="3"/>
      <c r="D713" s="3"/>
      <c r="E713" s="3"/>
      <c r="F713" s="3"/>
      <c r="J713" s="3"/>
    </row>
    <row r="714" ht="15.75" customHeight="1">
      <c r="A714" s="3"/>
      <c r="B714" s="3"/>
      <c r="C714" s="3"/>
      <c r="D714" s="3"/>
      <c r="E714" s="3"/>
      <c r="F714" s="3"/>
      <c r="J714" s="3"/>
    </row>
    <row r="715" ht="15.75" customHeight="1">
      <c r="A715" s="3"/>
      <c r="B715" s="3"/>
      <c r="C715" s="3"/>
      <c r="D715" s="3"/>
      <c r="E715" s="3"/>
      <c r="F715" s="3"/>
      <c r="J715" s="3"/>
    </row>
    <row r="716" ht="15.75" customHeight="1">
      <c r="A716" s="3"/>
      <c r="B716" s="3"/>
      <c r="C716" s="3"/>
      <c r="D716" s="3"/>
      <c r="E716" s="3"/>
      <c r="F716" s="3"/>
      <c r="J716" s="3"/>
    </row>
    <row r="717" ht="15.75" customHeight="1">
      <c r="A717" s="3"/>
      <c r="B717" s="3"/>
      <c r="C717" s="3"/>
      <c r="D717" s="3"/>
      <c r="E717" s="3"/>
      <c r="F717" s="3"/>
      <c r="J717" s="3"/>
    </row>
    <row r="718" ht="15.75" customHeight="1">
      <c r="A718" s="3"/>
      <c r="B718" s="3"/>
      <c r="C718" s="3"/>
      <c r="D718" s="3"/>
      <c r="E718" s="3"/>
      <c r="F718" s="3"/>
      <c r="J718" s="3"/>
    </row>
    <row r="719" ht="15.75" customHeight="1">
      <c r="A719" s="3"/>
      <c r="B719" s="3"/>
      <c r="C719" s="3"/>
      <c r="D719" s="3"/>
      <c r="E719" s="3"/>
      <c r="F719" s="3"/>
      <c r="J719" s="3"/>
    </row>
    <row r="720" ht="15.75" customHeight="1">
      <c r="A720" s="3"/>
      <c r="B720" s="3"/>
      <c r="C720" s="3"/>
      <c r="D720" s="3"/>
      <c r="E720" s="3"/>
      <c r="F720" s="3"/>
      <c r="J720" s="3"/>
    </row>
    <row r="721" ht="15.75" customHeight="1">
      <c r="A721" s="3"/>
      <c r="B721" s="3"/>
      <c r="C721" s="3"/>
      <c r="D721" s="3"/>
      <c r="E721" s="3"/>
      <c r="F721" s="3"/>
      <c r="J721" s="3"/>
    </row>
    <row r="722" ht="15.75" customHeight="1">
      <c r="A722" s="3"/>
      <c r="B722" s="3"/>
      <c r="C722" s="3"/>
      <c r="D722" s="3"/>
      <c r="E722" s="3"/>
      <c r="F722" s="3"/>
      <c r="J722" s="3"/>
    </row>
    <row r="723" ht="15.75" customHeight="1">
      <c r="A723" s="3"/>
      <c r="B723" s="3"/>
      <c r="C723" s="3"/>
      <c r="D723" s="3"/>
      <c r="E723" s="3"/>
      <c r="F723" s="3"/>
      <c r="J723" s="3"/>
    </row>
    <row r="724" ht="15.75" customHeight="1">
      <c r="A724" s="3"/>
      <c r="B724" s="3"/>
      <c r="C724" s="3"/>
      <c r="D724" s="3"/>
      <c r="E724" s="3"/>
      <c r="F724" s="3"/>
      <c r="J724" s="3"/>
    </row>
    <row r="725" ht="15.75" customHeight="1">
      <c r="A725" s="3"/>
      <c r="B725" s="3"/>
      <c r="C725" s="3"/>
      <c r="D725" s="3"/>
      <c r="E725" s="3"/>
      <c r="F725" s="3"/>
      <c r="J725" s="3"/>
    </row>
    <row r="726" ht="15.75" customHeight="1">
      <c r="A726" s="3"/>
      <c r="B726" s="3"/>
      <c r="C726" s="3"/>
      <c r="D726" s="3"/>
      <c r="E726" s="3"/>
      <c r="F726" s="3"/>
      <c r="J726" s="3"/>
    </row>
    <row r="727" ht="15.75" customHeight="1">
      <c r="A727" s="3"/>
      <c r="B727" s="3"/>
      <c r="C727" s="3"/>
      <c r="D727" s="3"/>
      <c r="E727" s="3"/>
      <c r="F727" s="3"/>
      <c r="J727" s="3"/>
    </row>
    <row r="728" ht="15.75" customHeight="1">
      <c r="A728" s="3"/>
      <c r="B728" s="3"/>
      <c r="C728" s="3"/>
      <c r="D728" s="3"/>
      <c r="E728" s="3"/>
      <c r="F728" s="3"/>
      <c r="J728" s="3"/>
    </row>
    <row r="729" ht="15.75" customHeight="1">
      <c r="A729" s="3"/>
      <c r="B729" s="3"/>
      <c r="C729" s="3"/>
      <c r="D729" s="3"/>
      <c r="E729" s="3"/>
      <c r="F729" s="3"/>
      <c r="J729" s="3"/>
    </row>
    <row r="730" ht="15.75" customHeight="1">
      <c r="A730" s="3"/>
      <c r="B730" s="3"/>
      <c r="C730" s="3"/>
      <c r="D730" s="3"/>
      <c r="E730" s="3"/>
      <c r="F730" s="3"/>
      <c r="J730" s="3"/>
    </row>
    <row r="731" ht="15.75" customHeight="1">
      <c r="A731" s="3"/>
      <c r="B731" s="3"/>
      <c r="C731" s="3"/>
      <c r="D731" s="3"/>
      <c r="E731" s="3"/>
      <c r="F731" s="3"/>
      <c r="J731" s="3"/>
    </row>
    <row r="732" ht="15.75" customHeight="1">
      <c r="A732" s="3"/>
      <c r="B732" s="3"/>
      <c r="C732" s="3"/>
      <c r="D732" s="3"/>
      <c r="E732" s="3"/>
      <c r="F732" s="3"/>
      <c r="J732" s="3"/>
    </row>
    <row r="733" ht="15.75" customHeight="1">
      <c r="A733" s="3"/>
      <c r="B733" s="3"/>
      <c r="C733" s="3"/>
      <c r="D733" s="3"/>
      <c r="E733" s="3"/>
      <c r="F733" s="3"/>
      <c r="J733" s="3"/>
    </row>
    <row r="734" ht="15.75" customHeight="1">
      <c r="A734" s="3"/>
      <c r="B734" s="3"/>
      <c r="C734" s="3"/>
      <c r="D734" s="3"/>
      <c r="E734" s="3"/>
      <c r="F734" s="3"/>
      <c r="J734" s="3"/>
    </row>
    <row r="735" ht="15.75" customHeight="1">
      <c r="A735" s="3"/>
      <c r="B735" s="3"/>
      <c r="C735" s="3"/>
      <c r="D735" s="3"/>
      <c r="E735" s="3"/>
      <c r="F735" s="3"/>
      <c r="J735" s="3"/>
    </row>
    <row r="736" ht="15.75" customHeight="1">
      <c r="A736" s="3"/>
      <c r="B736" s="3"/>
      <c r="C736" s="3"/>
      <c r="D736" s="3"/>
      <c r="E736" s="3"/>
      <c r="F736" s="3"/>
      <c r="J736" s="3"/>
    </row>
    <row r="737" ht="15.75" customHeight="1">
      <c r="A737" s="3"/>
      <c r="B737" s="3"/>
      <c r="C737" s="3"/>
      <c r="D737" s="3"/>
      <c r="E737" s="3"/>
      <c r="F737" s="3"/>
      <c r="J737" s="3"/>
    </row>
    <row r="738" ht="15.75" customHeight="1">
      <c r="A738" s="3"/>
      <c r="B738" s="3"/>
      <c r="C738" s="3"/>
      <c r="D738" s="3"/>
      <c r="E738" s="3"/>
      <c r="F738" s="3"/>
      <c r="J738" s="3"/>
    </row>
    <row r="739" ht="15.75" customHeight="1">
      <c r="A739" s="3"/>
      <c r="B739" s="3"/>
      <c r="C739" s="3"/>
      <c r="D739" s="3"/>
      <c r="E739" s="3"/>
      <c r="F739" s="3"/>
      <c r="J739" s="3"/>
    </row>
    <row r="740" ht="15.75" customHeight="1">
      <c r="A740" s="3"/>
      <c r="B740" s="3"/>
      <c r="C740" s="3"/>
      <c r="D740" s="3"/>
      <c r="E740" s="3"/>
      <c r="F740" s="3"/>
      <c r="J740" s="3"/>
    </row>
    <row r="741" ht="15.75" customHeight="1">
      <c r="A741" s="3"/>
      <c r="B741" s="3"/>
      <c r="C741" s="3"/>
      <c r="D741" s="3"/>
      <c r="E741" s="3"/>
      <c r="F741" s="3"/>
      <c r="J741" s="3"/>
    </row>
    <row r="742" ht="15.75" customHeight="1">
      <c r="A742" s="3"/>
      <c r="B742" s="3"/>
      <c r="C742" s="3"/>
      <c r="D742" s="3"/>
      <c r="E742" s="3"/>
      <c r="F742" s="3"/>
      <c r="J742" s="3"/>
    </row>
    <row r="743" ht="15.75" customHeight="1">
      <c r="A743" s="3"/>
      <c r="B743" s="3"/>
      <c r="C743" s="3"/>
      <c r="D743" s="3"/>
      <c r="E743" s="3"/>
      <c r="F743" s="3"/>
      <c r="J743" s="3"/>
    </row>
    <row r="744" ht="15.75" customHeight="1">
      <c r="A744" s="3"/>
      <c r="B744" s="3"/>
      <c r="C744" s="3"/>
      <c r="D744" s="3"/>
      <c r="E744" s="3"/>
      <c r="F744" s="3"/>
      <c r="J744" s="3"/>
    </row>
    <row r="745" ht="15.75" customHeight="1">
      <c r="A745" s="3"/>
      <c r="B745" s="3"/>
      <c r="C745" s="3"/>
      <c r="D745" s="3"/>
      <c r="E745" s="3"/>
      <c r="F745" s="3"/>
      <c r="J745" s="3"/>
    </row>
    <row r="746" ht="15.75" customHeight="1">
      <c r="A746" s="3"/>
      <c r="B746" s="3"/>
      <c r="C746" s="3"/>
      <c r="D746" s="3"/>
      <c r="E746" s="3"/>
      <c r="F746" s="3"/>
      <c r="J746" s="3"/>
    </row>
    <row r="747" ht="15.75" customHeight="1">
      <c r="A747" s="3"/>
      <c r="B747" s="3"/>
      <c r="C747" s="3"/>
      <c r="D747" s="3"/>
      <c r="E747" s="3"/>
      <c r="F747" s="3"/>
      <c r="J747" s="3"/>
    </row>
    <row r="748" ht="15.75" customHeight="1">
      <c r="A748" s="3"/>
      <c r="B748" s="3"/>
      <c r="C748" s="3"/>
      <c r="D748" s="3"/>
      <c r="E748" s="3"/>
      <c r="F748" s="3"/>
      <c r="J748" s="3"/>
    </row>
    <row r="749" ht="15.75" customHeight="1">
      <c r="A749" s="3"/>
      <c r="B749" s="3"/>
      <c r="C749" s="3"/>
      <c r="D749" s="3"/>
      <c r="E749" s="3"/>
      <c r="F749" s="3"/>
      <c r="J749" s="3"/>
    </row>
    <row r="750" ht="15.75" customHeight="1">
      <c r="A750" s="3"/>
      <c r="B750" s="3"/>
      <c r="C750" s="3"/>
      <c r="D750" s="3"/>
      <c r="E750" s="3"/>
      <c r="F750" s="3"/>
      <c r="J750" s="3"/>
    </row>
    <row r="751" ht="15.75" customHeight="1">
      <c r="A751" s="3"/>
      <c r="B751" s="3"/>
      <c r="C751" s="3"/>
      <c r="D751" s="3"/>
      <c r="E751" s="3"/>
      <c r="F751" s="3"/>
      <c r="J751" s="3"/>
    </row>
    <row r="752" ht="15.75" customHeight="1">
      <c r="A752" s="3"/>
      <c r="B752" s="3"/>
      <c r="C752" s="3"/>
      <c r="D752" s="3"/>
      <c r="E752" s="3"/>
      <c r="F752" s="3"/>
      <c r="J752" s="3"/>
    </row>
    <row r="753" ht="15.75" customHeight="1">
      <c r="A753" s="3"/>
      <c r="B753" s="3"/>
      <c r="C753" s="3"/>
      <c r="D753" s="3"/>
      <c r="E753" s="3"/>
      <c r="F753" s="3"/>
      <c r="J753" s="3"/>
    </row>
    <row r="754" ht="15.75" customHeight="1">
      <c r="A754" s="3"/>
      <c r="B754" s="3"/>
      <c r="C754" s="3"/>
      <c r="D754" s="3"/>
      <c r="E754" s="3"/>
      <c r="F754" s="3"/>
      <c r="J754" s="3"/>
    </row>
    <row r="755" ht="15.75" customHeight="1">
      <c r="A755" s="3"/>
      <c r="B755" s="3"/>
      <c r="C755" s="3"/>
      <c r="D755" s="3"/>
      <c r="E755" s="3"/>
      <c r="F755" s="3"/>
      <c r="J755" s="3"/>
    </row>
    <row r="756" ht="15.75" customHeight="1">
      <c r="A756" s="3"/>
      <c r="B756" s="3"/>
      <c r="C756" s="3"/>
      <c r="D756" s="3"/>
      <c r="E756" s="3"/>
      <c r="F756" s="3"/>
      <c r="J756" s="3"/>
    </row>
    <row r="757" ht="15.75" customHeight="1">
      <c r="A757" s="3"/>
      <c r="B757" s="3"/>
      <c r="C757" s="3"/>
      <c r="D757" s="3"/>
      <c r="E757" s="3"/>
      <c r="F757" s="3"/>
      <c r="J757" s="3"/>
    </row>
    <row r="758" ht="15.75" customHeight="1">
      <c r="A758" s="3"/>
      <c r="B758" s="3"/>
      <c r="C758" s="3"/>
      <c r="D758" s="3"/>
      <c r="E758" s="3"/>
      <c r="F758" s="3"/>
      <c r="J758" s="3"/>
    </row>
    <row r="759" ht="15.75" customHeight="1">
      <c r="A759" s="3"/>
      <c r="B759" s="3"/>
      <c r="C759" s="3"/>
      <c r="D759" s="3"/>
      <c r="E759" s="3"/>
      <c r="F759" s="3"/>
      <c r="J759" s="3"/>
    </row>
    <row r="760" ht="15.75" customHeight="1">
      <c r="A760" s="3"/>
      <c r="B760" s="3"/>
      <c r="C760" s="3"/>
      <c r="D760" s="3"/>
      <c r="E760" s="3"/>
      <c r="F760" s="3"/>
      <c r="J760" s="3"/>
    </row>
    <row r="761" ht="15.75" customHeight="1">
      <c r="A761" s="3"/>
      <c r="B761" s="3"/>
      <c r="C761" s="3"/>
      <c r="D761" s="3"/>
      <c r="E761" s="3"/>
      <c r="F761" s="3"/>
      <c r="J761" s="3"/>
    </row>
    <row r="762" ht="15.75" customHeight="1">
      <c r="A762" s="3"/>
      <c r="B762" s="3"/>
      <c r="C762" s="3"/>
      <c r="D762" s="3"/>
      <c r="E762" s="3"/>
      <c r="F762" s="3"/>
      <c r="J762" s="3"/>
    </row>
    <row r="763" ht="15.75" customHeight="1">
      <c r="A763" s="3"/>
      <c r="B763" s="3"/>
      <c r="C763" s="3"/>
      <c r="D763" s="3"/>
      <c r="E763" s="3"/>
      <c r="F763" s="3"/>
      <c r="J763" s="3"/>
    </row>
    <row r="764" ht="15.75" customHeight="1">
      <c r="A764" s="3"/>
      <c r="B764" s="3"/>
      <c r="C764" s="3"/>
      <c r="D764" s="3"/>
      <c r="E764" s="3"/>
      <c r="F764" s="3"/>
      <c r="J764" s="3"/>
    </row>
    <row r="765" ht="15.75" customHeight="1">
      <c r="A765" s="3"/>
      <c r="B765" s="3"/>
      <c r="C765" s="3"/>
      <c r="D765" s="3"/>
      <c r="E765" s="3"/>
      <c r="F765" s="3"/>
      <c r="J765" s="3"/>
    </row>
    <row r="766" ht="15.75" customHeight="1">
      <c r="A766" s="3"/>
      <c r="B766" s="3"/>
      <c r="C766" s="3"/>
      <c r="D766" s="3"/>
      <c r="E766" s="3"/>
      <c r="F766" s="3"/>
      <c r="J766" s="3"/>
    </row>
    <row r="767" ht="15.75" customHeight="1">
      <c r="A767" s="3"/>
      <c r="B767" s="3"/>
      <c r="C767" s="3"/>
      <c r="D767" s="3"/>
      <c r="E767" s="3"/>
      <c r="F767" s="3"/>
      <c r="J767" s="3"/>
    </row>
    <row r="768" ht="15.75" customHeight="1">
      <c r="A768" s="3"/>
      <c r="B768" s="3"/>
      <c r="C768" s="3"/>
      <c r="D768" s="3"/>
      <c r="E768" s="3"/>
      <c r="F768" s="3"/>
      <c r="J768" s="3"/>
    </row>
    <row r="769" ht="15.75" customHeight="1">
      <c r="A769" s="3"/>
      <c r="B769" s="3"/>
      <c r="C769" s="3"/>
      <c r="D769" s="3"/>
      <c r="E769" s="3"/>
      <c r="F769" s="3"/>
      <c r="J769" s="3"/>
    </row>
    <row r="770" ht="15.75" customHeight="1">
      <c r="A770" s="3"/>
      <c r="B770" s="3"/>
      <c r="C770" s="3"/>
      <c r="D770" s="3"/>
      <c r="E770" s="3"/>
      <c r="F770" s="3"/>
      <c r="J770" s="3"/>
    </row>
    <row r="771" ht="15.75" customHeight="1">
      <c r="A771" s="3"/>
      <c r="B771" s="3"/>
      <c r="C771" s="3"/>
      <c r="D771" s="3"/>
      <c r="E771" s="3"/>
      <c r="F771" s="3"/>
      <c r="J771" s="3"/>
    </row>
    <row r="772" ht="15.75" customHeight="1">
      <c r="A772" s="3"/>
      <c r="B772" s="3"/>
      <c r="C772" s="3"/>
      <c r="D772" s="3"/>
      <c r="E772" s="3"/>
      <c r="F772" s="3"/>
      <c r="J772" s="3"/>
    </row>
    <row r="773" ht="15.75" customHeight="1">
      <c r="A773" s="3"/>
      <c r="B773" s="3"/>
      <c r="C773" s="3"/>
      <c r="D773" s="3"/>
      <c r="E773" s="3"/>
      <c r="F773" s="3"/>
      <c r="J773" s="3"/>
    </row>
    <row r="774" ht="15.75" customHeight="1">
      <c r="A774" s="3"/>
      <c r="B774" s="3"/>
      <c r="C774" s="3"/>
      <c r="D774" s="3"/>
      <c r="E774" s="3"/>
      <c r="F774" s="3"/>
      <c r="J774" s="3"/>
    </row>
    <row r="775" ht="15.75" customHeight="1">
      <c r="A775" s="3"/>
      <c r="B775" s="3"/>
      <c r="C775" s="3"/>
      <c r="D775" s="3"/>
      <c r="E775" s="3"/>
      <c r="F775" s="3"/>
      <c r="J775" s="3"/>
    </row>
    <row r="776" ht="15.75" customHeight="1">
      <c r="A776" s="3"/>
      <c r="B776" s="3"/>
      <c r="C776" s="3"/>
      <c r="D776" s="3"/>
      <c r="E776" s="3"/>
      <c r="F776" s="3"/>
      <c r="J776" s="3"/>
    </row>
    <row r="777" ht="15.75" customHeight="1">
      <c r="A777" s="3"/>
      <c r="B777" s="3"/>
      <c r="C777" s="3"/>
      <c r="D777" s="3"/>
      <c r="E777" s="3"/>
      <c r="F777" s="3"/>
      <c r="J777" s="3"/>
    </row>
    <row r="778" ht="15.75" customHeight="1">
      <c r="A778" s="3"/>
      <c r="B778" s="3"/>
      <c r="C778" s="3"/>
      <c r="D778" s="3"/>
      <c r="E778" s="3"/>
      <c r="F778" s="3"/>
      <c r="J778" s="3"/>
    </row>
    <row r="779" ht="15.75" customHeight="1">
      <c r="A779" s="3"/>
      <c r="B779" s="3"/>
      <c r="C779" s="3"/>
      <c r="D779" s="3"/>
      <c r="E779" s="3"/>
      <c r="F779" s="3"/>
      <c r="J779" s="3"/>
    </row>
    <row r="780" ht="15.75" customHeight="1">
      <c r="A780" s="3"/>
      <c r="B780" s="3"/>
      <c r="C780" s="3"/>
      <c r="D780" s="3"/>
      <c r="E780" s="3"/>
      <c r="F780" s="3"/>
      <c r="J780" s="3"/>
    </row>
    <row r="781" ht="15.75" customHeight="1">
      <c r="A781" s="3"/>
      <c r="B781" s="3"/>
      <c r="C781" s="3"/>
      <c r="D781" s="3"/>
      <c r="E781" s="3"/>
      <c r="F781" s="3"/>
      <c r="J781" s="3"/>
    </row>
    <row r="782" ht="15.75" customHeight="1">
      <c r="A782" s="3"/>
      <c r="B782" s="3"/>
      <c r="C782" s="3"/>
      <c r="D782" s="3"/>
      <c r="E782" s="3"/>
      <c r="F782" s="3"/>
      <c r="J782" s="3"/>
    </row>
    <row r="783" ht="15.75" customHeight="1">
      <c r="A783" s="3"/>
      <c r="B783" s="3"/>
      <c r="C783" s="3"/>
      <c r="D783" s="3"/>
      <c r="E783" s="3"/>
      <c r="F783" s="3"/>
      <c r="J783" s="3"/>
    </row>
    <row r="784" ht="15.75" customHeight="1">
      <c r="A784" s="3"/>
      <c r="B784" s="3"/>
      <c r="C784" s="3"/>
      <c r="D784" s="3"/>
      <c r="E784" s="3"/>
      <c r="F784" s="3"/>
      <c r="J784" s="3"/>
    </row>
    <row r="785" ht="15.75" customHeight="1">
      <c r="A785" s="3"/>
      <c r="B785" s="3"/>
      <c r="C785" s="3"/>
      <c r="D785" s="3"/>
      <c r="E785" s="3"/>
      <c r="F785" s="3"/>
      <c r="J785" s="3"/>
    </row>
    <row r="786" ht="15.75" customHeight="1">
      <c r="A786" s="3"/>
      <c r="B786" s="3"/>
      <c r="C786" s="3"/>
      <c r="D786" s="3"/>
      <c r="E786" s="3"/>
      <c r="F786" s="3"/>
      <c r="J786" s="3"/>
    </row>
    <row r="787" ht="15.75" customHeight="1">
      <c r="A787" s="3"/>
      <c r="B787" s="3"/>
      <c r="C787" s="3"/>
      <c r="D787" s="3"/>
      <c r="E787" s="3"/>
      <c r="F787" s="3"/>
      <c r="J787" s="3"/>
    </row>
    <row r="788" ht="15.75" customHeight="1">
      <c r="A788" s="3"/>
      <c r="B788" s="3"/>
      <c r="C788" s="3"/>
      <c r="D788" s="3"/>
      <c r="E788" s="3"/>
      <c r="F788" s="3"/>
      <c r="J788" s="3"/>
    </row>
    <row r="789" ht="15.75" customHeight="1">
      <c r="A789" s="3"/>
      <c r="B789" s="3"/>
      <c r="C789" s="3"/>
      <c r="D789" s="3"/>
      <c r="E789" s="3"/>
      <c r="F789" s="3"/>
      <c r="J789" s="3"/>
    </row>
    <row r="790" ht="15.75" customHeight="1">
      <c r="A790" s="3"/>
      <c r="B790" s="3"/>
      <c r="C790" s="3"/>
      <c r="D790" s="3"/>
      <c r="E790" s="3"/>
      <c r="F790" s="3"/>
      <c r="J790" s="3"/>
    </row>
    <row r="791" ht="15.75" customHeight="1">
      <c r="A791" s="3"/>
      <c r="B791" s="3"/>
      <c r="C791" s="3"/>
      <c r="D791" s="3"/>
      <c r="E791" s="3"/>
      <c r="F791" s="3"/>
      <c r="J791" s="3"/>
    </row>
    <row r="792" ht="15.75" customHeight="1">
      <c r="A792" s="3"/>
      <c r="B792" s="3"/>
      <c r="C792" s="3"/>
      <c r="D792" s="3"/>
      <c r="E792" s="3"/>
      <c r="F792" s="3"/>
      <c r="J792" s="3"/>
    </row>
    <row r="793" ht="15.75" customHeight="1">
      <c r="A793" s="3"/>
      <c r="B793" s="3"/>
      <c r="C793" s="3"/>
      <c r="D793" s="3"/>
      <c r="E793" s="3"/>
      <c r="F793" s="3"/>
      <c r="J793" s="3"/>
    </row>
    <row r="794" ht="15.75" customHeight="1">
      <c r="A794" s="3"/>
      <c r="B794" s="3"/>
      <c r="C794" s="3"/>
      <c r="D794" s="3"/>
      <c r="E794" s="3"/>
      <c r="F794" s="3"/>
      <c r="J794" s="3"/>
    </row>
    <row r="795" ht="15.75" customHeight="1">
      <c r="A795" s="3"/>
      <c r="B795" s="3"/>
      <c r="C795" s="3"/>
      <c r="D795" s="3"/>
      <c r="E795" s="3"/>
      <c r="F795" s="3"/>
      <c r="J795" s="3"/>
    </row>
    <row r="796" ht="15.75" customHeight="1">
      <c r="A796" s="3"/>
      <c r="B796" s="3"/>
      <c r="C796" s="3"/>
      <c r="D796" s="3"/>
      <c r="E796" s="3"/>
      <c r="F796" s="3"/>
      <c r="J796" s="3"/>
    </row>
    <row r="797" ht="15.75" customHeight="1">
      <c r="A797" s="3"/>
      <c r="B797" s="3"/>
      <c r="C797" s="3"/>
      <c r="D797" s="3"/>
      <c r="E797" s="3"/>
      <c r="F797" s="3"/>
      <c r="J797" s="3"/>
    </row>
    <row r="798" ht="15.75" customHeight="1">
      <c r="A798" s="3"/>
      <c r="B798" s="3"/>
      <c r="C798" s="3"/>
      <c r="D798" s="3"/>
      <c r="E798" s="3"/>
      <c r="F798" s="3"/>
      <c r="J798" s="3"/>
    </row>
    <row r="799" ht="15.75" customHeight="1">
      <c r="A799" s="3"/>
      <c r="B799" s="3"/>
      <c r="C799" s="3"/>
      <c r="D799" s="3"/>
      <c r="E799" s="3"/>
      <c r="F799" s="3"/>
      <c r="J799" s="3"/>
    </row>
    <row r="800" ht="15.75" customHeight="1">
      <c r="A800" s="3"/>
      <c r="B800" s="3"/>
      <c r="C800" s="3"/>
      <c r="D800" s="3"/>
      <c r="E800" s="3"/>
      <c r="F800" s="3"/>
      <c r="J800" s="3"/>
    </row>
    <row r="801" ht="15.75" customHeight="1">
      <c r="A801" s="3"/>
      <c r="B801" s="3"/>
      <c r="C801" s="3"/>
      <c r="D801" s="3"/>
      <c r="E801" s="3"/>
      <c r="F801" s="3"/>
      <c r="J801" s="3"/>
    </row>
    <row r="802" ht="15.75" customHeight="1">
      <c r="A802" s="3"/>
      <c r="B802" s="3"/>
      <c r="C802" s="3"/>
      <c r="D802" s="3"/>
      <c r="E802" s="3"/>
      <c r="F802" s="3"/>
      <c r="J802" s="3"/>
    </row>
    <row r="803" ht="15.75" customHeight="1">
      <c r="A803" s="3"/>
      <c r="B803" s="3"/>
      <c r="C803" s="3"/>
      <c r="D803" s="3"/>
      <c r="E803" s="3"/>
      <c r="F803" s="3"/>
      <c r="J803" s="3"/>
    </row>
    <row r="804" ht="15.75" customHeight="1">
      <c r="A804" s="3"/>
      <c r="B804" s="3"/>
      <c r="C804" s="3"/>
      <c r="D804" s="3"/>
      <c r="E804" s="3"/>
      <c r="F804" s="3"/>
      <c r="J804" s="3"/>
    </row>
    <row r="805" ht="15.75" customHeight="1">
      <c r="A805" s="3"/>
      <c r="B805" s="3"/>
      <c r="C805" s="3"/>
      <c r="D805" s="3"/>
      <c r="E805" s="3"/>
      <c r="F805" s="3"/>
      <c r="J805" s="3"/>
    </row>
    <row r="806" ht="15.75" customHeight="1">
      <c r="A806" s="3"/>
      <c r="B806" s="3"/>
      <c r="C806" s="3"/>
      <c r="D806" s="3"/>
      <c r="E806" s="3"/>
      <c r="F806" s="3"/>
      <c r="J806" s="3"/>
    </row>
    <row r="807" ht="15.75" customHeight="1">
      <c r="A807" s="3"/>
      <c r="B807" s="3"/>
      <c r="C807" s="3"/>
      <c r="D807" s="3"/>
      <c r="E807" s="3"/>
      <c r="F807" s="3"/>
      <c r="J807" s="3"/>
    </row>
    <row r="808" ht="15.75" customHeight="1">
      <c r="A808" s="3"/>
      <c r="B808" s="3"/>
      <c r="C808" s="3"/>
      <c r="D808" s="3"/>
      <c r="E808" s="3"/>
      <c r="F808" s="3"/>
      <c r="J808" s="3"/>
    </row>
    <row r="809" ht="15.75" customHeight="1">
      <c r="A809" s="3"/>
      <c r="B809" s="3"/>
      <c r="C809" s="3"/>
      <c r="D809" s="3"/>
      <c r="E809" s="3"/>
      <c r="F809" s="3"/>
      <c r="J809" s="3"/>
    </row>
    <row r="810" ht="15.75" customHeight="1">
      <c r="A810" s="3"/>
      <c r="B810" s="3"/>
      <c r="C810" s="3"/>
      <c r="D810" s="3"/>
      <c r="E810" s="3"/>
      <c r="F810" s="3"/>
      <c r="J810" s="3"/>
    </row>
    <row r="811" ht="15.75" customHeight="1">
      <c r="A811" s="3"/>
      <c r="B811" s="3"/>
      <c r="C811" s="3"/>
      <c r="D811" s="3"/>
      <c r="E811" s="3"/>
      <c r="F811" s="3"/>
      <c r="J811" s="3"/>
    </row>
    <row r="812" ht="15.75" customHeight="1">
      <c r="A812" s="3"/>
      <c r="B812" s="3"/>
      <c r="C812" s="3"/>
      <c r="D812" s="3"/>
      <c r="E812" s="3"/>
      <c r="F812" s="3"/>
      <c r="J812" s="3"/>
    </row>
    <row r="813" ht="15.75" customHeight="1">
      <c r="A813" s="3"/>
      <c r="B813" s="3"/>
      <c r="C813" s="3"/>
      <c r="D813" s="3"/>
      <c r="E813" s="3"/>
      <c r="F813" s="3"/>
      <c r="J813" s="3"/>
    </row>
    <row r="814" ht="15.75" customHeight="1">
      <c r="A814" s="3"/>
      <c r="B814" s="3"/>
      <c r="C814" s="3"/>
      <c r="D814" s="3"/>
      <c r="E814" s="3"/>
      <c r="F814" s="3"/>
      <c r="J814" s="3"/>
    </row>
    <row r="815" ht="15.75" customHeight="1">
      <c r="A815" s="3"/>
      <c r="B815" s="3"/>
      <c r="C815" s="3"/>
      <c r="D815" s="3"/>
      <c r="E815" s="3"/>
      <c r="F815" s="3"/>
      <c r="J815" s="3"/>
    </row>
    <row r="816" ht="15.75" customHeight="1">
      <c r="A816" s="3"/>
      <c r="B816" s="3"/>
      <c r="C816" s="3"/>
      <c r="D816" s="3"/>
      <c r="E816" s="3"/>
      <c r="F816" s="3"/>
      <c r="J816" s="3"/>
    </row>
    <row r="817" ht="15.75" customHeight="1">
      <c r="A817" s="3"/>
      <c r="B817" s="3"/>
      <c r="C817" s="3"/>
      <c r="D817" s="3"/>
      <c r="E817" s="3"/>
      <c r="F817" s="3"/>
      <c r="J817" s="3"/>
    </row>
    <row r="818" ht="15.75" customHeight="1">
      <c r="A818" s="3"/>
      <c r="B818" s="3"/>
      <c r="C818" s="3"/>
      <c r="D818" s="3"/>
      <c r="E818" s="3"/>
      <c r="F818" s="3"/>
      <c r="J818" s="3"/>
    </row>
    <row r="819" ht="15.75" customHeight="1">
      <c r="A819" s="3"/>
      <c r="B819" s="3"/>
      <c r="C819" s="3"/>
      <c r="D819" s="3"/>
      <c r="E819" s="3"/>
      <c r="F819" s="3"/>
      <c r="J819" s="3"/>
    </row>
    <row r="820" ht="15.75" customHeight="1">
      <c r="A820" s="3"/>
      <c r="B820" s="3"/>
      <c r="C820" s="3"/>
      <c r="D820" s="3"/>
      <c r="E820" s="3"/>
      <c r="F820" s="3"/>
      <c r="J820" s="3"/>
    </row>
    <row r="821" ht="15.75" customHeight="1">
      <c r="A821" s="3"/>
      <c r="B821" s="3"/>
      <c r="C821" s="3"/>
      <c r="D821" s="3"/>
      <c r="E821" s="3"/>
      <c r="F821" s="3"/>
      <c r="J821" s="3"/>
    </row>
    <row r="822" ht="15.75" customHeight="1">
      <c r="A822" s="3"/>
      <c r="B822" s="3"/>
      <c r="C822" s="3"/>
      <c r="D822" s="3"/>
      <c r="E822" s="3"/>
      <c r="F822" s="3"/>
      <c r="J822" s="3"/>
    </row>
    <row r="823" ht="15.75" customHeight="1">
      <c r="A823" s="3"/>
      <c r="B823" s="3"/>
      <c r="C823" s="3"/>
      <c r="D823" s="3"/>
      <c r="E823" s="3"/>
      <c r="F823" s="3"/>
      <c r="J823" s="3"/>
    </row>
    <row r="824" ht="15.75" customHeight="1">
      <c r="A824" s="3"/>
      <c r="B824" s="3"/>
      <c r="C824" s="3"/>
      <c r="D824" s="3"/>
      <c r="E824" s="3"/>
      <c r="F824" s="3"/>
      <c r="J824" s="3"/>
    </row>
    <row r="825" ht="15.75" customHeight="1">
      <c r="A825" s="3"/>
      <c r="B825" s="3"/>
      <c r="C825" s="3"/>
      <c r="D825" s="3"/>
      <c r="E825" s="3"/>
      <c r="F825" s="3"/>
      <c r="J825" s="3"/>
    </row>
    <row r="826" ht="15.75" customHeight="1">
      <c r="A826" s="3"/>
      <c r="B826" s="3"/>
      <c r="C826" s="3"/>
      <c r="D826" s="3"/>
      <c r="E826" s="3"/>
      <c r="F826" s="3"/>
      <c r="J826" s="3"/>
    </row>
    <row r="827" ht="15.75" customHeight="1">
      <c r="A827" s="3"/>
      <c r="B827" s="3"/>
      <c r="C827" s="3"/>
      <c r="D827" s="3"/>
      <c r="E827" s="3"/>
      <c r="F827" s="3"/>
      <c r="J827" s="3"/>
    </row>
    <row r="828" ht="15.75" customHeight="1">
      <c r="A828" s="3"/>
      <c r="B828" s="3"/>
      <c r="C828" s="3"/>
      <c r="D828" s="3"/>
      <c r="E828" s="3"/>
      <c r="F828" s="3"/>
      <c r="J828" s="3"/>
    </row>
    <row r="829" ht="15.75" customHeight="1">
      <c r="A829" s="3"/>
      <c r="B829" s="3"/>
      <c r="C829" s="3"/>
      <c r="D829" s="3"/>
      <c r="E829" s="3"/>
      <c r="F829" s="3"/>
      <c r="J829" s="3"/>
    </row>
    <row r="830" ht="15.75" customHeight="1">
      <c r="A830" s="3"/>
      <c r="B830" s="3"/>
      <c r="C830" s="3"/>
      <c r="D830" s="3"/>
      <c r="E830" s="3"/>
      <c r="F830" s="3"/>
      <c r="J830" s="3"/>
    </row>
    <row r="831" ht="15.75" customHeight="1">
      <c r="A831" s="3"/>
      <c r="B831" s="3"/>
      <c r="C831" s="3"/>
      <c r="D831" s="3"/>
      <c r="E831" s="3"/>
      <c r="F831" s="3"/>
      <c r="J831" s="3"/>
    </row>
    <row r="832" ht="15.75" customHeight="1">
      <c r="A832" s="3"/>
      <c r="B832" s="3"/>
      <c r="C832" s="3"/>
      <c r="D832" s="3"/>
      <c r="E832" s="3"/>
      <c r="F832" s="3"/>
      <c r="J832" s="3"/>
    </row>
    <row r="833" ht="15.75" customHeight="1">
      <c r="A833" s="3"/>
      <c r="B833" s="3"/>
      <c r="C833" s="3"/>
      <c r="D833" s="3"/>
      <c r="E833" s="3"/>
      <c r="F833" s="3"/>
      <c r="J833" s="3"/>
    </row>
    <row r="834" ht="15.75" customHeight="1">
      <c r="A834" s="3"/>
      <c r="B834" s="3"/>
      <c r="C834" s="3"/>
      <c r="D834" s="3"/>
      <c r="E834" s="3"/>
      <c r="F834" s="3"/>
      <c r="J834" s="3"/>
    </row>
    <row r="835" ht="15.75" customHeight="1">
      <c r="A835" s="3"/>
      <c r="B835" s="3"/>
      <c r="C835" s="3"/>
      <c r="D835" s="3"/>
      <c r="E835" s="3"/>
      <c r="F835" s="3"/>
      <c r="J835" s="3"/>
    </row>
    <row r="836" ht="15.75" customHeight="1">
      <c r="A836" s="3"/>
      <c r="B836" s="3"/>
      <c r="C836" s="3"/>
      <c r="D836" s="3"/>
      <c r="E836" s="3"/>
      <c r="F836" s="3"/>
      <c r="J836" s="3"/>
    </row>
    <row r="837" ht="15.75" customHeight="1">
      <c r="A837" s="3"/>
      <c r="B837" s="3"/>
      <c r="C837" s="3"/>
      <c r="D837" s="3"/>
      <c r="E837" s="3"/>
      <c r="F837" s="3"/>
      <c r="J837" s="3"/>
    </row>
    <row r="838" ht="15.75" customHeight="1">
      <c r="A838" s="3"/>
      <c r="B838" s="3"/>
      <c r="C838" s="3"/>
      <c r="D838" s="3"/>
      <c r="E838" s="3"/>
      <c r="F838" s="3"/>
      <c r="J838" s="3"/>
    </row>
    <row r="839" ht="15.75" customHeight="1">
      <c r="A839" s="3"/>
      <c r="B839" s="3"/>
      <c r="C839" s="3"/>
      <c r="D839" s="3"/>
      <c r="E839" s="3"/>
      <c r="F839" s="3"/>
      <c r="J839" s="3"/>
    </row>
    <row r="840" ht="15.75" customHeight="1">
      <c r="A840" s="3"/>
      <c r="B840" s="3"/>
      <c r="C840" s="3"/>
      <c r="D840" s="3"/>
      <c r="E840" s="3"/>
      <c r="F840" s="3"/>
      <c r="J840" s="3"/>
    </row>
    <row r="841" ht="15.75" customHeight="1">
      <c r="A841" s="3"/>
      <c r="B841" s="3"/>
      <c r="C841" s="3"/>
      <c r="D841" s="3"/>
      <c r="E841" s="3"/>
      <c r="F841" s="3"/>
      <c r="J841" s="3"/>
    </row>
    <row r="842" ht="15.75" customHeight="1">
      <c r="A842" s="3"/>
      <c r="B842" s="3"/>
      <c r="C842" s="3"/>
      <c r="D842" s="3"/>
      <c r="E842" s="3"/>
      <c r="F842" s="3"/>
      <c r="J842" s="3"/>
    </row>
    <row r="843" ht="15.75" customHeight="1">
      <c r="A843" s="3"/>
      <c r="B843" s="3"/>
      <c r="C843" s="3"/>
      <c r="D843" s="3"/>
      <c r="E843" s="3"/>
      <c r="F843" s="3"/>
      <c r="J843" s="3"/>
    </row>
    <row r="844" ht="15.75" customHeight="1">
      <c r="A844" s="3"/>
      <c r="B844" s="3"/>
      <c r="C844" s="3"/>
      <c r="D844" s="3"/>
      <c r="E844" s="3"/>
      <c r="F844" s="3"/>
      <c r="J844" s="3"/>
    </row>
    <row r="845" ht="15.75" customHeight="1">
      <c r="A845" s="3"/>
      <c r="B845" s="3"/>
      <c r="C845" s="3"/>
      <c r="D845" s="3"/>
      <c r="E845" s="3"/>
      <c r="F845" s="3"/>
      <c r="J845" s="3"/>
    </row>
    <row r="846" ht="15.75" customHeight="1">
      <c r="A846" s="3"/>
      <c r="B846" s="3"/>
      <c r="C846" s="3"/>
      <c r="D846" s="3"/>
      <c r="E846" s="3"/>
      <c r="F846" s="3"/>
      <c r="J846" s="3"/>
    </row>
    <row r="847" ht="15.75" customHeight="1">
      <c r="A847" s="3"/>
      <c r="B847" s="3"/>
      <c r="C847" s="3"/>
      <c r="D847" s="3"/>
      <c r="E847" s="3"/>
      <c r="F847" s="3"/>
      <c r="J847" s="3"/>
    </row>
    <row r="848" ht="15.75" customHeight="1">
      <c r="A848" s="3"/>
      <c r="B848" s="3"/>
      <c r="C848" s="3"/>
      <c r="D848" s="3"/>
      <c r="E848" s="3"/>
      <c r="F848" s="3"/>
      <c r="J848" s="3"/>
    </row>
    <row r="849" ht="15.75" customHeight="1">
      <c r="A849" s="3"/>
      <c r="B849" s="3"/>
      <c r="C849" s="3"/>
      <c r="D849" s="3"/>
      <c r="E849" s="3"/>
      <c r="F849" s="3"/>
      <c r="J849" s="3"/>
    </row>
    <row r="850" ht="15.75" customHeight="1">
      <c r="A850" s="3"/>
      <c r="B850" s="3"/>
      <c r="C850" s="3"/>
      <c r="D850" s="3"/>
      <c r="E850" s="3"/>
      <c r="F850" s="3"/>
      <c r="J850" s="3"/>
    </row>
    <row r="851" ht="15.75" customHeight="1">
      <c r="A851" s="3"/>
      <c r="B851" s="3"/>
      <c r="C851" s="3"/>
      <c r="D851" s="3"/>
      <c r="E851" s="3"/>
      <c r="F851" s="3"/>
      <c r="J851" s="3"/>
    </row>
    <row r="852" ht="15.75" customHeight="1">
      <c r="A852" s="3"/>
      <c r="B852" s="3"/>
      <c r="C852" s="3"/>
      <c r="D852" s="3"/>
      <c r="E852" s="3"/>
      <c r="F852" s="3"/>
      <c r="J852" s="3"/>
    </row>
    <row r="853" ht="15.75" customHeight="1">
      <c r="A853" s="3"/>
      <c r="B853" s="3"/>
      <c r="C853" s="3"/>
      <c r="D853" s="3"/>
      <c r="E853" s="3"/>
      <c r="F853" s="3"/>
      <c r="J853" s="3"/>
    </row>
    <row r="854" ht="15.75" customHeight="1">
      <c r="A854" s="3"/>
      <c r="B854" s="3"/>
      <c r="C854" s="3"/>
      <c r="D854" s="3"/>
      <c r="E854" s="3"/>
      <c r="F854" s="3"/>
      <c r="J854" s="3"/>
    </row>
    <row r="855" ht="15.75" customHeight="1">
      <c r="A855" s="3"/>
      <c r="B855" s="3"/>
      <c r="C855" s="3"/>
      <c r="D855" s="3"/>
      <c r="E855" s="3"/>
      <c r="F855" s="3"/>
      <c r="J855" s="3"/>
    </row>
    <row r="856" ht="15.75" customHeight="1">
      <c r="A856" s="3"/>
      <c r="B856" s="3"/>
      <c r="C856" s="3"/>
      <c r="D856" s="3"/>
      <c r="E856" s="3"/>
      <c r="F856" s="3"/>
      <c r="J856" s="3"/>
    </row>
    <row r="857" ht="15.75" customHeight="1">
      <c r="A857" s="3"/>
      <c r="B857" s="3"/>
      <c r="C857" s="3"/>
      <c r="D857" s="3"/>
      <c r="E857" s="3"/>
      <c r="F857" s="3"/>
      <c r="J857" s="3"/>
    </row>
    <row r="858" ht="15.75" customHeight="1">
      <c r="A858" s="3"/>
      <c r="B858" s="3"/>
      <c r="C858" s="3"/>
      <c r="D858" s="3"/>
      <c r="E858" s="3"/>
      <c r="F858" s="3"/>
      <c r="J858" s="3"/>
    </row>
    <row r="859" ht="15.75" customHeight="1">
      <c r="A859" s="3"/>
      <c r="B859" s="3"/>
      <c r="C859" s="3"/>
      <c r="D859" s="3"/>
      <c r="E859" s="3"/>
      <c r="F859" s="3"/>
      <c r="J859" s="3"/>
    </row>
    <row r="860" ht="15.75" customHeight="1">
      <c r="A860" s="3"/>
      <c r="B860" s="3"/>
      <c r="C860" s="3"/>
      <c r="D860" s="3"/>
      <c r="E860" s="3"/>
      <c r="F860" s="3"/>
      <c r="J860" s="3"/>
    </row>
    <row r="861" ht="15.75" customHeight="1">
      <c r="A861" s="3"/>
      <c r="B861" s="3"/>
      <c r="C861" s="3"/>
      <c r="D861" s="3"/>
      <c r="E861" s="3"/>
      <c r="F861" s="3"/>
      <c r="J861" s="3"/>
    </row>
    <row r="862" ht="15.75" customHeight="1">
      <c r="A862" s="3"/>
      <c r="B862" s="3"/>
      <c r="C862" s="3"/>
      <c r="D862" s="3"/>
      <c r="E862" s="3"/>
      <c r="F862" s="3"/>
      <c r="J862" s="3"/>
    </row>
    <row r="863" ht="15.75" customHeight="1">
      <c r="A863" s="3"/>
      <c r="B863" s="3"/>
      <c r="C863" s="3"/>
      <c r="D863" s="3"/>
      <c r="E863" s="3"/>
      <c r="F863" s="3"/>
      <c r="J863" s="3"/>
    </row>
    <row r="864" ht="15.75" customHeight="1">
      <c r="A864" s="3"/>
      <c r="B864" s="3"/>
      <c r="C864" s="3"/>
      <c r="D864" s="3"/>
      <c r="E864" s="3"/>
      <c r="F864" s="3"/>
      <c r="J864" s="3"/>
    </row>
    <row r="865" ht="15.75" customHeight="1">
      <c r="A865" s="3"/>
      <c r="B865" s="3"/>
      <c r="C865" s="3"/>
      <c r="D865" s="3"/>
      <c r="E865" s="3"/>
      <c r="F865" s="3"/>
      <c r="J865" s="3"/>
    </row>
    <row r="866" ht="15.75" customHeight="1">
      <c r="A866" s="3"/>
      <c r="B866" s="3"/>
      <c r="C866" s="3"/>
      <c r="D866" s="3"/>
      <c r="E866" s="3"/>
      <c r="F866" s="3"/>
      <c r="J866" s="3"/>
    </row>
    <row r="867" ht="15.75" customHeight="1">
      <c r="A867" s="3"/>
      <c r="B867" s="3"/>
      <c r="C867" s="3"/>
      <c r="D867" s="3"/>
      <c r="E867" s="3"/>
      <c r="F867" s="3"/>
      <c r="J867" s="3"/>
    </row>
    <row r="868" ht="15.75" customHeight="1">
      <c r="A868" s="3"/>
      <c r="B868" s="3"/>
      <c r="C868" s="3"/>
      <c r="D868" s="3"/>
      <c r="E868" s="3"/>
      <c r="F868" s="3"/>
      <c r="J868" s="3"/>
    </row>
    <row r="869" ht="15.75" customHeight="1">
      <c r="A869" s="3"/>
      <c r="B869" s="3"/>
      <c r="C869" s="3"/>
      <c r="D869" s="3"/>
      <c r="E869" s="3"/>
      <c r="F869" s="3"/>
      <c r="J869" s="3"/>
    </row>
    <row r="870" ht="15.75" customHeight="1">
      <c r="A870" s="3"/>
      <c r="B870" s="3"/>
      <c r="C870" s="3"/>
      <c r="D870" s="3"/>
      <c r="E870" s="3"/>
      <c r="F870" s="3"/>
      <c r="J870" s="3"/>
    </row>
    <row r="871" ht="15.75" customHeight="1">
      <c r="A871" s="3"/>
      <c r="B871" s="3"/>
      <c r="C871" s="3"/>
      <c r="D871" s="3"/>
      <c r="E871" s="3"/>
      <c r="F871" s="3"/>
      <c r="J871" s="3"/>
    </row>
    <row r="872" ht="15.75" customHeight="1">
      <c r="A872" s="3"/>
      <c r="B872" s="3"/>
      <c r="C872" s="3"/>
      <c r="D872" s="3"/>
      <c r="E872" s="3"/>
      <c r="F872" s="3"/>
      <c r="J872" s="3"/>
    </row>
    <row r="873" ht="15.75" customHeight="1">
      <c r="A873" s="3"/>
      <c r="B873" s="3"/>
      <c r="C873" s="3"/>
      <c r="D873" s="3"/>
      <c r="E873" s="3"/>
      <c r="F873" s="3"/>
      <c r="J873" s="3"/>
    </row>
    <row r="874" ht="15.75" customHeight="1">
      <c r="A874" s="3"/>
      <c r="B874" s="3"/>
      <c r="C874" s="3"/>
      <c r="D874" s="3"/>
      <c r="E874" s="3"/>
      <c r="F874" s="3"/>
      <c r="J874" s="3"/>
    </row>
    <row r="875" ht="15.75" customHeight="1">
      <c r="A875" s="3"/>
      <c r="B875" s="3"/>
      <c r="C875" s="3"/>
      <c r="D875" s="3"/>
      <c r="E875" s="3"/>
      <c r="F875" s="3"/>
      <c r="J875" s="3"/>
    </row>
    <row r="876" ht="15.75" customHeight="1">
      <c r="A876" s="3"/>
      <c r="B876" s="3"/>
      <c r="C876" s="3"/>
      <c r="D876" s="3"/>
      <c r="E876" s="3"/>
      <c r="F876" s="3"/>
      <c r="J876" s="3"/>
    </row>
    <row r="877" ht="15.75" customHeight="1">
      <c r="A877" s="3"/>
      <c r="B877" s="3"/>
      <c r="C877" s="3"/>
      <c r="D877" s="3"/>
      <c r="E877" s="3"/>
      <c r="F877" s="3"/>
      <c r="J877" s="3"/>
    </row>
    <row r="878" ht="15.75" customHeight="1">
      <c r="A878" s="3"/>
      <c r="B878" s="3"/>
      <c r="C878" s="3"/>
      <c r="D878" s="3"/>
      <c r="E878" s="3"/>
      <c r="F878" s="3"/>
      <c r="J878" s="3"/>
    </row>
    <row r="879" ht="15.75" customHeight="1">
      <c r="A879" s="3"/>
      <c r="B879" s="3"/>
      <c r="C879" s="3"/>
      <c r="D879" s="3"/>
      <c r="E879" s="3"/>
      <c r="F879" s="3"/>
      <c r="J879" s="3"/>
    </row>
    <row r="880" ht="15.75" customHeight="1">
      <c r="A880" s="3"/>
      <c r="B880" s="3"/>
      <c r="C880" s="3"/>
      <c r="D880" s="3"/>
      <c r="E880" s="3"/>
      <c r="F880" s="3"/>
      <c r="J880" s="3"/>
    </row>
    <row r="881" ht="15.75" customHeight="1">
      <c r="A881" s="3"/>
      <c r="B881" s="3"/>
      <c r="C881" s="3"/>
      <c r="D881" s="3"/>
      <c r="E881" s="3"/>
      <c r="F881" s="3"/>
      <c r="J881" s="3"/>
    </row>
    <row r="882" ht="15.75" customHeight="1">
      <c r="A882" s="3"/>
      <c r="B882" s="3"/>
      <c r="C882" s="3"/>
      <c r="D882" s="3"/>
      <c r="E882" s="3"/>
      <c r="F882" s="3"/>
      <c r="J882" s="3"/>
    </row>
    <row r="883" ht="15.75" customHeight="1">
      <c r="A883" s="3"/>
      <c r="B883" s="3"/>
      <c r="C883" s="3"/>
      <c r="D883" s="3"/>
      <c r="E883" s="3"/>
      <c r="F883" s="3"/>
      <c r="J883" s="3"/>
    </row>
    <row r="884" ht="15.75" customHeight="1">
      <c r="A884" s="3"/>
      <c r="B884" s="3"/>
      <c r="C884" s="3"/>
      <c r="D884" s="3"/>
      <c r="E884" s="3"/>
      <c r="F884" s="3"/>
      <c r="J884" s="3"/>
    </row>
    <row r="885" ht="15.75" customHeight="1">
      <c r="A885" s="3"/>
      <c r="B885" s="3"/>
      <c r="C885" s="3"/>
      <c r="D885" s="3"/>
      <c r="E885" s="3"/>
      <c r="F885" s="3"/>
      <c r="J885" s="3"/>
    </row>
    <row r="886" ht="15.75" customHeight="1">
      <c r="A886" s="3"/>
      <c r="B886" s="3"/>
      <c r="C886" s="3"/>
      <c r="D886" s="3"/>
      <c r="E886" s="3"/>
      <c r="F886" s="3"/>
      <c r="J886" s="3"/>
    </row>
    <row r="887" ht="15.75" customHeight="1">
      <c r="A887" s="3"/>
      <c r="B887" s="3"/>
      <c r="C887" s="3"/>
      <c r="D887" s="3"/>
      <c r="E887" s="3"/>
      <c r="F887" s="3"/>
      <c r="J887" s="3"/>
    </row>
    <row r="888" ht="15.75" customHeight="1">
      <c r="A888" s="3"/>
      <c r="B888" s="3"/>
      <c r="C888" s="3"/>
      <c r="D888" s="3"/>
      <c r="E888" s="3"/>
      <c r="F888" s="3"/>
      <c r="J888" s="3"/>
    </row>
    <row r="889" ht="15.75" customHeight="1">
      <c r="A889" s="3"/>
      <c r="B889" s="3"/>
      <c r="C889" s="3"/>
      <c r="D889" s="3"/>
      <c r="E889" s="3"/>
      <c r="F889" s="3"/>
      <c r="J889" s="3"/>
    </row>
    <row r="890" ht="15.75" customHeight="1">
      <c r="A890" s="3"/>
      <c r="B890" s="3"/>
      <c r="C890" s="3"/>
      <c r="D890" s="3"/>
      <c r="E890" s="3"/>
      <c r="F890" s="3"/>
      <c r="J890" s="3"/>
    </row>
    <row r="891" ht="15.75" customHeight="1">
      <c r="A891" s="3"/>
      <c r="B891" s="3"/>
      <c r="C891" s="3"/>
      <c r="D891" s="3"/>
      <c r="E891" s="3"/>
      <c r="F891" s="3"/>
      <c r="J891" s="3"/>
    </row>
    <row r="892" ht="15.75" customHeight="1">
      <c r="A892" s="3"/>
      <c r="B892" s="3"/>
      <c r="C892" s="3"/>
      <c r="D892" s="3"/>
      <c r="E892" s="3"/>
      <c r="F892" s="3"/>
      <c r="J892" s="3"/>
    </row>
    <row r="893" ht="15.75" customHeight="1">
      <c r="A893" s="3"/>
      <c r="B893" s="3"/>
      <c r="C893" s="3"/>
      <c r="D893" s="3"/>
      <c r="E893" s="3"/>
      <c r="F893" s="3"/>
      <c r="J893" s="3"/>
    </row>
    <row r="894" ht="15.75" customHeight="1">
      <c r="A894" s="3"/>
      <c r="B894" s="3"/>
      <c r="C894" s="3"/>
      <c r="D894" s="3"/>
      <c r="E894" s="3"/>
      <c r="F894" s="3"/>
      <c r="J894" s="3"/>
    </row>
    <row r="895" ht="15.75" customHeight="1">
      <c r="A895" s="3"/>
      <c r="B895" s="3"/>
      <c r="C895" s="3"/>
      <c r="D895" s="3"/>
      <c r="E895" s="3"/>
      <c r="F895" s="3"/>
      <c r="J895" s="3"/>
    </row>
    <row r="896" ht="15.75" customHeight="1">
      <c r="A896" s="3"/>
      <c r="B896" s="3"/>
      <c r="C896" s="3"/>
      <c r="D896" s="3"/>
      <c r="E896" s="3"/>
      <c r="F896" s="3"/>
      <c r="J896" s="3"/>
    </row>
    <row r="897" ht="15.75" customHeight="1">
      <c r="A897" s="3"/>
      <c r="B897" s="3"/>
      <c r="C897" s="3"/>
      <c r="D897" s="3"/>
      <c r="E897" s="3"/>
      <c r="F897" s="3"/>
      <c r="J897" s="3"/>
    </row>
    <row r="898" ht="15.75" customHeight="1">
      <c r="A898" s="3"/>
      <c r="B898" s="3"/>
      <c r="C898" s="3"/>
      <c r="D898" s="3"/>
      <c r="E898" s="3"/>
      <c r="F898" s="3"/>
      <c r="J898" s="3"/>
    </row>
    <row r="899" ht="15.75" customHeight="1">
      <c r="A899" s="3"/>
      <c r="B899" s="3"/>
      <c r="C899" s="3"/>
      <c r="D899" s="3"/>
      <c r="E899" s="3"/>
      <c r="F899" s="3"/>
      <c r="J899" s="3"/>
    </row>
    <row r="900" ht="15.75" customHeight="1">
      <c r="A900" s="3"/>
      <c r="B900" s="3"/>
      <c r="C900" s="3"/>
      <c r="D900" s="3"/>
      <c r="E900" s="3"/>
      <c r="F900" s="3"/>
      <c r="J900" s="3"/>
    </row>
    <row r="901" ht="15.75" customHeight="1">
      <c r="A901" s="3"/>
      <c r="B901" s="3"/>
      <c r="C901" s="3"/>
      <c r="D901" s="3"/>
      <c r="E901" s="3"/>
      <c r="F901" s="3"/>
      <c r="J901" s="3"/>
    </row>
    <row r="902" ht="15.75" customHeight="1">
      <c r="A902" s="3"/>
      <c r="B902" s="3"/>
      <c r="C902" s="3"/>
      <c r="D902" s="3"/>
      <c r="E902" s="3"/>
      <c r="F902" s="3"/>
      <c r="J902" s="3"/>
    </row>
    <row r="903" ht="15.75" customHeight="1">
      <c r="A903" s="3"/>
      <c r="B903" s="3"/>
      <c r="C903" s="3"/>
      <c r="D903" s="3"/>
      <c r="E903" s="3"/>
      <c r="F903" s="3"/>
      <c r="J903" s="3"/>
    </row>
    <row r="904" ht="15.75" customHeight="1">
      <c r="A904" s="3"/>
      <c r="B904" s="3"/>
      <c r="C904" s="3"/>
      <c r="D904" s="3"/>
      <c r="E904" s="3"/>
      <c r="F904" s="3"/>
      <c r="J904" s="3"/>
    </row>
    <row r="905" ht="15.75" customHeight="1">
      <c r="A905" s="3"/>
      <c r="B905" s="3"/>
      <c r="C905" s="3"/>
      <c r="D905" s="3"/>
      <c r="E905" s="3"/>
      <c r="F905" s="3"/>
      <c r="J905" s="3"/>
    </row>
    <row r="906" ht="15.75" customHeight="1">
      <c r="A906" s="3"/>
      <c r="B906" s="3"/>
      <c r="C906" s="3"/>
      <c r="D906" s="3"/>
      <c r="E906" s="3"/>
      <c r="F906" s="3"/>
      <c r="J906" s="3"/>
    </row>
    <row r="907" ht="15.75" customHeight="1">
      <c r="A907" s="3"/>
      <c r="B907" s="3"/>
      <c r="C907" s="3"/>
      <c r="D907" s="3"/>
      <c r="E907" s="3"/>
      <c r="F907" s="3"/>
      <c r="J907" s="3"/>
    </row>
    <row r="908" ht="15.75" customHeight="1">
      <c r="A908" s="3"/>
      <c r="B908" s="3"/>
      <c r="C908" s="3"/>
      <c r="D908" s="3"/>
      <c r="E908" s="3"/>
      <c r="F908" s="3"/>
      <c r="J908" s="3"/>
    </row>
    <row r="909" ht="15.75" customHeight="1">
      <c r="A909" s="3"/>
      <c r="B909" s="3"/>
      <c r="C909" s="3"/>
      <c r="D909" s="3"/>
      <c r="E909" s="3"/>
      <c r="F909" s="3"/>
      <c r="J909" s="3"/>
    </row>
    <row r="910" ht="15.75" customHeight="1">
      <c r="A910" s="3"/>
      <c r="B910" s="3"/>
      <c r="C910" s="3"/>
      <c r="D910" s="3"/>
      <c r="E910" s="3"/>
      <c r="F910" s="3"/>
      <c r="J910" s="3"/>
    </row>
    <row r="911" ht="15.75" customHeight="1">
      <c r="A911" s="3"/>
      <c r="B911" s="3"/>
      <c r="C911" s="3"/>
      <c r="D911" s="3"/>
      <c r="E911" s="3"/>
      <c r="F911" s="3"/>
      <c r="J911" s="3"/>
    </row>
    <row r="912" ht="15.75" customHeight="1">
      <c r="A912" s="3"/>
      <c r="B912" s="3"/>
      <c r="C912" s="3"/>
      <c r="D912" s="3"/>
      <c r="E912" s="3"/>
      <c r="F912" s="3"/>
      <c r="J912" s="3"/>
    </row>
    <row r="913" ht="15.75" customHeight="1">
      <c r="A913" s="3"/>
      <c r="B913" s="3"/>
      <c r="C913" s="3"/>
      <c r="D913" s="3"/>
      <c r="E913" s="3"/>
      <c r="F913" s="3"/>
      <c r="J913" s="3"/>
    </row>
    <row r="914" ht="15.75" customHeight="1">
      <c r="A914" s="3"/>
      <c r="B914" s="3"/>
      <c r="C914" s="3"/>
      <c r="D914" s="3"/>
      <c r="E914" s="3"/>
      <c r="F914" s="3"/>
      <c r="J914" s="3"/>
    </row>
    <row r="915" ht="15.75" customHeight="1">
      <c r="A915" s="3"/>
      <c r="B915" s="3"/>
      <c r="C915" s="3"/>
      <c r="D915" s="3"/>
      <c r="E915" s="3"/>
      <c r="F915" s="3"/>
      <c r="J915" s="3"/>
    </row>
    <row r="916" ht="15.75" customHeight="1">
      <c r="A916" s="3"/>
      <c r="B916" s="3"/>
      <c r="C916" s="3"/>
      <c r="D916" s="3"/>
      <c r="E916" s="3"/>
      <c r="F916" s="3"/>
      <c r="J916" s="3"/>
    </row>
    <row r="917" ht="15.75" customHeight="1">
      <c r="A917" s="3"/>
      <c r="B917" s="3"/>
      <c r="C917" s="3"/>
      <c r="D917" s="3"/>
      <c r="E917" s="3"/>
      <c r="F917" s="3"/>
      <c r="J917" s="3"/>
    </row>
    <row r="918" ht="15.75" customHeight="1">
      <c r="A918" s="3"/>
      <c r="B918" s="3"/>
      <c r="C918" s="3"/>
      <c r="D918" s="3"/>
      <c r="E918" s="3"/>
      <c r="F918" s="3"/>
      <c r="J918" s="3"/>
    </row>
    <row r="919" ht="15.75" customHeight="1">
      <c r="A919" s="3"/>
      <c r="B919" s="3"/>
      <c r="C919" s="3"/>
      <c r="D919" s="3"/>
      <c r="E919" s="3"/>
      <c r="F919" s="3"/>
      <c r="J919" s="3"/>
    </row>
    <row r="920" ht="15.75" customHeight="1">
      <c r="A920" s="3"/>
      <c r="B920" s="3"/>
      <c r="C920" s="3"/>
      <c r="D920" s="3"/>
      <c r="E920" s="3"/>
      <c r="F920" s="3"/>
      <c r="J920" s="3"/>
    </row>
    <row r="921" ht="15.75" customHeight="1">
      <c r="A921" s="3"/>
      <c r="B921" s="3"/>
      <c r="C921" s="3"/>
      <c r="D921" s="3"/>
      <c r="E921" s="3"/>
      <c r="F921" s="3"/>
      <c r="J921" s="3"/>
    </row>
    <row r="922" ht="15.75" customHeight="1">
      <c r="A922" s="3"/>
      <c r="B922" s="3"/>
      <c r="C922" s="3"/>
      <c r="D922" s="3"/>
      <c r="E922" s="3"/>
      <c r="F922" s="3"/>
      <c r="J922" s="3"/>
    </row>
    <row r="923" ht="15.75" customHeight="1">
      <c r="A923" s="3"/>
      <c r="B923" s="3"/>
      <c r="C923" s="3"/>
      <c r="D923" s="3"/>
      <c r="E923" s="3"/>
      <c r="F923" s="3"/>
      <c r="J923" s="3"/>
    </row>
    <row r="924" ht="15.75" customHeight="1">
      <c r="A924" s="3"/>
      <c r="B924" s="3"/>
      <c r="C924" s="3"/>
      <c r="D924" s="3"/>
      <c r="E924" s="3"/>
      <c r="F924" s="3"/>
      <c r="J924" s="3"/>
    </row>
    <row r="925" ht="15.75" customHeight="1">
      <c r="A925" s="3"/>
      <c r="B925" s="3"/>
      <c r="C925" s="3"/>
      <c r="D925" s="3"/>
      <c r="E925" s="3"/>
      <c r="F925" s="3"/>
      <c r="J925" s="3"/>
    </row>
    <row r="926" ht="15.75" customHeight="1">
      <c r="A926" s="3"/>
      <c r="B926" s="3"/>
      <c r="C926" s="3"/>
      <c r="D926" s="3"/>
      <c r="E926" s="3"/>
      <c r="F926" s="3"/>
      <c r="J926" s="3"/>
    </row>
    <row r="927" ht="15.75" customHeight="1">
      <c r="A927" s="3"/>
      <c r="B927" s="3"/>
      <c r="C927" s="3"/>
      <c r="D927" s="3"/>
      <c r="E927" s="3"/>
      <c r="F927" s="3"/>
      <c r="J927" s="3"/>
    </row>
    <row r="928" ht="15.75" customHeight="1">
      <c r="A928" s="3"/>
      <c r="B928" s="3"/>
      <c r="C928" s="3"/>
      <c r="D928" s="3"/>
      <c r="E928" s="3"/>
      <c r="F928" s="3"/>
      <c r="J928" s="3"/>
    </row>
    <row r="929" ht="15.75" customHeight="1">
      <c r="A929" s="3"/>
      <c r="B929" s="3"/>
      <c r="C929" s="3"/>
      <c r="D929" s="3"/>
      <c r="E929" s="3"/>
      <c r="F929" s="3"/>
      <c r="J929" s="3"/>
    </row>
    <row r="930" ht="15.75" customHeight="1">
      <c r="A930" s="3"/>
      <c r="B930" s="3"/>
      <c r="C930" s="3"/>
      <c r="D930" s="3"/>
      <c r="E930" s="3"/>
      <c r="F930" s="3"/>
      <c r="J930" s="3"/>
    </row>
    <row r="931" ht="15.75" customHeight="1">
      <c r="A931" s="3"/>
      <c r="B931" s="3"/>
      <c r="C931" s="3"/>
      <c r="D931" s="3"/>
      <c r="E931" s="3"/>
      <c r="F931" s="3"/>
      <c r="J931" s="3"/>
    </row>
    <row r="932" ht="15.75" customHeight="1">
      <c r="A932" s="3"/>
      <c r="B932" s="3"/>
      <c r="C932" s="3"/>
      <c r="D932" s="3"/>
      <c r="E932" s="3"/>
      <c r="F932" s="3"/>
      <c r="J932" s="3"/>
    </row>
    <row r="933" ht="15.75" customHeight="1">
      <c r="A933" s="3"/>
      <c r="B933" s="3"/>
      <c r="C933" s="3"/>
      <c r="D933" s="3"/>
      <c r="E933" s="3"/>
      <c r="F933" s="3"/>
      <c r="J933" s="3"/>
    </row>
    <row r="934" ht="15.75" customHeight="1">
      <c r="A934" s="3"/>
      <c r="B934" s="3"/>
      <c r="C934" s="3"/>
      <c r="D934" s="3"/>
      <c r="E934" s="3"/>
      <c r="F934" s="3"/>
      <c r="J934" s="3"/>
    </row>
    <row r="935" ht="15.75" customHeight="1">
      <c r="A935" s="3"/>
      <c r="B935" s="3"/>
      <c r="C935" s="3"/>
      <c r="D935" s="3"/>
      <c r="E935" s="3"/>
      <c r="F935" s="3"/>
      <c r="J935" s="3"/>
    </row>
    <row r="936" ht="15.75" customHeight="1">
      <c r="A936" s="3"/>
      <c r="B936" s="3"/>
      <c r="C936" s="3"/>
      <c r="D936" s="3"/>
      <c r="E936" s="3"/>
      <c r="F936" s="3"/>
      <c r="J936" s="3"/>
    </row>
    <row r="937" ht="15.75" customHeight="1">
      <c r="A937" s="3"/>
      <c r="B937" s="3"/>
      <c r="C937" s="3"/>
      <c r="D937" s="3"/>
      <c r="E937" s="3"/>
      <c r="F937" s="3"/>
      <c r="J937" s="3"/>
    </row>
    <row r="938" ht="15.75" customHeight="1">
      <c r="A938" s="3"/>
      <c r="B938" s="3"/>
      <c r="C938" s="3"/>
      <c r="D938" s="3"/>
      <c r="E938" s="3"/>
      <c r="F938" s="3"/>
      <c r="J938" s="3"/>
    </row>
    <row r="939" ht="15.75" customHeight="1">
      <c r="A939" s="3"/>
      <c r="B939" s="3"/>
      <c r="C939" s="3"/>
      <c r="D939" s="3"/>
      <c r="E939" s="3"/>
      <c r="F939" s="3"/>
      <c r="J939" s="3"/>
    </row>
    <row r="940" ht="15.75" customHeight="1">
      <c r="A940" s="3"/>
      <c r="B940" s="3"/>
      <c r="C940" s="3"/>
      <c r="D940" s="3"/>
      <c r="E940" s="3"/>
      <c r="F940" s="3"/>
      <c r="J940" s="3"/>
    </row>
    <row r="941" ht="15.75" customHeight="1">
      <c r="A941" s="3"/>
      <c r="B941" s="3"/>
      <c r="C941" s="3"/>
      <c r="D941" s="3"/>
      <c r="E941" s="3"/>
      <c r="F941" s="3"/>
      <c r="J941" s="3"/>
    </row>
    <row r="942" ht="15.75" customHeight="1">
      <c r="A942" s="3"/>
      <c r="B942" s="3"/>
      <c r="C942" s="3"/>
      <c r="D942" s="3"/>
      <c r="E942" s="3"/>
      <c r="F942" s="3"/>
      <c r="J942" s="3"/>
    </row>
    <row r="943" ht="15.75" customHeight="1">
      <c r="A943" s="3"/>
      <c r="B943" s="3"/>
      <c r="C943" s="3"/>
      <c r="D943" s="3"/>
      <c r="E943" s="3"/>
      <c r="F943" s="3"/>
      <c r="J943" s="3"/>
    </row>
    <row r="944" ht="15.75" customHeight="1">
      <c r="A944" s="3"/>
      <c r="B944" s="3"/>
      <c r="C944" s="3"/>
      <c r="D944" s="3"/>
      <c r="E944" s="3"/>
      <c r="F944" s="3"/>
      <c r="J944" s="3"/>
    </row>
    <row r="945" ht="15.75" customHeight="1">
      <c r="A945" s="3"/>
      <c r="B945" s="3"/>
      <c r="C945" s="3"/>
      <c r="D945" s="3"/>
      <c r="E945" s="3"/>
      <c r="F945" s="3"/>
      <c r="J945" s="3"/>
    </row>
    <row r="946" ht="15.75" customHeight="1">
      <c r="A946" s="3"/>
      <c r="B946" s="3"/>
      <c r="C946" s="3"/>
      <c r="D946" s="3"/>
      <c r="E946" s="3"/>
      <c r="F946" s="3"/>
      <c r="J946" s="3"/>
    </row>
    <row r="947" ht="15.75" customHeight="1">
      <c r="A947" s="3"/>
      <c r="B947" s="3"/>
      <c r="C947" s="3"/>
      <c r="D947" s="3"/>
      <c r="E947" s="3"/>
      <c r="F947" s="3"/>
      <c r="J947" s="3"/>
    </row>
    <row r="948" ht="15.75" customHeight="1">
      <c r="A948" s="3"/>
      <c r="B948" s="3"/>
      <c r="C948" s="3"/>
      <c r="D948" s="3"/>
      <c r="E948" s="3"/>
      <c r="F948" s="3"/>
      <c r="J948" s="3"/>
    </row>
    <row r="949" ht="15.75" customHeight="1">
      <c r="A949" s="3"/>
      <c r="B949" s="3"/>
      <c r="C949" s="3"/>
      <c r="D949" s="3"/>
      <c r="E949" s="3"/>
      <c r="F949" s="3"/>
      <c r="J949" s="3"/>
    </row>
    <row r="950" ht="15.75" customHeight="1">
      <c r="A950" s="3"/>
      <c r="B950" s="3"/>
      <c r="C950" s="3"/>
      <c r="D950" s="3"/>
      <c r="E950" s="3"/>
      <c r="F950" s="3"/>
      <c r="J950" s="3"/>
    </row>
    <row r="951" ht="15.75" customHeight="1">
      <c r="A951" s="3"/>
      <c r="B951" s="3"/>
      <c r="C951" s="3"/>
      <c r="D951" s="3"/>
      <c r="E951" s="3"/>
      <c r="F951" s="3"/>
      <c r="J951" s="3"/>
    </row>
    <row r="952" ht="15.75" customHeight="1">
      <c r="A952" s="3"/>
      <c r="B952" s="3"/>
      <c r="C952" s="3"/>
      <c r="D952" s="3"/>
      <c r="E952" s="3"/>
      <c r="F952" s="3"/>
      <c r="J952" s="3"/>
    </row>
    <row r="953" ht="15.75" customHeight="1">
      <c r="A953" s="3"/>
      <c r="B953" s="3"/>
      <c r="C953" s="3"/>
      <c r="D953" s="3"/>
      <c r="E953" s="3"/>
      <c r="F953" s="3"/>
      <c r="J953" s="3"/>
    </row>
    <row r="954" ht="15.75" customHeight="1">
      <c r="A954" s="3"/>
      <c r="B954" s="3"/>
      <c r="C954" s="3"/>
      <c r="D954" s="3"/>
      <c r="E954" s="3"/>
      <c r="F954" s="3"/>
      <c r="J954" s="3"/>
    </row>
    <row r="955" ht="15.75" customHeight="1">
      <c r="A955" s="3"/>
      <c r="B955" s="3"/>
      <c r="C955" s="3"/>
      <c r="D955" s="3"/>
      <c r="E955" s="3"/>
      <c r="F955" s="3"/>
      <c r="J955" s="3"/>
    </row>
    <row r="956" ht="15.75" customHeight="1">
      <c r="A956" s="3"/>
      <c r="B956" s="3"/>
      <c r="C956" s="3"/>
      <c r="D956" s="3"/>
      <c r="E956" s="3"/>
      <c r="F956" s="3"/>
      <c r="J956" s="3"/>
    </row>
    <row r="957" ht="15.75" customHeight="1">
      <c r="A957" s="3"/>
      <c r="B957" s="3"/>
      <c r="C957" s="3"/>
      <c r="D957" s="3"/>
      <c r="E957" s="3"/>
      <c r="F957" s="3"/>
      <c r="J957" s="3"/>
    </row>
    <row r="958" ht="15.75" customHeight="1">
      <c r="A958" s="3"/>
      <c r="B958" s="3"/>
      <c r="C958" s="3"/>
      <c r="D958" s="3"/>
      <c r="E958" s="3"/>
      <c r="F958" s="3"/>
      <c r="J958" s="3"/>
    </row>
    <row r="959" ht="15.75" customHeight="1">
      <c r="A959" s="3"/>
      <c r="B959" s="3"/>
      <c r="C959" s="3"/>
      <c r="D959" s="3"/>
      <c r="E959" s="3"/>
      <c r="F959" s="3"/>
      <c r="J959" s="3"/>
    </row>
    <row r="960" ht="15.75" customHeight="1">
      <c r="A960" s="3"/>
      <c r="B960" s="3"/>
      <c r="C960" s="3"/>
      <c r="D960" s="3"/>
      <c r="E960" s="3"/>
      <c r="F960" s="3"/>
      <c r="J960" s="3"/>
    </row>
    <row r="961" ht="15.75" customHeight="1">
      <c r="A961" s="3"/>
      <c r="B961" s="3"/>
      <c r="C961" s="3"/>
      <c r="D961" s="3"/>
      <c r="E961" s="3"/>
      <c r="F961" s="3"/>
      <c r="J961" s="3"/>
    </row>
    <row r="962" ht="15.75" customHeight="1">
      <c r="A962" s="3"/>
      <c r="B962" s="3"/>
      <c r="C962" s="3"/>
      <c r="D962" s="3"/>
      <c r="E962" s="3"/>
      <c r="F962" s="3"/>
      <c r="J962" s="3"/>
    </row>
    <row r="963" ht="15.75" customHeight="1">
      <c r="A963" s="3"/>
      <c r="B963" s="3"/>
      <c r="C963" s="3"/>
      <c r="D963" s="3"/>
      <c r="E963" s="3"/>
      <c r="F963" s="3"/>
      <c r="J963" s="3"/>
    </row>
    <row r="964" ht="15.75" customHeight="1">
      <c r="A964" s="3"/>
      <c r="B964" s="3"/>
      <c r="C964" s="3"/>
      <c r="D964" s="3"/>
      <c r="E964" s="3"/>
      <c r="F964" s="3"/>
      <c r="J964" s="3"/>
    </row>
    <row r="965" ht="15.75" customHeight="1">
      <c r="A965" s="3"/>
      <c r="B965" s="3"/>
      <c r="C965" s="3"/>
      <c r="D965" s="3"/>
      <c r="E965" s="3"/>
      <c r="F965" s="3"/>
      <c r="J965" s="3"/>
    </row>
    <row r="966" ht="15.75" customHeight="1">
      <c r="A966" s="3"/>
      <c r="B966" s="3"/>
      <c r="C966" s="3"/>
      <c r="D966" s="3"/>
      <c r="E966" s="3"/>
      <c r="F966" s="3"/>
      <c r="J966" s="3"/>
    </row>
    <row r="967" ht="15.75" customHeight="1">
      <c r="A967" s="3"/>
      <c r="B967" s="3"/>
      <c r="C967" s="3"/>
      <c r="D967" s="3"/>
      <c r="E967" s="3"/>
      <c r="F967" s="3"/>
      <c r="J967" s="3"/>
    </row>
    <row r="968" ht="15.75" customHeight="1">
      <c r="A968" s="3"/>
      <c r="B968" s="3"/>
      <c r="C968" s="3"/>
      <c r="D968" s="3"/>
      <c r="E968" s="3"/>
      <c r="F968" s="3"/>
      <c r="J968" s="3"/>
    </row>
    <row r="969" ht="15.75" customHeight="1">
      <c r="A969" s="3"/>
      <c r="B969" s="3"/>
      <c r="C969" s="3"/>
      <c r="D969" s="3"/>
      <c r="E969" s="3"/>
      <c r="F969" s="3"/>
      <c r="J969" s="3"/>
    </row>
    <row r="970" ht="15.75" customHeight="1">
      <c r="A970" s="3"/>
      <c r="B970" s="3"/>
      <c r="C970" s="3"/>
      <c r="D970" s="3"/>
      <c r="E970" s="3"/>
      <c r="F970" s="3"/>
      <c r="J970" s="3"/>
    </row>
    <row r="971" ht="15.75" customHeight="1">
      <c r="A971" s="3"/>
      <c r="B971" s="3"/>
      <c r="C971" s="3"/>
      <c r="D971" s="3"/>
      <c r="E971" s="3"/>
      <c r="F971" s="3"/>
      <c r="J971" s="3"/>
    </row>
    <row r="972" ht="15.75" customHeight="1">
      <c r="A972" s="3"/>
      <c r="B972" s="3"/>
      <c r="C972" s="3"/>
      <c r="D972" s="3"/>
      <c r="E972" s="3"/>
      <c r="F972" s="3"/>
      <c r="J972" s="3"/>
    </row>
    <row r="973" ht="15.75" customHeight="1">
      <c r="A973" s="3"/>
      <c r="B973" s="3"/>
      <c r="C973" s="3"/>
      <c r="D973" s="3"/>
      <c r="E973" s="3"/>
      <c r="F973" s="3"/>
      <c r="J973" s="3"/>
    </row>
    <row r="974" ht="15.75" customHeight="1">
      <c r="A974" s="3"/>
      <c r="B974" s="3"/>
      <c r="C974" s="3"/>
      <c r="D974" s="3"/>
      <c r="E974" s="3"/>
      <c r="F974" s="3"/>
      <c r="J974" s="3"/>
    </row>
    <row r="975" ht="15.75" customHeight="1">
      <c r="A975" s="3"/>
      <c r="B975" s="3"/>
      <c r="C975" s="3"/>
      <c r="D975" s="3"/>
      <c r="E975" s="3"/>
      <c r="F975" s="3"/>
      <c r="J975" s="3"/>
    </row>
    <row r="976" ht="15.75" customHeight="1">
      <c r="A976" s="3"/>
      <c r="B976" s="3"/>
      <c r="C976" s="3"/>
      <c r="D976" s="3"/>
      <c r="E976" s="3"/>
      <c r="F976" s="3"/>
      <c r="J976" s="3"/>
    </row>
    <row r="977" ht="15.75" customHeight="1">
      <c r="A977" s="3"/>
      <c r="B977" s="3"/>
      <c r="C977" s="3"/>
      <c r="D977" s="3"/>
      <c r="E977" s="3"/>
      <c r="F977" s="3"/>
      <c r="J977" s="3"/>
    </row>
    <row r="978" ht="15.75" customHeight="1">
      <c r="A978" s="3"/>
      <c r="B978" s="3"/>
      <c r="C978" s="3"/>
      <c r="D978" s="3"/>
      <c r="E978" s="3"/>
      <c r="F978" s="3"/>
      <c r="J978" s="3"/>
    </row>
    <row r="979" ht="15.75" customHeight="1">
      <c r="A979" s="3"/>
      <c r="B979" s="3"/>
      <c r="C979" s="3"/>
      <c r="D979" s="3"/>
      <c r="E979" s="3"/>
      <c r="F979" s="3"/>
      <c r="J979" s="3"/>
    </row>
    <row r="980" ht="15.75" customHeight="1">
      <c r="A980" s="3"/>
      <c r="B980" s="3"/>
      <c r="C980" s="3"/>
      <c r="D980" s="3"/>
      <c r="E980" s="3"/>
      <c r="F980" s="3"/>
      <c r="J980" s="3"/>
    </row>
    <row r="981" ht="15.75" customHeight="1">
      <c r="A981" s="3"/>
      <c r="B981" s="3"/>
      <c r="C981" s="3"/>
      <c r="D981" s="3"/>
      <c r="E981" s="3"/>
      <c r="F981" s="3"/>
      <c r="J981" s="3"/>
    </row>
    <row r="982" ht="15.75" customHeight="1">
      <c r="A982" s="3"/>
      <c r="B982" s="3"/>
      <c r="C982" s="3"/>
      <c r="D982" s="3"/>
      <c r="E982" s="3"/>
      <c r="F982" s="3"/>
      <c r="J982" s="3"/>
    </row>
    <row r="983" ht="15.75" customHeight="1">
      <c r="A983" s="3"/>
      <c r="B983" s="3"/>
      <c r="C983" s="3"/>
      <c r="D983" s="3"/>
      <c r="E983" s="3"/>
      <c r="F983" s="3"/>
      <c r="J983" s="3"/>
    </row>
    <row r="984" ht="15.75" customHeight="1">
      <c r="A984" s="3"/>
      <c r="B984" s="3"/>
      <c r="C984" s="3"/>
      <c r="D984" s="3"/>
      <c r="E984" s="3"/>
      <c r="F984" s="3"/>
      <c r="J984" s="3"/>
    </row>
    <row r="985" ht="15.75" customHeight="1">
      <c r="A985" s="3"/>
      <c r="B985" s="3"/>
      <c r="C985" s="3"/>
      <c r="D985" s="3"/>
      <c r="E985" s="3"/>
      <c r="F985" s="3"/>
      <c r="J985" s="3"/>
    </row>
    <row r="986" ht="15.75" customHeight="1">
      <c r="A986" s="3"/>
      <c r="B986" s="3"/>
      <c r="C986" s="3"/>
      <c r="D986" s="3"/>
      <c r="E986" s="3"/>
      <c r="F986" s="3"/>
      <c r="J986" s="3"/>
    </row>
    <row r="987" ht="15.75" customHeight="1">
      <c r="A987" s="3"/>
      <c r="B987" s="3"/>
      <c r="C987" s="3"/>
      <c r="D987" s="3"/>
      <c r="E987" s="3"/>
      <c r="F987" s="3"/>
      <c r="J987" s="3"/>
    </row>
    <row r="988" ht="15.75" customHeight="1">
      <c r="A988" s="3"/>
      <c r="B988" s="3"/>
      <c r="C988" s="3"/>
      <c r="D988" s="3"/>
      <c r="E988" s="3"/>
      <c r="F988" s="3"/>
      <c r="J988" s="3"/>
    </row>
    <row r="989" ht="15.75" customHeight="1">
      <c r="A989" s="3"/>
      <c r="B989" s="3"/>
      <c r="C989" s="3"/>
      <c r="D989" s="3"/>
      <c r="E989" s="3"/>
      <c r="F989" s="3"/>
      <c r="J989" s="3"/>
    </row>
    <row r="990" ht="15.75" customHeight="1">
      <c r="A990" s="3"/>
      <c r="B990" s="3"/>
      <c r="C990" s="3"/>
      <c r="D990" s="3"/>
      <c r="E990" s="3"/>
      <c r="F990" s="3"/>
      <c r="J990" s="3"/>
    </row>
    <row r="991" ht="15.75" customHeight="1">
      <c r="A991" s="3"/>
      <c r="B991" s="3"/>
      <c r="C991" s="3"/>
      <c r="D991" s="3"/>
      <c r="E991" s="3"/>
      <c r="F991" s="3"/>
      <c r="J991" s="3"/>
    </row>
    <row r="992" ht="15.75" customHeight="1">
      <c r="A992" s="3"/>
      <c r="B992" s="3"/>
      <c r="C992" s="3"/>
      <c r="D992" s="3"/>
      <c r="E992" s="3"/>
      <c r="F992" s="3"/>
      <c r="J992" s="3"/>
    </row>
    <row r="993" ht="15.75" customHeight="1">
      <c r="A993" s="3"/>
      <c r="B993" s="3"/>
      <c r="C993" s="3"/>
      <c r="D993" s="3"/>
      <c r="E993" s="3"/>
      <c r="F993" s="3"/>
      <c r="J993" s="3"/>
    </row>
    <row r="994" ht="15.75" customHeight="1">
      <c r="A994" s="3"/>
      <c r="B994" s="3"/>
      <c r="C994" s="3"/>
      <c r="D994" s="3"/>
      <c r="E994" s="3"/>
      <c r="F994" s="3"/>
      <c r="J994" s="3"/>
    </row>
    <row r="995" ht="15.75" customHeight="1">
      <c r="A995" s="3"/>
      <c r="B995" s="3"/>
      <c r="C995" s="3"/>
      <c r="D995" s="3"/>
      <c r="E995" s="3"/>
      <c r="F995" s="3"/>
      <c r="J995" s="3"/>
    </row>
    <row r="996" ht="15.75" customHeight="1">
      <c r="A996" s="3"/>
      <c r="B996" s="3"/>
      <c r="C996" s="3"/>
      <c r="D996" s="3"/>
      <c r="E996" s="3"/>
      <c r="F996" s="3"/>
      <c r="J996" s="3"/>
    </row>
    <row r="997" ht="15.75" customHeight="1">
      <c r="A997" s="3"/>
      <c r="B997" s="3"/>
      <c r="C997" s="3"/>
      <c r="D997" s="3"/>
      <c r="E997" s="3"/>
      <c r="F997" s="3"/>
      <c r="J997" s="3"/>
    </row>
    <row r="998" ht="15.75" customHeight="1">
      <c r="A998" s="3"/>
      <c r="B998" s="3"/>
      <c r="C998" s="3"/>
      <c r="D998" s="3"/>
      <c r="E998" s="3"/>
      <c r="F998" s="3"/>
      <c r="J998" s="3"/>
    </row>
    <row r="999" ht="15.75" customHeight="1">
      <c r="A999" s="3"/>
      <c r="B999" s="3"/>
      <c r="C999" s="3"/>
      <c r="D999" s="3"/>
      <c r="E999" s="3"/>
      <c r="F999" s="3"/>
      <c r="J999" s="3"/>
    </row>
    <row r="1000" ht="15.75" customHeight="1">
      <c r="A1000" s="3"/>
      <c r="B1000" s="3"/>
      <c r="C1000" s="3"/>
      <c r="D1000" s="3"/>
      <c r="E1000" s="3"/>
      <c r="F1000" s="3"/>
      <c r="J1000" s="3"/>
    </row>
  </sheetData>
  <mergeCells count="2">
    <mergeCell ref="A1:H1"/>
    <mergeCell ref="A12:H12"/>
  </mergeCells>
  <printOptions/>
  <pageMargins bottom="0.75" footer="0.0" header="0.0" left="0.7" right="0.7" top="0.75"/>
  <pageSetup orientation="landscape"/>
  <drawing r:id="rId1"/>
  <tableParts count="3">
    <tablePart r:id="rId5"/>
    <tablePart r:id="rId6"/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2" width="34.13"/>
    <col customWidth="1" min="3" max="3" width="22.63"/>
    <col customWidth="1" min="4" max="4" width="23.0"/>
    <col customWidth="1" min="5" max="6" width="17.63"/>
    <col customWidth="1" min="12" max="12" width="23.38"/>
    <col customWidth="1" min="13" max="13" width="11.63"/>
    <col customWidth="1" min="14" max="14" width="56.13"/>
  </cols>
  <sheetData>
    <row r="1" ht="15.75" customHeight="1">
      <c r="A1" s="1" t="s">
        <v>0</v>
      </c>
      <c r="B1" s="2" t="s">
        <v>1</v>
      </c>
      <c r="C1" s="10" t="s">
        <v>46</v>
      </c>
      <c r="D1" s="10" t="s">
        <v>106</v>
      </c>
      <c r="E1" s="3"/>
      <c r="F1" s="40" t="s">
        <v>110</v>
      </c>
      <c r="L1" s="41" t="s">
        <v>111</v>
      </c>
      <c r="M1" s="42"/>
      <c r="N1" s="42"/>
    </row>
    <row r="2" ht="15.75" customHeight="1">
      <c r="A2" s="43" t="str">
        <f>CombinedHumanGrading!A2</f>
        <v>State</v>
      </c>
      <c r="B2" s="44" t="str">
        <f>CombinedHumanGrading!B2</f>
        <v>initial state (Off)</v>
      </c>
      <c r="C2" s="11">
        <f>CombinedHumanGrading!C2</f>
        <v>1</v>
      </c>
      <c r="D2" s="11">
        <f>'Gemini 3.1 Pro Preview Grading'!C2</f>
        <v>1</v>
      </c>
      <c r="E2" s="3"/>
      <c r="F2" s="9" t="s">
        <v>112</v>
      </c>
      <c r="G2" s="45" t="s">
        <v>113</v>
      </c>
      <c r="H2" s="46" t="s">
        <v>114</v>
      </c>
      <c r="I2" s="47" t="s">
        <v>115</v>
      </c>
      <c r="J2" s="48" t="s">
        <v>116</v>
      </c>
      <c r="K2" s="9"/>
      <c r="L2" s="49" t="s">
        <v>117</v>
      </c>
      <c r="M2" s="49" t="s">
        <v>118</v>
      </c>
      <c r="N2" s="49" t="s">
        <v>119</v>
      </c>
    </row>
    <row r="3" ht="15.75" customHeight="1">
      <c r="A3" s="43" t="str">
        <f>CombinedHumanGrading!A3</f>
        <v>State</v>
      </c>
      <c r="B3" s="44" t="str">
        <f>CombinedHumanGrading!B3</f>
        <v>Off</v>
      </c>
      <c r="C3" s="11">
        <f>CombinedHumanGrading!C3</f>
        <v>1</v>
      </c>
      <c r="D3" s="11">
        <f>'Gemini 3.1 Pro Preview Grading'!C3</f>
        <v>1</v>
      </c>
      <c r="E3" s="3"/>
      <c r="F3" s="50">
        <v>0.0</v>
      </c>
      <c r="G3" s="51">
        <f>COUNTIFS($C$2:$C$90, $F3, $D$2:$D$90, G$2)</f>
        <v>7</v>
      </c>
      <c r="H3" s="52">
        <f>COUNTIFS($C$2:$C$38, $F3, $D$2:$D$38, H$2)</f>
        <v>0</v>
      </c>
      <c r="I3" s="53">
        <f>COUNTIFS($C$2:$C$38, $F3, $D$2:$D$38, I$2)+MAX(D39-C39,0)+MAX(D40-C40,0)+MAX(D41-C41,0)+MAX(D42-C42,0)+MAX(D43-C43,0)+MAX(D44-C44,0)+MAX(D45-C45,0)</f>
        <v>0</v>
      </c>
      <c r="J3" s="9">
        <f t="shared" ref="J3:J5" si="2">SUM(G3:I3)</f>
        <v>7</v>
      </c>
      <c r="K3" s="9"/>
      <c r="L3" s="54" t="s">
        <v>120</v>
      </c>
      <c r="M3" s="51">
        <f>(G3+H4+I5)/COUNTA($C$2:$C$90)</f>
        <v>0.8636363636</v>
      </c>
      <c r="N3" s="53" t="s">
        <v>121</v>
      </c>
    </row>
    <row r="4" ht="15.75" customHeight="1">
      <c r="A4" s="43" t="str">
        <f>CombinedHumanGrading!A4</f>
        <v>Transition</v>
      </c>
      <c r="B4" s="44" t="str">
        <f>CombinedHumanGrading!B4</f>
        <v>on (Off =&gt; On)</v>
      </c>
      <c r="C4" s="11">
        <f>CombinedHumanGrading!C4</f>
        <v>1</v>
      </c>
      <c r="D4" s="11">
        <f>'Gemini 3.1 Pro Preview Grading'!C4</f>
        <v>1</v>
      </c>
      <c r="E4" s="3"/>
      <c r="F4" s="50">
        <v>0.5</v>
      </c>
      <c r="G4" s="55">
        <f t="shared" ref="G4:I4" si="1">COUNTIFS($C$2:$C$38, $F4, $D$2:$D$38, G$2)</f>
        <v>0</v>
      </c>
      <c r="H4" s="9">
        <f t="shared" si="1"/>
        <v>0</v>
      </c>
      <c r="I4" s="56">
        <f t="shared" si="1"/>
        <v>0</v>
      </c>
      <c r="J4" s="9">
        <f t="shared" si="2"/>
        <v>0</v>
      </c>
      <c r="K4" s="9"/>
      <c r="L4" s="54" t="s">
        <v>122</v>
      </c>
      <c r="M4" s="55">
        <f t="array" ref="M4">SUMPRODUCT(J3:J5/COUNTA($C$2:$C$90), TRANSPOSE(G6:I6)/COUNTA($C$2:$C$90))</f>
        <v>0.6394628099</v>
      </c>
      <c r="N4" s="56" t="s">
        <v>123</v>
      </c>
    </row>
    <row r="5" ht="15.75" customHeight="1">
      <c r="A5" s="43" t="str">
        <f>CombinedHumanGrading!A5</f>
        <v>Composite State</v>
      </c>
      <c r="B5" s="44" t="str">
        <f>CombinedHumanGrading!B5</f>
        <v>On</v>
      </c>
      <c r="C5" s="11">
        <f>CombinedHumanGrading!C5</f>
        <v>1</v>
      </c>
      <c r="D5" s="11">
        <f>'Gemini 3.1 Pro Preview Grading'!C5</f>
        <v>1</v>
      </c>
      <c r="E5" s="3"/>
      <c r="F5" s="50">
        <v>1.0</v>
      </c>
      <c r="G5" s="57">
        <f>COUNTIFS($C$2:$C$38, $F5, $D$2:$D$38, G$2)+MAX(C39-D39,0)+MAX(C40-D40,0)+MAX(C41-D41,0)+MAX(C42-D42,0)+MAX(C43-D43,0)+MAX(C44-D44,0)+MAX(C45-D45,0)</f>
        <v>6</v>
      </c>
      <c r="H5" s="58">
        <f>COUNTIFS($C$2:$C$38, $F5, $D$2:$D$38, H$2)</f>
        <v>0</v>
      </c>
      <c r="I5" s="59">
        <f>COUNTIFS($C$2:$C$38, $F5, $D$2:$D$38, I$2)+ SUM(MIN(C39,D39), MIN(C40,D40), MIN(C41,D41), MIN(C42,D42), MIN(C43,D43), MIN(C44,D44), MIN(C45,D45))</f>
        <v>31</v>
      </c>
      <c r="J5" s="9">
        <f t="shared" si="2"/>
        <v>37</v>
      </c>
      <c r="K5" s="9"/>
      <c r="L5" s="54" t="s">
        <v>111</v>
      </c>
      <c r="M5" s="57">
        <f>(M3-M4)/(1-M4)</f>
        <v>0.6217765043</v>
      </c>
      <c r="N5" s="59" t="s">
        <v>124</v>
      </c>
    </row>
    <row r="6" ht="15.75" customHeight="1">
      <c r="A6" s="43" t="str">
        <f>CombinedHumanGrading!A6</f>
        <v>Transition</v>
      </c>
      <c r="B6" s="44" t="str">
        <f>CombinedHumanGrading!B6</f>
        <v>off (On =&gt; Off)</v>
      </c>
      <c r="C6" s="11">
        <f>CombinedHumanGrading!C6</f>
        <v>1</v>
      </c>
      <c r="D6" s="11">
        <f>'Gemini 3.1 Pro Preview Grading'!C6</f>
        <v>1</v>
      </c>
      <c r="E6" s="3"/>
      <c r="F6" s="60" t="s">
        <v>125</v>
      </c>
      <c r="G6" s="9">
        <f t="shared" ref="G6:I6" si="3">SUM(G3:G5)</f>
        <v>13</v>
      </c>
      <c r="H6" s="9">
        <f t="shared" si="3"/>
        <v>0</v>
      </c>
      <c r="I6" s="9">
        <f t="shared" si="3"/>
        <v>31</v>
      </c>
      <c r="J6" s="9"/>
      <c r="K6" s="9"/>
      <c r="L6" s="9"/>
      <c r="M6" s="61"/>
      <c r="N6" s="3"/>
    </row>
    <row r="7" ht="15.75" customHeight="1">
      <c r="A7" s="43" t="str">
        <f>CombinedHumanGrading!A7</f>
        <v>State</v>
      </c>
      <c r="B7" s="44" t="str">
        <f>CombinedHumanGrading!B7</f>
        <v>initial state (Idle)</v>
      </c>
      <c r="C7" s="11">
        <f>CombinedHumanGrading!C7</f>
        <v>1</v>
      </c>
      <c r="D7" s="11">
        <f>'Gemini 3.1 Pro Preview Grading'!C7</f>
        <v>1</v>
      </c>
      <c r="E7" s="3"/>
      <c r="F7" s="3"/>
      <c r="K7" s="9"/>
      <c r="L7" s="9"/>
      <c r="M7" s="61"/>
      <c r="N7" s="3"/>
    </row>
    <row r="8" ht="15.75" customHeight="1">
      <c r="A8" s="43" t="str">
        <f>CombinedHumanGrading!A8</f>
        <v>State</v>
      </c>
      <c r="B8" s="44" t="str">
        <f>CombinedHumanGrading!B8</f>
        <v>Idle</v>
      </c>
      <c r="C8" s="11">
        <f>CombinedHumanGrading!C8</f>
        <v>1</v>
      </c>
      <c r="D8" s="11">
        <f>'Gemini 3.1 Pro Preview Grading'!C8</f>
        <v>1</v>
      </c>
      <c r="E8" s="3"/>
      <c r="F8" s="40" t="s">
        <v>126</v>
      </c>
      <c r="L8" s="41" t="s">
        <v>127</v>
      </c>
      <c r="M8" s="42"/>
      <c r="N8" s="42"/>
    </row>
    <row r="9" ht="15.75" customHeight="1">
      <c r="A9" s="43" t="str">
        <f>CombinedHumanGrading!A9</f>
        <v>Transition</v>
      </c>
      <c r="B9" s="44" t="str">
        <f>CombinedHumanGrading!B9</f>
        <v>login(cardID) (Idle =&gt; Idle)</v>
      </c>
      <c r="C9" s="11">
        <f>CombinedHumanGrading!C9</f>
        <v>1</v>
      </c>
      <c r="D9" s="11">
        <f>'Gemini 3.1 Pro Preview Grading'!C9</f>
        <v>1</v>
      </c>
      <c r="E9" s="3"/>
      <c r="F9" s="9" t="s">
        <v>2</v>
      </c>
      <c r="G9" s="62" t="s">
        <v>113</v>
      </c>
      <c r="H9" s="62" t="s">
        <v>114</v>
      </c>
      <c r="I9" s="62" t="s">
        <v>115</v>
      </c>
      <c r="J9" s="63" t="s">
        <v>116</v>
      </c>
      <c r="L9" s="49" t="s">
        <v>117</v>
      </c>
      <c r="M9" s="49" t="s">
        <v>118</v>
      </c>
      <c r="N9" s="49" t="s">
        <v>119</v>
      </c>
    </row>
    <row r="10" ht="15.75" customHeight="1">
      <c r="A10" s="43" t="str">
        <f>CombinedHumanGrading!A10</f>
        <v>Guard</v>
      </c>
      <c r="B10" s="44" t="str">
        <f>CombinedHumanGrading!B10</f>
        <v>[!idAuthorized(cardID)]</v>
      </c>
      <c r="C10" s="11">
        <f>CombinedHumanGrading!C10</f>
        <v>1</v>
      </c>
      <c r="D10" s="11">
        <f>'Gemini 3.1 Pro Preview Grading'!C10</f>
        <v>1</v>
      </c>
      <c r="E10" s="3"/>
      <c r="F10" s="50">
        <v>0.0</v>
      </c>
      <c r="G10" s="51">
        <f t="shared" ref="G10:G11" si="4">COUNTIFS($A$2:$A$38,$F$9,$C$2:$C$38,$F10,$D$2:$D$38,G$9)</f>
        <v>0</v>
      </c>
      <c r="H10" s="52">
        <f t="shared" ref="H10:H12" si="5">COUNTIFS($A$2:$A$90,$F$9,$C$2:$C$90,$F10,$D$2:$D$90,H$9)</f>
        <v>0</v>
      </c>
      <c r="I10" s="53">
        <f>COUNTIFS($A$2:$A$38,$F$9,$C$2:$C$38,$F10,$D$2:$D$38,I$9)+MAX(D39-C39,0)</f>
        <v>0</v>
      </c>
      <c r="J10" s="9">
        <f t="shared" ref="J10:J12" si="6">SUM(G10:I10)</f>
        <v>0</v>
      </c>
      <c r="L10" s="54" t="s">
        <v>120</v>
      </c>
      <c r="M10" s="51">
        <f>(G10+H11+I12)/COUNTIF($A$2:$A$90,F9)</f>
        <v>0.8888888889</v>
      </c>
      <c r="N10" s="53" t="s">
        <v>121</v>
      </c>
    </row>
    <row r="11" ht="15.75" customHeight="1">
      <c r="A11" s="43" t="str">
        <f>CombinedHumanGrading!A11</f>
        <v>Transition</v>
      </c>
      <c r="B11" s="44" t="str">
        <f>CombinedHumanGrading!B11</f>
        <v>login(cardID) (Idle =&gt; Ready)</v>
      </c>
      <c r="C11" s="11">
        <f>CombinedHumanGrading!C11</f>
        <v>1</v>
      </c>
      <c r="D11" s="11">
        <f>'Gemini 3.1 Pro Preview Grading'!C11</f>
        <v>1</v>
      </c>
      <c r="E11" s="3"/>
      <c r="F11" s="50">
        <v>0.5</v>
      </c>
      <c r="G11" s="55">
        <f t="shared" si="4"/>
        <v>0</v>
      </c>
      <c r="H11" s="9">
        <f t="shared" si="5"/>
        <v>0</v>
      </c>
      <c r="I11" s="56">
        <f>COUNTIFS($A$2:$A$38,$F$9,$C$2:$C$38,$F11,$D$2:$D$38,I$9)</f>
        <v>0</v>
      </c>
      <c r="J11" s="9">
        <f t="shared" si="6"/>
        <v>0</v>
      </c>
      <c r="K11" s="9"/>
      <c r="L11" s="54" t="s">
        <v>122</v>
      </c>
      <c r="M11" s="55">
        <f t="array" ref="M11">SUMPRODUCT(J10:J12/COUNTIF($A$2:$A$90,F9), TRANSPOSE(G13:I13)/COUNTIF($A$2:$A$90,F9))</f>
        <v>0.7901234568</v>
      </c>
      <c r="N11" s="56" t="s">
        <v>123</v>
      </c>
    </row>
    <row r="12" ht="15.75" customHeight="1">
      <c r="A12" s="43" t="str">
        <f>CombinedHumanGrading!A12</f>
        <v>Guard</v>
      </c>
      <c r="B12" s="44" t="str">
        <f>CombinedHumanGrading!B12</f>
        <v>[idAuthorized(cardID)]</v>
      </c>
      <c r="C12" s="11">
        <f>CombinedHumanGrading!C12</f>
        <v>1</v>
      </c>
      <c r="D12" s="11">
        <f>'Gemini 3.1 Pro Preview Grading'!C12</f>
        <v>1</v>
      </c>
      <c r="E12" s="3"/>
      <c r="F12" s="50">
        <v>1.0</v>
      </c>
      <c r="G12" s="57">
        <f>COUNTIFS($A$2:$A$38,$F$9,$C$2:$C$38,$F12,$D$2:$D$38,G$9)+MAX(C39-D39,0)</f>
        <v>0</v>
      </c>
      <c r="H12" s="58">
        <f t="shared" si="5"/>
        <v>0</v>
      </c>
      <c r="I12" s="59">
        <f>COUNTIFS($A$2:$A$38,$F$9,$C$2:$C$38,$F12,$D$2:$D$38,I$9)+MIN(C39-D39)</f>
        <v>8</v>
      </c>
      <c r="J12" s="9">
        <f t="shared" si="6"/>
        <v>8</v>
      </c>
      <c r="K12" s="9"/>
      <c r="L12" s="54" t="s">
        <v>111</v>
      </c>
      <c r="M12" s="57">
        <f>(M10-M11)/(1-M11)</f>
        <v>0.4705882353</v>
      </c>
      <c r="N12" s="59" t="s">
        <v>124</v>
      </c>
    </row>
    <row r="13" ht="15.75" customHeight="1">
      <c r="A13" s="43" t="str">
        <f>CombinedHumanGrading!A13</f>
        <v>Action</v>
      </c>
      <c r="B13" s="44" t="str">
        <f>CombinedHumanGrading!B13</f>
        <v>action="none"</v>
      </c>
      <c r="C13" s="11">
        <f>CombinedHumanGrading!C13</f>
        <v>1</v>
      </c>
      <c r="D13" s="11">
        <f>'Gemini 3.1 Pro Preview Grading'!C13</f>
        <v>0</v>
      </c>
      <c r="E13" s="3"/>
      <c r="F13" s="60" t="s">
        <v>125</v>
      </c>
      <c r="G13" s="9">
        <f t="shared" ref="G13:I13" si="7">SUM(G10:G12)</f>
        <v>0</v>
      </c>
      <c r="H13" s="9">
        <f t="shared" si="7"/>
        <v>0</v>
      </c>
      <c r="I13" s="9">
        <f t="shared" si="7"/>
        <v>8</v>
      </c>
      <c r="J13" s="9"/>
      <c r="K13" s="9"/>
      <c r="L13" s="9"/>
      <c r="M13" s="61"/>
      <c r="N13" s="3"/>
    </row>
    <row r="14" ht="15.75" customHeight="1">
      <c r="A14" s="43" t="str">
        <f>CombinedHumanGrading!A14</f>
        <v>State</v>
      </c>
      <c r="B14" s="44" t="str">
        <f>CombinedHumanGrading!B14</f>
        <v>Ready</v>
      </c>
      <c r="C14" s="11">
        <f>CombinedHumanGrading!C14</f>
        <v>1</v>
      </c>
      <c r="D14" s="11">
        <f>'Gemini 3.1 Pro Preview Grading'!C14</f>
        <v>1</v>
      </c>
      <c r="E14" s="3"/>
      <c r="F14" s="3"/>
      <c r="K14" s="9"/>
      <c r="L14" s="3"/>
      <c r="M14" s="3"/>
      <c r="N14" s="3"/>
    </row>
    <row r="15" ht="15.75" customHeight="1">
      <c r="A15" s="43" t="str">
        <f>CombinedHumanGrading!A15</f>
        <v>Transition</v>
      </c>
      <c r="B15" s="44" t="str">
        <f>CombinedHumanGrading!B15</f>
        <v>logoff (Ready =&gt; Idle)</v>
      </c>
      <c r="C15" s="11">
        <f>CombinedHumanGrading!C15</f>
        <v>1</v>
      </c>
      <c r="D15" s="11">
        <f>'Gemini 3.1 Pro Preview Grading'!C15</f>
        <v>1</v>
      </c>
      <c r="E15" s="3"/>
      <c r="F15" s="40" t="s">
        <v>128</v>
      </c>
      <c r="K15" s="9"/>
      <c r="L15" s="41" t="s">
        <v>129</v>
      </c>
      <c r="M15" s="42"/>
      <c r="N15" s="42"/>
    </row>
    <row r="16" ht="15.75" customHeight="1">
      <c r="A16" s="43" t="str">
        <f>CombinedHumanGrading!A16</f>
        <v>Transition</v>
      </c>
      <c r="B16" s="44" t="str">
        <f>CombinedHumanGrading!B16</f>
        <v>start (Ready =&gt; Ready)</v>
      </c>
      <c r="C16" s="11">
        <f>CombinedHumanGrading!C16</f>
        <v>1</v>
      </c>
      <c r="D16" s="11">
        <f>'Gemini 3.1 Pro Preview Grading'!C16</f>
        <v>1</v>
      </c>
      <c r="E16" s="3"/>
      <c r="F16" s="9" t="s">
        <v>5</v>
      </c>
      <c r="G16" s="62" t="s">
        <v>113</v>
      </c>
      <c r="H16" s="62" t="s">
        <v>114</v>
      </c>
      <c r="I16" s="62" t="s">
        <v>115</v>
      </c>
      <c r="J16" s="63" t="s">
        <v>116</v>
      </c>
      <c r="K16" s="9"/>
      <c r="L16" s="49" t="s">
        <v>117</v>
      </c>
      <c r="M16" s="49" t="s">
        <v>118</v>
      </c>
      <c r="N16" s="49" t="s">
        <v>119</v>
      </c>
    </row>
    <row r="17" ht="15.75" customHeight="1">
      <c r="A17" s="43" t="str">
        <f>CombinedHumanGrading!A17</f>
        <v>Guard</v>
      </c>
      <c r="B17" s="44" t="str">
        <f>CombinedHumanGrading!B17</f>
        <v>[action=="scan" &amp; !originalLoaded()]</v>
      </c>
      <c r="C17" s="11">
        <f>CombinedHumanGrading!C17</f>
        <v>1</v>
      </c>
      <c r="D17" s="11">
        <f>'Gemini 3.1 Pro Preview Grading'!C17</f>
        <v>1</v>
      </c>
      <c r="E17" s="3"/>
      <c r="F17" s="50">
        <v>0.0</v>
      </c>
      <c r="G17" s="51">
        <f t="shared" ref="G17:H17" si="8">COUNTIFS($A$2:$A$90,$F$16,$C$2:$C$90,$F17,$D$2:$D$90,G$16)</f>
        <v>1</v>
      </c>
      <c r="H17" s="52">
        <f t="shared" si="8"/>
        <v>0</v>
      </c>
      <c r="I17" s="53">
        <f>COUNTIFS($A$2:$A$38,$F$16,$C$2:$C$38,$F17,$D$2:$D$38,I$16) + MAX(D40-C40,0)</f>
        <v>0</v>
      </c>
      <c r="J17" s="9">
        <f t="shared" ref="J17:J19" si="10">SUM(G17:I17)</f>
        <v>1</v>
      </c>
      <c r="L17" s="54" t="s">
        <v>120</v>
      </c>
      <c r="M17" s="51">
        <f>(G17+H18+I19)/COUNTIF($A$2:$A$90,F16)</f>
        <v>0.8888888889</v>
      </c>
      <c r="N17" s="53" t="s">
        <v>121</v>
      </c>
    </row>
    <row r="18" ht="15.75" customHeight="1">
      <c r="A18" s="43" t="str">
        <f>CombinedHumanGrading!A18</f>
        <v>Transition</v>
      </c>
      <c r="B18" s="44" t="str">
        <f>CombinedHumanGrading!B18</f>
        <v>start (Ready =&gt; Ready)</v>
      </c>
      <c r="C18" s="11">
        <f>CombinedHumanGrading!C18</f>
        <v>1</v>
      </c>
      <c r="D18" s="11">
        <f>'Gemini 3.1 Pro Preview Grading'!C18</f>
        <v>1</v>
      </c>
      <c r="E18" s="3"/>
      <c r="F18" s="50">
        <v>0.5</v>
      </c>
      <c r="G18" s="55">
        <f t="shared" ref="G18:I18" si="9">COUNTIFS($A$2:$A$90,$F$16,$C$2:$C$90,$F18,$D$2:$D$90,G$16)</f>
        <v>0</v>
      </c>
      <c r="H18" s="9">
        <f t="shared" si="9"/>
        <v>0</v>
      </c>
      <c r="I18" s="56">
        <f t="shared" si="9"/>
        <v>0</v>
      </c>
      <c r="J18" s="9">
        <f t="shared" si="10"/>
        <v>0</v>
      </c>
      <c r="L18" s="54" t="s">
        <v>122</v>
      </c>
      <c r="M18" s="55">
        <f t="array" ref="M18">SUMPRODUCT(J17:J19/COUNTIF($A$2:$A$90,F16), TRANSPOSE(G20:I20)/COUNTIF($A$2:$A$90,F16))</f>
        <v>0.7962962963</v>
      </c>
      <c r="N18" s="56" t="s">
        <v>123</v>
      </c>
    </row>
    <row r="19" ht="15.75" customHeight="1">
      <c r="A19" s="43" t="str">
        <f>CombinedHumanGrading!A19</f>
        <v>Guard</v>
      </c>
      <c r="B19" s="44" t="str">
        <f>CombinedHumanGrading!B19</f>
        <v>[action=="print" &amp; !documentInQueue()]</v>
      </c>
      <c r="C19" s="11">
        <f>CombinedHumanGrading!C19</f>
        <v>1</v>
      </c>
      <c r="D19" s="11">
        <f>'Gemini 3.1 Pro Preview Grading'!C19</f>
        <v>1</v>
      </c>
      <c r="E19" s="3"/>
      <c r="F19" s="50">
        <v>1.0</v>
      </c>
      <c r="G19" s="57">
        <f>COUNTIFS($A$2:$A$38,$F$16,$C$2:$C$38,$F19,$D$2:$D$38,G$16)+MAX(C40-D40,0)</f>
        <v>2</v>
      </c>
      <c r="H19" s="58">
        <f>COUNTIFS($A$2:$A$90,$F$16,$C$2:$C$90,$F19,$D$2:$D$90,H$16)</f>
        <v>0</v>
      </c>
      <c r="I19" s="59">
        <f>COUNTIFS($A$2:$A$38,$F$16,$C$2:$C$38,$F19,$D$2:$D$38,I$16) + MIN(C40,D40)</f>
        <v>15</v>
      </c>
      <c r="J19" s="9">
        <f t="shared" si="10"/>
        <v>17</v>
      </c>
      <c r="L19" s="54" t="s">
        <v>111</v>
      </c>
      <c r="M19" s="57">
        <f>(M17-M18)/(1-M18)</f>
        <v>0.4545454545</v>
      </c>
      <c r="N19" s="59" t="s">
        <v>124</v>
      </c>
    </row>
    <row r="20" ht="15.75" customHeight="1">
      <c r="A20" s="43" t="str">
        <f>CombinedHumanGrading!A20</f>
        <v>Transition</v>
      </c>
      <c r="B20" s="44" t="str">
        <f>CombinedHumanGrading!B20</f>
        <v>scan (Ready =&gt; Ready)</v>
      </c>
      <c r="C20" s="11">
        <f>CombinedHumanGrading!C20</f>
        <v>1</v>
      </c>
      <c r="D20" s="11">
        <f>'Gemini 3.1 Pro Preview Grading'!C20</f>
        <v>0</v>
      </c>
      <c r="E20" s="3"/>
      <c r="F20" s="60" t="s">
        <v>125</v>
      </c>
      <c r="G20" s="9">
        <f t="shared" ref="G20:I20" si="11">SUM(G17:G19)</f>
        <v>3</v>
      </c>
      <c r="H20" s="9">
        <f t="shared" si="11"/>
        <v>0</v>
      </c>
      <c r="I20" s="9">
        <f t="shared" si="11"/>
        <v>15</v>
      </c>
      <c r="J20" s="9"/>
      <c r="K20" s="9"/>
      <c r="L20" s="9"/>
      <c r="M20" s="61"/>
      <c r="N20" s="3"/>
    </row>
    <row r="21" ht="15.75" customHeight="1">
      <c r="A21" s="43" t="str">
        <f>CombinedHumanGrading!A21</f>
        <v>Action</v>
      </c>
      <c r="B21" s="44" t="str">
        <f>CombinedHumanGrading!B21</f>
        <v>action = "scan"</v>
      </c>
      <c r="C21" s="11">
        <f>CombinedHumanGrading!C21</f>
        <v>1</v>
      </c>
      <c r="D21" s="11">
        <f>'Gemini 3.1 Pro Preview Grading'!C21</f>
        <v>0</v>
      </c>
      <c r="E21" s="3"/>
      <c r="F21" s="3"/>
      <c r="K21" s="9"/>
      <c r="L21" s="3"/>
      <c r="M21" s="3"/>
      <c r="N21" s="3"/>
    </row>
    <row r="22" ht="15.75" customHeight="1">
      <c r="A22" s="43" t="str">
        <f>CombinedHumanGrading!A22</f>
        <v>Transition</v>
      </c>
      <c r="B22" s="44" t="str">
        <f>CombinedHumanGrading!B22</f>
        <v>print (Ready =&gt; Ready)</v>
      </c>
      <c r="C22" s="11">
        <f>CombinedHumanGrading!C22</f>
        <v>1</v>
      </c>
      <c r="D22" s="11">
        <f>'Gemini 3.1 Pro Preview Grading'!C22</f>
        <v>0</v>
      </c>
      <c r="E22" s="3"/>
      <c r="F22" s="40" t="s">
        <v>130</v>
      </c>
      <c r="K22" s="9"/>
      <c r="L22" s="41" t="s">
        <v>131</v>
      </c>
      <c r="M22" s="42"/>
      <c r="N22" s="42"/>
    </row>
    <row r="23" ht="15.75" customHeight="1">
      <c r="A23" s="43" t="str">
        <f>CombinedHumanGrading!A23</f>
        <v>Action</v>
      </c>
      <c r="B23" s="44" t="str">
        <f>CombinedHumanGrading!B23</f>
        <v>action="print"</v>
      </c>
      <c r="C23" s="11">
        <f>CombinedHumanGrading!C23</f>
        <v>1</v>
      </c>
      <c r="D23" s="11">
        <f>'Gemini 3.1 Pro Preview Grading'!C23</f>
        <v>0</v>
      </c>
      <c r="E23" s="3"/>
      <c r="F23" s="9" t="s">
        <v>7</v>
      </c>
      <c r="G23" s="62" t="s">
        <v>113</v>
      </c>
      <c r="H23" s="62" t="s">
        <v>114</v>
      </c>
      <c r="I23" s="62" t="s">
        <v>115</v>
      </c>
      <c r="J23" s="63" t="s">
        <v>116</v>
      </c>
      <c r="K23" s="9"/>
      <c r="L23" s="49" t="s">
        <v>117</v>
      </c>
      <c r="M23" s="49" t="s">
        <v>118</v>
      </c>
      <c r="N23" s="49" t="s">
        <v>119</v>
      </c>
    </row>
    <row r="24" ht="15.75" customHeight="1">
      <c r="A24" s="43" t="str">
        <f>CombinedHumanGrading!A24</f>
        <v>Transition</v>
      </c>
      <c r="B24" s="44" t="str">
        <f>CombinedHumanGrading!B24</f>
        <v>start (Ready =&gt; Scan &amp; Email)</v>
      </c>
      <c r="C24" s="11">
        <f>CombinedHumanGrading!C24</f>
        <v>1</v>
      </c>
      <c r="D24" s="11">
        <f>'Gemini 3.1 Pro Preview Grading'!C24</f>
        <v>1</v>
      </c>
      <c r="E24" s="3"/>
      <c r="F24" s="50">
        <v>0.0</v>
      </c>
      <c r="G24" s="51">
        <f t="shared" ref="G24:H24" si="12">COUNTIFS($A$2:$A$90,$F$23,$C$2:$C$90,$F24,$D$2:$D$90,G$23)</f>
        <v>1</v>
      </c>
      <c r="H24" s="52">
        <f t="shared" si="12"/>
        <v>0</v>
      </c>
      <c r="I24" s="53">
        <f>COUNTIFS($A$2:$A$38,$F$23,$C$2:$C$38,$F24,$D$2:$D$38,I$23) + MAX(D43-C43,0)</f>
        <v>0</v>
      </c>
      <c r="J24" s="9">
        <f t="shared" ref="J24:J26" si="14">SUM(G24:I24)</f>
        <v>1</v>
      </c>
      <c r="K24" s="9"/>
      <c r="L24" s="54" t="s">
        <v>120</v>
      </c>
      <c r="M24" s="51">
        <f>(G24+H25+I26)/COUNTIF($A$2:$A$90,F23)</f>
        <v>1</v>
      </c>
      <c r="N24" s="53" t="s">
        <v>121</v>
      </c>
    </row>
    <row r="25" ht="15.75" customHeight="1">
      <c r="A25" s="43" t="str">
        <f>CombinedHumanGrading!A25</f>
        <v>Guard</v>
      </c>
      <c r="B25" s="44" t="str">
        <f>CombinedHumanGrading!B25</f>
        <v>[action=="scan" &amp;&amp; originalLoaded()]</v>
      </c>
      <c r="C25" s="11">
        <f>CombinedHumanGrading!C25</f>
        <v>1</v>
      </c>
      <c r="D25" s="11">
        <f>'Gemini 3.1 Pro Preview Grading'!C25</f>
        <v>1</v>
      </c>
      <c r="E25" s="3"/>
      <c r="F25" s="50">
        <v>0.5</v>
      </c>
      <c r="G25" s="55">
        <f t="shared" ref="G25:I25" si="13">COUNTIFS($A$2:$A$90,$F$23,$C$2:$C$90,$F25,$D$2:$D$90,G$23)</f>
        <v>0</v>
      </c>
      <c r="H25" s="9">
        <f t="shared" si="13"/>
        <v>0</v>
      </c>
      <c r="I25" s="56">
        <f t="shared" si="13"/>
        <v>0</v>
      </c>
      <c r="J25" s="9">
        <f t="shared" si="14"/>
        <v>0</v>
      </c>
      <c r="K25" s="9"/>
      <c r="L25" s="54" t="s">
        <v>122</v>
      </c>
      <c r="M25" s="55">
        <f t="array" ref="M25">SUMPRODUCT(J24:J26/COUNTIF($A$2:$A$90,F23), TRANSPOSE(G27:I27)/COUNTIF($A$2:$A$90,F23))</f>
        <v>0.5555555556</v>
      </c>
      <c r="N25" s="56" t="s">
        <v>123</v>
      </c>
    </row>
    <row r="26" ht="15.75" customHeight="1">
      <c r="A26" s="43" t="str">
        <f>CombinedHumanGrading!A26</f>
        <v>Composite State</v>
      </c>
      <c r="B26" s="44" t="str">
        <f>CombinedHumanGrading!B26</f>
        <v>Busy</v>
      </c>
      <c r="C26" s="11">
        <f>CombinedHumanGrading!C26</f>
        <v>1</v>
      </c>
      <c r="D26" s="11">
        <f>'Gemini 3.1 Pro Preview Grading'!C26</f>
        <v>1</v>
      </c>
      <c r="E26" s="3"/>
      <c r="F26" s="50">
        <v>1.0</v>
      </c>
      <c r="G26" s="57">
        <f>COUNTIFS($A$2:$A$38,$F$23,$C$2:$C$38,$F26,$D$2:$D$38,G$23) + MAX(C43-D43,0)</f>
        <v>0</v>
      </c>
      <c r="H26" s="58">
        <f>COUNTIFS($A$2:$A$90,$F$23,$C$2:$C$90,$F26,$D$2:$D$90,H$23)</f>
        <v>0</v>
      </c>
      <c r="I26" s="59">
        <f>COUNTIFS($A$2:$A$38,$F$23,$C$2:$C$38,$F26,$D$2:$D$38,I$23) + MIN(C43,D43)</f>
        <v>2</v>
      </c>
      <c r="J26" s="9">
        <f t="shared" si="14"/>
        <v>2</v>
      </c>
      <c r="L26" s="54" t="s">
        <v>111</v>
      </c>
      <c r="M26" s="57">
        <f>(M24-M25)/(1-M25)</f>
        <v>1</v>
      </c>
      <c r="N26" s="59" t="s">
        <v>124</v>
      </c>
    </row>
    <row r="27" ht="15.75" customHeight="1">
      <c r="A27" s="43" t="str">
        <f>CombinedHumanGrading!A27</f>
        <v>Transition</v>
      </c>
      <c r="B27" s="44" t="str">
        <f>CombinedHumanGrading!B27</f>
        <v>stop (Busy =&gt; Ready)</v>
      </c>
      <c r="C27" s="11">
        <f>CombinedHumanGrading!C27</f>
        <v>1</v>
      </c>
      <c r="D27" s="11">
        <f>'Gemini 3.1 Pro Preview Grading'!C27</f>
        <v>1</v>
      </c>
      <c r="E27" s="3"/>
      <c r="F27" s="60" t="s">
        <v>125</v>
      </c>
      <c r="G27" s="9">
        <f t="shared" ref="G27:I27" si="15">SUM(G24:G26)</f>
        <v>1</v>
      </c>
      <c r="H27" s="9">
        <f t="shared" si="15"/>
        <v>0</v>
      </c>
      <c r="I27" s="9">
        <f t="shared" si="15"/>
        <v>2</v>
      </c>
      <c r="J27" s="9"/>
      <c r="L27" s="9"/>
      <c r="M27" s="61"/>
      <c r="N27" s="3"/>
    </row>
    <row r="28" ht="15.75" customHeight="1">
      <c r="A28" s="43" t="str">
        <f>CombinedHumanGrading!A28</f>
        <v>Transition</v>
      </c>
      <c r="B28" s="44" t="str">
        <f>CombinedHumanGrading!B28</f>
        <v>done (Busy =&gt; Ready)</v>
      </c>
      <c r="C28" s="11">
        <f>CombinedHumanGrading!C28</f>
        <v>1</v>
      </c>
      <c r="D28" s="11">
        <f>'Gemini 3.1 Pro Preview Grading'!C28</f>
        <v>1</v>
      </c>
      <c r="E28" s="3"/>
      <c r="F28" s="3"/>
      <c r="L28" s="3"/>
      <c r="M28" s="3"/>
      <c r="N28" s="3"/>
    </row>
    <row r="29" ht="15.75" customHeight="1">
      <c r="A29" s="43" t="str">
        <f>CombinedHumanGrading!A29</f>
        <v>Transition</v>
      </c>
      <c r="B29" s="44" t="str">
        <f>CombinedHumanGrading!B29</f>
        <v>jam (Busy =&gt; Suspended)</v>
      </c>
      <c r="C29" s="11">
        <f>CombinedHumanGrading!C29</f>
        <v>1</v>
      </c>
      <c r="D29" s="11">
        <f>'Gemini 3.1 Pro Preview Grading'!C29</f>
        <v>1</v>
      </c>
      <c r="E29" s="3"/>
      <c r="F29" s="40" t="s">
        <v>132</v>
      </c>
      <c r="K29" s="9"/>
      <c r="L29" s="41" t="s">
        <v>133</v>
      </c>
      <c r="M29" s="42"/>
      <c r="N29" s="42"/>
    </row>
    <row r="30" ht="15.75" customHeight="1">
      <c r="A30" s="43" t="str">
        <f>CombinedHumanGrading!A30</f>
        <v>History State</v>
      </c>
      <c r="B30" s="44" t="str">
        <f>CombinedHumanGrading!B30</f>
        <v>for Busy</v>
      </c>
      <c r="C30" s="11">
        <f>CombinedHumanGrading!C30</f>
        <v>1</v>
      </c>
      <c r="D30" s="11">
        <f>'Gemini 3.1 Pro Preview Grading'!C30</f>
        <v>0</v>
      </c>
      <c r="E30" s="3"/>
      <c r="F30" s="9" t="s">
        <v>13</v>
      </c>
      <c r="G30" s="62" t="s">
        <v>113</v>
      </c>
      <c r="H30" s="62" t="s">
        <v>114</v>
      </c>
      <c r="I30" s="62" t="s">
        <v>115</v>
      </c>
      <c r="J30" s="63" t="s">
        <v>116</v>
      </c>
      <c r="K30" s="9"/>
      <c r="L30" s="49" t="s">
        <v>117</v>
      </c>
      <c r="M30" s="49" t="s">
        <v>118</v>
      </c>
      <c r="N30" s="49" t="s">
        <v>119</v>
      </c>
    </row>
    <row r="31" ht="15.75" customHeight="1">
      <c r="A31" s="43" t="str">
        <f>CombinedHumanGrading!A31</f>
        <v>State</v>
      </c>
      <c r="B31" s="44" t="str">
        <f>CombinedHumanGrading!B31</f>
        <v>Print</v>
      </c>
      <c r="C31" s="11">
        <f>CombinedHumanGrading!C31</f>
        <v>1</v>
      </c>
      <c r="D31" s="11">
        <f>'Gemini 3.1 Pro Preview Grading'!C31</f>
        <v>1</v>
      </c>
      <c r="E31" s="3"/>
      <c r="F31" s="50">
        <v>0.0</v>
      </c>
      <c r="G31" s="51">
        <f t="shared" ref="G31:H31" si="16">COUNTIFS($A$2:$A$90,$F$30,$C$2:$C$90,$F31,$D$2:$D$90,G$30)</f>
        <v>1</v>
      </c>
      <c r="H31" s="52">
        <f t="shared" si="16"/>
        <v>0</v>
      </c>
      <c r="I31" s="53">
        <f>COUNTIFS($A$2:$A$38,$F$30,$C$2:$C$38,$F31,$D$2:$D$38,I$30) + MAX(D41-C41,0)</f>
        <v>0</v>
      </c>
      <c r="J31" s="9">
        <f t="shared" ref="J31:J33" si="18">SUM(G31:I31)</f>
        <v>1</v>
      </c>
      <c r="K31" s="9"/>
      <c r="L31" s="54" t="s">
        <v>120</v>
      </c>
      <c r="M31" s="51">
        <f>(G31+H32+I33)/COUNTIF($A$2:$A$90,F30)</f>
        <v>1</v>
      </c>
      <c r="N31" s="53" t="s">
        <v>121</v>
      </c>
    </row>
    <row r="32" ht="15.75" customHeight="1">
      <c r="A32" s="43" t="str">
        <f>CombinedHumanGrading!A32</f>
        <v>Transition</v>
      </c>
      <c r="B32" s="44" t="str">
        <f>CombinedHumanGrading!B32</f>
        <v>start (Ready =&gt; Print)</v>
      </c>
      <c r="C32" s="11">
        <f>CombinedHumanGrading!C32</f>
        <v>1</v>
      </c>
      <c r="D32" s="11">
        <f>'Gemini 3.1 Pro Preview Grading'!C32</f>
        <v>1</v>
      </c>
      <c r="E32" s="3"/>
      <c r="F32" s="50">
        <v>0.5</v>
      </c>
      <c r="G32" s="55">
        <f t="shared" ref="G32:I32" si="17">COUNTIFS($A$2:$A$90,$F$30,$C$2:$C$90,$F32,$D$2:$D$90,G$30)</f>
        <v>0</v>
      </c>
      <c r="H32" s="9">
        <f t="shared" si="17"/>
        <v>0</v>
      </c>
      <c r="I32" s="56">
        <f t="shared" si="17"/>
        <v>0</v>
      </c>
      <c r="J32" s="9">
        <f t="shared" si="18"/>
        <v>0</v>
      </c>
      <c r="K32" s="9"/>
      <c r="L32" s="54" t="s">
        <v>122</v>
      </c>
      <c r="M32" s="55">
        <f t="array" ref="M32">SUMPRODUCT(J31:J33/COUNTIF($A$2:$A$90,F30), TRANSPOSE(G34:I34)/COUNTIF($A$2:$A$90,F30))</f>
        <v>0.7551020408</v>
      </c>
      <c r="N32" s="56" t="s">
        <v>123</v>
      </c>
    </row>
    <row r="33" ht="15.75" customHeight="1">
      <c r="A33" s="43" t="str">
        <f>CombinedHumanGrading!A33</f>
        <v>Guard</v>
      </c>
      <c r="B33" s="44" t="str">
        <f>CombinedHumanGrading!B33</f>
        <v>[action="print" &amp;&amp; documentInQueue()]</v>
      </c>
      <c r="C33" s="11">
        <f>CombinedHumanGrading!C33</f>
        <v>1</v>
      </c>
      <c r="D33" s="11">
        <f>'Gemini 3.1 Pro Preview Grading'!C33</f>
        <v>1</v>
      </c>
      <c r="E33" s="3"/>
      <c r="F33" s="50">
        <v>1.0</v>
      </c>
      <c r="G33" s="57">
        <f>COUNTIFS($A$2:$A$38,$F$30,$C$2:$C$38,$F33,$D$2:$D$38,G$30) + MAX(C41-D41,0)</f>
        <v>0</v>
      </c>
      <c r="H33" s="58">
        <f>COUNTIFS($A$2:$A$90,$F$30,$C$2:$C$90,$F33,$D$2:$D$90,H$30)</f>
        <v>0</v>
      </c>
      <c r="I33" s="59">
        <f>COUNTIFS($A$2:$A$38,$F$30,$C$2:$C$38,$F33,$D$2:$D$38,I$30) + MIN(C41,D41)</f>
        <v>6</v>
      </c>
      <c r="J33" s="9">
        <f t="shared" si="18"/>
        <v>6</v>
      </c>
      <c r="K33" s="9"/>
      <c r="L33" s="54" t="s">
        <v>111</v>
      </c>
      <c r="M33" s="57">
        <f>(M31-M32)/(1-M32)</f>
        <v>1</v>
      </c>
      <c r="N33" s="59" t="s">
        <v>124</v>
      </c>
    </row>
    <row r="34" ht="15.75" customHeight="1">
      <c r="A34" s="43" t="str">
        <f>CombinedHumanGrading!A34</f>
        <v>Transition</v>
      </c>
      <c r="B34" s="44" t="str">
        <f>CombinedHumanGrading!B34</f>
        <v>outOfPaper (Print =&gt; Suspended)</v>
      </c>
      <c r="C34" s="11">
        <f>CombinedHumanGrading!C34</f>
        <v>1</v>
      </c>
      <c r="D34" s="11">
        <f>'Gemini 3.1 Pro Preview Grading'!C34</f>
        <v>1</v>
      </c>
      <c r="E34" s="3"/>
      <c r="F34" s="60" t="s">
        <v>125</v>
      </c>
      <c r="G34" s="9">
        <f t="shared" ref="G34:I34" si="19">SUM(G31:G33)</f>
        <v>1</v>
      </c>
      <c r="H34" s="9">
        <f t="shared" si="19"/>
        <v>0</v>
      </c>
      <c r="I34" s="9">
        <f t="shared" si="19"/>
        <v>6</v>
      </c>
      <c r="J34" s="9"/>
      <c r="K34" s="9"/>
      <c r="L34" s="9"/>
      <c r="M34" s="61"/>
      <c r="N34" s="3"/>
    </row>
    <row r="35" ht="15.75" customHeight="1">
      <c r="A35" s="43" t="str">
        <f>CombinedHumanGrading!A35</f>
        <v>State</v>
      </c>
      <c r="B35" s="44" t="str">
        <f>CombinedHumanGrading!B35</f>
        <v>Scan &amp; Email</v>
      </c>
      <c r="C35" s="11">
        <f>CombinedHumanGrading!C35</f>
        <v>1</v>
      </c>
      <c r="D35" s="11">
        <f>'Gemini 3.1 Pro Preview Grading'!C35</f>
        <v>1</v>
      </c>
      <c r="E35" s="3"/>
      <c r="F35" s="3"/>
      <c r="L35" s="3"/>
      <c r="M35" s="3"/>
      <c r="N35" s="3"/>
    </row>
    <row r="36" ht="15.75" customHeight="1">
      <c r="A36" s="43" t="str">
        <f>CombinedHumanGrading!A36</f>
        <v>State</v>
      </c>
      <c r="B36" s="44" t="str">
        <f>CombinedHumanGrading!B36</f>
        <v>Suspended</v>
      </c>
      <c r="C36" s="11">
        <f>CombinedHumanGrading!C36</f>
        <v>1</v>
      </c>
      <c r="D36" s="11">
        <f>'Gemini 3.1 Pro Preview Grading'!C36</f>
        <v>1</v>
      </c>
      <c r="E36" s="3"/>
      <c r="F36" s="40" t="s">
        <v>134</v>
      </c>
      <c r="L36" s="41" t="s">
        <v>135</v>
      </c>
      <c r="M36" s="42"/>
      <c r="N36" s="42"/>
    </row>
    <row r="37" ht="15.75" customHeight="1">
      <c r="A37" s="43" t="str">
        <f>CombinedHumanGrading!A37</f>
        <v>Transition</v>
      </c>
      <c r="B37" s="44" t="str">
        <f>CombinedHumanGrading!B37</f>
        <v>resume (Suspended =&gt; History State for Busy)</v>
      </c>
      <c r="C37" s="11">
        <f>CombinedHumanGrading!C37</f>
        <v>1</v>
      </c>
      <c r="D37" s="11">
        <f>'Gemini 3.1 Pro Preview Grading'!C37</f>
        <v>1</v>
      </c>
      <c r="E37" s="3"/>
      <c r="F37" s="9" t="s">
        <v>17</v>
      </c>
      <c r="G37" s="62" t="s">
        <v>113</v>
      </c>
      <c r="H37" s="62" t="s">
        <v>114</v>
      </c>
      <c r="I37" s="62" t="s">
        <v>115</v>
      </c>
      <c r="J37" s="63" t="s">
        <v>116</v>
      </c>
      <c r="L37" s="49" t="s">
        <v>117</v>
      </c>
      <c r="M37" s="49" t="s">
        <v>118</v>
      </c>
      <c r="N37" s="49" t="s">
        <v>119</v>
      </c>
    </row>
    <row r="38" ht="15.75" customHeight="1">
      <c r="A38" s="43" t="str">
        <f>CombinedHumanGrading!A38</f>
        <v>Transition</v>
      </c>
      <c r="B38" s="44" t="str">
        <f>CombinedHumanGrading!B38</f>
        <v>cancel (Suspended =&gt; Ready)</v>
      </c>
      <c r="C38" s="64">
        <f>CombinedHumanGrading!C38</f>
        <v>1</v>
      </c>
      <c r="D38" s="64">
        <f>'Gemini 3.1 Pro Preview Grading'!C38</f>
        <v>1</v>
      </c>
      <c r="E38" s="3"/>
      <c r="F38" s="50">
        <v>0.0</v>
      </c>
      <c r="G38" s="51">
        <f t="shared" ref="G38:H38" si="20">COUNTIFS($A$2:$A$90,$F$37,$C$2:$C$90,$F38,$D$2:$D$90,G$37)</f>
        <v>1</v>
      </c>
      <c r="H38" s="52">
        <f t="shared" si="20"/>
        <v>0</v>
      </c>
      <c r="I38" s="53">
        <f>COUNTIFS($A$2:$A$38,$F$37,$C$2:$C$38,$F38,$D$2:$D$38,I$37)+MAX(D42-C42,0)</f>
        <v>0</v>
      </c>
      <c r="J38" s="9">
        <f t="shared" ref="J38:J40" si="22">SUM(G38:I38)</f>
        <v>1</v>
      </c>
      <c r="K38" s="9"/>
      <c r="L38" s="54" t="s">
        <v>120</v>
      </c>
      <c r="M38" s="51">
        <f>(G38+H39+I40)/COUNTIF($A$2:$A$90,F37)</f>
        <v>0.25</v>
      </c>
      <c r="N38" s="53" t="s">
        <v>121</v>
      </c>
    </row>
    <row r="39" ht="15.75" customHeight="1">
      <c r="A39" s="65" t="str">
        <f>CombinedHumanGrading!A39</f>
        <v>State</v>
      </c>
      <c r="B39" s="66" t="str">
        <f>CombinedHumanGrading!B39</f>
        <v>additional elements</v>
      </c>
      <c r="C39" s="67">
        <f>CombinedHumanGrading!C39</f>
        <v>0</v>
      </c>
      <c r="D39" s="67">
        <f>'Gemini 3.1 Pro Preview Grading'!C39</f>
        <v>0</v>
      </c>
      <c r="E39" s="3"/>
      <c r="F39" s="50">
        <v>0.5</v>
      </c>
      <c r="G39" s="55">
        <f t="shared" ref="G39:I39" si="21">COUNTIFS($A$2:$A$90,$F$37,$C$2:$C$90,$F39,$D$2:$D$90,G$37)</f>
        <v>0</v>
      </c>
      <c r="H39" s="9">
        <f t="shared" si="21"/>
        <v>0</v>
      </c>
      <c r="I39" s="56">
        <f t="shared" si="21"/>
        <v>0</v>
      </c>
      <c r="J39" s="9">
        <f t="shared" si="22"/>
        <v>0</v>
      </c>
      <c r="K39" s="9"/>
      <c r="L39" s="54" t="s">
        <v>122</v>
      </c>
      <c r="M39" s="55">
        <f t="array" ref="M39">SUMPRODUCT(J38:J40/COUNTIF($A$2:$A$90,F37), TRANSPOSE(G41:I41)/COUNTIF($A$2:$A$90,F37))</f>
        <v>0.25</v>
      </c>
      <c r="N39" s="56" t="s">
        <v>123</v>
      </c>
    </row>
    <row r="40" ht="15.75" customHeight="1">
      <c r="A40" s="43" t="str">
        <f>CombinedHumanGrading!A40</f>
        <v>Transition</v>
      </c>
      <c r="B40" s="44" t="str">
        <f>CombinedHumanGrading!B40</f>
        <v>additional elements</v>
      </c>
      <c r="C40" s="11">
        <f>CombinedHumanGrading!C40</f>
        <v>0</v>
      </c>
      <c r="D40" s="11">
        <f>'Gemini 3.1 Pro Preview Grading'!C40</f>
        <v>0</v>
      </c>
      <c r="E40" s="3"/>
      <c r="F40" s="50">
        <v>1.0</v>
      </c>
      <c r="G40" s="57">
        <f>COUNTIFS($A$2:$A$38,$F$37,$C$2:$C$38,$F40,$D$2:$D$38,G$37)+MAX(C42-D42,0)</f>
        <v>3</v>
      </c>
      <c r="H40" s="58">
        <f>COUNTIFS($A$2:$A$90,$F$37,$C$2:$C$90,$F40,$D$2:$D$90,H$37)</f>
        <v>0</v>
      </c>
      <c r="I40" s="59">
        <f>COUNTIFS($A$2:$A$38,$F$37,$C$2:$C$38,$F40,$D$2:$D$38,I$37) + MIN(C42,D42)</f>
        <v>0</v>
      </c>
      <c r="J40" s="9">
        <f t="shared" si="22"/>
        <v>3</v>
      </c>
      <c r="K40" s="9"/>
      <c r="L40" s="54" t="s">
        <v>111</v>
      </c>
      <c r="M40" s="57">
        <f>(M38-M39)/(1-M39)</f>
        <v>0</v>
      </c>
      <c r="N40" s="59" t="s">
        <v>124</v>
      </c>
    </row>
    <row r="41" ht="15.75" customHeight="1">
      <c r="A41" s="43" t="str">
        <f>CombinedHumanGrading!A41</f>
        <v>Guard</v>
      </c>
      <c r="B41" s="44" t="str">
        <f>CombinedHumanGrading!B41</f>
        <v>additional elements</v>
      </c>
      <c r="C41" s="11">
        <f>CombinedHumanGrading!C41</f>
        <v>0</v>
      </c>
      <c r="D41" s="11">
        <f>'Gemini 3.1 Pro Preview Grading'!C41</f>
        <v>0</v>
      </c>
      <c r="E41" s="3"/>
      <c r="F41" s="60" t="s">
        <v>125</v>
      </c>
      <c r="G41" s="9">
        <f t="shared" ref="G41:I41" si="23">SUM(G38:G40)</f>
        <v>4</v>
      </c>
      <c r="H41" s="9">
        <f t="shared" si="23"/>
        <v>0</v>
      </c>
      <c r="I41" s="9">
        <f t="shared" si="23"/>
        <v>0</v>
      </c>
      <c r="J41" s="9"/>
      <c r="K41" s="9"/>
      <c r="L41" s="9"/>
      <c r="M41" s="61"/>
      <c r="N41" s="3"/>
    </row>
    <row r="42" ht="15.75" customHeight="1">
      <c r="A42" s="43" t="str">
        <f>CombinedHumanGrading!A42</f>
        <v>Action</v>
      </c>
      <c r="B42" s="44" t="str">
        <f>CombinedHumanGrading!B42</f>
        <v>additional elements</v>
      </c>
      <c r="C42" s="11">
        <f>CombinedHumanGrading!C42</f>
        <v>0</v>
      </c>
      <c r="D42" s="11">
        <f>'Gemini 3.1 Pro Preview Grading'!C42</f>
        <v>0</v>
      </c>
      <c r="E42" s="3"/>
      <c r="F42" s="3"/>
      <c r="K42" s="9"/>
      <c r="L42" s="3"/>
      <c r="M42" s="3"/>
      <c r="N42" s="3"/>
    </row>
    <row r="43" ht="15.75" customHeight="1">
      <c r="A43" s="43" t="str">
        <f>CombinedHumanGrading!A43</f>
        <v>Composite State</v>
      </c>
      <c r="B43" s="44" t="str">
        <f>CombinedHumanGrading!B43</f>
        <v>additional elements</v>
      </c>
      <c r="C43" s="11">
        <f>CombinedHumanGrading!C43</f>
        <v>0</v>
      </c>
      <c r="D43" s="11">
        <f>'Gemini 3.1 Pro Preview Grading'!C43</f>
        <v>0</v>
      </c>
      <c r="E43" s="3"/>
      <c r="F43" s="40" t="s">
        <v>136</v>
      </c>
      <c r="K43" s="9"/>
      <c r="L43" s="41" t="s">
        <v>137</v>
      </c>
      <c r="M43" s="42"/>
      <c r="N43" s="42"/>
    </row>
    <row r="44" ht="15.75" customHeight="1">
      <c r="A44" s="43" t="str">
        <f>CombinedHumanGrading!A44</f>
        <v>Region</v>
      </c>
      <c r="B44" s="44" t="str">
        <f>CombinedHumanGrading!B44</f>
        <v>additional elements</v>
      </c>
      <c r="C44" s="11">
        <f>CombinedHumanGrading!C44</f>
        <v>0</v>
      </c>
      <c r="D44" s="11">
        <f>'Gemini 3.1 Pro Preview Grading'!C44</f>
        <v>0</v>
      </c>
      <c r="E44" s="3"/>
      <c r="F44" s="9" t="s">
        <v>34</v>
      </c>
      <c r="G44" s="62" t="s">
        <v>113</v>
      </c>
      <c r="H44" s="62" t="s">
        <v>114</v>
      </c>
      <c r="I44" s="62" t="s">
        <v>115</v>
      </c>
      <c r="J44" s="63" t="s">
        <v>116</v>
      </c>
      <c r="L44" s="49" t="s">
        <v>117</v>
      </c>
      <c r="M44" s="49" t="s">
        <v>118</v>
      </c>
      <c r="N44" s="49" t="s">
        <v>119</v>
      </c>
    </row>
    <row r="45" ht="15.75" customHeight="1">
      <c r="A45" s="43" t="str">
        <f>CombinedHumanGrading!A45</f>
        <v>History State</v>
      </c>
      <c r="B45" s="44" t="str">
        <f>CombinedHumanGrading!B45</f>
        <v>additional elements</v>
      </c>
      <c r="C45" s="11">
        <f>CombinedHumanGrading!C45</f>
        <v>0</v>
      </c>
      <c r="D45" s="11">
        <f>'Gemini 3.1 Pro Preview Grading'!C45</f>
        <v>0</v>
      </c>
      <c r="E45" s="3"/>
      <c r="F45" s="50">
        <v>0.0</v>
      </c>
      <c r="G45" s="51">
        <f t="shared" ref="G45:H45" si="24">COUNTIFS($A$2:$A$90,$F$44,$C$2:$C$90,$F45,$D$2:$D$90,G$44)</f>
        <v>1</v>
      </c>
      <c r="H45" s="52">
        <f t="shared" si="24"/>
        <v>0</v>
      </c>
      <c r="I45" s="53">
        <f>COUNTIFS($A$2:$A$38,$F$44,$C$2:$C$38,$F45,$D$2:$D$38,I$44) + MAX(D45-C45,0)</f>
        <v>0</v>
      </c>
      <c r="J45" s="9">
        <f t="shared" ref="J45:J47" si="26">SUM(G45:I45)</f>
        <v>1</v>
      </c>
      <c r="L45" s="54" t="s">
        <v>120</v>
      </c>
      <c r="M45" s="51">
        <f>(G45+H46+I47)/COUNTIF($A$2:$A$90,F44)</f>
        <v>0.5</v>
      </c>
      <c r="N45" s="53" t="s">
        <v>121</v>
      </c>
    </row>
    <row r="46" ht="15.75" customHeight="1">
      <c r="A46" s="40"/>
      <c r="B46" s="68"/>
      <c r="C46" s="3"/>
      <c r="D46" s="3"/>
      <c r="E46" s="3"/>
      <c r="F46" s="50">
        <v>0.5</v>
      </c>
      <c r="G46" s="55">
        <f t="shared" ref="G46:I46" si="25">COUNTIFS($A$2:$A$90,$F$44,$C$2:$C$90,$F46,$D$2:$D$90,G$44)</f>
        <v>0</v>
      </c>
      <c r="H46" s="9">
        <f t="shared" si="25"/>
        <v>0</v>
      </c>
      <c r="I46" s="56">
        <f t="shared" si="25"/>
        <v>0</v>
      </c>
      <c r="J46" s="9">
        <f t="shared" si="26"/>
        <v>0</v>
      </c>
      <c r="L46" s="54" t="s">
        <v>122</v>
      </c>
      <c r="M46" s="55">
        <f t="array" ref="M46">SUMPRODUCT(J45:J47/COUNTIF($A$2:$A$90,F44), TRANSPOSE(G48:I48)/COUNTIF($A$2:$A$90,F44))</f>
        <v>0.5</v>
      </c>
      <c r="N46" s="56" t="s">
        <v>123</v>
      </c>
    </row>
    <row r="47" ht="15.75" customHeight="1">
      <c r="A47" s="40"/>
      <c r="B47" s="68"/>
      <c r="C47" s="3"/>
      <c r="D47" s="3"/>
      <c r="E47" s="3"/>
      <c r="F47" s="50">
        <v>1.0</v>
      </c>
      <c r="G47" s="57">
        <f>COUNTIFS($A$2:$A$38,$F$44,$C$2:$C$38,$F47,$D$2:$D$38,G$44) + MAX(C45-D45,0)</f>
        <v>1</v>
      </c>
      <c r="H47" s="58">
        <f>COUNTIFS($A$2:$A$90,$F$44,$C$2:$C$90,$F47,$D$2:$D$90,H$44)</f>
        <v>0</v>
      </c>
      <c r="I47" s="59">
        <f>COUNTIFS($A$2:$A$38,$F$44,$C$2:$C$38,$F47,$D$2:$D$38,I$44) + MIN(C45,D45)</f>
        <v>0</v>
      </c>
      <c r="J47" s="9">
        <f t="shared" si="26"/>
        <v>1</v>
      </c>
      <c r="K47" s="9"/>
      <c r="L47" s="54" t="s">
        <v>111</v>
      </c>
      <c r="M47" s="57">
        <f>(M45-M46)/(1-M46)</f>
        <v>0</v>
      </c>
      <c r="N47" s="59" t="s">
        <v>124</v>
      </c>
    </row>
    <row r="48" ht="15.75" customHeight="1">
      <c r="A48" s="40"/>
      <c r="B48" s="68"/>
      <c r="C48" s="3"/>
      <c r="D48" s="3"/>
      <c r="E48" s="3"/>
      <c r="F48" s="60" t="s">
        <v>125</v>
      </c>
      <c r="G48" s="9">
        <f t="shared" ref="G48:I48" si="27">SUM(G45:G47)</f>
        <v>2</v>
      </c>
      <c r="H48" s="9">
        <f t="shared" si="27"/>
        <v>0</v>
      </c>
      <c r="I48" s="9">
        <f t="shared" si="27"/>
        <v>0</v>
      </c>
      <c r="J48" s="9"/>
      <c r="K48" s="9"/>
      <c r="L48" s="9"/>
      <c r="M48" s="61"/>
      <c r="N48" s="3"/>
    </row>
    <row r="49" ht="15.75" customHeight="1">
      <c r="A49" s="40"/>
      <c r="B49" s="68"/>
      <c r="C49" s="3"/>
      <c r="D49" s="3"/>
      <c r="E49" s="3"/>
      <c r="F49" s="3"/>
      <c r="K49" s="9"/>
      <c r="L49" s="3"/>
      <c r="M49" s="3"/>
      <c r="N49" s="3"/>
    </row>
    <row r="50" ht="15.75" customHeight="1">
      <c r="A50" s="40"/>
      <c r="B50" s="68"/>
      <c r="C50" s="3"/>
      <c r="D50" s="3"/>
      <c r="E50" s="3"/>
      <c r="F50" s="40" t="s">
        <v>138</v>
      </c>
      <c r="K50" s="9"/>
      <c r="L50" s="41" t="s">
        <v>139</v>
      </c>
      <c r="M50" s="42"/>
      <c r="N50" s="42"/>
    </row>
    <row r="51" ht="15.75" customHeight="1">
      <c r="A51" s="40"/>
      <c r="B51" s="68"/>
      <c r="C51" s="3"/>
      <c r="D51" s="3"/>
      <c r="E51" s="3"/>
      <c r="F51" s="9" t="s">
        <v>45</v>
      </c>
      <c r="G51" s="62" t="s">
        <v>113</v>
      </c>
      <c r="H51" s="62" t="s">
        <v>114</v>
      </c>
      <c r="I51" s="62" t="s">
        <v>115</v>
      </c>
      <c r="J51" s="63" t="s">
        <v>116</v>
      </c>
      <c r="K51" s="9"/>
      <c r="L51" s="49" t="s">
        <v>117</v>
      </c>
      <c r="M51" s="49" t="s">
        <v>118</v>
      </c>
      <c r="N51" s="49" t="s">
        <v>119</v>
      </c>
    </row>
    <row r="52" ht="15.75" customHeight="1">
      <c r="A52" s="40"/>
      <c r="B52" s="68"/>
      <c r="C52" s="3"/>
      <c r="D52" s="3"/>
      <c r="E52" s="3"/>
      <c r="F52" s="50">
        <v>0.0</v>
      </c>
      <c r="G52" s="51">
        <f t="shared" ref="G52:H52" si="28">COUNTIFS($A$2:$A$90,$F$51,$C$2:$C$90,$F52,$D$2:$D$90,G$51)</f>
        <v>1</v>
      </c>
      <c r="H52" s="52">
        <f t="shared" si="28"/>
        <v>0</v>
      </c>
      <c r="I52" s="53">
        <f>COUNTIFS($A$2:$A$38,$F$51,$C$2:$C$38,$F52,$D$2:$D$38,I$51)+MAX(D44-C44,0)</f>
        <v>0</v>
      </c>
      <c r="J52" s="9">
        <f t="shared" ref="J52:J54" si="30">SUM(G52:I52)</f>
        <v>1</v>
      </c>
      <c r="K52" s="9"/>
      <c r="L52" s="54" t="s">
        <v>120</v>
      </c>
      <c r="M52" s="51">
        <f>(G52+H53+I54)/COUNTIF($A$2:$A$90,F51)</f>
        <v>1</v>
      </c>
      <c r="N52" s="53" t="s">
        <v>121</v>
      </c>
    </row>
    <row r="53" ht="15.75" customHeight="1">
      <c r="A53" s="40"/>
      <c r="B53" s="68"/>
      <c r="C53" s="3"/>
      <c r="D53" s="3"/>
      <c r="E53" s="3"/>
      <c r="F53" s="50">
        <v>0.5</v>
      </c>
      <c r="G53" s="55">
        <f t="shared" ref="G53:I53" si="29">COUNTIFS($A$2:$A$90,$F$51,$C$2:$C$90,$F53,$D$2:$D$90,G$51)</f>
        <v>0</v>
      </c>
      <c r="H53" s="9">
        <f t="shared" si="29"/>
        <v>0</v>
      </c>
      <c r="I53" s="56">
        <f t="shared" si="29"/>
        <v>0</v>
      </c>
      <c r="J53" s="9">
        <f t="shared" si="30"/>
        <v>0</v>
      </c>
      <c r="L53" s="54" t="s">
        <v>122</v>
      </c>
      <c r="M53" s="55">
        <f t="array" ref="M53">SUMPRODUCT(J52:J54/COUNTIF($A$2:$A$90,F51), TRANSPOSE(G55:I55)/COUNTIF($A$2:$A$90,F51))</f>
        <v>1</v>
      </c>
      <c r="N53" s="56" t="s">
        <v>123</v>
      </c>
    </row>
    <row r="54" ht="15.75" customHeight="1">
      <c r="A54" s="40"/>
      <c r="B54" s="68"/>
      <c r="C54" s="3"/>
      <c r="D54" s="3"/>
      <c r="E54" s="3"/>
      <c r="F54" s="50">
        <v>1.0</v>
      </c>
      <c r="G54" s="57">
        <f>COUNTIFS($A$2:$A$38,$F$51,$C$2:$C$38,$F54,$D$2:$D$38,G$51) + MAX(C44-D44,0)</f>
        <v>0</v>
      </c>
      <c r="H54" s="58">
        <f>COUNTIFS($A$2:$A$90,$F$51,$C$2:$C$90,$F54,$D$2:$D$90,H$51)</f>
        <v>0</v>
      </c>
      <c r="I54" s="59">
        <f>COUNTIFS($A$2:$A$38,$F$51,$C$2:$C$38,$F54,$D$2:$D$38,I$51)+MIN(C44,D44)</f>
        <v>0</v>
      </c>
      <c r="J54" s="9">
        <f t="shared" si="30"/>
        <v>0</v>
      </c>
      <c r="L54" s="54" t="s">
        <v>111</v>
      </c>
      <c r="M54" s="57" t="str">
        <f>(M52-M53)/(1-M53)</f>
        <v>#DIV/0!</v>
      </c>
      <c r="N54" s="59" t="s">
        <v>124</v>
      </c>
    </row>
    <row r="55" ht="15.75" customHeight="1">
      <c r="A55" s="40"/>
      <c r="B55" s="68"/>
      <c r="C55" s="3"/>
      <c r="D55" s="3"/>
      <c r="E55" s="3"/>
      <c r="F55" s="60" t="s">
        <v>125</v>
      </c>
      <c r="G55" s="9">
        <f t="shared" ref="G55:I55" si="31">SUM(G52:G54)</f>
        <v>1</v>
      </c>
      <c r="H55" s="9">
        <f t="shared" si="31"/>
        <v>0</v>
      </c>
      <c r="I55" s="9">
        <f t="shared" si="31"/>
        <v>0</v>
      </c>
      <c r="J55" s="9"/>
      <c r="L55" s="9"/>
      <c r="M55" s="61"/>
      <c r="N55" s="3"/>
    </row>
    <row r="56" ht="15.75" customHeight="1">
      <c r="A56" s="40"/>
      <c r="B56" s="68"/>
      <c r="C56" s="3"/>
      <c r="D56" s="3"/>
      <c r="E56" s="3"/>
      <c r="F56" s="3"/>
      <c r="K56" s="9"/>
      <c r="L56" s="9"/>
      <c r="M56" s="61"/>
      <c r="N56" s="3"/>
    </row>
    <row r="57" ht="15.75" customHeight="1">
      <c r="A57" s="40"/>
      <c r="B57" s="68"/>
      <c r="C57" s="3"/>
      <c r="D57" s="3"/>
      <c r="E57" s="3"/>
      <c r="F57" s="3"/>
      <c r="K57" s="9"/>
      <c r="L57" s="9"/>
      <c r="M57" s="61"/>
      <c r="N57" s="3"/>
    </row>
    <row r="58" ht="15.75" customHeight="1">
      <c r="A58" s="40"/>
      <c r="B58" s="68"/>
      <c r="C58" s="3"/>
      <c r="D58" s="3"/>
      <c r="E58" s="3"/>
      <c r="F58" s="3"/>
      <c r="K58" s="9"/>
      <c r="L58" s="3"/>
      <c r="M58" s="3"/>
      <c r="N58" s="3"/>
    </row>
    <row r="59" ht="15.75" customHeight="1">
      <c r="A59" s="40"/>
      <c r="B59" s="68"/>
      <c r="C59" s="3"/>
      <c r="D59" s="3"/>
      <c r="E59" s="3"/>
      <c r="F59" s="3"/>
      <c r="K59" s="9"/>
      <c r="L59" s="3"/>
      <c r="M59" s="3"/>
      <c r="N59" s="3"/>
    </row>
    <row r="60" ht="15.75" customHeight="1">
      <c r="A60" s="40"/>
      <c r="B60" s="68"/>
      <c r="C60" s="3"/>
      <c r="D60" s="3"/>
      <c r="E60" s="3"/>
      <c r="F60" s="3"/>
      <c r="K60" s="9"/>
      <c r="L60" s="3"/>
      <c r="M60" s="3"/>
      <c r="N60" s="3"/>
    </row>
    <row r="61" ht="15.75" customHeight="1">
      <c r="A61" s="40"/>
      <c r="B61" s="68"/>
      <c r="C61" s="3"/>
      <c r="D61" s="3"/>
      <c r="E61" s="3"/>
      <c r="F61" s="3"/>
      <c r="K61" s="9"/>
      <c r="L61" s="3"/>
      <c r="M61" s="3"/>
      <c r="N61" s="3"/>
    </row>
    <row r="62" ht="15.75" customHeight="1">
      <c r="A62" s="40"/>
      <c r="B62" s="68"/>
      <c r="C62" s="3"/>
      <c r="D62" s="3"/>
      <c r="E62" s="3"/>
      <c r="F62" s="3"/>
      <c r="L62" s="3"/>
      <c r="M62" s="3"/>
      <c r="N62" s="3"/>
    </row>
    <row r="63" ht="15.75" customHeight="1">
      <c r="A63" s="40"/>
      <c r="B63" s="68"/>
      <c r="C63" s="3"/>
      <c r="D63" s="3"/>
      <c r="E63" s="3"/>
      <c r="F63" s="3"/>
      <c r="G63" s="69">
        <f>MIN(C41,D41)+MIN(C42,D42)+MIN(C43,D43)+MIN(C44,D44)+MIN(C45,D45)</f>
        <v>0</v>
      </c>
      <c r="L63" s="3"/>
      <c r="M63" s="3"/>
      <c r="N63" s="3"/>
    </row>
    <row r="64" ht="15.75" customHeight="1">
      <c r="A64" s="40"/>
      <c r="B64" s="68"/>
      <c r="C64" s="3"/>
      <c r="D64" s="3"/>
      <c r="E64" s="3"/>
      <c r="F64" s="3"/>
      <c r="L64" s="3"/>
      <c r="M64" s="3"/>
      <c r="N64" s="3"/>
    </row>
    <row r="65" ht="15.75" customHeight="1">
      <c r="A65" s="40"/>
      <c r="B65" s="68"/>
      <c r="C65" s="3"/>
      <c r="D65" s="3"/>
      <c r="E65" s="3"/>
      <c r="F65" s="3"/>
      <c r="K65" s="9"/>
      <c r="L65" s="3"/>
      <c r="M65" s="3"/>
      <c r="N65" s="3"/>
    </row>
    <row r="66" ht="15.75" customHeight="1">
      <c r="A66" s="40"/>
      <c r="B66" s="68"/>
      <c r="C66" s="3"/>
      <c r="D66" s="3"/>
      <c r="E66" s="3"/>
      <c r="F66" s="3"/>
      <c r="K66" s="9"/>
      <c r="L66" s="3"/>
      <c r="M66" s="3"/>
      <c r="N66" s="3"/>
    </row>
    <row r="67" ht="15.75" customHeight="1">
      <c r="A67" s="40"/>
      <c r="B67" s="68"/>
      <c r="C67" s="3"/>
      <c r="D67" s="3"/>
      <c r="E67" s="3"/>
      <c r="F67" s="3"/>
      <c r="K67" s="9"/>
      <c r="L67" s="3"/>
      <c r="M67" s="3"/>
      <c r="N67" s="3"/>
    </row>
    <row r="68" ht="15.75" customHeight="1">
      <c r="A68" s="40"/>
      <c r="B68" s="68"/>
      <c r="C68" s="3"/>
      <c r="D68" s="3"/>
      <c r="E68" s="3"/>
      <c r="F68" s="3"/>
      <c r="K68" s="9"/>
      <c r="L68" s="3"/>
      <c r="M68" s="3"/>
      <c r="N68" s="3"/>
    </row>
    <row r="69" ht="15.75" customHeight="1">
      <c r="A69" s="40"/>
      <c r="B69" s="68"/>
      <c r="C69" s="3"/>
      <c r="D69" s="3"/>
      <c r="E69" s="3"/>
      <c r="F69" s="3"/>
      <c r="K69" s="9"/>
      <c r="L69" s="3"/>
      <c r="M69" s="3"/>
      <c r="N69" s="3"/>
    </row>
    <row r="70" ht="15.75" customHeight="1">
      <c r="A70" s="40"/>
      <c r="B70" s="68"/>
      <c r="C70" s="3"/>
      <c r="D70" s="3"/>
      <c r="E70" s="3"/>
      <c r="F70" s="3"/>
      <c r="K70" s="9"/>
      <c r="L70" s="3"/>
      <c r="M70" s="3"/>
      <c r="N70" s="3"/>
    </row>
    <row r="71" ht="15.75" customHeight="1">
      <c r="A71" s="3"/>
      <c r="B71" s="68"/>
      <c r="C71" s="3"/>
      <c r="D71" s="3"/>
      <c r="E71" s="3"/>
      <c r="F71" s="3"/>
      <c r="L71" s="3"/>
      <c r="M71" s="3"/>
      <c r="N71" s="3"/>
    </row>
    <row r="72" ht="15.75" customHeight="1">
      <c r="A72" s="3"/>
      <c r="B72" s="68"/>
      <c r="C72" s="3"/>
      <c r="D72" s="3"/>
      <c r="E72" s="3"/>
      <c r="F72" s="3"/>
      <c r="L72" s="3"/>
      <c r="M72" s="3"/>
      <c r="N72" s="3"/>
    </row>
    <row r="73" ht="15.75" customHeight="1">
      <c r="A73" s="3"/>
      <c r="B73" s="3"/>
      <c r="C73" s="3"/>
      <c r="D73" s="3"/>
      <c r="E73" s="3"/>
      <c r="F73" s="3"/>
      <c r="L73" s="3"/>
      <c r="M73" s="3"/>
      <c r="N73" s="3"/>
    </row>
    <row r="74" ht="15.75" customHeight="1">
      <c r="A74" s="3"/>
      <c r="B74" s="3"/>
      <c r="C74" s="3"/>
      <c r="D74" s="3"/>
      <c r="E74" s="3"/>
      <c r="F74" s="3"/>
      <c r="L74" s="3"/>
      <c r="M74" s="3"/>
      <c r="N74" s="3"/>
    </row>
    <row r="75" ht="15.75" customHeight="1">
      <c r="A75" s="3"/>
      <c r="B75" s="3"/>
      <c r="C75" s="3"/>
      <c r="D75" s="3"/>
      <c r="E75" s="3"/>
      <c r="F75" s="3"/>
      <c r="L75" s="3"/>
      <c r="M75" s="3"/>
      <c r="N75" s="3"/>
    </row>
    <row r="76" ht="15.75" customHeight="1">
      <c r="A76" s="3"/>
      <c r="B76" s="3"/>
      <c r="C76" s="3"/>
      <c r="D76" s="3"/>
      <c r="E76" s="3"/>
      <c r="F76" s="3"/>
      <c r="L76" s="3"/>
      <c r="M76" s="3"/>
      <c r="N76" s="3"/>
    </row>
    <row r="77" ht="15.75" customHeight="1">
      <c r="A77" s="3"/>
      <c r="B77" s="3"/>
      <c r="C77" s="3"/>
      <c r="D77" s="3"/>
      <c r="E77" s="3"/>
      <c r="F77" s="3"/>
      <c r="L77" s="3"/>
      <c r="M77" s="3"/>
      <c r="N77" s="3"/>
    </row>
    <row r="78" ht="15.75" customHeight="1">
      <c r="A78" s="3"/>
      <c r="B78" s="3"/>
      <c r="C78" s="3"/>
      <c r="D78" s="3"/>
      <c r="E78" s="3"/>
      <c r="F78" s="3"/>
      <c r="L78" s="3"/>
      <c r="M78" s="3"/>
      <c r="N78" s="3"/>
    </row>
    <row r="79" ht="15.75" customHeight="1">
      <c r="A79" s="3"/>
      <c r="B79" s="3"/>
      <c r="C79" s="3"/>
      <c r="D79" s="3"/>
      <c r="E79" s="3"/>
      <c r="F79" s="3"/>
      <c r="L79" s="3"/>
      <c r="M79" s="3"/>
      <c r="N79" s="3"/>
    </row>
    <row r="80" ht="15.75" customHeight="1">
      <c r="A80" s="3"/>
      <c r="B80" s="3"/>
      <c r="C80" s="3"/>
      <c r="D80" s="3"/>
      <c r="E80" s="3"/>
      <c r="F80" s="3"/>
      <c r="L80" s="3"/>
      <c r="M80" s="3"/>
      <c r="N80" s="3"/>
    </row>
    <row r="81" ht="15.75" customHeight="1">
      <c r="A81" s="3"/>
      <c r="B81" s="3"/>
      <c r="C81" s="3"/>
      <c r="D81" s="3"/>
      <c r="E81" s="3"/>
      <c r="F81" s="3"/>
      <c r="L81" s="3"/>
      <c r="M81" s="3"/>
      <c r="N81" s="3"/>
    </row>
    <row r="82" ht="15.75" customHeight="1">
      <c r="A82" s="3"/>
      <c r="B82" s="3"/>
      <c r="C82" s="3"/>
      <c r="D82" s="3"/>
      <c r="E82" s="3"/>
      <c r="F82" s="3"/>
      <c r="L82" s="3"/>
      <c r="M82" s="3"/>
      <c r="N82" s="3"/>
    </row>
    <row r="83" ht="15.75" customHeight="1">
      <c r="A83" s="3"/>
      <c r="B83" s="3"/>
      <c r="C83" s="3"/>
      <c r="D83" s="3"/>
      <c r="E83" s="3"/>
      <c r="F83" s="3"/>
      <c r="L83" s="3"/>
      <c r="M83" s="3"/>
      <c r="N83" s="3"/>
    </row>
    <row r="84" ht="15.75" customHeight="1">
      <c r="A84" s="3"/>
      <c r="B84" s="3"/>
      <c r="C84" s="3"/>
      <c r="D84" s="3"/>
      <c r="E84" s="3"/>
      <c r="F84" s="3"/>
      <c r="L84" s="3"/>
      <c r="M84" s="3"/>
      <c r="N84" s="3"/>
    </row>
    <row r="85" ht="15.75" customHeight="1">
      <c r="A85" s="3"/>
      <c r="B85" s="3"/>
      <c r="C85" s="3"/>
      <c r="D85" s="3"/>
      <c r="E85" s="3"/>
      <c r="F85" s="3"/>
      <c r="L85" s="3"/>
      <c r="M85" s="3"/>
      <c r="N85" s="3"/>
    </row>
    <row r="86" ht="15.75" customHeight="1">
      <c r="A86" s="3"/>
      <c r="B86" s="3"/>
      <c r="C86" s="3"/>
      <c r="D86" s="3"/>
      <c r="E86" s="3"/>
      <c r="F86" s="3"/>
      <c r="L86" s="3"/>
      <c r="M86" s="3"/>
      <c r="N86" s="3"/>
    </row>
    <row r="87" ht="15.75" customHeight="1">
      <c r="A87" s="3"/>
      <c r="B87" s="3"/>
      <c r="C87" s="3"/>
      <c r="D87" s="3"/>
      <c r="E87" s="3"/>
      <c r="F87" s="3"/>
      <c r="L87" s="3"/>
      <c r="M87" s="3"/>
      <c r="N87" s="3"/>
    </row>
    <row r="88" ht="15.75" customHeight="1">
      <c r="A88" s="3"/>
      <c r="B88" s="3"/>
      <c r="C88" s="3"/>
      <c r="D88" s="3"/>
      <c r="E88" s="3"/>
      <c r="F88" s="3"/>
      <c r="L88" s="3"/>
      <c r="M88" s="3"/>
      <c r="N88" s="3"/>
    </row>
    <row r="89" ht="15.75" customHeight="1">
      <c r="A89" s="3"/>
      <c r="B89" s="3"/>
      <c r="C89" s="3"/>
      <c r="D89" s="3"/>
      <c r="E89" s="3"/>
      <c r="F89" s="3"/>
      <c r="L89" s="3"/>
      <c r="M89" s="3"/>
      <c r="N89" s="3"/>
    </row>
    <row r="90" ht="15.75" customHeight="1">
      <c r="A90" s="3"/>
      <c r="B90" s="3"/>
      <c r="C90" s="3"/>
      <c r="D90" s="3"/>
      <c r="E90" s="3"/>
      <c r="F90" s="3"/>
      <c r="L90" s="3"/>
      <c r="M90" s="3"/>
      <c r="N90" s="3"/>
    </row>
    <row r="91" ht="15.75" customHeight="1">
      <c r="A91" s="3"/>
      <c r="B91" s="3"/>
      <c r="C91" s="3"/>
      <c r="D91" s="3"/>
      <c r="E91" s="3"/>
      <c r="F91" s="3"/>
      <c r="L91" s="3"/>
      <c r="M91" s="3"/>
      <c r="N91" s="3"/>
    </row>
    <row r="92" ht="15.75" customHeight="1">
      <c r="A92" s="3"/>
      <c r="B92" s="3"/>
      <c r="C92" s="3"/>
      <c r="D92" s="3"/>
      <c r="E92" s="3"/>
      <c r="F92" s="3"/>
      <c r="L92" s="3"/>
      <c r="M92" s="3"/>
      <c r="N92" s="3"/>
    </row>
    <row r="93" ht="15.75" customHeight="1">
      <c r="A93" s="3"/>
      <c r="B93" s="3"/>
      <c r="C93" s="3"/>
      <c r="D93" s="3"/>
      <c r="E93" s="3"/>
      <c r="F93" s="3"/>
      <c r="L93" s="3"/>
      <c r="M93" s="3"/>
      <c r="N93" s="3"/>
    </row>
    <row r="94" ht="15.75" customHeight="1">
      <c r="A94" s="3"/>
      <c r="B94" s="3"/>
      <c r="C94" s="3"/>
      <c r="D94" s="3"/>
      <c r="E94" s="3"/>
      <c r="F94" s="3"/>
      <c r="L94" s="3"/>
      <c r="M94" s="3"/>
      <c r="N94" s="3"/>
    </row>
    <row r="95" ht="15.75" customHeight="1">
      <c r="A95" s="3"/>
      <c r="B95" s="3"/>
      <c r="C95" s="3"/>
      <c r="D95" s="3"/>
      <c r="E95" s="3"/>
      <c r="F95" s="3"/>
      <c r="L95" s="3"/>
      <c r="M95" s="3"/>
      <c r="N95" s="3"/>
    </row>
    <row r="96" ht="15.75" customHeight="1">
      <c r="A96" s="3"/>
      <c r="B96" s="3"/>
      <c r="C96" s="3"/>
      <c r="D96" s="3"/>
      <c r="E96" s="3"/>
      <c r="F96" s="3"/>
      <c r="L96" s="3"/>
      <c r="M96" s="3"/>
      <c r="N96" s="3"/>
    </row>
    <row r="97" ht="15.75" customHeight="1">
      <c r="A97" s="3"/>
      <c r="B97" s="3"/>
      <c r="C97" s="3"/>
      <c r="D97" s="3"/>
      <c r="E97" s="3"/>
      <c r="F97" s="3"/>
      <c r="L97" s="3"/>
      <c r="M97" s="3"/>
      <c r="N97" s="3"/>
    </row>
    <row r="98" ht="15.75" customHeight="1">
      <c r="A98" s="3"/>
      <c r="B98" s="3"/>
      <c r="C98" s="3"/>
      <c r="D98" s="3"/>
      <c r="E98" s="3"/>
      <c r="F98" s="3"/>
      <c r="L98" s="3"/>
      <c r="M98" s="3"/>
      <c r="N98" s="3"/>
    </row>
    <row r="99" ht="15.75" customHeight="1">
      <c r="A99" s="3"/>
      <c r="B99" s="3"/>
      <c r="C99" s="3"/>
      <c r="D99" s="3"/>
      <c r="E99" s="3"/>
      <c r="F99" s="3"/>
      <c r="L99" s="3"/>
      <c r="M99" s="3"/>
      <c r="N99" s="3"/>
    </row>
    <row r="100" ht="15.75" customHeight="1">
      <c r="A100" s="3"/>
      <c r="B100" s="3"/>
      <c r="C100" s="3"/>
      <c r="D100" s="3"/>
      <c r="E100" s="3"/>
      <c r="F100" s="3"/>
      <c r="L100" s="3"/>
      <c r="M100" s="3"/>
      <c r="N100" s="3"/>
    </row>
    <row r="101" ht="15.75" customHeight="1">
      <c r="A101" s="3"/>
      <c r="B101" s="3"/>
      <c r="C101" s="3"/>
      <c r="D101" s="3"/>
      <c r="E101" s="3"/>
      <c r="F101" s="3"/>
      <c r="L101" s="3"/>
      <c r="M101" s="3"/>
      <c r="N101" s="3"/>
    </row>
    <row r="102" ht="15.75" customHeight="1">
      <c r="A102" s="3"/>
      <c r="B102" s="3"/>
      <c r="C102" s="3"/>
      <c r="D102" s="3"/>
      <c r="E102" s="3"/>
      <c r="F102" s="3"/>
      <c r="L102" s="3"/>
      <c r="M102" s="3"/>
      <c r="N102" s="3"/>
    </row>
    <row r="103" ht="15.75" customHeight="1">
      <c r="A103" s="3"/>
      <c r="B103" s="3"/>
      <c r="C103" s="3"/>
      <c r="D103" s="3"/>
      <c r="E103" s="3"/>
      <c r="F103" s="3"/>
      <c r="L103" s="3"/>
      <c r="M103" s="3"/>
      <c r="N103" s="3"/>
    </row>
    <row r="104" ht="15.75" customHeight="1">
      <c r="A104" s="3"/>
      <c r="B104" s="3"/>
      <c r="C104" s="3"/>
      <c r="D104" s="3"/>
      <c r="E104" s="3"/>
      <c r="F104" s="3"/>
      <c r="L104" s="3"/>
      <c r="M104" s="3"/>
      <c r="N104" s="3"/>
    </row>
    <row r="105" ht="15.75" customHeight="1">
      <c r="A105" s="3"/>
      <c r="B105" s="3"/>
      <c r="C105" s="3"/>
      <c r="D105" s="3"/>
      <c r="E105" s="3"/>
      <c r="F105" s="3"/>
      <c r="L105" s="3"/>
      <c r="M105" s="3"/>
      <c r="N105" s="3"/>
    </row>
    <row r="106" ht="15.75" customHeight="1">
      <c r="A106" s="3"/>
      <c r="B106" s="3"/>
      <c r="C106" s="3"/>
      <c r="D106" s="3"/>
      <c r="E106" s="3"/>
      <c r="F106" s="3"/>
      <c r="L106" s="3"/>
      <c r="M106" s="3"/>
      <c r="N106" s="3"/>
    </row>
    <row r="107" ht="15.75" customHeight="1">
      <c r="A107" s="3"/>
      <c r="B107" s="3"/>
      <c r="C107" s="3"/>
      <c r="D107" s="3"/>
      <c r="E107" s="3"/>
      <c r="F107" s="3"/>
      <c r="L107" s="3"/>
      <c r="M107" s="3"/>
      <c r="N107" s="3"/>
    </row>
    <row r="108" ht="15.75" customHeight="1">
      <c r="A108" s="3"/>
      <c r="B108" s="3"/>
      <c r="C108" s="3"/>
      <c r="D108" s="3"/>
      <c r="E108" s="3"/>
      <c r="F108" s="3"/>
      <c r="L108" s="3"/>
      <c r="M108" s="3"/>
      <c r="N108" s="3"/>
    </row>
    <row r="109" ht="15.75" customHeight="1">
      <c r="A109" s="3"/>
      <c r="B109" s="3"/>
      <c r="C109" s="3"/>
      <c r="D109" s="3"/>
      <c r="E109" s="3"/>
      <c r="F109" s="3"/>
      <c r="L109" s="3"/>
      <c r="M109" s="3"/>
      <c r="N109" s="3"/>
    </row>
    <row r="110" ht="15.75" customHeight="1">
      <c r="A110" s="3"/>
      <c r="B110" s="3"/>
      <c r="C110" s="3"/>
      <c r="D110" s="3"/>
      <c r="E110" s="3"/>
      <c r="F110" s="3"/>
      <c r="L110" s="3"/>
      <c r="M110" s="3"/>
      <c r="N110" s="3"/>
    </row>
    <row r="111" ht="15.75" customHeight="1">
      <c r="A111" s="3"/>
      <c r="B111" s="3"/>
      <c r="C111" s="3"/>
      <c r="D111" s="3"/>
      <c r="E111" s="3"/>
      <c r="F111" s="3"/>
      <c r="L111" s="3"/>
      <c r="M111" s="3"/>
      <c r="N111" s="3"/>
    </row>
    <row r="112" ht="15.75" customHeight="1">
      <c r="A112" s="3"/>
      <c r="B112" s="3"/>
      <c r="C112" s="3"/>
      <c r="D112" s="3"/>
      <c r="E112" s="3"/>
      <c r="F112" s="3"/>
      <c r="L112" s="3"/>
      <c r="M112" s="3"/>
      <c r="N112" s="3"/>
    </row>
    <row r="113" ht="15.75" customHeight="1">
      <c r="A113" s="3"/>
      <c r="B113" s="3"/>
      <c r="C113" s="3"/>
      <c r="D113" s="3"/>
      <c r="E113" s="3"/>
      <c r="F113" s="3"/>
      <c r="L113" s="3"/>
      <c r="M113" s="3"/>
      <c r="N113" s="3"/>
    </row>
    <row r="114" ht="15.75" customHeight="1">
      <c r="A114" s="3"/>
      <c r="B114" s="3"/>
      <c r="C114" s="3"/>
      <c r="D114" s="3"/>
      <c r="E114" s="3"/>
      <c r="F114" s="3"/>
      <c r="L114" s="3"/>
      <c r="M114" s="3"/>
      <c r="N114" s="3"/>
    </row>
    <row r="115" ht="15.75" customHeight="1">
      <c r="A115" s="3"/>
      <c r="B115" s="3"/>
      <c r="C115" s="3"/>
      <c r="D115" s="3"/>
      <c r="E115" s="3"/>
      <c r="F115" s="3"/>
      <c r="L115" s="3"/>
      <c r="M115" s="3"/>
      <c r="N115" s="3"/>
    </row>
    <row r="116" ht="15.75" customHeight="1">
      <c r="A116" s="3"/>
      <c r="B116" s="3"/>
      <c r="C116" s="3"/>
      <c r="D116" s="3"/>
      <c r="E116" s="3"/>
      <c r="F116" s="3"/>
      <c r="L116" s="3"/>
      <c r="M116" s="3"/>
      <c r="N116" s="3"/>
    </row>
    <row r="117" ht="15.75" customHeight="1">
      <c r="A117" s="3"/>
      <c r="B117" s="3"/>
      <c r="C117" s="3"/>
      <c r="D117" s="3"/>
      <c r="E117" s="3"/>
      <c r="F117" s="3"/>
      <c r="L117" s="3"/>
      <c r="M117" s="3"/>
      <c r="N117" s="3"/>
    </row>
    <row r="118" ht="15.75" customHeight="1">
      <c r="A118" s="3"/>
      <c r="B118" s="3"/>
      <c r="C118" s="3"/>
      <c r="D118" s="3"/>
      <c r="E118" s="3"/>
      <c r="F118" s="3"/>
      <c r="L118" s="3"/>
      <c r="M118" s="3"/>
      <c r="N118" s="3"/>
    </row>
    <row r="119" ht="15.75" customHeight="1">
      <c r="A119" s="3"/>
      <c r="B119" s="3"/>
      <c r="C119" s="3"/>
      <c r="D119" s="3"/>
      <c r="E119" s="3"/>
      <c r="F119" s="3"/>
      <c r="L119" s="3"/>
      <c r="M119" s="3"/>
      <c r="N119" s="3"/>
    </row>
    <row r="120" ht="15.75" customHeight="1">
      <c r="A120" s="3"/>
      <c r="B120" s="3"/>
      <c r="C120" s="3"/>
      <c r="D120" s="3"/>
      <c r="E120" s="3"/>
      <c r="F120" s="3"/>
      <c r="L120" s="3"/>
      <c r="M120" s="3"/>
      <c r="N120" s="3"/>
    </row>
    <row r="121" ht="15.75" customHeight="1">
      <c r="A121" s="3"/>
      <c r="B121" s="3"/>
      <c r="C121" s="3"/>
      <c r="D121" s="3"/>
      <c r="E121" s="3"/>
      <c r="F121" s="3"/>
      <c r="L121" s="3"/>
      <c r="M121" s="3"/>
      <c r="N121" s="3"/>
    </row>
    <row r="122" ht="15.75" customHeight="1">
      <c r="A122" s="3"/>
      <c r="B122" s="3"/>
      <c r="C122" s="3"/>
      <c r="D122" s="3"/>
      <c r="E122" s="3"/>
      <c r="F122" s="3"/>
      <c r="L122" s="3"/>
      <c r="M122" s="3"/>
      <c r="N122" s="3"/>
    </row>
    <row r="123" ht="15.75" customHeight="1">
      <c r="A123" s="3"/>
      <c r="B123" s="3"/>
      <c r="C123" s="3"/>
      <c r="D123" s="3"/>
      <c r="E123" s="3"/>
      <c r="F123" s="3"/>
      <c r="L123" s="3"/>
      <c r="M123" s="3"/>
      <c r="N123" s="3"/>
    </row>
    <row r="124" ht="15.75" customHeight="1">
      <c r="A124" s="3"/>
      <c r="B124" s="3"/>
      <c r="C124" s="3"/>
      <c r="D124" s="3"/>
      <c r="E124" s="3"/>
      <c r="F124" s="3"/>
      <c r="L124" s="3"/>
      <c r="M124" s="3"/>
      <c r="N124" s="3"/>
    </row>
    <row r="125" ht="15.75" customHeight="1">
      <c r="A125" s="3"/>
      <c r="B125" s="3"/>
      <c r="C125" s="3"/>
      <c r="D125" s="3"/>
      <c r="E125" s="3"/>
      <c r="F125" s="3"/>
      <c r="L125" s="3"/>
      <c r="M125" s="3"/>
      <c r="N125" s="3"/>
    </row>
    <row r="126" ht="15.75" customHeight="1">
      <c r="A126" s="3"/>
      <c r="B126" s="3"/>
      <c r="C126" s="3"/>
      <c r="D126" s="3"/>
      <c r="E126" s="3"/>
      <c r="F126" s="3"/>
      <c r="L126" s="3"/>
      <c r="M126" s="3"/>
      <c r="N126" s="3"/>
    </row>
    <row r="127" ht="15.75" customHeight="1">
      <c r="A127" s="3"/>
      <c r="B127" s="3"/>
      <c r="C127" s="3"/>
      <c r="D127" s="3"/>
      <c r="E127" s="3"/>
      <c r="F127" s="3"/>
      <c r="L127" s="3"/>
      <c r="M127" s="3"/>
      <c r="N127" s="3"/>
    </row>
    <row r="128" ht="15.75" customHeight="1">
      <c r="A128" s="3"/>
      <c r="B128" s="3"/>
      <c r="C128" s="3"/>
      <c r="D128" s="3"/>
      <c r="E128" s="3"/>
      <c r="F128" s="3"/>
      <c r="L128" s="3"/>
      <c r="M128" s="3"/>
      <c r="N128" s="3"/>
    </row>
    <row r="129" ht="15.75" customHeight="1">
      <c r="A129" s="3"/>
      <c r="B129" s="3"/>
      <c r="C129" s="3"/>
      <c r="D129" s="3"/>
      <c r="E129" s="3"/>
      <c r="F129" s="3"/>
      <c r="L129" s="3"/>
      <c r="M129" s="3"/>
      <c r="N129" s="3"/>
    </row>
    <row r="130" ht="15.75" customHeight="1">
      <c r="A130" s="3"/>
      <c r="B130" s="3"/>
      <c r="C130" s="3"/>
      <c r="D130" s="3"/>
      <c r="E130" s="3"/>
      <c r="F130" s="3"/>
      <c r="L130" s="3"/>
      <c r="M130" s="3"/>
      <c r="N130" s="3"/>
    </row>
    <row r="131" ht="15.75" customHeight="1">
      <c r="A131" s="3"/>
      <c r="B131" s="3"/>
      <c r="C131" s="3"/>
      <c r="D131" s="3"/>
      <c r="E131" s="3"/>
      <c r="F131" s="3"/>
      <c r="L131" s="3"/>
      <c r="M131" s="3"/>
      <c r="N131" s="3"/>
    </row>
    <row r="132" ht="15.75" customHeight="1">
      <c r="A132" s="3"/>
      <c r="B132" s="3"/>
      <c r="C132" s="3"/>
      <c r="D132" s="3"/>
      <c r="E132" s="3"/>
      <c r="F132" s="3"/>
      <c r="L132" s="3"/>
      <c r="M132" s="3"/>
      <c r="N132" s="3"/>
    </row>
    <row r="133" ht="15.75" customHeight="1">
      <c r="A133" s="3"/>
      <c r="B133" s="3"/>
      <c r="C133" s="3"/>
      <c r="D133" s="3"/>
      <c r="E133" s="3"/>
      <c r="F133" s="3"/>
      <c r="L133" s="3"/>
      <c r="M133" s="3"/>
      <c r="N133" s="3"/>
    </row>
    <row r="134" ht="15.75" customHeight="1">
      <c r="A134" s="3"/>
      <c r="B134" s="3"/>
      <c r="C134" s="3"/>
      <c r="D134" s="3"/>
      <c r="E134" s="3"/>
      <c r="F134" s="3"/>
      <c r="L134" s="3"/>
      <c r="M134" s="3"/>
      <c r="N134" s="3"/>
    </row>
    <row r="135" ht="15.75" customHeight="1">
      <c r="A135" s="3"/>
      <c r="B135" s="3"/>
      <c r="C135" s="3"/>
      <c r="D135" s="3"/>
      <c r="E135" s="3"/>
      <c r="F135" s="3"/>
      <c r="L135" s="3"/>
      <c r="M135" s="3"/>
      <c r="N135" s="3"/>
    </row>
    <row r="136" ht="15.75" customHeight="1">
      <c r="A136" s="3"/>
      <c r="B136" s="3"/>
      <c r="C136" s="3"/>
      <c r="D136" s="3"/>
      <c r="E136" s="3"/>
      <c r="F136" s="3"/>
      <c r="L136" s="3"/>
      <c r="M136" s="3"/>
      <c r="N136" s="3"/>
    </row>
    <row r="137" ht="15.75" customHeight="1">
      <c r="A137" s="3"/>
      <c r="B137" s="3"/>
      <c r="C137" s="3"/>
      <c r="D137" s="3"/>
      <c r="E137" s="3"/>
      <c r="F137" s="3"/>
      <c r="L137" s="3"/>
      <c r="M137" s="3"/>
      <c r="N137" s="3"/>
    </row>
    <row r="138" ht="15.75" customHeight="1">
      <c r="A138" s="3"/>
      <c r="B138" s="3"/>
      <c r="C138" s="3"/>
      <c r="D138" s="3"/>
      <c r="E138" s="3"/>
      <c r="F138" s="3"/>
      <c r="L138" s="3"/>
      <c r="M138" s="3"/>
      <c r="N138" s="3"/>
    </row>
    <row r="139" ht="15.75" customHeight="1">
      <c r="A139" s="3"/>
      <c r="B139" s="3"/>
      <c r="C139" s="3"/>
      <c r="D139" s="3"/>
      <c r="E139" s="3"/>
      <c r="F139" s="3"/>
      <c r="L139" s="3"/>
      <c r="M139" s="3"/>
      <c r="N139" s="3"/>
    </row>
    <row r="140" ht="15.75" customHeight="1">
      <c r="A140" s="3"/>
      <c r="B140" s="3"/>
      <c r="C140" s="3"/>
      <c r="D140" s="3"/>
      <c r="E140" s="3"/>
      <c r="F140" s="3"/>
      <c r="L140" s="3"/>
      <c r="M140" s="3"/>
      <c r="N140" s="3"/>
    </row>
    <row r="141" ht="15.75" customHeight="1">
      <c r="A141" s="3"/>
      <c r="B141" s="3"/>
      <c r="C141" s="3"/>
      <c r="D141" s="3"/>
      <c r="E141" s="3"/>
      <c r="F141" s="3"/>
      <c r="L141" s="3"/>
      <c r="M141" s="3"/>
      <c r="N141" s="3"/>
    </row>
    <row r="142" ht="15.75" customHeight="1">
      <c r="A142" s="3"/>
      <c r="B142" s="3"/>
      <c r="C142" s="3"/>
      <c r="D142" s="3"/>
      <c r="E142" s="3"/>
      <c r="F142" s="3"/>
      <c r="L142" s="3"/>
      <c r="M142" s="3"/>
      <c r="N142" s="3"/>
    </row>
    <row r="143" ht="15.75" customHeight="1">
      <c r="A143" s="3"/>
      <c r="B143" s="3"/>
      <c r="C143" s="3"/>
      <c r="D143" s="3"/>
      <c r="E143" s="3"/>
      <c r="F143" s="3"/>
      <c r="L143" s="3"/>
      <c r="M143" s="3"/>
      <c r="N143" s="3"/>
    </row>
    <row r="144" ht="15.75" customHeight="1">
      <c r="A144" s="3"/>
      <c r="B144" s="3"/>
      <c r="C144" s="3"/>
      <c r="D144" s="3"/>
      <c r="E144" s="3"/>
      <c r="F144" s="3"/>
      <c r="L144" s="3"/>
      <c r="M144" s="3"/>
      <c r="N144" s="3"/>
    </row>
    <row r="145" ht="15.75" customHeight="1">
      <c r="A145" s="3"/>
      <c r="B145" s="3"/>
      <c r="C145" s="3"/>
      <c r="D145" s="3"/>
      <c r="E145" s="3"/>
      <c r="F145" s="3"/>
      <c r="L145" s="3"/>
      <c r="M145" s="3"/>
      <c r="N145" s="3"/>
    </row>
    <row r="146" ht="15.75" customHeight="1">
      <c r="A146" s="3"/>
      <c r="B146" s="3"/>
      <c r="C146" s="3"/>
      <c r="D146" s="3"/>
      <c r="E146" s="3"/>
      <c r="F146" s="3"/>
      <c r="L146" s="3"/>
      <c r="M146" s="3"/>
      <c r="N146" s="3"/>
    </row>
    <row r="147" ht="15.75" customHeight="1">
      <c r="A147" s="3"/>
      <c r="B147" s="3"/>
      <c r="C147" s="3"/>
      <c r="D147" s="3"/>
      <c r="E147" s="3"/>
      <c r="F147" s="3"/>
      <c r="L147" s="3"/>
      <c r="M147" s="3"/>
      <c r="N147" s="3"/>
    </row>
    <row r="148" ht="15.75" customHeight="1">
      <c r="A148" s="3"/>
      <c r="B148" s="3"/>
      <c r="C148" s="3"/>
      <c r="D148" s="3"/>
      <c r="E148" s="3"/>
      <c r="F148" s="3"/>
      <c r="L148" s="3"/>
      <c r="M148" s="3"/>
      <c r="N148" s="3"/>
    </row>
    <row r="149" ht="15.75" customHeight="1">
      <c r="A149" s="3"/>
      <c r="B149" s="3"/>
      <c r="C149" s="3"/>
      <c r="D149" s="3"/>
      <c r="E149" s="3"/>
      <c r="F149" s="3"/>
      <c r="L149" s="3"/>
      <c r="M149" s="3"/>
      <c r="N149" s="3"/>
    </row>
    <row r="150" ht="15.75" customHeight="1">
      <c r="A150" s="3"/>
      <c r="B150" s="3"/>
      <c r="C150" s="3"/>
      <c r="D150" s="3"/>
      <c r="E150" s="3"/>
      <c r="F150" s="3"/>
      <c r="L150" s="3"/>
      <c r="M150" s="3"/>
      <c r="N150" s="3"/>
    </row>
    <row r="151" ht="15.75" customHeight="1">
      <c r="A151" s="3"/>
      <c r="B151" s="3"/>
      <c r="C151" s="3"/>
      <c r="D151" s="3"/>
      <c r="E151" s="3"/>
      <c r="F151" s="3"/>
      <c r="L151" s="3"/>
      <c r="M151" s="3"/>
      <c r="N151" s="3"/>
    </row>
    <row r="152" ht="15.75" customHeight="1">
      <c r="A152" s="3"/>
      <c r="B152" s="3"/>
      <c r="C152" s="3"/>
      <c r="D152" s="3"/>
      <c r="E152" s="3"/>
      <c r="F152" s="3"/>
      <c r="L152" s="3"/>
      <c r="M152" s="3"/>
      <c r="N152" s="3"/>
    </row>
    <row r="153" ht="15.75" customHeight="1">
      <c r="A153" s="3"/>
      <c r="B153" s="3"/>
      <c r="C153" s="3"/>
      <c r="D153" s="3"/>
      <c r="E153" s="3"/>
      <c r="F153" s="3"/>
      <c r="L153" s="3"/>
      <c r="M153" s="3"/>
      <c r="N153" s="3"/>
    </row>
    <row r="154" ht="15.75" customHeight="1">
      <c r="A154" s="3"/>
      <c r="B154" s="3"/>
      <c r="C154" s="3"/>
      <c r="D154" s="3"/>
      <c r="E154" s="3"/>
      <c r="F154" s="3"/>
      <c r="L154" s="3"/>
      <c r="M154" s="3"/>
      <c r="N154" s="3"/>
    </row>
    <row r="155" ht="15.75" customHeight="1">
      <c r="A155" s="3"/>
      <c r="B155" s="3"/>
      <c r="C155" s="3"/>
      <c r="D155" s="3"/>
      <c r="E155" s="3"/>
      <c r="F155" s="3"/>
      <c r="L155" s="3"/>
      <c r="M155" s="3"/>
      <c r="N155" s="3"/>
    </row>
    <row r="156" ht="15.75" customHeight="1">
      <c r="A156" s="3"/>
      <c r="B156" s="3"/>
      <c r="C156" s="3"/>
      <c r="D156" s="3"/>
      <c r="E156" s="3"/>
      <c r="F156" s="3"/>
      <c r="L156" s="3"/>
      <c r="M156" s="3"/>
      <c r="N156" s="3"/>
    </row>
    <row r="157" ht="15.75" customHeight="1">
      <c r="A157" s="3"/>
      <c r="B157" s="3"/>
      <c r="C157" s="3"/>
      <c r="D157" s="3"/>
      <c r="E157" s="3"/>
      <c r="F157" s="3"/>
      <c r="L157" s="3"/>
      <c r="M157" s="3"/>
      <c r="N157" s="3"/>
    </row>
    <row r="158" ht="15.75" customHeight="1">
      <c r="A158" s="3"/>
      <c r="B158" s="3"/>
      <c r="C158" s="3"/>
      <c r="D158" s="3"/>
      <c r="E158" s="3"/>
      <c r="F158" s="3"/>
      <c r="L158" s="3"/>
      <c r="M158" s="3"/>
      <c r="N158" s="3"/>
    </row>
    <row r="159" ht="15.75" customHeight="1">
      <c r="A159" s="3"/>
      <c r="B159" s="3"/>
      <c r="C159" s="3"/>
      <c r="D159" s="3"/>
      <c r="E159" s="3"/>
      <c r="F159" s="3"/>
      <c r="L159" s="3"/>
      <c r="M159" s="3"/>
      <c r="N159" s="3"/>
    </row>
    <row r="160" ht="15.75" customHeight="1">
      <c r="A160" s="3"/>
      <c r="B160" s="3"/>
      <c r="C160" s="3"/>
      <c r="D160" s="3"/>
      <c r="E160" s="3"/>
      <c r="F160" s="3"/>
      <c r="L160" s="3"/>
      <c r="M160" s="3"/>
      <c r="N160" s="3"/>
    </row>
    <row r="161" ht="15.75" customHeight="1">
      <c r="A161" s="3"/>
      <c r="B161" s="3"/>
      <c r="C161" s="3"/>
      <c r="D161" s="3"/>
      <c r="E161" s="3"/>
      <c r="F161" s="3"/>
      <c r="L161" s="3"/>
      <c r="M161" s="3"/>
      <c r="N161" s="3"/>
    </row>
    <row r="162" ht="15.75" customHeight="1">
      <c r="A162" s="3"/>
      <c r="B162" s="3"/>
      <c r="C162" s="3"/>
      <c r="D162" s="3"/>
      <c r="E162" s="3"/>
      <c r="F162" s="3"/>
      <c r="L162" s="3"/>
      <c r="M162" s="3"/>
      <c r="N162" s="3"/>
    </row>
    <row r="163" ht="15.75" customHeight="1">
      <c r="A163" s="3"/>
      <c r="B163" s="3"/>
      <c r="C163" s="3"/>
      <c r="D163" s="3"/>
      <c r="E163" s="3"/>
      <c r="F163" s="3"/>
      <c r="L163" s="3"/>
      <c r="M163" s="3"/>
      <c r="N163" s="3"/>
    </row>
    <row r="164" ht="15.75" customHeight="1">
      <c r="A164" s="3"/>
      <c r="B164" s="3"/>
      <c r="C164" s="3"/>
      <c r="D164" s="3"/>
      <c r="E164" s="3"/>
      <c r="F164" s="3"/>
      <c r="L164" s="3"/>
      <c r="M164" s="3"/>
      <c r="N164" s="3"/>
    </row>
    <row r="165" ht="15.75" customHeight="1">
      <c r="A165" s="3"/>
      <c r="B165" s="3"/>
      <c r="C165" s="3"/>
      <c r="D165" s="3"/>
      <c r="E165" s="3"/>
      <c r="F165" s="3"/>
      <c r="L165" s="3"/>
      <c r="M165" s="3"/>
      <c r="N165" s="3"/>
    </row>
    <row r="166" ht="15.75" customHeight="1">
      <c r="A166" s="3"/>
      <c r="B166" s="3"/>
      <c r="C166" s="3"/>
      <c r="D166" s="3"/>
      <c r="E166" s="3"/>
      <c r="F166" s="3"/>
      <c r="L166" s="3"/>
      <c r="M166" s="3"/>
      <c r="N166" s="3"/>
    </row>
    <row r="167" ht="15.75" customHeight="1">
      <c r="A167" s="3"/>
      <c r="B167" s="3"/>
      <c r="C167" s="3"/>
      <c r="D167" s="3"/>
      <c r="E167" s="3"/>
      <c r="F167" s="3"/>
      <c r="L167" s="3"/>
      <c r="M167" s="3"/>
      <c r="N167" s="3"/>
    </row>
    <row r="168" ht="15.75" customHeight="1">
      <c r="A168" s="3"/>
      <c r="B168" s="3"/>
      <c r="C168" s="3"/>
      <c r="D168" s="3"/>
      <c r="E168" s="3"/>
      <c r="F168" s="3"/>
      <c r="L168" s="3"/>
      <c r="M168" s="3"/>
      <c r="N168" s="3"/>
    </row>
    <row r="169" ht="15.75" customHeight="1">
      <c r="A169" s="3"/>
      <c r="B169" s="3"/>
      <c r="C169" s="3"/>
      <c r="D169" s="3"/>
      <c r="E169" s="3"/>
      <c r="F169" s="3"/>
      <c r="L169" s="3"/>
      <c r="M169" s="3"/>
      <c r="N169" s="3"/>
    </row>
    <row r="170" ht="15.75" customHeight="1">
      <c r="A170" s="3"/>
      <c r="B170" s="3"/>
      <c r="C170" s="3"/>
      <c r="D170" s="3"/>
      <c r="E170" s="3"/>
      <c r="F170" s="3"/>
      <c r="L170" s="3"/>
      <c r="M170" s="3"/>
      <c r="N170" s="3"/>
    </row>
    <row r="171" ht="15.75" customHeight="1">
      <c r="A171" s="3"/>
      <c r="B171" s="3"/>
      <c r="C171" s="3"/>
      <c r="D171" s="3"/>
      <c r="E171" s="3"/>
      <c r="F171" s="3"/>
      <c r="L171" s="3"/>
      <c r="M171" s="3"/>
      <c r="N171" s="3"/>
    </row>
    <row r="172" ht="15.75" customHeight="1">
      <c r="A172" s="3"/>
      <c r="B172" s="3"/>
      <c r="C172" s="3"/>
      <c r="D172" s="3"/>
      <c r="E172" s="3"/>
      <c r="F172" s="3"/>
      <c r="L172" s="3"/>
      <c r="M172" s="3"/>
      <c r="N172" s="3"/>
    </row>
    <row r="173" ht="15.75" customHeight="1">
      <c r="A173" s="3"/>
      <c r="B173" s="3"/>
      <c r="C173" s="3"/>
      <c r="D173" s="3"/>
      <c r="E173" s="3"/>
      <c r="F173" s="3"/>
      <c r="L173" s="3"/>
      <c r="M173" s="3"/>
      <c r="N173" s="3"/>
    </row>
    <row r="174" ht="15.75" customHeight="1">
      <c r="A174" s="3"/>
      <c r="B174" s="3"/>
      <c r="C174" s="3"/>
      <c r="D174" s="3"/>
      <c r="E174" s="3"/>
      <c r="F174" s="3"/>
      <c r="L174" s="3"/>
      <c r="M174" s="3"/>
      <c r="N174" s="3"/>
    </row>
    <row r="175" ht="15.75" customHeight="1">
      <c r="A175" s="3"/>
      <c r="B175" s="3"/>
      <c r="C175" s="3"/>
      <c r="D175" s="3"/>
      <c r="E175" s="3"/>
      <c r="F175" s="3"/>
      <c r="L175" s="3"/>
      <c r="M175" s="3"/>
      <c r="N175" s="3"/>
    </row>
    <row r="176" ht="15.75" customHeight="1">
      <c r="A176" s="3"/>
      <c r="B176" s="3"/>
      <c r="C176" s="3"/>
      <c r="D176" s="3"/>
      <c r="E176" s="3"/>
      <c r="F176" s="3"/>
      <c r="L176" s="3"/>
      <c r="M176" s="3"/>
      <c r="N176" s="3"/>
    </row>
    <row r="177" ht="15.75" customHeight="1">
      <c r="A177" s="3"/>
      <c r="B177" s="3"/>
      <c r="C177" s="3"/>
      <c r="D177" s="3"/>
      <c r="E177" s="3"/>
      <c r="F177" s="3"/>
      <c r="L177" s="3"/>
      <c r="M177" s="3"/>
      <c r="N177" s="3"/>
    </row>
    <row r="178" ht="15.75" customHeight="1">
      <c r="A178" s="3"/>
      <c r="B178" s="3"/>
      <c r="C178" s="3"/>
      <c r="D178" s="3"/>
      <c r="E178" s="3"/>
      <c r="F178" s="3"/>
      <c r="L178" s="3"/>
      <c r="M178" s="3"/>
      <c r="N178" s="3"/>
    </row>
    <row r="179" ht="15.75" customHeight="1">
      <c r="A179" s="3"/>
      <c r="B179" s="3"/>
      <c r="C179" s="3"/>
      <c r="D179" s="3"/>
      <c r="E179" s="3"/>
      <c r="F179" s="3"/>
      <c r="L179" s="3"/>
      <c r="M179" s="3"/>
      <c r="N179" s="3"/>
    </row>
    <row r="180" ht="15.75" customHeight="1">
      <c r="A180" s="3"/>
      <c r="B180" s="3"/>
      <c r="C180" s="3"/>
      <c r="D180" s="3"/>
      <c r="E180" s="3"/>
      <c r="F180" s="3"/>
      <c r="L180" s="3"/>
      <c r="M180" s="3"/>
      <c r="N180" s="3"/>
    </row>
    <row r="181" ht="15.75" customHeight="1">
      <c r="A181" s="3"/>
      <c r="B181" s="3"/>
      <c r="C181" s="3"/>
      <c r="D181" s="3"/>
      <c r="E181" s="3"/>
      <c r="F181" s="3"/>
      <c r="L181" s="3"/>
      <c r="M181" s="3"/>
      <c r="N181" s="3"/>
    </row>
    <row r="182" ht="15.75" customHeight="1">
      <c r="A182" s="3"/>
      <c r="B182" s="3"/>
      <c r="C182" s="3"/>
      <c r="D182" s="3"/>
      <c r="E182" s="3"/>
      <c r="F182" s="3"/>
      <c r="L182" s="3"/>
      <c r="M182" s="3"/>
      <c r="N182" s="3"/>
    </row>
    <row r="183" ht="15.75" customHeight="1">
      <c r="A183" s="3"/>
      <c r="B183" s="3"/>
      <c r="C183" s="3"/>
      <c r="D183" s="3"/>
      <c r="E183" s="3"/>
      <c r="F183" s="3"/>
      <c r="L183" s="3"/>
      <c r="M183" s="3"/>
      <c r="N183" s="3"/>
    </row>
    <row r="184" ht="15.75" customHeight="1">
      <c r="A184" s="3"/>
      <c r="B184" s="3"/>
      <c r="C184" s="3"/>
      <c r="D184" s="3"/>
      <c r="E184" s="3"/>
      <c r="F184" s="3"/>
      <c r="L184" s="3"/>
      <c r="M184" s="3"/>
      <c r="N184" s="3"/>
    </row>
    <row r="185" ht="15.75" customHeight="1">
      <c r="A185" s="3"/>
      <c r="B185" s="3"/>
      <c r="C185" s="3"/>
      <c r="D185" s="3"/>
      <c r="E185" s="3"/>
      <c r="F185" s="3"/>
      <c r="L185" s="3"/>
      <c r="M185" s="3"/>
      <c r="N185" s="3"/>
    </row>
    <row r="186" ht="15.75" customHeight="1">
      <c r="A186" s="3"/>
      <c r="B186" s="3"/>
      <c r="C186" s="3"/>
      <c r="D186" s="3"/>
      <c r="E186" s="3"/>
      <c r="F186" s="3"/>
      <c r="L186" s="3"/>
      <c r="M186" s="3"/>
      <c r="N186" s="3"/>
    </row>
    <row r="187" ht="15.75" customHeight="1">
      <c r="A187" s="3"/>
      <c r="B187" s="3"/>
      <c r="C187" s="3"/>
      <c r="D187" s="3"/>
      <c r="E187" s="3"/>
      <c r="F187" s="3"/>
      <c r="L187" s="3"/>
      <c r="M187" s="3"/>
      <c r="N187" s="3"/>
    </row>
    <row r="188" ht="15.75" customHeight="1">
      <c r="A188" s="3"/>
      <c r="B188" s="3"/>
      <c r="C188" s="3"/>
      <c r="D188" s="3"/>
      <c r="E188" s="3"/>
      <c r="F188" s="3"/>
      <c r="L188" s="3"/>
      <c r="M188" s="3"/>
      <c r="N188" s="3"/>
    </row>
    <row r="189" ht="15.75" customHeight="1">
      <c r="A189" s="3"/>
      <c r="B189" s="3"/>
      <c r="C189" s="3"/>
      <c r="D189" s="3"/>
      <c r="E189" s="3"/>
      <c r="F189" s="3"/>
      <c r="L189" s="3"/>
      <c r="M189" s="3"/>
      <c r="N189" s="3"/>
    </row>
    <row r="190" ht="15.75" customHeight="1">
      <c r="A190" s="3"/>
      <c r="B190" s="3"/>
      <c r="C190" s="3"/>
      <c r="D190" s="3"/>
      <c r="E190" s="3"/>
      <c r="F190" s="3"/>
      <c r="L190" s="3"/>
      <c r="M190" s="3"/>
      <c r="N190" s="3"/>
    </row>
    <row r="191" ht="15.75" customHeight="1">
      <c r="A191" s="3"/>
      <c r="B191" s="3"/>
      <c r="C191" s="3"/>
      <c r="D191" s="3"/>
      <c r="E191" s="3"/>
      <c r="F191" s="3"/>
      <c r="L191" s="3"/>
      <c r="M191" s="3"/>
      <c r="N191" s="3"/>
    </row>
    <row r="192" ht="15.75" customHeight="1">
      <c r="A192" s="3"/>
      <c r="B192" s="3"/>
      <c r="C192" s="3"/>
      <c r="D192" s="3"/>
      <c r="E192" s="3"/>
      <c r="F192" s="3"/>
      <c r="L192" s="3"/>
      <c r="M192" s="3"/>
      <c r="N192" s="3"/>
    </row>
    <row r="193" ht="15.75" customHeight="1">
      <c r="A193" s="3"/>
      <c r="B193" s="3"/>
      <c r="C193" s="3"/>
      <c r="D193" s="3"/>
      <c r="E193" s="3"/>
      <c r="F193" s="3"/>
      <c r="L193" s="3"/>
      <c r="M193" s="3"/>
      <c r="N193" s="3"/>
    </row>
    <row r="194" ht="15.75" customHeight="1">
      <c r="A194" s="3"/>
      <c r="B194" s="3"/>
      <c r="C194" s="3"/>
      <c r="D194" s="3"/>
      <c r="E194" s="3"/>
      <c r="F194" s="3"/>
      <c r="L194" s="3"/>
      <c r="M194" s="3"/>
      <c r="N194" s="3"/>
    </row>
    <row r="195" ht="15.75" customHeight="1">
      <c r="A195" s="3"/>
      <c r="B195" s="3"/>
      <c r="C195" s="3"/>
      <c r="D195" s="3"/>
      <c r="E195" s="3"/>
      <c r="F195" s="3"/>
      <c r="L195" s="3"/>
      <c r="M195" s="3"/>
      <c r="N195" s="3"/>
    </row>
    <row r="196" ht="15.75" customHeight="1">
      <c r="A196" s="3"/>
      <c r="B196" s="3"/>
      <c r="C196" s="3"/>
      <c r="D196" s="3"/>
      <c r="E196" s="3"/>
      <c r="F196" s="3"/>
      <c r="L196" s="3"/>
      <c r="M196" s="3"/>
      <c r="N196" s="3"/>
    </row>
    <row r="197" ht="15.75" customHeight="1">
      <c r="A197" s="3"/>
      <c r="B197" s="3"/>
      <c r="C197" s="3"/>
      <c r="D197" s="3"/>
      <c r="E197" s="3"/>
      <c r="F197" s="3"/>
      <c r="L197" s="3"/>
      <c r="M197" s="3"/>
      <c r="N197" s="3"/>
    </row>
    <row r="198" ht="15.75" customHeight="1">
      <c r="A198" s="3"/>
      <c r="B198" s="3"/>
      <c r="C198" s="3"/>
      <c r="D198" s="3"/>
      <c r="E198" s="3"/>
      <c r="F198" s="3"/>
      <c r="L198" s="3"/>
      <c r="M198" s="3"/>
      <c r="N198" s="3"/>
    </row>
    <row r="199" ht="15.75" customHeight="1">
      <c r="A199" s="3"/>
      <c r="B199" s="3"/>
      <c r="C199" s="3"/>
      <c r="D199" s="3"/>
      <c r="E199" s="3"/>
      <c r="F199" s="3"/>
      <c r="L199" s="3"/>
      <c r="M199" s="3"/>
      <c r="N199" s="3"/>
    </row>
    <row r="200" ht="15.75" customHeight="1">
      <c r="A200" s="3"/>
      <c r="B200" s="3"/>
      <c r="C200" s="3"/>
      <c r="D200" s="3"/>
      <c r="E200" s="3"/>
      <c r="F200" s="3"/>
      <c r="L200" s="3"/>
      <c r="M200" s="3"/>
      <c r="N200" s="3"/>
    </row>
    <row r="201" ht="15.75" customHeight="1">
      <c r="A201" s="3"/>
      <c r="B201" s="3"/>
      <c r="C201" s="3"/>
      <c r="D201" s="3"/>
      <c r="E201" s="3"/>
      <c r="F201" s="3"/>
      <c r="L201" s="3"/>
      <c r="M201" s="3"/>
      <c r="N201" s="3"/>
    </row>
    <row r="202" ht="15.75" customHeight="1">
      <c r="A202" s="3"/>
      <c r="B202" s="3"/>
      <c r="C202" s="3"/>
      <c r="D202" s="3"/>
      <c r="E202" s="3"/>
      <c r="F202" s="3"/>
      <c r="L202" s="3"/>
      <c r="M202" s="3"/>
      <c r="N202" s="3"/>
    </row>
    <row r="203" ht="15.75" customHeight="1">
      <c r="A203" s="3"/>
      <c r="B203" s="3"/>
      <c r="C203" s="3"/>
      <c r="D203" s="3"/>
      <c r="E203" s="3"/>
      <c r="F203" s="3"/>
      <c r="L203" s="3"/>
      <c r="M203" s="3"/>
      <c r="N203" s="3"/>
    </row>
    <row r="204" ht="15.75" customHeight="1">
      <c r="A204" s="3"/>
      <c r="B204" s="3"/>
      <c r="C204" s="3"/>
      <c r="D204" s="3"/>
      <c r="E204" s="3"/>
      <c r="F204" s="3"/>
      <c r="L204" s="3"/>
      <c r="M204" s="3"/>
      <c r="N204" s="3"/>
    </row>
    <row r="205" ht="15.75" customHeight="1">
      <c r="A205" s="3"/>
      <c r="B205" s="3"/>
      <c r="C205" s="3"/>
      <c r="D205" s="3"/>
      <c r="E205" s="3"/>
      <c r="F205" s="3"/>
      <c r="L205" s="3"/>
      <c r="M205" s="3"/>
      <c r="N205" s="3"/>
    </row>
    <row r="206" ht="15.75" customHeight="1">
      <c r="A206" s="3"/>
      <c r="B206" s="3"/>
      <c r="C206" s="3"/>
      <c r="D206" s="3"/>
      <c r="E206" s="3"/>
      <c r="F206" s="3"/>
      <c r="L206" s="3"/>
      <c r="M206" s="3"/>
      <c r="N206" s="3"/>
    </row>
    <row r="207" ht="15.75" customHeight="1">
      <c r="A207" s="3"/>
      <c r="B207" s="3"/>
      <c r="C207" s="3"/>
      <c r="D207" s="3"/>
      <c r="E207" s="3"/>
      <c r="F207" s="3"/>
      <c r="L207" s="3"/>
      <c r="M207" s="3"/>
      <c r="N207" s="3"/>
    </row>
    <row r="208" ht="15.75" customHeight="1">
      <c r="A208" s="3"/>
      <c r="B208" s="3"/>
      <c r="C208" s="3"/>
      <c r="D208" s="3"/>
      <c r="E208" s="3"/>
      <c r="F208" s="3"/>
      <c r="L208" s="3"/>
      <c r="M208" s="3"/>
      <c r="N208" s="3"/>
    </row>
    <row r="209" ht="15.75" customHeight="1">
      <c r="A209" s="3"/>
      <c r="B209" s="3"/>
      <c r="C209" s="3"/>
      <c r="D209" s="3"/>
      <c r="E209" s="3"/>
      <c r="F209" s="3"/>
      <c r="L209" s="3"/>
      <c r="M209" s="3"/>
      <c r="N209" s="3"/>
    </row>
    <row r="210" ht="15.75" customHeight="1">
      <c r="A210" s="3"/>
      <c r="B210" s="3"/>
      <c r="C210" s="3"/>
      <c r="D210" s="3"/>
      <c r="E210" s="3"/>
      <c r="F210" s="3"/>
      <c r="L210" s="3"/>
      <c r="M210" s="3"/>
      <c r="N210" s="3"/>
    </row>
    <row r="211" ht="15.75" customHeight="1">
      <c r="A211" s="3"/>
      <c r="B211" s="3"/>
      <c r="C211" s="3"/>
      <c r="D211" s="3"/>
      <c r="E211" s="3"/>
      <c r="F211" s="3"/>
      <c r="L211" s="3"/>
      <c r="M211" s="3"/>
      <c r="N211" s="3"/>
    </row>
    <row r="212" ht="15.75" customHeight="1">
      <c r="A212" s="3"/>
      <c r="B212" s="3"/>
      <c r="C212" s="3"/>
      <c r="D212" s="3"/>
      <c r="E212" s="3"/>
      <c r="F212" s="3"/>
      <c r="L212" s="3"/>
      <c r="M212" s="3"/>
      <c r="N212" s="3"/>
    </row>
    <row r="213" ht="15.75" customHeight="1">
      <c r="A213" s="3"/>
      <c r="B213" s="3"/>
      <c r="C213" s="3"/>
      <c r="D213" s="3"/>
      <c r="E213" s="3"/>
      <c r="F213" s="3"/>
      <c r="L213" s="3"/>
      <c r="M213" s="3"/>
      <c r="N213" s="3"/>
    </row>
    <row r="214" ht="15.75" customHeight="1">
      <c r="A214" s="3"/>
      <c r="B214" s="3"/>
      <c r="C214" s="3"/>
      <c r="D214" s="3"/>
      <c r="E214" s="3"/>
      <c r="F214" s="3"/>
      <c r="L214" s="3"/>
      <c r="M214" s="3"/>
      <c r="N214" s="3"/>
    </row>
    <row r="215" ht="15.75" customHeight="1">
      <c r="A215" s="3"/>
      <c r="B215" s="3"/>
      <c r="C215" s="3"/>
      <c r="D215" s="3"/>
      <c r="E215" s="3"/>
      <c r="F215" s="3"/>
      <c r="L215" s="3"/>
      <c r="M215" s="3"/>
      <c r="N215" s="3"/>
    </row>
    <row r="216" ht="15.75" customHeight="1">
      <c r="A216" s="3"/>
      <c r="B216" s="3"/>
      <c r="C216" s="3"/>
      <c r="D216" s="3"/>
      <c r="E216" s="3"/>
      <c r="F216" s="3"/>
      <c r="L216" s="3"/>
      <c r="M216" s="3"/>
      <c r="N216" s="3"/>
    </row>
    <row r="217" ht="15.75" customHeight="1">
      <c r="A217" s="3"/>
      <c r="B217" s="3"/>
      <c r="C217" s="3"/>
      <c r="D217" s="3"/>
      <c r="E217" s="3"/>
      <c r="F217" s="3"/>
      <c r="L217" s="3"/>
      <c r="M217" s="3"/>
      <c r="N217" s="3"/>
    </row>
    <row r="218" ht="15.75" customHeight="1">
      <c r="A218" s="3"/>
      <c r="B218" s="3"/>
      <c r="C218" s="3"/>
      <c r="D218" s="3"/>
      <c r="E218" s="3"/>
      <c r="F218" s="3"/>
      <c r="L218" s="3"/>
      <c r="M218" s="3"/>
      <c r="N218" s="3"/>
    </row>
    <row r="219" ht="15.75" customHeight="1">
      <c r="A219" s="3"/>
      <c r="B219" s="3"/>
      <c r="C219" s="3"/>
      <c r="D219" s="3"/>
      <c r="E219" s="3"/>
      <c r="F219" s="3"/>
      <c r="L219" s="3"/>
      <c r="M219" s="3"/>
      <c r="N219" s="3"/>
    </row>
    <row r="220" ht="15.75" customHeight="1">
      <c r="A220" s="3"/>
      <c r="B220" s="3"/>
      <c r="C220" s="3"/>
      <c r="D220" s="3"/>
      <c r="E220" s="3"/>
      <c r="F220" s="3"/>
      <c r="L220" s="3"/>
      <c r="M220" s="3"/>
      <c r="N220" s="3"/>
    </row>
    <row r="221" ht="15.75" customHeight="1">
      <c r="A221" s="3"/>
      <c r="B221" s="3"/>
      <c r="C221" s="3"/>
      <c r="D221" s="3"/>
      <c r="E221" s="3"/>
      <c r="F221" s="3"/>
      <c r="L221" s="3"/>
      <c r="M221" s="3"/>
      <c r="N221" s="3"/>
    </row>
    <row r="222" ht="15.75" customHeight="1">
      <c r="A222" s="3"/>
      <c r="B222" s="3"/>
      <c r="C222" s="3"/>
      <c r="D222" s="3"/>
      <c r="E222" s="3"/>
      <c r="F222" s="3"/>
      <c r="L222" s="3"/>
      <c r="M222" s="3"/>
      <c r="N222" s="3"/>
    </row>
    <row r="223" ht="15.75" customHeight="1">
      <c r="A223" s="3"/>
      <c r="B223" s="3"/>
      <c r="C223" s="3"/>
      <c r="D223" s="3"/>
      <c r="E223" s="3"/>
      <c r="F223" s="3"/>
      <c r="L223" s="3"/>
      <c r="M223" s="3"/>
      <c r="N223" s="3"/>
    </row>
    <row r="224" ht="15.75" customHeight="1">
      <c r="A224" s="3"/>
      <c r="B224" s="3"/>
      <c r="C224" s="3"/>
      <c r="D224" s="3"/>
      <c r="E224" s="3"/>
      <c r="F224" s="3"/>
      <c r="L224" s="3"/>
      <c r="M224" s="3"/>
      <c r="N224" s="3"/>
    </row>
    <row r="225" ht="15.75" customHeight="1">
      <c r="A225" s="3"/>
      <c r="B225" s="3"/>
      <c r="C225" s="3"/>
      <c r="D225" s="3"/>
      <c r="E225" s="3"/>
      <c r="F225" s="3"/>
      <c r="L225" s="3"/>
      <c r="M225" s="3"/>
      <c r="N225" s="3"/>
    </row>
    <row r="226" ht="15.75" customHeight="1">
      <c r="A226" s="3"/>
      <c r="B226" s="3"/>
      <c r="C226" s="3"/>
      <c r="D226" s="3"/>
      <c r="E226" s="3"/>
      <c r="F226" s="3"/>
      <c r="L226" s="3"/>
      <c r="M226" s="3"/>
      <c r="N226" s="3"/>
    </row>
    <row r="227" ht="15.75" customHeight="1">
      <c r="A227" s="3"/>
      <c r="B227" s="3"/>
      <c r="C227" s="3"/>
      <c r="D227" s="3"/>
      <c r="E227" s="3"/>
      <c r="F227" s="3"/>
      <c r="L227" s="3"/>
      <c r="M227" s="3"/>
      <c r="N227" s="3"/>
    </row>
    <row r="228" ht="15.75" customHeight="1">
      <c r="A228" s="3"/>
      <c r="B228" s="3"/>
      <c r="C228" s="3"/>
      <c r="D228" s="3"/>
      <c r="E228" s="3"/>
      <c r="F228" s="3"/>
      <c r="L228" s="3"/>
      <c r="M228" s="3"/>
      <c r="N228" s="3"/>
    </row>
    <row r="229" ht="15.75" customHeight="1">
      <c r="A229" s="3"/>
      <c r="B229" s="3"/>
      <c r="C229" s="3"/>
      <c r="D229" s="3"/>
      <c r="E229" s="3"/>
      <c r="F229" s="3"/>
      <c r="L229" s="3"/>
      <c r="M229" s="3"/>
      <c r="N229" s="3"/>
    </row>
    <row r="230" ht="15.75" customHeight="1">
      <c r="A230" s="3"/>
      <c r="B230" s="3"/>
      <c r="C230" s="3"/>
      <c r="D230" s="3"/>
      <c r="E230" s="3"/>
      <c r="F230" s="3"/>
      <c r="L230" s="3"/>
      <c r="M230" s="3"/>
      <c r="N230" s="3"/>
    </row>
    <row r="231" ht="15.75" customHeight="1">
      <c r="A231" s="3"/>
      <c r="B231" s="3"/>
      <c r="C231" s="3"/>
      <c r="D231" s="3"/>
      <c r="E231" s="3"/>
      <c r="F231" s="3"/>
      <c r="L231" s="3"/>
      <c r="M231" s="3"/>
      <c r="N231" s="3"/>
    </row>
    <row r="232" ht="15.75" customHeight="1">
      <c r="A232" s="3"/>
      <c r="B232" s="3"/>
      <c r="C232" s="3"/>
      <c r="D232" s="3"/>
      <c r="E232" s="3"/>
      <c r="F232" s="3"/>
      <c r="L232" s="3"/>
      <c r="M232" s="3"/>
      <c r="N232" s="3"/>
    </row>
    <row r="233" ht="15.75" customHeight="1">
      <c r="A233" s="3"/>
      <c r="B233" s="3"/>
      <c r="C233" s="3"/>
      <c r="D233" s="3"/>
      <c r="E233" s="3"/>
      <c r="F233" s="3"/>
      <c r="L233" s="3"/>
      <c r="M233" s="3"/>
      <c r="N233" s="3"/>
    </row>
    <row r="234" ht="15.75" customHeight="1">
      <c r="A234" s="3"/>
      <c r="B234" s="3"/>
      <c r="C234" s="3"/>
      <c r="D234" s="3"/>
      <c r="E234" s="3"/>
      <c r="F234" s="3"/>
      <c r="L234" s="3"/>
      <c r="M234" s="3"/>
      <c r="N234" s="3"/>
    </row>
    <row r="235" ht="15.75" customHeight="1">
      <c r="A235" s="3"/>
      <c r="B235" s="3"/>
      <c r="C235" s="3"/>
      <c r="D235" s="3"/>
      <c r="E235" s="3"/>
      <c r="F235" s="3"/>
      <c r="L235" s="3"/>
      <c r="M235" s="3"/>
      <c r="N235" s="3"/>
    </row>
    <row r="236" ht="15.75" customHeight="1">
      <c r="A236" s="3"/>
      <c r="B236" s="3"/>
      <c r="C236" s="3"/>
      <c r="D236" s="3"/>
      <c r="E236" s="3"/>
      <c r="F236" s="3"/>
      <c r="L236" s="3"/>
      <c r="M236" s="3"/>
      <c r="N236" s="3"/>
    </row>
    <row r="237" ht="15.75" customHeight="1">
      <c r="A237" s="3"/>
      <c r="B237" s="3"/>
      <c r="C237" s="3"/>
      <c r="D237" s="3"/>
      <c r="E237" s="3"/>
      <c r="F237" s="3"/>
      <c r="L237" s="3"/>
      <c r="M237" s="3"/>
      <c r="N237" s="3"/>
    </row>
    <row r="238" ht="15.75" customHeight="1">
      <c r="A238" s="3"/>
      <c r="B238" s="3"/>
      <c r="C238" s="3"/>
      <c r="D238" s="3"/>
      <c r="E238" s="3"/>
      <c r="F238" s="3"/>
      <c r="L238" s="3"/>
      <c r="M238" s="3"/>
      <c r="N238" s="3"/>
    </row>
    <row r="239" ht="15.75" customHeight="1">
      <c r="A239" s="3"/>
      <c r="B239" s="3"/>
      <c r="C239" s="3"/>
      <c r="D239" s="3"/>
      <c r="E239" s="3"/>
      <c r="F239" s="3"/>
      <c r="L239" s="3"/>
      <c r="M239" s="3"/>
      <c r="N239" s="3"/>
    </row>
    <row r="240" ht="15.75" customHeight="1">
      <c r="A240" s="3"/>
      <c r="B240" s="3"/>
      <c r="C240" s="3"/>
      <c r="D240" s="3"/>
      <c r="E240" s="3"/>
      <c r="F240" s="3"/>
      <c r="L240" s="3"/>
      <c r="M240" s="3"/>
      <c r="N240" s="3"/>
    </row>
    <row r="241" ht="15.75" customHeight="1">
      <c r="A241" s="3"/>
      <c r="B241" s="3"/>
      <c r="C241" s="3"/>
      <c r="D241" s="3"/>
      <c r="E241" s="3"/>
      <c r="F241" s="3"/>
      <c r="L241" s="3"/>
      <c r="M241" s="3"/>
      <c r="N241" s="3"/>
    </row>
    <row r="242" ht="15.75" customHeight="1">
      <c r="A242" s="3"/>
      <c r="B242" s="3"/>
      <c r="C242" s="3"/>
      <c r="D242" s="3"/>
      <c r="E242" s="3"/>
      <c r="F242" s="3"/>
      <c r="L242" s="3"/>
      <c r="M242" s="3"/>
      <c r="N242" s="3"/>
    </row>
    <row r="243" ht="15.75" customHeight="1">
      <c r="A243" s="3"/>
      <c r="B243" s="3"/>
      <c r="C243" s="3"/>
      <c r="D243" s="3"/>
      <c r="E243" s="3"/>
      <c r="F243" s="3"/>
      <c r="L243" s="3"/>
      <c r="M243" s="3"/>
      <c r="N243" s="3"/>
    </row>
    <row r="244" ht="15.75" customHeight="1">
      <c r="A244" s="3"/>
      <c r="B244" s="3"/>
      <c r="C244" s="3"/>
      <c r="D244" s="3"/>
      <c r="E244" s="3"/>
      <c r="F244" s="3"/>
      <c r="L244" s="3"/>
      <c r="M244" s="3"/>
      <c r="N244" s="3"/>
    </row>
    <row r="245" ht="15.75" customHeight="1">
      <c r="A245" s="3"/>
      <c r="B245" s="3"/>
      <c r="C245" s="3"/>
      <c r="D245" s="3"/>
      <c r="E245" s="3"/>
      <c r="F245" s="3"/>
      <c r="L245" s="3"/>
      <c r="M245" s="3"/>
      <c r="N245" s="3"/>
    </row>
    <row r="246" ht="15.75" customHeight="1">
      <c r="A246" s="3"/>
      <c r="B246" s="3"/>
      <c r="C246" s="3"/>
      <c r="D246" s="3"/>
      <c r="E246" s="3"/>
      <c r="F246" s="3"/>
      <c r="L246" s="3"/>
      <c r="M246" s="3"/>
      <c r="N246" s="3"/>
    </row>
    <row r="247" ht="15.75" customHeight="1">
      <c r="A247" s="3"/>
      <c r="B247" s="3"/>
      <c r="C247" s="3"/>
      <c r="D247" s="3"/>
      <c r="E247" s="3"/>
      <c r="F247" s="3"/>
      <c r="L247" s="3"/>
      <c r="M247" s="3"/>
      <c r="N247" s="3"/>
    </row>
    <row r="248" ht="15.75" customHeight="1">
      <c r="A248" s="3"/>
      <c r="B248" s="3"/>
      <c r="C248" s="3"/>
      <c r="D248" s="3"/>
      <c r="E248" s="3"/>
      <c r="F248" s="3"/>
      <c r="L248" s="3"/>
      <c r="M248" s="3"/>
      <c r="N248" s="3"/>
    </row>
    <row r="249" ht="15.75" customHeight="1">
      <c r="A249" s="3"/>
      <c r="B249" s="3"/>
      <c r="C249" s="3"/>
      <c r="D249" s="3"/>
      <c r="E249" s="3"/>
      <c r="F249" s="3"/>
      <c r="L249" s="3"/>
      <c r="M249" s="3"/>
      <c r="N249" s="3"/>
    </row>
    <row r="250" ht="15.75" customHeight="1">
      <c r="A250" s="3"/>
      <c r="B250" s="3"/>
      <c r="C250" s="3"/>
      <c r="D250" s="3"/>
      <c r="E250" s="3"/>
      <c r="F250" s="3"/>
      <c r="L250" s="3"/>
      <c r="M250" s="3"/>
      <c r="N250" s="3"/>
    </row>
    <row r="251" ht="15.75" customHeight="1">
      <c r="A251" s="3"/>
      <c r="B251" s="3"/>
      <c r="C251" s="3"/>
      <c r="D251" s="3"/>
      <c r="E251" s="3"/>
      <c r="F251" s="3"/>
      <c r="L251" s="3"/>
      <c r="M251" s="3"/>
      <c r="N251" s="3"/>
    </row>
    <row r="252" ht="15.75" customHeight="1">
      <c r="A252" s="3"/>
      <c r="B252" s="3"/>
      <c r="C252" s="3"/>
      <c r="D252" s="3"/>
      <c r="E252" s="3"/>
      <c r="F252" s="3"/>
      <c r="L252" s="3"/>
      <c r="M252" s="3"/>
      <c r="N252" s="3"/>
    </row>
    <row r="253" ht="15.75" customHeight="1">
      <c r="A253" s="3"/>
      <c r="B253" s="3"/>
      <c r="C253" s="3"/>
      <c r="D253" s="3"/>
      <c r="E253" s="3"/>
      <c r="F253" s="3"/>
      <c r="L253" s="3"/>
      <c r="M253" s="3"/>
      <c r="N253" s="3"/>
    </row>
    <row r="254" ht="15.75" customHeight="1">
      <c r="A254" s="3"/>
      <c r="B254" s="3"/>
      <c r="C254" s="3"/>
      <c r="D254" s="3"/>
      <c r="E254" s="3"/>
      <c r="F254" s="3"/>
      <c r="L254" s="3"/>
      <c r="M254" s="3"/>
      <c r="N254" s="3"/>
    </row>
    <row r="255" ht="15.75" customHeight="1">
      <c r="A255" s="3"/>
      <c r="B255" s="3"/>
      <c r="C255" s="3"/>
      <c r="D255" s="3"/>
      <c r="E255" s="3"/>
      <c r="F255" s="3"/>
      <c r="L255" s="3"/>
      <c r="M255" s="3"/>
      <c r="N255" s="3"/>
    </row>
    <row r="256" ht="15.75" customHeight="1">
      <c r="A256" s="3"/>
      <c r="B256" s="3"/>
      <c r="C256" s="3"/>
      <c r="D256" s="3"/>
      <c r="E256" s="3"/>
      <c r="F256" s="3"/>
      <c r="L256" s="3"/>
      <c r="M256" s="3"/>
      <c r="N256" s="3"/>
    </row>
    <row r="257" ht="15.75" customHeight="1">
      <c r="A257" s="3"/>
      <c r="B257" s="3"/>
      <c r="C257" s="3"/>
      <c r="D257" s="3"/>
      <c r="E257" s="3"/>
      <c r="F257" s="3"/>
      <c r="L257" s="3"/>
      <c r="M257" s="3"/>
      <c r="N257" s="3"/>
    </row>
    <row r="258" ht="15.75" customHeight="1">
      <c r="A258" s="3"/>
      <c r="B258" s="3"/>
      <c r="C258" s="3"/>
      <c r="D258" s="3"/>
      <c r="E258" s="3"/>
      <c r="F258" s="3"/>
      <c r="L258" s="3"/>
      <c r="M258" s="3"/>
      <c r="N258" s="3"/>
    </row>
    <row r="259" ht="15.75" customHeight="1">
      <c r="A259" s="3"/>
      <c r="B259" s="3"/>
      <c r="C259" s="3"/>
      <c r="D259" s="3"/>
      <c r="E259" s="3"/>
      <c r="F259" s="3"/>
      <c r="L259" s="3"/>
      <c r="M259" s="3"/>
      <c r="N259" s="3"/>
    </row>
    <row r="260" ht="15.75" customHeight="1">
      <c r="A260" s="3"/>
      <c r="B260" s="3"/>
      <c r="C260" s="3"/>
      <c r="D260" s="3"/>
      <c r="E260" s="3"/>
      <c r="F260" s="3"/>
      <c r="L260" s="3"/>
      <c r="M260" s="3"/>
      <c r="N260" s="3"/>
    </row>
    <row r="261" ht="15.75" customHeight="1">
      <c r="A261" s="3"/>
      <c r="B261" s="3"/>
      <c r="C261" s="3"/>
      <c r="D261" s="3"/>
      <c r="E261" s="3"/>
      <c r="F261" s="3"/>
      <c r="L261" s="3"/>
      <c r="M261" s="3"/>
      <c r="N261" s="3"/>
    </row>
    <row r="262" ht="15.75" customHeight="1">
      <c r="A262" s="3"/>
      <c r="B262" s="3"/>
      <c r="C262" s="3"/>
      <c r="D262" s="3"/>
      <c r="E262" s="3"/>
      <c r="F262" s="3"/>
      <c r="L262" s="3"/>
      <c r="M262" s="3"/>
      <c r="N262" s="3"/>
    </row>
    <row r="263" ht="15.75" customHeight="1">
      <c r="A263" s="3"/>
      <c r="B263" s="3"/>
      <c r="C263" s="3"/>
      <c r="D263" s="3"/>
      <c r="E263" s="3"/>
      <c r="F263" s="3"/>
      <c r="L263" s="3"/>
      <c r="M263" s="3"/>
      <c r="N263" s="3"/>
    </row>
    <row r="264" ht="15.75" customHeight="1">
      <c r="A264" s="3"/>
      <c r="B264" s="3"/>
      <c r="C264" s="3"/>
      <c r="D264" s="3"/>
      <c r="E264" s="3"/>
      <c r="F264" s="3"/>
      <c r="L264" s="3"/>
      <c r="M264" s="3"/>
      <c r="N264" s="3"/>
    </row>
    <row r="265" ht="15.75" customHeight="1">
      <c r="A265" s="3"/>
      <c r="B265" s="3"/>
      <c r="C265" s="3"/>
      <c r="D265" s="3"/>
      <c r="E265" s="3"/>
      <c r="F265" s="3"/>
      <c r="L265" s="3"/>
      <c r="M265" s="3"/>
      <c r="N265" s="3"/>
    </row>
    <row r="266" ht="15.75" customHeight="1">
      <c r="A266" s="3"/>
      <c r="B266" s="3"/>
      <c r="C266" s="3"/>
      <c r="D266" s="3"/>
      <c r="E266" s="3"/>
      <c r="F266" s="3"/>
      <c r="L266" s="3"/>
      <c r="M266" s="3"/>
      <c r="N266" s="3"/>
    </row>
    <row r="267" ht="15.75" customHeight="1">
      <c r="A267" s="3"/>
      <c r="B267" s="3"/>
      <c r="C267" s="3"/>
      <c r="D267" s="3"/>
      <c r="E267" s="3"/>
      <c r="F267" s="3"/>
      <c r="L267" s="3"/>
      <c r="M267" s="3"/>
      <c r="N267" s="3"/>
    </row>
    <row r="268" ht="15.75" customHeight="1">
      <c r="A268" s="3"/>
      <c r="B268" s="3"/>
      <c r="C268" s="3"/>
      <c r="D268" s="3"/>
      <c r="E268" s="3"/>
      <c r="F268" s="3"/>
      <c r="L268" s="3"/>
      <c r="M268" s="3"/>
      <c r="N268" s="3"/>
    </row>
    <row r="269" ht="15.75" customHeight="1">
      <c r="A269" s="3"/>
      <c r="B269" s="3"/>
      <c r="C269" s="3"/>
      <c r="D269" s="3"/>
      <c r="E269" s="3"/>
      <c r="F269" s="3"/>
      <c r="L269" s="3"/>
      <c r="M269" s="3"/>
      <c r="N269" s="3"/>
    </row>
    <row r="270" ht="15.75" customHeight="1">
      <c r="A270" s="3"/>
      <c r="B270" s="3"/>
      <c r="C270" s="3"/>
      <c r="D270" s="3"/>
      <c r="E270" s="3"/>
      <c r="F270" s="3"/>
      <c r="L270" s="3"/>
      <c r="M270" s="3"/>
      <c r="N270" s="3"/>
    </row>
    <row r="271" ht="15.75" customHeight="1">
      <c r="A271" s="3"/>
      <c r="B271" s="3"/>
      <c r="C271" s="3"/>
      <c r="D271" s="3"/>
      <c r="E271" s="3"/>
      <c r="F271" s="3"/>
      <c r="L271" s="3"/>
      <c r="M271" s="3"/>
      <c r="N271" s="3"/>
    </row>
    <row r="272" ht="15.75" customHeight="1">
      <c r="A272" s="3"/>
      <c r="B272" s="3"/>
      <c r="C272" s="3"/>
      <c r="D272" s="3"/>
      <c r="E272" s="3"/>
      <c r="F272" s="3"/>
      <c r="L272" s="3"/>
      <c r="M272" s="3"/>
      <c r="N272" s="3"/>
    </row>
    <row r="273" ht="15.75" customHeight="1">
      <c r="A273" s="3"/>
      <c r="B273" s="3"/>
      <c r="C273" s="3"/>
      <c r="D273" s="3"/>
      <c r="E273" s="3"/>
      <c r="F273" s="3"/>
      <c r="L273" s="3"/>
      <c r="M273" s="3"/>
      <c r="N273" s="3"/>
    </row>
    <row r="274" ht="15.75" customHeight="1">
      <c r="A274" s="3"/>
      <c r="B274" s="3"/>
      <c r="C274" s="3"/>
      <c r="D274" s="3"/>
      <c r="E274" s="3"/>
      <c r="F274" s="3"/>
      <c r="L274" s="3"/>
      <c r="M274" s="3"/>
      <c r="N274" s="3"/>
    </row>
    <row r="275" ht="15.75" customHeight="1">
      <c r="A275" s="3"/>
      <c r="B275" s="3"/>
      <c r="C275" s="3"/>
      <c r="D275" s="3"/>
      <c r="E275" s="3"/>
      <c r="F275" s="3"/>
      <c r="L275" s="3"/>
      <c r="M275" s="3"/>
      <c r="N275" s="3"/>
    </row>
    <row r="276" ht="15.75" customHeight="1">
      <c r="A276" s="3"/>
      <c r="B276" s="3"/>
      <c r="C276" s="3"/>
      <c r="D276" s="3"/>
      <c r="E276" s="3"/>
      <c r="F276" s="3"/>
      <c r="L276" s="3"/>
      <c r="M276" s="3"/>
      <c r="N276" s="3"/>
    </row>
    <row r="277" ht="15.75" customHeight="1">
      <c r="A277" s="3"/>
      <c r="B277" s="3"/>
      <c r="C277" s="3"/>
      <c r="D277" s="3"/>
      <c r="E277" s="3"/>
      <c r="F277" s="3"/>
      <c r="L277" s="3"/>
      <c r="M277" s="3"/>
      <c r="N277" s="3"/>
    </row>
    <row r="278" ht="15.75" customHeight="1">
      <c r="A278" s="3"/>
      <c r="B278" s="3"/>
      <c r="C278" s="3"/>
      <c r="D278" s="3"/>
      <c r="E278" s="3"/>
      <c r="F278" s="3"/>
      <c r="L278" s="3"/>
      <c r="M278" s="3"/>
      <c r="N278" s="3"/>
    </row>
    <row r="279" ht="15.75" customHeight="1">
      <c r="A279" s="3"/>
      <c r="B279" s="3"/>
      <c r="C279" s="3"/>
      <c r="D279" s="3"/>
      <c r="E279" s="3"/>
      <c r="F279" s="3"/>
      <c r="L279" s="3"/>
      <c r="M279" s="3"/>
      <c r="N279" s="3"/>
    </row>
    <row r="280" ht="15.75" customHeight="1">
      <c r="A280" s="3"/>
      <c r="B280" s="3"/>
      <c r="C280" s="3"/>
      <c r="D280" s="3"/>
      <c r="E280" s="3"/>
      <c r="F280" s="3"/>
      <c r="L280" s="3"/>
      <c r="M280" s="3"/>
      <c r="N280" s="3"/>
    </row>
    <row r="281" ht="15.75" customHeight="1">
      <c r="A281" s="3"/>
      <c r="B281" s="3"/>
      <c r="C281" s="3"/>
      <c r="D281" s="3"/>
      <c r="E281" s="3"/>
      <c r="F281" s="3"/>
      <c r="L281" s="3"/>
      <c r="M281" s="3"/>
      <c r="N281" s="3"/>
    </row>
    <row r="282" ht="15.75" customHeight="1">
      <c r="A282" s="3"/>
      <c r="B282" s="3"/>
      <c r="C282" s="3"/>
      <c r="D282" s="3"/>
      <c r="E282" s="3"/>
      <c r="F282" s="3"/>
      <c r="L282" s="3"/>
      <c r="M282" s="3"/>
      <c r="N282" s="3"/>
    </row>
    <row r="283" ht="15.75" customHeight="1">
      <c r="A283" s="3"/>
      <c r="B283" s="3"/>
      <c r="C283" s="3"/>
      <c r="D283" s="3"/>
      <c r="E283" s="3"/>
      <c r="F283" s="3"/>
      <c r="L283" s="3"/>
      <c r="M283" s="3"/>
      <c r="N283" s="3"/>
    </row>
    <row r="284" ht="15.75" customHeight="1">
      <c r="A284" s="3"/>
      <c r="B284" s="3"/>
      <c r="C284" s="3"/>
      <c r="D284" s="3"/>
      <c r="E284" s="3"/>
      <c r="F284" s="3"/>
      <c r="L284" s="3"/>
      <c r="M284" s="3"/>
      <c r="N284" s="3"/>
    </row>
    <row r="285" ht="15.75" customHeight="1">
      <c r="A285" s="3"/>
      <c r="B285" s="3"/>
      <c r="C285" s="3"/>
      <c r="D285" s="3"/>
      <c r="E285" s="3"/>
      <c r="F285" s="3"/>
      <c r="L285" s="3"/>
      <c r="M285" s="3"/>
      <c r="N285" s="3"/>
    </row>
    <row r="286" ht="15.75" customHeight="1">
      <c r="A286" s="3"/>
      <c r="B286" s="3"/>
      <c r="C286" s="3"/>
      <c r="D286" s="3"/>
      <c r="E286" s="3"/>
      <c r="F286" s="3"/>
      <c r="L286" s="3"/>
      <c r="M286" s="3"/>
      <c r="N286" s="3"/>
    </row>
    <row r="287" ht="15.75" customHeight="1">
      <c r="A287" s="3"/>
      <c r="B287" s="3"/>
      <c r="C287" s="3"/>
      <c r="D287" s="3"/>
      <c r="E287" s="3"/>
      <c r="F287" s="3"/>
      <c r="L287" s="3"/>
      <c r="M287" s="3"/>
      <c r="N287" s="3"/>
    </row>
    <row r="288" ht="15.75" customHeight="1">
      <c r="A288" s="3"/>
      <c r="B288" s="3"/>
      <c r="C288" s="3"/>
      <c r="D288" s="3"/>
      <c r="E288" s="3"/>
      <c r="F288" s="3"/>
      <c r="L288" s="3"/>
      <c r="M288" s="3"/>
      <c r="N288" s="3"/>
    </row>
    <row r="289" ht="15.75" customHeight="1">
      <c r="A289" s="3"/>
      <c r="B289" s="3"/>
      <c r="C289" s="3"/>
      <c r="D289" s="3"/>
      <c r="E289" s="3"/>
      <c r="F289" s="3"/>
      <c r="L289" s="3"/>
      <c r="M289" s="3"/>
      <c r="N289" s="3"/>
    </row>
    <row r="290" ht="15.75" customHeight="1">
      <c r="A290" s="3"/>
      <c r="B290" s="3"/>
      <c r="C290" s="3"/>
      <c r="D290" s="3"/>
      <c r="E290" s="3"/>
      <c r="F290" s="3"/>
      <c r="L290" s="3"/>
      <c r="M290" s="3"/>
      <c r="N290" s="3"/>
    </row>
    <row r="291" ht="15.75" customHeight="1">
      <c r="A291" s="3"/>
      <c r="B291" s="3"/>
      <c r="C291" s="3"/>
      <c r="D291" s="3"/>
      <c r="E291" s="3"/>
      <c r="F291" s="3"/>
      <c r="L291" s="3"/>
      <c r="M291" s="3"/>
      <c r="N291" s="3"/>
    </row>
    <row r="292" ht="15.75" customHeight="1">
      <c r="A292" s="3"/>
      <c r="B292" s="3"/>
      <c r="C292" s="3"/>
      <c r="D292" s="3"/>
      <c r="E292" s="3"/>
      <c r="F292" s="3"/>
      <c r="L292" s="3"/>
      <c r="M292" s="3"/>
      <c r="N292" s="3"/>
    </row>
    <row r="293" ht="15.75" customHeight="1">
      <c r="A293" s="3"/>
      <c r="B293" s="3"/>
      <c r="C293" s="3"/>
      <c r="D293" s="3"/>
      <c r="E293" s="3"/>
      <c r="F293" s="3"/>
      <c r="L293" s="3"/>
      <c r="M293" s="3"/>
      <c r="N293" s="3"/>
    </row>
    <row r="294" ht="15.75" customHeight="1">
      <c r="A294" s="3"/>
      <c r="B294" s="3"/>
      <c r="C294" s="3"/>
      <c r="D294" s="3"/>
      <c r="E294" s="3"/>
      <c r="F294" s="3"/>
      <c r="L294" s="3"/>
      <c r="M294" s="3"/>
      <c r="N294" s="3"/>
    </row>
    <row r="295" ht="15.75" customHeight="1">
      <c r="A295" s="3"/>
      <c r="B295" s="3"/>
      <c r="C295" s="3"/>
      <c r="D295" s="3"/>
      <c r="E295" s="3"/>
      <c r="F295" s="3"/>
      <c r="L295" s="3"/>
      <c r="M295" s="3"/>
      <c r="N295" s="3"/>
    </row>
    <row r="296" ht="15.75" customHeight="1">
      <c r="A296" s="3"/>
      <c r="B296" s="3"/>
      <c r="C296" s="3"/>
      <c r="D296" s="3"/>
      <c r="E296" s="3"/>
      <c r="F296" s="3"/>
      <c r="L296" s="3"/>
      <c r="M296" s="3"/>
      <c r="N296" s="3"/>
    </row>
    <row r="297" ht="15.75" customHeight="1">
      <c r="A297" s="3"/>
      <c r="B297" s="3"/>
      <c r="C297" s="3"/>
      <c r="D297" s="3"/>
      <c r="E297" s="3"/>
      <c r="F297" s="3"/>
      <c r="L297" s="3"/>
      <c r="M297" s="3"/>
      <c r="N297" s="3"/>
    </row>
    <row r="298" ht="15.75" customHeight="1">
      <c r="A298" s="3"/>
      <c r="B298" s="3"/>
      <c r="C298" s="3"/>
      <c r="D298" s="3"/>
      <c r="E298" s="3"/>
      <c r="F298" s="3"/>
      <c r="L298" s="3"/>
      <c r="M298" s="3"/>
      <c r="N298" s="3"/>
    </row>
    <row r="299" ht="15.75" customHeight="1">
      <c r="A299" s="3"/>
      <c r="B299" s="3"/>
      <c r="C299" s="3"/>
      <c r="D299" s="3"/>
      <c r="E299" s="3"/>
      <c r="F299" s="3"/>
      <c r="L299" s="3"/>
      <c r="M299" s="3"/>
      <c r="N299" s="3"/>
    </row>
    <row r="300" ht="15.75" customHeight="1">
      <c r="A300" s="3"/>
      <c r="B300" s="3"/>
      <c r="C300" s="3"/>
      <c r="D300" s="3"/>
      <c r="E300" s="3"/>
      <c r="F300" s="3"/>
      <c r="L300" s="3"/>
      <c r="M300" s="3"/>
      <c r="N300" s="3"/>
    </row>
    <row r="301" ht="15.75" customHeight="1">
      <c r="A301" s="3"/>
      <c r="B301" s="3"/>
      <c r="C301" s="3"/>
      <c r="D301" s="3"/>
      <c r="E301" s="3"/>
      <c r="F301" s="3"/>
      <c r="L301" s="3"/>
      <c r="M301" s="3"/>
      <c r="N301" s="3"/>
    </row>
    <row r="302" ht="15.75" customHeight="1">
      <c r="A302" s="3"/>
      <c r="B302" s="3"/>
      <c r="C302" s="3"/>
      <c r="D302" s="3"/>
      <c r="E302" s="3"/>
      <c r="F302" s="3"/>
      <c r="L302" s="3"/>
      <c r="M302" s="3"/>
      <c r="N302" s="3"/>
    </row>
    <row r="303" ht="15.75" customHeight="1">
      <c r="A303" s="3"/>
      <c r="B303" s="3"/>
      <c r="C303" s="3"/>
      <c r="D303" s="3"/>
      <c r="E303" s="3"/>
      <c r="F303" s="3"/>
      <c r="L303" s="3"/>
      <c r="M303" s="3"/>
      <c r="N303" s="3"/>
    </row>
    <row r="304" ht="15.75" customHeight="1">
      <c r="A304" s="3"/>
      <c r="B304" s="3"/>
      <c r="C304" s="3"/>
      <c r="D304" s="3"/>
      <c r="E304" s="3"/>
      <c r="F304" s="3"/>
      <c r="L304" s="3"/>
      <c r="M304" s="3"/>
      <c r="N304" s="3"/>
    </row>
    <row r="305" ht="15.75" customHeight="1">
      <c r="A305" s="3"/>
      <c r="B305" s="3"/>
      <c r="C305" s="3"/>
      <c r="D305" s="3"/>
      <c r="E305" s="3"/>
      <c r="F305" s="3"/>
      <c r="L305" s="3"/>
      <c r="M305" s="3"/>
      <c r="N305" s="3"/>
    </row>
    <row r="306" ht="15.75" customHeight="1">
      <c r="A306" s="3"/>
      <c r="B306" s="3"/>
      <c r="C306" s="3"/>
      <c r="D306" s="3"/>
      <c r="E306" s="3"/>
      <c r="F306" s="3"/>
      <c r="L306" s="3"/>
      <c r="M306" s="3"/>
      <c r="N306" s="3"/>
    </row>
    <row r="307" ht="15.75" customHeight="1">
      <c r="A307" s="3"/>
      <c r="B307" s="3"/>
      <c r="C307" s="3"/>
      <c r="D307" s="3"/>
      <c r="E307" s="3"/>
      <c r="F307" s="3"/>
      <c r="L307" s="3"/>
      <c r="M307" s="3"/>
      <c r="N307" s="3"/>
    </row>
    <row r="308" ht="15.75" customHeight="1">
      <c r="A308" s="3"/>
      <c r="B308" s="3"/>
      <c r="C308" s="3"/>
      <c r="D308" s="3"/>
      <c r="E308" s="3"/>
      <c r="F308" s="3"/>
      <c r="L308" s="3"/>
      <c r="M308" s="3"/>
      <c r="N308" s="3"/>
    </row>
    <row r="309" ht="15.75" customHeight="1">
      <c r="A309" s="3"/>
      <c r="B309" s="3"/>
      <c r="C309" s="3"/>
      <c r="D309" s="3"/>
      <c r="E309" s="3"/>
      <c r="F309" s="3"/>
      <c r="L309" s="3"/>
      <c r="M309" s="3"/>
      <c r="N309" s="3"/>
    </row>
    <row r="310" ht="15.75" customHeight="1">
      <c r="A310" s="3"/>
      <c r="B310" s="3"/>
      <c r="C310" s="3"/>
      <c r="D310" s="3"/>
      <c r="E310" s="3"/>
      <c r="F310" s="3"/>
      <c r="L310" s="3"/>
      <c r="M310" s="3"/>
      <c r="N310" s="3"/>
    </row>
    <row r="311" ht="15.75" customHeight="1">
      <c r="A311" s="3"/>
      <c r="B311" s="3"/>
      <c r="C311" s="3"/>
      <c r="D311" s="3"/>
      <c r="E311" s="3"/>
      <c r="F311" s="3"/>
      <c r="L311" s="3"/>
      <c r="M311" s="3"/>
      <c r="N311" s="3"/>
    </row>
    <row r="312" ht="15.75" customHeight="1">
      <c r="A312" s="3"/>
      <c r="B312" s="3"/>
      <c r="C312" s="3"/>
      <c r="D312" s="3"/>
      <c r="E312" s="3"/>
      <c r="F312" s="3"/>
      <c r="L312" s="3"/>
      <c r="M312" s="3"/>
      <c r="N312" s="3"/>
    </row>
    <row r="313" ht="15.75" customHeight="1">
      <c r="A313" s="3"/>
      <c r="B313" s="3"/>
      <c r="C313" s="3"/>
      <c r="D313" s="3"/>
      <c r="E313" s="3"/>
      <c r="F313" s="3"/>
      <c r="L313" s="3"/>
      <c r="M313" s="3"/>
      <c r="N313" s="3"/>
    </row>
    <row r="314" ht="15.75" customHeight="1">
      <c r="A314" s="3"/>
      <c r="B314" s="3"/>
      <c r="C314" s="3"/>
      <c r="D314" s="3"/>
      <c r="E314" s="3"/>
      <c r="F314" s="3"/>
      <c r="L314" s="3"/>
      <c r="M314" s="3"/>
      <c r="N314" s="3"/>
    </row>
    <row r="315" ht="15.75" customHeight="1">
      <c r="A315" s="3"/>
      <c r="B315" s="3"/>
      <c r="C315" s="3"/>
      <c r="D315" s="3"/>
      <c r="E315" s="3"/>
      <c r="F315" s="3"/>
      <c r="L315" s="3"/>
      <c r="M315" s="3"/>
      <c r="N315" s="3"/>
    </row>
    <row r="316" ht="15.75" customHeight="1">
      <c r="A316" s="3"/>
      <c r="B316" s="3"/>
      <c r="C316" s="3"/>
      <c r="D316" s="3"/>
      <c r="E316" s="3"/>
      <c r="F316" s="3"/>
      <c r="L316" s="3"/>
      <c r="M316" s="3"/>
      <c r="N316" s="3"/>
    </row>
    <row r="317" ht="15.75" customHeight="1">
      <c r="A317" s="3"/>
      <c r="B317" s="3"/>
      <c r="C317" s="3"/>
      <c r="D317" s="3"/>
      <c r="E317" s="3"/>
      <c r="F317" s="3"/>
      <c r="L317" s="3"/>
      <c r="M317" s="3"/>
      <c r="N317" s="3"/>
    </row>
    <row r="318" ht="15.75" customHeight="1">
      <c r="A318" s="3"/>
      <c r="B318" s="3"/>
      <c r="C318" s="3"/>
      <c r="D318" s="3"/>
      <c r="E318" s="3"/>
      <c r="F318" s="3"/>
      <c r="L318" s="3"/>
      <c r="M318" s="3"/>
      <c r="N318" s="3"/>
    </row>
    <row r="319" ht="15.75" customHeight="1">
      <c r="A319" s="3"/>
      <c r="B319" s="3"/>
      <c r="C319" s="3"/>
      <c r="D319" s="3"/>
      <c r="E319" s="3"/>
      <c r="F319" s="3"/>
      <c r="L319" s="3"/>
      <c r="M319" s="3"/>
      <c r="N319" s="3"/>
    </row>
    <row r="320" ht="15.75" customHeight="1">
      <c r="A320" s="3"/>
      <c r="B320" s="3"/>
      <c r="C320" s="3"/>
      <c r="D320" s="3"/>
      <c r="E320" s="3"/>
      <c r="F320" s="3"/>
      <c r="L320" s="3"/>
      <c r="M320" s="3"/>
      <c r="N320" s="3"/>
    </row>
    <row r="321" ht="15.75" customHeight="1">
      <c r="A321" s="3"/>
      <c r="B321" s="3"/>
      <c r="C321" s="3"/>
      <c r="D321" s="3"/>
      <c r="E321" s="3"/>
      <c r="F321" s="3"/>
      <c r="L321" s="3"/>
      <c r="M321" s="3"/>
      <c r="N321" s="3"/>
    </row>
    <row r="322" ht="15.75" customHeight="1">
      <c r="A322" s="3"/>
      <c r="B322" s="3"/>
      <c r="C322" s="3"/>
      <c r="D322" s="3"/>
      <c r="E322" s="3"/>
      <c r="F322" s="3"/>
      <c r="L322" s="3"/>
      <c r="M322" s="3"/>
      <c r="N322" s="3"/>
    </row>
    <row r="323" ht="15.75" customHeight="1">
      <c r="A323" s="3"/>
      <c r="B323" s="3"/>
      <c r="C323" s="3"/>
      <c r="D323" s="3"/>
      <c r="E323" s="3"/>
      <c r="F323" s="3"/>
      <c r="L323" s="3"/>
      <c r="M323" s="3"/>
      <c r="N323" s="3"/>
    </row>
    <row r="324" ht="15.75" customHeight="1">
      <c r="A324" s="3"/>
      <c r="B324" s="3"/>
      <c r="C324" s="3"/>
      <c r="D324" s="3"/>
      <c r="E324" s="3"/>
      <c r="F324" s="3"/>
      <c r="L324" s="3"/>
      <c r="M324" s="3"/>
      <c r="N324" s="3"/>
    </row>
    <row r="325" ht="15.75" customHeight="1">
      <c r="A325" s="3"/>
      <c r="B325" s="3"/>
      <c r="C325" s="3"/>
      <c r="D325" s="3"/>
      <c r="E325" s="3"/>
      <c r="F325" s="3"/>
      <c r="L325" s="3"/>
      <c r="M325" s="3"/>
      <c r="N325" s="3"/>
    </row>
    <row r="326" ht="15.75" customHeight="1">
      <c r="A326" s="3"/>
      <c r="B326" s="3"/>
      <c r="C326" s="3"/>
      <c r="D326" s="3"/>
      <c r="E326" s="3"/>
      <c r="F326" s="3"/>
      <c r="L326" s="3"/>
      <c r="M326" s="3"/>
      <c r="N326" s="3"/>
    </row>
    <row r="327" ht="15.75" customHeight="1">
      <c r="A327" s="3"/>
      <c r="B327" s="3"/>
      <c r="C327" s="3"/>
      <c r="D327" s="3"/>
      <c r="E327" s="3"/>
      <c r="F327" s="3"/>
      <c r="L327" s="3"/>
      <c r="M327" s="3"/>
      <c r="N327" s="3"/>
    </row>
    <row r="328" ht="15.75" customHeight="1">
      <c r="A328" s="3"/>
      <c r="B328" s="3"/>
      <c r="C328" s="3"/>
      <c r="D328" s="3"/>
      <c r="E328" s="3"/>
      <c r="F328" s="3"/>
      <c r="L328" s="3"/>
      <c r="M328" s="3"/>
      <c r="N328" s="3"/>
    </row>
    <row r="329" ht="15.75" customHeight="1">
      <c r="A329" s="3"/>
      <c r="B329" s="3"/>
      <c r="C329" s="3"/>
      <c r="D329" s="3"/>
      <c r="E329" s="3"/>
      <c r="F329" s="3"/>
      <c r="L329" s="3"/>
      <c r="M329" s="3"/>
      <c r="N329" s="3"/>
    </row>
    <row r="330" ht="15.75" customHeight="1">
      <c r="A330" s="3"/>
      <c r="B330" s="3"/>
      <c r="C330" s="3"/>
      <c r="D330" s="3"/>
      <c r="E330" s="3"/>
      <c r="F330" s="3"/>
      <c r="L330" s="3"/>
      <c r="M330" s="3"/>
      <c r="N330" s="3"/>
    </row>
    <row r="331" ht="15.75" customHeight="1">
      <c r="A331" s="3"/>
      <c r="B331" s="3"/>
      <c r="C331" s="3"/>
      <c r="D331" s="3"/>
      <c r="E331" s="3"/>
      <c r="F331" s="3"/>
      <c r="L331" s="3"/>
      <c r="M331" s="3"/>
      <c r="N331" s="3"/>
    </row>
    <row r="332" ht="15.75" customHeight="1">
      <c r="A332" s="3"/>
      <c r="B332" s="3"/>
      <c r="C332" s="3"/>
      <c r="D332" s="3"/>
      <c r="E332" s="3"/>
      <c r="F332" s="3"/>
      <c r="L332" s="3"/>
      <c r="M332" s="3"/>
      <c r="N332" s="3"/>
    </row>
    <row r="333" ht="15.75" customHeight="1">
      <c r="A333" s="3"/>
      <c r="B333" s="3"/>
      <c r="C333" s="3"/>
      <c r="D333" s="3"/>
      <c r="E333" s="3"/>
      <c r="F333" s="3"/>
      <c r="L333" s="3"/>
      <c r="M333" s="3"/>
      <c r="N333" s="3"/>
    </row>
    <row r="334" ht="15.75" customHeight="1">
      <c r="A334" s="3"/>
      <c r="B334" s="3"/>
      <c r="C334" s="3"/>
      <c r="D334" s="3"/>
      <c r="E334" s="3"/>
      <c r="F334" s="3"/>
      <c r="L334" s="3"/>
      <c r="M334" s="3"/>
      <c r="N334" s="3"/>
    </row>
    <row r="335" ht="15.75" customHeight="1">
      <c r="A335" s="3"/>
      <c r="B335" s="3"/>
      <c r="C335" s="3"/>
      <c r="D335" s="3"/>
      <c r="E335" s="3"/>
      <c r="F335" s="3"/>
      <c r="L335" s="3"/>
      <c r="M335" s="3"/>
      <c r="N335" s="3"/>
    </row>
    <row r="336" ht="15.75" customHeight="1">
      <c r="A336" s="3"/>
      <c r="B336" s="3"/>
      <c r="C336" s="3"/>
      <c r="D336" s="3"/>
      <c r="E336" s="3"/>
      <c r="F336" s="3"/>
      <c r="L336" s="3"/>
      <c r="M336" s="3"/>
      <c r="N336" s="3"/>
    </row>
    <row r="337" ht="15.75" customHeight="1">
      <c r="A337" s="3"/>
      <c r="B337" s="3"/>
      <c r="C337" s="3"/>
      <c r="D337" s="3"/>
      <c r="E337" s="3"/>
      <c r="F337" s="3"/>
      <c r="L337" s="3"/>
      <c r="M337" s="3"/>
      <c r="N337" s="3"/>
    </row>
    <row r="338" ht="15.75" customHeight="1">
      <c r="A338" s="3"/>
      <c r="B338" s="3"/>
      <c r="C338" s="3"/>
      <c r="D338" s="3"/>
      <c r="E338" s="3"/>
      <c r="F338" s="3"/>
      <c r="L338" s="3"/>
      <c r="M338" s="3"/>
      <c r="N338" s="3"/>
    </row>
    <row r="339" ht="15.75" customHeight="1">
      <c r="A339" s="3"/>
      <c r="B339" s="3"/>
      <c r="C339" s="3"/>
      <c r="D339" s="3"/>
      <c r="E339" s="3"/>
      <c r="F339" s="3"/>
      <c r="L339" s="3"/>
      <c r="M339" s="3"/>
      <c r="N339" s="3"/>
    </row>
    <row r="340" ht="15.75" customHeight="1">
      <c r="A340" s="3"/>
      <c r="B340" s="3"/>
      <c r="C340" s="3"/>
      <c r="D340" s="3"/>
      <c r="E340" s="3"/>
      <c r="F340" s="3"/>
      <c r="L340" s="3"/>
      <c r="M340" s="3"/>
      <c r="N340" s="3"/>
    </row>
    <row r="341" ht="15.75" customHeight="1">
      <c r="A341" s="3"/>
      <c r="B341" s="3"/>
      <c r="C341" s="3"/>
      <c r="D341" s="3"/>
      <c r="E341" s="3"/>
      <c r="F341" s="3"/>
      <c r="L341" s="3"/>
      <c r="M341" s="3"/>
      <c r="N341" s="3"/>
    </row>
    <row r="342" ht="15.75" customHeight="1">
      <c r="A342" s="3"/>
      <c r="B342" s="3"/>
      <c r="C342" s="3"/>
      <c r="D342" s="3"/>
      <c r="E342" s="3"/>
      <c r="F342" s="3"/>
      <c r="L342" s="3"/>
      <c r="M342" s="3"/>
      <c r="N342" s="3"/>
    </row>
    <row r="343" ht="15.75" customHeight="1">
      <c r="A343" s="3"/>
      <c r="B343" s="3"/>
      <c r="C343" s="3"/>
      <c r="D343" s="3"/>
      <c r="E343" s="3"/>
      <c r="F343" s="3"/>
      <c r="L343" s="3"/>
      <c r="M343" s="3"/>
      <c r="N343" s="3"/>
    </row>
    <row r="344" ht="15.75" customHeight="1">
      <c r="A344" s="3"/>
      <c r="B344" s="3"/>
      <c r="C344" s="3"/>
      <c r="D344" s="3"/>
      <c r="E344" s="3"/>
      <c r="F344" s="3"/>
      <c r="L344" s="3"/>
      <c r="M344" s="3"/>
      <c r="N344" s="3"/>
    </row>
    <row r="345" ht="15.75" customHeight="1">
      <c r="A345" s="3"/>
      <c r="B345" s="3"/>
      <c r="C345" s="3"/>
      <c r="D345" s="3"/>
      <c r="E345" s="3"/>
      <c r="F345" s="3"/>
      <c r="L345" s="3"/>
      <c r="M345" s="3"/>
      <c r="N345" s="3"/>
    </row>
    <row r="346" ht="15.75" customHeight="1">
      <c r="A346" s="3"/>
      <c r="B346" s="3"/>
      <c r="C346" s="3"/>
      <c r="D346" s="3"/>
      <c r="E346" s="3"/>
      <c r="F346" s="3"/>
      <c r="L346" s="3"/>
      <c r="M346" s="3"/>
      <c r="N346" s="3"/>
    </row>
    <row r="347" ht="15.75" customHeight="1">
      <c r="A347" s="3"/>
      <c r="B347" s="3"/>
      <c r="C347" s="3"/>
      <c r="D347" s="3"/>
      <c r="E347" s="3"/>
      <c r="F347" s="3"/>
      <c r="L347" s="3"/>
      <c r="M347" s="3"/>
      <c r="N347" s="3"/>
    </row>
    <row r="348" ht="15.75" customHeight="1">
      <c r="A348" s="3"/>
      <c r="B348" s="3"/>
      <c r="C348" s="3"/>
      <c r="D348" s="3"/>
      <c r="E348" s="3"/>
      <c r="F348" s="3"/>
      <c r="L348" s="3"/>
      <c r="M348" s="3"/>
      <c r="N348" s="3"/>
    </row>
    <row r="349" ht="15.75" customHeight="1">
      <c r="A349" s="3"/>
      <c r="B349" s="3"/>
      <c r="C349" s="3"/>
      <c r="D349" s="3"/>
      <c r="E349" s="3"/>
      <c r="F349" s="3"/>
      <c r="L349" s="3"/>
      <c r="M349" s="3"/>
      <c r="N349" s="3"/>
    </row>
    <row r="350" ht="15.75" customHeight="1">
      <c r="A350" s="3"/>
      <c r="B350" s="3"/>
      <c r="C350" s="3"/>
      <c r="D350" s="3"/>
      <c r="E350" s="3"/>
      <c r="F350" s="3"/>
      <c r="L350" s="3"/>
      <c r="M350" s="3"/>
      <c r="N350" s="3"/>
    </row>
    <row r="351" ht="15.75" customHeight="1">
      <c r="A351" s="3"/>
      <c r="B351" s="3"/>
      <c r="C351" s="3"/>
      <c r="D351" s="3"/>
      <c r="E351" s="3"/>
      <c r="F351" s="3"/>
      <c r="L351" s="3"/>
      <c r="M351" s="3"/>
      <c r="N351" s="3"/>
    </row>
    <row r="352" ht="15.75" customHeight="1">
      <c r="A352" s="3"/>
      <c r="B352" s="3"/>
      <c r="C352" s="3"/>
      <c r="D352" s="3"/>
      <c r="E352" s="3"/>
      <c r="F352" s="3"/>
      <c r="L352" s="3"/>
      <c r="M352" s="3"/>
      <c r="N352" s="3"/>
    </row>
    <row r="353" ht="15.75" customHeight="1">
      <c r="A353" s="3"/>
      <c r="B353" s="3"/>
      <c r="C353" s="3"/>
      <c r="D353" s="3"/>
      <c r="E353" s="3"/>
      <c r="F353" s="3"/>
      <c r="L353" s="3"/>
      <c r="M353" s="3"/>
      <c r="N353" s="3"/>
    </row>
    <row r="354" ht="15.75" customHeight="1">
      <c r="A354" s="3"/>
      <c r="B354" s="3"/>
      <c r="C354" s="3"/>
      <c r="D354" s="3"/>
      <c r="E354" s="3"/>
      <c r="F354" s="3"/>
      <c r="L354" s="3"/>
      <c r="M354" s="3"/>
      <c r="N354" s="3"/>
    </row>
    <row r="355" ht="15.75" customHeight="1">
      <c r="A355" s="3"/>
      <c r="B355" s="3"/>
      <c r="C355" s="3"/>
      <c r="D355" s="3"/>
      <c r="E355" s="3"/>
      <c r="F355" s="3"/>
      <c r="L355" s="3"/>
      <c r="M355" s="3"/>
      <c r="N355" s="3"/>
    </row>
    <row r="356" ht="15.75" customHeight="1">
      <c r="A356" s="3"/>
      <c r="B356" s="3"/>
      <c r="C356" s="3"/>
      <c r="D356" s="3"/>
      <c r="E356" s="3"/>
      <c r="F356" s="3"/>
      <c r="L356" s="3"/>
      <c r="M356" s="3"/>
      <c r="N356" s="3"/>
    </row>
    <row r="357" ht="15.75" customHeight="1">
      <c r="A357" s="3"/>
      <c r="B357" s="3"/>
      <c r="C357" s="3"/>
      <c r="D357" s="3"/>
      <c r="E357" s="3"/>
      <c r="F357" s="3"/>
      <c r="L357" s="3"/>
      <c r="M357" s="3"/>
      <c r="N357" s="3"/>
    </row>
    <row r="358" ht="15.75" customHeight="1">
      <c r="A358" s="3"/>
      <c r="B358" s="3"/>
      <c r="C358" s="3"/>
      <c r="D358" s="3"/>
      <c r="E358" s="3"/>
      <c r="F358" s="3"/>
      <c r="L358" s="3"/>
      <c r="M358" s="3"/>
      <c r="N358" s="3"/>
    </row>
    <row r="359" ht="15.75" customHeight="1">
      <c r="A359" s="3"/>
      <c r="B359" s="3"/>
      <c r="C359" s="3"/>
      <c r="D359" s="3"/>
      <c r="E359" s="3"/>
      <c r="F359" s="3"/>
      <c r="L359" s="3"/>
      <c r="M359" s="3"/>
      <c r="N359" s="3"/>
    </row>
    <row r="360" ht="15.75" customHeight="1">
      <c r="A360" s="3"/>
      <c r="B360" s="3"/>
      <c r="C360" s="3"/>
      <c r="D360" s="3"/>
      <c r="E360" s="3"/>
      <c r="F360" s="3"/>
      <c r="L360" s="3"/>
      <c r="M360" s="3"/>
      <c r="N360" s="3"/>
    </row>
    <row r="361" ht="15.75" customHeight="1">
      <c r="A361" s="3"/>
      <c r="B361" s="3"/>
      <c r="C361" s="3"/>
      <c r="D361" s="3"/>
      <c r="E361" s="3"/>
      <c r="F361" s="3"/>
      <c r="L361" s="3"/>
      <c r="M361" s="3"/>
      <c r="N361" s="3"/>
    </row>
    <row r="362" ht="15.75" customHeight="1">
      <c r="A362" s="3"/>
      <c r="B362" s="3"/>
      <c r="C362" s="3"/>
      <c r="D362" s="3"/>
      <c r="E362" s="3"/>
      <c r="F362" s="3"/>
      <c r="L362" s="3"/>
      <c r="M362" s="3"/>
      <c r="N362" s="3"/>
    </row>
    <row r="363" ht="15.75" customHeight="1">
      <c r="A363" s="3"/>
      <c r="B363" s="3"/>
      <c r="C363" s="3"/>
      <c r="D363" s="3"/>
      <c r="E363" s="3"/>
      <c r="F363" s="3"/>
      <c r="L363" s="3"/>
      <c r="M363" s="3"/>
      <c r="N363" s="3"/>
    </row>
    <row r="364" ht="15.75" customHeight="1">
      <c r="A364" s="3"/>
      <c r="B364" s="3"/>
      <c r="C364" s="3"/>
      <c r="D364" s="3"/>
      <c r="E364" s="3"/>
      <c r="F364" s="3"/>
      <c r="L364" s="3"/>
      <c r="M364" s="3"/>
      <c r="N364" s="3"/>
    </row>
    <row r="365" ht="15.75" customHeight="1">
      <c r="A365" s="3"/>
      <c r="B365" s="3"/>
      <c r="C365" s="3"/>
      <c r="D365" s="3"/>
      <c r="E365" s="3"/>
      <c r="F365" s="3"/>
      <c r="L365" s="3"/>
      <c r="M365" s="3"/>
      <c r="N365" s="3"/>
    </row>
    <row r="366" ht="15.75" customHeight="1">
      <c r="A366" s="3"/>
      <c r="B366" s="3"/>
      <c r="C366" s="3"/>
      <c r="D366" s="3"/>
      <c r="E366" s="3"/>
      <c r="F366" s="3"/>
      <c r="L366" s="3"/>
      <c r="M366" s="3"/>
      <c r="N366" s="3"/>
    </row>
    <row r="367" ht="15.75" customHeight="1">
      <c r="A367" s="3"/>
      <c r="B367" s="3"/>
      <c r="C367" s="3"/>
      <c r="D367" s="3"/>
      <c r="E367" s="3"/>
      <c r="F367" s="3"/>
      <c r="L367" s="3"/>
      <c r="M367" s="3"/>
      <c r="N367" s="3"/>
    </row>
    <row r="368" ht="15.75" customHeight="1">
      <c r="A368" s="3"/>
      <c r="B368" s="3"/>
      <c r="C368" s="3"/>
      <c r="D368" s="3"/>
      <c r="E368" s="3"/>
      <c r="F368" s="3"/>
      <c r="L368" s="3"/>
      <c r="M368" s="3"/>
      <c r="N368" s="3"/>
    </row>
    <row r="369" ht="15.75" customHeight="1">
      <c r="A369" s="3"/>
      <c r="B369" s="3"/>
      <c r="C369" s="3"/>
      <c r="D369" s="3"/>
      <c r="E369" s="3"/>
      <c r="F369" s="3"/>
      <c r="L369" s="3"/>
      <c r="M369" s="3"/>
      <c r="N369" s="3"/>
    </row>
    <row r="370" ht="15.75" customHeight="1">
      <c r="A370" s="3"/>
      <c r="B370" s="3"/>
      <c r="C370" s="3"/>
      <c r="D370" s="3"/>
      <c r="E370" s="3"/>
      <c r="F370" s="3"/>
      <c r="L370" s="3"/>
      <c r="M370" s="3"/>
      <c r="N370" s="3"/>
    </row>
    <row r="371" ht="15.75" customHeight="1">
      <c r="A371" s="3"/>
      <c r="B371" s="3"/>
      <c r="C371" s="3"/>
      <c r="D371" s="3"/>
      <c r="E371" s="3"/>
      <c r="F371" s="3"/>
      <c r="L371" s="3"/>
      <c r="M371" s="3"/>
      <c r="N371" s="3"/>
    </row>
    <row r="372" ht="15.75" customHeight="1">
      <c r="A372" s="3"/>
      <c r="B372" s="3"/>
      <c r="C372" s="3"/>
      <c r="D372" s="3"/>
      <c r="E372" s="3"/>
      <c r="F372" s="3"/>
      <c r="L372" s="3"/>
      <c r="M372" s="3"/>
      <c r="N372" s="3"/>
    </row>
    <row r="373" ht="15.75" customHeight="1">
      <c r="A373" s="3"/>
      <c r="B373" s="3"/>
      <c r="C373" s="3"/>
      <c r="D373" s="3"/>
      <c r="E373" s="3"/>
      <c r="F373" s="3"/>
      <c r="L373" s="3"/>
      <c r="M373" s="3"/>
      <c r="N373" s="3"/>
    </row>
    <row r="374" ht="15.75" customHeight="1">
      <c r="A374" s="3"/>
      <c r="B374" s="3"/>
      <c r="C374" s="3"/>
      <c r="D374" s="3"/>
      <c r="E374" s="3"/>
      <c r="F374" s="3"/>
      <c r="L374" s="3"/>
      <c r="M374" s="3"/>
      <c r="N374" s="3"/>
    </row>
    <row r="375" ht="15.75" customHeight="1">
      <c r="A375" s="3"/>
      <c r="B375" s="3"/>
      <c r="C375" s="3"/>
      <c r="D375" s="3"/>
      <c r="E375" s="3"/>
      <c r="F375" s="3"/>
      <c r="L375" s="3"/>
      <c r="M375" s="3"/>
      <c r="N375" s="3"/>
    </row>
    <row r="376" ht="15.75" customHeight="1">
      <c r="A376" s="3"/>
      <c r="B376" s="3"/>
      <c r="C376" s="3"/>
      <c r="D376" s="3"/>
      <c r="E376" s="3"/>
      <c r="F376" s="3"/>
      <c r="L376" s="3"/>
      <c r="M376" s="3"/>
      <c r="N376" s="3"/>
    </row>
    <row r="377" ht="15.75" customHeight="1">
      <c r="A377" s="3"/>
      <c r="B377" s="3"/>
      <c r="C377" s="3"/>
      <c r="D377" s="3"/>
      <c r="E377" s="3"/>
      <c r="F377" s="3"/>
      <c r="L377" s="3"/>
      <c r="M377" s="3"/>
      <c r="N377" s="3"/>
    </row>
    <row r="378" ht="15.75" customHeight="1">
      <c r="A378" s="3"/>
      <c r="B378" s="3"/>
      <c r="C378" s="3"/>
      <c r="D378" s="3"/>
      <c r="E378" s="3"/>
      <c r="F378" s="3"/>
      <c r="L378" s="3"/>
      <c r="M378" s="3"/>
      <c r="N378" s="3"/>
    </row>
    <row r="379" ht="15.75" customHeight="1">
      <c r="A379" s="3"/>
      <c r="B379" s="3"/>
      <c r="C379" s="3"/>
      <c r="D379" s="3"/>
      <c r="E379" s="3"/>
      <c r="F379" s="3"/>
      <c r="L379" s="3"/>
      <c r="M379" s="3"/>
      <c r="N379" s="3"/>
    </row>
    <row r="380" ht="15.75" customHeight="1">
      <c r="A380" s="3"/>
      <c r="B380" s="3"/>
      <c r="C380" s="3"/>
      <c r="D380" s="3"/>
      <c r="E380" s="3"/>
      <c r="F380" s="3"/>
      <c r="L380" s="3"/>
      <c r="M380" s="3"/>
      <c r="N380" s="3"/>
    </row>
    <row r="381" ht="15.75" customHeight="1">
      <c r="A381" s="3"/>
      <c r="B381" s="3"/>
      <c r="C381" s="3"/>
      <c r="D381" s="3"/>
      <c r="E381" s="3"/>
      <c r="F381" s="3"/>
      <c r="L381" s="3"/>
      <c r="M381" s="3"/>
      <c r="N381" s="3"/>
    </row>
    <row r="382" ht="15.75" customHeight="1">
      <c r="A382" s="3"/>
      <c r="B382" s="3"/>
      <c r="C382" s="3"/>
      <c r="D382" s="3"/>
      <c r="E382" s="3"/>
      <c r="F382" s="3"/>
      <c r="L382" s="3"/>
      <c r="M382" s="3"/>
      <c r="N382" s="3"/>
    </row>
    <row r="383" ht="15.75" customHeight="1">
      <c r="A383" s="3"/>
      <c r="B383" s="3"/>
      <c r="C383" s="3"/>
      <c r="D383" s="3"/>
      <c r="E383" s="3"/>
      <c r="F383" s="3"/>
      <c r="L383" s="3"/>
      <c r="M383" s="3"/>
      <c r="N383" s="3"/>
    </row>
    <row r="384" ht="15.75" customHeight="1">
      <c r="A384" s="3"/>
      <c r="B384" s="3"/>
      <c r="C384" s="3"/>
      <c r="D384" s="3"/>
      <c r="E384" s="3"/>
      <c r="F384" s="3"/>
      <c r="L384" s="3"/>
      <c r="M384" s="3"/>
      <c r="N384" s="3"/>
    </row>
    <row r="385" ht="15.75" customHeight="1">
      <c r="A385" s="3"/>
      <c r="B385" s="3"/>
      <c r="C385" s="3"/>
      <c r="D385" s="3"/>
      <c r="E385" s="3"/>
      <c r="F385" s="3"/>
      <c r="L385" s="3"/>
      <c r="M385" s="3"/>
      <c r="N385" s="3"/>
    </row>
    <row r="386" ht="15.75" customHeight="1">
      <c r="A386" s="3"/>
      <c r="B386" s="3"/>
      <c r="C386" s="3"/>
      <c r="D386" s="3"/>
      <c r="E386" s="3"/>
      <c r="F386" s="3"/>
      <c r="L386" s="3"/>
      <c r="M386" s="3"/>
      <c r="N386" s="3"/>
    </row>
    <row r="387" ht="15.75" customHeight="1">
      <c r="A387" s="3"/>
      <c r="B387" s="3"/>
      <c r="C387" s="3"/>
      <c r="D387" s="3"/>
      <c r="E387" s="3"/>
      <c r="F387" s="3"/>
      <c r="L387" s="3"/>
      <c r="M387" s="3"/>
      <c r="N387" s="3"/>
    </row>
    <row r="388" ht="15.75" customHeight="1">
      <c r="A388" s="3"/>
      <c r="B388" s="3"/>
      <c r="C388" s="3"/>
      <c r="D388" s="3"/>
      <c r="E388" s="3"/>
      <c r="F388" s="3"/>
      <c r="L388" s="3"/>
      <c r="M388" s="3"/>
      <c r="N388" s="3"/>
    </row>
    <row r="389" ht="15.75" customHeight="1">
      <c r="A389" s="3"/>
      <c r="B389" s="3"/>
      <c r="C389" s="3"/>
      <c r="D389" s="3"/>
      <c r="E389" s="3"/>
      <c r="F389" s="3"/>
      <c r="L389" s="3"/>
      <c r="M389" s="3"/>
      <c r="N389" s="3"/>
    </row>
    <row r="390" ht="15.75" customHeight="1">
      <c r="A390" s="3"/>
      <c r="B390" s="3"/>
      <c r="C390" s="3"/>
      <c r="D390" s="3"/>
      <c r="E390" s="3"/>
      <c r="F390" s="3"/>
      <c r="L390" s="3"/>
      <c r="M390" s="3"/>
      <c r="N390" s="3"/>
    </row>
    <row r="391" ht="15.75" customHeight="1">
      <c r="A391" s="3"/>
      <c r="B391" s="3"/>
      <c r="C391" s="3"/>
      <c r="D391" s="3"/>
      <c r="E391" s="3"/>
      <c r="F391" s="3"/>
      <c r="L391" s="3"/>
      <c r="M391" s="3"/>
      <c r="N391" s="3"/>
    </row>
    <row r="392" ht="15.75" customHeight="1">
      <c r="A392" s="3"/>
      <c r="B392" s="3"/>
      <c r="C392" s="3"/>
      <c r="D392" s="3"/>
      <c r="E392" s="3"/>
      <c r="F392" s="3"/>
      <c r="L392" s="3"/>
      <c r="M392" s="3"/>
      <c r="N392" s="3"/>
    </row>
    <row r="393" ht="15.75" customHeight="1">
      <c r="A393" s="3"/>
      <c r="B393" s="3"/>
      <c r="C393" s="3"/>
      <c r="D393" s="3"/>
      <c r="E393" s="3"/>
      <c r="F393" s="3"/>
      <c r="L393" s="3"/>
      <c r="M393" s="3"/>
      <c r="N393" s="3"/>
    </row>
    <row r="394" ht="15.75" customHeight="1">
      <c r="A394" s="3"/>
      <c r="B394" s="3"/>
      <c r="C394" s="3"/>
      <c r="D394" s="3"/>
      <c r="E394" s="3"/>
      <c r="F394" s="3"/>
      <c r="L394" s="3"/>
      <c r="M394" s="3"/>
      <c r="N394" s="3"/>
    </row>
    <row r="395" ht="15.75" customHeight="1">
      <c r="A395" s="3"/>
      <c r="B395" s="3"/>
      <c r="C395" s="3"/>
      <c r="D395" s="3"/>
      <c r="E395" s="3"/>
      <c r="F395" s="3"/>
      <c r="L395" s="3"/>
      <c r="M395" s="3"/>
      <c r="N395" s="3"/>
    </row>
    <row r="396" ht="15.75" customHeight="1">
      <c r="A396" s="3"/>
      <c r="B396" s="3"/>
      <c r="C396" s="3"/>
      <c r="D396" s="3"/>
      <c r="E396" s="3"/>
      <c r="F396" s="3"/>
      <c r="L396" s="3"/>
      <c r="M396" s="3"/>
      <c r="N396" s="3"/>
    </row>
    <row r="397" ht="15.75" customHeight="1">
      <c r="A397" s="3"/>
      <c r="B397" s="3"/>
      <c r="C397" s="3"/>
      <c r="D397" s="3"/>
      <c r="E397" s="3"/>
      <c r="F397" s="3"/>
      <c r="L397" s="3"/>
      <c r="M397" s="3"/>
      <c r="N397" s="3"/>
    </row>
    <row r="398" ht="15.75" customHeight="1">
      <c r="A398" s="3"/>
      <c r="B398" s="3"/>
      <c r="C398" s="3"/>
      <c r="D398" s="3"/>
      <c r="E398" s="3"/>
      <c r="F398" s="3"/>
      <c r="L398" s="3"/>
      <c r="M398" s="3"/>
      <c r="N398" s="3"/>
    </row>
    <row r="399" ht="15.75" customHeight="1">
      <c r="A399" s="3"/>
      <c r="B399" s="3"/>
      <c r="C399" s="3"/>
      <c r="D399" s="3"/>
      <c r="E399" s="3"/>
      <c r="F399" s="3"/>
      <c r="L399" s="3"/>
      <c r="M399" s="3"/>
      <c r="N399" s="3"/>
    </row>
    <row r="400" ht="15.75" customHeight="1">
      <c r="A400" s="3"/>
      <c r="B400" s="3"/>
      <c r="C400" s="3"/>
      <c r="D400" s="3"/>
      <c r="E400" s="3"/>
      <c r="F400" s="3"/>
      <c r="L400" s="3"/>
      <c r="M400" s="3"/>
      <c r="N400" s="3"/>
    </row>
    <row r="401" ht="15.75" customHeight="1">
      <c r="A401" s="3"/>
      <c r="B401" s="3"/>
      <c r="C401" s="3"/>
      <c r="D401" s="3"/>
      <c r="E401" s="3"/>
      <c r="F401" s="3"/>
      <c r="L401" s="3"/>
      <c r="M401" s="3"/>
      <c r="N401" s="3"/>
    </row>
    <row r="402" ht="15.75" customHeight="1">
      <c r="A402" s="3"/>
      <c r="B402" s="3"/>
      <c r="C402" s="3"/>
      <c r="D402" s="3"/>
      <c r="E402" s="3"/>
      <c r="F402" s="3"/>
      <c r="L402" s="3"/>
      <c r="M402" s="3"/>
      <c r="N402" s="3"/>
    </row>
    <row r="403" ht="15.75" customHeight="1">
      <c r="A403" s="3"/>
      <c r="B403" s="3"/>
      <c r="C403" s="3"/>
      <c r="D403" s="3"/>
      <c r="E403" s="3"/>
      <c r="F403" s="3"/>
      <c r="L403" s="3"/>
      <c r="M403" s="3"/>
      <c r="N403" s="3"/>
    </row>
    <row r="404" ht="15.75" customHeight="1">
      <c r="A404" s="3"/>
      <c r="B404" s="3"/>
      <c r="C404" s="3"/>
      <c r="D404" s="3"/>
      <c r="E404" s="3"/>
      <c r="F404" s="3"/>
      <c r="L404" s="3"/>
      <c r="M404" s="3"/>
      <c r="N404" s="3"/>
    </row>
    <row r="405" ht="15.75" customHeight="1">
      <c r="A405" s="3"/>
      <c r="B405" s="3"/>
      <c r="C405" s="3"/>
      <c r="D405" s="3"/>
      <c r="E405" s="3"/>
      <c r="F405" s="3"/>
      <c r="L405" s="3"/>
      <c r="M405" s="3"/>
      <c r="N405" s="3"/>
    </row>
    <row r="406" ht="15.75" customHeight="1">
      <c r="A406" s="3"/>
      <c r="B406" s="3"/>
      <c r="C406" s="3"/>
      <c r="D406" s="3"/>
      <c r="E406" s="3"/>
      <c r="F406" s="3"/>
      <c r="L406" s="3"/>
      <c r="M406" s="3"/>
      <c r="N406" s="3"/>
    </row>
    <row r="407" ht="15.75" customHeight="1">
      <c r="A407" s="3"/>
      <c r="B407" s="3"/>
      <c r="C407" s="3"/>
      <c r="D407" s="3"/>
      <c r="E407" s="3"/>
      <c r="F407" s="3"/>
      <c r="L407" s="3"/>
      <c r="M407" s="3"/>
      <c r="N407" s="3"/>
    </row>
    <row r="408" ht="15.75" customHeight="1">
      <c r="A408" s="3"/>
      <c r="B408" s="3"/>
      <c r="C408" s="3"/>
      <c r="D408" s="3"/>
      <c r="E408" s="3"/>
      <c r="F408" s="3"/>
      <c r="L408" s="3"/>
      <c r="M408" s="3"/>
      <c r="N408" s="3"/>
    </row>
    <row r="409" ht="15.75" customHeight="1">
      <c r="A409" s="3"/>
      <c r="B409" s="3"/>
      <c r="C409" s="3"/>
      <c r="D409" s="3"/>
      <c r="E409" s="3"/>
      <c r="F409" s="3"/>
      <c r="L409" s="3"/>
      <c r="M409" s="3"/>
      <c r="N409" s="3"/>
    </row>
    <row r="410" ht="15.75" customHeight="1">
      <c r="A410" s="3"/>
      <c r="B410" s="3"/>
      <c r="C410" s="3"/>
      <c r="D410" s="3"/>
      <c r="E410" s="3"/>
      <c r="F410" s="3"/>
      <c r="L410" s="3"/>
      <c r="M410" s="3"/>
      <c r="N410" s="3"/>
    </row>
    <row r="411" ht="15.75" customHeight="1">
      <c r="A411" s="3"/>
      <c r="B411" s="3"/>
      <c r="C411" s="3"/>
      <c r="D411" s="3"/>
      <c r="E411" s="3"/>
      <c r="F411" s="3"/>
      <c r="L411" s="3"/>
      <c r="M411" s="3"/>
      <c r="N411" s="3"/>
    </row>
    <row r="412" ht="15.75" customHeight="1">
      <c r="A412" s="3"/>
      <c r="B412" s="3"/>
      <c r="C412" s="3"/>
      <c r="D412" s="3"/>
      <c r="E412" s="3"/>
      <c r="F412" s="3"/>
      <c r="L412" s="3"/>
      <c r="M412" s="3"/>
      <c r="N412" s="3"/>
    </row>
    <row r="413" ht="15.75" customHeight="1">
      <c r="A413" s="3"/>
      <c r="B413" s="3"/>
      <c r="C413" s="3"/>
      <c r="D413" s="3"/>
      <c r="E413" s="3"/>
      <c r="F413" s="3"/>
      <c r="L413" s="3"/>
      <c r="M413" s="3"/>
      <c r="N413" s="3"/>
    </row>
    <row r="414" ht="15.75" customHeight="1">
      <c r="A414" s="3"/>
      <c r="B414" s="3"/>
      <c r="C414" s="3"/>
      <c r="D414" s="3"/>
      <c r="E414" s="3"/>
      <c r="F414" s="3"/>
      <c r="L414" s="3"/>
      <c r="M414" s="3"/>
      <c r="N414" s="3"/>
    </row>
    <row r="415" ht="15.75" customHeight="1">
      <c r="A415" s="3"/>
      <c r="B415" s="3"/>
      <c r="C415" s="3"/>
      <c r="D415" s="3"/>
      <c r="E415" s="3"/>
      <c r="F415" s="3"/>
      <c r="L415" s="3"/>
      <c r="M415" s="3"/>
      <c r="N415" s="3"/>
    </row>
    <row r="416" ht="15.75" customHeight="1">
      <c r="A416" s="3"/>
      <c r="B416" s="3"/>
      <c r="C416" s="3"/>
      <c r="D416" s="3"/>
      <c r="E416" s="3"/>
      <c r="F416" s="3"/>
      <c r="L416" s="3"/>
      <c r="M416" s="3"/>
      <c r="N416" s="3"/>
    </row>
    <row r="417" ht="15.75" customHeight="1">
      <c r="A417" s="3"/>
      <c r="B417" s="3"/>
      <c r="C417" s="3"/>
      <c r="D417" s="3"/>
      <c r="E417" s="3"/>
      <c r="F417" s="3"/>
      <c r="L417" s="3"/>
      <c r="M417" s="3"/>
      <c r="N417" s="3"/>
    </row>
    <row r="418" ht="15.75" customHeight="1">
      <c r="A418" s="3"/>
      <c r="B418" s="3"/>
      <c r="C418" s="3"/>
      <c r="D418" s="3"/>
      <c r="E418" s="3"/>
      <c r="F418" s="3"/>
      <c r="L418" s="3"/>
      <c r="M418" s="3"/>
      <c r="N418" s="3"/>
    </row>
    <row r="419" ht="15.75" customHeight="1">
      <c r="A419" s="3"/>
      <c r="B419" s="3"/>
      <c r="C419" s="3"/>
      <c r="D419" s="3"/>
      <c r="E419" s="3"/>
      <c r="F419" s="3"/>
      <c r="L419" s="3"/>
      <c r="M419" s="3"/>
      <c r="N419" s="3"/>
    </row>
    <row r="420" ht="15.75" customHeight="1">
      <c r="A420" s="3"/>
      <c r="B420" s="3"/>
      <c r="C420" s="3"/>
      <c r="D420" s="3"/>
      <c r="E420" s="3"/>
      <c r="F420" s="3"/>
      <c r="L420" s="3"/>
      <c r="M420" s="3"/>
      <c r="N420" s="3"/>
    </row>
    <row r="421" ht="15.75" customHeight="1">
      <c r="A421" s="3"/>
      <c r="B421" s="3"/>
      <c r="C421" s="3"/>
      <c r="D421" s="3"/>
      <c r="E421" s="3"/>
      <c r="F421" s="3"/>
      <c r="L421" s="3"/>
      <c r="M421" s="3"/>
      <c r="N421" s="3"/>
    </row>
    <row r="422" ht="15.75" customHeight="1">
      <c r="A422" s="3"/>
      <c r="B422" s="3"/>
      <c r="C422" s="3"/>
      <c r="D422" s="3"/>
      <c r="E422" s="3"/>
      <c r="F422" s="3"/>
      <c r="L422" s="3"/>
      <c r="M422" s="3"/>
      <c r="N422" s="3"/>
    </row>
    <row r="423" ht="15.75" customHeight="1">
      <c r="A423" s="3"/>
      <c r="B423" s="3"/>
      <c r="C423" s="3"/>
      <c r="D423" s="3"/>
      <c r="E423" s="3"/>
      <c r="F423" s="3"/>
      <c r="L423" s="3"/>
      <c r="M423" s="3"/>
      <c r="N423" s="3"/>
    </row>
    <row r="424" ht="15.75" customHeight="1">
      <c r="A424" s="3"/>
      <c r="B424" s="3"/>
      <c r="C424" s="3"/>
      <c r="D424" s="3"/>
      <c r="E424" s="3"/>
      <c r="F424" s="3"/>
      <c r="L424" s="3"/>
      <c r="M424" s="3"/>
      <c r="N424" s="3"/>
    </row>
    <row r="425" ht="15.75" customHeight="1">
      <c r="A425" s="3"/>
      <c r="B425" s="3"/>
      <c r="C425" s="3"/>
      <c r="D425" s="3"/>
      <c r="E425" s="3"/>
      <c r="F425" s="3"/>
      <c r="L425" s="3"/>
      <c r="M425" s="3"/>
      <c r="N425" s="3"/>
    </row>
    <row r="426" ht="15.75" customHeight="1">
      <c r="A426" s="3"/>
      <c r="B426" s="3"/>
      <c r="C426" s="3"/>
      <c r="D426" s="3"/>
      <c r="E426" s="3"/>
      <c r="F426" s="3"/>
      <c r="L426" s="3"/>
      <c r="M426" s="3"/>
      <c r="N426" s="3"/>
    </row>
    <row r="427" ht="15.75" customHeight="1">
      <c r="A427" s="3"/>
      <c r="B427" s="3"/>
      <c r="C427" s="3"/>
      <c r="D427" s="3"/>
      <c r="E427" s="3"/>
      <c r="F427" s="3"/>
      <c r="L427" s="3"/>
      <c r="M427" s="3"/>
      <c r="N427" s="3"/>
    </row>
    <row r="428" ht="15.75" customHeight="1">
      <c r="A428" s="3"/>
      <c r="B428" s="3"/>
      <c r="C428" s="3"/>
      <c r="D428" s="3"/>
      <c r="E428" s="3"/>
      <c r="F428" s="3"/>
      <c r="L428" s="3"/>
      <c r="M428" s="3"/>
      <c r="N428" s="3"/>
    </row>
    <row r="429" ht="15.75" customHeight="1">
      <c r="A429" s="3"/>
      <c r="B429" s="3"/>
      <c r="C429" s="3"/>
      <c r="D429" s="3"/>
      <c r="E429" s="3"/>
      <c r="F429" s="3"/>
      <c r="L429" s="3"/>
      <c r="M429" s="3"/>
      <c r="N429" s="3"/>
    </row>
    <row r="430" ht="15.75" customHeight="1">
      <c r="A430" s="3"/>
      <c r="B430" s="3"/>
      <c r="C430" s="3"/>
      <c r="D430" s="3"/>
      <c r="E430" s="3"/>
      <c r="F430" s="3"/>
      <c r="L430" s="3"/>
      <c r="M430" s="3"/>
      <c r="N430" s="3"/>
    </row>
    <row r="431" ht="15.75" customHeight="1">
      <c r="A431" s="3"/>
      <c r="B431" s="3"/>
      <c r="C431" s="3"/>
      <c r="D431" s="3"/>
      <c r="E431" s="3"/>
      <c r="F431" s="3"/>
      <c r="L431" s="3"/>
      <c r="M431" s="3"/>
      <c r="N431" s="3"/>
    </row>
    <row r="432" ht="15.75" customHeight="1">
      <c r="A432" s="3"/>
      <c r="B432" s="3"/>
      <c r="C432" s="3"/>
      <c r="D432" s="3"/>
      <c r="E432" s="3"/>
      <c r="F432" s="3"/>
      <c r="L432" s="3"/>
      <c r="M432" s="3"/>
      <c r="N432" s="3"/>
    </row>
    <row r="433" ht="15.75" customHeight="1">
      <c r="A433" s="3"/>
      <c r="B433" s="3"/>
      <c r="C433" s="3"/>
      <c r="D433" s="3"/>
      <c r="E433" s="3"/>
      <c r="F433" s="3"/>
      <c r="L433" s="3"/>
      <c r="M433" s="3"/>
      <c r="N433" s="3"/>
    </row>
    <row r="434" ht="15.75" customHeight="1">
      <c r="A434" s="3"/>
      <c r="B434" s="3"/>
      <c r="C434" s="3"/>
      <c r="D434" s="3"/>
      <c r="E434" s="3"/>
      <c r="F434" s="3"/>
      <c r="L434" s="3"/>
      <c r="M434" s="3"/>
      <c r="N434" s="3"/>
    </row>
    <row r="435" ht="15.75" customHeight="1">
      <c r="A435" s="3"/>
      <c r="B435" s="3"/>
      <c r="C435" s="3"/>
      <c r="D435" s="3"/>
      <c r="E435" s="3"/>
      <c r="F435" s="3"/>
      <c r="L435" s="3"/>
      <c r="M435" s="3"/>
      <c r="N435" s="3"/>
    </row>
    <row r="436" ht="15.75" customHeight="1">
      <c r="A436" s="3"/>
      <c r="B436" s="3"/>
      <c r="C436" s="3"/>
      <c r="D436" s="3"/>
      <c r="E436" s="3"/>
      <c r="F436" s="3"/>
      <c r="L436" s="3"/>
      <c r="M436" s="3"/>
      <c r="N436" s="3"/>
    </row>
    <row r="437" ht="15.75" customHeight="1">
      <c r="A437" s="3"/>
      <c r="B437" s="3"/>
      <c r="C437" s="3"/>
      <c r="D437" s="3"/>
      <c r="E437" s="3"/>
      <c r="F437" s="3"/>
      <c r="L437" s="3"/>
      <c r="M437" s="3"/>
      <c r="N437" s="3"/>
    </row>
    <row r="438" ht="15.75" customHeight="1">
      <c r="A438" s="3"/>
      <c r="B438" s="3"/>
      <c r="C438" s="3"/>
      <c r="D438" s="3"/>
      <c r="E438" s="3"/>
      <c r="F438" s="3"/>
      <c r="L438" s="3"/>
      <c r="M438" s="3"/>
      <c r="N438" s="3"/>
    </row>
    <row r="439" ht="15.75" customHeight="1">
      <c r="A439" s="3"/>
      <c r="B439" s="3"/>
      <c r="C439" s="3"/>
      <c r="D439" s="3"/>
      <c r="E439" s="3"/>
      <c r="F439" s="3"/>
      <c r="L439" s="3"/>
      <c r="M439" s="3"/>
      <c r="N439" s="3"/>
    </row>
    <row r="440" ht="15.75" customHeight="1">
      <c r="A440" s="3"/>
      <c r="B440" s="3"/>
      <c r="C440" s="3"/>
      <c r="D440" s="3"/>
      <c r="E440" s="3"/>
      <c r="F440" s="3"/>
      <c r="L440" s="3"/>
      <c r="M440" s="3"/>
      <c r="N440" s="3"/>
    </row>
    <row r="441" ht="15.75" customHeight="1">
      <c r="A441" s="3"/>
      <c r="B441" s="3"/>
      <c r="C441" s="3"/>
      <c r="D441" s="3"/>
      <c r="E441" s="3"/>
      <c r="F441" s="3"/>
      <c r="L441" s="3"/>
      <c r="M441" s="3"/>
      <c r="N441" s="3"/>
    </row>
    <row r="442" ht="15.75" customHeight="1">
      <c r="A442" s="3"/>
      <c r="B442" s="3"/>
      <c r="C442" s="3"/>
      <c r="D442" s="3"/>
      <c r="E442" s="3"/>
      <c r="F442" s="3"/>
      <c r="L442" s="3"/>
      <c r="M442" s="3"/>
      <c r="N442" s="3"/>
    </row>
    <row r="443" ht="15.75" customHeight="1">
      <c r="A443" s="3"/>
      <c r="B443" s="3"/>
      <c r="C443" s="3"/>
      <c r="D443" s="3"/>
      <c r="E443" s="3"/>
      <c r="F443" s="3"/>
      <c r="L443" s="3"/>
      <c r="M443" s="3"/>
      <c r="N443" s="3"/>
    </row>
    <row r="444" ht="15.75" customHeight="1">
      <c r="A444" s="3"/>
      <c r="B444" s="3"/>
      <c r="C444" s="3"/>
      <c r="D444" s="3"/>
      <c r="E444" s="3"/>
      <c r="F444" s="3"/>
      <c r="L444" s="3"/>
      <c r="M444" s="3"/>
      <c r="N444" s="3"/>
    </row>
    <row r="445" ht="15.75" customHeight="1">
      <c r="A445" s="3"/>
      <c r="B445" s="3"/>
      <c r="C445" s="3"/>
      <c r="D445" s="3"/>
      <c r="E445" s="3"/>
      <c r="F445" s="3"/>
      <c r="L445" s="3"/>
      <c r="M445" s="3"/>
      <c r="N445" s="3"/>
    </row>
    <row r="446" ht="15.75" customHeight="1">
      <c r="A446" s="3"/>
      <c r="B446" s="3"/>
      <c r="C446" s="3"/>
      <c r="D446" s="3"/>
      <c r="E446" s="3"/>
      <c r="F446" s="3"/>
      <c r="L446" s="3"/>
      <c r="M446" s="3"/>
      <c r="N446" s="3"/>
    </row>
    <row r="447" ht="15.75" customHeight="1">
      <c r="A447" s="3"/>
      <c r="B447" s="3"/>
      <c r="C447" s="3"/>
      <c r="D447" s="3"/>
      <c r="E447" s="3"/>
      <c r="F447" s="3"/>
      <c r="L447" s="3"/>
      <c r="M447" s="3"/>
      <c r="N447" s="3"/>
    </row>
    <row r="448" ht="15.75" customHeight="1">
      <c r="A448" s="3"/>
      <c r="B448" s="3"/>
      <c r="C448" s="3"/>
      <c r="D448" s="3"/>
      <c r="E448" s="3"/>
      <c r="F448" s="3"/>
      <c r="L448" s="3"/>
      <c r="M448" s="3"/>
      <c r="N448" s="3"/>
    </row>
    <row r="449" ht="15.75" customHeight="1">
      <c r="A449" s="3"/>
      <c r="B449" s="3"/>
      <c r="C449" s="3"/>
      <c r="D449" s="3"/>
      <c r="E449" s="3"/>
      <c r="F449" s="3"/>
      <c r="L449" s="3"/>
      <c r="M449" s="3"/>
      <c r="N449" s="3"/>
    </row>
    <row r="450" ht="15.75" customHeight="1">
      <c r="A450" s="3"/>
      <c r="B450" s="3"/>
      <c r="C450" s="3"/>
      <c r="D450" s="3"/>
      <c r="E450" s="3"/>
      <c r="F450" s="3"/>
      <c r="L450" s="3"/>
      <c r="M450" s="3"/>
      <c r="N450" s="3"/>
    </row>
    <row r="451" ht="15.75" customHeight="1">
      <c r="A451" s="3"/>
      <c r="B451" s="3"/>
      <c r="C451" s="3"/>
      <c r="D451" s="3"/>
      <c r="E451" s="3"/>
      <c r="F451" s="3"/>
      <c r="L451" s="3"/>
      <c r="M451" s="3"/>
      <c r="N451" s="3"/>
    </row>
    <row r="452" ht="15.75" customHeight="1">
      <c r="A452" s="3"/>
      <c r="B452" s="3"/>
      <c r="C452" s="3"/>
      <c r="D452" s="3"/>
      <c r="E452" s="3"/>
      <c r="F452" s="3"/>
      <c r="L452" s="3"/>
      <c r="M452" s="3"/>
      <c r="N452" s="3"/>
    </row>
    <row r="453" ht="15.75" customHeight="1">
      <c r="A453" s="3"/>
      <c r="B453" s="3"/>
      <c r="C453" s="3"/>
      <c r="D453" s="3"/>
      <c r="E453" s="3"/>
      <c r="F453" s="3"/>
      <c r="L453" s="3"/>
      <c r="M453" s="3"/>
      <c r="N453" s="3"/>
    </row>
    <row r="454" ht="15.75" customHeight="1">
      <c r="A454" s="3"/>
      <c r="B454" s="3"/>
      <c r="C454" s="3"/>
      <c r="D454" s="3"/>
      <c r="E454" s="3"/>
      <c r="F454" s="3"/>
      <c r="L454" s="3"/>
      <c r="M454" s="3"/>
      <c r="N454" s="3"/>
    </row>
    <row r="455" ht="15.75" customHeight="1">
      <c r="A455" s="3"/>
      <c r="B455" s="3"/>
      <c r="C455" s="3"/>
      <c r="D455" s="3"/>
      <c r="E455" s="3"/>
      <c r="F455" s="3"/>
      <c r="L455" s="3"/>
      <c r="M455" s="3"/>
      <c r="N455" s="3"/>
    </row>
    <row r="456" ht="15.75" customHeight="1">
      <c r="A456" s="3"/>
      <c r="B456" s="3"/>
      <c r="C456" s="3"/>
      <c r="D456" s="3"/>
      <c r="E456" s="3"/>
      <c r="F456" s="3"/>
      <c r="L456" s="3"/>
      <c r="M456" s="3"/>
      <c r="N456" s="3"/>
    </row>
    <row r="457" ht="15.75" customHeight="1">
      <c r="A457" s="3"/>
      <c r="B457" s="3"/>
      <c r="C457" s="3"/>
      <c r="D457" s="3"/>
      <c r="E457" s="3"/>
      <c r="F457" s="3"/>
      <c r="L457" s="3"/>
      <c r="M457" s="3"/>
      <c r="N457" s="3"/>
    </row>
    <row r="458" ht="15.75" customHeight="1">
      <c r="A458" s="3"/>
      <c r="B458" s="3"/>
      <c r="C458" s="3"/>
      <c r="D458" s="3"/>
      <c r="E458" s="3"/>
      <c r="F458" s="3"/>
      <c r="L458" s="3"/>
      <c r="M458" s="3"/>
      <c r="N458" s="3"/>
    </row>
    <row r="459" ht="15.75" customHeight="1">
      <c r="A459" s="3"/>
      <c r="B459" s="3"/>
      <c r="C459" s="3"/>
      <c r="D459" s="3"/>
      <c r="E459" s="3"/>
      <c r="F459" s="3"/>
      <c r="L459" s="3"/>
      <c r="M459" s="3"/>
      <c r="N459" s="3"/>
    </row>
    <row r="460" ht="15.75" customHeight="1">
      <c r="A460" s="3"/>
      <c r="B460" s="3"/>
      <c r="C460" s="3"/>
      <c r="D460" s="3"/>
      <c r="E460" s="3"/>
      <c r="F460" s="3"/>
      <c r="L460" s="3"/>
      <c r="M460" s="3"/>
      <c r="N460" s="3"/>
    </row>
    <row r="461" ht="15.75" customHeight="1">
      <c r="A461" s="3"/>
      <c r="B461" s="3"/>
      <c r="C461" s="3"/>
      <c r="D461" s="3"/>
      <c r="E461" s="3"/>
      <c r="F461" s="3"/>
      <c r="L461" s="3"/>
      <c r="M461" s="3"/>
      <c r="N461" s="3"/>
    </row>
    <row r="462" ht="15.75" customHeight="1">
      <c r="A462" s="3"/>
      <c r="B462" s="3"/>
      <c r="C462" s="3"/>
      <c r="D462" s="3"/>
      <c r="E462" s="3"/>
      <c r="F462" s="3"/>
      <c r="L462" s="3"/>
      <c r="M462" s="3"/>
      <c r="N462" s="3"/>
    </row>
    <row r="463" ht="15.75" customHeight="1">
      <c r="A463" s="3"/>
      <c r="B463" s="3"/>
      <c r="C463" s="3"/>
      <c r="D463" s="3"/>
      <c r="E463" s="3"/>
      <c r="F463" s="3"/>
      <c r="L463" s="3"/>
      <c r="M463" s="3"/>
      <c r="N463" s="3"/>
    </row>
    <row r="464" ht="15.75" customHeight="1">
      <c r="A464" s="3"/>
      <c r="B464" s="3"/>
      <c r="C464" s="3"/>
      <c r="D464" s="3"/>
      <c r="E464" s="3"/>
      <c r="F464" s="3"/>
      <c r="L464" s="3"/>
      <c r="M464" s="3"/>
      <c r="N464" s="3"/>
    </row>
    <row r="465" ht="15.75" customHeight="1">
      <c r="A465" s="3"/>
      <c r="B465" s="3"/>
      <c r="C465" s="3"/>
      <c r="D465" s="3"/>
      <c r="E465" s="3"/>
      <c r="F465" s="3"/>
      <c r="L465" s="3"/>
      <c r="M465" s="3"/>
      <c r="N465" s="3"/>
    </row>
    <row r="466" ht="15.75" customHeight="1">
      <c r="A466" s="3"/>
      <c r="B466" s="3"/>
      <c r="C466" s="3"/>
      <c r="D466" s="3"/>
      <c r="E466" s="3"/>
      <c r="F466" s="3"/>
      <c r="L466" s="3"/>
      <c r="M466" s="3"/>
      <c r="N466" s="3"/>
    </row>
    <row r="467" ht="15.75" customHeight="1">
      <c r="A467" s="3"/>
      <c r="B467" s="3"/>
      <c r="C467" s="3"/>
      <c r="D467" s="3"/>
      <c r="E467" s="3"/>
      <c r="F467" s="3"/>
      <c r="L467" s="3"/>
      <c r="M467" s="3"/>
      <c r="N467" s="3"/>
    </row>
    <row r="468" ht="15.75" customHeight="1">
      <c r="A468" s="3"/>
      <c r="B468" s="3"/>
      <c r="C468" s="3"/>
      <c r="D468" s="3"/>
      <c r="E468" s="3"/>
      <c r="F468" s="3"/>
      <c r="L468" s="3"/>
      <c r="M468" s="3"/>
      <c r="N468" s="3"/>
    </row>
    <row r="469" ht="15.75" customHeight="1">
      <c r="A469" s="3"/>
      <c r="B469" s="3"/>
      <c r="C469" s="3"/>
      <c r="D469" s="3"/>
      <c r="E469" s="3"/>
      <c r="F469" s="3"/>
      <c r="L469" s="3"/>
      <c r="M469" s="3"/>
      <c r="N469" s="3"/>
    </row>
    <row r="470" ht="15.75" customHeight="1">
      <c r="A470" s="3"/>
      <c r="B470" s="3"/>
      <c r="C470" s="3"/>
      <c r="D470" s="3"/>
      <c r="E470" s="3"/>
      <c r="F470" s="3"/>
      <c r="L470" s="3"/>
      <c r="M470" s="3"/>
      <c r="N470" s="3"/>
    </row>
    <row r="471" ht="15.75" customHeight="1">
      <c r="A471" s="3"/>
      <c r="B471" s="3"/>
      <c r="C471" s="3"/>
      <c r="D471" s="3"/>
      <c r="E471" s="3"/>
      <c r="F471" s="3"/>
      <c r="L471" s="3"/>
      <c r="M471" s="3"/>
      <c r="N471" s="3"/>
    </row>
    <row r="472" ht="15.75" customHeight="1">
      <c r="A472" s="3"/>
      <c r="B472" s="3"/>
      <c r="C472" s="3"/>
      <c r="D472" s="3"/>
      <c r="E472" s="3"/>
      <c r="F472" s="3"/>
      <c r="L472" s="3"/>
      <c r="M472" s="3"/>
      <c r="N472" s="3"/>
    </row>
    <row r="473" ht="15.75" customHeight="1">
      <c r="A473" s="3"/>
      <c r="B473" s="3"/>
      <c r="C473" s="3"/>
      <c r="D473" s="3"/>
      <c r="E473" s="3"/>
      <c r="F473" s="3"/>
      <c r="L473" s="3"/>
      <c r="M473" s="3"/>
      <c r="N473" s="3"/>
    </row>
    <row r="474" ht="15.75" customHeight="1">
      <c r="A474" s="3"/>
      <c r="B474" s="3"/>
      <c r="C474" s="3"/>
      <c r="D474" s="3"/>
      <c r="E474" s="3"/>
      <c r="F474" s="3"/>
      <c r="L474" s="3"/>
      <c r="M474" s="3"/>
      <c r="N474" s="3"/>
    </row>
    <row r="475" ht="15.75" customHeight="1">
      <c r="A475" s="3"/>
      <c r="B475" s="3"/>
      <c r="C475" s="3"/>
      <c r="D475" s="3"/>
      <c r="E475" s="3"/>
      <c r="F475" s="3"/>
      <c r="L475" s="3"/>
      <c r="M475" s="3"/>
      <c r="N475" s="3"/>
    </row>
    <row r="476" ht="15.75" customHeight="1">
      <c r="A476" s="3"/>
      <c r="B476" s="3"/>
      <c r="C476" s="3"/>
      <c r="D476" s="3"/>
      <c r="E476" s="3"/>
      <c r="F476" s="3"/>
      <c r="L476" s="3"/>
      <c r="M476" s="3"/>
      <c r="N476" s="3"/>
    </row>
    <row r="477" ht="15.75" customHeight="1">
      <c r="A477" s="3"/>
      <c r="B477" s="3"/>
      <c r="C477" s="3"/>
      <c r="D477" s="3"/>
      <c r="E477" s="3"/>
      <c r="F477" s="3"/>
      <c r="L477" s="3"/>
      <c r="M477" s="3"/>
      <c r="N477" s="3"/>
    </row>
    <row r="478" ht="15.75" customHeight="1">
      <c r="A478" s="3"/>
      <c r="B478" s="3"/>
      <c r="C478" s="3"/>
      <c r="D478" s="3"/>
      <c r="E478" s="3"/>
      <c r="F478" s="3"/>
      <c r="L478" s="3"/>
      <c r="M478" s="3"/>
      <c r="N478" s="3"/>
    </row>
    <row r="479" ht="15.75" customHeight="1">
      <c r="A479" s="3"/>
      <c r="B479" s="3"/>
      <c r="C479" s="3"/>
      <c r="D479" s="3"/>
      <c r="E479" s="3"/>
      <c r="F479" s="3"/>
      <c r="L479" s="3"/>
      <c r="M479" s="3"/>
      <c r="N479" s="3"/>
    </row>
    <row r="480" ht="15.75" customHeight="1">
      <c r="A480" s="3"/>
      <c r="B480" s="3"/>
      <c r="C480" s="3"/>
      <c r="D480" s="3"/>
      <c r="E480" s="3"/>
      <c r="F480" s="3"/>
      <c r="L480" s="3"/>
      <c r="M480" s="3"/>
      <c r="N480" s="3"/>
    </row>
    <row r="481" ht="15.75" customHeight="1">
      <c r="A481" s="3"/>
      <c r="B481" s="3"/>
      <c r="C481" s="3"/>
      <c r="D481" s="3"/>
      <c r="E481" s="3"/>
      <c r="F481" s="3"/>
      <c r="L481" s="3"/>
      <c r="M481" s="3"/>
      <c r="N481" s="3"/>
    </row>
    <row r="482" ht="15.75" customHeight="1">
      <c r="A482" s="3"/>
      <c r="B482" s="3"/>
      <c r="C482" s="3"/>
      <c r="D482" s="3"/>
      <c r="E482" s="3"/>
      <c r="F482" s="3"/>
      <c r="L482" s="3"/>
      <c r="M482" s="3"/>
      <c r="N482" s="3"/>
    </row>
    <row r="483" ht="15.75" customHeight="1">
      <c r="A483" s="3"/>
      <c r="B483" s="3"/>
      <c r="C483" s="3"/>
      <c r="D483" s="3"/>
      <c r="E483" s="3"/>
      <c r="F483" s="3"/>
      <c r="L483" s="3"/>
      <c r="M483" s="3"/>
      <c r="N483" s="3"/>
    </row>
    <row r="484" ht="15.75" customHeight="1">
      <c r="A484" s="3"/>
      <c r="B484" s="3"/>
      <c r="C484" s="3"/>
      <c r="D484" s="3"/>
      <c r="E484" s="3"/>
      <c r="F484" s="3"/>
      <c r="L484" s="3"/>
      <c r="M484" s="3"/>
      <c r="N484" s="3"/>
    </row>
    <row r="485" ht="15.75" customHeight="1">
      <c r="A485" s="3"/>
      <c r="B485" s="3"/>
      <c r="C485" s="3"/>
      <c r="D485" s="3"/>
      <c r="E485" s="3"/>
      <c r="F485" s="3"/>
      <c r="L485" s="3"/>
      <c r="M485" s="3"/>
      <c r="N485" s="3"/>
    </row>
    <row r="486" ht="15.75" customHeight="1">
      <c r="A486" s="3"/>
      <c r="B486" s="3"/>
      <c r="C486" s="3"/>
      <c r="D486" s="3"/>
      <c r="E486" s="3"/>
      <c r="F486" s="3"/>
      <c r="L486" s="3"/>
      <c r="M486" s="3"/>
      <c r="N486" s="3"/>
    </row>
    <row r="487" ht="15.75" customHeight="1">
      <c r="A487" s="3"/>
      <c r="B487" s="3"/>
      <c r="C487" s="3"/>
      <c r="D487" s="3"/>
      <c r="E487" s="3"/>
      <c r="F487" s="3"/>
      <c r="L487" s="3"/>
      <c r="M487" s="3"/>
      <c r="N487" s="3"/>
    </row>
    <row r="488" ht="15.75" customHeight="1">
      <c r="A488" s="3"/>
      <c r="B488" s="3"/>
      <c r="C488" s="3"/>
      <c r="D488" s="3"/>
      <c r="E488" s="3"/>
      <c r="F488" s="3"/>
      <c r="L488" s="3"/>
      <c r="M488" s="3"/>
      <c r="N488" s="3"/>
    </row>
    <row r="489" ht="15.75" customHeight="1">
      <c r="A489" s="3"/>
      <c r="B489" s="3"/>
      <c r="C489" s="3"/>
      <c r="D489" s="3"/>
      <c r="E489" s="3"/>
      <c r="F489" s="3"/>
      <c r="L489" s="3"/>
      <c r="M489" s="3"/>
      <c r="N489" s="3"/>
    </row>
    <row r="490" ht="15.75" customHeight="1">
      <c r="A490" s="3"/>
      <c r="B490" s="3"/>
      <c r="C490" s="3"/>
      <c r="D490" s="3"/>
      <c r="E490" s="3"/>
      <c r="F490" s="3"/>
      <c r="L490" s="3"/>
      <c r="M490" s="3"/>
      <c r="N490" s="3"/>
    </row>
    <row r="491" ht="15.75" customHeight="1">
      <c r="A491" s="3"/>
      <c r="B491" s="3"/>
      <c r="C491" s="3"/>
      <c r="D491" s="3"/>
      <c r="E491" s="3"/>
      <c r="F491" s="3"/>
      <c r="L491" s="3"/>
      <c r="M491" s="3"/>
      <c r="N491" s="3"/>
    </row>
    <row r="492" ht="15.75" customHeight="1">
      <c r="A492" s="3"/>
      <c r="B492" s="3"/>
      <c r="C492" s="3"/>
      <c r="D492" s="3"/>
      <c r="E492" s="3"/>
      <c r="F492" s="3"/>
      <c r="L492" s="3"/>
      <c r="M492" s="3"/>
      <c r="N492" s="3"/>
    </row>
    <row r="493" ht="15.75" customHeight="1">
      <c r="A493" s="3"/>
      <c r="B493" s="3"/>
      <c r="C493" s="3"/>
      <c r="D493" s="3"/>
      <c r="E493" s="3"/>
      <c r="F493" s="3"/>
      <c r="L493" s="3"/>
      <c r="M493" s="3"/>
      <c r="N493" s="3"/>
    </row>
    <row r="494" ht="15.75" customHeight="1">
      <c r="A494" s="3"/>
      <c r="B494" s="3"/>
      <c r="C494" s="3"/>
      <c r="D494" s="3"/>
      <c r="E494" s="3"/>
      <c r="F494" s="3"/>
      <c r="L494" s="3"/>
      <c r="M494" s="3"/>
      <c r="N494" s="3"/>
    </row>
    <row r="495" ht="15.75" customHeight="1">
      <c r="A495" s="3"/>
      <c r="B495" s="3"/>
      <c r="C495" s="3"/>
      <c r="D495" s="3"/>
      <c r="E495" s="3"/>
      <c r="F495" s="3"/>
      <c r="L495" s="3"/>
      <c r="M495" s="3"/>
      <c r="N495" s="3"/>
    </row>
    <row r="496" ht="15.75" customHeight="1">
      <c r="A496" s="3"/>
      <c r="B496" s="3"/>
      <c r="C496" s="3"/>
      <c r="D496" s="3"/>
      <c r="E496" s="3"/>
      <c r="F496" s="3"/>
      <c r="L496" s="3"/>
      <c r="M496" s="3"/>
      <c r="N496" s="3"/>
    </row>
    <row r="497" ht="15.75" customHeight="1">
      <c r="A497" s="3"/>
      <c r="B497" s="3"/>
      <c r="C497" s="3"/>
      <c r="D497" s="3"/>
      <c r="E497" s="3"/>
      <c r="F497" s="3"/>
      <c r="L497" s="3"/>
      <c r="M497" s="3"/>
      <c r="N497" s="3"/>
    </row>
    <row r="498" ht="15.75" customHeight="1">
      <c r="A498" s="3"/>
      <c r="B498" s="3"/>
      <c r="C498" s="3"/>
      <c r="D498" s="3"/>
      <c r="E498" s="3"/>
      <c r="F498" s="3"/>
      <c r="L498" s="3"/>
      <c r="M498" s="3"/>
      <c r="N498" s="3"/>
    </row>
    <row r="499" ht="15.75" customHeight="1">
      <c r="A499" s="3"/>
      <c r="B499" s="3"/>
      <c r="C499" s="3"/>
      <c r="D499" s="3"/>
      <c r="E499" s="3"/>
      <c r="F499" s="3"/>
      <c r="L499" s="3"/>
      <c r="M499" s="3"/>
      <c r="N499" s="3"/>
    </row>
    <row r="500" ht="15.75" customHeight="1">
      <c r="A500" s="3"/>
      <c r="B500" s="3"/>
      <c r="C500" s="3"/>
      <c r="D500" s="3"/>
      <c r="E500" s="3"/>
      <c r="F500" s="3"/>
      <c r="L500" s="3"/>
      <c r="M500" s="3"/>
      <c r="N500" s="3"/>
    </row>
    <row r="501" ht="15.75" customHeight="1">
      <c r="A501" s="3"/>
      <c r="B501" s="3"/>
      <c r="C501" s="3"/>
      <c r="D501" s="3"/>
      <c r="E501" s="3"/>
      <c r="F501" s="3"/>
      <c r="L501" s="3"/>
      <c r="M501" s="3"/>
      <c r="N501" s="3"/>
    </row>
    <row r="502" ht="15.75" customHeight="1">
      <c r="A502" s="3"/>
      <c r="B502" s="3"/>
      <c r="C502" s="3"/>
      <c r="D502" s="3"/>
      <c r="E502" s="3"/>
      <c r="F502" s="3"/>
      <c r="L502" s="3"/>
      <c r="M502" s="3"/>
      <c r="N502" s="3"/>
    </row>
    <row r="503" ht="15.75" customHeight="1">
      <c r="A503" s="3"/>
      <c r="B503" s="3"/>
      <c r="C503" s="3"/>
      <c r="D503" s="3"/>
      <c r="E503" s="3"/>
      <c r="F503" s="3"/>
      <c r="L503" s="3"/>
      <c r="M503" s="3"/>
      <c r="N503" s="3"/>
    </row>
    <row r="504" ht="15.75" customHeight="1">
      <c r="A504" s="3"/>
      <c r="B504" s="3"/>
      <c r="C504" s="3"/>
      <c r="D504" s="3"/>
      <c r="E504" s="3"/>
      <c r="F504" s="3"/>
      <c r="L504" s="3"/>
      <c r="M504" s="3"/>
      <c r="N504" s="3"/>
    </row>
    <row r="505" ht="15.75" customHeight="1">
      <c r="A505" s="3"/>
      <c r="B505" s="3"/>
      <c r="C505" s="3"/>
      <c r="D505" s="3"/>
      <c r="E505" s="3"/>
      <c r="F505" s="3"/>
      <c r="L505" s="3"/>
      <c r="M505" s="3"/>
      <c r="N505" s="3"/>
    </row>
    <row r="506" ht="15.75" customHeight="1">
      <c r="A506" s="3"/>
      <c r="B506" s="3"/>
      <c r="C506" s="3"/>
      <c r="D506" s="3"/>
      <c r="E506" s="3"/>
      <c r="F506" s="3"/>
      <c r="L506" s="3"/>
      <c r="M506" s="3"/>
      <c r="N506" s="3"/>
    </row>
    <row r="507" ht="15.75" customHeight="1">
      <c r="A507" s="3"/>
      <c r="B507" s="3"/>
      <c r="C507" s="3"/>
      <c r="D507" s="3"/>
      <c r="E507" s="3"/>
      <c r="F507" s="3"/>
      <c r="L507" s="3"/>
      <c r="M507" s="3"/>
      <c r="N507" s="3"/>
    </row>
    <row r="508" ht="15.75" customHeight="1">
      <c r="A508" s="3"/>
      <c r="B508" s="3"/>
      <c r="C508" s="3"/>
      <c r="D508" s="3"/>
      <c r="E508" s="3"/>
      <c r="F508" s="3"/>
      <c r="L508" s="3"/>
      <c r="M508" s="3"/>
      <c r="N508" s="3"/>
    </row>
    <row r="509" ht="15.75" customHeight="1">
      <c r="A509" s="3"/>
      <c r="B509" s="3"/>
      <c r="C509" s="3"/>
      <c r="D509" s="3"/>
      <c r="E509" s="3"/>
      <c r="F509" s="3"/>
      <c r="L509" s="3"/>
      <c r="M509" s="3"/>
      <c r="N509" s="3"/>
    </row>
    <row r="510" ht="15.75" customHeight="1">
      <c r="A510" s="3"/>
      <c r="B510" s="3"/>
      <c r="C510" s="3"/>
      <c r="D510" s="3"/>
      <c r="E510" s="3"/>
      <c r="F510" s="3"/>
      <c r="L510" s="3"/>
      <c r="M510" s="3"/>
      <c r="N510" s="3"/>
    </row>
    <row r="511" ht="15.75" customHeight="1">
      <c r="A511" s="3"/>
      <c r="B511" s="3"/>
      <c r="C511" s="3"/>
      <c r="D511" s="3"/>
      <c r="E511" s="3"/>
      <c r="F511" s="3"/>
      <c r="L511" s="3"/>
      <c r="M511" s="3"/>
      <c r="N511" s="3"/>
    </row>
    <row r="512" ht="15.75" customHeight="1">
      <c r="A512" s="3"/>
      <c r="B512" s="3"/>
      <c r="C512" s="3"/>
      <c r="D512" s="3"/>
      <c r="E512" s="3"/>
      <c r="F512" s="3"/>
      <c r="L512" s="3"/>
      <c r="M512" s="3"/>
      <c r="N512" s="3"/>
    </row>
    <row r="513" ht="15.75" customHeight="1">
      <c r="A513" s="3"/>
      <c r="B513" s="3"/>
      <c r="C513" s="3"/>
      <c r="D513" s="3"/>
      <c r="E513" s="3"/>
      <c r="F513" s="3"/>
      <c r="L513" s="3"/>
      <c r="M513" s="3"/>
      <c r="N513" s="3"/>
    </row>
    <row r="514" ht="15.75" customHeight="1">
      <c r="A514" s="3"/>
      <c r="B514" s="3"/>
      <c r="C514" s="3"/>
      <c r="D514" s="3"/>
      <c r="E514" s="3"/>
      <c r="F514" s="3"/>
      <c r="L514" s="3"/>
      <c r="M514" s="3"/>
      <c r="N514" s="3"/>
    </row>
    <row r="515" ht="15.75" customHeight="1">
      <c r="A515" s="3"/>
      <c r="B515" s="3"/>
      <c r="C515" s="3"/>
      <c r="D515" s="3"/>
      <c r="E515" s="3"/>
      <c r="F515" s="3"/>
      <c r="L515" s="3"/>
      <c r="M515" s="3"/>
      <c r="N515" s="3"/>
    </row>
    <row r="516" ht="15.75" customHeight="1">
      <c r="A516" s="3"/>
      <c r="B516" s="3"/>
      <c r="C516" s="3"/>
      <c r="D516" s="3"/>
      <c r="E516" s="3"/>
      <c r="F516" s="3"/>
      <c r="L516" s="3"/>
      <c r="M516" s="3"/>
      <c r="N516" s="3"/>
    </row>
    <row r="517" ht="15.75" customHeight="1">
      <c r="A517" s="3"/>
      <c r="B517" s="3"/>
      <c r="C517" s="3"/>
      <c r="D517" s="3"/>
      <c r="E517" s="3"/>
      <c r="F517" s="3"/>
      <c r="L517" s="3"/>
      <c r="M517" s="3"/>
      <c r="N517" s="3"/>
    </row>
    <row r="518" ht="15.75" customHeight="1">
      <c r="A518" s="3"/>
      <c r="B518" s="3"/>
      <c r="C518" s="3"/>
      <c r="D518" s="3"/>
      <c r="E518" s="3"/>
      <c r="F518" s="3"/>
      <c r="L518" s="3"/>
      <c r="M518" s="3"/>
      <c r="N518" s="3"/>
    </row>
    <row r="519" ht="15.75" customHeight="1">
      <c r="A519" s="3"/>
      <c r="B519" s="3"/>
      <c r="C519" s="3"/>
      <c r="D519" s="3"/>
      <c r="E519" s="3"/>
      <c r="F519" s="3"/>
      <c r="L519" s="3"/>
      <c r="M519" s="3"/>
      <c r="N519" s="3"/>
    </row>
    <row r="520" ht="15.75" customHeight="1">
      <c r="A520" s="3"/>
      <c r="B520" s="3"/>
      <c r="C520" s="3"/>
      <c r="D520" s="3"/>
      <c r="E520" s="3"/>
      <c r="F520" s="3"/>
      <c r="L520" s="3"/>
      <c r="M520" s="3"/>
      <c r="N520" s="3"/>
    </row>
    <row r="521" ht="15.75" customHeight="1">
      <c r="A521" s="3"/>
      <c r="B521" s="3"/>
      <c r="C521" s="3"/>
      <c r="D521" s="3"/>
      <c r="E521" s="3"/>
      <c r="F521" s="3"/>
      <c r="L521" s="3"/>
      <c r="M521" s="3"/>
      <c r="N521" s="3"/>
    </row>
    <row r="522" ht="15.75" customHeight="1">
      <c r="A522" s="3"/>
      <c r="B522" s="3"/>
      <c r="C522" s="3"/>
      <c r="D522" s="3"/>
      <c r="E522" s="3"/>
      <c r="F522" s="3"/>
      <c r="L522" s="3"/>
      <c r="M522" s="3"/>
      <c r="N522" s="3"/>
    </row>
    <row r="523" ht="15.75" customHeight="1">
      <c r="A523" s="3"/>
      <c r="B523" s="3"/>
      <c r="C523" s="3"/>
      <c r="D523" s="3"/>
      <c r="E523" s="3"/>
      <c r="F523" s="3"/>
      <c r="L523" s="3"/>
      <c r="M523" s="3"/>
      <c r="N523" s="3"/>
    </row>
    <row r="524" ht="15.75" customHeight="1">
      <c r="A524" s="3"/>
      <c r="B524" s="3"/>
      <c r="C524" s="3"/>
      <c r="D524" s="3"/>
      <c r="E524" s="3"/>
      <c r="F524" s="3"/>
      <c r="L524" s="3"/>
      <c r="M524" s="3"/>
      <c r="N524" s="3"/>
    </row>
    <row r="525" ht="15.75" customHeight="1">
      <c r="A525" s="3"/>
      <c r="B525" s="3"/>
      <c r="C525" s="3"/>
      <c r="D525" s="3"/>
      <c r="E525" s="3"/>
      <c r="F525" s="3"/>
      <c r="L525" s="3"/>
      <c r="M525" s="3"/>
      <c r="N525" s="3"/>
    </row>
    <row r="526" ht="15.75" customHeight="1">
      <c r="A526" s="3"/>
      <c r="B526" s="3"/>
      <c r="C526" s="3"/>
      <c r="D526" s="3"/>
      <c r="E526" s="3"/>
      <c r="F526" s="3"/>
      <c r="L526" s="3"/>
      <c r="M526" s="3"/>
      <c r="N526" s="3"/>
    </row>
    <row r="527" ht="15.75" customHeight="1">
      <c r="A527" s="3"/>
      <c r="B527" s="3"/>
      <c r="C527" s="3"/>
      <c r="D527" s="3"/>
      <c r="E527" s="3"/>
      <c r="F527" s="3"/>
      <c r="L527" s="3"/>
      <c r="M527" s="3"/>
      <c r="N527" s="3"/>
    </row>
    <row r="528" ht="15.75" customHeight="1">
      <c r="A528" s="3"/>
      <c r="B528" s="3"/>
      <c r="C528" s="3"/>
      <c r="D528" s="3"/>
      <c r="E528" s="3"/>
      <c r="F528" s="3"/>
      <c r="L528" s="3"/>
      <c r="M528" s="3"/>
      <c r="N528" s="3"/>
    </row>
    <row r="529" ht="15.75" customHeight="1">
      <c r="A529" s="3"/>
      <c r="B529" s="3"/>
      <c r="C529" s="3"/>
      <c r="D529" s="3"/>
      <c r="E529" s="3"/>
      <c r="F529" s="3"/>
      <c r="L529" s="3"/>
      <c r="M529" s="3"/>
      <c r="N529" s="3"/>
    </row>
    <row r="530" ht="15.75" customHeight="1">
      <c r="A530" s="3"/>
      <c r="B530" s="3"/>
      <c r="C530" s="3"/>
      <c r="D530" s="3"/>
      <c r="E530" s="3"/>
      <c r="F530" s="3"/>
      <c r="L530" s="3"/>
      <c r="M530" s="3"/>
      <c r="N530" s="3"/>
    </row>
    <row r="531" ht="15.75" customHeight="1">
      <c r="A531" s="3"/>
      <c r="B531" s="3"/>
      <c r="C531" s="3"/>
      <c r="D531" s="3"/>
      <c r="E531" s="3"/>
      <c r="F531" s="3"/>
      <c r="L531" s="3"/>
      <c r="M531" s="3"/>
      <c r="N531" s="3"/>
    </row>
    <row r="532" ht="15.75" customHeight="1">
      <c r="A532" s="3"/>
      <c r="B532" s="3"/>
      <c r="C532" s="3"/>
      <c r="D532" s="3"/>
      <c r="E532" s="3"/>
      <c r="F532" s="3"/>
      <c r="L532" s="3"/>
      <c r="M532" s="3"/>
      <c r="N532" s="3"/>
    </row>
    <row r="533" ht="15.75" customHeight="1">
      <c r="A533" s="3"/>
      <c r="B533" s="3"/>
      <c r="C533" s="3"/>
      <c r="D533" s="3"/>
      <c r="E533" s="3"/>
      <c r="F533" s="3"/>
      <c r="L533" s="3"/>
      <c r="M533" s="3"/>
      <c r="N533" s="3"/>
    </row>
    <row r="534" ht="15.75" customHeight="1">
      <c r="A534" s="3"/>
      <c r="B534" s="3"/>
      <c r="C534" s="3"/>
      <c r="D534" s="3"/>
      <c r="E534" s="3"/>
      <c r="F534" s="3"/>
      <c r="L534" s="3"/>
      <c r="M534" s="3"/>
      <c r="N534" s="3"/>
    </row>
    <row r="535" ht="15.75" customHeight="1">
      <c r="A535" s="3"/>
      <c r="B535" s="3"/>
      <c r="C535" s="3"/>
      <c r="D535" s="3"/>
      <c r="E535" s="3"/>
      <c r="F535" s="3"/>
      <c r="L535" s="3"/>
      <c r="M535" s="3"/>
      <c r="N535" s="3"/>
    </row>
    <row r="536" ht="15.75" customHeight="1">
      <c r="A536" s="3"/>
      <c r="B536" s="3"/>
      <c r="C536" s="3"/>
      <c r="D536" s="3"/>
      <c r="E536" s="3"/>
      <c r="F536" s="3"/>
      <c r="L536" s="3"/>
      <c r="M536" s="3"/>
      <c r="N536" s="3"/>
    </row>
    <row r="537" ht="15.75" customHeight="1">
      <c r="A537" s="3"/>
      <c r="B537" s="3"/>
      <c r="C537" s="3"/>
      <c r="D537" s="3"/>
      <c r="E537" s="3"/>
      <c r="F537" s="3"/>
      <c r="L537" s="3"/>
      <c r="M537" s="3"/>
      <c r="N537" s="3"/>
    </row>
    <row r="538" ht="15.75" customHeight="1">
      <c r="A538" s="3"/>
      <c r="B538" s="3"/>
      <c r="C538" s="3"/>
      <c r="D538" s="3"/>
      <c r="E538" s="3"/>
      <c r="F538" s="3"/>
      <c r="L538" s="3"/>
      <c r="M538" s="3"/>
      <c r="N538" s="3"/>
    </row>
    <row r="539" ht="15.75" customHeight="1">
      <c r="A539" s="3"/>
      <c r="B539" s="3"/>
      <c r="C539" s="3"/>
      <c r="D539" s="3"/>
      <c r="E539" s="3"/>
      <c r="F539" s="3"/>
      <c r="L539" s="3"/>
      <c r="M539" s="3"/>
      <c r="N539" s="3"/>
    </row>
    <row r="540" ht="15.75" customHeight="1">
      <c r="A540" s="3"/>
      <c r="B540" s="3"/>
      <c r="C540" s="3"/>
      <c r="D540" s="3"/>
      <c r="E540" s="3"/>
      <c r="F540" s="3"/>
      <c r="L540" s="3"/>
      <c r="M540" s="3"/>
      <c r="N540" s="3"/>
    </row>
    <row r="541" ht="15.75" customHeight="1">
      <c r="A541" s="3"/>
      <c r="B541" s="3"/>
      <c r="C541" s="3"/>
      <c r="D541" s="3"/>
      <c r="E541" s="3"/>
      <c r="F541" s="3"/>
      <c r="L541" s="3"/>
      <c r="M541" s="3"/>
      <c r="N541" s="3"/>
    </row>
    <row r="542" ht="15.75" customHeight="1">
      <c r="A542" s="3"/>
      <c r="B542" s="3"/>
      <c r="C542" s="3"/>
      <c r="D542" s="3"/>
      <c r="E542" s="3"/>
      <c r="F542" s="3"/>
      <c r="L542" s="3"/>
      <c r="M542" s="3"/>
      <c r="N542" s="3"/>
    </row>
    <row r="543" ht="15.75" customHeight="1">
      <c r="A543" s="3"/>
      <c r="B543" s="3"/>
      <c r="C543" s="3"/>
      <c r="D543" s="3"/>
      <c r="E543" s="3"/>
      <c r="F543" s="3"/>
      <c r="L543" s="3"/>
      <c r="M543" s="3"/>
      <c r="N543" s="3"/>
    </row>
    <row r="544" ht="15.75" customHeight="1">
      <c r="A544" s="3"/>
      <c r="B544" s="3"/>
      <c r="C544" s="3"/>
      <c r="D544" s="3"/>
      <c r="E544" s="3"/>
      <c r="F544" s="3"/>
      <c r="L544" s="3"/>
      <c r="M544" s="3"/>
      <c r="N544" s="3"/>
    </row>
    <row r="545" ht="15.75" customHeight="1">
      <c r="A545" s="3"/>
      <c r="B545" s="3"/>
      <c r="C545" s="3"/>
      <c r="D545" s="3"/>
      <c r="E545" s="3"/>
      <c r="F545" s="3"/>
      <c r="L545" s="3"/>
      <c r="M545" s="3"/>
      <c r="N545" s="3"/>
    </row>
    <row r="546" ht="15.75" customHeight="1">
      <c r="A546" s="3"/>
      <c r="B546" s="3"/>
      <c r="C546" s="3"/>
      <c r="D546" s="3"/>
      <c r="E546" s="3"/>
      <c r="F546" s="3"/>
      <c r="L546" s="3"/>
      <c r="M546" s="3"/>
      <c r="N546" s="3"/>
    </row>
    <row r="547" ht="15.75" customHeight="1">
      <c r="A547" s="3"/>
      <c r="B547" s="3"/>
      <c r="C547" s="3"/>
      <c r="D547" s="3"/>
      <c r="E547" s="3"/>
      <c r="F547" s="3"/>
      <c r="L547" s="3"/>
      <c r="M547" s="3"/>
      <c r="N547" s="3"/>
    </row>
    <row r="548" ht="15.75" customHeight="1">
      <c r="A548" s="3"/>
      <c r="B548" s="3"/>
      <c r="C548" s="3"/>
      <c r="D548" s="3"/>
      <c r="E548" s="3"/>
      <c r="F548" s="3"/>
      <c r="L548" s="3"/>
      <c r="M548" s="3"/>
      <c r="N548" s="3"/>
    </row>
    <row r="549" ht="15.75" customHeight="1">
      <c r="A549" s="3"/>
      <c r="B549" s="3"/>
      <c r="C549" s="3"/>
      <c r="D549" s="3"/>
      <c r="E549" s="3"/>
      <c r="F549" s="3"/>
      <c r="L549" s="3"/>
      <c r="M549" s="3"/>
      <c r="N549" s="3"/>
    </row>
    <row r="550" ht="15.75" customHeight="1">
      <c r="A550" s="3"/>
      <c r="B550" s="3"/>
      <c r="C550" s="3"/>
      <c r="D550" s="3"/>
      <c r="E550" s="3"/>
      <c r="F550" s="3"/>
      <c r="L550" s="3"/>
      <c r="M550" s="3"/>
      <c r="N550" s="3"/>
    </row>
    <row r="551" ht="15.75" customHeight="1">
      <c r="A551" s="3"/>
      <c r="B551" s="3"/>
      <c r="C551" s="3"/>
      <c r="D551" s="3"/>
      <c r="E551" s="3"/>
      <c r="F551" s="3"/>
      <c r="L551" s="3"/>
      <c r="M551" s="3"/>
      <c r="N551" s="3"/>
    </row>
    <row r="552" ht="15.75" customHeight="1">
      <c r="A552" s="3"/>
      <c r="B552" s="3"/>
      <c r="C552" s="3"/>
      <c r="D552" s="3"/>
      <c r="E552" s="3"/>
      <c r="F552" s="3"/>
      <c r="L552" s="3"/>
      <c r="M552" s="3"/>
      <c r="N552" s="3"/>
    </row>
    <row r="553" ht="15.75" customHeight="1">
      <c r="A553" s="3"/>
      <c r="B553" s="3"/>
      <c r="C553" s="3"/>
      <c r="D553" s="3"/>
      <c r="E553" s="3"/>
      <c r="F553" s="3"/>
      <c r="L553" s="3"/>
      <c r="M553" s="3"/>
      <c r="N553" s="3"/>
    </row>
    <row r="554" ht="15.75" customHeight="1">
      <c r="A554" s="3"/>
      <c r="B554" s="3"/>
      <c r="C554" s="3"/>
      <c r="D554" s="3"/>
      <c r="E554" s="3"/>
      <c r="F554" s="3"/>
      <c r="L554" s="3"/>
      <c r="M554" s="3"/>
      <c r="N554" s="3"/>
    </row>
    <row r="555" ht="15.75" customHeight="1">
      <c r="A555" s="3"/>
      <c r="B555" s="3"/>
      <c r="C555" s="3"/>
      <c r="D555" s="3"/>
      <c r="E555" s="3"/>
      <c r="F555" s="3"/>
      <c r="L555" s="3"/>
      <c r="M555" s="3"/>
      <c r="N555" s="3"/>
    </row>
    <row r="556" ht="15.75" customHeight="1">
      <c r="A556" s="3"/>
      <c r="B556" s="3"/>
      <c r="C556" s="3"/>
      <c r="D556" s="3"/>
      <c r="E556" s="3"/>
      <c r="F556" s="3"/>
      <c r="L556" s="3"/>
      <c r="M556" s="3"/>
      <c r="N556" s="3"/>
    </row>
    <row r="557" ht="15.75" customHeight="1">
      <c r="A557" s="3"/>
      <c r="B557" s="3"/>
      <c r="C557" s="3"/>
      <c r="D557" s="3"/>
      <c r="E557" s="3"/>
      <c r="F557" s="3"/>
      <c r="L557" s="3"/>
      <c r="M557" s="3"/>
      <c r="N557" s="3"/>
    </row>
    <row r="558" ht="15.75" customHeight="1">
      <c r="A558" s="3"/>
      <c r="B558" s="3"/>
      <c r="C558" s="3"/>
      <c r="D558" s="3"/>
      <c r="E558" s="3"/>
      <c r="F558" s="3"/>
      <c r="L558" s="3"/>
      <c r="M558" s="3"/>
      <c r="N558" s="3"/>
    </row>
    <row r="559" ht="15.75" customHeight="1">
      <c r="A559" s="3"/>
      <c r="B559" s="3"/>
      <c r="C559" s="3"/>
      <c r="D559" s="3"/>
      <c r="E559" s="3"/>
      <c r="F559" s="3"/>
      <c r="L559" s="3"/>
      <c r="M559" s="3"/>
      <c r="N559" s="3"/>
    </row>
    <row r="560" ht="15.75" customHeight="1">
      <c r="A560" s="3"/>
      <c r="B560" s="3"/>
      <c r="C560" s="3"/>
      <c r="D560" s="3"/>
      <c r="E560" s="3"/>
      <c r="F560" s="3"/>
      <c r="L560" s="3"/>
      <c r="M560" s="3"/>
      <c r="N560" s="3"/>
    </row>
    <row r="561" ht="15.75" customHeight="1">
      <c r="A561" s="3"/>
      <c r="B561" s="3"/>
      <c r="C561" s="3"/>
      <c r="D561" s="3"/>
      <c r="E561" s="3"/>
      <c r="F561" s="3"/>
      <c r="L561" s="3"/>
      <c r="M561" s="3"/>
      <c r="N561" s="3"/>
    </row>
    <row r="562" ht="15.75" customHeight="1">
      <c r="A562" s="3"/>
      <c r="B562" s="3"/>
      <c r="C562" s="3"/>
      <c r="D562" s="3"/>
      <c r="E562" s="3"/>
      <c r="F562" s="3"/>
      <c r="L562" s="3"/>
      <c r="M562" s="3"/>
      <c r="N562" s="3"/>
    </row>
    <row r="563" ht="15.75" customHeight="1">
      <c r="A563" s="3"/>
      <c r="B563" s="3"/>
      <c r="C563" s="3"/>
      <c r="D563" s="3"/>
      <c r="E563" s="3"/>
      <c r="F563" s="3"/>
      <c r="L563" s="3"/>
      <c r="M563" s="3"/>
      <c r="N563" s="3"/>
    </row>
    <row r="564" ht="15.75" customHeight="1">
      <c r="A564" s="3"/>
      <c r="B564" s="3"/>
      <c r="C564" s="3"/>
      <c r="D564" s="3"/>
      <c r="E564" s="3"/>
      <c r="F564" s="3"/>
      <c r="L564" s="3"/>
      <c r="M564" s="3"/>
      <c r="N564" s="3"/>
    </row>
    <row r="565" ht="15.75" customHeight="1">
      <c r="A565" s="3"/>
      <c r="B565" s="3"/>
      <c r="C565" s="3"/>
      <c r="D565" s="3"/>
      <c r="E565" s="3"/>
      <c r="F565" s="3"/>
      <c r="L565" s="3"/>
      <c r="M565" s="3"/>
      <c r="N565" s="3"/>
    </row>
    <row r="566" ht="15.75" customHeight="1">
      <c r="A566" s="3"/>
      <c r="B566" s="3"/>
      <c r="C566" s="3"/>
      <c r="D566" s="3"/>
      <c r="E566" s="3"/>
      <c r="F566" s="3"/>
      <c r="L566" s="3"/>
      <c r="M566" s="3"/>
      <c r="N566" s="3"/>
    </row>
    <row r="567" ht="15.75" customHeight="1">
      <c r="A567" s="3"/>
      <c r="B567" s="3"/>
      <c r="C567" s="3"/>
      <c r="D567" s="3"/>
      <c r="E567" s="3"/>
      <c r="F567" s="3"/>
      <c r="L567" s="3"/>
      <c r="M567" s="3"/>
      <c r="N567" s="3"/>
    </row>
    <row r="568" ht="15.75" customHeight="1">
      <c r="A568" s="3"/>
      <c r="B568" s="3"/>
      <c r="C568" s="3"/>
      <c r="D568" s="3"/>
      <c r="E568" s="3"/>
      <c r="F568" s="3"/>
      <c r="L568" s="3"/>
      <c r="M568" s="3"/>
      <c r="N568" s="3"/>
    </row>
    <row r="569" ht="15.75" customHeight="1">
      <c r="A569" s="3"/>
      <c r="B569" s="3"/>
      <c r="C569" s="3"/>
      <c r="D569" s="3"/>
      <c r="E569" s="3"/>
      <c r="F569" s="3"/>
      <c r="L569" s="3"/>
      <c r="M569" s="3"/>
      <c r="N569" s="3"/>
    </row>
    <row r="570" ht="15.75" customHeight="1">
      <c r="A570" s="3"/>
      <c r="B570" s="3"/>
      <c r="C570" s="3"/>
      <c r="D570" s="3"/>
      <c r="E570" s="3"/>
      <c r="F570" s="3"/>
      <c r="L570" s="3"/>
      <c r="M570" s="3"/>
      <c r="N570" s="3"/>
    </row>
    <row r="571" ht="15.75" customHeight="1">
      <c r="A571" s="3"/>
      <c r="B571" s="3"/>
      <c r="C571" s="3"/>
      <c r="D571" s="3"/>
      <c r="E571" s="3"/>
      <c r="F571" s="3"/>
      <c r="L571" s="3"/>
      <c r="M571" s="3"/>
      <c r="N571" s="3"/>
    </row>
    <row r="572" ht="15.75" customHeight="1">
      <c r="A572" s="3"/>
      <c r="B572" s="3"/>
      <c r="C572" s="3"/>
      <c r="D572" s="3"/>
      <c r="E572" s="3"/>
      <c r="F572" s="3"/>
      <c r="L572" s="3"/>
      <c r="M572" s="3"/>
      <c r="N572" s="3"/>
    </row>
    <row r="573" ht="15.75" customHeight="1">
      <c r="A573" s="3"/>
      <c r="B573" s="3"/>
      <c r="C573" s="3"/>
      <c r="D573" s="3"/>
      <c r="E573" s="3"/>
      <c r="F573" s="3"/>
      <c r="L573" s="3"/>
      <c r="M573" s="3"/>
      <c r="N573" s="3"/>
    </row>
    <row r="574" ht="15.75" customHeight="1">
      <c r="A574" s="3"/>
      <c r="B574" s="3"/>
      <c r="C574" s="3"/>
      <c r="D574" s="3"/>
      <c r="E574" s="3"/>
      <c r="F574" s="3"/>
      <c r="L574" s="3"/>
      <c r="M574" s="3"/>
      <c r="N574" s="3"/>
    </row>
    <row r="575" ht="15.75" customHeight="1">
      <c r="A575" s="3"/>
      <c r="B575" s="3"/>
      <c r="C575" s="3"/>
      <c r="D575" s="3"/>
      <c r="E575" s="3"/>
      <c r="F575" s="3"/>
      <c r="L575" s="3"/>
      <c r="M575" s="3"/>
      <c r="N575" s="3"/>
    </row>
    <row r="576" ht="15.75" customHeight="1">
      <c r="A576" s="3"/>
      <c r="B576" s="3"/>
      <c r="C576" s="3"/>
      <c r="D576" s="3"/>
      <c r="E576" s="3"/>
      <c r="F576" s="3"/>
      <c r="L576" s="3"/>
      <c r="M576" s="3"/>
      <c r="N576" s="3"/>
    </row>
    <row r="577" ht="15.75" customHeight="1">
      <c r="A577" s="3"/>
      <c r="B577" s="3"/>
      <c r="C577" s="3"/>
      <c r="D577" s="3"/>
      <c r="E577" s="3"/>
      <c r="F577" s="3"/>
      <c r="L577" s="3"/>
      <c r="M577" s="3"/>
      <c r="N577" s="3"/>
    </row>
    <row r="578" ht="15.75" customHeight="1">
      <c r="A578" s="3"/>
      <c r="B578" s="3"/>
      <c r="C578" s="3"/>
      <c r="D578" s="3"/>
      <c r="E578" s="3"/>
      <c r="F578" s="3"/>
      <c r="L578" s="3"/>
      <c r="M578" s="3"/>
      <c r="N578" s="3"/>
    </row>
    <row r="579" ht="15.75" customHeight="1">
      <c r="A579" s="3"/>
      <c r="B579" s="3"/>
      <c r="C579" s="3"/>
      <c r="D579" s="3"/>
      <c r="E579" s="3"/>
      <c r="F579" s="3"/>
      <c r="L579" s="3"/>
      <c r="M579" s="3"/>
      <c r="N579" s="3"/>
    </row>
    <row r="580" ht="15.75" customHeight="1">
      <c r="A580" s="3"/>
      <c r="B580" s="3"/>
      <c r="C580" s="3"/>
      <c r="D580" s="3"/>
      <c r="E580" s="3"/>
      <c r="F580" s="3"/>
      <c r="L580" s="3"/>
      <c r="M580" s="3"/>
      <c r="N580" s="3"/>
    </row>
    <row r="581" ht="15.75" customHeight="1">
      <c r="A581" s="3"/>
      <c r="B581" s="3"/>
      <c r="C581" s="3"/>
      <c r="D581" s="3"/>
      <c r="E581" s="3"/>
      <c r="F581" s="3"/>
      <c r="L581" s="3"/>
      <c r="M581" s="3"/>
      <c r="N581" s="3"/>
    </row>
    <row r="582" ht="15.75" customHeight="1">
      <c r="A582" s="3"/>
      <c r="B582" s="3"/>
      <c r="C582" s="3"/>
      <c r="D582" s="3"/>
      <c r="E582" s="3"/>
      <c r="F582" s="3"/>
      <c r="L582" s="3"/>
      <c r="M582" s="3"/>
      <c r="N582" s="3"/>
    </row>
    <row r="583" ht="15.75" customHeight="1">
      <c r="A583" s="3"/>
      <c r="B583" s="3"/>
      <c r="C583" s="3"/>
      <c r="D583" s="3"/>
      <c r="E583" s="3"/>
      <c r="F583" s="3"/>
      <c r="L583" s="3"/>
      <c r="M583" s="3"/>
      <c r="N583" s="3"/>
    </row>
    <row r="584" ht="15.75" customHeight="1">
      <c r="A584" s="3"/>
      <c r="B584" s="3"/>
      <c r="C584" s="3"/>
      <c r="D584" s="3"/>
      <c r="E584" s="3"/>
      <c r="F584" s="3"/>
      <c r="L584" s="3"/>
      <c r="M584" s="3"/>
      <c r="N584" s="3"/>
    </row>
    <row r="585" ht="15.75" customHeight="1">
      <c r="A585" s="3"/>
      <c r="B585" s="3"/>
      <c r="C585" s="3"/>
      <c r="D585" s="3"/>
      <c r="E585" s="3"/>
      <c r="F585" s="3"/>
      <c r="L585" s="3"/>
      <c r="M585" s="3"/>
      <c r="N585" s="3"/>
    </row>
    <row r="586" ht="15.75" customHeight="1">
      <c r="A586" s="3"/>
      <c r="B586" s="3"/>
      <c r="C586" s="3"/>
      <c r="D586" s="3"/>
      <c r="E586" s="3"/>
      <c r="F586" s="3"/>
      <c r="L586" s="3"/>
      <c r="M586" s="3"/>
      <c r="N586" s="3"/>
    </row>
    <row r="587" ht="15.75" customHeight="1">
      <c r="A587" s="3"/>
      <c r="B587" s="3"/>
      <c r="C587" s="3"/>
      <c r="D587" s="3"/>
      <c r="E587" s="3"/>
      <c r="F587" s="3"/>
      <c r="L587" s="3"/>
      <c r="M587" s="3"/>
      <c r="N587" s="3"/>
    </row>
    <row r="588" ht="15.75" customHeight="1">
      <c r="A588" s="3"/>
      <c r="B588" s="3"/>
      <c r="C588" s="3"/>
      <c r="D588" s="3"/>
      <c r="E588" s="3"/>
      <c r="F588" s="3"/>
      <c r="L588" s="3"/>
      <c r="M588" s="3"/>
      <c r="N588" s="3"/>
    </row>
    <row r="589" ht="15.75" customHeight="1">
      <c r="A589" s="3"/>
      <c r="B589" s="3"/>
      <c r="C589" s="3"/>
      <c r="D589" s="3"/>
      <c r="E589" s="3"/>
      <c r="F589" s="3"/>
      <c r="L589" s="3"/>
      <c r="M589" s="3"/>
      <c r="N589" s="3"/>
    </row>
    <row r="590" ht="15.75" customHeight="1">
      <c r="A590" s="3"/>
      <c r="B590" s="3"/>
      <c r="C590" s="3"/>
      <c r="D590" s="3"/>
      <c r="E590" s="3"/>
      <c r="F590" s="3"/>
      <c r="L590" s="3"/>
      <c r="M590" s="3"/>
      <c r="N590" s="3"/>
    </row>
    <row r="591" ht="15.75" customHeight="1">
      <c r="A591" s="3"/>
      <c r="B591" s="3"/>
      <c r="C591" s="3"/>
      <c r="D591" s="3"/>
      <c r="E591" s="3"/>
      <c r="F591" s="3"/>
      <c r="L591" s="3"/>
      <c r="M591" s="3"/>
      <c r="N591" s="3"/>
    </row>
    <row r="592" ht="15.75" customHeight="1">
      <c r="A592" s="3"/>
      <c r="B592" s="3"/>
      <c r="C592" s="3"/>
      <c r="D592" s="3"/>
      <c r="E592" s="3"/>
      <c r="F592" s="3"/>
      <c r="L592" s="3"/>
      <c r="M592" s="3"/>
      <c r="N592" s="3"/>
    </row>
    <row r="593" ht="15.75" customHeight="1">
      <c r="A593" s="3"/>
      <c r="B593" s="3"/>
      <c r="C593" s="3"/>
      <c r="D593" s="3"/>
      <c r="E593" s="3"/>
      <c r="F593" s="3"/>
      <c r="L593" s="3"/>
      <c r="M593" s="3"/>
      <c r="N593" s="3"/>
    </row>
    <row r="594" ht="15.75" customHeight="1">
      <c r="A594" s="3"/>
      <c r="B594" s="3"/>
      <c r="C594" s="3"/>
      <c r="D594" s="3"/>
      <c r="E594" s="3"/>
      <c r="F594" s="3"/>
      <c r="L594" s="3"/>
      <c r="M594" s="3"/>
      <c r="N594" s="3"/>
    </row>
    <row r="595" ht="15.75" customHeight="1">
      <c r="A595" s="3"/>
      <c r="B595" s="3"/>
      <c r="C595" s="3"/>
      <c r="D595" s="3"/>
      <c r="E595" s="3"/>
      <c r="F595" s="3"/>
      <c r="L595" s="3"/>
      <c r="M595" s="3"/>
      <c r="N595" s="3"/>
    </row>
    <row r="596" ht="15.75" customHeight="1">
      <c r="A596" s="3"/>
      <c r="B596" s="3"/>
      <c r="C596" s="3"/>
      <c r="D596" s="3"/>
      <c r="E596" s="3"/>
      <c r="F596" s="3"/>
      <c r="L596" s="3"/>
      <c r="M596" s="3"/>
      <c r="N596" s="3"/>
    </row>
    <row r="597" ht="15.75" customHeight="1">
      <c r="A597" s="3"/>
      <c r="B597" s="3"/>
      <c r="C597" s="3"/>
      <c r="D597" s="3"/>
      <c r="E597" s="3"/>
      <c r="F597" s="3"/>
      <c r="L597" s="3"/>
      <c r="M597" s="3"/>
      <c r="N597" s="3"/>
    </row>
    <row r="598" ht="15.75" customHeight="1">
      <c r="A598" s="3"/>
      <c r="B598" s="3"/>
      <c r="C598" s="3"/>
      <c r="D598" s="3"/>
      <c r="E598" s="3"/>
      <c r="F598" s="3"/>
      <c r="L598" s="3"/>
      <c r="M598" s="3"/>
      <c r="N598" s="3"/>
    </row>
    <row r="599" ht="15.75" customHeight="1">
      <c r="A599" s="3"/>
      <c r="B599" s="3"/>
      <c r="C599" s="3"/>
      <c r="D599" s="3"/>
      <c r="E599" s="3"/>
      <c r="F599" s="3"/>
      <c r="L599" s="3"/>
      <c r="M599" s="3"/>
      <c r="N599" s="3"/>
    </row>
    <row r="600" ht="15.75" customHeight="1">
      <c r="A600" s="3"/>
      <c r="B600" s="3"/>
      <c r="C600" s="3"/>
      <c r="D600" s="3"/>
      <c r="E600" s="3"/>
      <c r="F600" s="3"/>
      <c r="L600" s="3"/>
      <c r="M600" s="3"/>
      <c r="N600" s="3"/>
    </row>
    <row r="601" ht="15.75" customHeight="1">
      <c r="A601" s="3"/>
      <c r="B601" s="3"/>
      <c r="C601" s="3"/>
      <c r="D601" s="3"/>
      <c r="E601" s="3"/>
      <c r="F601" s="3"/>
      <c r="L601" s="3"/>
      <c r="M601" s="3"/>
      <c r="N601" s="3"/>
    </row>
    <row r="602" ht="15.75" customHeight="1">
      <c r="A602" s="3"/>
      <c r="B602" s="3"/>
      <c r="C602" s="3"/>
      <c r="D602" s="3"/>
      <c r="E602" s="3"/>
      <c r="F602" s="3"/>
      <c r="L602" s="3"/>
      <c r="M602" s="3"/>
      <c r="N602" s="3"/>
    </row>
    <row r="603" ht="15.75" customHeight="1">
      <c r="A603" s="3"/>
      <c r="B603" s="3"/>
      <c r="C603" s="3"/>
      <c r="D603" s="3"/>
      <c r="E603" s="3"/>
      <c r="F603" s="3"/>
      <c r="L603" s="3"/>
      <c r="M603" s="3"/>
      <c r="N603" s="3"/>
    </row>
    <row r="604" ht="15.75" customHeight="1">
      <c r="A604" s="3"/>
      <c r="B604" s="3"/>
      <c r="C604" s="3"/>
      <c r="D604" s="3"/>
      <c r="E604" s="3"/>
      <c r="F604" s="3"/>
      <c r="L604" s="3"/>
      <c r="M604" s="3"/>
      <c r="N604" s="3"/>
    </row>
    <row r="605" ht="15.75" customHeight="1">
      <c r="A605" s="3"/>
      <c r="B605" s="3"/>
      <c r="C605" s="3"/>
      <c r="D605" s="3"/>
      <c r="E605" s="3"/>
      <c r="F605" s="3"/>
      <c r="L605" s="3"/>
      <c r="M605" s="3"/>
      <c r="N605" s="3"/>
    </row>
    <row r="606" ht="15.75" customHeight="1">
      <c r="A606" s="3"/>
      <c r="B606" s="3"/>
      <c r="C606" s="3"/>
      <c r="D606" s="3"/>
      <c r="E606" s="3"/>
      <c r="F606" s="3"/>
      <c r="L606" s="3"/>
      <c r="M606" s="3"/>
      <c r="N606" s="3"/>
    </row>
    <row r="607" ht="15.75" customHeight="1">
      <c r="A607" s="3"/>
      <c r="B607" s="3"/>
      <c r="C607" s="3"/>
      <c r="D607" s="3"/>
      <c r="E607" s="3"/>
      <c r="F607" s="3"/>
      <c r="L607" s="3"/>
      <c r="M607" s="3"/>
      <c r="N607" s="3"/>
    </row>
    <row r="608" ht="15.75" customHeight="1">
      <c r="A608" s="3"/>
      <c r="B608" s="3"/>
      <c r="C608" s="3"/>
      <c r="D608" s="3"/>
      <c r="E608" s="3"/>
      <c r="F608" s="3"/>
      <c r="L608" s="3"/>
      <c r="M608" s="3"/>
      <c r="N608" s="3"/>
    </row>
    <row r="609" ht="15.75" customHeight="1">
      <c r="A609" s="3"/>
      <c r="B609" s="3"/>
      <c r="C609" s="3"/>
      <c r="D609" s="3"/>
      <c r="E609" s="3"/>
      <c r="F609" s="3"/>
      <c r="L609" s="3"/>
      <c r="M609" s="3"/>
      <c r="N609" s="3"/>
    </row>
    <row r="610" ht="15.75" customHeight="1">
      <c r="A610" s="3"/>
      <c r="B610" s="3"/>
      <c r="C610" s="3"/>
      <c r="D610" s="3"/>
      <c r="E610" s="3"/>
      <c r="F610" s="3"/>
      <c r="L610" s="3"/>
      <c r="M610" s="3"/>
      <c r="N610" s="3"/>
    </row>
    <row r="611" ht="15.75" customHeight="1">
      <c r="A611" s="3"/>
      <c r="B611" s="3"/>
      <c r="C611" s="3"/>
      <c r="D611" s="3"/>
      <c r="E611" s="3"/>
      <c r="F611" s="3"/>
      <c r="L611" s="3"/>
      <c r="M611" s="3"/>
      <c r="N611" s="3"/>
    </row>
    <row r="612" ht="15.75" customHeight="1">
      <c r="A612" s="3"/>
      <c r="B612" s="3"/>
      <c r="C612" s="3"/>
      <c r="D612" s="3"/>
      <c r="E612" s="3"/>
      <c r="F612" s="3"/>
      <c r="L612" s="3"/>
      <c r="M612" s="3"/>
      <c r="N612" s="3"/>
    </row>
    <row r="613" ht="15.75" customHeight="1">
      <c r="A613" s="3"/>
      <c r="B613" s="3"/>
      <c r="C613" s="3"/>
      <c r="D613" s="3"/>
      <c r="E613" s="3"/>
      <c r="F613" s="3"/>
      <c r="L613" s="3"/>
      <c r="M613" s="3"/>
      <c r="N613" s="3"/>
    </row>
    <row r="614" ht="15.75" customHeight="1">
      <c r="A614" s="3"/>
      <c r="B614" s="3"/>
      <c r="C614" s="3"/>
      <c r="D614" s="3"/>
      <c r="E614" s="3"/>
      <c r="F614" s="3"/>
      <c r="L614" s="3"/>
      <c r="M614" s="3"/>
      <c r="N614" s="3"/>
    </row>
    <row r="615" ht="15.75" customHeight="1">
      <c r="A615" s="3"/>
      <c r="B615" s="3"/>
      <c r="C615" s="3"/>
      <c r="D615" s="3"/>
      <c r="E615" s="3"/>
      <c r="F615" s="3"/>
      <c r="L615" s="3"/>
      <c r="M615" s="3"/>
      <c r="N615" s="3"/>
    </row>
    <row r="616" ht="15.75" customHeight="1">
      <c r="A616" s="3"/>
      <c r="B616" s="3"/>
      <c r="C616" s="3"/>
      <c r="D616" s="3"/>
      <c r="E616" s="3"/>
      <c r="F616" s="3"/>
      <c r="L616" s="3"/>
      <c r="M616" s="3"/>
      <c r="N616" s="3"/>
    </row>
    <row r="617" ht="15.75" customHeight="1">
      <c r="A617" s="3"/>
      <c r="B617" s="3"/>
      <c r="C617" s="3"/>
      <c r="D617" s="3"/>
      <c r="E617" s="3"/>
      <c r="F617" s="3"/>
      <c r="L617" s="3"/>
      <c r="M617" s="3"/>
      <c r="N617" s="3"/>
    </row>
    <row r="618" ht="15.75" customHeight="1">
      <c r="A618" s="3"/>
      <c r="B618" s="3"/>
      <c r="C618" s="3"/>
      <c r="D618" s="3"/>
      <c r="E618" s="3"/>
      <c r="F618" s="3"/>
      <c r="L618" s="3"/>
      <c r="M618" s="3"/>
      <c r="N618" s="3"/>
    </row>
    <row r="619" ht="15.75" customHeight="1">
      <c r="A619" s="3"/>
      <c r="B619" s="3"/>
      <c r="C619" s="3"/>
      <c r="D619" s="3"/>
      <c r="E619" s="3"/>
      <c r="F619" s="3"/>
      <c r="L619" s="3"/>
      <c r="M619" s="3"/>
      <c r="N619" s="3"/>
    </row>
    <row r="620" ht="15.75" customHeight="1">
      <c r="A620" s="3"/>
      <c r="B620" s="3"/>
      <c r="C620" s="3"/>
      <c r="D620" s="3"/>
      <c r="E620" s="3"/>
      <c r="F620" s="3"/>
      <c r="L620" s="3"/>
      <c r="M620" s="3"/>
      <c r="N620" s="3"/>
    </row>
    <row r="621" ht="15.75" customHeight="1">
      <c r="A621" s="3"/>
      <c r="B621" s="3"/>
      <c r="C621" s="3"/>
      <c r="D621" s="3"/>
      <c r="E621" s="3"/>
      <c r="F621" s="3"/>
      <c r="L621" s="3"/>
      <c r="M621" s="3"/>
      <c r="N621" s="3"/>
    </row>
    <row r="622" ht="15.75" customHeight="1">
      <c r="A622" s="3"/>
      <c r="B622" s="3"/>
      <c r="C622" s="3"/>
      <c r="D622" s="3"/>
      <c r="E622" s="3"/>
      <c r="F622" s="3"/>
      <c r="L622" s="3"/>
      <c r="M622" s="3"/>
      <c r="N622" s="3"/>
    </row>
    <row r="623" ht="15.75" customHeight="1">
      <c r="A623" s="3"/>
      <c r="B623" s="3"/>
      <c r="C623" s="3"/>
      <c r="D623" s="3"/>
      <c r="E623" s="3"/>
      <c r="F623" s="3"/>
      <c r="L623" s="3"/>
      <c r="M623" s="3"/>
      <c r="N623" s="3"/>
    </row>
    <row r="624" ht="15.75" customHeight="1">
      <c r="A624" s="3"/>
      <c r="B624" s="3"/>
      <c r="C624" s="3"/>
      <c r="D624" s="3"/>
      <c r="E624" s="3"/>
      <c r="F624" s="3"/>
      <c r="L624" s="3"/>
      <c r="M624" s="3"/>
      <c r="N624" s="3"/>
    </row>
    <row r="625" ht="15.75" customHeight="1">
      <c r="A625" s="3"/>
      <c r="B625" s="3"/>
      <c r="C625" s="3"/>
      <c r="D625" s="3"/>
      <c r="E625" s="3"/>
      <c r="F625" s="3"/>
      <c r="L625" s="3"/>
      <c r="M625" s="3"/>
      <c r="N625" s="3"/>
    </row>
    <row r="626" ht="15.75" customHeight="1">
      <c r="A626" s="3"/>
      <c r="B626" s="3"/>
      <c r="C626" s="3"/>
      <c r="D626" s="3"/>
      <c r="E626" s="3"/>
      <c r="F626" s="3"/>
      <c r="L626" s="3"/>
      <c r="M626" s="3"/>
      <c r="N626" s="3"/>
    </row>
    <row r="627" ht="15.75" customHeight="1">
      <c r="A627" s="3"/>
      <c r="B627" s="3"/>
      <c r="C627" s="3"/>
      <c r="D627" s="3"/>
      <c r="E627" s="3"/>
      <c r="F627" s="3"/>
      <c r="L627" s="3"/>
      <c r="M627" s="3"/>
      <c r="N627" s="3"/>
    </row>
    <row r="628" ht="15.75" customHeight="1">
      <c r="A628" s="3"/>
      <c r="B628" s="3"/>
      <c r="C628" s="3"/>
      <c r="D628" s="3"/>
      <c r="E628" s="3"/>
      <c r="F628" s="3"/>
      <c r="L628" s="3"/>
      <c r="M628" s="3"/>
      <c r="N628" s="3"/>
    </row>
    <row r="629" ht="15.75" customHeight="1">
      <c r="A629" s="3"/>
      <c r="B629" s="3"/>
      <c r="C629" s="3"/>
      <c r="D629" s="3"/>
      <c r="E629" s="3"/>
      <c r="F629" s="3"/>
      <c r="L629" s="3"/>
      <c r="M629" s="3"/>
      <c r="N629" s="3"/>
    </row>
    <row r="630" ht="15.75" customHeight="1">
      <c r="A630" s="3"/>
      <c r="B630" s="3"/>
      <c r="C630" s="3"/>
      <c r="D630" s="3"/>
      <c r="E630" s="3"/>
      <c r="F630" s="3"/>
      <c r="L630" s="3"/>
      <c r="M630" s="3"/>
      <c r="N630" s="3"/>
    </row>
    <row r="631" ht="15.75" customHeight="1">
      <c r="A631" s="3"/>
      <c r="B631" s="3"/>
      <c r="C631" s="3"/>
      <c r="D631" s="3"/>
      <c r="E631" s="3"/>
      <c r="F631" s="3"/>
      <c r="L631" s="3"/>
      <c r="M631" s="3"/>
      <c r="N631" s="3"/>
    </row>
    <row r="632" ht="15.75" customHeight="1">
      <c r="A632" s="3"/>
      <c r="B632" s="3"/>
      <c r="C632" s="3"/>
      <c r="D632" s="3"/>
      <c r="E632" s="3"/>
      <c r="F632" s="3"/>
      <c r="L632" s="3"/>
      <c r="M632" s="3"/>
      <c r="N632" s="3"/>
    </row>
    <row r="633" ht="15.75" customHeight="1">
      <c r="A633" s="3"/>
      <c r="B633" s="3"/>
      <c r="C633" s="3"/>
      <c r="D633" s="3"/>
      <c r="E633" s="3"/>
      <c r="F633" s="3"/>
      <c r="L633" s="3"/>
      <c r="M633" s="3"/>
      <c r="N633" s="3"/>
    </row>
    <row r="634" ht="15.75" customHeight="1">
      <c r="A634" s="3"/>
      <c r="B634" s="3"/>
      <c r="C634" s="3"/>
      <c r="D634" s="3"/>
      <c r="E634" s="3"/>
      <c r="F634" s="3"/>
      <c r="L634" s="3"/>
      <c r="M634" s="3"/>
      <c r="N634" s="3"/>
    </row>
    <row r="635" ht="15.75" customHeight="1">
      <c r="A635" s="3"/>
      <c r="B635" s="3"/>
      <c r="C635" s="3"/>
      <c r="D635" s="3"/>
      <c r="E635" s="3"/>
      <c r="F635" s="3"/>
      <c r="L635" s="3"/>
      <c r="M635" s="3"/>
      <c r="N635" s="3"/>
    </row>
    <row r="636" ht="15.75" customHeight="1">
      <c r="A636" s="3"/>
      <c r="B636" s="3"/>
      <c r="C636" s="3"/>
      <c r="D636" s="3"/>
      <c r="E636" s="3"/>
      <c r="F636" s="3"/>
      <c r="L636" s="3"/>
      <c r="M636" s="3"/>
      <c r="N636" s="3"/>
    </row>
    <row r="637" ht="15.75" customHeight="1">
      <c r="A637" s="3"/>
      <c r="B637" s="3"/>
      <c r="C637" s="3"/>
      <c r="D637" s="3"/>
      <c r="E637" s="3"/>
      <c r="F637" s="3"/>
      <c r="L637" s="3"/>
      <c r="M637" s="3"/>
      <c r="N637" s="3"/>
    </row>
    <row r="638" ht="15.75" customHeight="1">
      <c r="A638" s="3"/>
      <c r="B638" s="3"/>
      <c r="C638" s="3"/>
      <c r="D638" s="3"/>
      <c r="E638" s="3"/>
      <c r="F638" s="3"/>
      <c r="L638" s="3"/>
      <c r="M638" s="3"/>
      <c r="N638" s="3"/>
    </row>
    <row r="639" ht="15.75" customHeight="1">
      <c r="A639" s="3"/>
      <c r="B639" s="3"/>
      <c r="C639" s="3"/>
      <c r="D639" s="3"/>
      <c r="E639" s="3"/>
      <c r="F639" s="3"/>
      <c r="L639" s="3"/>
      <c r="M639" s="3"/>
      <c r="N639" s="3"/>
    </row>
    <row r="640" ht="15.75" customHeight="1">
      <c r="A640" s="3"/>
      <c r="B640" s="3"/>
      <c r="C640" s="3"/>
      <c r="D640" s="3"/>
      <c r="E640" s="3"/>
      <c r="F640" s="3"/>
      <c r="L640" s="3"/>
      <c r="M640" s="3"/>
      <c r="N640" s="3"/>
    </row>
    <row r="641" ht="15.75" customHeight="1">
      <c r="A641" s="3"/>
      <c r="B641" s="3"/>
      <c r="C641" s="3"/>
      <c r="D641" s="3"/>
      <c r="E641" s="3"/>
      <c r="F641" s="3"/>
      <c r="L641" s="3"/>
      <c r="M641" s="3"/>
      <c r="N641" s="3"/>
    </row>
    <row r="642" ht="15.75" customHeight="1">
      <c r="A642" s="3"/>
      <c r="B642" s="3"/>
      <c r="C642" s="3"/>
      <c r="D642" s="3"/>
      <c r="E642" s="3"/>
      <c r="F642" s="3"/>
      <c r="L642" s="3"/>
      <c r="M642" s="3"/>
      <c r="N642" s="3"/>
    </row>
    <row r="643" ht="15.75" customHeight="1">
      <c r="A643" s="3"/>
      <c r="B643" s="3"/>
      <c r="C643" s="3"/>
      <c r="D643" s="3"/>
      <c r="E643" s="3"/>
      <c r="F643" s="3"/>
      <c r="L643" s="3"/>
      <c r="M643" s="3"/>
      <c r="N643" s="3"/>
    </row>
    <row r="644" ht="15.75" customHeight="1">
      <c r="A644" s="3"/>
      <c r="B644" s="3"/>
      <c r="C644" s="3"/>
      <c r="D644" s="3"/>
      <c r="E644" s="3"/>
      <c r="F644" s="3"/>
      <c r="L644" s="3"/>
      <c r="M644" s="3"/>
      <c r="N644" s="3"/>
    </row>
    <row r="645" ht="15.75" customHeight="1">
      <c r="A645" s="3"/>
      <c r="B645" s="3"/>
      <c r="C645" s="3"/>
      <c r="D645" s="3"/>
      <c r="E645" s="3"/>
      <c r="F645" s="3"/>
      <c r="L645" s="3"/>
      <c r="M645" s="3"/>
      <c r="N645" s="3"/>
    </row>
    <row r="646" ht="15.75" customHeight="1">
      <c r="A646" s="3"/>
      <c r="B646" s="3"/>
      <c r="C646" s="3"/>
      <c r="D646" s="3"/>
      <c r="E646" s="3"/>
      <c r="F646" s="3"/>
      <c r="L646" s="3"/>
      <c r="M646" s="3"/>
      <c r="N646" s="3"/>
    </row>
    <row r="647" ht="15.75" customHeight="1">
      <c r="A647" s="3"/>
      <c r="B647" s="3"/>
      <c r="C647" s="3"/>
      <c r="D647" s="3"/>
      <c r="E647" s="3"/>
      <c r="F647" s="3"/>
      <c r="L647" s="3"/>
      <c r="M647" s="3"/>
      <c r="N647" s="3"/>
    </row>
    <row r="648" ht="15.75" customHeight="1">
      <c r="A648" s="3"/>
      <c r="B648" s="3"/>
      <c r="C648" s="3"/>
      <c r="D648" s="3"/>
      <c r="E648" s="3"/>
      <c r="F648" s="3"/>
      <c r="L648" s="3"/>
      <c r="M648" s="3"/>
      <c r="N648" s="3"/>
    </row>
    <row r="649" ht="15.75" customHeight="1">
      <c r="A649" s="3"/>
      <c r="B649" s="3"/>
      <c r="C649" s="3"/>
      <c r="D649" s="3"/>
      <c r="E649" s="3"/>
      <c r="F649" s="3"/>
      <c r="L649" s="3"/>
      <c r="M649" s="3"/>
      <c r="N649" s="3"/>
    </row>
    <row r="650" ht="15.75" customHeight="1">
      <c r="A650" s="3"/>
      <c r="B650" s="3"/>
      <c r="C650" s="3"/>
      <c r="D650" s="3"/>
      <c r="E650" s="3"/>
      <c r="F650" s="3"/>
      <c r="L650" s="3"/>
      <c r="M650" s="3"/>
      <c r="N650" s="3"/>
    </row>
    <row r="651" ht="15.75" customHeight="1">
      <c r="A651" s="3"/>
      <c r="B651" s="3"/>
      <c r="C651" s="3"/>
      <c r="D651" s="3"/>
      <c r="E651" s="3"/>
      <c r="F651" s="3"/>
      <c r="L651" s="3"/>
      <c r="M651" s="3"/>
      <c r="N651" s="3"/>
    </row>
    <row r="652" ht="15.75" customHeight="1">
      <c r="A652" s="3"/>
      <c r="B652" s="3"/>
      <c r="C652" s="3"/>
      <c r="D652" s="3"/>
      <c r="E652" s="3"/>
      <c r="F652" s="3"/>
      <c r="L652" s="3"/>
      <c r="M652" s="3"/>
      <c r="N652" s="3"/>
    </row>
    <row r="653" ht="15.75" customHeight="1">
      <c r="A653" s="3"/>
      <c r="B653" s="3"/>
      <c r="C653" s="3"/>
      <c r="D653" s="3"/>
      <c r="E653" s="3"/>
      <c r="F653" s="3"/>
      <c r="L653" s="3"/>
      <c r="M653" s="3"/>
      <c r="N653" s="3"/>
    </row>
    <row r="654" ht="15.75" customHeight="1">
      <c r="A654" s="3"/>
      <c r="B654" s="3"/>
      <c r="C654" s="3"/>
      <c r="D654" s="3"/>
      <c r="E654" s="3"/>
      <c r="F654" s="3"/>
      <c r="L654" s="3"/>
      <c r="M654" s="3"/>
      <c r="N654" s="3"/>
    </row>
    <row r="655" ht="15.75" customHeight="1">
      <c r="A655" s="3"/>
      <c r="B655" s="3"/>
      <c r="C655" s="3"/>
      <c r="D655" s="3"/>
      <c r="E655" s="3"/>
      <c r="F655" s="3"/>
      <c r="L655" s="3"/>
      <c r="M655" s="3"/>
      <c r="N655" s="3"/>
    </row>
    <row r="656" ht="15.75" customHeight="1">
      <c r="A656" s="3"/>
      <c r="B656" s="3"/>
      <c r="C656" s="3"/>
      <c r="D656" s="3"/>
      <c r="E656" s="3"/>
      <c r="F656" s="3"/>
      <c r="L656" s="3"/>
      <c r="M656" s="3"/>
      <c r="N656" s="3"/>
    </row>
    <row r="657" ht="15.75" customHeight="1">
      <c r="A657" s="3"/>
      <c r="B657" s="3"/>
      <c r="C657" s="3"/>
      <c r="D657" s="3"/>
      <c r="E657" s="3"/>
      <c r="F657" s="3"/>
      <c r="L657" s="3"/>
      <c r="M657" s="3"/>
      <c r="N657" s="3"/>
    </row>
    <row r="658" ht="15.75" customHeight="1">
      <c r="A658" s="3"/>
      <c r="B658" s="3"/>
      <c r="C658" s="3"/>
      <c r="D658" s="3"/>
      <c r="E658" s="3"/>
      <c r="F658" s="3"/>
      <c r="L658" s="3"/>
      <c r="M658" s="3"/>
      <c r="N658" s="3"/>
    </row>
    <row r="659" ht="15.75" customHeight="1">
      <c r="A659" s="3"/>
      <c r="B659" s="3"/>
      <c r="C659" s="3"/>
      <c r="D659" s="3"/>
      <c r="E659" s="3"/>
      <c r="F659" s="3"/>
      <c r="L659" s="3"/>
      <c r="M659" s="3"/>
      <c r="N659" s="3"/>
    </row>
    <row r="660" ht="15.75" customHeight="1">
      <c r="A660" s="3"/>
      <c r="B660" s="3"/>
      <c r="C660" s="3"/>
      <c r="D660" s="3"/>
      <c r="E660" s="3"/>
      <c r="F660" s="3"/>
      <c r="L660" s="3"/>
      <c r="M660" s="3"/>
      <c r="N660" s="3"/>
    </row>
    <row r="661" ht="15.75" customHeight="1">
      <c r="A661" s="3"/>
      <c r="B661" s="3"/>
      <c r="C661" s="3"/>
      <c r="D661" s="3"/>
      <c r="E661" s="3"/>
      <c r="F661" s="3"/>
      <c r="L661" s="3"/>
      <c r="M661" s="3"/>
      <c r="N661" s="3"/>
    </row>
    <row r="662" ht="15.75" customHeight="1">
      <c r="A662" s="3"/>
      <c r="B662" s="3"/>
      <c r="C662" s="3"/>
      <c r="D662" s="3"/>
      <c r="E662" s="3"/>
      <c r="F662" s="3"/>
      <c r="L662" s="3"/>
      <c r="M662" s="3"/>
      <c r="N662" s="3"/>
    </row>
    <row r="663" ht="15.75" customHeight="1">
      <c r="A663" s="3"/>
      <c r="B663" s="3"/>
      <c r="C663" s="3"/>
      <c r="D663" s="3"/>
      <c r="E663" s="3"/>
      <c r="F663" s="3"/>
      <c r="L663" s="3"/>
      <c r="M663" s="3"/>
      <c r="N663" s="3"/>
    </row>
    <row r="664" ht="15.75" customHeight="1">
      <c r="A664" s="3"/>
      <c r="B664" s="3"/>
      <c r="C664" s="3"/>
      <c r="D664" s="3"/>
      <c r="E664" s="3"/>
      <c r="F664" s="3"/>
      <c r="L664" s="3"/>
      <c r="M664" s="3"/>
      <c r="N664" s="3"/>
    </row>
    <row r="665" ht="15.75" customHeight="1">
      <c r="A665" s="3"/>
      <c r="B665" s="3"/>
      <c r="C665" s="3"/>
      <c r="D665" s="3"/>
      <c r="E665" s="3"/>
      <c r="F665" s="3"/>
      <c r="L665" s="3"/>
      <c r="M665" s="3"/>
      <c r="N665" s="3"/>
    </row>
    <row r="666" ht="15.75" customHeight="1">
      <c r="A666" s="3"/>
      <c r="B666" s="3"/>
      <c r="C666" s="3"/>
      <c r="D666" s="3"/>
      <c r="E666" s="3"/>
      <c r="F666" s="3"/>
      <c r="L666" s="3"/>
      <c r="M666" s="3"/>
      <c r="N666" s="3"/>
    </row>
    <row r="667" ht="15.75" customHeight="1">
      <c r="A667" s="3"/>
      <c r="B667" s="3"/>
      <c r="C667" s="3"/>
      <c r="D667" s="3"/>
      <c r="E667" s="3"/>
      <c r="F667" s="3"/>
      <c r="L667" s="3"/>
      <c r="M667" s="3"/>
      <c r="N667" s="3"/>
    </row>
    <row r="668" ht="15.75" customHeight="1">
      <c r="A668" s="3"/>
      <c r="B668" s="3"/>
      <c r="C668" s="3"/>
      <c r="D668" s="3"/>
      <c r="E668" s="3"/>
      <c r="F668" s="3"/>
      <c r="L668" s="3"/>
      <c r="M668" s="3"/>
      <c r="N668" s="3"/>
    </row>
    <row r="669" ht="15.75" customHeight="1">
      <c r="A669" s="3"/>
      <c r="B669" s="3"/>
      <c r="C669" s="3"/>
      <c r="D669" s="3"/>
      <c r="E669" s="3"/>
      <c r="F669" s="3"/>
      <c r="L669" s="3"/>
      <c r="M669" s="3"/>
      <c r="N669" s="3"/>
    </row>
    <row r="670" ht="15.75" customHeight="1">
      <c r="A670" s="3"/>
      <c r="B670" s="3"/>
      <c r="C670" s="3"/>
      <c r="D670" s="3"/>
      <c r="E670" s="3"/>
      <c r="F670" s="3"/>
      <c r="L670" s="3"/>
      <c r="M670" s="3"/>
      <c r="N670" s="3"/>
    </row>
    <row r="671" ht="15.75" customHeight="1">
      <c r="A671" s="3"/>
      <c r="B671" s="3"/>
      <c r="C671" s="3"/>
      <c r="D671" s="3"/>
      <c r="E671" s="3"/>
      <c r="F671" s="3"/>
      <c r="L671" s="3"/>
      <c r="M671" s="3"/>
      <c r="N671" s="3"/>
    </row>
    <row r="672" ht="15.75" customHeight="1">
      <c r="A672" s="3"/>
      <c r="B672" s="3"/>
      <c r="C672" s="3"/>
      <c r="D672" s="3"/>
      <c r="E672" s="3"/>
      <c r="F672" s="3"/>
      <c r="L672" s="3"/>
      <c r="M672" s="3"/>
      <c r="N672" s="3"/>
    </row>
    <row r="673" ht="15.75" customHeight="1">
      <c r="A673" s="3"/>
      <c r="B673" s="3"/>
      <c r="C673" s="3"/>
      <c r="D673" s="3"/>
      <c r="E673" s="3"/>
      <c r="F673" s="3"/>
      <c r="L673" s="3"/>
      <c r="M673" s="3"/>
      <c r="N673" s="3"/>
    </row>
    <row r="674" ht="15.75" customHeight="1">
      <c r="A674" s="3"/>
      <c r="B674" s="3"/>
      <c r="C674" s="3"/>
      <c r="D674" s="3"/>
      <c r="E674" s="3"/>
      <c r="F674" s="3"/>
      <c r="L674" s="3"/>
      <c r="M674" s="3"/>
      <c r="N674" s="3"/>
    </row>
    <row r="675" ht="15.75" customHeight="1">
      <c r="A675" s="3"/>
      <c r="B675" s="3"/>
      <c r="C675" s="3"/>
      <c r="D675" s="3"/>
      <c r="E675" s="3"/>
      <c r="F675" s="3"/>
      <c r="L675" s="3"/>
      <c r="M675" s="3"/>
      <c r="N675" s="3"/>
    </row>
    <row r="676" ht="15.75" customHeight="1">
      <c r="A676" s="3"/>
      <c r="B676" s="3"/>
      <c r="C676" s="3"/>
      <c r="D676" s="3"/>
      <c r="E676" s="3"/>
      <c r="F676" s="3"/>
      <c r="L676" s="3"/>
      <c r="M676" s="3"/>
      <c r="N676" s="3"/>
    </row>
    <row r="677" ht="15.75" customHeight="1">
      <c r="A677" s="3"/>
      <c r="B677" s="3"/>
      <c r="C677" s="3"/>
      <c r="D677" s="3"/>
      <c r="E677" s="3"/>
      <c r="F677" s="3"/>
      <c r="L677" s="3"/>
      <c r="M677" s="3"/>
      <c r="N677" s="3"/>
    </row>
    <row r="678" ht="15.75" customHeight="1">
      <c r="A678" s="3"/>
      <c r="B678" s="3"/>
      <c r="C678" s="3"/>
      <c r="D678" s="3"/>
      <c r="E678" s="3"/>
      <c r="F678" s="3"/>
      <c r="L678" s="3"/>
      <c r="M678" s="3"/>
      <c r="N678" s="3"/>
    </row>
    <row r="679" ht="15.75" customHeight="1">
      <c r="A679" s="3"/>
      <c r="B679" s="3"/>
      <c r="C679" s="3"/>
      <c r="D679" s="3"/>
      <c r="E679" s="3"/>
      <c r="F679" s="3"/>
      <c r="L679" s="3"/>
      <c r="M679" s="3"/>
      <c r="N679" s="3"/>
    </row>
    <row r="680" ht="15.75" customHeight="1">
      <c r="A680" s="3"/>
      <c r="B680" s="3"/>
      <c r="C680" s="3"/>
      <c r="D680" s="3"/>
      <c r="E680" s="3"/>
      <c r="F680" s="3"/>
      <c r="L680" s="3"/>
      <c r="M680" s="3"/>
      <c r="N680" s="3"/>
    </row>
    <row r="681" ht="15.75" customHeight="1">
      <c r="A681" s="3"/>
      <c r="B681" s="3"/>
      <c r="C681" s="3"/>
      <c r="D681" s="3"/>
      <c r="E681" s="3"/>
      <c r="F681" s="3"/>
      <c r="L681" s="3"/>
      <c r="M681" s="3"/>
      <c r="N681" s="3"/>
    </row>
    <row r="682" ht="15.75" customHeight="1">
      <c r="A682" s="3"/>
      <c r="B682" s="3"/>
      <c r="C682" s="3"/>
      <c r="D682" s="3"/>
      <c r="E682" s="3"/>
      <c r="F682" s="3"/>
      <c r="L682" s="3"/>
      <c r="M682" s="3"/>
      <c r="N682" s="3"/>
    </row>
    <row r="683" ht="15.75" customHeight="1">
      <c r="A683" s="3"/>
      <c r="B683" s="3"/>
      <c r="C683" s="3"/>
      <c r="D683" s="3"/>
      <c r="E683" s="3"/>
      <c r="F683" s="3"/>
      <c r="L683" s="3"/>
      <c r="M683" s="3"/>
      <c r="N683" s="3"/>
    </row>
    <row r="684" ht="15.75" customHeight="1">
      <c r="A684" s="3"/>
      <c r="B684" s="3"/>
      <c r="C684" s="3"/>
      <c r="D684" s="3"/>
      <c r="E684" s="3"/>
      <c r="F684" s="3"/>
      <c r="L684" s="3"/>
      <c r="M684" s="3"/>
      <c r="N684" s="3"/>
    </row>
    <row r="685" ht="15.75" customHeight="1">
      <c r="A685" s="3"/>
      <c r="B685" s="3"/>
      <c r="C685" s="3"/>
      <c r="D685" s="3"/>
      <c r="E685" s="3"/>
      <c r="F685" s="3"/>
      <c r="L685" s="3"/>
      <c r="M685" s="3"/>
      <c r="N685" s="3"/>
    </row>
    <row r="686" ht="15.75" customHeight="1">
      <c r="A686" s="3"/>
      <c r="B686" s="3"/>
      <c r="C686" s="3"/>
      <c r="D686" s="3"/>
      <c r="E686" s="3"/>
      <c r="F686" s="3"/>
      <c r="L686" s="3"/>
      <c r="M686" s="3"/>
      <c r="N686" s="3"/>
    </row>
    <row r="687" ht="15.75" customHeight="1">
      <c r="A687" s="3"/>
      <c r="B687" s="3"/>
      <c r="C687" s="3"/>
      <c r="D687" s="3"/>
      <c r="E687" s="3"/>
      <c r="F687" s="3"/>
      <c r="L687" s="3"/>
      <c r="M687" s="3"/>
      <c r="N687" s="3"/>
    </row>
    <row r="688" ht="15.75" customHeight="1">
      <c r="A688" s="3"/>
      <c r="B688" s="3"/>
      <c r="C688" s="3"/>
      <c r="D688" s="3"/>
      <c r="E688" s="3"/>
      <c r="F688" s="3"/>
      <c r="L688" s="3"/>
      <c r="M688" s="3"/>
      <c r="N688" s="3"/>
    </row>
    <row r="689" ht="15.75" customHeight="1">
      <c r="A689" s="3"/>
      <c r="B689" s="3"/>
      <c r="C689" s="3"/>
      <c r="D689" s="3"/>
      <c r="E689" s="3"/>
      <c r="F689" s="3"/>
      <c r="L689" s="3"/>
      <c r="M689" s="3"/>
      <c r="N689" s="3"/>
    </row>
    <row r="690" ht="15.75" customHeight="1">
      <c r="A690" s="3"/>
      <c r="B690" s="3"/>
      <c r="C690" s="3"/>
      <c r="D690" s="3"/>
      <c r="E690" s="3"/>
      <c r="F690" s="3"/>
      <c r="L690" s="3"/>
      <c r="M690" s="3"/>
      <c r="N690" s="3"/>
    </row>
    <row r="691" ht="15.75" customHeight="1">
      <c r="A691" s="3"/>
      <c r="B691" s="3"/>
      <c r="C691" s="3"/>
      <c r="D691" s="3"/>
      <c r="E691" s="3"/>
      <c r="F691" s="3"/>
      <c r="L691" s="3"/>
      <c r="M691" s="3"/>
      <c r="N691" s="3"/>
    </row>
    <row r="692" ht="15.75" customHeight="1">
      <c r="A692" s="3"/>
      <c r="B692" s="3"/>
      <c r="C692" s="3"/>
      <c r="D692" s="3"/>
      <c r="E692" s="3"/>
      <c r="F692" s="3"/>
      <c r="L692" s="3"/>
      <c r="M692" s="3"/>
      <c r="N692" s="3"/>
    </row>
    <row r="693" ht="15.75" customHeight="1">
      <c r="A693" s="3"/>
      <c r="B693" s="3"/>
      <c r="C693" s="3"/>
      <c r="D693" s="3"/>
      <c r="E693" s="3"/>
      <c r="F693" s="3"/>
      <c r="L693" s="3"/>
      <c r="M693" s="3"/>
      <c r="N693" s="3"/>
    </row>
    <row r="694" ht="15.75" customHeight="1">
      <c r="A694" s="3"/>
      <c r="B694" s="3"/>
      <c r="C694" s="3"/>
      <c r="D694" s="3"/>
      <c r="E694" s="3"/>
      <c r="F694" s="3"/>
      <c r="L694" s="3"/>
      <c r="M694" s="3"/>
      <c r="N694" s="3"/>
    </row>
    <row r="695" ht="15.75" customHeight="1">
      <c r="A695" s="3"/>
      <c r="B695" s="3"/>
      <c r="C695" s="3"/>
      <c r="D695" s="3"/>
      <c r="E695" s="3"/>
      <c r="F695" s="3"/>
      <c r="L695" s="3"/>
      <c r="M695" s="3"/>
      <c r="N695" s="3"/>
    </row>
    <row r="696" ht="15.75" customHeight="1">
      <c r="A696" s="3"/>
      <c r="B696" s="3"/>
      <c r="C696" s="3"/>
      <c r="D696" s="3"/>
      <c r="E696" s="3"/>
      <c r="F696" s="3"/>
      <c r="L696" s="3"/>
      <c r="M696" s="3"/>
      <c r="N696" s="3"/>
    </row>
    <row r="697" ht="15.75" customHeight="1">
      <c r="A697" s="3"/>
      <c r="B697" s="3"/>
      <c r="C697" s="3"/>
      <c r="D697" s="3"/>
      <c r="E697" s="3"/>
      <c r="F697" s="3"/>
      <c r="L697" s="3"/>
      <c r="M697" s="3"/>
      <c r="N697" s="3"/>
    </row>
    <row r="698" ht="15.75" customHeight="1">
      <c r="A698" s="3"/>
      <c r="B698" s="3"/>
      <c r="C698" s="3"/>
      <c r="D698" s="3"/>
      <c r="E698" s="3"/>
      <c r="F698" s="3"/>
      <c r="L698" s="3"/>
      <c r="M698" s="3"/>
      <c r="N698" s="3"/>
    </row>
    <row r="699" ht="15.75" customHeight="1">
      <c r="A699" s="3"/>
      <c r="B699" s="3"/>
      <c r="C699" s="3"/>
      <c r="D699" s="3"/>
      <c r="E699" s="3"/>
      <c r="F699" s="3"/>
      <c r="L699" s="3"/>
      <c r="M699" s="3"/>
      <c r="N699" s="3"/>
    </row>
    <row r="700" ht="15.75" customHeight="1">
      <c r="A700" s="3"/>
      <c r="B700" s="3"/>
      <c r="C700" s="3"/>
      <c r="D700" s="3"/>
      <c r="E700" s="3"/>
      <c r="F700" s="3"/>
      <c r="L700" s="3"/>
      <c r="M700" s="3"/>
      <c r="N700" s="3"/>
    </row>
    <row r="701" ht="15.75" customHeight="1">
      <c r="A701" s="3"/>
      <c r="B701" s="3"/>
      <c r="C701" s="3"/>
      <c r="D701" s="3"/>
      <c r="E701" s="3"/>
      <c r="F701" s="3"/>
      <c r="L701" s="3"/>
      <c r="M701" s="3"/>
      <c r="N701" s="3"/>
    </row>
    <row r="702" ht="15.75" customHeight="1">
      <c r="A702" s="3"/>
      <c r="B702" s="3"/>
      <c r="C702" s="3"/>
      <c r="D702" s="3"/>
      <c r="E702" s="3"/>
      <c r="F702" s="3"/>
      <c r="L702" s="3"/>
      <c r="M702" s="3"/>
      <c r="N702" s="3"/>
    </row>
    <row r="703" ht="15.75" customHeight="1">
      <c r="A703" s="3"/>
      <c r="B703" s="3"/>
      <c r="C703" s="3"/>
      <c r="D703" s="3"/>
      <c r="E703" s="3"/>
      <c r="F703" s="3"/>
      <c r="L703" s="3"/>
      <c r="M703" s="3"/>
      <c r="N703" s="3"/>
    </row>
    <row r="704" ht="15.75" customHeight="1">
      <c r="A704" s="3"/>
      <c r="B704" s="3"/>
      <c r="C704" s="3"/>
      <c r="D704" s="3"/>
      <c r="E704" s="3"/>
      <c r="F704" s="3"/>
      <c r="L704" s="3"/>
      <c r="M704" s="3"/>
      <c r="N704" s="3"/>
    </row>
    <row r="705" ht="15.75" customHeight="1">
      <c r="A705" s="3"/>
      <c r="B705" s="3"/>
      <c r="C705" s="3"/>
      <c r="D705" s="3"/>
      <c r="E705" s="3"/>
      <c r="F705" s="3"/>
      <c r="L705" s="3"/>
      <c r="M705" s="3"/>
      <c r="N705" s="3"/>
    </row>
    <row r="706" ht="15.75" customHeight="1">
      <c r="A706" s="3"/>
      <c r="B706" s="3"/>
      <c r="C706" s="3"/>
      <c r="D706" s="3"/>
      <c r="E706" s="3"/>
      <c r="F706" s="3"/>
      <c r="L706" s="3"/>
      <c r="M706" s="3"/>
      <c r="N706" s="3"/>
    </row>
    <row r="707" ht="15.75" customHeight="1">
      <c r="A707" s="3"/>
      <c r="B707" s="3"/>
      <c r="C707" s="3"/>
      <c r="D707" s="3"/>
      <c r="E707" s="3"/>
      <c r="F707" s="3"/>
      <c r="L707" s="3"/>
      <c r="M707" s="3"/>
      <c r="N707" s="3"/>
    </row>
    <row r="708" ht="15.75" customHeight="1">
      <c r="A708" s="3"/>
      <c r="B708" s="3"/>
      <c r="C708" s="3"/>
      <c r="D708" s="3"/>
      <c r="E708" s="3"/>
      <c r="F708" s="3"/>
      <c r="L708" s="3"/>
      <c r="M708" s="3"/>
      <c r="N708" s="3"/>
    </row>
    <row r="709" ht="15.75" customHeight="1">
      <c r="A709" s="3"/>
      <c r="B709" s="3"/>
      <c r="C709" s="3"/>
      <c r="D709" s="3"/>
      <c r="E709" s="3"/>
      <c r="F709" s="3"/>
      <c r="L709" s="3"/>
      <c r="M709" s="3"/>
      <c r="N709" s="3"/>
    </row>
    <row r="710" ht="15.75" customHeight="1">
      <c r="A710" s="3"/>
      <c r="B710" s="3"/>
      <c r="C710" s="3"/>
      <c r="D710" s="3"/>
      <c r="E710" s="3"/>
      <c r="F710" s="3"/>
      <c r="L710" s="3"/>
      <c r="M710" s="3"/>
      <c r="N710" s="3"/>
    </row>
    <row r="711" ht="15.75" customHeight="1">
      <c r="A711" s="3"/>
      <c r="B711" s="3"/>
      <c r="C711" s="3"/>
      <c r="D711" s="3"/>
      <c r="E711" s="3"/>
      <c r="F711" s="3"/>
      <c r="L711" s="3"/>
      <c r="M711" s="3"/>
      <c r="N711" s="3"/>
    </row>
    <row r="712" ht="15.75" customHeight="1">
      <c r="A712" s="3"/>
      <c r="B712" s="3"/>
      <c r="C712" s="3"/>
      <c r="D712" s="3"/>
      <c r="E712" s="3"/>
      <c r="F712" s="3"/>
      <c r="L712" s="3"/>
      <c r="M712" s="3"/>
      <c r="N712" s="3"/>
    </row>
    <row r="713" ht="15.75" customHeight="1">
      <c r="A713" s="3"/>
      <c r="B713" s="3"/>
      <c r="C713" s="3"/>
      <c r="D713" s="3"/>
      <c r="E713" s="3"/>
      <c r="F713" s="3"/>
      <c r="L713" s="3"/>
      <c r="M713" s="3"/>
      <c r="N713" s="3"/>
    </row>
    <row r="714" ht="15.75" customHeight="1">
      <c r="A714" s="3"/>
      <c r="B714" s="3"/>
      <c r="C714" s="3"/>
      <c r="D714" s="3"/>
      <c r="E714" s="3"/>
      <c r="F714" s="3"/>
      <c r="L714" s="3"/>
      <c r="M714" s="3"/>
      <c r="N714" s="3"/>
    </row>
    <row r="715" ht="15.75" customHeight="1">
      <c r="A715" s="3"/>
      <c r="B715" s="3"/>
      <c r="C715" s="3"/>
      <c r="D715" s="3"/>
      <c r="E715" s="3"/>
      <c r="F715" s="3"/>
      <c r="L715" s="3"/>
      <c r="M715" s="3"/>
      <c r="N715" s="3"/>
    </row>
    <row r="716" ht="15.75" customHeight="1">
      <c r="A716" s="3"/>
      <c r="B716" s="3"/>
      <c r="C716" s="3"/>
      <c r="D716" s="3"/>
      <c r="E716" s="3"/>
      <c r="F716" s="3"/>
      <c r="L716" s="3"/>
      <c r="M716" s="3"/>
      <c r="N716" s="3"/>
    </row>
    <row r="717" ht="15.75" customHeight="1">
      <c r="A717" s="3"/>
      <c r="B717" s="3"/>
      <c r="C717" s="3"/>
      <c r="D717" s="3"/>
      <c r="E717" s="3"/>
      <c r="F717" s="3"/>
      <c r="L717" s="3"/>
      <c r="M717" s="3"/>
      <c r="N717" s="3"/>
    </row>
    <row r="718" ht="15.75" customHeight="1">
      <c r="A718" s="3"/>
      <c r="B718" s="3"/>
      <c r="C718" s="3"/>
      <c r="D718" s="3"/>
      <c r="E718" s="3"/>
      <c r="F718" s="3"/>
      <c r="L718" s="3"/>
      <c r="M718" s="3"/>
      <c r="N718" s="3"/>
    </row>
    <row r="719" ht="15.75" customHeight="1">
      <c r="A719" s="3"/>
      <c r="B719" s="3"/>
      <c r="C719" s="3"/>
      <c r="D719" s="3"/>
      <c r="E719" s="3"/>
      <c r="F719" s="3"/>
      <c r="L719" s="3"/>
      <c r="M719" s="3"/>
      <c r="N719" s="3"/>
    </row>
    <row r="720" ht="15.75" customHeight="1">
      <c r="A720" s="3"/>
      <c r="B720" s="3"/>
      <c r="C720" s="3"/>
      <c r="D720" s="3"/>
      <c r="E720" s="3"/>
      <c r="F720" s="3"/>
      <c r="L720" s="3"/>
      <c r="M720" s="3"/>
      <c r="N720" s="3"/>
    </row>
    <row r="721" ht="15.75" customHeight="1">
      <c r="A721" s="3"/>
      <c r="B721" s="3"/>
      <c r="C721" s="3"/>
      <c r="D721" s="3"/>
      <c r="E721" s="3"/>
      <c r="F721" s="3"/>
      <c r="L721" s="3"/>
      <c r="M721" s="3"/>
      <c r="N721" s="3"/>
    </row>
    <row r="722" ht="15.75" customHeight="1">
      <c r="A722" s="3"/>
      <c r="B722" s="3"/>
      <c r="C722" s="3"/>
      <c r="D722" s="3"/>
      <c r="E722" s="3"/>
      <c r="F722" s="3"/>
      <c r="L722" s="3"/>
      <c r="M722" s="3"/>
      <c r="N722" s="3"/>
    </row>
    <row r="723" ht="15.75" customHeight="1">
      <c r="A723" s="3"/>
      <c r="B723" s="3"/>
      <c r="C723" s="3"/>
      <c r="D723" s="3"/>
      <c r="E723" s="3"/>
      <c r="F723" s="3"/>
      <c r="L723" s="3"/>
      <c r="M723" s="3"/>
      <c r="N723" s="3"/>
    </row>
    <row r="724" ht="15.75" customHeight="1">
      <c r="A724" s="3"/>
      <c r="B724" s="3"/>
      <c r="C724" s="3"/>
      <c r="D724" s="3"/>
      <c r="E724" s="3"/>
      <c r="F724" s="3"/>
      <c r="L724" s="3"/>
      <c r="M724" s="3"/>
      <c r="N724" s="3"/>
    </row>
    <row r="725" ht="15.75" customHeight="1">
      <c r="A725" s="3"/>
      <c r="B725" s="3"/>
      <c r="C725" s="3"/>
      <c r="D725" s="3"/>
      <c r="E725" s="3"/>
      <c r="F725" s="3"/>
      <c r="L725" s="3"/>
      <c r="M725" s="3"/>
      <c r="N725" s="3"/>
    </row>
    <row r="726" ht="15.75" customHeight="1">
      <c r="A726" s="3"/>
      <c r="B726" s="3"/>
      <c r="C726" s="3"/>
      <c r="D726" s="3"/>
      <c r="E726" s="3"/>
      <c r="F726" s="3"/>
      <c r="L726" s="3"/>
      <c r="M726" s="3"/>
      <c r="N726" s="3"/>
    </row>
    <row r="727" ht="15.75" customHeight="1">
      <c r="A727" s="3"/>
      <c r="B727" s="3"/>
      <c r="C727" s="3"/>
      <c r="D727" s="3"/>
      <c r="E727" s="3"/>
      <c r="F727" s="3"/>
      <c r="L727" s="3"/>
      <c r="M727" s="3"/>
      <c r="N727" s="3"/>
    </row>
    <row r="728" ht="15.75" customHeight="1">
      <c r="A728" s="3"/>
      <c r="B728" s="3"/>
      <c r="C728" s="3"/>
      <c r="D728" s="3"/>
      <c r="E728" s="3"/>
      <c r="F728" s="3"/>
      <c r="L728" s="3"/>
      <c r="M728" s="3"/>
      <c r="N728" s="3"/>
    </row>
    <row r="729" ht="15.75" customHeight="1">
      <c r="A729" s="3"/>
      <c r="B729" s="3"/>
      <c r="C729" s="3"/>
      <c r="D729" s="3"/>
      <c r="E729" s="3"/>
      <c r="F729" s="3"/>
      <c r="L729" s="3"/>
      <c r="M729" s="3"/>
      <c r="N729" s="3"/>
    </row>
    <row r="730" ht="15.75" customHeight="1">
      <c r="A730" s="3"/>
      <c r="B730" s="3"/>
      <c r="C730" s="3"/>
      <c r="D730" s="3"/>
      <c r="E730" s="3"/>
      <c r="F730" s="3"/>
      <c r="L730" s="3"/>
      <c r="M730" s="3"/>
      <c r="N730" s="3"/>
    </row>
    <row r="731" ht="15.75" customHeight="1">
      <c r="A731" s="3"/>
      <c r="B731" s="3"/>
      <c r="C731" s="3"/>
      <c r="D731" s="3"/>
      <c r="E731" s="3"/>
      <c r="F731" s="3"/>
      <c r="L731" s="3"/>
      <c r="M731" s="3"/>
      <c r="N731" s="3"/>
    </row>
    <row r="732" ht="15.75" customHeight="1">
      <c r="A732" s="3"/>
      <c r="B732" s="3"/>
      <c r="C732" s="3"/>
      <c r="D732" s="3"/>
      <c r="E732" s="3"/>
      <c r="F732" s="3"/>
      <c r="L732" s="3"/>
      <c r="M732" s="3"/>
      <c r="N732" s="3"/>
    </row>
    <row r="733" ht="15.75" customHeight="1">
      <c r="A733" s="3"/>
      <c r="B733" s="3"/>
      <c r="C733" s="3"/>
      <c r="D733" s="3"/>
      <c r="E733" s="3"/>
      <c r="F733" s="3"/>
      <c r="L733" s="3"/>
      <c r="M733" s="3"/>
      <c r="N733" s="3"/>
    </row>
    <row r="734" ht="15.75" customHeight="1">
      <c r="A734" s="3"/>
      <c r="B734" s="3"/>
      <c r="C734" s="3"/>
      <c r="D734" s="3"/>
      <c r="E734" s="3"/>
      <c r="F734" s="3"/>
      <c r="L734" s="3"/>
      <c r="M734" s="3"/>
      <c r="N734" s="3"/>
    </row>
    <row r="735" ht="15.75" customHeight="1">
      <c r="A735" s="3"/>
      <c r="B735" s="3"/>
      <c r="C735" s="3"/>
      <c r="D735" s="3"/>
      <c r="E735" s="3"/>
      <c r="F735" s="3"/>
      <c r="L735" s="3"/>
      <c r="M735" s="3"/>
      <c r="N735" s="3"/>
    </row>
    <row r="736" ht="15.75" customHeight="1">
      <c r="A736" s="3"/>
      <c r="B736" s="3"/>
      <c r="C736" s="3"/>
      <c r="D736" s="3"/>
      <c r="E736" s="3"/>
      <c r="F736" s="3"/>
      <c r="L736" s="3"/>
      <c r="M736" s="3"/>
      <c r="N736" s="3"/>
    </row>
    <row r="737" ht="15.75" customHeight="1">
      <c r="A737" s="3"/>
      <c r="B737" s="3"/>
      <c r="C737" s="3"/>
      <c r="D737" s="3"/>
      <c r="E737" s="3"/>
      <c r="F737" s="3"/>
      <c r="L737" s="3"/>
      <c r="M737" s="3"/>
      <c r="N737" s="3"/>
    </row>
    <row r="738" ht="15.75" customHeight="1">
      <c r="A738" s="3"/>
      <c r="B738" s="3"/>
      <c r="C738" s="3"/>
      <c r="D738" s="3"/>
      <c r="E738" s="3"/>
      <c r="F738" s="3"/>
      <c r="L738" s="3"/>
      <c r="M738" s="3"/>
      <c r="N738" s="3"/>
    </row>
    <row r="739" ht="15.75" customHeight="1">
      <c r="A739" s="3"/>
      <c r="B739" s="3"/>
      <c r="C739" s="3"/>
      <c r="D739" s="3"/>
      <c r="E739" s="3"/>
      <c r="F739" s="3"/>
      <c r="L739" s="3"/>
      <c r="M739" s="3"/>
      <c r="N739" s="3"/>
    </row>
    <row r="740" ht="15.75" customHeight="1">
      <c r="A740" s="3"/>
      <c r="B740" s="3"/>
      <c r="C740" s="3"/>
      <c r="D740" s="3"/>
      <c r="E740" s="3"/>
      <c r="F740" s="3"/>
      <c r="L740" s="3"/>
      <c r="M740" s="3"/>
      <c r="N740" s="3"/>
    </row>
    <row r="741" ht="15.75" customHeight="1">
      <c r="A741" s="3"/>
      <c r="B741" s="3"/>
      <c r="C741" s="3"/>
      <c r="D741" s="3"/>
      <c r="E741" s="3"/>
      <c r="F741" s="3"/>
      <c r="L741" s="3"/>
      <c r="M741" s="3"/>
      <c r="N741" s="3"/>
    </row>
    <row r="742" ht="15.75" customHeight="1">
      <c r="A742" s="3"/>
      <c r="B742" s="3"/>
      <c r="C742" s="3"/>
      <c r="D742" s="3"/>
      <c r="E742" s="3"/>
      <c r="F742" s="3"/>
      <c r="L742" s="3"/>
      <c r="M742" s="3"/>
      <c r="N742" s="3"/>
    </row>
    <row r="743" ht="15.75" customHeight="1">
      <c r="A743" s="3"/>
      <c r="B743" s="3"/>
      <c r="C743" s="3"/>
      <c r="D743" s="3"/>
      <c r="E743" s="3"/>
      <c r="F743" s="3"/>
      <c r="L743" s="3"/>
      <c r="M743" s="3"/>
      <c r="N743" s="3"/>
    </row>
    <row r="744" ht="15.75" customHeight="1">
      <c r="A744" s="3"/>
      <c r="B744" s="3"/>
      <c r="C744" s="3"/>
      <c r="D744" s="3"/>
      <c r="E744" s="3"/>
      <c r="F744" s="3"/>
      <c r="L744" s="3"/>
      <c r="M744" s="3"/>
      <c r="N744" s="3"/>
    </row>
    <row r="745" ht="15.75" customHeight="1">
      <c r="A745" s="3"/>
      <c r="B745" s="3"/>
      <c r="C745" s="3"/>
      <c r="D745" s="3"/>
      <c r="E745" s="3"/>
      <c r="F745" s="3"/>
      <c r="L745" s="3"/>
      <c r="M745" s="3"/>
      <c r="N745" s="3"/>
    </row>
    <row r="746" ht="15.75" customHeight="1">
      <c r="A746" s="3"/>
      <c r="B746" s="3"/>
      <c r="C746" s="3"/>
      <c r="D746" s="3"/>
      <c r="E746" s="3"/>
      <c r="F746" s="3"/>
      <c r="L746" s="3"/>
      <c r="M746" s="3"/>
      <c r="N746" s="3"/>
    </row>
    <row r="747" ht="15.75" customHeight="1">
      <c r="A747" s="3"/>
      <c r="B747" s="3"/>
      <c r="C747" s="3"/>
      <c r="D747" s="3"/>
      <c r="E747" s="3"/>
      <c r="F747" s="3"/>
      <c r="L747" s="3"/>
      <c r="M747" s="3"/>
      <c r="N747" s="3"/>
    </row>
    <row r="748" ht="15.75" customHeight="1">
      <c r="A748" s="3"/>
      <c r="B748" s="3"/>
      <c r="C748" s="3"/>
      <c r="D748" s="3"/>
      <c r="E748" s="3"/>
      <c r="F748" s="3"/>
      <c r="L748" s="3"/>
      <c r="M748" s="3"/>
      <c r="N748" s="3"/>
    </row>
    <row r="749" ht="15.75" customHeight="1">
      <c r="A749" s="3"/>
      <c r="B749" s="3"/>
      <c r="C749" s="3"/>
      <c r="D749" s="3"/>
      <c r="E749" s="3"/>
      <c r="F749" s="3"/>
      <c r="L749" s="3"/>
      <c r="M749" s="3"/>
      <c r="N749" s="3"/>
    </row>
    <row r="750" ht="15.75" customHeight="1">
      <c r="A750" s="3"/>
      <c r="B750" s="3"/>
      <c r="C750" s="3"/>
      <c r="D750" s="3"/>
      <c r="E750" s="3"/>
      <c r="F750" s="3"/>
      <c r="L750" s="3"/>
      <c r="M750" s="3"/>
      <c r="N750" s="3"/>
    </row>
    <row r="751" ht="15.75" customHeight="1">
      <c r="A751" s="3"/>
      <c r="B751" s="3"/>
      <c r="C751" s="3"/>
      <c r="D751" s="3"/>
      <c r="E751" s="3"/>
      <c r="F751" s="3"/>
      <c r="L751" s="3"/>
      <c r="M751" s="3"/>
      <c r="N751" s="3"/>
    </row>
    <row r="752" ht="15.75" customHeight="1">
      <c r="A752" s="3"/>
      <c r="B752" s="3"/>
      <c r="C752" s="3"/>
      <c r="D752" s="3"/>
      <c r="E752" s="3"/>
      <c r="F752" s="3"/>
      <c r="L752" s="3"/>
      <c r="M752" s="3"/>
      <c r="N752" s="3"/>
    </row>
    <row r="753" ht="15.75" customHeight="1">
      <c r="A753" s="3"/>
      <c r="B753" s="3"/>
      <c r="C753" s="3"/>
      <c r="D753" s="3"/>
      <c r="E753" s="3"/>
      <c r="F753" s="3"/>
      <c r="L753" s="3"/>
      <c r="M753" s="3"/>
      <c r="N753" s="3"/>
    </row>
    <row r="754" ht="15.75" customHeight="1">
      <c r="A754" s="3"/>
      <c r="B754" s="3"/>
      <c r="C754" s="3"/>
      <c r="D754" s="3"/>
      <c r="E754" s="3"/>
      <c r="F754" s="3"/>
      <c r="L754" s="3"/>
      <c r="M754" s="3"/>
      <c r="N754" s="3"/>
    </row>
    <row r="755" ht="15.75" customHeight="1">
      <c r="A755" s="3"/>
      <c r="B755" s="3"/>
      <c r="C755" s="3"/>
      <c r="D755" s="3"/>
      <c r="E755" s="3"/>
      <c r="F755" s="3"/>
      <c r="L755" s="3"/>
      <c r="M755" s="3"/>
      <c r="N755" s="3"/>
    </row>
    <row r="756" ht="15.75" customHeight="1">
      <c r="A756" s="3"/>
      <c r="B756" s="3"/>
      <c r="C756" s="3"/>
      <c r="D756" s="3"/>
      <c r="E756" s="3"/>
      <c r="F756" s="3"/>
      <c r="L756" s="3"/>
      <c r="M756" s="3"/>
      <c r="N756" s="3"/>
    </row>
    <row r="757" ht="15.75" customHeight="1">
      <c r="A757" s="3"/>
      <c r="B757" s="3"/>
      <c r="C757" s="3"/>
      <c r="D757" s="3"/>
      <c r="E757" s="3"/>
      <c r="F757" s="3"/>
      <c r="L757" s="3"/>
      <c r="M757" s="3"/>
      <c r="N757" s="3"/>
    </row>
    <row r="758" ht="15.75" customHeight="1">
      <c r="A758" s="3"/>
      <c r="B758" s="3"/>
      <c r="C758" s="3"/>
      <c r="D758" s="3"/>
      <c r="E758" s="3"/>
      <c r="F758" s="3"/>
      <c r="L758" s="3"/>
      <c r="M758" s="3"/>
      <c r="N758" s="3"/>
    </row>
    <row r="759" ht="15.75" customHeight="1">
      <c r="A759" s="3"/>
      <c r="B759" s="3"/>
      <c r="C759" s="3"/>
      <c r="D759" s="3"/>
      <c r="E759" s="3"/>
      <c r="F759" s="3"/>
      <c r="L759" s="3"/>
      <c r="M759" s="3"/>
      <c r="N759" s="3"/>
    </row>
    <row r="760" ht="15.75" customHeight="1">
      <c r="A760" s="3"/>
      <c r="B760" s="3"/>
      <c r="C760" s="3"/>
      <c r="D760" s="3"/>
      <c r="E760" s="3"/>
      <c r="F760" s="3"/>
      <c r="L760" s="3"/>
      <c r="M760" s="3"/>
      <c r="N760" s="3"/>
    </row>
    <row r="761" ht="15.75" customHeight="1">
      <c r="A761" s="3"/>
      <c r="B761" s="3"/>
      <c r="C761" s="3"/>
      <c r="D761" s="3"/>
      <c r="E761" s="3"/>
      <c r="F761" s="3"/>
      <c r="L761" s="3"/>
      <c r="M761" s="3"/>
      <c r="N761" s="3"/>
    </row>
    <row r="762" ht="15.75" customHeight="1">
      <c r="A762" s="3"/>
      <c r="B762" s="3"/>
      <c r="C762" s="3"/>
      <c r="D762" s="3"/>
      <c r="E762" s="3"/>
      <c r="F762" s="3"/>
      <c r="L762" s="3"/>
      <c r="M762" s="3"/>
      <c r="N762" s="3"/>
    </row>
    <row r="763" ht="15.75" customHeight="1">
      <c r="A763" s="3"/>
      <c r="B763" s="3"/>
      <c r="C763" s="3"/>
      <c r="D763" s="3"/>
      <c r="E763" s="3"/>
      <c r="F763" s="3"/>
      <c r="L763" s="3"/>
      <c r="M763" s="3"/>
      <c r="N763" s="3"/>
    </row>
    <row r="764" ht="15.75" customHeight="1">
      <c r="A764" s="3"/>
      <c r="B764" s="3"/>
      <c r="C764" s="3"/>
      <c r="D764" s="3"/>
      <c r="E764" s="3"/>
      <c r="F764" s="3"/>
      <c r="L764" s="3"/>
      <c r="M764" s="3"/>
      <c r="N764" s="3"/>
    </row>
    <row r="765" ht="15.75" customHeight="1">
      <c r="A765" s="3"/>
      <c r="B765" s="3"/>
      <c r="C765" s="3"/>
      <c r="D765" s="3"/>
      <c r="E765" s="3"/>
      <c r="F765" s="3"/>
      <c r="L765" s="3"/>
      <c r="M765" s="3"/>
      <c r="N765" s="3"/>
    </row>
    <row r="766" ht="15.75" customHeight="1">
      <c r="A766" s="3"/>
      <c r="B766" s="3"/>
      <c r="C766" s="3"/>
      <c r="D766" s="3"/>
      <c r="E766" s="3"/>
      <c r="F766" s="3"/>
      <c r="L766" s="3"/>
      <c r="M766" s="3"/>
      <c r="N766" s="3"/>
    </row>
    <row r="767" ht="15.75" customHeight="1">
      <c r="A767" s="3"/>
      <c r="B767" s="3"/>
      <c r="C767" s="3"/>
      <c r="D767" s="3"/>
      <c r="E767" s="3"/>
      <c r="F767" s="3"/>
      <c r="L767" s="3"/>
      <c r="M767" s="3"/>
      <c r="N767" s="3"/>
    </row>
    <row r="768" ht="15.75" customHeight="1">
      <c r="A768" s="3"/>
      <c r="B768" s="3"/>
      <c r="C768" s="3"/>
      <c r="D768" s="3"/>
      <c r="E768" s="3"/>
      <c r="F768" s="3"/>
      <c r="L768" s="3"/>
      <c r="M768" s="3"/>
      <c r="N768" s="3"/>
    </row>
    <row r="769" ht="15.75" customHeight="1">
      <c r="A769" s="3"/>
      <c r="B769" s="3"/>
      <c r="C769" s="3"/>
      <c r="D769" s="3"/>
      <c r="E769" s="3"/>
      <c r="F769" s="3"/>
      <c r="L769" s="3"/>
      <c r="M769" s="3"/>
      <c r="N769" s="3"/>
    </row>
    <row r="770" ht="15.75" customHeight="1">
      <c r="A770" s="3"/>
      <c r="B770" s="3"/>
      <c r="C770" s="3"/>
      <c r="D770" s="3"/>
      <c r="E770" s="3"/>
      <c r="F770" s="3"/>
      <c r="L770" s="3"/>
      <c r="M770" s="3"/>
      <c r="N770" s="3"/>
    </row>
    <row r="771" ht="15.75" customHeight="1">
      <c r="A771" s="3"/>
      <c r="B771" s="3"/>
      <c r="C771" s="3"/>
      <c r="D771" s="3"/>
      <c r="E771" s="3"/>
      <c r="F771" s="3"/>
      <c r="L771" s="3"/>
      <c r="M771" s="3"/>
      <c r="N771" s="3"/>
    </row>
    <row r="772" ht="15.75" customHeight="1">
      <c r="A772" s="3"/>
      <c r="B772" s="3"/>
      <c r="C772" s="3"/>
      <c r="D772" s="3"/>
      <c r="E772" s="3"/>
      <c r="F772" s="3"/>
      <c r="L772" s="3"/>
      <c r="M772" s="3"/>
      <c r="N772" s="3"/>
    </row>
    <row r="773" ht="15.75" customHeight="1">
      <c r="A773" s="3"/>
      <c r="B773" s="3"/>
      <c r="C773" s="3"/>
      <c r="D773" s="3"/>
      <c r="E773" s="3"/>
      <c r="F773" s="3"/>
      <c r="L773" s="3"/>
      <c r="M773" s="3"/>
      <c r="N773" s="3"/>
    </row>
    <row r="774" ht="15.75" customHeight="1">
      <c r="A774" s="3"/>
      <c r="B774" s="3"/>
      <c r="C774" s="3"/>
      <c r="D774" s="3"/>
      <c r="E774" s="3"/>
      <c r="F774" s="3"/>
      <c r="L774" s="3"/>
      <c r="M774" s="3"/>
      <c r="N774" s="3"/>
    </row>
    <row r="775" ht="15.75" customHeight="1">
      <c r="A775" s="3"/>
      <c r="B775" s="3"/>
      <c r="C775" s="3"/>
      <c r="D775" s="3"/>
      <c r="E775" s="3"/>
      <c r="F775" s="3"/>
      <c r="L775" s="3"/>
      <c r="M775" s="3"/>
      <c r="N775" s="3"/>
    </row>
    <row r="776" ht="15.75" customHeight="1">
      <c r="A776" s="3"/>
      <c r="B776" s="3"/>
      <c r="C776" s="3"/>
      <c r="D776" s="3"/>
      <c r="E776" s="3"/>
      <c r="F776" s="3"/>
      <c r="L776" s="3"/>
      <c r="M776" s="3"/>
      <c r="N776" s="3"/>
    </row>
    <row r="777" ht="15.75" customHeight="1">
      <c r="A777" s="3"/>
      <c r="B777" s="3"/>
      <c r="C777" s="3"/>
      <c r="D777" s="3"/>
      <c r="E777" s="3"/>
      <c r="F777" s="3"/>
      <c r="L777" s="3"/>
      <c r="M777" s="3"/>
      <c r="N777" s="3"/>
    </row>
    <row r="778" ht="15.75" customHeight="1">
      <c r="A778" s="3"/>
      <c r="B778" s="3"/>
      <c r="C778" s="3"/>
      <c r="D778" s="3"/>
      <c r="E778" s="3"/>
      <c r="F778" s="3"/>
      <c r="L778" s="3"/>
      <c r="M778" s="3"/>
      <c r="N778" s="3"/>
    </row>
    <row r="779" ht="15.75" customHeight="1">
      <c r="A779" s="3"/>
      <c r="B779" s="3"/>
      <c r="C779" s="3"/>
      <c r="D779" s="3"/>
      <c r="E779" s="3"/>
      <c r="F779" s="3"/>
      <c r="L779" s="3"/>
      <c r="M779" s="3"/>
      <c r="N779" s="3"/>
    </row>
    <row r="780" ht="15.75" customHeight="1">
      <c r="A780" s="3"/>
      <c r="B780" s="3"/>
      <c r="C780" s="3"/>
      <c r="D780" s="3"/>
      <c r="E780" s="3"/>
      <c r="F780" s="3"/>
      <c r="L780" s="3"/>
      <c r="M780" s="3"/>
      <c r="N780" s="3"/>
    </row>
    <row r="781" ht="15.75" customHeight="1">
      <c r="A781" s="3"/>
      <c r="B781" s="3"/>
      <c r="C781" s="3"/>
      <c r="D781" s="3"/>
      <c r="E781" s="3"/>
      <c r="F781" s="3"/>
      <c r="L781" s="3"/>
      <c r="M781" s="3"/>
      <c r="N781" s="3"/>
    </row>
    <row r="782" ht="15.75" customHeight="1">
      <c r="A782" s="3"/>
      <c r="B782" s="3"/>
      <c r="C782" s="3"/>
      <c r="D782" s="3"/>
      <c r="E782" s="3"/>
      <c r="F782" s="3"/>
      <c r="L782" s="3"/>
      <c r="M782" s="3"/>
      <c r="N782" s="3"/>
    </row>
    <row r="783" ht="15.75" customHeight="1">
      <c r="A783" s="3"/>
      <c r="B783" s="3"/>
      <c r="C783" s="3"/>
      <c r="D783" s="3"/>
      <c r="E783" s="3"/>
      <c r="F783" s="3"/>
      <c r="L783" s="3"/>
      <c r="M783" s="3"/>
      <c r="N783" s="3"/>
    </row>
    <row r="784" ht="15.75" customHeight="1">
      <c r="A784" s="3"/>
      <c r="B784" s="3"/>
      <c r="C784" s="3"/>
      <c r="D784" s="3"/>
      <c r="E784" s="3"/>
      <c r="F784" s="3"/>
      <c r="L784" s="3"/>
      <c r="M784" s="3"/>
      <c r="N784" s="3"/>
    </row>
    <row r="785" ht="15.75" customHeight="1">
      <c r="A785" s="3"/>
      <c r="B785" s="3"/>
      <c r="C785" s="3"/>
      <c r="D785" s="3"/>
      <c r="E785" s="3"/>
      <c r="F785" s="3"/>
      <c r="L785" s="3"/>
      <c r="M785" s="3"/>
      <c r="N785" s="3"/>
    </row>
    <row r="786" ht="15.75" customHeight="1">
      <c r="A786" s="3"/>
      <c r="B786" s="3"/>
      <c r="C786" s="3"/>
      <c r="D786" s="3"/>
      <c r="E786" s="3"/>
      <c r="F786" s="3"/>
      <c r="L786" s="3"/>
      <c r="M786" s="3"/>
      <c r="N786" s="3"/>
    </row>
    <row r="787" ht="15.75" customHeight="1">
      <c r="A787" s="3"/>
      <c r="B787" s="3"/>
      <c r="C787" s="3"/>
      <c r="D787" s="3"/>
      <c r="E787" s="3"/>
      <c r="F787" s="3"/>
      <c r="L787" s="3"/>
      <c r="M787" s="3"/>
      <c r="N787" s="3"/>
    </row>
    <row r="788" ht="15.75" customHeight="1">
      <c r="A788" s="3"/>
      <c r="B788" s="3"/>
      <c r="C788" s="3"/>
      <c r="D788" s="3"/>
      <c r="E788" s="3"/>
      <c r="F788" s="3"/>
      <c r="L788" s="3"/>
      <c r="M788" s="3"/>
      <c r="N788" s="3"/>
    </row>
    <row r="789" ht="15.75" customHeight="1">
      <c r="A789" s="3"/>
      <c r="B789" s="3"/>
      <c r="C789" s="3"/>
      <c r="D789" s="3"/>
      <c r="E789" s="3"/>
      <c r="F789" s="3"/>
      <c r="L789" s="3"/>
      <c r="M789" s="3"/>
      <c r="N789" s="3"/>
    </row>
    <row r="790" ht="15.75" customHeight="1">
      <c r="A790" s="3"/>
      <c r="B790" s="3"/>
      <c r="C790" s="3"/>
      <c r="D790" s="3"/>
      <c r="E790" s="3"/>
      <c r="F790" s="3"/>
      <c r="L790" s="3"/>
      <c r="M790" s="3"/>
      <c r="N790" s="3"/>
    </row>
    <row r="791" ht="15.75" customHeight="1">
      <c r="A791" s="3"/>
      <c r="B791" s="3"/>
      <c r="C791" s="3"/>
      <c r="D791" s="3"/>
      <c r="E791" s="3"/>
      <c r="F791" s="3"/>
      <c r="L791" s="3"/>
      <c r="M791" s="3"/>
      <c r="N791" s="3"/>
    </row>
    <row r="792" ht="15.75" customHeight="1">
      <c r="A792" s="3"/>
      <c r="B792" s="3"/>
      <c r="C792" s="3"/>
      <c r="D792" s="3"/>
      <c r="E792" s="3"/>
      <c r="F792" s="3"/>
      <c r="L792" s="3"/>
      <c r="M792" s="3"/>
      <c r="N792" s="3"/>
    </row>
    <row r="793" ht="15.75" customHeight="1">
      <c r="A793" s="3"/>
      <c r="B793" s="3"/>
      <c r="C793" s="3"/>
      <c r="D793" s="3"/>
      <c r="E793" s="3"/>
      <c r="F793" s="3"/>
      <c r="L793" s="3"/>
      <c r="M793" s="3"/>
      <c r="N793" s="3"/>
    </row>
    <row r="794" ht="15.75" customHeight="1">
      <c r="A794" s="3"/>
      <c r="B794" s="3"/>
      <c r="C794" s="3"/>
      <c r="D794" s="3"/>
      <c r="E794" s="3"/>
      <c r="F794" s="3"/>
      <c r="L794" s="3"/>
      <c r="M794" s="3"/>
      <c r="N794" s="3"/>
    </row>
    <row r="795" ht="15.75" customHeight="1">
      <c r="A795" s="3"/>
      <c r="B795" s="3"/>
      <c r="C795" s="3"/>
      <c r="D795" s="3"/>
      <c r="E795" s="3"/>
      <c r="F795" s="3"/>
      <c r="L795" s="3"/>
      <c r="M795" s="3"/>
      <c r="N795" s="3"/>
    </row>
    <row r="796" ht="15.75" customHeight="1">
      <c r="A796" s="3"/>
      <c r="B796" s="3"/>
      <c r="C796" s="3"/>
      <c r="D796" s="3"/>
      <c r="E796" s="3"/>
      <c r="F796" s="3"/>
      <c r="L796" s="3"/>
      <c r="M796" s="3"/>
      <c r="N796" s="3"/>
    </row>
    <row r="797" ht="15.75" customHeight="1">
      <c r="A797" s="3"/>
      <c r="B797" s="3"/>
      <c r="C797" s="3"/>
      <c r="D797" s="3"/>
      <c r="E797" s="3"/>
      <c r="F797" s="3"/>
      <c r="L797" s="3"/>
      <c r="M797" s="3"/>
      <c r="N797" s="3"/>
    </row>
    <row r="798" ht="15.75" customHeight="1">
      <c r="A798" s="3"/>
      <c r="B798" s="3"/>
      <c r="C798" s="3"/>
      <c r="D798" s="3"/>
      <c r="E798" s="3"/>
      <c r="F798" s="3"/>
      <c r="L798" s="3"/>
      <c r="M798" s="3"/>
      <c r="N798" s="3"/>
    </row>
    <row r="799" ht="15.75" customHeight="1">
      <c r="A799" s="3"/>
      <c r="B799" s="3"/>
      <c r="C799" s="3"/>
      <c r="D799" s="3"/>
      <c r="E799" s="3"/>
      <c r="F799" s="3"/>
      <c r="L799" s="3"/>
      <c r="M799" s="3"/>
      <c r="N799" s="3"/>
    </row>
    <row r="800" ht="15.75" customHeight="1">
      <c r="A800" s="3"/>
      <c r="B800" s="3"/>
      <c r="C800" s="3"/>
      <c r="D800" s="3"/>
      <c r="E800" s="3"/>
      <c r="F800" s="3"/>
      <c r="L800" s="3"/>
      <c r="M800" s="3"/>
      <c r="N800" s="3"/>
    </row>
    <row r="801" ht="15.75" customHeight="1">
      <c r="A801" s="3"/>
      <c r="B801" s="3"/>
      <c r="C801" s="3"/>
      <c r="D801" s="3"/>
      <c r="E801" s="3"/>
      <c r="F801" s="3"/>
      <c r="L801" s="3"/>
      <c r="M801" s="3"/>
      <c r="N801" s="3"/>
    </row>
    <row r="802" ht="15.75" customHeight="1">
      <c r="A802" s="3"/>
      <c r="B802" s="3"/>
      <c r="C802" s="3"/>
      <c r="D802" s="3"/>
      <c r="E802" s="3"/>
      <c r="F802" s="3"/>
      <c r="L802" s="3"/>
      <c r="M802" s="3"/>
      <c r="N802" s="3"/>
    </row>
    <row r="803" ht="15.75" customHeight="1">
      <c r="A803" s="3"/>
      <c r="B803" s="3"/>
      <c r="C803" s="3"/>
      <c r="D803" s="3"/>
      <c r="E803" s="3"/>
      <c r="F803" s="3"/>
      <c r="L803" s="3"/>
      <c r="M803" s="3"/>
      <c r="N803" s="3"/>
    </row>
    <row r="804" ht="15.75" customHeight="1">
      <c r="A804" s="3"/>
      <c r="B804" s="3"/>
      <c r="C804" s="3"/>
      <c r="D804" s="3"/>
      <c r="E804" s="3"/>
      <c r="F804" s="3"/>
      <c r="L804" s="3"/>
      <c r="M804" s="3"/>
      <c r="N804" s="3"/>
    </row>
    <row r="805" ht="15.75" customHeight="1">
      <c r="A805" s="3"/>
      <c r="B805" s="3"/>
      <c r="C805" s="3"/>
      <c r="D805" s="3"/>
      <c r="E805" s="3"/>
      <c r="F805" s="3"/>
      <c r="L805" s="3"/>
      <c r="M805" s="3"/>
      <c r="N805" s="3"/>
    </row>
    <row r="806" ht="15.75" customHeight="1">
      <c r="A806" s="3"/>
      <c r="B806" s="3"/>
      <c r="C806" s="3"/>
      <c r="D806" s="3"/>
      <c r="E806" s="3"/>
      <c r="F806" s="3"/>
      <c r="L806" s="3"/>
      <c r="M806" s="3"/>
      <c r="N806" s="3"/>
    </row>
    <row r="807" ht="15.75" customHeight="1">
      <c r="A807" s="3"/>
      <c r="B807" s="3"/>
      <c r="C807" s="3"/>
      <c r="D807" s="3"/>
      <c r="E807" s="3"/>
      <c r="F807" s="3"/>
      <c r="L807" s="3"/>
      <c r="M807" s="3"/>
      <c r="N807" s="3"/>
    </row>
    <row r="808" ht="15.75" customHeight="1">
      <c r="A808" s="3"/>
      <c r="B808" s="3"/>
      <c r="C808" s="3"/>
      <c r="D808" s="3"/>
      <c r="E808" s="3"/>
      <c r="F808" s="3"/>
      <c r="L808" s="3"/>
      <c r="M808" s="3"/>
      <c r="N808" s="3"/>
    </row>
    <row r="809" ht="15.75" customHeight="1">
      <c r="A809" s="3"/>
      <c r="B809" s="3"/>
      <c r="C809" s="3"/>
      <c r="D809" s="3"/>
      <c r="E809" s="3"/>
      <c r="F809" s="3"/>
      <c r="L809" s="3"/>
      <c r="M809" s="3"/>
      <c r="N809" s="3"/>
    </row>
    <row r="810" ht="15.75" customHeight="1">
      <c r="A810" s="3"/>
      <c r="B810" s="3"/>
      <c r="C810" s="3"/>
      <c r="D810" s="3"/>
      <c r="E810" s="3"/>
      <c r="F810" s="3"/>
      <c r="L810" s="3"/>
      <c r="M810" s="3"/>
      <c r="N810" s="3"/>
    </row>
    <row r="811" ht="15.75" customHeight="1">
      <c r="A811" s="3"/>
      <c r="B811" s="3"/>
      <c r="C811" s="3"/>
      <c r="D811" s="3"/>
      <c r="E811" s="3"/>
      <c r="F811" s="3"/>
      <c r="L811" s="3"/>
      <c r="M811" s="3"/>
      <c r="N811" s="3"/>
    </row>
    <row r="812" ht="15.75" customHeight="1">
      <c r="A812" s="3"/>
      <c r="B812" s="3"/>
      <c r="C812" s="3"/>
      <c r="D812" s="3"/>
      <c r="E812" s="3"/>
      <c r="F812" s="3"/>
      <c r="L812" s="3"/>
      <c r="M812" s="3"/>
      <c r="N812" s="3"/>
    </row>
    <row r="813" ht="15.75" customHeight="1">
      <c r="A813" s="3"/>
      <c r="B813" s="3"/>
      <c r="C813" s="3"/>
      <c r="D813" s="3"/>
      <c r="E813" s="3"/>
      <c r="F813" s="3"/>
      <c r="L813" s="3"/>
      <c r="M813" s="3"/>
      <c r="N813" s="3"/>
    </row>
    <row r="814" ht="15.75" customHeight="1">
      <c r="A814" s="3"/>
      <c r="B814" s="3"/>
      <c r="C814" s="3"/>
      <c r="D814" s="3"/>
      <c r="E814" s="3"/>
      <c r="F814" s="3"/>
      <c r="L814" s="3"/>
      <c r="M814" s="3"/>
      <c r="N814" s="3"/>
    </row>
    <row r="815" ht="15.75" customHeight="1">
      <c r="A815" s="3"/>
      <c r="B815" s="3"/>
      <c r="C815" s="3"/>
      <c r="D815" s="3"/>
      <c r="E815" s="3"/>
      <c r="F815" s="3"/>
      <c r="L815" s="3"/>
      <c r="M815" s="3"/>
      <c r="N815" s="3"/>
    </row>
    <row r="816" ht="15.75" customHeight="1">
      <c r="A816" s="3"/>
      <c r="B816" s="3"/>
      <c r="C816" s="3"/>
      <c r="D816" s="3"/>
      <c r="E816" s="3"/>
      <c r="F816" s="3"/>
      <c r="L816" s="3"/>
      <c r="M816" s="3"/>
      <c r="N816" s="3"/>
    </row>
    <row r="817" ht="15.75" customHeight="1">
      <c r="A817" s="3"/>
      <c r="B817" s="3"/>
      <c r="C817" s="3"/>
      <c r="D817" s="3"/>
      <c r="E817" s="3"/>
      <c r="F817" s="3"/>
      <c r="L817" s="3"/>
      <c r="M817" s="3"/>
      <c r="N817" s="3"/>
    </row>
    <row r="818" ht="15.75" customHeight="1">
      <c r="A818" s="3"/>
      <c r="B818" s="3"/>
      <c r="C818" s="3"/>
      <c r="D818" s="3"/>
      <c r="E818" s="3"/>
      <c r="F818" s="3"/>
      <c r="L818" s="3"/>
      <c r="M818" s="3"/>
      <c r="N818" s="3"/>
    </row>
    <row r="819" ht="15.75" customHeight="1">
      <c r="A819" s="3"/>
      <c r="B819" s="3"/>
      <c r="C819" s="3"/>
      <c r="D819" s="3"/>
      <c r="E819" s="3"/>
      <c r="F819" s="3"/>
      <c r="L819" s="3"/>
      <c r="M819" s="3"/>
      <c r="N819" s="3"/>
    </row>
    <row r="820" ht="15.75" customHeight="1">
      <c r="A820" s="3"/>
      <c r="B820" s="3"/>
      <c r="C820" s="3"/>
      <c r="D820" s="3"/>
      <c r="E820" s="3"/>
      <c r="F820" s="3"/>
      <c r="L820" s="3"/>
      <c r="M820" s="3"/>
      <c r="N820" s="3"/>
    </row>
    <row r="821" ht="15.75" customHeight="1">
      <c r="A821" s="3"/>
      <c r="B821" s="3"/>
      <c r="C821" s="3"/>
      <c r="D821" s="3"/>
      <c r="E821" s="3"/>
      <c r="F821" s="3"/>
      <c r="L821" s="3"/>
      <c r="M821" s="3"/>
      <c r="N821" s="3"/>
    </row>
    <row r="822" ht="15.75" customHeight="1">
      <c r="A822" s="3"/>
      <c r="B822" s="3"/>
      <c r="C822" s="3"/>
      <c r="D822" s="3"/>
      <c r="E822" s="3"/>
      <c r="F822" s="3"/>
      <c r="L822" s="3"/>
      <c r="M822" s="3"/>
      <c r="N822" s="3"/>
    </row>
    <row r="823" ht="15.75" customHeight="1">
      <c r="A823" s="3"/>
      <c r="B823" s="3"/>
      <c r="C823" s="3"/>
      <c r="D823" s="3"/>
      <c r="E823" s="3"/>
      <c r="F823" s="3"/>
      <c r="L823" s="3"/>
      <c r="M823" s="3"/>
      <c r="N823" s="3"/>
    </row>
    <row r="824" ht="15.75" customHeight="1">
      <c r="A824" s="3"/>
      <c r="B824" s="3"/>
      <c r="C824" s="3"/>
      <c r="D824" s="3"/>
      <c r="E824" s="3"/>
      <c r="F824" s="3"/>
      <c r="L824" s="3"/>
      <c r="M824" s="3"/>
      <c r="N824" s="3"/>
    </row>
    <row r="825" ht="15.75" customHeight="1">
      <c r="A825" s="3"/>
      <c r="B825" s="3"/>
      <c r="C825" s="3"/>
      <c r="D825" s="3"/>
      <c r="E825" s="3"/>
      <c r="F825" s="3"/>
      <c r="L825" s="3"/>
      <c r="M825" s="3"/>
      <c r="N825" s="3"/>
    </row>
    <row r="826" ht="15.75" customHeight="1">
      <c r="A826" s="3"/>
      <c r="B826" s="3"/>
      <c r="C826" s="3"/>
      <c r="D826" s="3"/>
      <c r="E826" s="3"/>
      <c r="F826" s="3"/>
      <c r="L826" s="3"/>
      <c r="M826" s="3"/>
      <c r="N826" s="3"/>
    </row>
    <row r="827" ht="15.75" customHeight="1">
      <c r="A827" s="3"/>
      <c r="B827" s="3"/>
      <c r="C827" s="3"/>
      <c r="D827" s="3"/>
      <c r="E827" s="3"/>
      <c r="F827" s="3"/>
      <c r="L827" s="3"/>
      <c r="M827" s="3"/>
      <c r="N827" s="3"/>
    </row>
    <row r="828" ht="15.75" customHeight="1">
      <c r="A828" s="3"/>
      <c r="B828" s="3"/>
      <c r="C828" s="3"/>
      <c r="D828" s="3"/>
      <c r="E828" s="3"/>
      <c r="F828" s="3"/>
      <c r="L828" s="3"/>
      <c r="M828" s="3"/>
      <c r="N828" s="3"/>
    </row>
    <row r="829" ht="15.75" customHeight="1">
      <c r="A829" s="3"/>
      <c r="B829" s="3"/>
      <c r="C829" s="3"/>
      <c r="D829" s="3"/>
      <c r="E829" s="3"/>
      <c r="F829" s="3"/>
      <c r="L829" s="3"/>
      <c r="M829" s="3"/>
      <c r="N829" s="3"/>
    </row>
    <row r="830" ht="15.75" customHeight="1">
      <c r="A830" s="3"/>
      <c r="B830" s="3"/>
      <c r="C830" s="3"/>
      <c r="D830" s="3"/>
      <c r="E830" s="3"/>
      <c r="F830" s="3"/>
      <c r="L830" s="3"/>
      <c r="M830" s="3"/>
      <c r="N830" s="3"/>
    </row>
    <row r="831" ht="15.75" customHeight="1">
      <c r="A831" s="3"/>
      <c r="B831" s="3"/>
      <c r="C831" s="3"/>
      <c r="D831" s="3"/>
      <c r="E831" s="3"/>
      <c r="F831" s="3"/>
      <c r="L831" s="3"/>
      <c r="M831" s="3"/>
      <c r="N831" s="3"/>
    </row>
    <row r="832" ht="15.75" customHeight="1">
      <c r="A832" s="3"/>
      <c r="B832" s="3"/>
      <c r="C832" s="3"/>
      <c r="D832" s="3"/>
      <c r="E832" s="3"/>
      <c r="F832" s="3"/>
      <c r="L832" s="3"/>
      <c r="M832" s="3"/>
      <c r="N832" s="3"/>
    </row>
    <row r="833" ht="15.75" customHeight="1">
      <c r="A833" s="3"/>
      <c r="B833" s="3"/>
      <c r="C833" s="3"/>
      <c r="D833" s="3"/>
      <c r="E833" s="3"/>
      <c r="F833" s="3"/>
      <c r="L833" s="3"/>
      <c r="M833" s="3"/>
      <c r="N833" s="3"/>
    </row>
    <row r="834" ht="15.75" customHeight="1">
      <c r="A834" s="3"/>
      <c r="B834" s="3"/>
      <c r="C834" s="3"/>
      <c r="D834" s="3"/>
      <c r="E834" s="3"/>
      <c r="F834" s="3"/>
      <c r="L834" s="3"/>
      <c r="M834" s="3"/>
      <c r="N834" s="3"/>
    </row>
    <row r="835" ht="15.75" customHeight="1">
      <c r="A835" s="3"/>
      <c r="B835" s="3"/>
      <c r="C835" s="3"/>
      <c r="D835" s="3"/>
      <c r="E835" s="3"/>
      <c r="F835" s="3"/>
      <c r="L835" s="3"/>
      <c r="M835" s="3"/>
      <c r="N835" s="3"/>
    </row>
    <row r="836" ht="15.75" customHeight="1">
      <c r="A836" s="3"/>
      <c r="B836" s="3"/>
      <c r="C836" s="3"/>
      <c r="D836" s="3"/>
      <c r="E836" s="3"/>
      <c r="F836" s="3"/>
      <c r="L836" s="3"/>
      <c r="M836" s="3"/>
      <c r="N836" s="3"/>
    </row>
    <row r="837" ht="15.75" customHeight="1">
      <c r="A837" s="3"/>
      <c r="B837" s="3"/>
      <c r="C837" s="3"/>
      <c r="D837" s="3"/>
      <c r="E837" s="3"/>
      <c r="F837" s="3"/>
      <c r="L837" s="3"/>
      <c r="M837" s="3"/>
      <c r="N837" s="3"/>
    </row>
    <row r="838" ht="15.75" customHeight="1">
      <c r="A838" s="3"/>
      <c r="B838" s="3"/>
      <c r="C838" s="3"/>
      <c r="D838" s="3"/>
      <c r="E838" s="3"/>
      <c r="F838" s="3"/>
      <c r="L838" s="3"/>
      <c r="M838" s="3"/>
      <c r="N838" s="3"/>
    </row>
    <row r="839" ht="15.75" customHeight="1">
      <c r="A839" s="3"/>
      <c r="B839" s="3"/>
      <c r="C839" s="3"/>
      <c r="D839" s="3"/>
      <c r="E839" s="3"/>
      <c r="F839" s="3"/>
      <c r="L839" s="3"/>
      <c r="M839" s="3"/>
      <c r="N839" s="3"/>
    </row>
    <row r="840" ht="15.75" customHeight="1">
      <c r="A840" s="3"/>
      <c r="B840" s="3"/>
      <c r="C840" s="3"/>
      <c r="D840" s="3"/>
      <c r="E840" s="3"/>
      <c r="F840" s="3"/>
      <c r="L840" s="3"/>
      <c r="M840" s="3"/>
      <c r="N840" s="3"/>
    </row>
    <row r="841" ht="15.75" customHeight="1">
      <c r="A841" s="3"/>
      <c r="B841" s="3"/>
      <c r="C841" s="3"/>
      <c r="D841" s="3"/>
      <c r="E841" s="3"/>
      <c r="F841" s="3"/>
      <c r="L841" s="3"/>
      <c r="M841" s="3"/>
      <c r="N841" s="3"/>
    </row>
    <row r="842" ht="15.75" customHeight="1">
      <c r="A842" s="3"/>
      <c r="B842" s="3"/>
      <c r="C842" s="3"/>
      <c r="D842" s="3"/>
      <c r="E842" s="3"/>
      <c r="F842" s="3"/>
      <c r="L842" s="3"/>
      <c r="M842" s="3"/>
      <c r="N842" s="3"/>
    </row>
    <row r="843" ht="15.75" customHeight="1">
      <c r="A843" s="3"/>
      <c r="B843" s="3"/>
      <c r="C843" s="3"/>
      <c r="D843" s="3"/>
      <c r="E843" s="3"/>
      <c r="F843" s="3"/>
      <c r="L843" s="3"/>
      <c r="M843" s="3"/>
      <c r="N843" s="3"/>
    </row>
    <row r="844" ht="15.75" customHeight="1">
      <c r="A844" s="3"/>
      <c r="B844" s="3"/>
      <c r="C844" s="3"/>
      <c r="D844" s="3"/>
      <c r="E844" s="3"/>
      <c r="F844" s="3"/>
      <c r="L844" s="3"/>
      <c r="M844" s="3"/>
      <c r="N844" s="3"/>
    </row>
    <row r="845" ht="15.75" customHeight="1">
      <c r="A845" s="3"/>
      <c r="B845" s="3"/>
      <c r="C845" s="3"/>
      <c r="D845" s="3"/>
      <c r="E845" s="3"/>
      <c r="F845" s="3"/>
      <c r="L845" s="3"/>
      <c r="M845" s="3"/>
      <c r="N845" s="3"/>
    </row>
    <row r="846" ht="15.75" customHeight="1">
      <c r="A846" s="3"/>
      <c r="B846" s="3"/>
      <c r="C846" s="3"/>
      <c r="D846" s="3"/>
      <c r="E846" s="3"/>
      <c r="F846" s="3"/>
      <c r="L846" s="3"/>
      <c r="M846" s="3"/>
      <c r="N846" s="3"/>
    </row>
    <row r="847" ht="15.75" customHeight="1">
      <c r="A847" s="3"/>
      <c r="B847" s="3"/>
      <c r="C847" s="3"/>
      <c r="D847" s="3"/>
      <c r="E847" s="3"/>
      <c r="F847" s="3"/>
      <c r="L847" s="3"/>
      <c r="M847" s="3"/>
      <c r="N847" s="3"/>
    </row>
    <row r="848" ht="15.75" customHeight="1">
      <c r="A848" s="3"/>
      <c r="B848" s="3"/>
      <c r="C848" s="3"/>
      <c r="D848" s="3"/>
      <c r="E848" s="3"/>
      <c r="F848" s="3"/>
      <c r="L848" s="3"/>
      <c r="M848" s="3"/>
      <c r="N848" s="3"/>
    </row>
    <row r="849" ht="15.75" customHeight="1">
      <c r="A849" s="3"/>
      <c r="B849" s="3"/>
      <c r="C849" s="3"/>
      <c r="D849" s="3"/>
      <c r="E849" s="3"/>
      <c r="F849" s="3"/>
      <c r="L849" s="3"/>
      <c r="M849" s="3"/>
      <c r="N849" s="3"/>
    </row>
    <row r="850" ht="15.75" customHeight="1">
      <c r="A850" s="3"/>
      <c r="B850" s="3"/>
      <c r="C850" s="3"/>
      <c r="D850" s="3"/>
      <c r="E850" s="3"/>
      <c r="F850" s="3"/>
      <c r="L850" s="3"/>
      <c r="M850" s="3"/>
      <c r="N850" s="3"/>
    </row>
    <row r="851" ht="15.75" customHeight="1">
      <c r="A851" s="3"/>
      <c r="B851" s="3"/>
      <c r="C851" s="3"/>
      <c r="D851" s="3"/>
      <c r="E851" s="3"/>
      <c r="F851" s="3"/>
      <c r="L851" s="3"/>
      <c r="M851" s="3"/>
      <c r="N851" s="3"/>
    </row>
    <row r="852" ht="15.75" customHeight="1">
      <c r="A852" s="3"/>
      <c r="B852" s="3"/>
      <c r="C852" s="3"/>
      <c r="D852" s="3"/>
      <c r="E852" s="3"/>
      <c r="F852" s="3"/>
      <c r="L852" s="3"/>
      <c r="M852" s="3"/>
      <c r="N852" s="3"/>
    </row>
    <row r="853" ht="15.75" customHeight="1">
      <c r="A853" s="3"/>
      <c r="B853" s="3"/>
      <c r="C853" s="3"/>
      <c r="D853" s="3"/>
      <c r="E853" s="3"/>
      <c r="F853" s="3"/>
      <c r="L853" s="3"/>
      <c r="M853" s="3"/>
      <c r="N853" s="3"/>
    </row>
    <row r="854" ht="15.75" customHeight="1">
      <c r="A854" s="3"/>
      <c r="B854" s="3"/>
      <c r="C854" s="3"/>
      <c r="D854" s="3"/>
      <c r="E854" s="3"/>
      <c r="F854" s="3"/>
      <c r="L854" s="3"/>
      <c r="M854" s="3"/>
      <c r="N854" s="3"/>
    </row>
    <row r="855" ht="15.75" customHeight="1">
      <c r="A855" s="3"/>
      <c r="B855" s="3"/>
      <c r="C855" s="3"/>
      <c r="D855" s="3"/>
      <c r="E855" s="3"/>
      <c r="F855" s="3"/>
      <c r="L855" s="3"/>
      <c r="M855" s="3"/>
      <c r="N855" s="3"/>
    </row>
    <row r="856" ht="15.75" customHeight="1">
      <c r="A856" s="3"/>
      <c r="B856" s="3"/>
      <c r="C856" s="3"/>
      <c r="D856" s="3"/>
      <c r="E856" s="3"/>
      <c r="F856" s="3"/>
      <c r="L856" s="3"/>
      <c r="M856" s="3"/>
      <c r="N856" s="3"/>
    </row>
    <row r="857" ht="15.75" customHeight="1">
      <c r="A857" s="3"/>
      <c r="B857" s="3"/>
      <c r="C857" s="3"/>
      <c r="D857" s="3"/>
      <c r="E857" s="3"/>
      <c r="F857" s="3"/>
      <c r="L857" s="3"/>
      <c r="M857" s="3"/>
      <c r="N857" s="3"/>
    </row>
    <row r="858" ht="15.75" customHeight="1">
      <c r="A858" s="3"/>
      <c r="B858" s="3"/>
      <c r="C858" s="3"/>
      <c r="D858" s="3"/>
      <c r="E858" s="3"/>
      <c r="F858" s="3"/>
      <c r="L858" s="3"/>
      <c r="M858" s="3"/>
      <c r="N858" s="3"/>
    </row>
    <row r="859" ht="15.75" customHeight="1">
      <c r="A859" s="3"/>
      <c r="B859" s="3"/>
      <c r="C859" s="3"/>
      <c r="D859" s="3"/>
      <c r="E859" s="3"/>
      <c r="F859" s="3"/>
      <c r="L859" s="3"/>
      <c r="M859" s="3"/>
      <c r="N859" s="3"/>
    </row>
    <row r="860" ht="15.75" customHeight="1">
      <c r="A860" s="3"/>
      <c r="B860" s="3"/>
      <c r="C860" s="3"/>
      <c r="D860" s="3"/>
      <c r="E860" s="3"/>
      <c r="F860" s="3"/>
      <c r="L860" s="3"/>
      <c r="M860" s="3"/>
      <c r="N860" s="3"/>
    </row>
    <row r="861" ht="15.75" customHeight="1">
      <c r="A861" s="3"/>
      <c r="B861" s="3"/>
      <c r="C861" s="3"/>
      <c r="D861" s="3"/>
      <c r="E861" s="3"/>
      <c r="F861" s="3"/>
      <c r="L861" s="3"/>
      <c r="M861" s="3"/>
      <c r="N861" s="3"/>
    </row>
    <row r="862" ht="15.75" customHeight="1">
      <c r="A862" s="3"/>
      <c r="B862" s="3"/>
      <c r="C862" s="3"/>
      <c r="D862" s="3"/>
      <c r="E862" s="3"/>
      <c r="F862" s="3"/>
      <c r="L862" s="3"/>
      <c r="M862" s="3"/>
      <c r="N862" s="3"/>
    </row>
    <row r="863" ht="15.75" customHeight="1">
      <c r="A863" s="3"/>
      <c r="B863" s="3"/>
      <c r="C863" s="3"/>
      <c r="D863" s="3"/>
      <c r="E863" s="3"/>
      <c r="F863" s="3"/>
      <c r="L863" s="3"/>
      <c r="M863" s="3"/>
      <c r="N863" s="3"/>
    </row>
    <row r="864" ht="15.75" customHeight="1">
      <c r="A864" s="3"/>
      <c r="B864" s="3"/>
      <c r="C864" s="3"/>
      <c r="D864" s="3"/>
      <c r="E864" s="3"/>
      <c r="F864" s="3"/>
      <c r="L864" s="3"/>
      <c r="M864" s="3"/>
      <c r="N864" s="3"/>
    </row>
    <row r="865" ht="15.75" customHeight="1">
      <c r="A865" s="3"/>
      <c r="B865" s="3"/>
      <c r="C865" s="3"/>
      <c r="D865" s="3"/>
      <c r="E865" s="3"/>
      <c r="F865" s="3"/>
      <c r="L865" s="3"/>
      <c r="M865" s="3"/>
      <c r="N865" s="3"/>
    </row>
    <row r="866" ht="15.75" customHeight="1">
      <c r="A866" s="3"/>
      <c r="B866" s="3"/>
      <c r="C866" s="3"/>
      <c r="D866" s="3"/>
      <c r="E866" s="3"/>
      <c r="F866" s="3"/>
      <c r="L866" s="3"/>
      <c r="M866" s="3"/>
      <c r="N866" s="3"/>
    </row>
    <row r="867" ht="15.75" customHeight="1">
      <c r="A867" s="3"/>
      <c r="B867" s="3"/>
      <c r="C867" s="3"/>
      <c r="D867" s="3"/>
      <c r="E867" s="3"/>
      <c r="F867" s="3"/>
      <c r="L867" s="3"/>
      <c r="M867" s="3"/>
      <c r="N867" s="3"/>
    </row>
    <row r="868" ht="15.75" customHeight="1">
      <c r="A868" s="3"/>
      <c r="B868" s="3"/>
      <c r="C868" s="3"/>
      <c r="D868" s="3"/>
      <c r="E868" s="3"/>
      <c r="F868" s="3"/>
      <c r="L868" s="3"/>
      <c r="M868" s="3"/>
      <c r="N868" s="3"/>
    </row>
    <row r="869" ht="15.75" customHeight="1">
      <c r="A869" s="3"/>
      <c r="B869" s="3"/>
      <c r="C869" s="3"/>
      <c r="D869" s="3"/>
      <c r="E869" s="3"/>
      <c r="F869" s="3"/>
      <c r="L869" s="3"/>
      <c r="M869" s="3"/>
      <c r="N869" s="3"/>
    </row>
    <row r="870" ht="15.75" customHeight="1">
      <c r="A870" s="3"/>
      <c r="B870" s="3"/>
      <c r="C870" s="3"/>
      <c r="D870" s="3"/>
      <c r="E870" s="3"/>
      <c r="F870" s="3"/>
      <c r="L870" s="3"/>
      <c r="M870" s="3"/>
      <c r="N870" s="3"/>
    </row>
    <row r="871" ht="15.75" customHeight="1">
      <c r="A871" s="3"/>
      <c r="B871" s="3"/>
      <c r="C871" s="3"/>
      <c r="D871" s="3"/>
      <c r="E871" s="3"/>
      <c r="F871" s="3"/>
      <c r="L871" s="3"/>
      <c r="M871" s="3"/>
      <c r="N871" s="3"/>
    </row>
    <row r="872" ht="15.75" customHeight="1">
      <c r="A872" s="3"/>
      <c r="B872" s="3"/>
      <c r="C872" s="3"/>
      <c r="D872" s="3"/>
      <c r="E872" s="3"/>
      <c r="F872" s="3"/>
      <c r="L872" s="3"/>
      <c r="M872" s="3"/>
      <c r="N872" s="3"/>
    </row>
    <row r="873" ht="15.75" customHeight="1">
      <c r="A873" s="3"/>
      <c r="B873" s="3"/>
      <c r="C873" s="3"/>
      <c r="D873" s="3"/>
      <c r="E873" s="3"/>
      <c r="F873" s="3"/>
      <c r="L873" s="3"/>
      <c r="M873" s="3"/>
      <c r="N873" s="3"/>
    </row>
    <row r="874" ht="15.75" customHeight="1">
      <c r="A874" s="3"/>
      <c r="B874" s="3"/>
      <c r="C874" s="3"/>
      <c r="D874" s="3"/>
      <c r="E874" s="3"/>
      <c r="F874" s="3"/>
      <c r="L874" s="3"/>
      <c r="M874" s="3"/>
      <c r="N874" s="3"/>
    </row>
    <row r="875" ht="15.75" customHeight="1">
      <c r="A875" s="3"/>
      <c r="B875" s="3"/>
      <c r="C875" s="3"/>
      <c r="D875" s="3"/>
      <c r="E875" s="3"/>
      <c r="F875" s="3"/>
      <c r="L875" s="3"/>
      <c r="M875" s="3"/>
      <c r="N875" s="3"/>
    </row>
    <row r="876" ht="15.75" customHeight="1">
      <c r="A876" s="3"/>
      <c r="B876" s="3"/>
      <c r="C876" s="3"/>
      <c r="D876" s="3"/>
      <c r="E876" s="3"/>
      <c r="F876" s="3"/>
      <c r="L876" s="3"/>
      <c r="M876" s="3"/>
      <c r="N876" s="3"/>
    </row>
    <row r="877" ht="15.75" customHeight="1">
      <c r="A877" s="3"/>
      <c r="B877" s="3"/>
      <c r="C877" s="3"/>
      <c r="D877" s="3"/>
      <c r="E877" s="3"/>
      <c r="F877" s="3"/>
      <c r="L877" s="3"/>
      <c r="M877" s="3"/>
      <c r="N877" s="3"/>
    </row>
    <row r="878" ht="15.75" customHeight="1">
      <c r="A878" s="3"/>
      <c r="B878" s="3"/>
      <c r="C878" s="3"/>
      <c r="D878" s="3"/>
      <c r="E878" s="3"/>
      <c r="F878" s="3"/>
      <c r="L878" s="3"/>
      <c r="M878" s="3"/>
      <c r="N878" s="3"/>
    </row>
    <row r="879" ht="15.75" customHeight="1">
      <c r="A879" s="3"/>
      <c r="B879" s="3"/>
      <c r="C879" s="3"/>
      <c r="D879" s="3"/>
      <c r="E879" s="3"/>
      <c r="F879" s="3"/>
      <c r="L879" s="3"/>
      <c r="M879" s="3"/>
      <c r="N879" s="3"/>
    </row>
    <row r="880" ht="15.75" customHeight="1">
      <c r="A880" s="3"/>
      <c r="B880" s="3"/>
      <c r="C880" s="3"/>
      <c r="D880" s="3"/>
      <c r="E880" s="3"/>
      <c r="F880" s="3"/>
      <c r="L880" s="3"/>
      <c r="M880" s="3"/>
      <c r="N880" s="3"/>
    </row>
    <row r="881" ht="15.75" customHeight="1">
      <c r="A881" s="3"/>
      <c r="B881" s="3"/>
      <c r="C881" s="3"/>
      <c r="D881" s="3"/>
      <c r="E881" s="3"/>
      <c r="F881" s="3"/>
      <c r="L881" s="3"/>
      <c r="M881" s="3"/>
      <c r="N881" s="3"/>
    </row>
    <row r="882" ht="15.75" customHeight="1">
      <c r="A882" s="3"/>
      <c r="B882" s="3"/>
      <c r="C882" s="3"/>
      <c r="D882" s="3"/>
      <c r="E882" s="3"/>
      <c r="F882" s="3"/>
      <c r="L882" s="3"/>
      <c r="M882" s="3"/>
      <c r="N882" s="3"/>
    </row>
    <row r="883" ht="15.75" customHeight="1">
      <c r="A883" s="3"/>
      <c r="B883" s="3"/>
      <c r="C883" s="3"/>
      <c r="D883" s="3"/>
      <c r="E883" s="3"/>
      <c r="F883" s="3"/>
      <c r="L883" s="3"/>
      <c r="M883" s="3"/>
      <c r="N883" s="3"/>
    </row>
    <row r="884" ht="15.75" customHeight="1">
      <c r="A884" s="3"/>
      <c r="B884" s="3"/>
      <c r="C884" s="3"/>
      <c r="D884" s="3"/>
      <c r="E884" s="3"/>
      <c r="F884" s="3"/>
      <c r="L884" s="3"/>
      <c r="M884" s="3"/>
      <c r="N884" s="3"/>
    </row>
    <row r="885" ht="15.75" customHeight="1">
      <c r="A885" s="3"/>
      <c r="B885" s="3"/>
      <c r="C885" s="3"/>
      <c r="D885" s="3"/>
      <c r="E885" s="3"/>
      <c r="F885" s="3"/>
      <c r="L885" s="3"/>
      <c r="M885" s="3"/>
      <c r="N885" s="3"/>
    </row>
    <row r="886" ht="15.75" customHeight="1">
      <c r="A886" s="3"/>
      <c r="B886" s="3"/>
      <c r="C886" s="3"/>
      <c r="D886" s="3"/>
      <c r="E886" s="3"/>
      <c r="F886" s="3"/>
      <c r="L886" s="3"/>
      <c r="M886" s="3"/>
      <c r="N886" s="3"/>
    </row>
    <row r="887" ht="15.75" customHeight="1">
      <c r="A887" s="3"/>
      <c r="B887" s="3"/>
      <c r="C887" s="3"/>
      <c r="D887" s="3"/>
      <c r="E887" s="3"/>
      <c r="F887" s="3"/>
      <c r="L887" s="3"/>
      <c r="M887" s="3"/>
      <c r="N887" s="3"/>
    </row>
    <row r="888" ht="15.75" customHeight="1">
      <c r="A888" s="3"/>
      <c r="B888" s="3"/>
      <c r="C888" s="3"/>
      <c r="D888" s="3"/>
      <c r="E888" s="3"/>
      <c r="F888" s="3"/>
      <c r="L888" s="3"/>
      <c r="M888" s="3"/>
      <c r="N888" s="3"/>
    </row>
    <row r="889" ht="15.75" customHeight="1">
      <c r="A889" s="3"/>
      <c r="B889" s="3"/>
      <c r="C889" s="3"/>
      <c r="D889" s="3"/>
      <c r="E889" s="3"/>
      <c r="F889" s="3"/>
      <c r="L889" s="3"/>
      <c r="M889" s="3"/>
      <c r="N889" s="3"/>
    </row>
    <row r="890" ht="15.75" customHeight="1">
      <c r="A890" s="3"/>
      <c r="B890" s="3"/>
      <c r="C890" s="3"/>
      <c r="D890" s="3"/>
      <c r="E890" s="3"/>
      <c r="F890" s="3"/>
      <c r="L890" s="3"/>
      <c r="M890" s="3"/>
      <c r="N890" s="3"/>
    </row>
    <row r="891" ht="15.75" customHeight="1">
      <c r="A891" s="3"/>
      <c r="B891" s="3"/>
      <c r="C891" s="3"/>
      <c r="D891" s="3"/>
      <c r="E891" s="3"/>
      <c r="F891" s="3"/>
      <c r="L891" s="3"/>
      <c r="M891" s="3"/>
      <c r="N891" s="3"/>
    </row>
    <row r="892" ht="15.75" customHeight="1">
      <c r="A892" s="3"/>
      <c r="B892" s="3"/>
      <c r="C892" s="3"/>
      <c r="D892" s="3"/>
      <c r="E892" s="3"/>
      <c r="F892" s="3"/>
      <c r="L892" s="3"/>
      <c r="M892" s="3"/>
      <c r="N892" s="3"/>
    </row>
    <row r="893" ht="15.75" customHeight="1">
      <c r="A893" s="3"/>
      <c r="B893" s="3"/>
      <c r="C893" s="3"/>
      <c r="D893" s="3"/>
      <c r="E893" s="3"/>
      <c r="F893" s="3"/>
      <c r="L893" s="3"/>
      <c r="M893" s="3"/>
      <c r="N893" s="3"/>
    </row>
    <row r="894" ht="15.75" customHeight="1">
      <c r="A894" s="3"/>
      <c r="B894" s="3"/>
      <c r="C894" s="3"/>
      <c r="D894" s="3"/>
      <c r="E894" s="3"/>
      <c r="F894" s="3"/>
      <c r="L894" s="3"/>
      <c r="M894" s="3"/>
      <c r="N894" s="3"/>
    </row>
    <row r="895" ht="15.75" customHeight="1">
      <c r="A895" s="3"/>
      <c r="B895" s="3"/>
      <c r="C895" s="3"/>
      <c r="D895" s="3"/>
      <c r="E895" s="3"/>
      <c r="F895" s="3"/>
      <c r="L895" s="3"/>
      <c r="M895" s="3"/>
      <c r="N895" s="3"/>
    </row>
    <row r="896" ht="15.75" customHeight="1">
      <c r="A896" s="3"/>
      <c r="B896" s="3"/>
      <c r="C896" s="3"/>
      <c r="D896" s="3"/>
      <c r="E896" s="3"/>
      <c r="F896" s="3"/>
      <c r="L896" s="3"/>
      <c r="M896" s="3"/>
      <c r="N896" s="3"/>
    </row>
    <row r="897" ht="15.75" customHeight="1">
      <c r="A897" s="3"/>
      <c r="B897" s="3"/>
      <c r="C897" s="3"/>
      <c r="D897" s="3"/>
      <c r="E897" s="3"/>
      <c r="F897" s="3"/>
      <c r="L897" s="3"/>
      <c r="M897" s="3"/>
      <c r="N897" s="3"/>
    </row>
    <row r="898" ht="15.75" customHeight="1">
      <c r="A898" s="3"/>
      <c r="B898" s="3"/>
      <c r="C898" s="3"/>
      <c r="D898" s="3"/>
      <c r="E898" s="3"/>
      <c r="F898" s="3"/>
      <c r="L898" s="3"/>
      <c r="M898" s="3"/>
      <c r="N898" s="3"/>
    </row>
    <row r="899" ht="15.75" customHeight="1">
      <c r="A899" s="3"/>
      <c r="B899" s="3"/>
      <c r="C899" s="3"/>
      <c r="D899" s="3"/>
      <c r="E899" s="3"/>
      <c r="F899" s="3"/>
      <c r="L899" s="3"/>
      <c r="M899" s="3"/>
      <c r="N899" s="3"/>
    </row>
    <row r="900" ht="15.75" customHeight="1">
      <c r="A900" s="3"/>
      <c r="B900" s="3"/>
      <c r="C900" s="3"/>
      <c r="D900" s="3"/>
      <c r="E900" s="3"/>
      <c r="F900" s="3"/>
      <c r="L900" s="3"/>
      <c r="M900" s="3"/>
      <c r="N900" s="3"/>
    </row>
    <row r="901" ht="15.75" customHeight="1">
      <c r="A901" s="3"/>
      <c r="B901" s="3"/>
      <c r="C901" s="3"/>
      <c r="D901" s="3"/>
      <c r="E901" s="3"/>
      <c r="F901" s="3"/>
      <c r="L901" s="3"/>
      <c r="M901" s="3"/>
      <c r="N901" s="3"/>
    </row>
    <row r="902" ht="15.75" customHeight="1">
      <c r="A902" s="3"/>
      <c r="B902" s="3"/>
      <c r="C902" s="3"/>
      <c r="D902" s="3"/>
      <c r="E902" s="3"/>
      <c r="F902" s="3"/>
      <c r="L902" s="3"/>
      <c r="M902" s="3"/>
      <c r="N902" s="3"/>
    </row>
    <row r="903" ht="15.75" customHeight="1">
      <c r="A903" s="3"/>
      <c r="B903" s="3"/>
      <c r="C903" s="3"/>
      <c r="D903" s="3"/>
      <c r="E903" s="3"/>
      <c r="F903" s="3"/>
      <c r="L903" s="3"/>
      <c r="M903" s="3"/>
      <c r="N903" s="3"/>
    </row>
    <row r="904" ht="15.75" customHeight="1">
      <c r="A904" s="3"/>
      <c r="B904" s="3"/>
      <c r="C904" s="3"/>
      <c r="D904" s="3"/>
      <c r="E904" s="3"/>
      <c r="F904" s="3"/>
      <c r="L904" s="3"/>
      <c r="M904" s="3"/>
      <c r="N904" s="3"/>
    </row>
    <row r="905" ht="15.75" customHeight="1">
      <c r="A905" s="3"/>
      <c r="B905" s="3"/>
      <c r="C905" s="3"/>
      <c r="D905" s="3"/>
      <c r="E905" s="3"/>
      <c r="F905" s="3"/>
      <c r="L905" s="3"/>
      <c r="M905" s="3"/>
      <c r="N905" s="3"/>
    </row>
    <row r="906" ht="15.75" customHeight="1">
      <c r="A906" s="3"/>
      <c r="B906" s="3"/>
      <c r="C906" s="3"/>
      <c r="D906" s="3"/>
      <c r="E906" s="3"/>
      <c r="F906" s="3"/>
      <c r="L906" s="3"/>
      <c r="M906" s="3"/>
      <c r="N906" s="3"/>
    </row>
    <row r="907" ht="15.75" customHeight="1">
      <c r="A907" s="3"/>
      <c r="B907" s="3"/>
      <c r="C907" s="3"/>
      <c r="D907" s="3"/>
      <c r="E907" s="3"/>
      <c r="F907" s="3"/>
      <c r="L907" s="3"/>
      <c r="M907" s="3"/>
      <c r="N907" s="3"/>
    </row>
    <row r="908" ht="15.75" customHeight="1">
      <c r="A908" s="3"/>
      <c r="B908" s="3"/>
      <c r="C908" s="3"/>
      <c r="D908" s="3"/>
      <c r="E908" s="3"/>
      <c r="F908" s="3"/>
      <c r="L908" s="3"/>
      <c r="M908" s="3"/>
      <c r="N908" s="3"/>
    </row>
    <row r="909" ht="15.75" customHeight="1">
      <c r="A909" s="3"/>
      <c r="B909" s="3"/>
      <c r="C909" s="3"/>
      <c r="D909" s="3"/>
      <c r="E909" s="3"/>
      <c r="F909" s="3"/>
      <c r="L909" s="3"/>
      <c r="M909" s="3"/>
      <c r="N909" s="3"/>
    </row>
    <row r="910" ht="15.75" customHeight="1">
      <c r="A910" s="3"/>
      <c r="B910" s="3"/>
      <c r="C910" s="3"/>
      <c r="D910" s="3"/>
      <c r="E910" s="3"/>
      <c r="F910" s="3"/>
      <c r="L910" s="3"/>
      <c r="M910" s="3"/>
      <c r="N910" s="3"/>
    </row>
    <row r="911" ht="15.75" customHeight="1">
      <c r="A911" s="3"/>
      <c r="B911" s="3"/>
      <c r="C911" s="3"/>
      <c r="D911" s="3"/>
      <c r="E911" s="3"/>
      <c r="F911" s="3"/>
      <c r="L911" s="3"/>
      <c r="M911" s="3"/>
      <c r="N911" s="3"/>
    </row>
    <row r="912" ht="15.75" customHeight="1">
      <c r="A912" s="3"/>
      <c r="B912" s="3"/>
      <c r="C912" s="3"/>
      <c r="D912" s="3"/>
      <c r="E912" s="3"/>
      <c r="F912" s="3"/>
      <c r="L912" s="3"/>
      <c r="M912" s="3"/>
      <c r="N912" s="3"/>
    </row>
    <row r="913" ht="15.75" customHeight="1">
      <c r="A913" s="3"/>
      <c r="B913" s="3"/>
      <c r="C913" s="3"/>
      <c r="D913" s="3"/>
      <c r="E913" s="3"/>
      <c r="F913" s="3"/>
      <c r="L913" s="3"/>
      <c r="M913" s="3"/>
      <c r="N913" s="3"/>
    </row>
    <row r="914" ht="15.75" customHeight="1">
      <c r="A914" s="3"/>
      <c r="B914" s="3"/>
      <c r="C914" s="3"/>
      <c r="D914" s="3"/>
      <c r="E914" s="3"/>
      <c r="F914" s="3"/>
      <c r="L914" s="3"/>
      <c r="M914" s="3"/>
      <c r="N914" s="3"/>
    </row>
    <row r="915" ht="15.75" customHeight="1">
      <c r="A915" s="3"/>
      <c r="B915" s="3"/>
      <c r="C915" s="3"/>
      <c r="D915" s="3"/>
      <c r="E915" s="3"/>
      <c r="F915" s="3"/>
      <c r="L915" s="3"/>
      <c r="M915" s="3"/>
      <c r="N915" s="3"/>
    </row>
    <row r="916" ht="15.75" customHeight="1">
      <c r="A916" s="3"/>
      <c r="B916" s="3"/>
      <c r="C916" s="3"/>
      <c r="D916" s="3"/>
      <c r="E916" s="3"/>
      <c r="F916" s="3"/>
      <c r="L916" s="3"/>
      <c r="M916" s="3"/>
      <c r="N916" s="3"/>
    </row>
    <row r="917" ht="15.75" customHeight="1">
      <c r="A917" s="3"/>
      <c r="B917" s="3"/>
      <c r="C917" s="3"/>
      <c r="D917" s="3"/>
      <c r="E917" s="3"/>
      <c r="F917" s="3"/>
      <c r="L917" s="3"/>
      <c r="M917" s="3"/>
      <c r="N917" s="3"/>
    </row>
    <row r="918" ht="15.75" customHeight="1">
      <c r="A918" s="3"/>
      <c r="B918" s="3"/>
      <c r="C918" s="3"/>
      <c r="D918" s="3"/>
      <c r="E918" s="3"/>
      <c r="F918" s="3"/>
      <c r="L918" s="3"/>
      <c r="M918" s="3"/>
      <c r="N918" s="3"/>
    </row>
    <row r="919" ht="15.75" customHeight="1">
      <c r="A919" s="3"/>
      <c r="B919" s="3"/>
      <c r="C919" s="3"/>
      <c r="D919" s="3"/>
      <c r="E919" s="3"/>
      <c r="F919" s="3"/>
      <c r="L919" s="3"/>
      <c r="M919" s="3"/>
      <c r="N919" s="3"/>
    </row>
    <row r="920" ht="15.75" customHeight="1">
      <c r="A920" s="3"/>
      <c r="B920" s="3"/>
      <c r="C920" s="3"/>
      <c r="D920" s="3"/>
      <c r="E920" s="3"/>
      <c r="F920" s="3"/>
      <c r="L920" s="3"/>
      <c r="M920" s="3"/>
      <c r="N920" s="3"/>
    </row>
    <row r="921" ht="15.75" customHeight="1">
      <c r="A921" s="3"/>
      <c r="B921" s="3"/>
      <c r="C921" s="3"/>
      <c r="D921" s="3"/>
      <c r="E921" s="3"/>
      <c r="F921" s="3"/>
      <c r="L921" s="3"/>
      <c r="M921" s="3"/>
      <c r="N921" s="3"/>
    </row>
    <row r="922" ht="15.75" customHeight="1">
      <c r="A922" s="3"/>
      <c r="B922" s="3"/>
      <c r="C922" s="3"/>
      <c r="D922" s="3"/>
      <c r="E922" s="3"/>
      <c r="F922" s="3"/>
      <c r="L922" s="3"/>
      <c r="M922" s="3"/>
      <c r="N922" s="3"/>
    </row>
    <row r="923" ht="15.75" customHeight="1">
      <c r="A923" s="3"/>
      <c r="B923" s="3"/>
      <c r="C923" s="3"/>
      <c r="D923" s="3"/>
      <c r="E923" s="3"/>
      <c r="F923" s="3"/>
      <c r="L923" s="3"/>
      <c r="M923" s="3"/>
      <c r="N923" s="3"/>
    </row>
    <row r="924" ht="15.75" customHeight="1">
      <c r="A924" s="3"/>
      <c r="B924" s="3"/>
      <c r="C924" s="3"/>
      <c r="D924" s="3"/>
      <c r="E924" s="3"/>
      <c r="F924" s="3"/>
      <c r="L924" s="3"/>
      <c r="M924" s="3"/>
      <c r="N924" s="3"/>
    </row>
    <row r="925" ht="15.75" customHeight="1">
      <c r="A925" s="3"/>
      <c r="B925" s="3"/>
      <c r="C925" s="3"/>
      <c r="D925" s="3"/>
      <c r="E925" s="3"/>
      <c r="F925" s="3"/>
      <c r="L925" s="3"/>
      <c r="M925" s="3"/>
      <c r="N925" s="3"/>
    </row>
    <row r="926" ht="15.75" customHeight="1">
      <c r="A926" s="3"/>
      <c r="B926" s="3"/>
      <c r="C926" s="3"/>
      <c r="D926" s="3"/>
      <c r="E926" s="3"/>
      <c r="F926" s="3"/>
      <c r="L926" s="3"/>
      <c r="M926" s="3"/>
      <c r="N926" s="3"/>
    </row>
    <row r="927" ht="15.75" customHeight="1">
      <c r="A927" s="3"/>
      <c r="B927" s="3"/>
      <c r="C927" s="3"/>
      <c r="D927" s="3"/>
      <c r="E927" s="3"/>
      <c r="F927" s="3"/>
      <c r="L927" s="3"/>
      <c r="M927" s="3"/>
      <c r="N927" s="3"/>
    </row>
    <row r="928" ht="15.75" customHeight="1">
      <c r="A928" s="3"/>
      <c r="B928" s="3"/>
      <c r="C928" s="3"/>
      <c r="D928" s="3"/>
      <c r="E928" s="3"/>
      <c r="F928" s="3"/>
      <c r="L928" s="3"/>
      <c r="M928" s="3"/>
      <c r="N928" s="3"/>
    </row>
    <row r="929" ht="15.75" customHeight="1">
      <c r="A929" s="3"/>
      <c r="B929" s="3"/>
      <c r="C929" s="3"/>
      <c r="D929" s="3"/>
      <c r="E929" s="3"/>
      <c r="F929" s="3"/>
      <c r="L929" s="3"/>
      <c r="M929" s="3"/>
      <c r="N929" s="3"/>
    </row>
    <row r="930" ht="15.75" customHeight="1">
      <c r="A930" s="3"/>
      <c r="B930" s="3"/>
      <c r="C930" s="3"/>
      <c r="D930" s="3"/>
      <c r="E930" s="3"/>
      <c r="F930" s="3"/>
      <c r="L930" s="3"/>
      <c r="M930" s="3"/>
      <c r="N930" s="3"/>
    </row>
    <row r="931" ht="15.75" customHeight="1">
      <c r="A931" s="3"/>
      <c r="B931" s="3"/>
      <c r="C931" s="3"/>
      <c r="D931" s="3"/>
      <c r="E931" s="3"/>
      <c r="F931" s="3"/>
      <c r="L931" s="3"/>
      <c r="M931" s="3"/>
      <c r="N931" s="3"/>
    </row>
    <row r="932" ht="15.75" customHeight="1">
      <c r="A932" s="3"/>
      <c r="B932" s="3"/>
      <c r="C932" s="3"/>
      <c r="D932" s="3"/>
      <c r="E932" s="3"/>
      <c r="F932" s="3"/>
      <c r="L932" s="3"/>
      <c r="M932" s="3"/>
      <c r="N932" s="3"/>
    </row>
    <row r="933" ht="15.75" customHeight="1">
      <c r="A933" s="3"/>
      <c r="B933" s="3"/>
      <c r="C933" s="3"/>
      <c r="D933" s="3"/>
      <c r="E933" s="3"/>
      <c r="F933" s="3"/>
      <c r="L933" s="3"/>
      <c r="M933" s="3"/>
      <c r="N933" s="3"/>
    </row>
    <row r="934" ht="15.75" customHeight="1">
      <c r="A934" s="3"/>
      <c r="B934" s="3"/>
      <c r="C934" s="3"/>
      <c r="D934" s="3"/>
      <c r="E934" s="3"/>
      <c r="F934" s="3"/>
      <c r="L934" s="3"/>
      <c r="M934" s="3"/>
      <c r="N934" s="3"/>
    </row>
    <row r="935" ht="15.75" customHeight="1">
      <c r="A935" s="3"/>
      <c r="B935" s="3"/>
      <c r="C935" s="3"/>
      <c r="D935" s="3"/>
      <c r="E935" s="3"/>
      <c r="F935" s="3"/>
      <c r="L935" s="3"/>
      <c r="M935" s="3"/>
      <c r="N935" s="3"/>
    </row>
    <row r="936" ht="15.75" customHeight="1">
      <c r="A936" s="3"/>
      <c r="B936" s="3"/>
      <c r="C936" s="3"/>
      <c r="D936" s="3"/>
      <c r="E936" s="3"/>
      <c r="F936" s="3"/>
      <c r="L936" s="3"/>
      <c r="M936" s="3"/>
      <c r="N936" s="3"/>
    </row>
    <row r="937" ht="15.75" customHeight="1">
      <c r="A937" s="3"/>
      <c r="B937" s="3"/>
      <c r="C937" s="3"/>
      <c r="D937" s="3"/>
      <c r="E937" s="3"/>
      <c r="F937" s="3"/>
      <c r="L937" s="3"/>
      <c r="M937" s="3"/>
      <c r="N937" s="3"/>
    </row>
    <row r="938" ht="15.75" customHeight="1">
      <c r="A938" s="3"/>
      <c r="B938" s="3"/>
      <c r="C938" s="3"/>
      <c r="D938" s="3"/>
      <c r="E938" s="3"/>
      <c r="F938" s="3"/>
      <c r="L938" s="3"/>
      <c r="M938" s="3"/>
      <c r="N938" s="3"/>
    </row>
    <row r="939" ht="15.75" customHeight="1">
      <c r="A939" s="3"/>
      <c r="B939" s="3"/>
      <c r="C939" s="3"/>
      <c r="D939" s="3"/>
      <c r="E939" s="3"/>
      <c r="F939" s="3"/>
      <c r="L939" s="3"/>
      <c r="M939" s="3"/>
      <c r="N939" s="3"/>
    </row>
    <row r="940" ht="15.75" customHeight="1">
      <c r="A940" s="3"/>
      <c r="B940" s="3"/>
      <c r="C940" s="3"/>
      <c r="D940" s="3"/>
      <c r="E940" s="3"/>
      <c r="F940" s="3"/>
      <c r="L940" s="3"/>
      <c r="M940" s="3"/>
      <c r="N940" s="3"/>
    </row>
    <row r="941" ht="15.75" customHeight="1">
      <c r="A941" s="3"/>
      <c r="B941" s="3"/>
      <c r="C941" s="3"/>
      <c r="D941" s="3"/>
      <c r="E941" s="3"/>
      <c r="F941" s="3"/>
      <c r="L941" s="3"/>
      <c r="M941" s="3"/>
      <c r="N941" s="3"/>
    </row>
    <row r="942" ht="15.75" customHeight="1">
      <c r="A942" s="3"/>
      <c r="B942" s="3"/>
      <c r="C942" s="3"/>
      <c r="D942" s="3"/>
      <c r="E942" s="3"/>
      <c r="F942" s="3"/>
      <c r="L942" s="3"/>
      <c r="M942" s="3"/>
      <c r="N942" s="3"/>
    </row>
    <row r="943" ht="15.75" customHeight="1">
      <c r="A943" s="3"/>
      <c r="B943" s="3"/>
      <c r="C943" s="3"/>
      <c r="D943" s="3"/>
      <c r="E943" s="3"/>
      <c r="F943" s="3"/>
      <c r="L943" s="3"/>
      <c r="M943" s="3"/>
      <c r="N943" s="3"/>
    </row>
    <row r="944" ht="15.75" customHeight="1">
      <c r="A944" s="3"/>
      <c r="B944" s="3"/>
      <c r="C944" s="3"/>
      <c r="D944" s="3"/>
      <c r="E944" s="3"/>
      <c r="F944" s="3"/>
      <c r="L944" s="3"/>
      <c r="M944" s="3"/>
      <c r="N944" s="3"/>
    </row>
    <row r="945" ht="15.75" customHeight="1">
      <c r="A945" s="3"/>
      <c r="B945" s="3"/>
      <c r="C945" s="3"/>
      <c r="D945" s="3"/>
      <c r="E945" s="3"/>
      <c r="F945" s="3"/>
      <c r="L945" s="3"/>
      <c r="M945" s="3"/>
      <c r="N945" s="3"/>
    </row>
    <row r="946" ht="15.75" customHeight="1">
      <c r="A946" s="3"/>
      <c r="B946" s="3"/>
      <c r="C946" s="3"/>
      <c r="D946" s="3"/>
      <c r="E946" s="3"/>
      <c r="F946" s="3"/>
      <c r="L946" s="3"/>
      <c r="M946" s="3"/>
      <c r="N946" s="3"/>
    </row>
    <row r="947" ht="15.75" customHeight="1">
      <c r="A947" s="3"/>
      <c r="B947" s="3"/>
      <c r="C947" s="3"/>
      <c r="D947" s="3"/>
      <c r="E947" s="3"/>
      <c r="F947" s="3"/>
      <c r="L947" s="3"/>
      <c r="M947" s="3"/>
      <c r="N947" s="3"/>
    </row>
    <row r="948" ht="15.75" customHeight="1">
      <c r="A948" s="3"/>
      <c r="B948" s="3"/>
      <c r="C948" s="3"/>
      <c r="D948" s="3"/>
      <c r="E948" s="3"/>
      <c r="F948" s="3"/>
      <c r="L948" s="3"/>
      <c r="M948" s="3"/>
      <c r="N948" s="3"/>
    </row>
    <row r="949" ht="15.75" customHeight="1">
      <c r="A949" s="3"/>
      <c r="B949" s="3"/>
      <c r="C949" s="3"/>
      <c r="D949" s="3"/>
      <c r="E949" s="3"/>
      <c r="F949" s="3"/>
      <c r="L949" s="3"/>
      <c r="M949" s="3"/>
      <c r="N949" s="3"/>
    </row>
    <row r="950" ht="15.75" customHeight="1">
      <c r="A950" s="3"/>
      <c r="B950" s="3"/>
      <c r="C950" s="3"/>
      <c r="D950" s="3"/>
      <c r="E950" s="3"/>
      <c r="F950" s="3"/>
      <c r="L950" s="3"/>
      <c r="M950" s="3"/>
      <c r="N950" s="3"/>
    </row>
    <row r="951" ht="15.75" customHeight="1">
      <c r="A951" s="3"/>
      <c r="B951" s="3"/>
      <c r="C951" s="3"/>
      <c r="D951" s="3"/>
      <c r="E951" s="3"/>
      <c r="F951" s="3"/>
      <c r="L951" s="3"/>
      <c r="M951" s="3"/>
      <c r="N951" s="3"/>
    </row>
    <row r="952" ht="15.75" customHeight="1">
      <c r="A952" s="3"/>
      <c r="B952" s="3"/>
      <c r="C952" s="3"/>
      <c r="D952" s="3"/>
      <c r="E952" s="3"/>
      <c r="F952" s="3"/>
      <c r="L952" s="3"/>
      <c r="M952" s="3"/>
      <c r="N952" s="3"/>
    </row>
    <row r="953" ht="15.75" customHeight="1">
      <c r="A953" s="3"/>
      <c r="B953" s="3"/>
      <c r="C953" s="3"/>
      <c r="D953" s="3"/>
      <c r="E953" s="3"/>
      <c r="F953" s="3"/>
      <c r="L953" s="3"/>
      <c r="M953" s="3"/>
      <c r="N953" s="3"/>
    </row>
    <row r="954" ht="15.75" customHeight="1">
      <c r="A954" s="3"/>
      <c r="B954" s="3"/>
      <c r="C954" s="3"/>
      <c r="D954" s="3"/>
      <c r="E954" s="3"/>
      <c r="F954" s="3"/>
      <c r="L954" s="3"/>
      <c r="M954" s="3"/>
      <c r="N954" s="3"/>
    </row>
    <row r="955" ht="15.75" customHeight="1">
      <c r="A955" s="3"/>
      <c r="B955" s="3"/>
      <c r="C955" s="3"/>
      <c r="D955" s="3"/>
      <c r="E955" s="3"/>
      <c r="F955" s="3"/>
      <c r="L955" s="3"/>
      <c r="M955" s="3"/>
      <c r="N955" s="3"/>
    </row>
    <row r="956" ht="15.75" customHeight="1">
      <c r="A956" s="3"/>
      <c r="B956" s="3"/>
      <c r="C956" s="3"/>
      <c r="D956" s="3"/>
      <c r="E956" s="3"/>
      <c r="F956" s="3"/>
      <c r="L956" s="3"/>
      <c r="M956" s="3"/>
      <c r="N956" s="3"/>
    </row>
    <row r="957" ht="15.75" customHeight="1">
      <c r="A957" s="3"/>
      <c r="B957" s="3"/>
      <c r="C957" s="3"/>
      <c r="D957" s="3"/>
      <c r="E957" s="3"/>
      <c r="F957" s="3"/>
      <c r="L957" s="3"/>
      <c r="M957" s="3"/>
      <c r="N957" s="3"/>
    </row>
    <row r="958" ht="15.75" customHeight="1">
      <c r="A958" s="3"/>
      <c r="B958" s="3"/>
      <c r="C958" s="3"/>
      <c r="D958" s="3"/>
      <c r="E958" s="3"/>
      <c r="F958" s="3"/>
      <c r="L958" s="3"/>
      <c r="M958" s="3"/>
      <c r="N958" s="3"/>
    </row>
    <row r="959" ht="15.75" customHeight="1">
      <c r="A959" s="3"/>
      <c r="B959" s="3"/>
      <c r="C959" s="3"/>
      <c r="D959" s="3"/>
      <c r="E959" s="3"/>
      <c r="F959" s="3"/>
      <c r="L959" s="3"/>
      <c r="M959" s="3"/>
      <c r="N959" s="3"/>
    </row>
    <row r="960" ht="15.75" customHeight="1">
      <c r="A960" s="3"/>
      <c r="B960" s="3"/>
      <c r="C960" s="3"/>
      <c r="D960" s="3"/>
      <c r="E960" s="3"/>
      <c r="F960" s="3"/>
      <c r="L960" s="3"/>
      <c r="M960" s="3"/>
      <c r="N960" s="3"/>
    </row>
    <row r="961" ht="15.75" customHeight="1">
      <c r="A961" s="3"/>
      <c r="B961" s="3"/>
      <c r="C961" s="3"/>
      <c r="D961" s="3"/>
      <c r="E961" s="3"/>
      <c r="F961" s="3"/>
      <c r="L961" s="3"/>
      <c r="M961" s="3"/>
      <c r="N961" s="3"/>
    </row>
    <row r="962" ht="15.75" customHeight="1">
      <c r="A962" s="3"/>
      <c r="B962" s="3"/>
      <c r="C962" s="3"/>
      <c r="D962" s="3"/>
      <c r="E962" s="3"/>
      <c r="F962" s="3"/>
      <c r="L962" s="3"/>
      <c r="M962" s="3"/>
      <c r="N962" s="3"/>
    </row>
    <row r="963" ht="15.75" customHeight="1">
      <c r="A963" s="3"/>
      <c r="B963" s="3"/>
      <c r="C963" s="3"/>
      <c r="D963" s="3"/>
      <c r="E963" s="3"/>
      <c r="F963" s="3"/>
      <c r="L963" s="3"/>
      <c r="M963" s="3"/>
      <c r="N963" s="3"/>
    </row>
    <row r="964" ht="15.75" customHeight="1">
      <c r="A964" s="3"/>
      <c r="B964" s="3"/>
      <c r="C964" s="3"/>
      <c r="D964" s="3"/>
      <c r="E964" s="3"/>
      <c r="F964" s="3"/>
      <c r="L964" s="3"/>
      <c r="M964" s="3"/>
      <c r="N964" s="3"/>
    </row>
    <row r="965" ht="15.75" customHeight="1">
      <c r="A965" s="3"/>
      <c r="B965" s="3"/>
      <c r="C965" s="3"/>
      <c r="D965" s="3"/>
      <c r="E965" s="3"/>
      <c r="F965" s="3"/>
      <c r="L965" s="3"/>
      <c r="M965" s="3"/>
      <c r="N965" s="3"/>
    </row>
    <row r="966" ht="15.75" customHeight="1">
      <c r="A966" s="3"/>
      <c r="B966" s="3"/>
      <c r="C966" s="3"/>
      <c r="D966" s="3"/>
      <c r="E966" s="3"/>
      <c r="F966" s="3"/>
      <c r="L966" s="3"/>
      <c r="M966" s="3"/>
      <c r="N966" s="3"/>
    </row>
    <row r="967" ht="15.75" customHeight="1">
      <c r="A967" s="3"/>
      <c r="B967" s="3"/>
      <c r="C967" s="3"/>
      <c r="D967" s="3"/>
      <c r="E967" s="3"/>
      <c r="F967" s="3"/>
      <c r="L967" s="3"/>
      <c r="M967" s="3"/>
      <c r="N967" s="3"/>
    </row>
    <row r="968" ht="15.75" customHeight="1">
      <c r="A968" s="3"/>
      <c r="B968" s="3"/>
      <c r="C968" s="3"/>
      <c r="D968" s="3"/>
      <c r="E968" s="3"/>
      <c r="F968" s="3"/>
      <c r="L968" s="3"/>
      <c r="M968" s="3"/>
      <c r="N968" s="3"/>
    </row>
    <row r="969" ht="15.75" customHeight="1">
      <c r="A969" s="3"/>
      <c r="B969" s="3"/>
      <c r="C969" s="3"/>
      <c r="D969" s="3"/>
      <c r="E969" s="3"/>
      <c r="F969" s="3"/>
      <c r="L969" s="3"/>
      <c r="M969" s="3"/>
      <c r="N969" s="3"/>
    </row>
    <row r="970" ht="15.75" customHeight="1">
      <c r="A970" s="3"/>
      <c r="B970" s="3"/>
      <c r="C970" s="3"/>
      <c r="D970" s="3"/>
      <c r="E970" s="3"/>
      <c r="F970" s="3"/>
      <c r="L970" s="3"/>
      <c r="M970" s="3"/>
      <c r="N970" s="3"/>
    </row>
    <row r="971" ht="15.75" customHeight="1">
      <c r="A971" s="3"/>
      <c r="B971" s="3"/>
      <c r="C971" s="3"/>
      <c r="D971" s="3"/>
      <c r="E971" s="3"/>
      <c r="F971" s="3"/>
      <c r="L971" s="3"/>
      <c r="M971" s="3"/>
      <c r="N971" s="3"/>
    </row>
    <row r="972" ht="15.75" customHeight="1">
      <c r="A972" s="3"/>
      <c r="B972" s="3"/>
      <c r="C972" s="3"/>
      <c r="D972" s="3"/>
      <c r="E972" s="3"/>
      <c r="F972" s="3"/>
      <c r="L972" s="3"/>
      <c r="M972" s="3"/>
      <c r="N972" s="3"/>
    </row>
    <row r="973" ht="15.75" customHeight="1">
      <c r="A973" s="3"/>
      <c r="B973" s="3"/>
      <c r="C973" s="3"/>
      <c r="D973" s="3"/>
      <c r="E973" s="3"/>
      <c r="F973" s="3"/>
      <c r="L973" s="3"/>
      <c r="M973" s="3"/>
      <c r="N973" s="3"/>
    </row>
    <row r="974" ht="15.75" customHeight="1">
      <c r="A974" s="3"/>
      <c r="B974" s="3"/>
      <c r="C974" s="3"/>
      <c r="D974" s="3"/>
      <c r="E974" s="3"/>
      <c r="F974" s="3"/>
      <c r="L974" s="3"/>
      <c r="M974" s="3"/>
      <c r="N974" s="3"/>
    </row>
    <row r="975" ht="15.75" customHeight="1">
      <c r="A975" s="3"/>
      <c r="B975" s="3"/>
      <c r="C975" s="3"/>
      <c r="D975" s="3"/>
      <c r="E975" s="3"/>
      <c r="F975" s="3"/>
      <c r="L975" s="3"/>
      <c r="M975" s="3"/>
      <c r="N975" s="3"/>
    </row>
    <row r="976" ht="15.75" customHeight="1">
      <c r="A976" s="3"/>
      <c r="B976" s="3"/>
      <c r="C976" s="3"/>
      <c r="D976" s="3"/>
      <c r="E976" s="3"/>
      <c r="F976" s="3"/>
      <c r="L976" s="3"/>
      <c r="M976" s="3"/>
      <c r="N976" s="3"/>
    </row>
    <row r="977" ht="15.75" customHeight="1">
      <c r="A977" s="3"/>
      <c r="B977" s="3"/>
      <c r="C977" s="3"/>
      <c r="D977" s="3"/>
      <c r="E977" s="3"/>
      <c r="F977" s="3"/>
      <c r="L977" s="3"/>
      <c r="M977" s="3"/>
      <c r="N977" s="3"/>
    </row>
    <row r="978" ht="15.75" customHeight="1">
      <c r="A978" s="3"/>
      <c r="B978" s="3"/>
      <c r="C978" s="3"/>
      <c r="D978" s="3"/>
      <c r="E978" s="3"/>
      <c r="F978" s="3"/>
      <c r="L978" s="3"/>
      <c r="M978" s="3"/>
      <c r="N978" s="3"/>
    </row>
    <row r="979" ht="15.75" customHeight="1">
      <c r="A979" s="3"/>
      <c r="B979" s="3"/>
      <c r="C979" s="3"/>
      <c r="D979" s="3"/>
      <c r="E979" s="3"/>
      <c r="F979" s="3"/>
      <c r="L979" s="3"/>
      <c r="M979" s="3"/>
      <c r="N979" s="3"/>
    </row>
    <row r="980" ht="15.75" customHeight="1">
      <c r="A980" s="3"/>
      <c r="B980" s="3"/>
      <c r="C980" s="3"/>
      <c r="D980" s="3"/>
      <c r="E980" s="3"/>
      <c r="F980" s="3"/>
      <c r="L980" s="3"/>
      <c r="M980" s="3"/>
      <c r="N980" s="3"/>
    </row>
    <row r="981" ht="15.75" customHeight="1">
      <c r="A981" s="3"/>
      <c r="B981" s="3"/>
      <c r="C981" s="3"/>
      <c r="D981" s="3"/>
      <c r="E981" s="3"/>
      <c r="F981" s="3"/>
      <c r="L981" s="3"/>
      <c r="M981" s="3"/>
      <c r="N981" s="3"/>
    </row>
    <row r="982" ht="15.75" customHeight="1">
      <c r="A982" s="3"/>
      <c r="B982" s="3"/>
      <c r="C982" s="3"/>
      <c r="D982" s="3"/>
      <c r="E982" s="3"/>
      <c r="F982" s="3"/>
      <c r="L982" s="3"/>
      <c r="M982" s="3"/>
      <c r="N982" s="3"/>
    </row>
    <row r="983" ht="15.75" customHeight="1">
      <c r="A983" s="3"/>
      <c r="B983" s="3"/>
      <c r="C983" s="3"/>
      <c r="D983" s="3"/>
      <c r="E983" s="3"/>
      <c r="F983" s="3"/>
      <c r="L983" s="3"/>
      <c r="M983" s="3"/>
      <c r="N983" s="3"/>
    </row>
    <row r="984" ht="15.75" customHeight="1">
      <c r="A984" s="3"/>
      <c r="B984" s="3"/>
      <c r="C984" s="3"/>
      <c r="D984" s="3"/>
      <c r="E984" s="3"/>
      <c r="F984" s="3"/>
      <c r="L984" s="3"/>
      <c r="M984" s="3"/>
      <c r="N984" s="3"/>
    </row>
    <row r="985" ht="15.75" customHeight="1">
      <c r="A985" s="3"/>
      <c r="B985" s="3"/>
      <c r="C985" s="3"/>
      <c r="D985" s="3"/>
      <c r="E985" s="3"/>
      <c r="F985" s="3"/>
      <c r="L985" s="3"/>
      <c r="M985" s="3"/>
      <c r="N985" s="3"/>
    </row>
    <row r="986" ht="15.75" customHeight="1">
      <c r="A986" s="3"/>
      <c r="B986" s="3"/>
      <c r="C986" s="3"/>
      <c r="D986" s="3"/>
      <c r="E986" s="3"/>
      <c r="F986" s="3"/>
      <c r="L986" s="3"/>
      <c r="M986" s="3"/>
      <c r="N986" s="3"/>
    </row>
    <row r="987" ht="15.75" customHeight="1">
      <c r="A987" s="3"/>
      <c r="B987" s="3"/>
      <c r="C987" s="3"/>
      <c r="D987" s="3"/>
      <c r="E987" s="3"/>
      <c r="F987" s="3"/>
      <c r="L987" s="3"/>
      <c r="M987" s="3"/>
      <c r="N987" s="3"/>
    </row>
    <row r="988" ht="15.75" customHeight="1">
      <c r="A988" s="3"/>
      <c r="B988" s="3"/>
      <c r="C988" s="3"/>
      <c r="D988" s="3"/>
      <c r="E988" s="3"/>
      <c r="F988" s="3"/>
      <c r="L988" s="3"/>
      <c r="M988" s="3"/>
      <c r="N988" s="3"/>
    </row>
    <row r="989" ht="15.75" customHeight="1">
      <c r="A989" s="3"/>
      <c r="B989" s="3"/>
      <c r="C989" s="3"/>
      <c r="D989" s="3"/>
      <c r="E989" s="3"/>
      <c r="F989" s="3"/>
      <c r="L989" s="3"/>
      <c r="M989" s="3"/>
      <c r="N989" s="3"/>
    </row>
    <row r="990" ht="15.75" customHeight="1">
      <c r="A990" s="3"/>
      <c r="B990" s="3"/>
      <c r="C990" s="3"/>
      <c r="D990" s="3"/>
      <c r="E990" s="3"/>
      <c r="F990" s="3"/>
      <c r="L990" s="3"/>
      <c r="M990" s="3"/>
      <c r="N990" s="3"/>
    </row>
    <row r="991" ht="15.75" customHeight="1">
      <c r="A991" s="3"/>
      <c r="B991" s="3"/>
      <c r="C991" s="3"/>
      <c r="D991" s="3"/>
      <c r="E991" s="3"/>
      <c r="F991" s="3"/>
      <c r="L991" s="3"/>
      <c r="M991" s="3"/>
      <c r="N991" s="3"/>
    </row>
    <row r="992" ht="15.75" customHeight="1">
      <c r="A992" s="3"/>
      <c r="B992" s="3"/>
      <c r="C992" s="3"/>
      <c r="D992" s="3"/>
      <c r="E992" s="3"/>
      <c r="F992" s="3"/>
      <c r="L992" s="3"/>
      <c r="M992" s="3"/>
      <c r="N992" s="3"/>
    </row>
    <row r="993" ht="15.75" customHeight="1">
      <c r="A993" s="3"/>
      <c r="B993" s="3"/>
      <c r="C993" s="3"/>
      <c r="D993" s="3"/>
      <c r="E993" s="3"/>
      <c r="F993" s="3"/>
      <c r="L993" s="3"/>
      <c r="M993" s="3"/>
      <c r="N993" s="3"/>
    </row>
    <row r="994" ht="15.75" customHeight="1">
      <c r="A994" s="3"/>
      <c r="B994" s="3"/>
      <c r="C994" s="3"/>
      <c r="D994" s="3"/>
      <c r="E994" s="3"/>
      <c r="F994" s="3"/>
      <c r="L994" s="3"/>
      <c r="M994" s="3"/>
      <c r="N994" s="3"/>
    </row>
    <row r="995" ht="15.75" customHeight="1">
      <c r="A995" s="3"/>
      <c r="B995" s="3"/>
      <c r="C995" s="3"/>
      <c r="D995" s="3"/>
      <c r="E995" s="3"/>
      <c r="F995" s="3"/>
      <c r="L995" s="3"/>
      <c r="M995" s="3"/>
      <c r="N995" s="3"/>
    </row>
    <row r="996" ht="15.75" customHeight="1">
      <c r="A996" s="3"/>
      <c r="B996" s="3"/>
      <c r="C996" s="3"/>
      <c r="D996" s="3"/>
      <c r="E996" s="3"/>
      <c r="F996" s="3"/>
      <c r="L996" s="3"/>
      <c r="M996" s="3"/>
      <c r="N996" s="3"/>
    </row>
    <row r="997" ht="15.75" customHeight="1">
      <c r="A997" s="3"/>
      <c r="B997" s="3"/>
      <c r="C997" s="3"/>
      <c r="D997" s="3"/>
      <c r="E997" s="3"/>
      <c r="F997" s="3"/>
      <c r="L997" s="3"/>
      <c r="M997" s="3"/>
      <c r="N997" s="3"/>
    </row>
    <row r="998" ht="15.75" customHeight="1">
      <c r="A998" s="3"/>
      <c r="B998" s="3"/>
      <c r="C998" s="3"/>
      <c r="D998" s="3"/>
      <c r="E998" s="3"/>
      <c r="F998" s="3"/>
      <c r="L998" s="3"/>
      <c r="M998" s="3"/>
      <c r="N998" s="3"/>
    </row>
    <row r="999" ht="15.75" customHeight="1">
      <c r="A999" s="3"/>
      <c r="B999" s="3"/>
      <c r="C999" s="3"/>
      <c r="D999" s="3"/>
      <c r="E999" s="3"/>
      <c r="F999" s="3"/>
      <c r="L999" s="3"/>
      <c r="M999" s="3"/>
      <c r="N999" s="3"/>
    </row>
    <row r="1000" ht="15.75" customHeight="1">
      <c r="A1000" s="3"/>
      <c r="B1000" s="3"/>
      <c r="C1000" s="3"/>
      <c r="D1000" s="3"/>
      <c r="E1000" s="3"/>
      <c r="F1000" s="3"/>
      <c r="L1000" s="3"/>
      <c r="M1000" s="3"/>
      <c r="N1000" s="3"/>
    </row>
  </sheetData>
  <mergeCells count="16">
    <mergeCell ref="F1:I1"/>
    <mergeCell ref="L1:N1"/>
    <mergeCell ref="F8:I8"/>
    <mergeCell ref="L8:N8"/>
    <mergeCell ref="F15:I15"/>
    <mergeCell ref="L15:N15"/>
    <mergeCell ref="L22:N22"/>
    <mergeCell ref="F50:I50"/>
    <mergeCell ref="L50:N50"/>
    <mergeCell ref="F22:I22"/>
    <mergeCell ref="F29:I29"/>
    <mergeCell ref="L29:N29"/>
    <mergeCell ref="F36:I36"/>
    <mergeCell ref="L36:N36"/>
    <mergeCell ref="F43:I43"/>
    <mergeCell ref="L43:N4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2" width="34.13"/>
    <col customWidth="1" min="3" max="3" width="22.63"/>
    <col customWidth="1" min="4" max="4" width="23.0"/>
    <col customWidth="1" min="5" max="6" width="17.63"/>
    <col customWidth="1" min="12" max="12" width="22.5"/>
    <col customWidth="1" min="13" max="13" width="12.13"/>
    <col customWidth="1" min="14" max="14" width="15.5"/>
    <col customWidth="1" min="15" max="15" width="12.13"/>
    <col customWidth="1" min="22" max="22" width="36.38"/>
    <col customWidth="1" min="23" max="23" width="11.63"/>
    <col customWidth="1" min="24" max="24" width="56.63"/>
  </cols>
  <sheetData>
    <row r="1" ht="15.75" customHeight="1">
      <c r="A1" s="1" t="s">
        <v>0</v>
      </c>
      <c r="B1" s="2" t="s">
        <v>1</v>
      </c>
      <c r="C1" s="10" t="s">
        <v>46</v>
      </c>
      <c r="D1" s="10" t="s">
        <v>106</v>
      </c>
      <c r="E1" s="3"/>
      <c r="F1" s="40" t="s">
        <v>110</v>
      </c>
      <c r="L1" s="40" t="s">
        <v>140</v>
      </c>
      <c r="V1" s="3"/>
      <c r="W1" s="3"/>
      <c r="X1" s="3"/>
    </row>
    <row r="2" ht="15.75" customHeight="1">
      <c r="A2" s="43" t="str">
        <f>CombinedHumanGrading!A2</f>
        <v>State</v>
      </c>
      <c r="B2" s="44" t="str">
        <f>CombinedHumanGrading!B2</f>
        <v>initial state (Off)</v>
      </c>
      <c r="C2" s="11">
        <f>CombinedHumanGrading!C2</f>
        <v>1</v>
      </c>
      <c r="D2" s="11">
        <f>'Gemini 3.1 Pro Preview Grading'!C2</f>
        <v>1</v>
      </c>
      <c r="E2" s="3"/>
      <c r="F2" s="9" t="s">
        <v>112</v>
      </c>
      <c r="G2" s="45" t="s">
        <v>113</v>
      </c>
      <c r="H2" s="46" t="s">
        <v>114</v>
      </c>
      <c r="I2" s="47" t="s">
        <v>115</v>
      </c>
      <c r="J2" s="63" t="s">
        <v>116</v>
      </c>
      <c r="K2" s="9"/>
      <c r="L2" s="9" t="s">
        <v>112</v>
      </c>
      <c r="M2" s="62" t="s">
        <v>113</v>
      </c>
      <c r="N2" s="62" t="s">
        <v>114</v>
      </c>
      <c r="O2" s="62" t="s">
        <v>115</v>
      </c>
      <c r="P2" s="9"/>
      <c r="Q2" s="9" t="s">
        <v>112</v>
      </c>
      <c r="R2" s="62" t="s">
        <v>113</v>
      </c>
      <c r="S2" s="62" t="s">
        <v>114</v>
      </c>
      <c r="T2" s="62" t="s">
        <v>115</v>
      </c>
      <c r="V2" s="49" t="str">
        <f>"Metrics" &amp; " " &amp; F2
</f>
        <v>Metrics Global</v>
      </c>
      <c r="W2" s="49" t="s">
        <v>118</v>
      </c>
      <c r="X2" s="49" t="s">
        <v>119</v>
      </c>
    </row>
    <row r="3" ht="15.75" customHeight="1">
      <c r="A3" s="43" t="str">
        <f>CombinedHumanGrading!A3</f>
        <v>State</v>
      </c>
      <c r="B3" s="44" t="str">
        <f>CombinedHumanGrading!B3</f>
        <v>Off</v>
      </c>
      <c r="C3" s="11">
        <f>CombinedHumanGrading!C3</f>
        <v>1</v>
      </c>
      <c r="D3" s="11">
        <f>'Gemini 3.1 Pro Preview Grading'!C3</f>
        <v>1</v>
      </c>
      <c r="E3" s="3"/>
      <c r="F3" s="50">
        <v>0.0</v>
      </c>
      <c r="G3" s="51">
        <f>COUNTIFS($C$2:$C$90, $F3, $D$2:$D$90, G$2)</f>
        <v>7</v>
      </c>
      <c r="H3" s="52">
        <f>COUNTIFS($C$2:$C$38, $F3, $D$2:$D$38, H$2)</f>
        <v>0</v>
      </c>
      <c r="I3" s="53">
        <f>COUNTIFS($C$2:$C$38, $F3, $D$2:$D$38, I$2)+MAX(D39-C39,0)+MAX(D40-C40,0)+MAX(D41-C41,0)+MAX(D42-C42,0)+MAX(D43-C43,0)+MAX(D44-C44,0)+MAX(D45-C45,0)</f>
        <v>0</v>
      </c>
      <c r="J3" s="9">
        <f t="shared" ref="J3:J5" si="4">SUM(G3:I3)</f>
        <v>7</v>
      </c>
      <c r="K3" s="9"/>
      <c r="L3" s="50">
        <v>0.0</v>
      </c>
      <c r="M3" s="51">
        <f t="shared" ref="M3:O3" si="1">ABS(G$2-$F3)/1</f>
        <v>0</v>
      </c>
      <c r="N3" s="52">
        <f t="shared" si="1"/>
        <v>0.5</v>
      </c>
      <c r="O3" s="53">
        <f t="shared" si="1"/>
        <v>1</v>
      </c>
      <c r="P3" s="9"/>
      <c r="Q3" s="50">
        <v>0.0</v>
      </c>
      <c r="R3" s="51">
        <f t="shared" ref="R3:T3" si="2">($J3/$J$6) * (G$6/$J$6)</f>
        <v>0.04700413223</v>
      </c>
      <c r="S3" s="52">
        <f t="shared" si="2"/>
        <v>0</v>
      </c>
      <c r="T3" s="53">
        <f t="shared" si="2"/>
        <v>0.1120867769</v>
      </c>
      <c r="U3" s="9"/>
      <c r="V3" s="54" t="s">
        <v>141</v>
      </c>
      <c r="W3" s="51">
        <f>SUMPRODUCT(G3:I5, M3:O5) /$J$6</f>
        <v>0.1363636364</v>
      </c>
      <c r="X3" s="53" t="s">
        <v>142</v>
      </c>
    </row>
    <row r="4" ht="15.75" customHeight="1">
      <c r="A4" s="43" t="str">
        <f>CombinedHumanGrading!A4</f>
        <v>Transition</v>
      </c>
      <c r="B4" s="44" t="str">
        <f>CombinedHumanGrading!B4</f>
        <v>on (Off =&gt; On)</v>
      </c>
      <c r="C4" s="11">
        <f>CombinedHumanGrading!C4</f>
        <v>1</v>
      </c>
      <c r="D4" s="11">
        <f>'Gemini 3.1 Pro Preview Grading'!C4</f>
        <v>1</v>
      </c>
      <c r="E4" s="3"/>
      <c r="F4" s="50">
        <v>0.5</v>
      </c>
      <c r="G4" s="55">
        <f t="shared" ref="G4:I4" si="3">COUNTIFS($C$2:$C$38, $F4, $D$2:$D$38, G$2)</f>
        <v>0</v>
      </c>
      <c r="H4" s="9">
        <f t="shared" si="3"/>
        <v>0</v>
      </c>
      <c r="I4" s="56">
        <f t="shared" si="3"/>
        <v>0</v>
      </c>
      <c r="J4" s="9">
        <f t="shared" si="4"/>
        <v>0</v>
      </c>
      <c r="K4" s="9"/>
      <c r="L4" s="50">
        <v>0.5</v>
      </c>
      <c r="M4" s="55">
        <f t="shared" ref="M4:M5" si="6">ABS(G$2-$F4)/1</f>
        <v>0.5</v>
      </c>
      <c r="N4" s="9">
        <f>ABS(H$2-$F4)/3</f>
        <v>0</v>
      </c>
      <c r="O4" s="56">
        <f>ABS(I$2-$F4)/1</f>
        <v>0.5</v>
      </c>
      <c r="P4" s="9"/>
      <c r="Q4" s="50">
        <v>0.5</v>
      </c>
      <c r="R4" s="55">
        <f t="shared" ref="R4:T4" si="5">($J4/$J$6) * (G$6/$J$6)</f>
        <v>0</v>
      </c>
      <c r="S4" s="9">
        <f t="shared" si="5"/>
        <v>0</v>
      </c>
      <c r="T4" s="56">
        <f t="shared" si="5"/>
        <v>0</v>
      </c>
      <c r="U4" s="9"/>
      <c r="V4" s="54" t="s">
        <v>143</v>
      </c>
      <c r="W4" s="55">
        <f>SUMPRODUCT(R3:T5, M3:O5)</f>
        <v>0.3605371901</v>
      </c>
      <c r="X4" s="56" t="s">
        <v>144</v>
      </c>
    </row>
    <row r="5" ht="15.75" customHeight="1">
      <c r="A5" s="43" t="str">
        <f>CombinedHumanGrading!A5</f>
        <v>Composite State</v>
      </c>
      <c r="B5" s="44" t="str">
        <f>CombinedHumanGrading!B5</f>
        <v>On</v>
      </c>
      <c r="C5" s="11">
        <f>CombinedHumanGrading!C5</f>
        <v>1</v>
      </c>
      <c r="D5" s="11">
        <f>'Gemini 3.1 Pro Preview Grading'!C5</f>
        <v>1</v>
      </c>
      <c r="E5" s="3"/>
      <c r="F5" s="50">
        <v>1.0</v>
      </c>
      <c r="G5" s="57">
        <f>COUNTIFS($C$2:$C$38, $F5, $D$2:$D$38, G$2)+MAX(C39-D39,0)+MAX(C40-D40,0)+MAX(C41-D41,0)+MAX(C42-D42,0)+MAX(C43-D43,0)+MAX(C44-D44,0)+MAX(C45-D45,0)</f>
        <v>6</v>
      </c>
      <c r="H5" s="58">
        <f>COUNTIFS($C$2:$C$38, $F5, $D$2:$D$38, H$2)</f>
        <v>0</v>
      </c>
      <c r="I5" s="59">
        <f>COUNTIFS($C$2:$C$38, $F5, $D$2:$D$38, I$2)+ SUM(MIN(C39,D39), MIN(C40,D40), MIN(C41,D41), MIN(C42,D42), MIN(C43,D43), MIN(C44,D44), MIN(C45,D45))</f>
        <v>31</v>
      </c>
      <c r="J5" s="9">
        <f t="shared" si="4"/>
        <v>37</v>
      </c>
      <c r="K5" s="9"/>
      <c r="L5" s="50">
        <v>1.0</v>
      </c>
      <c r="M5" s="57">
        <f t="shared" si="6"/>
        <v>1</v>
      </c>
      <c r="N5" s="58">
        <f t="shared" ref="N5:O5" si="7">ABS(H$2-$F5)/1</f>
        <v>0.5</v>
      </c>
      <c r="O5" s="59">
        <f t="shared" si="7"/>
        <v>0</v>
      </c>
      <c r="P5" s="9"/>
      <c r="Q5" s="50">
        <v>1.0</v>
      </c>
      <c r="R5" s="57">
        <f t="shared" ref="R5:T5" si="8">($J5/$J$6) * (G$6/$J$6)</f>
        <v>0.2484504132</v>
      </c>
      <c r="S5" s="58">
        <f t="shared" si="8"/>
        <v>0</v>
      </c>
      <c r="T5" s="59">
        <f t="shared" si="8"/>
        <v>0.5924586777</v>
      </c>
      <c r="U5" s="9"/>
      <c r="V5" s="54" t="s">
        <v>111</v>
      </c>
      <c r="W5" s="57">
        <f>1-W3/W4</f>
        <v>0.6217765043</v>
      </c>
      <c r="X5" s="59" t="s">
        <v>145</v>
      </c>
    </row>
    <row r="6" ht="15.75" customHeight="1">
      <c r="A6" s="43" t="str">
        <f>CombinedHumanGrading!A6</f>
        <v>Transition</v>
      </c>
      <c r="B6" s="44" t="str">
        <f>CombinedHumanGrading!B6</f>
        <v>off (On =&gt; Off)</v>
      </c>
      <c r="C6" s="11">
        <f>CombinedHumanGrading!C6</f>
        <v>1</v>
      </c>
      <c r="D6" s="11">
        <f>'Gemini 3.1 Pro Preview Grading'!C6</f>
        <v>1</v>
      </c>
      <c r="E6" s="3"/>
      <c r="F6" s="60" t="s">
        <v>125</v>
      </c>
      <c r="G6" s="9">
        <f t="shared" ref="G6:I6" si="9">SUM(G3:G5)</f>
        <v>13</v>
      </c>
      <c r="H6" s="9">
        <f t="shared" si="9"/>
        <v>0</v>
      </c>
      <c r="I6" s="9">
        <f t="shared" si="9"/>
        <v>31</v>
      </c>
      <c r="J6" s="9">
        <f>SUM(G3:I5)</f>
        <v>44</v>
      </c>
      <c r="L6" s="9"/>
      <c r="M6" s="9"/>
      <c r="N6" s="9"/>
      <c r="O6" s="9"/>
      <c r="P6" s="9"/>
      <c r="Q6" s="9"/>
      <c r="R6" s="9"/>
      <c r="S6" s="9"/>
      <c r="T6" s="9"/>
      <c r="V6" s="9"/>
      <c r="W6" s="61"/>
      <c r="X6" s="3"/>
    </row>
    <row r="7" ht="15.75" customHeight="1">
      <c r="A7" s="43" t="str">
        <f>CombinedHumanGrading!A7</f>
        <v>State</v>
      </c>
      <c r="B7" s="44" t="str">
        <f>CombinedHumanGrading!B7</f>
        <v>initial state (Idle)</v>
      </c>
      <c r="C7" s="11">
        <f>CombinedHumanGrading!C7</f>
        <v>1</v>
      </c>
      <c r="D7" s="11">
        <f>'Gemini 3.1 Pro Preview Grading'!C7</f>
        <v>1</v>
      </c>
      <c r="E7" s="3"/>
      <c r="F7" s="3"/>
      <c r="L7" s="9"/>
      <c r="M7" s="9"/>
      <c r="N7" s="9"/>
      <c r="O7" s="3"/>
      <c r="V7" s="3"/>
      <c r="W7" s="3"/>
      <c r="X7" s="3"/>
    </row>
    <row r="8" ht="15.75" customHeight="1">
      <c r="A8" s="43" t="str">
        <f>CombinedHumanGrading!A8</f>
        <v>State</v>
      </c>
      <c r="B8" s="44" t="str">
        <f>CombinedHumanGrading!B8</f>
        <v>Idle</v>
      </c>
      <c r="C8" s="11">
        <f>CombinedHumanGrading!C8</f>
        <v>1</v>
      </c>
      <c r="D8" s="11">
        <f>'Gemini 3.1 Pro Preview Grading'!C8</f>
        <v>1</v>
      </c>
      <c r="E8" s="3"/>
      <c r="F8" s="40" t="s">
        <v>126</v>
      </c>
      <c r="L8" s="3"/>
      <c r="M8" s="3"/>
      <c r="N8" s="3"/>
      <c r="O8" s="3"/>
      <c r="V8" s="3"/>
      <c r="W8" s="3"/>
      <c r="X8" s="3"/>
    </row>
    <row r="9" ht="15.75" customHeight="1">
      <c r="A9" s="43" t="str">
        <f>CombinedHumanGrading!A9</f>
        <v>Transition</v>
      </c>
      <c r="B9" s="44" t="str">
        <f>CombinedHumanGrading!B9</f>
        <v>login(cardID) (Idle =&gt; Idle)</v>
      </c>
      <c r="C9" s="11">
        <f>CombinedHumanGrading!C9</f>
        <v>1</v>
      </c>
      <c r="D9" s="11">
        <f>'Gemini 3.1 Pro Preview Grading'!C9</f>
        <v>1</v>
      </c>
      <c r="E9" s="3"/>
      <c r="F9" s="9" t="s">
        <v>2</v>
      </c>
      <c r="G9" s="62" t="s">
        <v>113</v>
      </c>
      <c r="H9" s="62" t="s">
        <v>114</v>
      </c>
      <c r="I9" s="62" t="s">
        <v>115</v>
      </c>
      <c r="J9" s="63" t="s">
        <v>116</v>
      </c>
      <c r="K9" s="9"/>
      <c r="L9" s="9" t="s">
        <v>112</v>
      </c>
      <c r="M9" s="62" t="s">
        <v>113</v>
      </c>
      <c r="N9" s="62" t="s">
        <v>114</v>
      </c>
      <c r="O9" s="62" t="s">
        <v>115</v>
      </c>
      <c r="P9" s="9"/>
      <c r="Q9" s="9" t="s">
        <v>112</v>
      </c>
      <c r="R9" s="62" t="s">
        <v>113</v>
      </c>
      <c r="S9" s="62" t="s">
        <v>114</v>
      </c>
      <c r="T9" s="62" t="s">
        <v>115</v>
      </c>
      <c r="V9" s="49" t="str">
        <f>"Metrics" &amp; " " &amp; F9
</f>
        <v>Metrics State</v>
      </c>
      <c r="W9" s="49" t="s">
        <v>118</v>
      </c>
      <c r="X9" s="49" t="s">
        <v>119</v>
      </c>
    </row>
    <row r="10" ht="15.75" customHeight="1">
      <c r="A10" s="43" t="str">
        <f>CombinedHumanGrading!A10</f>
        <v>Guard</v>
      </c>
      <c r="B10" s="44" t="str">
        <f>CombinedHumanGrading!B10</f>
        <v>[!idAuthorized(cardID)]</v>
      </c>
      <c r="C10" s="11">
        <f>CombinedHumanGrading!C10</f>
        <v>1</v>
      </c>
      <c r="D10" s="11">
        <f>'Gemini 3.1 Pro Preview Grading'!C10</f>
        <v>1</v>
      </c>
      <c r="E10" s="3"/>
      <c r="F10" s="50">
        <v>0.0</v>
      </c>
      <c r="G10" s="51">
        <f t="shared" ref="G10:G11" si="12">COUNTIFS($A$2:$A$38,$F$9,$C$2:$C$38,$F10,$D$2:$D$38,G$9)</f>
        <v>0</v>
      </c>
      <c r="H10" s="52">
        <f t="shared" ref="H10:H12" si="13">COUNTIFS($A$2:$A$90,$F$9,$C$2:$C$90,$F10,$D$2:$D$90,H$9)</f>
        <v>0</v>
      </c>
      <c r="I10" s="53">
        <f>COUNTIFS($A$2:$A$38,$F$9,$C$2:$C$38,$F10,$D$2:$D$38,I$9)+MAX(D39-C39,0)</f>
        <v>0</v>
      </c>
      <c r="J10" s="9">
        <f t="shared" ref="J10:J12" si="14">SUM(G10:I10)</f>
        <v>0</v>
      </c>
      <c r="K10" s="9"/>
      <c r="L10" s="50">
        <v>0.0</v>
      </c>
      <c r="M10" s="70">
        <f t="shared" ref="M10:O10" si="10">ABS(G$2-$F10)/1</f>
        <v>0</v>
      </c>
      <c r="N10" s="71">
        <f t="shared" si="10"/>
        <v>0.5</v>
      </c>
      <c r="O10" s="72">
        <f t="shared" si="10"/>
        <v>1</v>
      </c>
      <c r="P10" s="9"/>
      <c r="Q10" s="50">
        <v>0.0</v>
      </c>
      <c r="R10" s="51">
        <f t="shared" ref="R10:T10" si="11">($J10/$J$13) * (G$13/$J$13)</f>
        <v>0</v>
      </c>
      <c r="S10" s="52">
        <f t="shared" si="11"/>
        <v>0</v>
      </c>
      <c r="T10" s="53">
        <f t="shared" si="11"/>
        <v>0</v>
      </c>
      <c r="U10" s="9"/>
      <c r="V10" s="54" t="s">
        <v>141</v>
      </c>
      <c r="W10" s="51">
        <f>SUMPRODUCT(G10:I12, M10:O12) /$J$13</f>
        <v>0</v>
      </c>
      <c r="X10" s="53" t="s">
        <v>142</v>
      </c>
    </row>
    <row r="11" ht="15.75" customHeight="1">
      <c r="A11" s="43" t="str">
        <f>CombinedHumanGrading!A11</f>
        <v>Transition</v>
      </c>
      <c r="B11" s="44" t="str">
        <f>CombinedHumanGrading!B11</f>
        <v>login(cardID) (Idle =&gt; Ready)</v>
      </c>
      <c r="C11" s="11">
        <f>CombinedHumanGrading!C11</f>
        <v>1</v>
      </c>
      <c r="D11" s="11">
        <f>'Gemini 3.1 Pro Preview Grading'!C11</f>
        <v>1</v>
      </c>
      <c r="E11" s="3"/>
      <c r="F11" s="50">
        <v>0.5</v>
      </c>
      <c r="G11" s="55">
        <f t="shared" si="12"/>
        <v>0</v>
      </c>
      <c r="H11" s="9">
        <f t="shared" si="13"/>
        <v>0</v>
      </c>
      <c r="I11" s="56">
        <f>COUNTIFS($A$2:$A$38,$F$9,$C$2:$C$38,$F11,$D$2:$D$38,I$9)</f>
        <v>0</v>
      </c>
      <c r="J11" s="9">
        <f t="shared" si="14"/>
        <v>0</v>
      </c>
      <c r="K11" s="9"/>
      <c r="L11" s="50">
        <v>0.5</v>
      </c>
      <c r="M11" s="73">
        <f t="shared" ref="M11:M12" si="16">ABS(G$2-$F11)/1</f>
        <v>0.5</v>
      </c>
      <c r="N11" s="74">
        <f>ABS(H$2-$F11)/3</f>
        <v>0</v>
      </c>
      <c r="O11" s="75">
        <f>ABS(I$2-$F11)/1</f>
        <v>0.5</v>
      </c>
      <c r="P11" s="9"/>
      <c r="Q11" s="50">
        <v>0.5</v>
      </c>
      <c r="R11" s="55">
        <f t="shared" ref="R11:T11" si="15">($J11/$J$13) * (G$13/$J$13)</f>
        <v>0</v>
      </c>
      <c r="S11" s="9">
        <f t="shared" si="15"/>
        <v>0</v>
      </c>
      <c r="T11" s="56">
        <f t="shared" si="15"/>
        <v>0</v>
      </c>
      <c r="U11" s="9"/>
      <c r="V11" s="54" t="s">
        <v>143</v>
      </c>
      <c r="W11" s="55">
        <f>SUMPRODUCT(R10:T12, M10:O12)</f>
        <v>0</v>
      </c>
      <c r="X11" s="56" t="s">
        <v>144</v>
      </c>
    </row>
    <row r="12" ht="15.75" customHeight="1">
      <c r="A12" s="43" t="str">
        <f>CombinedHumanGrading!A12</f>
        <v>Guard</v>
      </c>
      <c r="B12" s="44" t="str">
        <f>CombinedHumanGrading!B12</f>
        <v>[idAuthorized(cardID)]</v>
      </c>
      <c r="C12" s="11">
        <f>CombinedHumanGrading!C12</f>
        <v>1</v>
      </c>
      <c r="D12" s="11">
        <f>'Gemini 3.1 Pro Preview Grading'!C12</f>
        <v>1</v>
      </c>
      <c r="E12" s="3"/>
      <c r="F12" s="50">
        <v>1.0</v>
      </c>
      <c r="G12" s="57">
        <f>COUNTIFS($A$2:$A$38,$F$9,$C$2:$C$38,$F12,$D$2:$D$38,G$9)+MAX(C39-D39,0)</f>
        <v>0</v>
      </c>
      <c r="H12" s="58">
        <f t="shared" si="13"/>
        <v>0</v>
      </c>
      <c r="I12" s="59">
        <f>COUNTIFS($A$2:$A$38,$F$9,$C$2:$C$38,$F12,$D$2:$D$38,I$9)+MIN(C39-D39)</f>
        <v>8</v>
      </c>
      <c r="J12" s="9">
        <f t="shared" si="14"/>
        <v>8</v>
      </c>
      <c r="K12" s="9"/>
      <c r="L12" s="50">
        <v>1.0</v>
      </c>
      <c r="M12" s="76">
        <f t="shared" si="16"/>
        <v>1</v>
      </c>
      <c r="N12" s="77">
        <f t="shared" ref="N12:O12" si="17">ABS(H$2-$F12)/1</f>
        <v>0.5</v>
      </c>
      <c r="O12" s="78">
        <f t="shared" si="17"/>
        <v>0</v>
      </c>
      <c r="P12" s="9"/>
      <c r="Q12" s="50">
        <v>1.0</v>
      </c>
      <c r="R12" s="57">
        <f t="shared" ref="R12:T12" si="18">($J12/$J$13) * (G$13/$J$13)</f>
        <v>0</v>
      </c>
      <c r="S12" s="58">
        <f t="shared" si="18"/>
        <v>0</v>
      </c>
      <c r="T12" s="59">
        <f t="shared" si="18"/>
        <v>1</v>
      </c>
      <c r="U12" s="9"/>
      <c r="V12" s="54" t="s">
        <v>111</v>
      </c>
      <c r="W12" s="57" t="str">
        <f>1-W10/W11</f>
        <v>#DIV/0!</v>
      </c>
      <c r="X12" s="59" t="s">
        <v>145</v>
      </c>
    </row>
    <row r="13" ht="15.75" customHeight="1">
      <c r="A13" s="43" t="str">
        <f>CombinedHumanGrading!A13</f>
        <v>Action</v>
      </c>
      <c r="B13" s="44" t="str">
        <f>CombinedHumanGrading!B13</f>
        <v>action="none"</v>
      </c>
      <c r="C13" s="11">
        <f>CombinedHumanGrading!C13</f>
        <v>1</v>
      </c>
      <c r="D13" s="11">
        <f>'Gemini 3.1 Pro Preview Grading'!C13</f>
        <v>0</v>
      </c>
      <c r="E13" s="3"/>
      <c r="F13" s="60" t="s">
        <v>125</v>
      </c>
      <c r="G13" s="9">
        <f t="shared" ref="G13:I13" si="19">SUM(G10:G12)</f>
        <v>0</v>
      </c>
      <c r="H13" s="9">
        <f t="shared" si="19"/>
        <v>0</v>
      </c>
      <c r="I13" s="9">
        <f t="shared" si="19"/>
        <v>8</v>
      </c>
      <c r="J13" s="9">
        <f>SUM(G10:I12)</f>
        <v>8</v>
      </c>
      <c r="L13" s="3"/>
      <c r="M13" s="3"/>
      <c r="N13" s="3"/>
      <c r="O13" s="3"/>
      <c r="V13" s="3"/>
      <c r="W13" s="3"/>
      <c r="X13" s="3"/>
    </row>
    <row r="14" ht="15.75" customHeight="1">
      <c r="A14" s="43" t="str">
        <f>CombinedHumanGrading!A14</f>
        <v>State</v>
      </c>
      <c r="B14" s="44" t="str">
        <f>CombinedHumanGrading!B14</f>
        <v>Ready</v>
      </c>
      <c r="C14" s="11">
        <f>CombinedHumanGrading!C14</f>
        <v>1</v>
      </c>
      <c r="D14" s="11">
        <f>'Gemini 3.1 Pro Preview Grading'!C14</f>
        <v>1</v>
      </c>
      <c r="E14" s="3"/>
      <c r="F14" s="3"/>
      <c r="L14" s="3"/>
      <c r="M14" s="3"/>
      <c r="N14" s="3"/>
      <c r="O14" s="3"/>
      <c r="V14" s="3"/>
      <c r="W14" s="3"/>
      <c r="X14" s="3"/>
    </row>
    <row r="15" ht="15.75" customHeight="1">
      <c r="A15" s="43" t="str">
        <f>CombinedHumanGrading!A15</f>
        <v>Transition</v>
      </c>
      <c r="B15" s="44" t="str">
        <f>CombinedHumanGrading!B15</f>
        <v>logoff (Ready =&gt; Idle)</v>
      </c>
      <c r="C15" s="11">
        <f>CombinedHumanGrading!C15</f>
        <v>1</v>
      </c>
      <c r="D15" s="11">
        <f>'Gemini 3.1 Pro Preview Grading'!C15</f>
        <v>1</v>
      </c>
      <c r="E15" s="3"/>
      <c r="F15" s="40" t="s">
        <v>128</v>
      </c>
      <c r="L15" s="3"/>
      <c r="M15" s="3"/>
      <c r="N15" s="3"/>
      <c r="O15" s="3"/>
      <c r="V15" s="3"/>
      <c r="W15" s="3"/>
      <c r="X15" s="3"/>
    </row>
    <row r="16" ht="15.75" customHeight="1">
      <c r="A16" s="43" t="str">
        <f>CombinedHumanGrading!A16</f>
        <v>Transition</v>
      </c>
      <c r="B16" s="44" t="str">
        <f>CombinedHumanGrading!B16</f>
        <v>start (Ready =&gt; Ready)</v>
      </c>
      <c r="C16" s="11">
        <f>CombinedHumanGrading!C16</f>
        <v>1</v>
      </c>
      <c r="D16" s="11">
        <f>'Gemini 3.1 Pro Preview Grading'!C16</f>
        <v>1</v>
      </c>
      <c r="E16" s="3"/>
      <c r="F16" s="9" t="s">
        <v>5</v>
      </c>
      <c r="G16" s="62" t="s">
        <v>113</v>
      </c>
      <c r="H16" s="62" t="s">
        <v>114</v>
      </c>
      <c r="I16" s="62" t="s">
        <v>115</v>
      </c>
      <c r="J16" s="63" t="s">
        <v>116</v>
      </c>
      <c r="K16" s="9"/>
      <c r="L16" s="9" t="s">
        <v>112</v>
      </c>
      <c r="M16" s="62" t="s">
        <v>113</v>
      </c>
      <c r="N16" s="62" t="s">
        <v>114</v>
      </c>
      <c r="O16" s="62" t="s">
        <v>115</v>
      </c>
      <c r="P16" s="9"/>
      <c r="Q16" s="9" t="s">
        <v>112</v>
      </c>
      <c r="R16" s="62" t="s">
        <v>113</v>
      </c>
      <c r="S16" s="62" t="s">
        <v>114</v>
      </c>
      <c r="T16" s="62" t="s">
        <v>115</v>
      </c>
      <c r="V16" s="49" t="str">
        <f>"Metrics" &amp; " " &amp; F16
</f>
        <v>Metrics Transition</v>
      </c>
      <c r="W16" s="49" t="s">
        <v>118</v>
      </c>
      <c r="X16" s="49" t="s">
        <v>119</v>
      </c>
    </row>
    <row r="17" ht="15.75" customHeight="1">
      <c r="A17" s="43" t="str">
        <f>CombinedHumanGrading!A17</f>
        <v>Guard</v>
      </c>
      <c r="B17" s="44" t="str">
        <f>CombinedHumanGrading!B17</f>
        <v>[action=="scan" &amp; !originalLoaded()]</v>
      </c>
      <c r="C17" s="11">
        <f>CombinedHumanGrading!C17</f>
        <v>1</v>
      </c>
      <c r="D17" s="11">
        <f>'Gemini 3.1 Pro Preview Grading'!C17</f>
        <v>1</v>
      </c>
      <c r="E17" s="3"/>
      <c r="F17" s="50">
        <v>0.0</v>
      </c>
      <c r="G17" s="51">
        <f t="shared" ref="G17:H17" si="20">COUNTIFS($A$2:$A$90,$F$16,$C$2:$C$90,$F17,$D$2:$D$90,G$16)</f>
        <v>1</v>
      </c>
      <c r="H17" s="52">
        <f t="shared" si="20"/>
        <v>0</v>
      </c>
      <c r="I17" s="53">
        <f>COUNTIFS($A$2:$A$38,$F$16,$C$2:$C$38,$F17,$D$2:$D$38,I$16) + MAX(D40-C40,0)</f>
        <v>0</v>
      </c>
      <c r="J17" s="9">
        <f t="shared" ref="J17:J19" si="24">SUM(G17:I17)</f>
        <v>1</v>
      </c>
      <c r="K17" s="9"/>
      <c r="L17" s="50">
        <v>0.0</v>
      </c>
      <c r="M17" s="70">
        <f t="shared" ref="M17:O17" si="21">ABS(G$2-$F17)/1</f>
        <v>0</v>
      </c>
      <c r="N17" s="71">
        <f t="shared" si="21"/>
        <v>0.5</v>
      </c>
      <c r="O17" s="72">
        <f t="shared" si="21"/>
        <v>1</v>
      </c>
      <c r="P17" s="9"/>
      <c r="Q17" s="50">
        <v>0.0</v>
      </c>
      <c r="R17" s="51">
        <f t="shared" ref="R17:T17" si="22">($J17/$J$20) * (G$20/$J$20)</f>
        <v>0.009259259259</v>
      </c>
      <c r="S17" s="52">
        <f t="shared" si="22"/>
        <v>0</v>
      </c>
      <c r="T17" s="53">
        <f t="shared" si="22"/>
        <v>0.0462962963</v>
      </c>
      <c r="U17" s="9"/>
      <c r="V17" s="54" t="s">
        <v>141</v>
      </c>
      <c r="W17" s="51">
        <f>SUMPRODUCT(G17:I19, M17:O19) /$J$20</f>
        <v>0.1111111111</v>
      </c>
      <c r="X17" s="53" t="s">
        <v>142</v>
      </c>
    </row>
    <row r="18" ht="15.75" customHeight="1">
      <c r="A18" s="43" t="str">
        <f>CombinedHumanGrading!A18</f>
        <v>Transition</v>
      </c>
      <c r="B18" s="44" t="str">
        <f>CombinedHumanGrading!B18</f>
        <v>start (Ready =&gt; Ready)</v>
      </c>
      <c r="C18" s="11">
        <f>CombinedHumanGrading!C18</f>
        <v>1</v>
      </c>
      <c r="D18" s="11">
        <f>'Gemini 3.1 Pro Preview Grading'!C18</f>
        <v>1</v>
      </c>
      <c r="E18" s="3"/>
      <c r="F18" s="50">
        <v>0.5</v>
      </c>
      <c r="G18" s="55">
        <f t="shared" ref="G18:I18" si="23">COUNTIFS($A$2:$A$90,$F$16,$C$2:$C$90,$F18,$D$2:$D$90,G$16)</f>
        <v>0</v>
      </c>
      <c r="H18" s="9">
        <f t="shared" si="23"/>
        <v>0</v>
      </c>
      <c r="I18" s="56">
        <f t="shared" si="23"/>
        <v>0</v>
      </c>
      <c r="J18" s="9">
        <f t="shared" si="24"/>
        <v>0</v>
      </c>
      <c r="K18" s="9"/>
      <c r="L18" s="50">
        <v>0.5</v>
      </c>
      <c r="M18" s="73">
        <f t="shared" ref="M18:M19" si="26">ABS(G$2-$F18)/1</f>
        <v>0.5</v>
      </c>
      <c r="N18" s="74">
        <f>ABS(H$2-$F18)/3</f>
        <v>0</v>
      </c>
      <c r="O18" s="75">
        <f>ABS(I$2-$F18)/1</f>
        <v>0.5</v>
      </c>
      <c r="P18" s="9"/>
      <c r="Q18" s="50">
        <v>0.5</v>
      </c>
      <c r="R18" s="55">
        <f t="shared" ref="R18:T18" si="25">($J18/$J$20) * (G$20/$J$20)</f>
        <v>0</v>
      </c>
      <c r="S18" s="9">
        <f t="shared" si="25"/>
        <v>0</v>
      </c>
      <c r="T18" s="56">
        <f t="shared" si="25"/>
        <v>0</v>
      </c>
      <c r="U18" s="9"/>
      <c r="V18" s="54" t="s">
        <v>143</v>
      </c>
      <c r="W18" s="55">
        <f>SUMPRODUCT(R17:T19, M17:O19)</f>
        <v>0.2037037037</v>
      </c>
      <c r="X18" s="56" t="s">
        <v>144</v>
      </c>
    </row>
    <row r="19" ht="15.75" customHeight="1">
      <c r="A19" s="43" t="str">
        <f>CombinedHumanGrading!A19</f>
        <v>Guard</v>
      </c>
      <c r="B19" s="44" t="str">
        <f>CombinedHumanGrading!B19</f>
        <v>[action=="print" &amp; !documentInQueue()]</v>
      </c>
      <c r="C19" s="11">
        <f>CombinedHumanGrading!C19</f>
        <v>1</v>
      </c>
      <c r="D19" s="11">
        <f>'Gemini 3.1 Pro Preview Grading'!C19</f>
        <v>1</v>
      </c>
      <c r="E19" s="3"/>
      <c r="F19" s="50">
        <v>1.0</v>
      </c>
      <c r="G19" s="57">
        <f>COUNTIFS($A$2:$A$38,$F$16,$C$2:$C$38,$F19,$D$2:$D$38,G$16)+MAX(C40-D40,0)</f>
        <v>2</v>
      </c>
      <c r="H19" s="58">
        <f>COUNTIFS($A$2:$A$90,$F$16,$C$2:$C$90,$F19,$D$2:$D$90,H$16)</f>
        <v>0</v>
      </c>
      <c r="I19" s="59">
        <f>COUNTIFS($A$2:$A$38,$F$16,$C$2:$C$38,$F19,$D$2:$D$38,I$16) + MIN(C40,D40)</f>
        <v>15</v>
      </c>
      <c r="J19" s="9">
        <f t="shared" si="24"/>
        <v>17</v>
      </c>
      <c r="K19" s="9"/>
      <c r="L19" s="50">
        <v>1.0</v>
      </c>
      <c r="M19" s="76">
        <f t="shared" si="26"/>
        <v>1</v>
      </c>
      <c r="N19" s="77">
        <f t="shared" ref="N19:O19" si="27">ABS(H$2-$F19)/1</f>
        <v>0.5</v>
      </c>
      <c r="O19" s="78">
        <f t="shared" si="27"/>
        <v>0</v>
      </c>
      <c r="P19" s="9"/>
      <c r="Q19" s="50">
        <v>1.0</v>
      </c>
      <c r="R19" s="57">
        <f t="shared" ref="R19:T19" si="28">($J19/$J$20) * (G$20/$J$20)</f>
        <v>0.1574074074</v>
      </c>
      <c r="S19" s="58">
        <f t="shared" si="28"/>
        <v>0</v>
      </c>
      <c r="T19" s="59">
        <f t="shared" si="28"/>
        <v>0.787037037</v>
      </c>
      <c r="U19" s="9"/>
      <c r="V19" s="54" t="s">
        <v>111</v>
      </c>
      <c r="W19" s="57">
        <f>1-W17/W18</f>
        <v>0.4545454545</v>
      </c>
      <c r="X19" s="59" t="s">
        <v>145</v>
      </c>
    </row>
    <row r="20" ht="15.75" customHeight="1">
      <c r="A20" s="43" t="str">
        <f>CombinedHumanGrading!A20</f>
        <v>Transition</v>
      </c>
      <c r="B20" s="44" t="str">
        <f>CombinedHumanGrading!B20</f>
        <v>scan (Ready =&gt; Ready)</v>
      </c>
      <c r="C20" s="11">
        <f>CombinedHumanGrading!C20</f>
        <v>1</v>
      </c>
      <c r="D20" s="11">
        <f>'Gemini 3.1 Pro Preview Grading'!C20</f>
        <v>0</v>
      </c>
      <c r="E20" s="3"/>
      <c r="F20" s="60" t="s">
        <v>125</v>
      </c>
      <c r="G20" s="9">
        <f t="shared" ref="G20:I20" si="29">SUM(G17:G19)</f>
        <v>3</v>
      </c>
      <c r="H20" s="9">
        <f t="shared" si="29"/>
        <v>0</v>
      </c>
      <c r="I20" s="9">
        <f t="shared" si="29"/>
        <v>15</v>
      </c>
      <c r="J20" s="9">
        <f>SUM(G17:I19)</f>
        <v>18</v>
      </c>
      <c r="L20" s="3"/>
      <c r="M20" s="3"/>
      <c r="N20" s="3"/>
      <c r="O20" s="3"/>
      <c r="V20" s="3"/>
      <c r="W20" s="3"/>
      <c r="X20" s="3"/>
    </row>
    <row r="21" ht="15.75" customHeight="1">
      <c r="A21" s="43" t="str">
        <f>CombinedHumanGrading!A21</f>
        <v>Action</v>
      </c>
      <c r="B21" s="44" t="str">
        <f>CombinedHumanGrading!B21</f>
        <v>action = "scan"</v>
      </c>
      <c r="C21" s="11">
        <f>CombinedHumanGrading!C21</f>
        <v>1</v>
      </c>
      <c r="D21" s="11">
        <f>'Gemini 3.1 Pro Preview Grading'!C21</f>
        <v>0</v>
      </c>
      <c r="E21" s="3"/>
      <c r="F21" s="3"/>
      <c r="L21" s="3"/>
      <c r="M21" s="3"/>
      <c r="N21" s="3"/>
      <c r="O21" s="3"/>
      <c r="V21" s="3"/>
      <c r="W21" s="3"/>
      <c r="X21" s="3"/>
    </row>
    <row r="22" ht="15.75" customHeight="1">
      <c r="A22" s="43" t="str">
        <f>CombinedHumanGrading!A22</f>
        <v>Transition</v>
      </c>
      <c r="B22" s="44" t="str">
        <f>CombinedHumanGrading!B22</f>
        <v>print (Ready =&gt; Ready)</v>
      </c>
      <c r="C22" s="11">
        <f>CombinedHumanGrading!C22</f>
        <v>1</v>
      </c>
      <c r="D22" s="11">
        <f>'Gemini 3.1 Pro Preview Grading'!C22</f>
        <v>0</v>
      </c>
      <c r="E22" s="3"/>
      <c r="F22" s="40" t="s">
        <v>130</v>
      </c>
      <c r="L22" s="3"/>
      <c r="M22" s="3"/>
      <c r="N22" s="3"/>
      <c r="O22" s="3"/>
      <c r="V22" s="3"/>
      <c r="W22" s="3"/>
      <c r="X22" s="3"/>
    </row>
    <row r="23" ht="15.75" customHeight="1">
      <c r="A23" s="43" t="str">
        <f>CombinedHumanGrading!A23</f>
        <v>Action</v>
      </c>
      <c r="B23" s="44" t="str">
        <f>CombinedHumanGrading!B23</f>
        <v>action="print"</v>
      </c>
      <c r="C23" s="11">
        <f>CombinedHumanGrading!C23</f>
        <v>1</v>
      </c>
      <c r="D23" s="11">
        <f>'Gemini 3.1 Pro Preview Grading'!C23</f>
        <v>0</v>
      </c>
      <c r="E23" s="3"/>
      <c r="F23" s="9" t="s">
        <v>7</v>
      </c>
      <c r="G23" s="62" t="s">
        <v>113</v>
      </c>
      <c r="H23" s="62" t="s">
        <v>114</v>
      </c>
      <c r="I23" s="62" t="s">
        <v>115</v>
      </c>
      <c r="J23" s="63" t="s">
        <v>116</v>
      </c>
      <c r="K23" s="9"/>
      <c r="L23" s="9" t="s">
        <v>112</v>
      </c>
      <c r="M23" s="62" t="s">
        <v>113</v>
      </c>
      <c r="N23" s="62" t="s">
        <v>114</v>
      </c>
      <c r="O23" s="62" t="s">
        <v>115</v>
      </c>
      <c r="P23" s="9"/>
      <c r="Q23" s="9" t="s">
        <v>112</v>
      </c>
      <c r="R23" s="62" t="s">
        <v>113</v>
      </c>
      <c r="S23" s="62" t="s">
        <v>114</v>
      </c>
      <c r="T23" s="62" t="s">
        <v>115</v>
      </c>
      <c r="V23" s="49" t="str">
        <f>"Metrics" &amp; " " &amp; F23
</f>
        <v>Metrics Composite State</v>
      </c>
      <c r="W23" s="49" t="s">
        <v>118</v>
      </c>
      <c r="X23" s="49" t="s">
        <v>119</v>
      </c>
    </row>
    <row r="24" ht="15.75" customHeight="1">
      <c r="A24" s="43" t="str">
        <f>CombinedHumanGrading!A24</f>
        <v>Transition</v>
      </c>
      <c r="B24" s="44" t="str">
        <f>CombinedHumanGrading!B24</f>
        <v>start (Ready =&gt; Scan &amp; Email)</v>
      </c>
      <c r="C24" s="11">
        <f>CombinedHumanGrading!C24</f>
        <v>1</v>
      </c>
      <c r="D24" s="11">
        <f>'Gemini 3.1 Pro Preview Grading'!C24</f>
        <v>1</v>
      </c>
      <c r="E24" s="3"/>
      <c r="F24" s="50">
        <v>0.0</v>
      </c>
      <c r="G24" s="51">
        <f t="shared" ref="G24:H24" si="30">COUNTIFS($A$2:$A$90,$F$23,$C$2:$C$90,$F24,$D$2:$D$90,G$23)</f>
        <v>1</v>
      </c>
      <c r="H24" s="52">
        <f t="shared" si="30"/>
        <v>0</v>
      </c>
      <c r="I24" s="53">
        <f>COUNTIFS($A$2:$A$38,$F$23,$C$2:$C$38,$F24,$D$2:$D$38,I$23) + MAX(D43-C43,0)</f>
        <v>0</v>
      </c>
      <c r="J24" s="9">
        <f t="shared" ref="J24:J26" si="34">SUM(G24:I24)</f>
        <v>1</v>
      </c>
      <c r="K24" s="9"/>
      <c r="L24" s="50">
        <v>0.0</v>
      </c>
      <c r="M24" s="70">
        <f t="shared" ref="M24:O24" si="31">ABS(G$2-$F24)/1</f>
        <v>0</v>
      </c>
      <c r="N24" s="71">
        <f t="shared" si="31"/>
        <v>0.5</v>
      </c>
      <c r="O24" s="72">
        <f t="shared" si="31"/>
        <v>1</v>
      </c>
      <c r="P24" s="9"/>
      <c r="Q24" s="50">
        <v>0.0</v>
      </c>
      <c r="R24" s="51">
        <f t="shared" ref="R24:T24" si="32">($J24/$J$27) * (G$27/$J$27)</f>
        <v>0.1111111111</v>
      </c>
      <c r="S24" s="52">
        <f t="shared" si="32"/>
        <v>0</v>
      </c>
      <c r="T24" s="53">
        <f t="shared" si="32"/>
        <v>0.2222222222</v>
      </c>
      <c r="U24" s="9"/>
      <c r="V24" s="54" t="s">
        <v>141</v>
      </c>
      <c r="W24" s="51">
        <f>SUMPRODUCT(G24:I26, M24:O26) /$J$27</f>
        <v>0</v>
      </c>
      <c r="X24" s="53" t="s">
        <v>142</v>
      </c>
    </row>
    <row r="25" ht="15.75" customHeight="1">
      <c r="A25" s="43" t="str">
        <f>CombinedHumanGrading!A25</f>
        <v>Guard</v>
      </c>
      <c r="B25" s="44" t="str">
        <f>CombinedHumanGrading!B25</f>
        <v>[action=="scan" &amp;&amp; originalLoaded()]</v>
      </c>
      <c r="C25" s="11">
        <f>CombinedHumanGrading!C25</f>
        <v>1</v>
      </c>
      <c r="D25" s="11">
        <f>'Gemini 3.1 Pro Preview Grading'!C25</f>
        <v>1</v>
      </c>
      <c r="E25" s="3"/>
      <c r="F25" s="50">
        <v>0.5</v>
      </c>
      <c r="G25" s="55">
        <f t="shared" ref="G25:I25" si="33">COUNTIFS($A$2:$A$90,$F$23,$C$2:$C$90,$F25,$D$2:$D$90,G$23)</f>
        <v>0</v>
      </c>
      <c r="H25" s="9">
        <f t="shared" si="33"/>
        <v>0</v>
      </c>
      <c r="I25" s="56">
        <f t="shared" si="33"/>
        <v>0</v>
      </c>
      <c r="J25" s="9">
        <f t="shared" si="34"/>
        <v>0</v>
      </c>
      <c r="K25" s="9"/>
      <c r="L25" s="50">
        <v>0.5</v>
      </c>
      <c r="M25" s="73">
        <f t="shared" ref="M25:M26" si="36">ABS(G$2-$F25)/1</f>
        <v>0.5</v>
      </c>
      <c r="N25" s="74">
        <f>ABS(H$2-$F25)/3</f>
        <v>0</v>
      </c>
      <c r="O25" s="75">
        <f>ABS(I$2-$F25)/1</f>
        <v>0.5</v>
      </c>
      <c r="P25" s="9"/>
      <c r="Q25" s="50">
        <v>0.5</v>
      </c>
      <c r="R25" s="55">
        <f t="shared" ref="R25:T25" si="35">($J25/$J$27) * (G$27/$J$27)</f>
        <v>0</v>
      </c>
      <c r="S25" s="9">
        <f t="shared" si="35"/>
        <v>0</v>
      </c>
      <c r="T25" s="56">
        <f t="shared" si="35"/>
        <v>0</v>
      </c>
      <c r="U25" s="9"/>
      <c r="V25" s="54" t="s">
        <v>143</v>
      </c>
      <c r="W25" s="55">
        <f>SUMPRODUCT(R24:T26, M24:O26)</f>
        <v>0.4444444444</v>
      </c>
      <c r="X25" s="56" t="s">
        <v>144</v>
      </c>
    </row>
    <row r="26" ht="15.75" customHeight="1">
      <c r="A26" s="43" t="str">
        <f>CombinedHumanGrading!A26</f>
        <v>Composite State</v>
      </c>
      <c r="B26" s="44" t="str">
        <f>CombinedHumanGrading!B26</f>
        <v>Busy</v>
      </c>
      <c r="C26" s="11">
        <f>CombinedHumanGrading!C26</f>
        <v>1</v>
      </c>
      <c r="D26" s="11">
        <f>'Gemini 3.1 Pro Preview Grading'!C26</f>
        <v>1</v>
      </c>
      <c r="E26" s="3"/>
      <c r="F26" s="50">
        <v>1.0</v>
      </c>
      <c r="G26" s="57">
        <f>COUNTIFS($A$2:$A$38,$F$23,$C$2:$C$38,$F26,$D$2:$D$38,G$23) + MAX(C43-D43,0)</f>
        <v>0</v>
      </c>
      <c r="H26" s="58">
        <f>COUNTIFS($A$2:$A$90,$F$23,$C$2:$C$90,$F26,$D$2:$D$90,H$23)</f>
        <v>0</v>
      </c>
      <c r="I26" s="59">
        <f>COUNTIFS($A$2:$A$38,$F$23,$C$2:$C$38,$F26,$D$2:$D$38,I$23) + MIN(C43,D43)</f>
        <v>2</v>
      </c>
      <c r="J26" s="9">
        <f t="shared" si="34"/>
        <v>2</v>
      </c>
      <c r="K26" s="9"/>
      <c r="L26" s="50">
        <v>1.0</v>
      </c>
      <c r="M26" s="76">
        <f t="shared" si="36"/>
        <v>1</v>
      </c>
      <c r="N26" s="77">
        <f t="shared" ref="N26:O26" si="37">ABS(H$2-$F26)/1</f>
        <v>0.5</v>
      </c>
      <c r="O26" s="78">
        <f t="shared" si="37"/>
        <v>0</v>
      </c>
      <c r="P26" s="9"/>
      <c r="Q26" s="50">
        <v>1.0</v>
      </c>
      <c r="R26" s="57">
        <f t="shared" ref="R26:T26" si="38">($J26/$J$27) * (G$27/$J$27)</f>
        <v>0.2222222222</v>
      </c>
      <c r="S26" s="58">
        <f t="shared" si="38"/>
        <v>0</v>
      </c>
      <c r="T26" s="59">
        <f t="shared" si="38"/>
        <v>0.4444444444</v>
      </c>
      <c r="U26" s="9"/>
      <c r="V26" s="54" t="s">
        <v>111</v>
      </c>
      <c r="W26" s="57">
        <f>1-W24/W25</f>
        <v>1</v>
      </c>
      <c r="X26" s="59" t="s">
        <v>145</v>
      </c>
    </row>
    <row r="27" ht="15.75" customHeight="1">
      <c r="A27" s="43" t="str">
        <f>CombinedHumanGrading!A27</f>
        <v>Transition</v>
      </c>
      <c r="B27" s="44" t="str">
        <f>CombinedHumanGrading!B27</f>
        <v>stop (Busy =&gt; Ready)</v>
      </c>
      <c r="C27" s="11">
        <f>CombinedHumanGrading!C27</f>
        <v>1</v>
      </c>
      <c r="D27" s="11">
        <f>'Gemini 3.1 Pro Preview Grading'!C27</f>
        <v>1</v>
      </c>
      <c r="E27" s="3"/>
      <c r="F27" s="60" t="s">
        <v>125</v>
      </c>
      <c r="G27" s="9">
        <f t="shared" ref="G27:I27" si="39">SUM(G24:G26)</f>
        <v>1</v>
      </c>
      <c r="H27" s="9">
        <f t="shared" si="39"/>
        <v>0</v>
      </c>
      <c r="I27" s="9">
        <f t="shared" si="39"/>
        <v>2</v>
      </c>
      <c r="J27" s="9">
        <f>SUM(G24:I26)</f>
        <v>3</v>
      </c>
      <c r="L27" s="3"/>
      <c r="M27" s="3"/>
      <c r="N27" s="3"/>
      <c r="O27" s="3"/>
      <c r="V27" s="3"/>
      <c r="W27" s="3"/>
      <c r="X27" s="3"/>
    </row>
    <row r="28" ht="15.75" customHeight="1">
      <c r="A28" s="43" t="str">
        <f>CombinedHumanGrading!A28</f>
        <v>Transition</v>
      </c>
      <c r="B28" s="44" t="str">
        <f>CombinedHumanGrading!B28</f>
        <v>done (Busy =&gt; Ready)</v>
      </c>
      <c r="C28" s="11">
        <f>CombinedHumanGrading!C28</f>
        <v>1</v>
      </c>
      <c r="D28" s="11">
        <f>'Gemini 3.1 Pro Preview Grading'!C28</f>
        <v>1</v>
      </c>
      <c r="E28" s="3"/>
      <c r="F28" s="3"/>
      <c r="L28" s="3"/>
      <c r="M28" s="3"/>
      <c r="N28" s="3"/>
      <c r="O28" s="3"/>
      <c r="V28" s="3"/>
      <c r="W28" s="3"/>
      <c r="X28" s="3"/>
    </row>
    <row r="29" ht="15.75" customHeight="1">
      <c r="A29" s="43" t="str">
        <f>CombinedHumanGrading!A29</f>
        <v>Transition</v>
      </c>
      <c r="B29" s="44" t="str">
        <f>CombinedHumanGrading!B29</f>
        <v>jam (Busy =&gt; Suspended)</v>
      </c>
      <c r="C29" s="11">
        <f>CombinedHumanGrading!C29</f>
        <v>1</v>
      </c>
      <c r="D29" s="11">
        <f>'Gemini 3.1 Pro Preview Grading'!C29</f>
        <v>1</v>
      </c>
      <c r="E29" s="3"/>
      <c r="F29" s="40" t="s">
        <v>132</v>
      </c>
      <c r="L29" s="3"/>
      <c r="M29" s="3"/>
      <c r="N29" s="3"/>
      <c r="O29" s="3"/>
      <c r="V29" s="3"/>
      <c r="W29" s="3"/>
      <c r="X29" s="3"/>
    </row>
    <row r="30" ht="15.75" customHeight="1">
      <c r="A30" s="43" t="str">
        <f>CombinedHumanGrading!A30</f>
        <v>History State</v>
      </c>
      <c r="B30" s="44" t="str">
        <f>CombinedHumanGrading!B30</f>
        <v>for Busy</v>
      </c>
      <c r="C30" s="11">
        <f>CombinedHumanGrading!C30</f>
        <v>1</v>
      </c>
      <c r="D30" s="11">
        <f>'Gemini 3.1 Pro Preview Grading'!C30</f>
        <v>0</v>
      </c>
      <c r="E30" s="3"/>
      <c r="F30" s="9" t="s">
        <v>13</v>
      </c>
      <c r="G30" s="62" t="s">
        <v>113</v>
      </c>
      <c r="H30" s="62" t="s">
        <v>114</v>
      </c>
      <c r="I30" s="62" t="s">
        <v>115</v>
      </c>
      <c r="J30" s="63" t="s">
        <v>116</v>
      </c>
      <c r="K30" s="9"/>
      <c r="L30" s="9" t="s">
        <v>112</v>
      </c>
      <c r="M30" s="62">
        <v>0.0</v>
      </c>
      <c r="N30" s="62" t="s">
        <v>114</v>
      </c>
      <c r="O30" s="62" t="s">
        <v>115</v>
      </c>
      <c r="P30" s="9"/>
      <c r="Q30" s="9" t="s">
        <v>112</v>
      </c>
      <c r="R30" s="62" t="s">
        <v>113</v>
      </c>
      <c r="S30" s="62" t="s">
        <v>114</v>
      </c>
      <c r="T30" s="62" t="s">
        <v>115</v>
      </c>
      <c r="V30" s="49" t="str">
        <f>"Metrics" &amp; " " &amp; F30
</f>
        <v>Metrics Guard</v>
      </c>
      <c r="W30" s="49" t="s">
        <v>118</v>
      </c>
      <c r="X30" s="49" t="s">
        <v>119</v>
      </c>
    </row>
    <row r="31" ht="15.75" customHeight="1">
      <c r="A31" s="43" t="str">
        <f>CombinedHumanGrading!A31</f>
        <v>State</v>
      </c>
      <c r="B31" s="44" t="str">
        <f>CombinedHumanGrading!B31</f>
        <v>Print</v>
      </c>
      <c r="C31" s="11">
        <f>CombinedHumanGrading!C31</f>
        <v>1</v>
      </c>
      <c r="D31" s="11">
        <f>'Gemini 3.1 Pro Preview Grading'!C31</f>
        <v>1</v>
      </c>
      <c r="E31" s="3"/>
      <c r="F31" s="50">
        <v>0.0</v>
      </c>
      <c r="G31" s="51">
        <f t="shared" ref="G31:H31" si="40">COUNTIFS($A$2:$A$90,$F$30,$C$2:$C$90,$F31,$D$2:$D$90,G$30)</f>
        <v>1</v>
      </c>
      <c r="H31" s="52">
        <f t="shared" si="40"/>
        <v>0</v>
      </c>
      <c r="I31" s="53">
        <f>COUNTIFS($A$2:$A$38,$F$30,$C$2:$C$38,$F31,$D$2:$D$38,I$30) + MAX(D41-C41,0)</f>
        <v>0</v>
      </c>
      <c r="J31" s="9">
        <f t="shared" ref="J31:J33" si="44">SUM(G31:I31)</f>
        <v>1</v>
      </c>
      <c r="K31" s="9"/>
      <c r="L31" s="50">
        <v>0.0</v>
      </c>
      <c r="M31" s="70">
        <f t="shared" ref="M31:O31" si="41">ABS(G$2-$F31)/1</f>
        <v>0</v>
      </c>
      <c r="N31" s="71">
        <f t="shared" si="41"/>
        <v>0.5</v>
      </c>
      <c r="O31" s="72">
        <f t="shared" si="41"/>
        <v>1</v>
      </c>
      <c r="P31" s="9"/>
      <c r="Q31" s="50">
        <v>0.0</v>
      </c>
      <c r="R31" s="51">
        <f t="shared" ref="R31:T31" si="42">($J31/$J$34) * (G$34/$J$34)</f>
        <v>0.02040816327</v>
      </c>
      <c r="S31" s="52">
        <f t="shared" si="42"/>
        <v>0</v>
      </c>
      <c r="T31" s="53">
        <f t="shared" si="42"/>
        <v>0.1224489796</v>
      </c>
      <c r="U31" s="9"/>
      <c r="V31" s="54" t="s">
        <v>141</v>
      </c>
      <c r="W31" s="51">
        <f>SUMPRODUCT(G31:I33, M31:O33) /$J$34</f>
        <v>0</v>
      </c>
      <c r="X31" s="53" t="s">
        <v>142</v>
      </c>
    </row>
    <row r="32" ht="15.75" customHeight="1">
      <c r="A32" s="43" t="str">
        <f>CombinedHumanGrading!A32</f>
        <v>Transition</v>
      </c>
      <c r="B32" s="44" t="str">
        <f>CombinedHumanGrading!B32</f>
        <v>start (Ready =&gt; Print)</v>
      </c>
      <c r="C32" s="11">
        <f>CombinedHumanGrading!C32</f>
        <v>1</v>
      </c>
      <c r="D32" s="11">
        <f>'Gemini 3.1 Pro Preview Grading'!C32</f>
        <v>1</v>
      </c>
      <c r="E32" s="3"/>
      <c r="F32" s="50">
        <v>0.5</v>
      </c>
      <c r="G32" s="55">
        <f t="shared" ref="G32:I32" si="43">COUNTIFS($A$2:$A$90,$F$30,$C$2:$C$90,$F32,$D$2:$D$90,G$30)</f>
        <v>0</v>
      </c>
      <c r="H32" s="9">
        <f t="shared" si="43"/>
        <v>0</v>
      </c>
      <c r="I32" s="56">
        <f t="shared" si="43"/>
        <v>0</v>
      </c>
      <c r="J32" s="9">
        <f t="shared" si="44"/>
        <v>0</v>
      </c>
      <c r="K32" s="9"/>
      <c r="L32" s="50">
        <v>0.5</v>
      </c>
      <c r="M32" s="73">
        <f t="shared" ref="M32:M33" si="46">ABS(G$2-$F32)/1</f>
        <v>0.5</v>
      </c>
      <c r="N32" s="74">
        <f>ABS(H$2-$F32)/3</f>
        <v>0</v>
      </c>
      <c r="O32" s="75">
        <f>ABS(I$2-$F32)/1</f>
        <v>0.5</v>
      </c>
      <c r="P32" s="9"/>
      <c r="Q32" s="50">
        <v>0.5</v>
      </c>
      <c r="R32" s="55">
        <f t="shared" ref="R32:T32" si="45">($J32/$J$34) * (G$34/$J$34)</f>
        <v>0</v>
      </c>
      <c r="S32" s="9">
        <f t="shared" si="45"/>
        <v>0</v>
      </c>
      <c r="T32" s="56">
        <f t="shared" si="45"/>
        <v>0</v>
      </c>
      <c r="U32" s="9"/>
      <c r="V32" s="54" t="s">
        <v>143</v>
      </c>
      <c r="W32" s="55">
        <f>SUMPRODUCT(R31:T33, M31:O33)</f>
        <v>0.2448979592</v>
      </c>
      <c r="X32" s="56" t="s">
        <v>144</v>
      </c>
    </row>
    <row r="33" ht="15.75" customHeight="1">
      <c r="A33" s="43" t="str">
        <f>CombinedHumanGrading!A33</f>
        <v>Guard</v>
      </c>
      <c r="B33" s="44" t="str">
        <f>CombinedHumanGrading!B33</f>
        <v>[action="print" &amp;&amp; documentInQueue()]</v>
      </c>
      <c r="C33" s="11">
        <f>CombinedHumanGrading!C33</f>
        <v>1</v>
      </c>
      <c r="D33" s="11">
        <f>'Gemini 3.1 Pro Preview Grading'!C33</f>
        <v>1</v>
      </c>
      <c r="E33" s="3"/>
      <c r="F33" s="50">
        <v>1.0</v>
      </c>
      <c r="G33" s="57">
        <f>COUNTIFS($A$2:$A$38,$F$30,$C$2:$C$38,$F33,$D$2:$D$38,G$30) + MAX(C41-D41,0)</f>
        <v>0</v>
      </c>
      <c r="H33" s="58">
        <f>COUNTIFS($A$2:$A$90,$F$30,$C$2:$C$90,$F33,$D$2:$D$90,H$30)</f>
        <v>0</v>
      </c>
      <c r="I33" s="59">
        <f>COUNTIFS($A$2:$A$38,$F$30,$C$2:$C$38,$F33,$D$2:$D$38,I$30) + MIN(C41,D41)</f>
        <v>6</v>
      </c>
      <c r="J33" s="9">
        <f t="shared" si="44"/>
        <v>6</v>
      </c>
      <c r="K33" s="9"/>
      <c r="L33" s="50">
        <v>1.0</v>
      </c>
      <c r="M33" s="76">
        <f t="shared" si="46"/>
        <v>1</v>
      </c>
      <c r="N33" s="77">
        <f t="shared" ref="N33:O33" si="47">ABS(H$2-$F33)/1</f>
        <v>0.5</v>
      </c>
      <c r="O33" s="78">
        <f t="shared" si="47"/>
        <v>0</v>
      </c>
      <c r="P33" s="9"/>
      <c r="Q33" s="50">
        <v>1.0</v>
      </c>
      <c r="R33" s="57">
        <f t="shared" ref="R33:T33" si="48">($J33/$J$34) * (G$34/$J$34)</f>
        <v>0.1224489796</v>
      </c>
      <c r="S33" s="58">
        <f t="shared" si="48"/>
        <v>0</v>
      </c>
      <c r="T33" s="59">
        <f t="shared" si="48"/>
        <v>0.7346938776</v>
      </c>
      <c r="U33" s="9"/>
      <c r="V33" s="54" t="s">
        <v>111</v>
      </c>
      <c r="W33" s="57">
        <f>1-W31/W32</f>
        <v>1</v>
      </c>
      <c r="X33" s="59" t="s">
        <v>145</v>
      </c>
    </row>
    <row r="34" ht="15.75" customHeight="1">
      <c r="A34" s="43" t="str">
        <f>CombinedHumanGrading!A34</f>
        <v>Transition</v>
      </c>
      <c r="B34" s="44" t="str">
        <f>CombinedHumanGrading!B34</f>
        <v>outOfPaper (Print =&gt; Suspended)</v>
      </c>
      <c r="C34" s="11">
        <f>CombinedHumanGrading!C34</f>
        <v>1</v>
      </c>
      <c r="D34" s="11">
        <f>'Gemini 3.1 Pro Preview Grading'!C34</f>
        <v>1</v>
      </c>
      <c r="E34" s="3"/>
      <c r="F34" s="60" t="s">
        <v>125</v>
      </c>
      <c r="G34" s="9">
        <f t="shared" ref="G34:I34" si="49">SUM(G31:G33)</f>
        <v>1</v>
      </c>
      <c r="H34" s="9">
        <f t="shared" si="49"/>
        <v>0</v>
      </c>
      <c r="I34" s="9">
        <f t="shared" si="49"/>
        <v>6</v>
      </c>
      <c r="J34" s="9">
        <f>SUM(G31:I33)</f>
        <v>7</v>
      </c>
      <c r="L34" s="3"/>
      <c r="M34" s="3"/>
      <c r="N34" s="3"/>
      <c r="O34" s="3"/>
      <c r="V34" s="3"/>
      <c r="W34" s="3"/>
      <c r="X34" s="3"/>
    </row>
    <row r="35" ht="15.75" customHeight="1">
      <c r="A35" s="43" t="str">
        <f>CombinedHumanGrading!A35</f>
        <v>State</v>
      </c>
      <c r="B35" s="44" t="str">
        <f>CombinedHumanGrading!B35</f>
        <v>Scan &amp; Email</v>
      </c>
      <c r="C35" s="11">
        <f>CombinedHumanGrading!C35</f>
        <v>1</v>
      </c>
      <c r="D35" s="11">
        <f>'Gemini 3.1 Pro Preview Grading'!C35</f>
        <v>1</v>
      </c>
      <c r="E35" s="3"/>
      <c r="F35" s="3"/>
      <c r="L35" s="3"/>
      <c r="M35" s="3"/>
      <c r="N35" s="3"/>
      <c r="O35" s="3"/>
      <c r="V35" s="3"/>
      <c r="W35" s="3"/>
      <c r="X35" s="3"/>
    </row>
    <row r="36" ht="15.75" customHeight="1">
      <c r="A36" s="43" t="str">
        <f>CombinedHumanGrading!A36</f>
        <v>State</v>
      </c>
      <c r="B36" s="44" t="str">
        <f>CombinedHumanGrading!B36</f>
        <v>Suspended</v>
      </c>
      <c r="C36" s="11">
        <f>CombinedHumanGrading!C36</f>
        <v>1</v>
      </c>
      <c r="D36" s="11">
        <f>'Gemini 3.1 Pro Preview Grading'!C36</f>
        <v>1</v>
      </c>
      <c r="E36" s="3"/>
      <c r="F36" s="40" t="s">
        <v>134</v>
      </c>
      <c r="L36" s="3"/>
      <c r="M36" s="3"/>
      <c r="N36" s="3"/>
      <c r="O36" s="3"/>
      <c r="V36" s="3"/>
      <c r="W36" s="3"/>
      <c r="X36" s="3"/>
    </row>
    <row r="37" ht="15.75" customHeight="1">
      <c r="A37" s="43" t="str">
        <f>CombinedHumanGrading!A37</f>
        <v>Transition</v>
      </c>
      <c r="B37" s="44" t="str">
        <f>CombinedHumanGrading!B37</f>
        <v>resume (Suspended =&gt; History State for Busy)</v>
      </c>
      <c r="C37" s="11">
        <f>CombinedHumanGrading!C37</f>
        <v>1</v>
      </c>
      <c r="D37" s="11">
        <f>'Gemini 3.1 Pro Preview Grading'!C37</f>
        <v>1</v>
      </c>
      <c r="E37" s="3"/>
      <c r="F37" s="9" t="s">
        <v>17</v>
      </c>
      <c r="G37" s="62" t="s">
        <v>113</v>
      </c>
      <c r="H37" s="62" t="s">
        <v>114</v>
      </c>
      <c r="I37" s="62" t="s">
        <v>115</v>
      </c>
      <c r="J37" s="63" t="s">
        <v>116</v>
      </c>
      <c r="K37" s="9"/>
      <c r="L37" s="9" t="s">
        <v>112</v>
      </c>
      <c r="M37" s="62" t="s">
        <v>113</v>
      </c>
      <c r="N37" s="62" t="s">
        <v>114</v>
      </c>
      <c r="O37" s="62" t="s">
        <v>115</v>
      </c>
      <c r="P37" s="9"/>
      <c r="Q37" s="79" t="s">
        <v>112</v>
      </c>
      <c r="R37" s="80" t="s">
        <v>113</v>
      </c>
      <c r="S37" s="80" t="s">
        <v>114</v>
      </c>
      <c r="T37" s="80" t="s">
        <v>115</v>
      </c>
      <c r="V37" s="49" t="str">
        <f>"Metrics" &amp; " " &amp; F37
</f>
        <v>Metrics Action</v>
      </c>
      <c r="W37" s="49" t="s">
        <v>118</v>
      </c>
      <c r="X37" s="49" t="s">
        <v>119</v>
      </c>
    </row>
    <row r="38" ht="15.75" customHeight="1">
      <c r="A38" s="43" t="str">
        <f>CombinedHumanGrading!A38</f>
        <v>Transition</v>
      </c>
      <c r="B38" s="44" t="str">
        <f>CombinedHumanGrading!B38</f>
        <v>cancel (Suspended =&gt; Ready)</v>
      </c>
      <c r="C38" s="64">
        <f>CombinedHumanGrading!C38</f>
        <v>1</v>
      </c>
      <c r="D38" s="64">
        <f>'Gemini 3.1 Pro Preview Grading'!C38</f>
        <v>1</v>
      </c>
      <c r="E38" s="3"/>
      <c r="F38" s="50">
        <v>0.0</v>
      </c>
      <c r="G38" s="51">
        <f t="shared" ref="G38:H38" si="50">COUNTIFS($A$2:$A$90,$F$37,$C$2:$C$90,$F38,$D$2:$D$90,G$37)</f>
        <v>1</v>
      </c>
      <c r="H38" s="52">
        <f t="shared" si="50"/>
        <v>0</v>
      </c>
      <c r="I38" s="53">
        <f>COUNTIFS($A$2:$A$38,$F$37,$C$2:$C$38,$F38,$D$2:$D$38,I$37)+MAX(D42-C42,0)</f>
        <v>0</v>
      </c>
      <c r="J38" s="9">
        <f t="shared" ref="J38:J40" si="54">SUM(G38:I38)</f>
        <v>1</v>
      </c>
      <c r="K38" s="9"/>
      <c r="L38" s="50">
        <v>0.0</v>
      </c>
      <c r="M38" s="70">
        <f t="shared" ref="M38:O38" si="51">ABS(G$2-$F38)/1</f>
        <v>0</v>
      </c>
      <c r="N38" s="71">
        <f t="shared" si="51"/>
        <v>0.5</v>
      </c>
      <c r="O38" s="72">
        <f t="shared" si="51"/>
        <v>1</v>
      </c>
      <c r="P38" s="9"/>
      <c r="Q38" s="81">
        <v>0.0</v>
      </c>
      <c r="R38" s="82">
        <f t="shared" ref="R38:T38" si="52">($J38/$J$41) * (G$41/$J$41)</f>
        <v>0.25</v>
      </c>
      <c r="S38" s="83">
        <f t="shared" si="52"/>
        <v>0</v>
      </c>
      <c r="T38" s="84">
        <f t="shared" si="52"/>
        <v>0</v>
      </c>
      <c r="U38" s="9"/>
      <c r="V38" s="54" t="s">
        <v>141</v>
      </c>
      <c r="W38" s="51">
        <f>SUMPRODUCT(G38:I40, M38:O40) /$J$41</f>
        <v>0.75</v>
      </c>
      <c r="X38" s="53" t="s">
        <v>142</v>
      </c>
    </row>
    <row r="39" ht="15.75" customHeight="1">
      <c r="A39" s="65" t="str">
        <f>CombinedHumanGrading!A39</f>
        <v>State</v>
      </c>
      <c r="B39" s="66" t="str">
        <f>CombinedHumanGrading!B39</f>
        <v>additional elements</v>
      </c>
      <c r="C39" s="67">
        <f>CombinedHumanGrading!C39</f>
        <v>0</v>
      </c>
      <c r="D39" s="67">
        <f>'Gemini 3.1 Pro Preview Grading'!C39</f>
        <v>0</v>
      </c>
      <c r="E39" s="3"/>
      <c r="F39" s="50">
        <v>0.5</v>
      </c>
      <c r="G39" s="55">
        <f t="shared" ref="G39:I39" si="53">COUNTIFS($A$2:$A$90,$F$37,$C$2:$C$90,$F39,$D$2:$D$90,G$37)</f>
        <v>0</v>
      </c>
      <c r="H39" s="9">
        <f t="shared" si="53"/>
        <v>0</v>
      </c>
      <c r="I39" s="56">
        <f t="shared" si="53"/>
        <v>0</v>
      </c>
      <c r="J39" s="9">
        <f t="shared" si="54"/>
        <v>0</v>
      </c>
      <c r="K39" s="9"/>
      <c r="L39" s="50">
        <v>0.5</v>
      </c>
      <c r="M39" s="73">
        <f t="shared" ref="M39:M40" si="56">ABS(G$2-$F39)/1</f>
        <v>0.5</v>
      </c>
      <c r="N39" s="74">
        <f>ABS(H$2-$F39)/3</f>
        <v>0</v>
      </c>
      <c r="O39" s="75">
        <f>ABS(I$2-$F39)/1</f>
        <v>0.5</v>
      </c>
      <c r="P39" s="9"/>
      <c r="Q39" s="81">
        <v>0.5</v>
      </c>
      <c r="R39" s="85">
        <f t="shared" ref="R39:T39" si="55">($J39/$J$41) * (G$41/$J$41)</f>
        <v>0</v>
      </c>
      <c r="S39" s="79">
        <f t="shared" si="55"/>
        <v>0</v>
      </c>
      <c r="T39" s="86">
        <f t="shared" si="55"/>
        <v>0</v>
      </c>
      <c r="U39" s="9"/>
      <c r="V39" s="54" t="s">
        <v>143</v>
      </c>
      <c r="W39" s="55">
        <f>SUMPRODUCT(R38:T40, M38:O40)</f>
        <v>0.75</v>
      </c>
      <c r="X39" s="56" t="s">
        <v>144</v>
      </c>
    </row>
    <row r="40" ht="15.75" customHeight="1">
      <c r="A40" s="43" t="str">
        <f>CombinedHumanGrading!A40</f>
        <v>Transition</v>
      </c>
      <c r="B40" s="44" t="str">
        <f>CombinedHumanGrading!B40</f>
        <v>additional elements</v>
      </c>
      <c r="C40" s="11">
        <f>CombinedHumanGrading!C40</f>
        <v>0</v>
      </c>
      <c r="D40" s="11">
        <f>'Gemini 3.1 Pro Preview Grading'!C40</f>
        <v>0</v>
      </c>
      <c r="E40" s="3"/>
      <c r="F40" s="50">
        <v>1.0</v>
      </c>
      <c r="G40" s="57">
        <f>COUNTIFS($A$2:$A$38,$F$37,$C$2:$C$38,$F40,$D$2:$D$38,G$37)+MAX(C42-D42,0)</f>
        <v>3</v>
      </c>
      <c r="H40" s="58">
        <f>COUNTIFS($A$2:$A$90,$F$37,$C$2:$C$90,$F40,$D$2:$D$90,H$37)</f>
        <v>0</v>
      </c>
      <c r="I40" s="59">
        <f>COUNTIFS($A$2:$A$38,$F$37,$C$2:$C$38,$F40,$D$2:$D$38,I$37) + MIN(C42,D42)</f>
        <v>0</v>
      </c>
      <c r="J40" s="9">
        <f t="shared" si="54"/>
        <v>3</v>
      </c>
      <c r="K40" s="9"/>
      <c r="L40" s="50">
        <v>1.0</v>
      </c>
      <c r="M40" s="76">
        <f t="shared" si="56"/>
        <v>1</v>
      </c>
      <c r="N40" s="77">
        <f t="shared" ref="N40:O40" si="57">ABS(H$2-$F40)/1</f>
        <v>0.5</v>
      </c>
      <c r="O40" s="78">
        <f t="shared" si="57"/>
        <v>0</v>
      </c>
      <c r="P40" s="9"/>
      <c r="Q40" s="81">
        <v>1.0</v>
      </c>
      <c r="R40" s="87">
        <f t="shared" ref="R40:T40" si="58">($J40/$J$41) * (G$41/$J$41)</f>
        <v>0.75</v>
      </c>
      <c r="S40" s="88">
        <f t="shared" si="58"/>
        <v>0</v>
      </c>
      <c r="T40" s="89">
        <f t="shared" si="58"/>
        <v>0</v>
      </c>
      <c r="U40" s="9"/>
      <c r="V40" s="54" t="s">
        <v>111</v>
      </c>
      <c r="W40" s="57">
        <f>1-W38/W39</f>
        <v>0</v>
      </c>
      <c r="X40" s="59" t="s">
        <v>145</v>
      </c>
    </row>
    <row r="41" ht="15.75" customHeight="1">
      <c r="A41" s="43" t="str">
        <f>CombinedHumanGrading!A41</f>
        <v>Guard</v>
      </c>
      <c r="B41" s="44" t="str">
        <f>CombinedHumanGrading!B41</f>
        <v>additional elements</v>
      </c>
      <c r="C41" s="11">
        <f>CombinedHumanGrading!C41</f>
        <v>0</v>
      </c>
      <c r="D41" s="11">
        <f>'Gemini 3.1 Pro Preview Grading'!C41</f>
        <v>0</v>
      </c>
      <c r="E41" s="3"/>
      <c r="F41" s="60" t="s">
        <v>125</v>
      </c>
      <c r="G41" s="9">
        <f t="shared" ref="G41:I41" si="59">SUM(G38:G40)</f>
        <v>4</v>
      </c>
      <c r="H41" s="9">
        <f t="shared" si="59"/>
        <v>0</v>
      </c>
      <c r="I41" s="9">
        <f t="shared" si="59"/>
        <v>0</v>
      </c>
      <c r="J41" s="9">
        <f>SUM(G38:I40)</f>
        <v>4</v>
      </c>
      <c r="L41" s="3"/>
      <c r="M41" s="3"/>
      <c r="N41" s="3"/>
      <c r="O41" s="3"/>
      <c r="V41" s="3"/>
      <c r="W41" s="3"/>
      <c r="X41" s="3"/>
    </row>
    <row r="42" ht="15.75" customHeight="1">
      <c r="A42" s="43" t="str">
        <f>CombinedHumanGrading!A42</f>
        <v>Action</v>
      </c>
      <c r="B42" s="44" t="str">
        <f>CombinedHumanGrading!B42</f>
        <v>additional elements</v>
      </c>
      <c r="C42" s="11">
        <f>CombinedHumanGrading!C42</f>
        <v>0</v>
      </c>
      <c r="D42" s="11">
        <f>'Gemini 3.1 Pro Preview Grading'!C42</f>
        <v>0</v>
      </c>
      <c r="E42" s="3"/>
      <c r="F42" s="3"/>
      <c r="L42" s="3"/>
      <c r="M42" s="3"/>
      <c r="N42" s="3"/>
      <c r="O42" s="3"/>
      <c r="V42" s="3"/>
      <c r="W42" s="3"/>
      <c r="X42" s="3"/>
    </row>
    <row r="43" ht="15.75" customHeight="1">
      <c r="A43" s="43" t="str">
        <f>CombinedHumanGrading!A43</f>
        <v>Composite State</v>
      </c>
      <c r="B43" s="44" t="str">
        <f>CombinedHumanGrading!B43</f>
        <v>additional elements</v>
      </c>
      <c r="C43" s="11">
        <f>CombinedHumanGrading!C43</f>
        <v>0</v>
      </c>
      <c r="D43" s="11">
        <f>'Gemini 3.1 Pro Preview Grading'!C43</f>
        <v>0</v>
      </c>
      <c r="E43" s="3"/>
      <c r="F43" s="40" t="s">
        <v>136</v>
      </c>
      <c r="L43" s="3"/>
      <c r="M43" s="3"/>
      <c r="N43" s="3"/>
      <c r="O43" s="3"/>
      <c r="V43" s="3"/>
      <c r="W43" s="3"/>
      <c r="X43" s="3"/>
    </row>
    <row r="44" ht="15.75" customHeight="1">
      <c r="A44" s="43" t="str">
        <f>CombinedHumanGrading!A44</f>
        <v>Region</v>
      </c>
      <c r="B44" s="44" t="str">
        <f>CombinedHumanGrading!B44</f>
        <v>additional elements</v>
      </c>
      <c r="C44" s="11">
        <f>CombinedHumanGrading!C44</f>
        <v>0</v>
      </c>
      <c r="D44" s="11">
        <f>'Gemini 3.1 Pro Preview Grading'!C44</f>
        <v>0</v>
      </c>
      <c r="E44" s="3"/>
      <c r="F44" s="9" t="s">
        <v>34</v>
      </c>
      <c r="G44" s="62" t="s">
        <v>113</v>
      </c>
      <c r="H44" s="62" t="s">
        <v>114</v>
      </c>
      <c r="I44" s="62" t="s">
        <v>115</v>
      </c>
      <c r="J44" s="63" t="s">
        <v>116</v>
      </c>
      <c r="K44" s="9"/>
      <c r="L44" s="9" t="s">
        <v>112</v>
      </c>
      <c r="M44" s="62" t="s">
        <v>113</v>
      </c>
      <c r="N44" s="62" t="s">
        <v>114</v>
      </c>
      <c r="O44" s="62" t="s">
        <v>115</v>
      </c>
      <c r="P44" s="9"/>
      <c r="Q44" s="9" t="s">
        <v>112</v>
      </c>
      <c r="R44" s="62" t="s">
        <v>113</v>
      </c>
      <c r="S44" s="62" t="s">
        <v>114</v>
      </c>
      <c r="T44" s="62" t="s">
        <v>115</v>
      </c>
      <c r="V44" s="49" t="str">
        <f>"Metrics" &amp; " " &amp; F44
</f>
        <v>Metrics History State</v>
      </c>
      <c r="W44" s="49" t="s">
        <v>118</v>
      </c>
      <c r="X44" s="49" t="s">
        <v>119</v>
      </c>
    </row>
    <row r="45" ht="15.75" customHeight="1">
      <c r="A45" s="43" t="str">
        <f>CombinedHumanGrading!A45</f>
        <v>History State</v>
      </c>
      <c r="B45" s="44" t="str">
        <f>CombinedHumanGrading!B45</f>
        <v>additional elements</v>
      </c>
      <c r="C45" s="11">
        <f>CombinedHumanGrading!C45</f>
        <v>0</v>
      </c>
      <c r="D45" s="11">
        <f>'Gemini 3.1 Pro Preview Grading'!C45</f>
        <v>0</v>
      </c>
      <c r="E45" s="3"/>
      <c r="F45" s="50">
        <v>0.0</v>
      </c>
      <c r="G45" s="51">
        <f t="shared" ref="G45:H45" si="60">COUNTIFS($A$2:$A$90,$F$44,$C$2:$C$90,$F45,$D$2:$D$90,G$44)</f>
        <v>1</v>
      </c>
      <c r="H45" s="52">
        <f t="shared" si="60"/>
        <v>0</v>
      </c>
      <c r="I45" s="53">
        <f>COUNTIFS($A$2:$A$38,$F$44,$C$2:$C$38,$F45,$D$2:$D$38,I$44) + MAX(D45-C45,0)</f>
        <v>0</v>
      </c>
      <c r="J45" s="9">
        <f t="shared" ref="J45:J47" si="64">SUM(G45:I45)</f>
        <v>1</v>
      </c>
      <c r="K45" s="9"/>
      <c r="L45" s="50">
        <v>0.0</v>
      </c>
      <c r="M45" s="70">
        <f t="shared" ref="M45:O45" si="61">ABS(G$2-$F45)/1</f>
        <v>0</v>
      </c>
      <c r="N45" s="71">
        <f t="shared" si="61"/>
        <v>0.5</v>
      </c>
      <c r="O45" s="72">
        <f t="shared" si="61"/>
        <v>1</v>
      </c>
      <c r="P45" s="9"/>
      <c r="Q45" s="50">
        <v>0.0</v>
      </c>
      <c r="R45" s="51">
        <f t="shared" ref="R45:T45" si="62">($J45/$J$48) * (G$48/$J$48)</f>
        <v>0.5</v>
      </c>
      <c r="S45" s="52">
        <f t="shared" si="62"/>
        <v>0</v>
      </c>
      <c r="T45" s="53">
        <f t="shared" si="62"/>
        <v>0</v>
      </c>
      <c r="U45" s="9"/>
      <c r="V45" s="54" t="s">
        <v>141</v>
      </c>
      <c r="W45" s="51">
        <f>SUMPRODUCT(G45:I47, M45:O47) /$J$48</f>
        <v>0.5</v>
      </c>
      <c r="X45" s="53" t="s">
        <v>142</v>
      </c>
    </row>
    <row r="46" ht="15.75" customHeight="1">
      <c r="A46" s="40"/>
      <c r="B46" s="68"/>
      <c r="C46" s="3"/>
      <c r="D46" s="3"/>
      <c r="E46" s="3"/>
      <c r="F46" s="50">
        <v>0.5</v>
      </c>
      <c r="G46" s="55">
        <f t="shared" ref="G46:I46" si="63">COUNTIFS($A$2:$A$90,$F$44,$C$2:$C$90,$F46,$D$2:$D$90,G$44)</f>
        <v>0</v>
      </c>
      <c r="H46" s="9">
        <f t="shared" si="63"/>
        <v>0</v>
      </c>
      <c r="I46" s="56">
        <f t="shared" si="63"/>
        <v>0</v>
      </c>
      <c r="J46" s="9">
        <f t="shared" si="64"/>
        <v>0</v>
      </c>
      <c r="K46" s="9"/>
      <c r="L46" s="50">
        <v>0.5</v>
      </c>
      <c r="M46" s="73">
        <f t="shared" ref="M46:M47" si="66">ABS(G$2-$F46)/1</f>
        <v>0.5</v>
      </c>
      <c r="N46" s="74">
        <f>ABS(H$2-$F46)/3</f>
        <v>0</v>
      </c>
      <c r="O46" s="75">
        <f>ABS(I$2-$F46)/1</f>
        <v>0.5</v>
      </c>
      <c r="P46" s="9"/>
      <c r="Q46" s="50">
        <v>0.5</v>
      </c>
      <c r="R46" s="55">
        <f t="shared" ref="R46:T46" si="65">($J46/$J$48) * (G$48/$J$48)</f>
        <v>0</v>
      </c>
      <c r="S46" s="9">
        <f t="shared" si="65"/>
        <v>0</v>
      </c>
      <c r="T46" s="56">
        <f t="shared" si="65"/>
        <v>0</v>
      </c>
      <c r="U46" s="9"/>
      <c r="V46" s="54" t="s">
        <v>143</v>
      </c>
      <c r="W46" s="55">
        <f>SUMPRODUCT(R45:T47, M45:O47)</f>
        <v>0.5</v>
      </c>
      <c r="X46" s="56" t="s">
        <v>144</v>
      </c>
    </row>
    <row r="47" ht="15.75" customHeight="1">
      <c r="A47" s="40"/>
      <c r="B47" s="68"/>
      <c r="C47" s="3"/>
      <c r="D47" s="3"/>
      <c r="E47" s="3"/>
      <c r="F47" s="50">
        <v>1.0</v>
      </c>
      <c r="G47" s="57">
        <f>COUNTIFS($A$2:$A$38,$F$44,$C$2:$C$38,$F47,$D$2:$D$38,G$44) + MAX(C45-D45,0)</f>
        <v>1</v>
      </c>
      <c r="H47" s="58">
        <f>COUNTIFS($A$2:$A$90,$F$44,$C$2:$C$90,$F47,$D$2:$D$90,H$44)</f>
        <v>0</v>
      </c>
      <c r="I47" s="59">
        <f>COUNTIFS($A$2:$A$38,$F$44,$C$2:$C$38,$F47,$D$2:$D$38,I$44) + MIN(C45,D45)</f>
        <v>0</v>
      </c>
      <c r="J47" s="9">
        <f t="shared" si="64"/>
        <v>1</v>
      </c>
      <c r="K47" s="9"/>
      <c r="L47" s="50">
        <v>1.0</v>
      </c>
      <c r="M47" s="76">
        <f t="shared" si="66"/>
        <v>1</v>
      </c>
      <c r="N47" s="77">
        <f t="shared" ref="N47:O47" si="67">ABS(H$2-$F47)/1</f>
        <v>0.5</v>
      </c>
      <c r="O47" s="78">
        <f t="shared" si="67"/>
        <v>0</v>
      </c>
      <c r="P47" s="9"/>
      <c r="Q47" s="50">
        <v>1.0</v>
      </c>
      <c r="R47" s="57">
        <f t="shared" ref="R47:T47" si="68">($J47/$J$48) * (G$48/$J$48)</f>
        <v>0.5</v>
      </c>
      <c r="S47" s="58">
        <f t="shared" si="68"/>
        <v>0</v>
      </c>
      <c r="T47" s="59">
        <f t="shared" si="68"/>
        <v>0</v>
      </c>
      <c r="U47" s="9"/>
      <c r="V47" s="54" t="s">
        <v>111</v>
      </c>
      <c r="W47" s="57">
        <f>1-W45/W46</f>
        <v>0</v>
      </c>
      <c r="X47" s="59" t="s">
        <v>145</v>
      </c>
    </row>
    <row r="48" ht="15.75" customHeight="1">
      <c r="A48" s="40"/>
      <c r="B48" s="68"/>
      <c r="C48" s="3"/>
      <c r="D48" s="3"/>
      <c r="E48" s="3"/>
      <c r="F48" s="60" t="s">
        <v>125</v>
      </c>
      <c r="G48" s="9">
        <f t="shared" ref="G48:I48" si="69">SUM(G45:G47)</f>
        <v>2</v>
      </c>
      <c r="H48" s="9">
        <f t="shared" si="69"/>
        <v>0</v>
      </c>
      <c r="I48" s="9">
        <f t="shared" si="69"/>
        <v>0</v>
      </c>
      <c r="J48" s="9">
        <f>SUM(G45:I47)</f>
        <v>2</v>
      </c>
      <c r="L48" s="3"/>
      <c r="M48" s="3"/>
      <c r="N48" s="3"/>
      <c r="O48" s="3"/>
      <c r="V48" s="3"/>
      <c r="W48" s="3"/>
      <c r="X48" s="3"/>
    </row>
    <row r="49" ht="15.75" customHeight="1">
      <c r="A49" s="40"/>
      <c r="B49" s="68"/>
      <c r="C49" s="3"/>
      <c r="D49" s="3"/>
      <c r="E49" s="3"/>
      <c r="F49" s="3"/>
      <c r="L49" s="3"/>
      <c r="M49" s="3"/>
      <c r="N49" s="3"/>
      <c r="O49" s="3"/>
      <c r="V49" s="3"/>
      <c r="W49" s="3"/>
      <c r="X49" s="3"/>
    </row>
    <row r="50" ht="15.75" customHeight="1">
      <c r="A50" s="40"/>
      <c r="B50" s="68"/>
      <c r="C50" s="3"/>
      <c r="D50" s="3"/>
      <c r="E50" s="3"/>
      <c r="F50" s="40" t="s">
        <v>138</v>
      </c>
      <c r="L50" s="3"/>
      <c r="M50" s="3"/>
      <c r="N50" s="3"/>
      <c r="O50" s="3"/>
      <c r="V50" s="3"/>
      <c r="W50" s="3"/>
      <c r="X50" s="3"/>
    </row>
    <row r="51" ht="15.75" customHeight="1">
      <c r="A51" s="40"/>
      <c r="B51" s="68"/>
      <c r="C51" s="3"/>
      <c r="D51" s="3"/>
      <c r="E51" s="3"/>
      <c r="F51" s="9" t="s">
        <v>45</v>
      </c>
      <c r="G51" s="62" t="s">
        <v>113</v>
      </c>
      <c r="H51" s="62" t="s">
        <v>114</v>
      </c>
      <c r="I51" s="62" t="s">
        <v>115</v>
      </c>
      <c r="J51" s="63" t="s">
        <v>116</v>
      </c>
      <c r="K51" s="9"/>
      <c r="L51" s="9" t="s">
        <v>112</v>
      </c>
      <c r="M51" s="62" t="s">
        <v>113</v>
      </c>
      <c r="N51" s="62" t="s">
        <v>114</v>
      </c>
      <c r="O51" s="62" t="s">
        <v>115</v>
      </c>
      <c r="P51" s="9"/>
      <c r="Q51" s="9" t="s">
        <v>112</v>
      </c>
      <c r="R51" s="62" t="s">
        <v>113</v>
      </c>
      <c r="S51" s="62" t="s">
        <v>114</v>
      </c>
      <c r="T51" s="62" t="s">
        <v>115</v>
      </c>
      <c r="V51" s="49" t="str">
        <f>"Metrics" &amp; " " &amp; F51
</f>
        <v>Metrics Region</v>
      </c>
      <c r="W51" s="49" t="s">
        <v>118</v>
      </c>
      <c r="X51" s="49" t="s">
        <v>119</v>
      </c>
    </row>
    <row r="52" ht="15.75" customHeight="1">
      <c r="A52" s="40"/>
      <c r="B52" s="68"/>
      <c r="C52" s="3"/>
      <c r="D52" s="3"/>
      <c r="E52" s="3"/>
      <c r="F52" s="50">
        <v>0.0</v>
      </c>
      <c r="G52" s="51">
        <f t="shared" ref="G52:H52" si="70">COUNTIFS($A$2:$A$90,$F$51,$C$2:$C$90,$F52,$D$2:$D$90,G$51)</f>
        <v>1</v>
      </c>
      <c r="H52" s="52">
        <f t="shared" si="70"/>
        <v>0</v>
      </c>
      <c r="I52" s="53">
        <f>COUNTIFS($A$2:$A$38,$F$51,$C$2:$C$38,$F52,$D$2:$D$38,I$51)+MAX(D44-C44,0)</f>
        <v>0</v>
      </c>
      <c r="J52" s="9">
        <f t="shared" ref="J52:J54" si="74">SUM(G52:I52)</f>
        <v>1</v>
      </c>
      <c r="K52" s="9"/>
      <c r="L52" s="50">
        <v>0.0</v>
      </c>
      <c r="M52" s="70">
        <f t="shared" ref="M52:O52" si="71">ABS(G$2-$F52)/1</f>
        <v>0</v>
      </c>
      <c r="N52" s="71">
        <f t="shared" si="71"/>
        <v>0.5</v>
      </c>
      <c r="O52" s="72">
        <f t="shared" si="71"/>
        <v>1</v>
      </c>
      <c r="P52" s="9"/>
      <c r="Q52" s="50">
        <v>0.0</v>
      </c>
      <c r="R52" s="51">
        <f t="shared" ref="R52:T52" si="72">($J52/$J$55) * (G$55/$J$55)</f>
        <v>1</v>
      </c>
      <c r="S52" s="52">
        <f t="shared" si="72"/>
        <v>0</v>
      </c>
      <c r="T52" s="53">
        <f t="shared" si="72"/>
        <v>0</v>
      </c>
      <c r="U52" s="9"/>
      <c r="V52" s="54" t="s">
        <v>141</v>
      </c>
      <c r="W52" s="51">
        <f>SUMPRODUCT(G52:I54, M52:O54) /$J$55</f>
        <v>0</v>
      </c>
      <c r="X52" s="53" t="s">
        <v>142</v>
      </c>
    </row>
    <row r="53" ht="15.75" customHeight="1">
      <c r="A53" s="40"/>
      <c r="B53" s="68"/>
      <c r="C53" s="3"/>
      <c r="D53" s="3"/>
      <c r="E53" s="3"/>
      <c r="F53" s="50">
        <v>0.5</v>
      </c>
      <c r="G53" s="55">
        <f t="shared" ref="G53:I53" si="73">COUNTIFS($A$2:$A$90,$F$51,$C$2:$C$90,$F53,$D$2:$D$90,G$51)</f>
        <v>0</v>
      </c>
      <c r="H53" s="9">
        <f t="shared" si="73"/>
        <v>0</v>
      </c>
      <c r="I53" s="56">
        <f t="shared" si="73"/>
        <v>0</v>
      </c>
      <c r="J53" s="9">
        <f t="shared" si="74"/>
        <v>0</v>
      </c>
      <c r="K53" s="9"/>
      <c r="L53" s="50">
        <v>0.5</v>
      </c>
      <c r="M53" s="73">
        <f t="shared" ref="M53:M54" si="76">ABS(G$2-$F53)/1</f>
        <v>0.5</v>
      </c>
      <c r="N53" s="74">
        <f>ABS(H$2-$F53)/3</f>
        <v>0</v>
      </c>
      <c r="O53" s="75">
        <f>ABS(I$2-$F53)/1</f>
        <v>0.5</v>
      </c>
      <c r="P53" s="9"/>
      <c r="Q53" s="50">
        <v>0.5</v>
      </c>
      <c r="R53" s="55">
        <f t="shared" ref="R53:T53" si="75">($J53/$J$55) * (G$55/$J$55)</f>
        <v>0</v>
      </c>
      <c r="S53" s="9">
        <f t="shared" si="75"/>
        <v>0</v>
      </c>
      <c r="T53" s="56">
        <f t="shared" si="75"/>
        <v>0</v>
      </c>
      <c r="U53" s="9"/>
      <c r="V53" s="54" t="s">
        <v>143</v>
      </c>
      <c r="W53" s="55">
        <f>SUMPRODUCT(R52:T54, M52:O54)</f>
        <v>0</v>
      </c>
      <c r="X53" s="56" t="s">
        <v>144</v>
      </c>
    </row>
    <row r="54" ht="15.75" customHeight="1">
      <c r="A54" s="40"/>
      <c r="B54" s="68"/>
      <c r="C54" s="3"/>
      <c r="D54" s="3"/>
      <c r="E54" s="3"/>
      <c r="F54" s="50">
        <v>1.0</v>
      </c>
      <c r="G54" s="57">
        <f>COUNTIFS($A$2:$A$38,$F$51,$C$2:$C$38,$F54,$D$2:$D$38,G$51) + MAX(C44-D44,0)</f>
        <v>0</v>
      </c>
      <c r="H54" s="58">
        <f>COUNTIFS($A$2:$A$90,$F$51,$C$2:$C$90,$F54,$D$2:$D$90,H$51)</f>
        <v>0</v>
      </c>
      <c r="I54" s="59">
        <f>COUNTIFS($A$2:$A$38,$F$51,$C$2:$C$38,$F54,$D$2:$D$38,I$51)+MIN(C44,D44)</f>
        <v>0</v>
      </c>
      <c r="J54" s="9">
        <f t="shared" si="74"/>
        <v>0</v>
      </c>
      <c r="K54" s="9"/>
      <c r="L54" s="50">
        <v>1.0</v>
      </c>
      <c r="M54" s="76">
        <f t="shared" si="76"/>
        <v>1</v>
      </c>
      <c r="N54" s="77">
        <f t="shared" ref="N54:O54" si="77">ABS(H$2-$F54)/1</f>
        <v>0.5</v>
      </c>
      <c r="O54" s="78">
        <f t="shared" si="77"/>
        <v>0</v>
      </c>
      <c r="P54" s="9"/>
      <c r="Q54" s="50">
        <v>1.0</v>
      </c>
      <c r="R54" s="57">
        <f t="shared" ref="R54:T54" si="78">($J54/$J$55) * (G$55/$J$55)</f>
        <v>0</v>
      </c>
      <c r="S54" s="58">
        <f t="shared" si="78"/>
        <v>0</v>
      </c>
      <c r="T54" s="59">
        <f t="shared" si="78"/>
        <v>0</v>
      </c>
      <c r="U54" s="9"/>
      <c r="V54" s="54" t="s">
        <v>111</v>
      </c>
      <c r="W54" s="57" t="str">
        <f>1-W52/W53</f>
        <v>#DIV/0!</v>
      </c>
      <c r="X54" s="59" t="s">
        <v>145</v>
      </c>
    </row>
    <row r="55" ht="15.75" customHeight="1">
      <c r="A55" s="40"/>
      <c r="B55" s="68"/>
      <c r="C55" s="3"/>
      <c r="D55" s="3"/>
      <c r="E55" s="3"/>
      <c r="F55" s="60" t="s">
        <v>125</v>
      </c>
      <c r="G55" s="9">
        <f t="shared" ref="G55:I55" si="79">SUM(G52:G54)</f>
        <v>1</v>
      </c>
      <c r="H55" s="9">
        <f t="shared" si="79"/>
        <v>0</v>
      </c>
      <c r="I55" s="9">
        <f t="shared" si="79"/>
        <v>0</v>
      </c>
      <c r="J55" s="9">
        <f>SUM(G52:I54)</f>
        <v>1</v>
      </c>
      <c r="L55" s="9"/>
      <c r="M55" s="61"/>
      <c r="N55" s="3"/>
      <c r="O55" s="3"/>
      <c r="V55" s="3"/>
      <c r="W55" s="3"/>
      <c r="X55" s="3"/>
    </row>
    <row r="56" ht="15.75" customHeight="1">
      <c r="A56" s="40"/>
      <c r="B56" s="68"/>
      <c r="C56" s="3"/>
      <c r="D56" s="3"/>
      <c r="E56" s="3"/>
      <c r="F56" s="3"/>
      <c r="L56" s="3"/>
      <c r="M56" s="3"/>
      <c r="N56" s="3"/>
      <c r="O56" s="3"/>
      <c r="V56" s="3"/>
      <c r="W56" s="3"/>
      <c r="X56" s="3"/>
    </row>
    <row r="57" ht="15.75" customHeight="1">
      <c r="A57" s="40"/>
      <c r="B57" s="68"/>
      <c r="C57" s="3"/>
      <c r="D57" s="3"/>
      <c r="E57" s="3"/>
      <c r="F57" s="3"/>
      <c r="L57" s="3"/>
      <c r="M57" s="3"/>
      <c r="N57" s="3"/>
      <c r="O57" s="3"/>
      <c r="V57" s="3"/>
      <c r="W57" s="3"/>
      <c r="X57" s="3"/>
    </row>
    <row r="58" ht="15.75" customHeight="1">
      <c r="A58" s="40"/>
      <c r="B58" s="68"/>
      <c r="C58" s="3"/>
      <c r="D58" s="3"/>
      <c r="E58" s="3"/>
      <c r="F58" s="3"/>
      <c r="L58" s="3"/>
      <c r="M58" s="3"/>
      <c r="N58" s="3"/>
      <c r="O58" s="3"/>
      <c r="V58" s="3"/>
      <c r="W58" s="3"/>
      <c r="X58" s="3"/>
    </row>
    <row r="59" ht="15.75" customHeight="1">
      <c r="A59" s="40"/>
      <c r="B59" s="68"/>
      <c r="C59" s="3"/>
      <c r="D59" s="3"/>
      <c r="E59" s="3"/>
      <c r="F59" s="3"/>
      <c r="L59" s="3"/>
      <c r="M59" s="3"/>
      <c r="N59" s="3"/>
      <c r="O59" s="3"/>
      <c r="V59" s="3"/>
      <c r="W59" s="3"/>
      <c r="X59" s="3"/>
    </row>
    <row r="60" ht="15.75" customHeight="1">
      <c r="A60" s="40"/>
      <c r="B60" s="68"/>
      <c r="C60" s="3"/>
      <c r="D60" s="3"/>
      <c r="E60" s="3"/>
      <c r="F60" s="3"/>
      <c r="L60" s="3"/>
      <c r="M60" s="3"/>
      <c r="N60" s="3"/>
      <c r="O60" s="3"/>
      <c r="V60" s="3"/>
      <c r="W60" s="3"/>
      <c r="X60" s="3"/>
    </row>
    <row r="61" ht="15.75" customHeight="1">
      <c r="A61" s="40"/>
      <c r="B61" s="68"/>
      <c r="C61" s="3"/>
      <c r="D61" s="3"/>
      <c r="E61" s="3"/>
      <c r="F61" s="3"/>
      <c r="L61" s="3"/>
      <c r="M61" s="3"/>
      <c r="N61" s="3"/>
      <c r="O61" s="3"/>
      <c r="V61" s="3"/>
      <c r="W61" s="3"/>
      <c r="X61" s="3"/>
    </row>
    <row r="62" ht="15.75" customHeight="1">
      <c r="A62" s="40"/>
      <c r="B62" s="68"/>
      <c r="C62" s="3"/>
      <c r="D62" s="3"/>
      <c r="E62" s="3"/>
      <c r="F62" s="3"/>
      <c r="L62" s="3"/>
      <c r="M62" s="3"/>
      <c r="N62" s="3"/>
      <c r="O62" s="3"/>
      <c r="V62" s="3"/>
      <c r="W62" s="3"/>
      <c r="X62" s="3"/>
    </row>
    <row r="63" ht="15.75" customHeight="1">
      <c r="A63" s="40"/>
      <c r="B63" s="68"/>
      <c r="C63" s="3"/>
      <c r="D63" s="3"/>
      <c r="E63" s="3"/>
      <c r="F63" s="3"/>
      <c r="L63" s="3"/>
      <c r="M63" s="3"/>
      <c r="N63" s="3"/>
      <c r="O63" s="3"/>
      <c r="V63" s="3"/>
      <c r="W63" s="3"/>
      <c r="X63" s="3"/>
    </row>
    <row r="64" ht="15.75" customHeight="1">
      <c r="A64" s="40"/>
      <c r="B64" s="68"/>
      <c r="C64" s="3"/>
      <c r="D64" s="3"/>
      <c r="E64" s="3"/>
      <c r="F64" s="3"/>
      <c r="L64" s="3"/>
      <c r="M64" s="3"/>
      <c r="N64" s="3"/>
      <c r="O64" s="3"/>
      <c r="V64" s="3"/>
      <c r="W64" s="3"/>
      <c r="X64" s="3"/>
    </row>
    <row r="65" ht="15.75" customHeight="1">
      <c r="A65" s="40"/>
      <c r="B65" s="68"/>
      <c r="C65" s="3"/>
      <c r="D65" s="3"/>
      <c r="E65" s="3"/>
      <c r="F65" s="3"/>
      <c r="L65" s="3"/>
      <c r="M65" s="3"/>
      <c r="N65" s="3"/>
      <c r="O65" s="3"/>
      <c r="V65" s="3"/>
      <c r="W65" s="3"/>
      <c r="X65" s="3"/>
    </row>
    <row r="66" ht="15.75" customHeight="1">
      <c r="A66" s="40"/>
      <c r="B66" s="68"/>
      <c r="C66" s="3"/>
      <c r="D66" s="3"/>
      <c r="E66" s="3"/>
      <c r="F66" s="3"/>
      <c r="L66" s="3"/>
      <c r="M66" s="3"/>
      <c r="N66" s="3"/>
      <c r="O66" s="3"/>
      <c r="V66" s="3"/>
      <c r="W66" s="3"/>
      <c r="X66" s="3"/>
    </row>
    <row r="67" ht="15.75" customHeight="1">
      <c r="A67" s="40"/>
      <c r="B67" s="68"/>
      <c r="C67" s="3"/>
      <c r="D67" s="3"/>
      <c r="E67" s="3"/>
      <c r="F67" s="3"/>
      <c r="L67" s="3"/>
      <c r="M67" s="3"/>
      <c r="N67" s="3"/>
      <c r="O67" s="3"/>
      <c r="V67" s="3"/>
      <c r="W67" s="3"/>
      <c r="X67" s="3"/>
    </row>
    <row r="68" ht="15.75" customHeight="1">
      <c r="A68" s="40"/>
      <c r="B68" s="68"/>
      <c r="C68" s="3"/>
      <c r="D68" s="3"/>
      <c r="E68" s="3"/>
      <c r="F68" s="3"/>
      <c r="L68" s="3"/>
      <c r="M68" s="3"/>
      <c r="N68" s="3"/>
      <c r="O68" s="3"/>
      <c r="V68" s="3"/>
      <c r="W68" s="3"/>
      <c r="X68" s="3"/>
    </row>
    <row r="69" ht="15.75" customHeight="1">
      <c r="A69" s="40"/>
      <c r="B69" s="68"/>
      <c r="C69" s="3"/>
      <c r="D69" s="3"/>
      <c r="E69" s="3"/>
      <c r="F69" s="3"/>
      <c r="L69" s="3"/>
      <c r="M69" s="3"/>
      <c r="N69" s="3"/>
      <c r="O69" s="3"/>
      <c r="V69" s="3"/>
      <c r="W69" s="3"/>
      <c r="X69" s="3"/>
    </row>
    <row r="70" ht="15.75" customHeight="1">
      <c r="A70" s="40"/>
      <c r="B70" s="68"/>
      <c r="C70" s="3"/>
      <c r="D70" s="3"/>
      <c r="E70" s="3"/>
      <c r="F70" s="3"/>
      <c r="L70" s="3"/>
      <c r="M70" s="3"/>
      <c r="N70" s="3"/>
      <c r="O70" s="3"/>
      <c r="V70" s="3"/>
      <c r="W70" s="3"/>
      <c r="X70" s="3"/>
    </row>
    <row r="71" ht="15.75" customHeight="1">
      <c r="A71" s="3"/>
      <c r="B71" s="68"/>
      <c r="C71" s="3"/>
      <c r="D71" s="3"/>
      <c r="E71" s="3"/>
      <c r="F71" s="3"/>
      <c r="L71" s="3"/>
      <c r="M71" s="3"/>
      <c r="N71" s="3"/>
      <c r="O71" s="3"/>
      <c r="V71" s="3"/>
      <c r="W71" s="3"/>
      <c r="X71" s="3"/>
    </row>
    <row r="72" ht="15.75" customHeight="1">
      <c r="A72" s="3"/>
      <c r="B72" s="68"/>
      <c r="C72" s="3"/>
      <c r="D72" s="3"/>
      <c r="E72" s="3"/>
      <c r="F72" s="3"/>
      <c r="L72" s="3"/>
      <c r="M72" s="3"/>
      <c r="N72" s="3"/>
      <c r="O72" s="3"/>
      <c r="V72" s="3"/>
      <c r="W72" s="3"/>
      <c r="X72" s="3"/>
    </row>
    <row r="73" ht="15.75" customHeight="1">
      <c r="A73" s="3"/>
      <c r="B73" s="3"/>
      <c r="C73" s="3"/>
      <c r="D73" s="3"/>
      <c r="E73" s="3"/>
      <c r="F73" s="3"/>
      <c r="L73" s="3"/>
      <c r="M73" s="3"/>
      <c r="N73" s="3"/>
      <c r="O73" s="3"/>
      <c r="V73" s="3"/>
      <c r="W73" s="3"/>
      <c r="X73" s="3"/>
    </row>
    <row r="74" ht="15.75" customHeight="1">
      <c r="A74" s="3"/>
      <c r="B74" s="3"/>
      <c r="C74" s="3"/>
      <c r="D74" s="3"/>
      <c r="E74" s="3"/>
      <c r="F74" s="3"/>
      <c r="L74" s="3"/>
      <c r="M74" s="3"/>
      <c r="N74" s="3"/>
      <c r="O74" s="3"/>
      <c r="V74" s="3"/>
      <c r="W74" s="3"/>
      <c r="X74" s="3"/>
    </row>
    <row r="75" ht="15.75" customHeight="1">
      <c r="A75" s="3"/>
      <c r="B75" s="3"/>
      <c r="C75" s="3"/>
      <c r="D75" s="3"/>
      <c r="E75" s="3"/>
      <c r="F75" s="3"/>
      <c r="L75" s="3"/>
      <c r="M75" s="3"/>
      <c r="N75" s="3"/>
      <c r="O75" s="3"/>
      <c r="V75" s="3"/>
      <c r="W75" s="3"/>
      <c r="X75" s="3"/>
    </row>
    <row r="76" ht="15.75" customHeight="1">
      <c r="A76" s="3"/>
      <c r="B76" s="3"/>
      <c r="C76" s="3"/>
      <c r="D76" s="3"/>
      <c r="E76" s="3"/>
      <c r="F76" s="3"/>
      <c r="L76" s="3"/>
      <c r="M76" s="3"/>
      <c r="N76" s="3"/>
      <c r="O76" s="3"/>
      <c r="V76" s="3"/>
      <c r="W76" s="3"/>
      <c r="X76" s="3"/>
    </row>
    <row r="77" ht="15.75" customHeight="1">
      <c r="A77" s="3"/>
      <c r="B77" s="3"/>
      <c r="C77" s="3"/>
      <c r="D77" s="3"/>
      <c r="E77" s="3"/>
      <c r="F77" s="3"/>
      <c r="L77" s="3"/>
      <c r="M77" s="3"/>
      <c r="N77" s="3"/>
      <c r="O77" s="3"/>
      <c r="V77" s="3"/>
      <c r="W77" s="3"/>
      <c r="X77" s="3"/>
    </row>
    <row r="78" ht="15.75" customHeight="1">
      <c r="A78" s="3"/>
      <c r="B78" s="3"/>
      <c r="C78" s="3"/>
      <c r="D78" s="3"/>
      <c r="E78" s="3"/>
      <c r="F78" s="3"/>
      <c r="L78" s="3"/>
      <c r="M78" s="3"/>
      <c r="N78" s="3"/>
      <c r="O78" s="3"/>
      <c r="V78" s="3"/>
      <c r="W78" s="3"/>
      <c r="X78" s="3"/>
    </row>
    <row r="79" ht="15.75" customHeight="1">
      <c r="A79" s="3"/>
      <c r="B79" s="3"/>
      <c r="C79" s="3"/>
      <c r="D79" s="3"/>
      <c r="E79" s="3"/>
      <c r="F79" s="3"/>
      <c r="L79" s="3"/>
      <c r="M79" s="3"/>
      <c r="N79" s="3"/>
      <c r="O79" s="3"/>
      <c r="V79" s="3"/>
      <c r="W79" s="3"/>
      <c r="X79" s="3"/>
    </row>
    <row r="80" ht="15.75" customHeight="1">
      <c r="A80" s="3"/>
      <c r="B80" s="3"/>
      <c r="C80" s="3"/>
      <c r="D80" s="3"/>
      <c r="E80" s="3"/>
      <c r="F80" s="3"/>
      <c r="L80" s="3"/>
      <c r="M80" s="3"/>
      <c r="N80" s="3"/>
      <c r="O80" s="3"/>
      <c r="V80" s="3"/>
      <c r="W80" s="3"/>
      <c r="X80" s="3"/>
    </row>
    <row r="81" ht="15.75" customHeight="1">
      <c r="A81" s="3"/>
      <c r="B81" s="3"/>
      <c r="C81" s="3"/>
      <c r="D81" s="3"/>
      <c r="E81" s="3"/>
      <c r="F81" s="3"/>
      <c r="L81" s="3"/>
      <c r="M81" s="3"/>
      <c r="N81" s="3"/>
      <c r="O81" s="3"/>
      <c r="V81" s="3"/>
      <c r="W81" s="3"/>
      <c r="X81" s="3"/>
    </row>
    <row r="82" ht="15.75" customHeight="1">
      <c r="A82" s="3"/>
      <c r="B82" s="3"/>
      <c r="C82" s="3"/>
      <c r="D82" s="3"/>
      <c r="E82" s="3"/>
      <c r="F82" s="3"/>
      <c r="L82" s="3"/>
      <c r="M82" s="3"/>
      <c r="N82" s="3"/>
      <c r="O82" s="3"/>
      <c r="V82" s="3"/>
      <c r="W82" s="3"/>
      <c r="X82" s="3"/>
    </row>
    <row r="83" ht="15.75" customHeight="1">
      <c r="A83" s="3"/>
      <c r="B83" s="3"/>
      <c r="C83" s="3"/>
      <c r="D83" s="3"/>
      <c r="E83" s="3"/>
      <c r="F83" s="3"/>
      <c r="L83" s="3"/>
      <c r="M83" s="3"/>
      <c r="N83" s="3"/>
      <c r="O83" s="3"/>
      <c r="V83" s="3"/>
      <c r="W83" s="3"/>
      <c r="X83" s="3"/>
    </row>
    <row r="84" ht="15.75" customHeight="1">
      <c r="A84" s="3"/>
      <c r="B84" s="3"/>
      <c r="C84" s="3"/>
      <c r="D84" s="3"/>
      <c r="E84" s="3"/>
      <c r="F84" s="3"/>
      <c r="L84" s="3"/>
      <c r="M84" s="3"/>
      <c r="N84" s="3"/>
      <c r="O84" s="3"/>
      <c r="V84" s="3"/>
      <c r="W84" s="3"/>
      <c r="X84" s="3"/>
    </row>
    <row r="85" ht="15.75" customHeight="1">
      <c r="A85" s="3"/>
      <c r="B85" s="3"/>
      <c r="C85" s="3"/>
      <c r="D85" s="3"/>
      <c r="E85" s="3"/>
      <c r="F85" s="3"/>
      <c r="L85" s="3"/>
      <c r="M85" s="3"/>
      <c r="N85" s="3"/>
      <c r="O85" s="3"/>
      <c r="V85" s="3"/>
      <c r="W85" s="3"/>
      <c r="X85" s="3"/>
    </row>
    <row r="86" ht="15.75" customHeight="1">
      <c r="A86" s="3"/>
      <c r="B86" s="3"/>
      <c r="C86" s="3"/>
      <c r="D86" s="3"/>
      <c r="E86" s="3"/>
      <c r="F86" s="3"/>
      <c r="L86" s="3"/>
      <c r="M86" s="3"/>
      <c r="N86" s="3"/>
      <c r="O86" s="3"/>
      <c r="V86" s="3"/>
      <c r="W86" s="3"/>
      <c r="X86" s="3"/>
    </row>
    <row r="87" ht="15.75" customHeight="1">
      <c r="A87" s="3"/>
      <c r="B87" s="3"/>
      <c r="C87" s="3"/>
      <c r="D87" s="3"/>
      <c r="E87" s="3"/>
      <c r="F87" s="3"/>
      <c r="L87" s="3"/>
      <c r="M87" s="3"/>
      <c r="N87" s="3"/>
      <c r="O87" s="3"/>
      <c r="V87" s="3"/>
      <c r="W87" s="3"/>
      <c r="X87" s="3"/>
    </row>
    <row r="88" ht="15.75" customHeight="1">
      <c r="A88" s="3"/>
      <c r="B88" s="3"/>
      <c r="C88" s="3"/>
      <c r="D88" s="3"/>
      <c r="E88" s="3"/>
      <c r="F88" s="3"/>
      <c r="L88" s="3"/>
      <c r="M88" s="3"/>
      <c r="N88" s="3"/>
      <c r="O88" s="3"/>
      <c r="V88" s="3"/>
      <c r="W88" s="3"/>
      <c r="X88" s="3"/>
    </row>
    <row r="89" ht="15.75" customHeight="1">
      <c r="A89" s="3"/>
      <c r="B89" s="3"/>
      <c r="C89" s="3"/>
      <c r="D89" s="3"/>
      <c r="E89" s="3"/>
      <c r="F89" s="3"/>
      <c r="L89" s="3"/>
      <c r="M89" s="3"/>
      <c r="N89" s="3"/>
      <c r="O89" s="3"/>
      <c r="V89" s="3"/>
      <c r="W89" s="3"/>
      <c r="X89" s="3"/>
    </row>
    <row r="90" ht="15.75" customHeight="1">
      <c r="A90" s="3"/>
      <c r="B90" s="3"/>
      <c r="C90" s="3"/>
      <c r="D90" s="3"/>
      <c r="E90" s="3"/>
      <c r="F90" s="3"/>
      <c r="L90" s="3"/>
      <c r="M90" s="3"/>
      <c r="N90" s="3"/>
      <c r="O90" s="3"/>
      <c r="V90" s="3"/>
      <c r="W90" s="3"/>
      <c r="X90" s="3"/>
    </row>
    <row r="91" ht="15.75" customHeight="1">
      <c r="A91" s="3"/>
      <c r="B91" s="3"/>
      <c r="C91" s="3"/>
      <c r="D91" s="3"/>
      <c r="E91" s="3"/>
      <c r="F91" s="3"/>
      <c r="L91" s="3"/>
      <c r="M91" s="3"/>
      <c r="N91" s="3"/>
      <c r="O91" s="3"/>
      <c r="V91" s="3"/>
      <c r="W91" s="3"/>
      <c r="X91" s="3"/>
    </row>
    <row r="92" ht="15.75" customHeight="1">
      <c r="A92" s="3"/>
      <c r="B92" s="3"/>
      <c r="C92" s="3"/>
      <c r="D92" s="3"/>
      <c r="E92" s="3"/>
      <c r="F92" s="3"/>
      <c r="L92" s="3"/>
      <c r="M92" s="3"/>
      <c r="N92" s="3"/>
      <c r="O92" s="3"/>
      <c r="V92" s="3"/>
      <c r="W92" s="3"/>
      <c r="X92" s="3"/>
    </row>
    <row r="93" ht="15.75" customHeight="1">
      <c r="A93" s="3"/>
      <c r="B93" s="3"/>
      <c r="C93" s="3"/>
      <c r="D93" s="3"/>
      <c r="E93" s="3"/>
      <c r="F93" s="3"/>
      <c r="L93" s="3"/>
      <c r="M93" s="3"/>
      <c r="N93" s="3"/>
      <c r="O93" s="3"/>
      <c r="V93" s="3"/>
      <c r="W93" s="3"/>
      <c r="X93" s="3"/>
    </row>
    <row r="94" ht="15.75" customHeight="1">
      <c r="A94" s="3"/>
      <c r="B94" s="3"/>
      <c r="C94" s="3"/>
      <c r="D94" s="3"/>
      <c r="E94" s="3"/>
      <c r="F94" s="3"/>
      <c r="L94" s="3"/>
      <c r="M94" s="3"/>
      <c r="N94" s="3"/>
      <c r="O94" s="3"/>
      <c r="V94" s="3"/>
      <c r="W94" s="3"/>
      <c r="X94" s="3"/>
    </row>
    <row r="95" ht="15.75" customHeight="1">
      <c r="A95" s="3"/>
      <c r="B95" s="3"/>
      <c r="C95" s="3"/>
      <c r="D95" s="3"/>
      <c r="E95" s="3"/>
      <c r="F95" s="3"/>
      <c r="L95" s="3"/>
      <c r="M95" s="3"/>
      <c r="N95" s="3"/>
      <c r="O95" s="3"/>
      <c r="V95" s="3"/>
      <c r="W95" s="3"/>
      <c r="X95" s="3"/>
    </row>
    <row r="96" ht="15.75" customHeight="1">
      <c r="A96" s="3"/>
      <c r="B96" s="3"/>
      <c r="C96" s="3"/>
      <c r="D96" s="3"/>
      <c r="E96" s="3"/>
      <c r="F96" s="3"/>
      <c r="L96" s="3"/>
      <c r="M96" s="3"/>
      <c r="N96" s="3"/>
      <c r="O96" s="3"/>
      <c r="V96" s="3"/>
      <c r="W96" s="3"/>
      <c r="X96" s="3"/>
    </row>
    <row r="97" ht="15.75" customHeight="1">
      <c r="A97" s="3"/>
      <c r="B97" s="3"/>
      <c r="C97" s="3"/>
      <c r="D97" s="3"/>
      <c r="E97" s="3"/>
      <c r="F97" s="3"/>
      <c r="L97" s="3"/>
      <c r="M97" s="3"/>
      <c r="N97" s="3"/>
      <c r="O97" s="3"/>
      <c r="V97" s="3"/>
      <c r="W97" s="3"/>
      <c r="X97" s="3"/>
    </row>
    <row r="98" ht="15.75" customHeight="1">
      <c r="A98" s="3"/>
      <c r="B98" s="3"/>
      <c r="C98" s="3"/>
      <c r="D98" s="3"/>
      <c r="E98" s="3"/>
      <c r="F98" s="3"/>
      <c r="L98" s="3"/>
      <c r="M98" s="3"/>
      <c r="N98" s="3"/>
      <c r="O98" s="3"/>
      <c r="V98" s="3"/>
      <c r="W98" s="3"/>
      <c r="X98" s="3"/>
    </row>
    <row r="99" ht="15.75" customHeight="1">
      <c r="A99" s="3"/>
      <c r="B99" s="3"/>
      <c r="C99" s="3"/>
      <c r="D99" s="3"/>
      <c r="E99" s="3"/>
      <c r="F99" s="3"/>
      <c r="L99" s="3"/>
      <c r="M99" s="3"/>
      <c r="N99" s="3"/>
      <c r="O99" s="3"/>
      <c r="V99" s="3"/>
      <c r="W99" s="3"/>
      <c r="X99" s="3"/>
    </row>
    <row r="100" ht="15.75" customHeight="1">
      <c r="A100" s="3"/>
      <c r="B100" s="3"/>
      <c r="C100" s="3"/>
      <c r="D100" s="3"/>
      <c r="E100" s="3"/>
      <c r="F100" s="3"/>
      <c r="L100" s="3"/>
      <c r="M100" s="3"/>
      <c r="N100" s="3"/>
      <c r="O100" s="3"/>
      <c r="V100" s="3"/>
      <c r="W100" s="3"/>
      <c r="X100" s="3"/>
    </row>
    <row r="101" ht="15.75" customHeight="1">
      <c r="A101" s="3"/>
      <c r="B101" s="3"/>
      <c r="C101" s="3"/>
      <c r="D101" s="3"/>
      <c r="E101" s="3"/>
      <c r="F101" s="3"/>
      <c r="L101" s="3"/>
      <c r="M101" s="3"/>
      <c r="N101" s="3"/>
      <c r="O101" s="3"/>
      <c r="V101" s="3"/>
      <c r="W101" s="3"/>
      <c r="X101" s="3"/>
    </row>
    <row r="102" ht="15.75" customHeight="1">
      <c r="A102" s="3"/>
      <c r="B102" s="3"/>
      <c r="C102" s="3"/>
      <c r="D102" s="3"/>
      <c r="E102" s="3"/>
      <c r="F102" s="3"/>
      <c r="L102" s="3"/>
      <c r="M102" s="3"/>
      <c r="N102" s="3"/>
      <c r="O102" s="3"/>
      <c r="V102" s="3"/>
      <c r="W102" s="3"/>
      <c r="X102" s="3"/>
    </row>
    <row r="103" ht="15.75" customHeight="1">
      <c r="A103" s="3"/>
      <c r="B103" s="3"/>
      <c r="C103" s="3"/>
      <c r="D103" s="3"/>
      <c r="E103" s="3"/>
      <c r="F103" s="3"/>
      <c r="L103" s="3"/>
      <c r="M103" s="3"/>
      <c r="N103" s="3"/>
      <c r="O103" s="3"/>
      <c r="V103" s="3"/>
      <c r="W103" s="3"/>
      <c r="X103" s="3"/>
    </row>
    <row r="104" ht="15.75" customHeight="1">
      <c r="A104" s="3"/>
      <c r="B104" s="3"/>
      <c r="C104" s="3"/>
      <c r="D104" s="3"/>
      <c r="E104" s="3"/>
      <c r="F104" s="3"/>
      <c r="L104" s="3"/>
      <c r="M104" s="3"/>
      <c r="N104" s="3"/>
      <c r="O104" s="3"/>
      <c r="V104" s="3"/>
      <c r="W104" s="3"/>
      <c r="X104" s="3"/>
    </row>
    <row r="105" ht="15.75" customHeight="1">
      <c r="A105" s="3"/>
      <c r="B105" s="3"/>
      <c r="C105" s="3"/>
      <c r="D105" s="3"/>
      <c r="E105" s="3"/>
      <c r="F105" s="3"/>
      <c r="L105" s="3"/>
      <c r="M105" s="3"/>
      <c r="N105" s="3"/>
      <c r="O105" s="3"/>
      <c r="V105" s="3"/>
      <c r="W105" s="3"/>
      <c r="X105" s="3"/>
    </row>
    <row r="106" ht="15.75" customHeight="1">
      <c r="A106" s="3"/>
      <c r="B106" s="3"/>
      <c r="C106" s="3"/>
      <c r="D106" s="3"/>
      <c r="E106" s="3"/>
      <c r="F106" s="3"/>
      <c r="L106" s="3"/>
      <c r="M106" s="3"/>
      <c r="N106" s="3"/>
      <c r="O106" s="3"/>
      <c r="V106" s="3"/>
      <c r="W106" s="3"/>
      <c r="X106" s="3"/>
    </row>
    <row r="107" ht="15.75" customHeight="1">
      <c r="A107" s="3"/>
      <c r="B107" s="3"/>
      <c r="C107" s="3"/>
      <c r="D107" s="3"/>
      <c r="E107" s="3"/>
      <c r="F107" s="3"/>
      <c r="L107" s="3"/>
      <c r="M107" s="3"/>
      <c r="N107" s="3"/>
      <c r="O107" s="3"/>
      <c r="V107" s="3"/>
      <c r="W107" s="3"/>
      <c r="X107" s="3"/>
    </row>
    <row r="108" ht="15.75" customHeight="1">
      <c r="A108" s="3"/>
      <c r="B108" s="3"/>
      <c r="C108" s="3"/>
      <c r="D108" s="3"/>
      <c r="E108" s="3"/>
      <c r="F108" s="3"/>
      <c r="L108" s="3"/>
      <c r="M108" s="3"/>
      <c r="N108" s="3"/>
      <c r="O108" s="3"/>
      <c r="V108" s="3"/>
      <c r="W108" s="3"/>
      <c r="X108" s="3"/>
    </row>
    <row r="109" ht="15.75" customHeight="1">
      <c r="A109" s="3"/>
      <c r="B109" s="3"/>
      <c r="C109" s="3"/>
      <c r="D109" s="3"/>
      <c r="E109" s="3"/>
      <c r="F109" s="3"/>
      <c r="L109" s="3"/>
      <c r="M109" s="3"/>
      <c r="N109" s="3"/>
      <c r="O109" s="3"/>
      <c r="V109" s="3"/>
      <c r="W109" s="3"/>
      <c r="X109" s="3"/>
    </row>
    <row r="110" ht="15.75" customHeight="1">
      <c r="A110" s="3"/>
      <c r="B110" s="3"/>
      <c r="C110" s="3"/>
      <c r="D110" s="3"/>
      <c r="E110" s="3"/>
      <c r="F110" s="3"/>
      <c r="L110" s="3"/>
      <c r="M110" s="3"/>
      <c r="N110" s="3"/>
      <c r="O110" s="3"/>
      <c r="V110" s="3"/>
      <c r="W110" s="3"/>
      <c r="X110" s="3"/>
    </row>
    <row r="111" ht="15.75" customHeight="1">
      <c r="A111" s="3"/>
      <c r="B111" s="3"/>
      <c r="C111" s="3"/>
      <c r="D111" s="3"/>
      <c r="E111" s="3"/>
      <c r="F111" s="3"/>
      <c r="L111" s="3"/>
      <c r="M111" s="3"/>
      <c r="N111" s="3"/>
      <c r="O111" s="3"/>
      <c r="V111" s="3"/>
      <c r="W111" s="3"/>
      <c r="X111" s="3"/>
    </row>
    <row r="112" ht="15.75" customHeight="1">
      <c r="A112" s="3"/>
      <c r="B112" s="3"/>
      <c r="C112" s="3"/>
      <c r="D112" s="3"/>
      <c r="E112" s="3"/>
      <c r="F112" s="3"/>
      <c r="L112" s="3"/>
      <c r="M112" s="3"/>
      <c r="N112" s="3"/>
      <c r="O112" s="3"/>
      <c r="V112" s="3"/>
      <c r="W112" s="3"/>
      <c r="X112" s="3"/>
    </row>
    <row r="113" ht="15.75" customHeight="1">
      <c r="A113" s="3"/>
      <c r="B113" s="3"/>
      <c r="C113" s="3"/>
      <c r="D113" s="3"/>
      <c r="E113" s="3"/>
      <c r="F113" s="3"/>
      <c r="L113" s="3"/>
      <c r="M113" s="3"/>
      <c r="N113" s="3"/>
      <c r="O113" s="3"/>
      <c r="V113" s="3"/>
      <c r="W113" s="3"/>
      <c r="X113" s="3"/>
    </row>
    <row r="114" ht="15.75" customHeight="1">
      <c r="A114" s="3"/>
      <c r="B114" s="3"/>
      <c r="C114" s="3"/>
      <c r="D114" s="3"/>
      <c r="E114" s="3"/>
      <c r="F114" s="3"/>
      <c r="L114" s="3"/>
      <c r="M114" s="3"/>
      <c r="N114" s="3"/>
      <c r="O114" s="3"/>
      <c r="V114" s="3"/>
      <c r="W114" s="3"/>
      <c r="X114" s="3"/>
    </row>
    <row r="115" ht="15.75" customHeight="1">
      <c r="A115" s="3"/>
      <c r="B115" s="3"/>
      <c r="C115" s="3"/>
      <c r="D115" s="3"/>
      <c r="E115" s="3"/>
      <c r="F115" s="3"/>
      <c r="L115" s="3"/>
      <c r="M115" s="3"/>
      <c r="N115" s="3"/>
      <c r="O115" s="3"/>
      <c r="V115" s="3"/>
      <c r="W115" s="3"/>
      <c r="X115" s="3"/>
    </row>
    <row r="116" ht="15.75" customHeight="1">
      <c r="A116" s="3"/>
      <c r="B116" s="3"/>
      <c r="C116" s="3"/>
      <c r="D116" s="3"/>
      <c r="E116" s="3"/>
      <c r="F116" s="3"/>
      <c r="L116" s="3"/>
      <c r="M116" s="3"/>
      <c r="N116" s="3"/>
      <c r="O116" s="3"/>
      <c r="V116" s="3"/>
      <c r="W116" s="3"/>
      <c r="X116" s="3"/>
    </row>
    <row r="117" ht="15.75" customHeight="1">
      <c r="A117" s="3"/>
      <c r="B117" s="3"/>
      <c r="C117" s="3"/>
      <c r="D117" s="3"/>
      <c r="E117" s="3"/>
      <c r="F117" s="3"/>
      <c r="L117" s="3"/>
      <c r="M117" s="3"/>
      <c r="N117" s="3"/>
      <c r="O117" s="3"/>
      <c r="V117" s="3"/>
      <c r="W117" s="3"/>
      <c r="X117" s="3"/>
    </row>
    <row r="118" ht="15.75" customHeight="1">
      <c r="A118" s="3"/>
      <c r="B118" s="3"/>
      <c r="C118" s="3"/>
      <c r="D118" s="3"/>
      <c r="E118" s="3"/>
      <c r="F118" s="3"/>
      <c r="L118" s="3"/>
      <c r="M118" s="3"/>
      <c r="N118" s="3"/>
      <c r="O118" s="3"/>
      <c r="V118" s="3"/>
      <c r="W118" s="3"/>
      <c r="X118" s="3"/>
    </row>
    <row r="119" ht="15.75" customHeight="1">
      <c r="A119" s="3"/>
      <c r="B119" s="3"/>
      <c r="C119" s="3"/>
      <c r="D119" s="3"/>
      <c r="E119" s="3"/>
      <c r="F119" s="3"/>
      <c r="L119" s="3"/>
      <c r="M119" s="3"/>
      <c r="N119" s="3"/>
      <c r="O119" s="3"/>
      <c r="V119" s="3"/>
      <c r="W119" s="3"/>
      <c r="X119" s="3"/>
    </row>
    <row r="120" ht="15.75" customHeight="1">
      <c r="A120" s="3"/>
      <c r="B120" s="3"/>
      <c r="C120" s="3"/>
      <c r="D120" s="3"/>
      <c r="E120" s="3"/>
      <c r="F120" s="3"/>
      <c r="L120" s="3"/>
      <c r="M120" s="3"/>
      <c r="N120" s="3"/>
      <c r="O120" s="3"/>
      <c r="V120" s="3"/>
      <c r="W120" s="3"/>
      <c r="X120" s="3"/>
    </row>
    <row r="121" ht="15.75" customHeight="1">
      <c r="A121" s="3"/>
      <c r="B121" s="3"/>
      <c r="C121" s="3"/>
      <c r="D121" s="3"/>
      <c r="E121" s="3"/>
      <c r="F121" s="3"/>
      <c r="L121" s="3"/>
      <c r="M121" s="3"/>
      <c r="N121" s="3"/>
      <c r="O121" s="3"/>
      <c r="V121" s="3"/>
      <c r="W121" s="3"/>
      <c r="X121" s="3"/>
    </row>
    <row r="122" ht="15.75" customHeight="1">
      <c r="A122" s="3"/>
      <c r="B122" s="3"/>
      <c r="C122" s="3"/>
      <c r="D122" s="3"/>
      <c r="E122" s="3"/>
      <c r="F122" s="3"/>
      <c r="L122" s="3"/>
      <c r="M122" s="3"/>
      <c r="N122" s="3"/>
      <c r="O122" s="3"/>
      <c r="V122" s="3"/>
      <c r="W122" s="3"/>
      <c r="X122" s="3"/>
    </row>
    <row r="123" ht="15.75" customHeight="1">
      <c r="A123" s="3"/>
      <c r="B123" s="3"/>
      <c r="C123" s="3"/>
      <c r="D123" s="3"/>
      <c r="E123" s="3"/>
      <c r="F123" s="3"/>
      <c r="L123" s="3"/>
      <c r="M123" s="3"/>
      <c r="N123" s="3"/>
      <c r="O123" s="3"/>
      <c r="V123" s="3"/>
      <c r="W123" s="3"/>
      <c r="X123" s="3"/>
    </row>
    <row r="124" ht="15.75" customHeight="1">
      <c r="A124" s="3"/>
      <c r="B124" s="3"/>
      <c r="C124" s="3"/>
      <c r="D124" s="3"/>
      <c r="E124" s="3"/>
      <c r="F124" s="3"/>
      <c r="L124" s="3"/>
      <c r="M124" s="3"/>
      <c r="N124" s="3"/>
      <c r="O124" s="3"/>
      <c r="V124" s="3"/>
      <c r="W124" s="3"/>
      <c r="X124" s="3"/>
    </row>
    <row r="125" ht="15.75" customHeight="1">
      <c r="A125" s="3"/>
      <c r="B125" s="3"/>
      <c r="C125" s="3"/>
      <c r="D125" s="3"/>
      <c r="E125" s="3"/>
      <c r="F125" s="3"/>
      <c r="L125" s="3"/>
      <c r="M125" s="3"/>
      <c r="N125" s="3"/>
      <c r="O125" s="3"/>
      <c r="V125" s="3"/>
      <c r="W125" s="3"/>
      <c r="X125" s="3"/>
    </row>
    <row r="126" ht="15.75" customHeight="1">
      <c r="A126" s="3"/>
      <c r="B126" s="3"/>
      <c r="C126" s="3"/>
      <c r="D126" s="3"/>
      <c r="E126" s="3"/>
      <c r="F126" s="3"/>
      <c r="L126" s="3"/>
      <c r="M126" s="3"/>
      <c r="N126" s="3"/>
      <c r="O126" s="3"/>
      <c r="V126" s="3"/>
      <c r="W126" s="3"/>
      <c r="X126" s="3"/>
    </row>
    <row r="127" ht="15.75" customHeight="1">
      <c r="A127" s="3"/>
      <c r="B127" s="3"/>
      <c r="C127" s="3"/>
      <c r="D127" s="3"/>
      <c r="E127" s="3"/>
      <c r="F127" s="3"/>
      <c r="L127" s="3"/>
      <c r="M127" s="3"/>
      <c r="N127" s="3"/>
      <c r="O127" s="3"/>
      <c r="V127" s="3"/>
      <c r="W127" s="3"/>
      <c r="X127" s="3"/>
    </row>
    <row r="128" ht="15.75" customHeight="1">
      <c r="A128" s="3"/>
      <c r="B128" s="3"/>
      <c r="C128" s="3"/>
      <c r="D128" s="3"/>
      <c r="E128" s="3"/>
      <c r="F128" s="3"/>
      <c r="L128" s="3"/>
      <c r="M128" s="3"/>
      <c r="N128" s="3"/>
      <c r="O128" s="3"/>
      <c r="V128" s="3"/>
      <c r="W128" s="3"/>
      <c r="X128" s="3"/>
    </row>
    <row r="129" ht="15.75" customHeight="1">
      <c r="A129" s="3"/>
      <c r="B129" s="3"/>
      <c r="C129" s="3"/>
      <c r="D129" s="3"/>
      <c r="E129" s="3"/>
      <c r="F129" s="3"/>
      <c r="L129" s="3"/>
      <c r="M129" s="3"/>
      <c r="N129" s="3"/>
      <c r="O129" s="3"/>
      <c r="V129" s="3"/>
      <c r="W129" s="3"/>
      <c r="X129" s="3"/>
    </row>
    <row r="130" ht="15.75" customHeight="1">
      <c r="A130" s="3"/>
      <c r="B130" s="3"/>
      <c r="C130" s="3"/>
      <c r="D130" s="3"/>
      <c r="E130" s="3"/>
      <c r="F130" s="3"/>
      <c r="L130" s="3"/>
      <c r="M130" s="3"/>
      <c r="N130" s="3"/>
      <c r="O130" s="3"/>
      <c r="V130" s="3"/>
      <c r="W130" s="3"/>
      <c r="X130" s="3"/>
    </row>
    <row r="131" ht="15.75" customHeight="1">
      <c r="A131" s="3"/>
      <c r="B131" s="3"/>
      <c r="C131" s="3"/>
      <c r="D131" s="3"/>
      <c r="E131" s="3"/>
      <c r="F131" s="3"/>
      <c r="L131" s="3"/>
      <c r="M131" s="3"/>
      <c r="N131" s="3"/>
      <c r="O131" s="3"/>
      <c r="V131" s="3"/>
      <c r="W131" s="3"/>
      <c r="X131" s="3"/>
    </row>
    <row r="132" ht="15.75" customHeight="1">
      <c r="A132" s="3"/>
      <c r="B132" s="3"/>
      <c r="C132" s="3"/>
      <c r="D132" s="3"/>
      <c r="E132" s="3"/>
      <c r="F132" s="3"/>
      <c r="L132" s="3"/>
      <c r="M132" s="3"/>
      <c r="N132" s="3"/>
      <c r="O132" s="3"/>
      <c r="V132" s="3"/>
      <c r="W132" s="3"/>
      <c r="X132" s="3"/>
    </row>
    <row r="133" ht="15.75" customHeight="1">
      <c r="A133" s="3"/>
      <c r="B133" s="3"/>
      <c r="C133" s="3"/>
      <c r="D133" s="3"/>
      <c r="E133" s="3"/>
      <c r="F133" s="3"/>
      <c r="L133" s="3"/>
      <c r="M133" s="3"/>
      <c r="N133" s="3"/>
      <c r="O133" s="3"/>
      <c r="V133" s="3"/>
      <c r="W133" s="3"/>
      <c r="X133" s="3"/>
    </row>
    <row r="134" ht="15.75" customHeight="1">
      <c r="A134" s="3"/>
      <c r="B134" s="3"/>
      <c r="C134" s="3"/>
      <c r="D134" s="3"/>
      <c r="E134" s="3"/>
      <c r="F134" s="3"/>
      <c r="L134" s="3"/>
      <c r="M134" s="3"/>
      <c r="N134" s="3"/>
      <c r="O134" s="3"/>
      <c r="V134" s="3"/>
      <c r="W134" s="3"/>
      <c r="X134" s="3"/>
    </row>
    <row r="135" ht="15.75" customHeight="1">
      <c r="A135" s="3"/>
      <c r="B135" s="3"/>
      <c r="C135" s="3"/>
      <c r="D135" s="3"/>
      <c r="E135" s="3"/>
      <c r="F135" s="3"/>
      <c r="L135" s="3"/>
      <c r="M135" s="3"/>
      <c r="N135" s="3"/>
      <c r="O135" s="3"/>
      <c r="V135" s="3"/>
      <c r="W135" s="3"/>
      <c r="X135" s="3"/>
    </row>
    <row r="136" ht="15.75" customHeight="1">
      <c r="A136" s="3"/>
      <c r="B136" s="3"/>
      <c r="C136" s="3"/>
      <c r="D136" s="3"/>
      <c r="E136" s="3"/>
      <c r="F136" s="3"/>
      <c r="L136" s="3"/>
      <c r="M136" s="3"/>
      <c r="N136" s="3"/>
      <c r="O136" s="3"/>
      <c r="V136" s="3"/>
      <c r="W136" s="3"/>
      <c r="X136" s="3"/>
    </row>
    <row r="137" ht="15.75" customHeight="1">
      <c r="A137" s="3"/>
      <c r="B137" s="3"/>
      <c r="C137" s="3"/>
      <c r="D137" s="3"/>
      <c r="E137" s="3"/>
      <c r="F137" s="3"/>
      <c r="L137" s="3"/>
      <c r="M137" s="3"/>
      <c r="N137" s="3"/>
      <c r="O137" s="3"/>
      <c r="V137" s="3"/>
      <c r="W137" s="3"/>
      <c r="X137" s="3"/>
    </row>
    <row r="138" ht="15.75" customHeight="1">
      <c r="A138" s="3"/>
      <c r="B138" s="3"/>
      <c r="C138" s="3"/>
      <c r="D138" s="3"/>
      <c r="E138" s="3"/>
      <c r="F138" s="3"/>
      <c r="L138" s="3"/>
      <c r="M138" s="3"/>
      <c r="N138" s="3"/>
      <c r="O138" s="3"/>
      <c r="V138" s="3"/>
      <c r="W138" s="3"/>
      <c r="X138" s="3"/>
    </row>
    <row r="139" ht="15.75" customHeight="1">
      <c r="A139" s="3"/>
      <c r="B139" s="3"/>
      <c r="C139" s="3"/>
      <c r="D139" s="3"/>
      <c r="E139" s="3"/>
      <c r="F139" s="3"/>
      <c r="L139" s="3"/>
      <c r="M139" s="3"/>
      <c r="N139" s="3"/>
      <c r="O139" s="3"/>
      <c r="V139" s="3"/>
      <c r="W139" s="3"/>
      <c r="X139" s="3"/>
    </row>
    <row r="140" ht="15.75" customHeight="1">
      <c r="A140" s="3"/>
      <c r="B140" s="3"/>
      <c r="C140" s="3"/>
      <c r="D140" s="3"/>
      <c r="E140" s="3"/>
      <c r="F140" s="3"/>
      <c r="L140" s="3"/>
      <c r="M140" s="3"/>
      <c r="N140" s="3"/>
      <c r="O140" s="3"/>
      <c r="V140" s="3"/>
      <c r="W140" s="3"/>
      <c r="X140" s="3"/>
    </row>
    <row r="141" ht="15.75" customHeight="1">
      <c r="A141" s="3"/>
      <c r="B141" s="3"/>
      <c r="C141" s="3"/>
      <c r="D141" s="3"/>
      <c r="E141" s="3"/>
      <c r="F141" s="3"/>
      <c r="L141" s="3"/>
      <c r="M141" s="3"/>
      <c r="N141" s="3"/>
      <c r="O141" s="3"/>
      <c r="V141" s="3"/>
      <c r="W141" s="3"/>
      <c r="X141" s="3"/>
    </row>
    <row r="142" ht="15.75" customHeight="1">
      <c r="A142" s="3"/>
      <c r="B142" s="3"/>
      <c r="C142" s="3"/>
      <c r="D142" s="3"/>
      <c r="E142" s="3"/>
      <c r="F142" s="3"/>
      <c r="L142" s="3"/>
      <c r="M142" s="3"/>
      <c r="N142" s="3"/>
      <c r="O142" s="3"/>
      <c r="V142" s="3"/>
      <c r="W142" s="3"/>
      <c r="X142" s="3"/>
    </row>
    <row r="143" ht="15.75" customHeight="1">
      <c r="A143" s="3"/>
      <c r="B143" s="3"/>
      <c r="C143" s="3"/>
      <c r="D143" s="3"/>
      <c r="E143" s="3"/>
      <c r="F143" s="3"/>
      <c r="L143" s="3"/>
      <c r="M143" s="3"/>
      <c r="N143" s="3"/>
      <c r="O143" s="3"/>
      <c r="V143" s="3"/>
      <c r="W143" s="3"/>
      <c r="X143" s="3"/>
    </row>
    <row r="144" ht="15.75" customHeight="1">
      <c r="A144" s="3"/>
      <c r="B144" s="3"/>
      <c r="C144" s="3"/>
      <c r="D144" s="3"/>
      <c r="E144" s="3"/>
      <c r="F144" s="3"/>
      <c r="L144" s="3"/>
      <c r="M144" s="3"/>
      <c r="N144" s="3"/>
      <c r="O144" s="3"/>
      <c r="V144" s="3"/>
      <c r="W144" s="3"/>
      <c r="X144" s="3"/>
    </row>
    <row r="145" ht="15.75" customHeight="1">
      <c r="A145" s="3"/>
      <c r="B145" s="3"/>
      <c r="C145" s="3"/>
      <c r="D145" s="3"/>
      <c r="E145" s="3"/>
      <c r="F145" s="3"/>
      <c r="L145" s="3"/>
      <c r="M145" s="3"/>
      <c r="N145" s="3"/>
      <c r="O145" s="3"/>
      <c r="V145" s="3"/>
      <c r="W145" s="3"/>
      <c r="X145" s="3"/>
    </row>
    <row r="146" ht="15.75" customHeight="1">
      <c r="A146" s="3"/>
      <c r="B146" s="3"/>
      <c r="C146" s="3"/>
      <c r="D146" s="3"/>
      <c r="E146" s="3"/>
      <c r="F146" s="3"/>
      <c r="L146" s="3"/>
      <c r="M146" s="3"/>
      <c r="N146" s="3"/>
      <c r="O146" s="3"/>
      <c r="V146" s="3"/>
      <c r="W146" s="3"/>
      <c r="X146" s="3"/>
    </row>
    <row r="147" ht="15.75" customHeight="1">
      <c r="A147" s="3"/>
      <c r="B147" s="3"/>
      <c r="C147" s="3"/>
      <c r="D147" s="3"/>
      <c r="E147" s="3"/>
      <c r="F147" s="3"/>
      <c r="L147" s="3"/>
      <c r="M147" s="3"/>
      <c r="N147" s="3"/>
      <c r="O147" s="3"/>
      <c r="V147" s="3"/>
      <c r="W147" s="3"/>
      <c r="X147" s="3"/>
    </row>
    <row r="148" ht="15.75" customHeight="1">
      <c r="A148" s="3"/>
      <c r="B148" s="3"/>
      <c r="C148" s="3"/>
      <c r="D148" s="3"/>
      <c r="E148" s="3"/>
      <c r="F148" s="3"/>
      <c r="L148" s="3"/>
      <c r="M148" s="3"/>
      <c r="N148" s="3"/>
      <c r="O148" s="3"/>
      <c r="V148" s="3"/>
      <c r="W148" s="3"/>
      <c r="X148" s="3"/>
    </row>
    <row r="149" ht="15.75" customHeight="1">
      <c r="A149" s="3"/>
      <c r="B149" s="3"/>
      <c r="C149" s="3"/>
      <c r="D149" s="3"/>
      <c r="E149" s="3"/>
      <c r="F149" s="3"/>
      <c r="L149" s="3"/>
      <c r="M149" s="3"/>
      <c r="N149" s="3"/>
      <c r="O149" s="3"/>
      <c r="V149" s="3"/>
      <c r="W149" s="3"/>
      <c r="X149" s="3"/>
    </row>
    <row r="150" ht="15.75" customHeight="1">
      <c r="A150" s="3"/>
      <c r="B150" s="3"/>
      <c r="C150" s="3"/>
      <c r="D150" s="3"/>
      <c r="E150" s="3"/>
      <c r="F150" s="3"/>
      <c r="L150" s="3"/>
      <c r="M150" s="3"/>
      <c r="N150" s="3"/>
      <c r="O150" s="3"/>
      <c r="V150" s="3"/>
      <c r="W150" s="3"/>
      <c r="X150" s="3"/>
    </row>
    <row r="151" ht="15.75" customHeight="1">
      <c r="A151" s="3"/>
      <c r="B151" s="3"/>
      <c r="C151" s="3"/>
      <c r="D151" s="3"/>
      <c r="E151" s="3"/>
      <c r="F151" s="3"/>
      <c r="L151" s="3"/>
      <c r="M151" s="3"/>
      <c r="N151" s="3"/>
      <c r="O151" s="3"/>
      <c r="V151" s="3"/>
      <c r="W151" s="3"/>
      <c r="X151" s="3"/>
    </row>
    <row r="152" ht="15.75" customHeight="1">
      <c r="A152" s="3"/>
      <c r="B152" s="3"/>
      <c r="C152" s="3"/>
      <c r="D152" s="3"/>
      <c r="E152" s="3"/>
      <c r="F152" s="3"/>
      <c r="L152" s="3"/>
      <c r="M152" s="3"/>
      <c r="N152" s="3"/>
      <c r="O152" s="3"/>
      <c r="V152" s="3"/>
      <c r="W152" s="3"/>
      <c r="X152" s="3"/>
    </row>
    <row r="153" ht="15.75" customHeight="1">
      <c r="A153" s="3"/>
      <c r="B153" s="3"/>
      <c r="C153" s="3"/>
      <c r="D153" s="3"/>
      <c r="E153" s="3"/>
      <c r="F153" s="3"/>
      <c r="L153" s="3"/>
      <c r="M153" s="3"/>
      <c r="N153" s="3"/>
      <c r="O153" s="3"/>
      <c r="V153" s="3"/>
      <c r="W153" s="3"/>
      <c r="X153" s="3"/>
    </row>
    <row r="154" ht="15.75" customHeight="1">
      <c r="A154" s="3"/>
      <c r="B154" s="3"/>
      <c r="C154" s="3"/>
      <c r="D154" s="3"/>
      <c r="E154" s="3"/>
      <c r="F154" s="3"/>
      <c r="L154" s="3"/>
      <c r="M154" s="3"/>
      <c r="N154" s="3"/>
      <c r="O154" s="3"/>
      <c r="V154" s="3"/>
      <c r="W154" s="3"/>
      <c r="X154" s="3"/>
    </row>
    <row r="155" ht="15.75" customHeight="1">
      <c r="A155" s="3"/>
      <c r="B155" s="3"/>
      <c r="C155" s="3"/>
      <c r="D155" s="3"/>
      <c r="E155" s="3"/>
      <c r="F155" s="3"/>
      <c r="L155" s="3"/>
      <c r="M155" s="3"/>
      <c r="N155" s="3"/>
      <c r="O155" s="3"/>
      <c r="V155" s="3"/>
      <c r="W155" s="3"/>
      <c r="X155" s="3"/>
    </row>
    <row r="156" ht="15.75" customHeight="1">
      <c r="A156" s="3"/>
      <c r="B156" s="3"/>
      <c r="C156" s="3"/>
      <c r="D156" s="3"/>
      <c r="E156" s="3"/>
      <c r="F156" s="3"/>
      <c r="L156" s="3"/>
      <c r="M156" s="3"/>
      <c r="N156" s="3"/>
      <c r="O156" s="3"/>
      <c r="V156" s="3"/>
      <c r="W156" s="3"/>
      <c r="X156" s="3"/>
    </row>
    <row r="157" ht="15.75" customHeight="1">
      <c r="A157" s="3"/>
      <c r="B157" s="3"/>
      <c r="C157" s="3"/>
      <c r="D157" s="3"/>
      <c r="E157" s="3"/>
      <c r="F157" s="3"/>
      <c r="L157" s="3"/>
      <c r="M157" s="3"/>
      <c r="N157" s="3"/>
      <c r="O157" s="3"/>
      <c r="V157" s="3"/>
      <c r="W157" s="3"/>
      <c r="X157" s="3"/>
    </row>
    <row r="158" ht="15.75" customHeight="1">
      <c r="A158" s="3"/>
      <c r="B158" s="3"/>
      <c r="C158" s="3"/>
      <c r="D158" s="3"/>
      <c r="E158" s="3"/>
      <c r="F158" s="3"/>
      <c r="L158" s="3"/>
      <c r="M158" s="3"/>
      <c r="N158" s="3"/>
      <c r="O158" s="3"/>
      <c r="V158" s="3"/>
      <c r="W158" s="3"/>
      <c r="X158" s="3"/>
    </row>
    <row r="159" ht="15.75" customHeight="1">
      <c r="A159" s="3"/>
      <c r="B159" s="3"/>
      <c r="C159" s="3"/>
      <c r="D159" s="3"/>
      <c r="E159" s="3"/>
      <c r="F159" s="3"/>
      <c r="L159" s="3"/>
      <c r="M159" s="3"/>
      <c r="N159" s="3"/>
      <c r="O159" s="3"/>
      <c r="V159" s="3"/>
      <c r="W159" s="3"/>
      <c r="X159" s="3"/>
    </row>
    <row r="160" ht="15.75" customHeight="1">
      <c r="A160" s="3"/>
      <c r="B160" s="3"/>
      <c r="C160" s="3"/>
      <c r="D160" s="3"/>
      <c r="E160" s="3"/>
      <c r="F160" s="3"/>
      <c r="L160" s="3"/>
      <c r="M160" s="3"/>
      <c r="N160" s="3"/>
      <c r="O160" s="3"/>
      <c r="V160" s="3"/>
      <c r="W160" s="3"/>
      <c r="X160" s="3"/>
    </row>
    <row r="161" ht="15.75" customHeight="1">
      <c r="A161" s="3"/>
      <c r="B161" s="3"/>
      <c r="C161" s="3"/>
      <c r="D161" s="3"/>
      <c r="E161" s="3"/>
      <c r="F161" s="3"/>
      <c r="L161" s="3"/>
      <c r="M161" s="3"/>
      <c r="N161" s="3"/>
      <c r="O161" s="3"/>
      <c r="V161" s="3"/>
      <c r="W161" s="3"/>
      <c r="X161" s="3"/>
    </row>
    <row r="162" ht="15.75" customHeight="1">
      <c r="A162" s="3"/>
      <c r="B162" s="3"/>
      <c r="C162" s="3"/>
      <c r="D162" s="3"/>
      <c r="E162" s="3"/>
      <c r="F162" s="3"/>
      <c r="L162" s="3"/>
      <c r="M162" s="3"/>
      <c r="N162" s="3"/>
      <c r="O162" s="3"/>
      <c r="V162" s="3"/>
      <c r="W162" s="3"/>
      <c r="X162" s="3"/>
    </row>
    <row r="163" ht="15.75" customHeight="1">
      <c r="A163" s="3"/>
      <c r="B163" s="3"/>
      <c r="C163" s="3"/>
      <c r="D163" s="3"/>
      <c r="E163" s="3"/>
      <c r="F163" s="3"/>
      <c r="L163" s="3"/>
      <c r="M163" s="3"/>
      <c r="N163" s="3"/>
      <c r="O163" s="3"/>
      <c r="V163" s="3"/>
      <c r="W163" s="3"/>
      <c r="X163" s="3"/>
    </row>
    <row r="164" ht="15.75" customHeight="1">
      <c r="A164" s="3"/>
      <c r="B164" s="3"/>
      <c r="C164" s="3"/>
      <c r="D164" s="3"/>
      <c r="E164" s="3"/>
      <c r="F164" s="3"/>
      <c r="L164" s="3"/>
      <c r="M164" s="3"/>
      <c r="N164" s="3"/>
      <c r="O164" s="3"/>
      <c r="V164" s="3"/>
      <c r="W164" s="3"/>
      <c r="X164" s="3"/>
    </row>
    <row r="165" ht="15.75" customHeight="1">
      <c r="A165" s="3"/>
      <c r="B165" s="3"/>
      <c r="C165" s="3"/>
      <c r="D165" s="3"/>
      <c r="E165" s="3"/>
      <c r="F165" s="3"/>
      <c r="L165" s="3"/>
      <c r="M165" s="3"/>
      <c r="N165" s="3"/>
      <c r="O165" s="3"/>
      <c r="V165" s="3"/>
      <c r="W165" s="3"/>
      <c r="X165" s="3"/>
    </row>
    <row r="166" ht="15.75" customHeight="1">
      <c r="A166" s="3"/>
      <c r="B166" s="3"/>
      <c r="C166" s="3"/>
      <c r="D166" s="3"/>
      <c r="E166" s="3"/>
      <c r="F166" s="3"/>
      <c r="L166" s="3"/>
      <c r="M166" s="3"/>
      <c r="N166" s="3"/>
      <c r="O166" s="3"/>
      <c r="V166" s="3"/>
      <c r="W166" s="3"/>
      <c r="X166" s="3"/>
    </row>
    <row r="167" ht="15.75" customHeight="1">
      <c r="A167" s="3"/>
      <c r="B167" s="3"/>
      <c r="C167" s="3"/>
      <c r="D167" s="3"/>
      <c r="E167" s="3"/>
      <c r="F167" s="3"/>
      <c r="L167" s="3"/>
      <c r="M167" s="3"/>
      <c r="N167" s="3"/>
      <c r="O167" s="3"/>
      <c r="V167" s="3"/>
      <c r="W167" s="3"/>
      <c r="X167" s="3"/>
    </row>
    <row r="168" ht="15.75" customHeight="1">
      <c r="A168" s="3"/>
      <c r="B168" s="3"/>
      <c r="C168" s="3"/>
      <c r="D168" s="3"/>
      <c r="E168" s="3"/>
      <c r="F168" s="3"/>
      <c r="L168" s="3"/>
      <c r="M168" s="3"/>
      <c r="N168" s="3"/>
      <c r="O168" s="3"/>
      <c r="V168" s="3"/>
      <c r="W168" s="3"/>
      <c r="X168" s="3"/>
    </row>
    <row r="169" ht="15.75" customHeight="1">
      <c r="A169" s="3"/>
      <c r="B169" s="3"/>
      <c r="C169" s="3"/>
      <c r="D169" s="3"/>
      <c r="E169" s="3"/>
      <c r="F169" s="3"/>
      <c r="L169" s="3"/>
      <c r="M169" s="3"/>
      <c r="N169" s="3"/>
      <c r="O169" s="3"/>
      <c r="V169" s="3"/>
      <c r="W169" s="3"/>
      <c r="X169" s="3"/>
    </row>
    <row r="170" ht="15.75" customHeight="1">
      <c r="A170" s="3"/>
      <c r="B170" s="3"/>
      <c r="C170" s="3"/>
      <c r="D170" s="3"/>
      <c r="E170" s="3"/>
      <c r="F170" s="3"/>
      <c r="L170" s="3"/>
      <c r="M170" s="3"/>
      <c r="N170" s="3"/>
      <c r="O170" s="3"/>
      <c r="V170" s="3"/>
      <c r="W170" s="3"/>
      <c r="X170" s="3"/>
    </row>
    <row r="171" ht="15.75" customHeight="1">
      <c r="A171" s="3"/>
      <c r="B171" s="3"/>
      <c r="C171" s="3"/>
      <c r="D171" s="3"/>
      <c r="E171" s="3"/>
      <c r="F171" s="3"/>
      <c r="L171" s="3"/>
      <c r="M171" s="3"/>
      <c r="N171" s="3"/>
      <c r="O171" s="3"/>
      <c r="V171" s="3"/>
      <c r="W171" s="3"/>
      <c r="X171" s="3"/>
    </row>
    <row r="172" ht="15.75" customHeight="1">
      <c r="A172" s="3"/>
      <c r="B172" s="3"/>
      <c r="C172" s="3"/>
      <c r="D172" s="3"/>
      <c r="E172" s="3"/>
      <c r="F172" s="3"/>
      <c r="L172" s="3"/>
      <c r="M172" s="3"/>
      <c r="N172" s="3"/>
      <c r="O172" s="3"/>
      <c r="V172" s="3"/>
      <c r="W172" s="3"/>
      <c r="X172" s="3"/>
    </row>
    <row r="173" ht="15.75" customHeight="1">
      <c r="A173" s="3"/>
      <c r="B173" s="3"/>
      <c r="C173" s="3"/>
      <c r="D173" s="3"/>
      <c r="E173" s="3"/>
      <c r="F173" s="3"/>
      <c r="L173" s="3"/>
      <c r="M173" s="3"/>
      <c r="N173" s="3"/>
      <c r="O173" s="3"/>
      <c r="V173" s="3"/>
      <c r="W173" s="3"/>
      <c r="X173" s="3"/>
    </row>
    <row r="174" ht="15.75" customHeight="1">
      <c r="A174" s="3"/>
      <c r="B174" s="3"/>
      <c r="C174" s="3"/>
      <c r="D174" s="3"/>
      <c r="E174" s="3"/>
      <c r="F174" s="3"/>
      <c r="L174" s="3"/>
      <c r="M174" s="3"/>
      <c r="N174" s="3"/>
      <c r="O174" s="3"/>
      <c r="V174" s="3"/>
      <c r="W174" s="3"/>
      <c r="X174" s="3"/>
    </row>
    <row r="175" ht="15.75" customHeight="1">
      <c r="A175" s="3"/>
      <c r="B175" s="3"/>
      <c r="C175" s="3"/>
      <c r="D175" s="3"/>
      <c r="E175" s="3"/>
      <c r="F175" s="3"/>
      <c r="L175" s="3"/>
      <c r="M175" s="3"/>
      <c r="N175" s="3"/>
      <c r="O175" s="3"/>
      <c r="V175" s="3"/>
      <c r="W175" s="3"/>
      <c r="X175" s="3"/>
    </row>
    <row r="176" ht="15.75" customHeight="1">
      <c r="A176" s="3"/>
      <c r="B176" s="3"/>
      <c r="C176" s="3"/>
      <c r="D176" s="3"/>
      <c r="E176" s="3"/>
      <c r="F176" s="3"/>
      <c r="L176" s="3"/>
      <c r="M176" s="3"/>
      <c r="N176" s="3"/>
      <c r="O176" s="3"/>
      <c r="V176" s="3"/>
      <c r="W176" s="3"/>
      <c r="X176" s="3"/>
    </row>
    <row r="177" ht="15.75" customHeight="1">
      <c r="A177" s="3"/>
      <c r="B177" s="3"/>
      <c r="C177" s="3"/>
      <c r="D177" s="3"/>
      <c r="E177" s="3"/>
      <c r="F177" s="3"/>
      <c r="L177" s="3"/>
      <c r="M177" s="3"/>
      <c r="N177" s="3"/>
      <c r="O177" s="3"/>
      <c r="V177" s="3"/>
      <c r="W177" s="3"/>
      <c r="X177" s="3"/>
    </row>
    <row r="178" ht="15.75" customHeight="1">
      <c r="A178" s="3"/>
      <c r="B178" s="3"/>
      <c r="C178" s="3"/>
      <c r="D178" s="3"/>
      <c r="E178" s="3"/>
      <c r="F178" s="3"/>
      <c r="L178" s="3"/>
      <c r="M178" s="3"/>
      <c r="N178" s="3"/>
      <c r="O178" s="3"/>
      <c r="V178" s="3"/>
      <c r="W178" s="3"/>
      <c r="X178" s="3"/>
    </row>
    <row r="179" ht="15.75" customHeight="1">
      <c r="A179" s="3"/>
      <c r="B179" s="3"/>
      <c r="C179" s="3"/>
      <c r="D179" s="3"/>
      <c r="E179" s="3"/>
      <c r="F179" s="3"/>
      <c r="L179" s="3"/>
      <c r="M179" s="3"/>
      <c r="N179" s="3"/>
      <c r="O179" s="3"/>
      <c r="V179" s="3"/>
      <c r="W179" s="3"/>
      <c r="X179" s="3"/>
    </row>
    <row r="180" ht="15.75" customHeight="1">
      <c r="A180" s="3"/>
      <c r="B180" s="3"/>
      <c r="C180" s="3"/>
      <c r="D180" s="3"/>
      <c r="E180" s="3"/>
      <c r="F180" s="3"/>
      <c r="L180" s="3"/>
      <c r="M180" s="3"/>
      <c r="N180" s="3"/>
      <c r="O180" s="3"/>
      <c r="V180" s="3"/>
      <c r="W180" s="3"/>
      <c r="X180" s="3"/>
    </row>
    <row r="181" ht="15.75" customHeight="1">
      <c r="A181" s="3"/>
      <c r="B181" s="3"/>
      <c r="C181" s="3"/>
      <c r="D181" s="3"/>
      <c r="E181" s="3"/>
      <c r="F181" s="3"/>
      <c r="L181" s="3"/>
      <c r="M181" s="3"/>
      <c r="N181" s="3"/>
      <c r="O181" s="3"/>
      <c r="V181" s="3"/>
      <c r="W181" s="3"/>
      <c r="X181" s="3"/>
    </row>
    <row r="182" ht="15.75" customHeight="1">
      <c r="A182" s="3"/>
      <c r="B182" s="3"/>
      <c r="C182" s="3"/>
      <c r="D182" s="3"/>
      <c r="E182" s="3"/>
      <c r="F182" s="3"/>
      <c r="L182" s="3"/>
      <c r="M182" s="3"/>
      <c r="N182" s="3"/>
      <c r="O182" s="3"/>
      <c r="V182" s="3"/>
      <c r="W182" s="3"/>
      <c r="X182" s="3"/>
    </row>
    <row r="183" ht="15.75" customHeight="1">
      <c r="A183" s="3"/>
      <c r="B183" s="3"/>
      <c r="C183" s="3"/>
      <c r="D183" s="3"/>
      <c r="E183" s="3"/>
      <c r="F183" s="3"/>
      <c r="L183" s="3"/>
      <c r="M183" s="3"/>
      <c r="N183" s="3"/>
      <c r="O183" s="3"/>
      <c r="V183" s="3"/>
      <c r="W183" s="3"/>
      <c r="X183" s="3"/>
    </row>
    <row r="184" ht="15.75" customHeight="1">
      <c r="A184" s="3"/>
      <c r="B184" s="3"/>
      <c r="C184" s="3"/>
      <c r="D184" s="3"/>
      <c r="E184" s="3"/>
      <c r="F184" s="3"/>
      <c r="L184" s="3"/>
      <c r="M184" s="3"/>
      <c r="N184" s="3"/>
      <c r="O184" s="3"/>
      <c r="V184" s="3"/>
      <c r="W184" s="3"/>
      <c r="X184" s="3"/>
    </row>
    <row r="185" ht="15.75" customHeight="1">
      <c r="A185" s="3"/>
      <c r="B185" s="3"/>
      <c r="C185" s="3"/>
      <c r="D185" s="3"/>
      <c r="E185" s="3"/>
      <c r="F185" s="3"/>
      <c r="L185" s="3"/>
      <c r="M185" s="3"/>
      <c r="N185" s="3"/>
      <c r="O185" s="3"/>
      <c r="V185" s="3"/>
      <c r="W185" s="3"/>
      <c r="X185" s="3"/>
    </row>
    <row r="186" ht="15.75" customHeight="1">
      <c r="A186" s="3"/>
      <c r="B186" s="3"/>
      <c r="C186" s="3"/>
      <c r="D186" s="3"/>
      <c r="E186" s="3"/>
      <c r="F186" s="3"/>
      <c r="L186" s="3"/>
      <c r="M186" s="3"/>
      <c r="N186" s="3"/>
      <c r="O186" s="3"/>
      <c r="V186" s="3"/>
      <c r="W186" s="3"/>
      <c r="X186" s="3"/>
    </row>
    <row r="187" ht="15.75" customHeight="1">
      <c r="A187" s="3"/>
      <c r="B187" s="3"/>
      <c r="C187" s="3"/>
      <c r="D187" s="3"/>
      <c r="E187" s="3"/>
      <c r="F187" s="3"/>
      <c r="L187" s="3"/>
      <c r="M187" s="3"/>
      <c r="N187" s="3"/>
      <c r="O187" s="3"/>
      <c r="V187" s="3"/>
      <c r="W187" s="3"/>
      <c r="X187" s="3"/>
    </row>
    <row r="188" ht="15.75" customHeight="1">
      <c r="A188" s="3"/>
      <c r="B188" s="3"/>
      <c r="C188" s="3"/>
      <c r="D188" s="3"/>
      <c r="E188" s="3"/>
      <c r="F188" s="3"/>
      <c r="L188" s="3"/>
      <c r="M188" s="3"/>
      <c r="N188" s="3"/>
      <c r="O188" s="3"/>
      <c r="V188" s="3"/>
      <c r="W188" s="3"/>
      <c r="X188" s="3"/>
    </row>
    <row r="189" ht="15.75" customHeight="1">
      <c r="A189" s="3"/>
      <c r="B189" s="3"/>
      <c r="C189" s="3"/>
      <c r="D189" s="3"/>
      <c r="E189" s="3"/>
      <c r="F189" s="3"/>
      <c r="L189" s="3"/>
      <c r="M189" s="3"/>
      <c r="N189" s="3"/>
      <c r="O189" s="3"/>
      <c r="V189" s="3"/>
      <c r="W189" s="3"/>
      <c r="X189" s="3"/>
    </row>
    <row r="190" ht="15.75" customHeight="1">
      <c r="A190" s="3"/>
      <c r="B190" s="3"/>
      <c r="C190" s="3"/>
      <c r="D190" s="3"/>
      <c r="E190" s="3"/>
      <c r="F190" s="3"/>
      <c r="L190" s="3"/>
      <c r="M190" s="3"/>
      <c r="N190" s="3"/>
      <c r="O190" s="3"/>
      <c r="V190" s="3"/>
      <c r="W190" s="3"/>
      <c r="X190" s="3"/>
    </row>
    <row r="191" ht="15.75" customHeight="1">
      <c r="A191" s="3"/>
      <c r="B191" s="3"/>
      <c r="C191" s="3"/>
      <c r="D191" s="3"/>
      <c r="E191" s="3"/>
      <c r="F191" s="3"/>
      <c r="L191" s="3"/>
      <c r="M191" s="3"/>
      <c r="N191" s="3"/>
      <c r="O191" s="3"/>
      <c r="V191" s="3"/>
      <c r="W191" s="3"/>
      <c r="X191" s="3"/>
    </row>
    <row r="192" ht="15.75" customHeight="1">
      <c r="A192" s="3"/>
      <c r="B192" s="3"/>
      <c r="C192" s="3"/>
      <c r="D192" s="3"/>
      <c r="E192" s="3"/>
      <c r="F192" s="3"/>
      <c r="L192" s="3"/>
      <c r="M192" s="3"/>
      <c r="N192" s="3"/>
      <c r="O192" s="3"/>
      <c r="V192" s="3"/>
      <c r="W192" s="3"/>
      <c r="X192" s="3"/>
    </row>
    <row r="193" ht="15.75" customHeight="1">
      <c r="A193" s="3"/>
      <c r="B193" s="3"/>
      <c r="C193" s="3"/>
      <c r="D193" s="3"/>
      <c r="E193" s="3"/>
      <c r="F193" s="3"/>
      <c r="L193" s="3"/>
      <c r="M193" s="3"/>
      <c r="N193" s="3"/>
      <c r="O193" s="3"/>
      <c r="V193" s="3"/>
      <c r="W193" s="3"/>
      <c r="X193" s="3"/>
    </row>
    <row r="194" ht="15.75" customHeight="1">
      <c r="A194" s="3"/>
      <c r="B194" s="3"/>
      <c r="C194" s="3"/>
      <c r="D194" s="3"/>
      <c r="E194" s="3"/>
      <c r="F194" s="3"/>
      <c r="L194" s="3"/>
      <c r="M194" s="3"/>
      <c r="N194" s="3"/>
      <c r="O194" s="3"/>
      <c r="V194" s="3"/>
      <c r="W194" s="3"/>
      <c r="X194" s="3"/>
    </row>
    <row r="195" ht="15.75" customHeight="1">
      <c r="A195" s="3"/>
      <c r="B195" s="3"/>
      <c r="C195" s="3"/>
      <c r="D195" s="3"/>
      <c r="E195" s="3"/>
      <c r="F195" s="3"/>
      <c r="L195" s="3"/>
      <c r="M195" s="3"/>
      <c r="N195" s="3"/>
      <c r="O195" s="3"/>
      <c r="V195" s="3"/>
      <c r="W195" s="3"/>
      <c r="X195" s="3"/>
    </row>
    <row r="196" ht="15.75" customHeight="1">
      <c r="A196" s="3"/>
      <c r="B196" s="3"/>
      <c r="C196" s="3"/>
      <c r="D196" s="3"/>
      <c r="E196" s="3"/>
      <c r="F196" s="3"/>
      <c r="L196" s="3"/>
      <c r="M196" s="3"/>
      <c r="N196" s="3"/>
      <c r="O196" s="3"/>
      <c r="V196" s="3"/>
      <c r="W196" s="3"/>
      <c r="X196" s="3"/>
    </row>
    <row r="197" ht="15.75" customHeight="1">
      <c r="A197" s="3"/>
      <c r="B197" s="3"/>
      <c r="C197" s="3"/>
      <c r="D197" s="3"/>
      <c r="E197" s="3"/>
      <c r="F197" s="3"/>
      <c r="L197" s="3"/>
      <c r="M197" s="3"/>
      <c r="N197" s="3"/>
      <c r="O197" s="3"/>
      <c r="V197" s="3"/>
      <c r="W197" s="3"/>
      <c r="X197" s="3"/>
    </row>
    <row r="198" ht="15.75" customHeight="1">
      <c r="A198" s="3"/>
      <c r="B198" s="3"/>
      <c r="C198" s="3"/>
      <c r="D198" s="3"/>
      <c r="E198" s="3"/>
      <c r="F198" s="3"/>
      <c r="L198" s="3"/>
      <c r="M198" s="3"/>
      <c r="N198" s="3"/>
      <c r="O198" s="3"/>
      <c r="V198" s="3"/>
      <c r="W198" s="3"/>
      <c r="X198" s="3"/>
    </row>
    <row r="199" ht="15.75" customHeight="1">
      <c r="A199" s="3"/>
      <c r="B199" s="3"/>
      <c r="C199" s="3"/>
      <c r="D199" s="3"/>
      <c r="E199" s="3"/>
      <c r="F199" s="3"/>
      <c r="L199" s="3"/>
      <c r="M199" s="3"/>
      <c r="N199" s="3"/>
      <c r="O199" s="3"/>
      <c r="V199" s="3"/>
      <c r="W199" s="3"/>
      <c r="X199" s="3"/>
    </row>
    <row r="200" ht="15.75" customHeight="1">
      <c r="A200" s="3"/>
      <c r="B200" s="3"/>
      <c r="C200" s="3"/>
      <c r="D200" s="3"/>
      <c r="E200" s="3"/>
      <c r="F200" s="3"/>
      <c r="L200" s="3"/>
      <c r="M200" s="3"/>
      <c r="N200" s="3"/>
      <c r="O200" s="3"/>
      <c r="V200" s="3"/>
      <c r="W200" s="3"/>
      <c r="X200" s="3"/>
    </row>
    <row r="201" ht="15.75" customHeight="1">
      <c r="A201" s="3"/>
      <c r="B201" s="3"/>
      <c r="C201" s="3"/>
      <c r="D201" s="3"/>
      <c r="E201" s="3"/>
      <c r="F201" s="3"/>
      <c r="L201" s="3"/>
      <c r="M201" s="3"/>
      <c r="N201" s="3"/>
      <c r="O201" s="3"/>
      <c r="V201" s="3"/>
      <c r="W201" s="3"/>
      <c r="X201" s="3"/>
    </row>
    <row r="202" ht="15.75" customHeight="1">
      <c r="A202" s="3"/>
      <c r="B202" s="3"/>
      <c r="C202" s="3"/>
      <c r="D202" s="3"/>
      <c r="E202" s="3"/>
      <c r="F202" s="3"/>
      <c r="L202" s="3"/>
      <c r="M202" s="3"/>
      <c r="N202" s="3"/>
      <c r="O202" s="3"/>
      <c r="V202" s="3"/>
      <c r="W202" s="3"/>
      <c r="X202" s="3"/>
    </row>
    <row r="203" ht="15.75" customHeight="1">
      <c r="A203" s="3"/>
      <c r="B203" s="3"/>
      <c r="C203" s="3"/>
      <c r="D203" s="3"/>
      <c r="E203" s="3"/>
      <c r="F203" s="3"/>
      <c r="L203" s="3"/>
      <c r="M203" s="3"/>
      <c r="N203" s="3"/>
      <c r="O203" s="3"/>
      <c r="V203" s="3"/>
      <c r="W203" s="3"/>
      <c r="X203" s="3"/>
    </row>
    <row r="204" ht="15.75" customHeight="1">
      <c r="A204" s="3"/>
      <c r="B204" s="3"/>
      <c r="C204" s="3"/>
      <c r="D204" s="3"/>
      <c r="E204" s="3"/>
      <c r="F204" s="3"/>
      <c r="L204" s="3"/>
      <c r="M204" s="3"/>
      <c r="N204" s="3"/>
      <c r="O204" s="3"/>
      <c r="V204" s="3"/>
      <c r="W204" s="3"/>
      <c r="X204" s="3"/>
    </row>
    <row r="205" ht="15.75" customHeight="1">
      <c r="A205" s="3"/>
      <c r="B205" s="3"/>
      <c r="C205" s="3"/>
      <c r="D205" s="3"/>
      <c r="E205" s="3"/>
      <c r="F205" s="3"/>
      <c r="L205" s="3"/>
      <c r="M205" s="3"/>
      <c r="N205" s="3"/>
      <c r="O205" s="3"/>
      <c r="V205" s="3"/>
      <c r="W205" s="3"/>
      <c r="X205" s="3"/>
    </row>
    <row r="206" ht="15.75" customHeight="1">
      <c r="A206" s="3"/>
      <c r="B206" s="3"/>
      <c r="C206" s="3"/>
      <c r="D206" s="3"/>
      <c r="E206" s="3"/>
      <c r="F206" s="3"/>
      <c r="L206" s="3"/>
      <c r="M206" s="3"/>
      <c r="N206" s="3"/>
      <c r="O206" s="3"/>
      <c r="V206" s="3"/>
      <c r="W206" s="3"/>
      <c r="X206" s="3"/>
    </row>
    <row r="207" ht="15.75" customHeight="1">
      <c r="A207" s="3"/>
      <c r="B207" s="3"/>
      <c r="C207" s="3"/>
      <c r="D207" s="3"/>
      <c r="E207" s="3"/>
      <c r="F207" s="3"/>
      <c r="L207" s="3"/>
      <c r="M207" s="3"/>
      <c r="N207" s="3"/>
      <c r="O207" s="3"/>
      <c r="V207" s="3"/>
      <c r="W207" s="3"/>
      <c r="X207" s="3"/>
    </row>
    <row r="208" ht="15.75" customHeight="1">
      <c r="A208" s="3"/>
      <c r="B208" s="3"/>
      <c r="C208" s="3"/>
      <c r="D208" s="3"/>
      <c r="E208" s="3"/>
      <c r="F208" s="3"/>
      <c r="L208" s="3"/>
      <c r="M208" s="3"/>
      <c r="N208" s="3"/>
      <c r="O208" s="3"/>
      <c r="V208" s="3"/>
      <c r="W208" s="3"/>
      <c r="X208" s="3"/>
    </row>
    <row r="209" ht="15.75" customHeight="1">
      <c r="A209" s="3"/>
      <c r="B209" s="3"/>
      <c r="C209" s="3"/>
      <c r="D209" s="3"/>
      <c r="E209" s="3"/>
      <c r="F209" s="3"/>
      <c r="L209" s="3"/>
      <c r="M209" s="3"/>
      <c r="N209" s="3"/>
      <c r="O209" s="3"/>
      <c r="V209" s="3"/>
      <c r="W209" s="3"/>
      <c r="X209" s="3"/>
    </row>
    <row r="210" ht="15.75" customHeight="1">
      <c r="A210" s="3"/>
      <c r="B210" s="3"/>
      <c r="C210" s="3"/>
      <c r="D210" s="3"/>
      <c r="E210" s="3"/>
      <c r="F210" s="3"/>
      <c r="L210" s="3"/>
      <c r="M210" s="3"/>
      <c r="N210" s="3"/>
      <c r="O210" s="3"/>
      <c r="V210" s="3"/>
      <c r="W210" s="3"/>
      <c r="X210" s="3"/>
    </row>
    <row r="211" ht="15.75" customHeight="1">
      <c r="A211" s="3"/>
      <c r="B211" s="3"/>
      <c r="C211" s="3"/>
      <c r="D211" s="3"/>
      <c r="E211" s="3"/>
      <c r="F211" s="3"/>
      <c r="L211" s="3"/>
      <c r="M211" s="3"/>
      <c r="N211" s="3"/>
      <c r="O211" s="3"/>
      <c r="V211" s="3"/>
      <c r="W211" s="3"/>
      <c r="X211" s="3"/>
    </row>
    <row r="212" ht="15.75" customHeight="1">
      <c r="A212" s="3"/>
      <c r="B212" s="3"/>
      <c r="C212" s="3"/>
      <c r="D212" s="3"/>
      <c r="E212" s="3"/>
      <c r="F212" s="3"/>
      <c r="L212" s="3"/>
      <c r="M212" s="3"/>
      <c r="N212" s="3"/>
      <c r="O212" s="3"/>
      <c r="V212" s="3"/>
      <c r="W212" s="3"/>
      <c r="X212" s="3"/>
    </row>
    <row r="213" ht="15.75" customHeight="1">
      <c r="A213" s="3"/>
      <c r="B213" s="3"/>
      <c r="C213" s="3"/>
      <c r="D213" s="3"/>
      <c r="E213" s="3"/>
      <c r="F213" s="3"/>
      <c r="L213" s="3"/>
      <c r="M213" s="3"/>
      <c r="N213" s="3"/>
      <c r="O213" s="3"/>
      <c r="V213" s="3"/>
      <c r="W213" s="3"/>
      <c r="X213" s="3"/>
    </row>
    <row r="214" ht="15.75" customHeight="1">
      <c r="A214" s="3"/>
      <c r="B214" s="3"/>
      <c r="C214" s="3"/>
      <c r="D214" s="3"/>
      <c r="E214" s="3"/>
      <c r="F214" s="3"/>
      <c r="L214" s="3"/>
      <c r="M214" s="3"/>
      <c r="N214" s="3"/>
      <c r="O214" s="3"/>
      <c r="V214" s="3"/>
      <c r="W214" s="3"/>
      <c r="X214" s="3"/>
    </row>
    <row r="215" ht="15.75" customHeight="1">
      <c r="A215" s="3"/>
      <c r="B215" s="3"/>
      <c r="C215" s="3"/>
      <c r="D215" s="3"/>
      <c r="E215" s="3"/>
      <c r="F215" s="3"/>
      <c r="L215" s="3"/>
      <c r="M215" s="3"/>
      <c r="N215" s="3"/>
      <c r="O215" s="3"/>
      <c r="V215" s="3"/>
      <c r="W215" s="3"/>
      <c r="X215" s="3"/>
    </row>
    <row r="216" ht="15.75" customHeight="1">
      <c r="A216" s="3"/>
      <c r="B216" s="3"/>
      <c r="C216" s="3"/>
      <c r="D216" s="3"/>
      <c r="E216" s="3"/>
      <c r="F216" s="3"/>
      <c r="L216" s="3"/>
      <c r="M216" s="3"/>
      <c r="N216" s="3"/>
      <c r="O216" s="3"/>
      <c r="V216" s="3"/>
      <c r="W216" s="3"/>
      <c r="X216" s="3"/>
    </row>
    <row r="217" ht="15.75" customHeight="1">
      <c r="A217" s="3"/>
      <c r="B217" s="3"/>
      <c r="C217" s="3"/>
      <c r="D217" s="3"/>
      <c r="E217" s="3"/>
      <c r="F217" s="3"/>
      <c r="L217" s="3"/>
      <c r="M217" s="3"/>
      <c r="N217" s="3"/>
      <c r="O217" s="3"/>
      <c r="V217" s="3"/>
      <c r="W217" s="3"/>
      <c r="X217" s="3"/>
    </row>
    <row r="218" ht="15.75" customHeight="1">
      <c r="A218" s="3"/>
      <c r="B218" s="3"/>
      <c r="C218" s="3"/>
      <c r="D218" s="3"/>
      <c r="E218" s="3"/>
      <c r="F218" s="3"/>
      <c r="L218" s="3"/>
      <c r="M218" s="3"/>
      <c r="N218" s="3"/>
      <c r="O218" s="3"/>
      <c r="V218" s="3"/>
      <c r="W218" s="3"/>
      <c r="X218" s="3"/>
    </row>
    <row r="219" ht="15.75" customHeight="1">
      <c r="A219" s="3"/>
      <c r="B219" s="3"/>
      <c r="C219" s="3"/>
      <c r="D219" s="3"/>
      <c r="E219" s="3"/>
      <c r="F219" s="3"/>
      <c r="L219" s="3"/>
      <c r="M219" s="3"/>
      <c r="N219" s="3"/>
      <c r="O219" s="3"/>
      <c r="V219" s="3"/>
      <c r="W219" s="3"/>
      <c r="X219" s="3"/>
    </row>
    <row r="220" ht="15.75" customHeight="1">
      <c r="A220" s="3"/>
      <c r="B220" s="3"/>
      <c r="C220" s="3"/>
      <c r="D220" s="3"/>
      <c r="E220" s="3"/>
      <c r="F220" s="3"/>
      <c r="L220" s="3"/>
      <c r="M220" s="3"/>
      <c r="N220" s="3"/>
      <c r="O220" s="3"/>
      <c r="V220" s="3"/>
      <c r="W220" s="3"/>
      <c r="X220" s="3"/>
    </row>
    <row r="221" ht="15.75" customHeight="1">
      <c r="A221" s="3"/>
      <c r="B221" s="3"/>
      <c r="C221" s="3"/>
      <c r="D221" s="3"/>
      <c r="E221" s="3"/>
      <c r="F221" s="3"/>
      <c r="L221" s="3"/>
      <c r="M221" s="3"/>
      <c r="N221" s="3"/>
      <c r="O221" s="3"/>
      <c r="V221" s="3"/>
      <c r="W221" s="3"/>
      <c r="X221" s="3"/>
    </row>
    <row r="222" ht="15.75" customHeight="1">
      <c r="A222" s="3"/>
      <c r="B222" s="3"/>
      <c r="C222" s="3"/>
      <c r="D222" s="3"/>
      <c r="E222" s="3"/>
      <c r="F222" s="3"/>
      <c r="L222" s="3"/>
      <c r="M222" s="3"/>
      <c r="N222" s="3"/>
      <c r="O222" s="3"/>
      <c r="V222" s="3"/>
      <c r="W222" s="3"/>
      <c r="X222" s="3"/>
    </row>
    <row r="223" ht="15.75" customHeight="1">
      <c r="A223" s="3"/>
      <c r="B223" s="3"/>
      <c r="C223" s="3"/>
      <c r="D223" s="3"/>
      <c r="E223" s="3"/>
      <c r="F223" s="3"/>
      <c r="L223" s="3"/>
      <c r="M223" s="3"/>
      <c r="N223" s="3"/>
      <c r="O223" s="3"/>
      <c r="V223" s="3"/>
      <c r="W223" s="3"/>
      <c r="X223" s="3"/>
    </row>
    <row r="224" ht="15.75" customHeight="1">
      <c r="A224" s="3"/>
      <c r="B224" s="3"/>
      <c r="C224" s="3"/>
      <c r="D224" s="3"/>
      <c r="E224" s="3"/>
      <c r="F224" s="3"/>
      <c r="L224" s="3"/>
      <c r="M224" s="3"/>
      <c r="N224" s="3"/>
      <c r="O224" s="3"/>
      <c r="V224" s="3"/>
      <c r="W224" s="3"/>
      <c r="X224" s="3"/>
    </row>
    <row r="225" ht="15.75" customHeight="1">
      <c r="A225" s="3"/>
      <c r="B225" s="3"/>
      <c r="C225" s="3"/>
      <c r="D225" s="3"/>
      <c r="E225" s="3"/>
      <c r="F225" s="3"/>
      <c r="L225" s="3"/>
      <c r="M225" s="3"/>
      <c r="N225" s="3"/>
      <c r="O225" s="3"/>
      <c r="V225" s="3"/>
      <c r="W225" s="3"/>
      <c r="X225" s="3"/>
    </row>
    <row r="226" ht="15.75" customHeight="1">
      <c r="A226" s="3"/>
      <c r="B226" s="3"/>
      <c r="C226" s="3"/>
      <c r="D226" s="3"/>
      <c r="E226" s="3"/>
      <c r="F226" s="3"/>
      <c r="L226" s="3"/>
      <c r="M226" s="3"/>
      <c r="N226" s="3"/>
      <c r="O226" s="3"/>
      <c r="V226" s="3"/>
      <c r="W226" s="3"/>
      <c r="X226" s="3"/>
    </row>
    <row r="227" ht="15.75" customHeight="1">
      <c r="A227" s="3"/>
      <c r="B227" s="3"/>
      <c r="C227" s="3"/>
      <c r="D227" s="3"/>
      <c r="E227" s="3"/>
      <c r="F227" s="3"/>
      <c r="L227" s="3"/>
      <c r="M227" s="3"/>
      <c r="N227" s="3"/>
      <c r="O227" s="3"/>
      <c r="V227" s="3"/>
      <c r="W227" s="3"/>
      <c r="X227" s="3"/>
    </row>
    <row r="228" ht="15.75" customHeight="1">
      <c r="A228" s="3"/>
      <c r="B228" s="3"/>
      <c r="C228" s="3"/>
      <c r="D228" s="3"/>
      <c r="E228" s="3"/>
      <c r="F228" s="3"/>
      <c r="L228" s="3"/>
      <c r="M228" s="3"/>
      <c r="N228" s="3"/>
      <c r="O228" s="3"/>
      <c r="V228" s="3"/>
      <c r="W228" s="3"/>
      <c r="X228" s="3"/>
    </row>
    <row r="229" ht="15.75" customHeight="1">
      <c r="A229" s="3"/>
      <c r="B229" s="3"/>
      <c r="C229" s="3"/>
      <c r="D229" s="3"/>
      <c r="E229" s="3"/>
      <c r="F229" s="3"/>
      <c r="L229" s="3"/>
      <c r="M229" s="3"/>
      <c r="N229" s="3"/>
      <c r="O229" s="3"/>
      <c r="V229" s="3"/>
      <c r="W229" s="3"/>
      <c r="X229" s="3"/>
    </row>
    <row r="230" ht="15.75" customHeight="1">
      <c r="A230" s="3"/>
      <c r="B230" s="3"/>
      <c r="C230" s="3"/>
      <c r="D230" s="3"/>
      <c r="E230" s="3"/>
      <c r="F230" s="3"/>
      <c r="L230" s="3"/>
      <c r="M230" s="3"/>
      <c r="N230" s="3"/>
      <c r="O230" s="3"/>
      <c r="V230" s="3"/>
      <c r="W230" s="3"/>
      <c r="X230" s="3"/>
    </row>
    <row r="231" ht="15.75" customHeight="1">
      <c r="A231" s="3"/>
      <c r="B231" s="3"/>
      <c r="C231" s="3"/>
      <c r="D231" s="3"/>
      <c r="E231" s="3"/>
      <c r="F231" s="3"/>
      <c r="L231" s="3"/>
      <c r="M231" s="3"/>
      <c r="N231" s="3"/>
      <c r="O231" s="3"/>
      <c r="V231" s="3"/>
      <c r="W231" s="3"/>
      <c r="X231" s="3"/>
    </row>
    <row r="232" ht="15.75" customHeight="1">
      <c r="A232" s="3"/>
      <c r="B232" s="3"/>
      <c r="C232" s="3"/>
      <c r="D232" s="3"/>
      <c r="E232" s="3"/>
      <c r="F232" s="3"/>
      <c r="L232" s="3"/>
      <c r="M232" s="3"/>
      <c r="N232" s="3"/>
      <c r="O232" s="3"/>
      <c r="V232" s="3"/>
      <c r="W232" s="3"/>
      <c r="X232" s="3"/>
    </row>
    <row r="233" ht="15.75" customHeight="1">
      <c r="A233" s="3"/>
      <c r="B233" s="3"/>
      <c r="C233" s="3"/>
      <c r="D233" s="3"/>
      <c r="E233" s="3"/>
      <c r="F233" s="3"/>
      <c r="L233" s="3"/>
      <c r="M233" s="3"/>
      <c r="N233" s="3"/>
      <c r="O233" s="3"/>
      <c r="V233" s="3"/>
      <c r="W233" s="3"/>
      <c r="X233" s="3"/>
    </row>
    <row r="234" ht="15.75" customHeight="1">
      <c r="A234" s="3"/>
      <c r="B234" s="3"/>
      <c r="C234" s="3"/>
      <c r="D234" s="3"/>
      <c r="E234" s="3"/>
      <c r="F234" s="3"/>
      <c r="L234" s="3"/>
      <c r="M234" s="3"/>
      <c r="N234" s="3"/>
      <c r="O234" s="3"/>
      <c r="V234" s="3"/>
      <c r="W234" s="3"/>
      <c r="X234" s="3"/>
    </row>
    <row r="235" ht="15.75" customHeight="1">
      <c r="A235" s="3"/>
      <c r="B235" s="3"/>
      <c r="C235" s="3"/>
      <c r="D235" s="3"/>
      <c r="E235" s="3"/>
      <c r="F235" s="3"/>
      <c r="L235" s="3"/>
      <c r="M235" s="3"/>
      <c r="N235" s="3"/>
      <c r="O235" s="3"/>
      <c r="V235" s="3"/>
      <c r="W235" s="3"/>
      <c r="X235" s="3"/>
    </row>
    <row r="236" ht="15.75" customHeight="1">
      <c r="A236" s="3"/>
      <c r="B236" s="3"/>
      <c r="C236" s="3"/>
      <c r="D236" s="3"/>
      <c r="E236" s="3"/>
      <c r="F236" s="3"/>
      <c r="L236" s="3"/>
      <c r="M236" s="3"/>
      <c r="N236" s="3"/>
      <c r="O236" s="3"/>
      <c r="V236" s="3"/>
      <c r="W236" s="3"/>
      <c r="X236" s="3"/>
    </row>
    <row r="237" ht="15.75" customHeight="1">
      <c r="A237" s="3"/>
      <c r="B237" s="3"/>
      <c r="C237" s="3"/>
      <c r="D237" s="3"/>
      <c r="E237" s="3"/>
      <c r="F237" s="3"/>
      <c r="L237" s="3"/>
      <c r="M237" s="3"/>
      <c r="N237" s="3"/>
      <c r="O237" s="3"/>
      <c r="V237" s="3"/>
      <c r="W237" s="3"/>
      <c r="X237" s="3"/>
    </row>
    <row r="238" ht="15.75" customHeight="1">
      <c r="A238" s="3"/>
      <c r="B238" s="3"/>
      <c r="C238" s="3"/>
      <c r="D238" s="3"/>
      <c r="E238" s="3"/>
      <c r="F238" s="3"/>
      <c r="L238" s="3"/>
      <c r="M238" s="3"/>
      <c r="N238" s="3"/>
      <c r="O238" s="3"/>
      <c r="V238" s="3"/>
      <c r="W238" s="3"/>
      <c r="X238" s="3"/>
    </row>
    <row r="239" ht="15.75" customHeight="1">
      <c r="A239" s="3"/>
      <c r="B239" s="3"/>
      <c r="C239" s="3"/>
      <c r="D239" s="3"/>
      <c r="E239" s="3"/>
      <c r="F239" s="3"/>
      <c r="L239" s="3"/>
      <c r="M239" s="3"/>
      <c r="N239" s="3"/>
      <c r="O239" s="3"/>
      <c r="V239" s="3"/>
      <c r="W239" s="3"/>
      <c r="X239" s="3"/>
    </row>
    <row r="240" ht="15.75" customHeight="1">
      <c r="A240" s="3"/>
      <c r="B240" s="3"/>
      <c r="C240" s="3"/>
      <c r="D240" s="3"/>
      <c r="E240" s="3"/>
      <c r="F240" s="3"/>
      <c r="L240" s="3"/>
      <c r="M240" s="3"/>
      <c r="N240" s="3"/>
      <c r="O240" s="3"/>
      <c r="V240" s="3"/>
      <c r="W240" s="3"/>
      <c r="X240" s="3"/>
    </row>
    <row r="241" ht="15.75" customHeight="1">
      <c r="A241" s="3"/>
      <c r="B241" s="3"/>
      <c r="C241" s="3"/>
      <c r="D241" s="3"/>
      <c r="E241" s="3"/>
      <c r="F241" s="3"/>
      <c r="L241" s="3"/>
      <c r="M241" s="3"/>
      <c r="N241" s="3"/>
      <c r="O241" s="3"/>
      <c r="V241" s="3"/>
      <c r="W241" s="3"/>
      <c r="X241" s="3"/>
    </row>
    <row r="242" ht="15.75" customHeight="1">
      <c r="A242" s="3"/>
      <c r="B242" s="3"/>
      <c r="C242" s="3"/>
      <c r="D242" s="3"/>
      <c r="E242" s="3"/>
      <c r="F242" s="3"/>
      <c r="L242" s="3"/>
      <c r="M242" s="3"/>
      <c r="N242" s="3"/>
      <c r="O242" s="3"/>
      <c r="V242" s="3"/>
      <c r="W242" s="3"/>
      <c r="X242" s="3"/>
    </row>
    <row r="243" ht="15.75" customHeight="1">
      <c r="A243" s="3"/>
      <c r="B243" s="3"/>
      <c r="C243" s="3"/>
      <c r="D243" s="3"/>
      <c r="E243" s="3"/>
      <c r="F243" s="3"/>
      <c r="L243" s="3"/>
      <c r="M243" s="3"/>
      <c r="N243" s="3"/>
      <c r="O243" s="3"/>
      <c r="V243" s="3"/>
      <c r="W243" s="3"/>
      <c r="X243" s="3"/>
    </row>
    <row r="244" ht="15.75" customHeight="1">
      <c r="A244" s="3"/>
      <c r="B244" s="3"/>
      <c r="C244" s="3"/>
      <c r="D244" s="3"/>
      <c r="E244" s="3"/>
      <c r="F244" s="3"/>
      <c r="L244" s="3"/>
      <c r="M244" s="3"/>
      <c r="N244" s="3"/>
      <c r="O244" s="3"/>
      <c r="V244" s="3"/>
      <c r="W244" s="3"/>
      <c r="X244" s="3"/>
    </row>
    <row r="245" ht="15.75" customHeight="1">
      <c r="A245" s="3"/>
      <c r="B245" s="3"/>
      <c r="C245" s="3"/>
      <c r="D245" s="3"/>
      <c r="E245" s="3"/>
      <c r="F245" s="3"/>
      <c r="L245" s="3"/>
      <c r="M245" s="3"/>
      <c r="N245" s="3"/>
      <c r="O245" s="3"/>
      <c r="V245" s="3"/>
      <c r="W245" s="3"/>
      <c r="X245" s="3"/>
    </row>
    <row r="246" ht="15.75" customHeight="1">
      <c r="A246" s="3"/>
      <c r="B246" s="3"/>
      <c r="C246" s="3"/>
      <c r="D246" s="3"/>
      <c r="E246" s="3"/>
      <c r="F246" s="3"/>
      <c r="L246" s="3"/>
      <c r="M246" s="3"/>
      <c r="N246" s="3"/>
      <c r="O246" s="3"/>
      <c r="V246" s="3"/>
      <c r="W246" s="3"/>
      <c r="X246" s="3"/>
    </row>
    <row r="247" ht="15.75" customHeight="1">
      <c r="A247" s="3"/>
      <c r="B247" s="3"/>
      <c r="C247" s="3"/>
      <c r="D247" s="3"/>
      <c r="E247" s="3"/>
      <c r="F247" s="3"/>
      <c r="L247" s="3"/>
      <c r="M247" s="3"/>
      <c r="N247" s="3"/>
      <c r="O247" s="3"/>
      <c r="V247" s="3"/>
      <c r="W247" s="3"/>
      <c r="X247" s="3"/>
    </row>
    <row r="248" ht="15.75" customHeight="1">
      <c r="A248" s="3"/>
      <c r="B248" s="3"/>
      <c r="C248" s="3"/>
      <c r="D248" s="3"/>
      <c r="E248" s="3"/>
      <c r="F248" s="3"/>
      <c r="L248" s="3"/>
      <c r="M248" s="3"/>
      <c r="N248" s="3"/>
      <c r="O248" s="3"/>
      <c r="V248" s="3"/>
      <c r="W248" s="3"/>
      <c r="X248" s="3"/>
    </row>
    <row r="249" ht="15.75" customHeight="1">
      <c r="A249" s="3"/>
      <c r="B249" s="3"/>
      <c r="C249" s="3"/>
      <c r="D249" s="3"/>
      <c r="E249" s="3"/>
      <c r="F249" s="3"/>
      <c r="L249" s="3"/>
      <c r="M249" s="3"/>
      <c r="N249" s="3"/>
      <c r="O249" s="3"/>
      <c r="V249" s="3"/>
      <c r="W249" s="3"/>
      <c r="X249" s="3"/>
    </row>
    <row r="250" ht="15.75" customHeight="1">
      <c r="A250" s="3"/>
      <c r="B250" s="3"/>
      <c r="C250" s="3"/>
      <c r="D250" s="3"/>
      <c r="E250" s="3"/>
      <c r="F250" s="3"/>
      <c r="L250" s="3"/>
      <c r="M250" s="3"/>
      <c r="N250" s="3"/>
      <c r="O250" s="3"/>
      <c r="V250" s="3"/>
      <c r="W250" s="3"/>
      <c r="X250" s="3"/>
    </row>
    <row r="251" ht="15.75" customHeight="1">
      <c r="A251" s="3"/>
      <c r="B251" s="3"/>
      <c r="C251" s="3"/>
      <c r="D251" s="3"/>
      <c r="E251" s="3"/>
      <c r="F251" s="3"/>
      <c r="L251" s="3"/>
      <c r="M251" s="3"/>
      <c r="N251" s="3"/>
      <c r="O251" s="3"/>
      <c r="V251" s="3"/>
      <c r="W251" s="3"/>
      <c r="X251" s="3"/>
    </row>
    <row r="252" ht="15.75" customHeight="1">
      <c r="A252" s="3"/>
      <c r="B252" s="3"/>
      <c r="C252" s="3"/>
      <c r="D252" s="3"/>
      <c r="E252" s="3"/>
      <c r="F252" s="3"/>
      <c r="L252" s="3"/>
      <c r="M252" s="3"/>
      <c r="N252" s="3"/>
      <c r="O252" s="3"/>
      <c r="V252" s="3"/>
      <c r="W252" s="3"/>
      <c r="X252" s="3"/>
    </row>
    <row r="253" ht="15.75" customHeight="1">
      <c r="A253" s="3"/>
      <c r="B253" s="3"/>
      <c r="C253" s="3"/>
      <c r="D253" s="3"/>
      <c r="E253" s="3"/>
      <c r="F253" s="3"/>
      <c r="L253" s="3"/>
      <c r="M253" s="3"/>
      <c r="N253" s="3"/>
      <c r="O253" s="3"/>
      <c r="V253" s="3"/>
      <c r="W253" s="3"/>
      <c r="X253" s="3"/>
    </row>
    <row r="254" ht="15.75" customHeight="1">
      <c r="A254" s="3"/>
      <c r="B254" s="3"/>
      <c r="C254" s="3"/>
      <c r="D254" s="3"/>
      <c r="E254" s="3"/>
      <c r="F254" s="3"/>
      <c r="L254" s="3"/>
      <c r="M254" s="3"/>
      <c r="N254" s="3"/>
      <c r="O254" s="3"/>
      <c r="V254" s="3"/>
      <c r="W254" s="3"/>
      <c r="X254" s="3"/>
    </row>
    <row r="255" ht="15.75" customHeight="1">
      <c r="A255" s="3"/>
      <c r="B255" s="3"/>
      <c r="C255" s="3"/>
      <c r="D255" s="3"/>
      <c r="E255" s="3"/>
      <c r="F255" s="3"/>
      <c r="L255" s="3"/>
      <c r="M255" s="3"/>
      <c r="N255" s="3"/>
      <c r="O255" s="3"/>
      <c r="V255" s="3"/>
      <c r="W255" s="3"/>
      <c r="X255" s="3"/>
    </row>
    <row r="256" ht="15.75" customHeight="1">
      <c r="A256" s="3"/>
      <c r="B256" s="3"/>
      <c r="C256" s="3"/>
      <c r="D256" s="3"/>
      <c r="E256" s="3"/>
      <c r="F256" s="3"/>
      <c r="L256" s="3"/>
      <c r="M256" s="3"/>
      <c r="N256" s="3"/>
      <c r="O256" s="3"/>
      <c r="V256" s="3"/>
      <c r="W256" s="3"/>
      <c r="X256" s="3"/>
    </row>
    <row r="257" ht="15.75" customHeight="1">
      <c r="A257" s="3"/>
      <c r="B257" s="3"/>
      <c r="C257" s="3"/>
      <c r="D257" s="3"/>
      <c r="E257" s="3"/>
      <c r="F257" s="3"/>
      <c r="L257" s="3"/>
      <c r="M257" s="3"/>
      <c r="N257" s="3"/>
      <c r="O257" s="3"/>
      <c r="V257" s="3"/>
      <c r="W257" s="3"/>
      <c r="X257" s="3"/>
    </row>
    <row r="258" ht="15.75" customHeight="1">
      <c r="A258" s="3"/>
      <c r="B258" s="3"/>
      <c r="C258" s="3"/>
      <c r="D258" s="3"/>
      <c r="E258" s="3"/>
      <c r="F258" s="3"/>
      <c r="L258" s="3"/>
      <c r="M258" s="3"/>
      <c r="N258" s="3"/>
      <c r="O258" s="3"/>
      <c r="V258" s="3"/>
      <c r="W258" s="3"/>
      <c r="X258" s="3"/>
    </row>
    <row r="259" ht="15.75" customHeight="1">
      <c r="A259" s="3"/>
      <c r="B259" s="3"/>
      <c r="C259" s="3"/>
      <c r="D259" s="3"/>
      <c r="E259" s="3"/>
      <c r="F259" s="3"/>
      <c r="L259" s="3"/>
      <c r="M259" s="3"/>
      <c r="N259" s="3"/>
      <c r="O259" s="3"/>
      <c r="V259" s="3"/>
      <c r="W259" s="3"/>
      <c r="X259" s="3"/>
    </row>
    <row r="260" ht="15.75" customHeight="1">
      <c r="A260" s="3"/>
      <c r="B260" s="3"/>
      <c r="C260" s="3"/>
      <c r="D260" s="3"/>
      <c r="E260" s="3"/>
      <c r="F260" s="3"/>
      <c r="L260" s="3"/>
      <c r="M260" s="3"/>
      <c r="N260" s="3"/>
      <c r="O260" s="3"/>
      <c r="V260" s="3"/>
      <c r="W260" s="3"/>
      <c r="X260" s="3"/>
    </row>
    <row r="261" ht="15.75" customHeight="1">
      <c r="A261" s="3"/>
      <c r="B261" s="3"/>
      <c r="C261" s="3"/>
      <c r="D261" s="3"/>
      <c r="E261" s="3"/>
      <c r="F261" s="3"/>
      <c r="L261" s="3"/>
      <c r="M261" s="3"/>
      <c r="N261" s="3"/>
      <c r="O261" s="3"/>
      <c r="V261" s="3"/>
      <c r="W261" s="3"/>
      <c r="X261" s="3"/>
    </row>
    <row r="262" ht="15.75" customHeight="1">
      <c r="A262" s="3"/>
      <c r="B262" s="3"/>
      <c r="C262" s="3"/>
      <c r="D262" s="3"/>
      <c r="E262" s="3"/>
      <c r="F262" s="3"/>
      <c r="L262" s="3"/>
      <c r="M262" s="3"/>
      <c r="N262" s="3"/>
      <c r="O262" s="3"/>
      <c r="V262" s="3"/>
      <c r="W262" s="3"/>
      <c r="X262" s="3"/>
    </row>
    <row r="263" ht="15.75" customHeight="1">
      <c r="A263" s="3"/>
      <c r="B263" s="3"/>
      <c r="C263" s="3"/>
      <c r="D263" s="3"/>
      <c r="E263" s="3"/>
      <c r="F263" s="3"/>
      <c r="L263" s="3"/>
      <c r="M263" s="3"/>
      <c r="N263" s="3"/>
      <c r="O263" s="3"/>
      <c r="V263" s="3"/>
      <c r="W263" s="3"/>
      <c r="X263" s="3"/>
    </row>
    <row r="264" ht="15.75" customHeight="1">
      <c r="A264" s="3"/>
      <c r="B264" s="3"/>
      <c r="C264" s="3"/>
      <c r="D264" s="3"/>
      <c r="E264" s="3"/>
      <c r="F264" s="3"/>
      <c r="L264" s="3"/>
      <c r="M264" s="3"/>
      <c r="N264" s="3"/>
      <c r="O264" s="3"/>
      <c r="V264" s="3"/>
      <c r="W264" s="3"/>
      <c r="X264" s="3"/>
    </row>
    <row r="265" ht="15.75" customHeight="1">
      <c r="A265" s="3"/>
      <c r="B265" s="3"/>
      <c r="C265" s="3"/>
      <c r="D265" s="3"/>
      <c r="E265" s="3"/>
      <c r="F265" s="3"/>
      <c r="L265" s="3"/>
      <c r="M265" s="3"/>
      <c r="N265" s="3"/>
      <c r="O265" s="3"/>
      <c r="V265" s="3"/>
      <c r="W265" s="3"/>
      <c r="X265" s="3"/>
    </row>
    <row r="266" ht="15.75" customHeight="1">
      <c r="A266" s="3"/>
      <c r="B266" s="3"/>
      <c r="C266" s="3"/>
      <c r="D266" s="3"/>
      <c r="E266" s="3"/>
      <c r="F266" s="3"/>
      <c r="L266" s="3"/>
      <c r="M266" s="3"/>
      <c r="N266" s="3"/>
      <c r="O266" s="3"/>
      <c r="V266" s="3"/>
      <c r="W266" s="3"/>
      <c r="X266" s="3"/>
    </row>
    <row r="267" ht="15.75" customHeight="1">
      <c r="A267" s="3"/>
      <c r="B267" s="3"/>
      <c r="C267" s="3"/>
      <c r="D267" s="3"/>
      <c r="E267" s="3"/>
      <c r="F267" s="3"/>
      <c r="L267" s="3"/>
      <c r="M267" s="3"/>
      <c r="N267" s="3"/>
      <c r="O267" s="3"/>
      <c r="V267" s="3"/>
      <c r="W267" s="3"/>
      <c r="X267" s="3"/>
    </row>
    <row r="268" ht="15.75" customHeight="1">
      <c r="A268" s="3"/>
      <c r="B268" s="3"/>
      <c r="C268" s="3"/>
      <c r="D268" s="3"/>
      <c r="E268" s="3"/>
      <c r="F268" s="3"/>
      <c r="L268" s="3"/>
      <c r="M268" s="3"/>
      <c r="N268" s="3"/>
      <c r="O268" s="3"/>
      <c r="V268" s="3"/>
      <c r="W268" s="3"/>
      <c r="X268" s="3"/>
    </row>
    <row r="269" ht="15.75" customHeight="1">
      <c r="A269" s="3"/>
      <c r="B269" s="3"/>
      <c r="C269" s="3"/>
      <c r="D269" s="3"/>
      <c r="E269" s="3"/>
      <c r="F269" s="3"/>
      <c r="L269" s="3"/>
      <c r="M269" s="3"/>
      <c r="N269" s="3"/>
      <c r="O269" s="3"/>
      <c r="V269" s="3"/>
      <c r="W269" s="3"/>
      <c r="X269" s="3"/>
    </row>
    <row r="270" ht="15.75" customHeight="1">
      <c r="A270" s="3"/>
      <c r="B270" s="3"/>
      <c r="C270" s="3"/>
      <c r="D270" s="3"/>
      <c r="E270" s="3"/>
      <c r="F270" s="3"/>
      <c r="L270" s="3"/>
      <c r="M270" s="3"/>
      <c r="N270" s="3"/>
      <c r="O270" s="3"/>
      <c r="V270" s="3"/>
      <c r="W270" s="3"/>
      <c r="X270" s="3"/>
    </row>
    <row r="271" ht="15.75" customHeight="1">
      <c r="A271" s="3"/>
      <c r="B271" s="3"/>
      <c r="C271" s="3"/>
      <c r="D271" s="3"/>
      <c r="E271" s="3"/>
      <c r="F271" s="3"/>
      <c r="L271" s="3"/>
      <c r="M271" s="3"/>
      <c r="N271" s="3"/>
      <c r="O271" s="3"/>
      <c r="V271" s="3"/>
      <c r="W271" s="3"/>
      <c r="X271" s="3"/>
    </row>
    <row r="272" ht="15.75" customHeight="1">
      <c r="A272" s="3"/>
      <c r="B272" s="3"/>
      <c r="C272" s="3"/>
      <c r="D272" s="3"/>
      <c r="E272" s="3"/>
      <c r="F272" s="3"/>
      <c r="L272" s="3"/>
      <c r="M272" s="3"/>
      <c r="N272" s="3"/>
      <c r="O272" s="3"/>
      <c r="V272" s="3"/>
      <c r="W272" s="3"/>
      <c r="X272" s="3"/>
    </row>
    <row r="273" ht="15.75" customHeight="1">
      <c r="A273" s="3"/>
      <c r="B273" s="3"/>
      <c r="C273" s="3"/>
      <c r="D273" s="3"/>
      <c r="E273" s="3"/>
      <c r="F273" s="3"/>
      <c r="L273" s="3"/>
      <c r="M273" s="3"/>
      <c r="N273" s="3"/>
      <c r="O273" s="3"/>
      <c r="V273" s="3"/>
      <c r="W273" s="3"/>
      <c r="X273" s="3"/>
    </row>
    <row r="274" ht="15.75" customHeight="1">
      <c r="A274" s="3"/>
      <c r="B274" s="3"/>
      <c r="C274" s="3"/>
      <c r="D274" s="3"/>
      <c r="E274" s="3"/>
      <c r="F274" s="3"/>
      <c r="L274" s="3"/>
      <c r="M274" s="3"/>
      <c r="N274" s="3"/>
      <c r="O274" s="3"/>
      <c r="V274" s="3"/>
      <c r="W274" s="3"/>
      <c r="X274" s="3"/>
    </row>
    <row r="275" ht="15.75" customHeight="1">
      <c r="A275" s="3"/>
      <c r="B275" s="3"/>
      <c r="C275" s="3"/>
      <c r="D275" s="3"/>
      <c r="E275" s="3"/>
      <c r="F275" s="3"/>
      <c r="L275" s="3"/>
      <c r="M275" s="3"/>
      <c r="N275" s="3"/>
      <c r="O275" s="3"/>
      <c r="V275" s="3"/>
      <c r="W275" s="3"/>
      <c r="X275" s="3"/>
    </row>
    <row r="276" ht="15.75" customHeight="1">
      <c r="A276" s="3"/>
      <c r="B276" s="3"/>
      <c r="C276" s="3"/>
      <c r="D276" s="3"/>
      <c r="E276" s="3"/>
      <c r="F276" s="3"/>
      <c r="L276" s="3"/>
      <c r="M276" s="3"/>
      <c r="N276" s="3"/>
      <c r="O276" s="3"/>
      <c r="V276" s="3"/>
      <c r="W276" s="3"/>
      <c r="X276" s="3"/>
    </row>
    <row r="277" ht="15.75" customHeight="1">
      <c r="A277" s="3"/>
      <c r="B277" s="3"/>
      <c r="C277" s="3"/>
      <c r="D277" s="3"/>
      <c r="E277" s="3"/>
      <c r="F277" s="3"/>
      <c r="L277" s="3"/>
      <c r="M277" s="3"/>
      <c r="N277" s="3"/>
      <c r="O277" s="3"/>
      <c r="V277" s="3"/>
      <c r="W277" s="3"/>
      <c r="X277" s="3"/>
    </row>
    <row r="278" ht="15.75" customHeight="1">
      <c r="A278" s="3"/>
      <c r="B278" s="3"/>
      <c r="C278" s="3"/>
      <c r="D278" s="3"/>
      <c r="E278" s="3"/>
      <c r="F278" s="3"/>
      <c r="L278" s="3"/>
      <c r="M278" s="3"/>
      <c r="N278" s="3"/>
      <c r="O278" s="3"/>
      <c r="V278" s="3"/>
      <c r="W278" s="3"/>
      <c r="X278" s="3"/>
    </row>
    <row r="279" ht="15.75" customHeight="1">
      <c r="A279" s="3"/>
      <c r="B279" s="3"/>
      <c r="C279" s="3"/>
      <c r="D279" s="3"/>
      <c r="E279" s="3"/>
      <c r="F279" s="3"/>
      <c r="L279" s="3"/>
      <c r="M279" s="3"/>
      <c r="N279" s="3"/>
      <c r="O279" s="3"/>
      <c r="V279" s="3"/>
      <c r="W279" s="3"/>
      <c r="X279" s="3"/>
    </row>
    <row r="280" ht="15.75" customHeight="1">
      <c r="A280" s="3"/>
      <c r="B280" s="3"/>
      <c r="C280" s="3"/>
      <c r="D280" s="3"/>
      <c r="E280" s="3"/>
      <c r="F280" s="3"/>
      <c r="L280" s="3"/>
      <c r="M280" s="3"/>
      <c r="N280" s="3"/>
      <c r="O280" s="3"/>
      <c r="V280" s="3"/>
      <c r="W280" s="3"/>
      <c r="X280" s="3"/>
    </row>
    <row r="281" ht="15.75" customHeight="1">
      <c r="A281" s="3"/>
      <c r="B281" s="3"/>
      <c r="C281" s="3"/>
      <c r="D281" s="3"/>
      <c r="E281" s="3"/>
      <c r="F281" s="3"/>
      <c r="L281" s="3"/>
      <c r="M281" s="3"/>
      <c r="N281" s="3"/>
      <c r="O281" s="3"/>
      <c r="V281" s="3"/>
      <c r="W281" s="3"/>
      <c r="X281" s="3"/>
    </row>
    <row r="282" ht="15.75" customHeight="1">
      <c r="A282" s="3"/>
      <c r="B282" s="3"/>
      <c r="C282" s="3"/>
      <c r="D282" s="3"/>
      <c r="E282" s="3"/>
      <c r="F282" s="3"/>
      <c r="L282" s="3"/>
      <c r="M282" s="3"/>
      <c r="N282" s="3"/>
      <c r="O282" s="3"/>
      <c r="V282" s="3"/>
      <c r="W282" s="3"/>
      <c r="X282" s="3"/>
    </row>
    <row r="283" ht="15.75" customHeight="1">
      <c r="A283" s="3"/>
      <c r="B283" s="3"/>
      <c r="C283" s="3"/>
      <c r="D283" s="3"/>
      <c r="E283" s="3"/>
      <c r="F283" s="3"/>
      <c r="L283" s="3"/>
      <c r="M283" s="3"/>
      <c r="N283" s="3"/>
      <c r="O283" s="3"/>
      <c r="V283" s="3"/>
      <c r="W283" s="3"/>
      <c r="X283" s="3"/>
    </row>
    <row r="284" ht="15.75" customHeight="1">
      <c r="A284" s="3"/>
      <c r="B284" s="3"/>
      <c r="C284" s="3"/>
      <c r="D284" s="3"/>
      <c r="E284" s="3"/>
      <c r="F284" s="3"/>
      <c r="L284" s="3"/>
      <c r="M284" s="3"/>
      <c r="N284" s="3"/>
      <c r="O284" s="3"/>
      <c r="V284" s="3"/>
      <c r="W284" s="3"/>
      <c r="X284" s="3"/>
    </row>
    <row r="285" ht="15.75" customHeight="1">
      <c r="A285" s="3"/>
      <c r="B285" s="3"/>
      <c r="C285" s="3"/>
      <c r="D285" s="3"/>
      <c r="E285" s="3"/>
      <c r="F285" s="3"/>
      <c r="L285" s="3"/>
      <c r="M285" s="3"/>
      <c r="N285" s="3"/>
      <c r="O285" s="3"/>
      <c r="V285" s="3"/>
      <c r="W285" s="3"/>
      <c r="X285" s="3"/>
    </row>
    <row r="286" ht="15.75" customHeight="1">
      <c r="A286" s="3"/>
      <c r="B286" s="3"/>
      <c r="C286" s="3"/>
      <c r="D286" s="3"/>
      <c r="E286" s="3"/>
      <c r="F286" s="3"/>
      <c r="L286" s="3"/>
      <c r="M286" s="3"/>
      <c r="N286" s="3"/>
      <c r="O286" s="3"/>
      <c r="V286" s="3"/>
      <c r="W286" s="3"/>
      <c r="X286" s="3"/>
    </row>
    <row r="287" ht="15.75" customHeight="1">
      <c r="A287" s="3"/>
      <c r="B287" s="3"/>
      <c r="C287" s="3"/>
      <c r="D287" s="3"/>
      <c r="E287" s="3"/>
      <c r="F287" s="3"/>
      <c r="L287" s="3"/>
      <c r="M287" s="3"/>
      <c r="N287" s="3"/>
      <c r="O287" s="3"/>
      <c r="V287" s="3"/>
      <c r="W287" s="3"/>
      <c r="X287" s="3"/>
    </row>
    <row r="288" ht="15.75" customHeight="1">
      <c r="A288" s="3"/>
      <c r="B288" s="3"/>
      <c r="C288" s="3"/>
      <c r="D288" s="3"/>
      <c r="E288" s="3"/>
      <c r="F288" s="3"/>
      <c r="L288" s="3"/>
      <c r="M288" s="3"/>
      <c r="N288" s="3"/>
      <c r="O288" s="3"/>
      <c r="V288" s="3"/>
      <c r="W288" s="3"/>
      <c r="X288" s="3"/>
    </row>
    <row r="289" ht="15.75" customHeight="1">
      <c r="A289" s="3"/>
      <c r="B289" s="3"/>
      <c r="C289" s="3"/>
      <c r="D289" s="3"/>
      <c r="E289" s="3"/>
      <c r="F289" s="3"/>
      <c r="L289" s="3"/>
      <c r="M289" s="3"/>
      <c r="N289" s="3"/>
      <c r="O289" s="3"/>
      <c r="V289" s="3"/>
      <c r="W289" s="3"/>
      <c r="X289" s="3"/>
    </row>
    <row r="290" ht="15.75" customHeight="1">
      <c r="A290" s="3"/>
      <c r="B290" s="3"/>
      <c r="C290" s="3"/>
      <c r="D290" s="3"/>
      <c r="E290" s="3"/>
      <c r="F290" s="3"/>
      <c r="L290" s="3"/>
      <c r="M290" s="3"/>
      <c r="N290" s="3"/>
      <c r="O290" s="3"/>
      <c r="V290" s="3"/>
      <c r="W290" s="3"/>
      <c r="X290" s="3"/>
    </row>
    <row r="291" ht="15.75" customHeight="1">
      <c r="A291" s="3"/>
      <c r="B291" s="3"/>
      <c r="C291" s="3"/>
      <c r="D291" s="3"/>
      <c r="E291" s="3"/>
      <c r="F291" s="3"/>
      <c r="L291" s="3"/>
      <c r="M291" s="3"/>
      <c r="N291" s="3"/>
      <c r="O291" s="3"/>
      <c r="V291" s="3"/>
      <c r="W291" s="3"/>
      <c r="X291" s="3"/>
    </row>
    <row r="292" ht="15.75" customHeight="1">
      <c r="A292" s="3"/>
      <c r="B292" s="3"/>
      <c r="C292" s="3"/>
      <c r="D292" s="3"/>
      <c r="E292" s="3"/>
      <c r="F292" s="3"/>
      <c r="L292" s="3"/>
      <c r="M292" s="3"/>
      <c r="N292" s="3"/>
      <c r="O292" s="3"/>
      <c r="V292" s="3"/>
      <c r="W292" s="3"/>
      <c r="X292" s="3"/>
    </row>
    <row r="293" ht="15.75" customHeight="1">
      <c r="A293" s="3"/>
      <c r="B293" s="3"/>
      <c r="C293" s="3"/>
      <c r="D293" s="3"/>
      <c r="E293" s="3"/>
      <c r="F293" s="3"/>
      <c r="L293" s="3"/>
      <c r="M293" s="3"/>
      <c r="N293" s="3"/>
      <c r="O293" s="3"/>
      <c r="V293" s="3"/>
      <c r="W293" s="3"/>
      <c r="X293" s="3"/>
    </row>
    <row r="294" ht="15.75" customHeight="1">
      <c r="A294" s="3"/>
      <c r="B294" s="3"/>
      <c r="C294" s="3"/>
      <c r="D294" s="3"/>
      <c r="E294" s="3"/>
      <c r="F294" s="3"/>
      <c r="L294" s="3"/>
      <c r="M294" s="3"/>
      <c r="N294" s="3"/>
      <c r="O294" s="3"/>
      <c r="V294" s="3"/>
      <c r="W294" s="3"/>
      <c r="X294" s="3"/>
    </row>
    <row r="295" ht="15.75" customHeight="1">
      <c r="A295" s="3"/>
      <c r="B295" s="3"/>
      <c r="C295" s="3"/>
      <c r="D295" s="3"/>
      <c r="E295" s="3"/>
      <c r="F295" s="3"/>
      <c r="L295" s="3"/>
      <c r="M295" s="3"/>
      <c r="N295" s="3"/>
      <c r="O295" s="3"/>
      <c r="V295" s="3"/>
      <c r="W295" s="3"/>
      <c r="X295" s="3"/>
    </row>
    <row r="296" ht="15.75" customHeight="1">
      <c r="A296" s="3"/>
      <c r="B296" s="3"/>
      <c r="C296" s="3"/>
      <c r="D296" s="3"/>
      <c r="E296" s="3"/>
      <c r="F296" s="3"/>
      <c r="L296" s="3"/>
      <c r="M296" s="3"/>
      <c r="N296" s="3"/>
      <c r="O296" s="3"/>
      <c r="V296" s="3"/>
      <c r="W296" s="3"/>
      <c r="X296" s="3"/>
    </row>
    <row r="297" ht="15.75" customHeight="1">
      <c r="A297" s="3"/>
      <c r="B297" s="3"/>
      <c r="C297" s="3"/>
      <c r="D297" s="3"/>
      <c r="E297" s="3"/>
      <c r="F297" s="3"/>
      <c r="L297" s="3"/>
      <c r="M297" s="3"/>
      <c r="N297" s="3"/>
      <c r="O297" s="3"/>
      <c r="V297" s="3"/>
      <c r="W297" s="3"/>
      <c r="X297" s="3"/>
    </row>
    <row r="298" ht="15.75" customHeight="1">
      <c r="A298" s="3"/>
      <c r="B298" s="3"/>
      <c r="C298" s="3"/>
      <c r="D298" s="3"/>
      <c r="E298" s="3"/>
      <c r="F298" s="3"/>
      <c r="L298" s="3"/>
      <c r="M298" s="3"/>
      <c r="N298" s="3"/>
      <c r="O298" s="3"/>
      <c r="V298" s="3"/>
      <c r="W298" s="3"/>
      <c r="X298" s="3"/>
    </row>
    <row r="299" ht="15.75" customHeight="1">
      <c r="A299" s="3"/>
      <c r="B299" s="3"/>
      <c r="C299" s="3"/>
      <c r="D299" s="3"/>
      <c r="E299" s="3"/>
      <c r="F299" s="3"/>
      <c r="L299" s="3"/>
      <c r="M299" s="3"/>
      <c r="N299" s="3"/>
      <c r="O299" s="3"/>
      <c r="V299" s="3"/>
      <c r="W299" s="3"/>
      <c r="X299" s="3"/>
    </row>
    <row r="300" ht="15.75" customHeight="1">
      <c r="A300" s="3"/>
      <c r="B300" s="3"/>
      <c r="C300" s="3"/>
      <c r="D300" s="3"/>
      <c r="E300" s="3"/>
      <c r="F300" s="3"/>
      <c r="L300" s="3"/>
      <c r="M300" s="3"/>
      <c r="N300" s="3"/>
      <c r="O300" s="3"/>
      <c r="V300" s="3"/>
      <c r="W300" s="3"/>
      <c r="X300" s="3"/>
    </row>
    <row r="301" ht="15.75" customHeight="1">
      <c r="A301" s="3"/>
      <c r="B301" s="3"/>
      <c r="C301" s="3"/>
      <c r="D301" s="3"/>
      <c r="E301" s="3"/>
      <c r="F301" s="3"/>
      <c r="L301" s="3"/>
      <c r="M301" s="3"/>
      <c r="N301" s="3"/>
      <c r="O301" s="3"/>
      <c r="V301" s="3"/>
      <c r="W301" s="3"/>
      <c r="X301" s="3"/>
    </row>
    <row r="302" ht="15.75" customHeight="1">
      <c r="A302" s="3"/>
      <c r="B302" s="3"/>
      <c r="C302" s="3"/>
      <c r="D302" s="3"/>
      <c r="E302" s="3"/>
      <c r="F302" s="3"/>
      <c r="L302" s="3"/>
      <c r="M302" s="3"/>
      <c r="N302" s="3"/>
      <c r="O302" s="3"/>
      <c r="V302" s="3"/>
      <c r="W302" s="3"/>
      <c r="X302" s="3"/>
    </row>
    <row r="303" ht="15.75" customHeight="1">
      <c r="A303" s="3"/>
      <c r="B303" s="3"/>
      <c r="C303" s="3"/>
      <c r="D303" s="3"/>
      <c r="E303" s="3"/>
      <c r="F303" s="3"/>
      <c r="L303" s="3"/>
      <c r="M303" s="3"/>
      <c r="N303" s="3"/>
      <c r="O303" s="3"/>
      <c r="V303" s="3"/>
      <c r="W303" s="3"/>
      <c r="X303" s="3"/>
    </row>
    <row r="304" ht="15.75" customHeight="1">
      <c r="A304" s="3"/>
      <c r="B304" s="3"/>
      <c r="C304" s="3"/>
      <c r="D304" s="3"/>
      <c r="E304" s="3"/>
      <c r="F304" s="3"/>
      <c r="L304" s="3"/>
      <c r="M304" s="3"/>
      <c r="N304" s="3"/>
      <c r="O304" s="3"/>
      <c r="V304" s="3"/>
      <c r="W304" s="3"/>
      <c r="X304" s="3"/>
    </row>
    <row r="305" ht="15.75" customHeight="1">
      <c r="A305" s="3"/>
      <c r="B305" s="3"/>
      <c r="C305" s="3"/>
      <c r="D305" s="3"/>
      <c r="E305" s="3"/>
      <c r="F305" s="3"/>
      <c r="L305" s="3"/>
      <c r="M305" s="3"/>
      <c r="N305" s="3"/>
      <c r="O305" s="3"/>
      <c r="V305" s="3"/>
      <c r="W305" s="3"/>
      <c r="X305" s="3"/>
    </row>
    <row r="306" ht="15.75" customHeight="1">
      <c r="A306" s="3"/>
      <c r="B306" s="3"/>
      <c r="C306" s="3"/>
      <c r="D306" s="3"/>
      <c r="E306" s="3"/>
      <c r="F306" s="3"/>
      <c r="L306" s="3"/>
      <c r="M306" s="3"/>
      <c r="N306" s="3"/>
      <c r="O306" s="3"/>
      <c r="V306" s="3"/>
      <c r="W306" s="3"/>
      <c r="X306" s="3"/>
    </row>
    <row r="307" ht="15.75" customHeight="1">
      <c r="A307" s="3"/>
      <c r="B307" s="3"/>
      <c r="C307" s="3"/>
      <c r="D307" s="3"/>
      <c r="E307" s="3"/>
      <c r="F307" s="3"/>
      <c r="L307" s="3"/>
      <c r="M307" s="3"/>
      <c r="N307" s="3"/>
      <c r="O307" s="3"/>
      <c r="V307" s="3"/>
      <c r="W307" s="3"/>
      <c r="X307" s="3"/>
    </row>
    <row r="308" ht="15.75" customHeight="1">
      <c r="A308" s="3"/>
      <c r="B308" s="3"/>
      <c r="C308" s="3"/>
      <c r="D308" s="3"/>
      <c r="E308" s="3"/>
      <c r="F308" s="3"/>
      <c r="L308" s="3"/>
      <c r="M308" s="3"/>
      <c r="N308" s="3"/>
      <c r="O308" s="3"/>
      <c r="V308" s="3"/>
      <c r="W308" s="3"/>
      <c r="X308" s="3"/>
    </row>
    <row r="309" ht="15.75" customHeight="1">
      <c r="A309" s="3"/>
      <c r="B309" s="3"/>
      <c r="C309" s="3"/>
      <c r="D309" s="3"/>
      <c r="E309" s="3"/>
      <c r="F309" s="3"/>
      <c r="L309" s="3"/>
      <c r="M309" s="3"/>
      <c r="N309" s="3"/>
      <c r="O309" s="3"/>
      <c r="V309" s="3"/>
      <c r="W309" s="3"/>
      <c r="X309" s="3"/>
    </row>
    <row r="310" ht="15.75" customHeight="1">
      <c r="A310" s="3"/>
      <c r="B310" s="3"/>
      <c r="C310" s="3"/>
      <c r="D310" s="3"/>
      <c r="E310" s="3"/>
      <c r="F310" s="3"/>
      <c r="L310" s="3"/>
      <c r="M310" s="3"/>
      <c r="N310" s="3"/>
      <c r="O310" s="3"/>
      <c r="V310" s="3"/>
      <c r="W310" s="3"/>
      <c r="X310" s="3"/>
    </row>
    <row r="311" ht="15.75" customHeight="1">
      <c r="A311" s="3"/>
      <c r="B311" s="3"/>
      <c r="C311" s="3"/>
      <c r="D311" s="3"/>
      <c r="E311" s="3"/>
      <c r="F311" s="3"/>
      <c r="L311" s="3"/>
      <c r="M311" s="3"/>
      <c r="N311" s="3"/>
      <c r="O311" s="3"/>
      <c r="V311" s="3"/>
      <c r="W311" s="3"/>
      <c r="X311" s="3"/>
    </row>
    <row r="312" ht="15.75" customHeight="1">
      <c r="A312" s="3"/>
      <c r="B312" s="3"/>
      <c r="C312" s="3"/>
      <c r="D312" s="3"/>
      <c r="E312" s="3"/>
      <c r="F312" s="3"/>
      <c r="L312" s="3"/>
      <c r="M312" s="3"/>
      <c r="N312" s="3"/>
      <c r="O312" s="3"/>
      <c r="V312" s="3"/>
      <c r="W312" s="3"/>
      <c r="X312" s="3"/>
    </row>
    <row r="313" ht="15.75" customHeight="1">
      <c r="A313" s="3"/>
      <c r="B313" s="3"/>
      <c r="C313" s="3"/>
      <c r="D313" s="3"/>
      <c r="E313" s="3"/>
      <c r="F313" s="3"/>
      <c r="L313" s="3"/>
      <c r="M313" s="3"/>
      <c r="N313" s="3"/>
      <c r="O313" s="3"/>
      <c r="V313" s="3"/>
      <c r="W313" s="3"/>
      <c r="X313" s="3"/>
    </row>
    <row r="314" ht="15.75" customHeight="1">
      <c r="A314" s="3"/>
      <c r="B314" s="3"/>
      <c r="C314" s="3"/>
      <c r="D314" s="3"/>
      <c r="E314" s="3"/>
      <c r="F314" s="3"/>
      <c r="L314" s="3"/>
      <c r="M314" s="3"/>
      <c r="N314" s="3"/>
      <c r="O314" s="3"/>
      <c r="V314" s="3"/>
      <c r="W314" s="3"/>
      <c r="X314" s="3"/>
    </row>
    <row r="315" ht="15.75" customHeight="1">
      <c r="A315" s="3"/>
      <c r="B315" s="3"/>
      <c r="C315" s="3"/>
      <c r="D315" s="3"/>
      <c r="E315" s="3"/>
      <c r="F315" s="3"/>
      <c r="L315" s="3"/>
      <c r="M315" s="3"/>
      <c r="N315" s="3"/>
      <c r="O315" s="3"/>
      <c r="V315" s="3"/>
      <c r="W315" s="3"/>
      <c r="X315" s="3"/>
    </row>
    <row r="316" ht="15.75" customHeight="1">
      <c r="A316" s="3"/>
      <c r="B316" s="3"/>
      <c r="C316" s="3"/>
      <c r="D316" s="3"/>
      <c r="E316" s="3"/>
      <c r="F316" s="3"/>
      <c r="L316" s="3"/>
      <c r="M316" s="3"/>
      <c r="N316" s="3"/>
      <c r="O316" s="3"/>
      <c r="V316" s="3"/>
      <c r="W316" s="3"/>
      <c r="X316" s="3"/>
    </row>
    <row r="317" ht="15.75" customHeight="1">
      <c r="A317" s="3"/>
      <c r="B317" s="3"/>
      <c r="C317" s="3"/>
      <c r="D317" s="3"/>
      <c r="E317" s="3"/>
      <c r="F317" s="3"/>
      <c r="L317" s="3"/>
      <c r="M317" s="3"/>
      <c r="N317" s="3"/>
      <c r="O317" s="3"/>
      <c r="V317" s="3"/>
      <c r="W317" s="3"/>
      <c r="X317" s="3"/>
    </row>
    <row r="318" ht="15.75" customHeight="1">
      <c r="A318" s="3"/>
      <c r="B318" s="3"/>
      <c r="C318" s="3"/>
      <c r="D318" s="3"/>
      <c r="E318" s="3"/>
      <c r="F318" s="3"/>
      <c r="L318" s="3"/>
      <c r="M318" s="3"/>
      <c r="N318" s="3"/>
      <c r="O318" s="3"/>
      <c r="V318" s="3"/>
      <c r="W318" s="3"/>
      <c r="X318" s="3"/>
    </row>
    <row r="319" ht="15.75" customHeight="1">
      <c r="A319" s="3"/>
      <c r="B319" s="3"/>
      <c r="C319" s="3"/>
      <c r="D319" s="3"/>
      <c r="E319" s="3"/>
      <c r="F319" s="3"/>
      <c r="L319" s="3"/>
      <c r="M319" s="3"/>
      <c r="N319" s="3"/>
      <c r="O319" s="3"/>
      <c r="V319" s="3"/>
      <c r="W319" s="3"/>
      <c r="X319" s="3"/>
    </row>
    <row r="320" ht="15.75" customHeight="1">
      <c r="A320" s="3"/>
      <c r="B320" s="3"/>
      <c r="C320" s="3"/>
      <c r="D320" s="3"/>
      <c r="E320" s="3"/>
      <c r="F320" s="3"/>
      <c r="L320" s="3"/>
      <c r="M320" s="3"/>
      <c r="N320" s="3"/>
      <c r="O320" s="3"/>
      <c r="V320" s="3"/>
      <c r="W320" s="3"/>
      <c r="X320" s="3"/>
    </row>
    <row r="321" ht="15.75" customHeight="1">
      <c r="A321" s="3"/>
      <c r="B321" s="3"/>
      <c r="C321" s="3"/>
      <c r="D321" s="3"/>
      <c r="E321" s="3"/>
      <c r="F321" s="3"/>
      <c r="L321" s="3"/>
      <c r="M321" s="3"/>
      <c r="N321" s="3"/>
      <c r="O321" s="3"/>
      <c r="V321" s="3"/>
      <c r="W321" s="3"/>
      <c r="X321" s="3"/>
    </row>
    <row r="322" ht="15.75" customHeight="1">
      <c r="A322" s="3"/>
      <c r="B322" s="3"/>
      <c r="C322" s="3"/>
      <c r="D322" s="3"/>
      <c r="E322" s="3"/>
      <c r="F322" s="3"/>
      <c r="L322" s="3"/>
      <c r="M322" s="3"/>
      <c r="N322" s="3"/>
      <c r="O322" s="3"/>
      <c r="V322" s="3"/>
      <c r="W322" s="3"/>
      <c r="X322" s="3"/>
    </row>
    <row r="323" ht="15.75" customHeight="1">
      <c r="A323" s="3"/>
      <c r="B323" s="3"/>
      <c r="C323" s="3"/>
      <c r="D323" s="3"/>
      <c r="E323" s="3"/>
      <c r="F323" s="3"/>
      <c r="L323" s="3"/>
      <c r="M323" s="3"/>
      <c r="N323" s="3"/>
      <c r="O323" s="3"/>
      <c r="V323" s="3"/>
      <c r="W323" s="3"/>
      <c r="X323" s="3"/>
    </row>
    <row r="324" ht="15.75" customHeight="1">
      <c r="A324" s="3"/>
      <c r="B324" s="3"/>
      <c r="C324" s="3"/>
      <c r="D324" s="3"/>
      <c r="E324" s="3"/>
      <c r="F324" s="3"/>
      <c r="L324" s="3"/>
      <c r="M324" s="3"/>
      <c r="N324" s="3"/>
      <c r="O324" s="3"/>
      <c r="V324" s="3"/>
      <c r="W324" s="3"/>
      <c r="X324" s="3"/>
    </row>
    <row r="325" ht="15.75" customHeight="1">
      <c r="A325" s="3"/>
      <c r="B325" s="3"/>
      <c r="C325" s="3"/>
      <c r="D325" s="3"/>
      <c r="E325" s="3"/>
      <c r="F325" s="3"/>
      <c r="L325" s="3"/>
      <c r="M325" s="3"/>
      <c r="N325" s="3"/>
      <c r="O325" s="3"/>
      <c r="V325" s="3"/>
      <c r="W325" s="3"/>
      <c r="X325" s="3"/>
    </row>
    <row r="326" ht="15.75" customHeight="1">
      <c r="A326" s="3"/>
      <c r="B326" s="3"/>
      <c r="C326" s="3"/>
      <c r="D326" s="3"/>
      <c r="E326" s="3"/>
      <c r="F326" s="3"/>
      <c r="L326" s="3"/>
      <c r="M326" s="3"/>
      <c r="N326" s="3"/>
      <c r="O326" s="3"/>
      <c r="V326" s="3"/>
      <c r="W326" s="3"/>
      <c r="X326" s="3"/>
    </row>
    <row r="327" ht="15.75" customHeight="1">
      <c r="A327" s="3"/>
      <c r="B327" s="3"/>
      <c r="C327" s="3"/>
      <c r="D327" s="3"/>
      <c r="E327" s="3"/>
      <c r="F327" s="3"/>
      <c r="L327" s="3"/>
      <c r="M327" s="3"/>
      <c r="N327" s="3"/>
      <c r="O327" s="3"/>
      <c r="V327" s="3"/>
      <c r="W327" s="3"/>
      <c r="X327" s="3"/>
    </row>
    <row r="328" ht="15.75" customHeight="1">
      <c r="A328" s="3"/>
      <c r="B328" s="3"/>
      <c r="C328" s="3"/>
      <c r="D328" s="3"/>
      <c r="E328" s="3"/>
      <c r="F328" s="3"/>
      <c r="L328" s="3"/>
      <c r="M328" s="3"/>
      <c r="N328" s="3"/>
      <c r="O328" s="3"/>
      <c r="V328" s="3"/>
      <c r="W328" s="3"/>
      <c r="X328" s="3"/>
    </row>
    <row r="329" ht="15.75" customHeight="1">
      <c r="A329" s="3"/>
      <c r="B329" s="3"/>
      <c r="C329" s="3"/>
      <c r="D329" s="3"/>
      <c r="E329" s="3"/>
      <c r="F329" s="3"/>
      <c r="L329" s="3"/>
      <c r="M329" s="3"/>
      <c r="N329" s="3"/>
      <c r="O329" s="3"/>
      <c r="V329" s="3"/>
      <c r="W329" s="3"/>
      <c r="X329" s="3"/>
    </row>
    <row r="330" ht="15.75" customHeight="1">
      <c r="A330" s="3"/>
      <c r="B330" s="3"/>
      <c r="C330" s="3"/>
      <c r="D330" s="3"/>
      <c r="E330" s="3"/>
      <c r="F330" s="3"/>
      <c r="L330" s="3"/>
      <c r="M330" s="3"/>
      <c r="N330" s="3"/>
      <c r="O330" s="3"/>
      <c r="V330" s="3"/>
      <c r="W330" s="3"/>
      <c r="X330" s="3"/>
    </row>
    <row r="331" ht="15.75" customHeight="1">
      <c r="A331" s="3"/>
      <c r="B331" s="3"/>
      <c r="C331" s="3"/>
      <c r="D331" s="3"/>
      <c r="E331" s="3"/>
      <c r="F331" s="3"/>
      <c r="L331" s="3"/>
      <c r="M331" s="3"/>
      <c r="N331" s="3"/>
      <c r="O331" s="3"/>
      <c r="V331" s="3"/>
      <c r="W331" s="3"/>
      <c r="X331" s="3"/>
    </row>
    <row r="332" ht="15.75" customHeight="1">
      <c r="A332" s="3"/>
      <c r="B332" s="3"/>
      <c r="C332" s="3"/>
      <c r="D332" s="3"/>
      <c r="E332" s="3"/>
      <c r="F332" s="3"/>
      <c r="L332" s="3"/>
      <c r="M332" s="3"/>
      <c r="N332" s="3"/>
      <c r="O332" s="3"/>
      <c r="V332" s="3"/>
      <c r="W332" s="3"/>
      <c r="X332" s="3"/>
    </row>
    <row r="333" ht="15.75" customHeight="1">
      <c r="A333" s="3"/>
      <c r="B333" s="3"/>
      <c r="C333" s="3"/>
      <c r="D333" s="3"/>
      <c r="E333" s="3"/>
      <c r="F333" s="3"/>
      <c r="L333" s="3"/>
      <c r="M333" s="3"/>
      <c r="N333" s="3"/>
      <c r="O333" s="3"/>
      <c r="V333" s="3"/>
      <c r="W333" s="3"/>
      <c r="X333" s="3"/>
    </row>
    <row r="334" ht="15.75" customHeight="1">
      <c r="A334" s="3"/>
      <c r="B334" s="3"/>
      <c r="C334" s="3"/>
      <c r="D334" s="3"/>
      <c r="E334" s="3"/>
      <c r="F334" s="3"/>
      <c r="L334" s="3"/>
      <c r="M334" s="3"/>
      <c r="N334" s="3"/>
      <c r="O334" s="3"/>
      <c r="V334" s="3"/>
      <c r="W334" s="3"/>
      <c r="X334" s="3"/>
    </row>
    <row r="335" ht="15.75" customHeight="1">
      <c r="A335" s="3"/>
      <c r="B335" s="3"/>
      <c r="C335" s="3"/>
      <c r="D335" s="3"/>
      <c r="E335" s="3"/>
      <c r="F335" s="3"/>
      <c r="L335" s="3"/>
      <c r="M335" s="3"/>
      <c r="N335" s="3"/>
      <c r="O335" s="3"/>
      <c r="V335" s="3"/>
      <c r="W335" s="3"/>
      <c r="X335" s="3"/>
    </row>
    <row r="336" ht="15.75" customHeight="1">
      <c r="A336" s="3"/>
      <c r="B336" s="3"/>
      <c r="C336" s="3"/>
      <c r="D336" s="3"/>
      <c r="E336" s="3"/>
      <c r="F336" s="3"/>
      <c r="L336" s="3"/>
      <c r="M336" s="3"/>
      <c r="N336" s="3"/>
      <c r="O336" s="3"/>
      <c r="V336" s="3"/>
      <c r="W336" s="3"/>
      <c r="X336" s="3"/>
    </row>
    <row r="337" ht="15.75" customHeight="1">
      <c r="A337" s="3"/>
      <c r="B337" s="3"/>
      <c r="C337" s="3"/>
      <c r="D337" s="3"/>
      <c r="E337" s="3"/>
      <c r="F337" s="3"/>
      <c r="L337" s="3"/>
      <c r="M337" s="3"/>
      <c r="N337" s="3"/>
      <c r="O337" s="3"/>
      <c r="V337" s="3"/>
      <c r="W337" s="3"/>
      <c r="X337" s="3"/>
    </row>
    <row r="338" ht="15.75" customHeight="1">
      <c r="A338" s="3"/>
      <c r="B338" s="3"/>
      <c r="C338" s="3"/>
      <c r="D338" s="3"/>
      <c r="E338" s="3"/>
      <c r="F338" s="3"/>
      <c r="L338" s="3"/>
      <c r="M338" s="3"/>
      <c r="N338" s="3"/>
      <c r="O338" s="3"/>
      <c r="V338" s="3"/>
      <c r="W338" s="3"/>
      <c r="X338" s="3"/>
    </row>
    <row r="339" ht="15.75" customHeight="1">
      <c r="A339" s="3"/>
      <c r="B339" s="3"/>
      <c r="C339" s="3"/>
      <c r="D339" s="3"/>
      <c r="E339" s="3"/>
      <c r="F339" s="3"/>
      <c r="L339" s="3"/>
      <c r="M339" s="3"/>
      <c r="N339" s="3"/>
      <c r="O339" s="3"/>
      <c r="V339" s="3"/>
      <c r="W339" s="3"/>
      <c r="X339" s="3"/>
    </row>
    <row r="340" ht="15.75" customHeight="1">
      <c r="A340" s="3"/>
      <c r="B340" s="3"/>
      <c r="C340" s="3"/>
      <c r="D340" s="3"/>
      <c r="E340" s="3"/>
      <c r="F340" s="3"/>
      <c r="L340" s="3"/>
      <c r="M340" s="3"/>
      <c r="N340" s="3"/>
      <c r="O340" s="3"/>
      <c r="V340" s="3"/>
      <c r="W340" s="3"/>
      <c r="X340" s="3"/>
    </row>
    <row r="341" ht="15.75" customHeight="1">
      <c r="A341" s="3"/>
      <c r="B341" s="3"/>
      <c r="C341" s="3"/>
      <c r="D341" s="3"/>
      <c r="E341" s="3"/>
      <c r="F341" s="3"/>
      <c r="L341" s="3"/>
      <c r="M341" s="3"/>
      <c r="N341" s="3"/>
      <c r="O341" s="3"/>
      <c r="V341" s="3"/>
      <c r="W341" s="3"/>
      <c r="X341" s="3"/>
    </row>
    <row r="342" ht="15.75" customHeight="1">
      <c r="A342" s="3"/>
      <c r="B342" s="3"/>
      <c r="C342" s="3"/>
      <c r="D342" s="3"/>
      <c r="E342" s="3"/>
      <c r="F342" s="3"/>
      <c r="L342" s="3"/>
      <c r="M342" s="3"/>
      <c r="N342" s="3"/>
      <c r="O342" s="3"/>
      <c r="V342" s="3"/>
      <c r="W342" s="3"/>
      <c r="X342" s="3"/>
    </row>
    <row r="343" ht="15.75" customHeight="1">
      <c r="A343" s="3"/>
      <c r="B343" s="3"/>
      <c r="C343" s="3"/>
      <c r="D343" s="3"/>
      <c r="E343" s="3"/>
      <c r="F343" s="3"/>
      <c r="L343" s="3"/>
      <c r="M343" s="3"/>
      <c r="N343" s="3"/>
      <c r="O343" s="3"/>
      <c r="V343" s="3"/>
      <c r="W343" s="3"/>
      <c r="X343" s="3"/>
    </row>
    <row r="344" ht="15.75" customHeight="1">
      <c r="A344" s="3"/>
      <c r="B344" s="3"/>
      <c r="C344" s="3"/>
      <c r="D344" s="3"/>
      <c r="E344" s="3"/>
      <c r="F344" s="3"/>
      <c r="L344" s="3"/>
      <c r="M344" s="3"/>
      <c r="N344" s="3"/>
      <c r="O344" s="3"/>
      <c r="V344" s="3"/>
      <c r="W344" s="3"/>
      <c r="X344" s="3"/>
    </row>
    <row r="345" ht="15.75" customHeight="1">
      <c r="A345" s="3"/>
      <c r="B345" s="3"/>
      <c r="C345" s="3"/>
      <c r="D345" s="3"/>
      <c r="E345" s="3"/>
      <c r="F345" s="3"/>
      <c r="L345" s="3"/>
      <c r="M345" s="3"/>
      <c r="N345" s="3"/>
      <c r="O345" s="3"/>
      <c r="V345" s="3"/>
      <c r="W345" s="3"/>
      <c r="X345" s="3"/>
    </row>
    <row r="346" ht="15.75" customHeight="1">
      <c r="A346" s="3"/>
      <c r="B346" s="3"/>
      <c r="C346" s="3"/>
      <c r="D346" s="3"/>
      <c r="E346" s="3"/>
      <c r="F346" s="3"/>
      <c r="L346" s="3"/>
      <c r="M346" s="3"/>
      <c r="N346" s="3"/>
      <c r="O346" s="3"/>
      <c r="V346" s="3"/>
      <c r="W346" s="3"/>
      <c r="X346" s="3"/>
    </row>
    <row r="347" ht="15.75" customHeight="1">
      <c r="A347" s="3"/>
      <c r="B347" s="3"/>
      <c r="C347" s="3"/>
      <c r="D347" s="3"/>
      <c r="E347" s="3"/>
      <c r="F347" s="3"/>
      <c r="L347" s="3"/>
      <c r="M347" s="3"/>
      <c r="N347" s="3"/>
      <c r="O347" s="3"/>
      <c r="V347" s="3"/>
      <c r="W347" s="3"/>
      <c r="X347" s="3"/>
    </row>
    <row r="348" ht="15.75" customHeight="1">
      <c r="A348" s="3"/>
      <c r="B348" s="3"/>
      <c r="C348" s="3"/>
      <c r="D348" s="3"/>
      <c r="E348" s="3"/>
      <c r="F348" s="3"/>
      <c r="L348" s="3"/>
      <c r="M348" s="3"/>
      <c r="N348" s="3"/>
      <c r="O348" s="3"/>
      <c r="V348" s="3"/>
      <c r="W348" s="3"/>
      <c r="X348" s="3"/>
    </row>
    <row r="349" ht="15.75" customHeight="1">
      <c r="A349" s="3"/>
      <c r="B349" s="3"/>
      <c r="C349" s="3"/>
      <c r="D349" s="3"/>
      <c r="E349" s="3"/>
      <c r="F349" s="3"/>
      <c r="L349" s="3"/>
      <c r="M349" s="3"/>
      <c r="N349" s="3"/>
      <c r="O349" s="3"/>
      <c r="V349" s="3"/>
      <c r="W349" s="3"/>
      <c r="X349" s="3"/>
    </row>
    <row r="350" ht="15.75" customHeight="1">
      <c r="A350" s="3"/>
      <c r="B350" s="3"/>
      <c r="C350" s="3"/>
      <c r="D350" s="3"/>
      <c r="E350" s="3"/>
      <c r="F350" s="3"/>
      <c r="L350" s="3"/>
      <c r="M350" s="3"/>
      <c r="N350" s="3"/>
      <c r="O350" s="3"/>
      <c r="V350" s="3"/>
      <c r="W350" s="3"/>
      <c r="X350" s="3"/>
    </row>
    <row r="351" ht="15.75" customHeight="1">
      <c r="A351" s="3"/>
      <c r="B351" s="3"/>
      <c r="C351" s="3"/>
      <c r="D351" s="3"/>
      <c r="E351" s="3"/>
      <c r="F351" s="3"/>
      <c r="L351" s="3"/>
      <c r="M351" s="3"/>
      <c r="N351" s="3"/>
      <c r="O351" s="3"/>
      <c r="V351" s="3"/>
      <c r="W351" s="3"/>
      <c r="X351" s="3"/>
    </row>
    <row r="352" ht="15.75" customHeight="1">
      <c r="A352" s="3"/>
      <c r="B352" s="3"/>
      <c r="C352" s="3"/>
      <c r="D352" s="3"/>
      <c r="E352" s="3"/>
      <c r="F352" s="3"/>
      <c r="L352" s="3"/>
      <c r="M352" s="3"/>
      <c r="N352" s="3"/>
      <c r="O352" s="3"/>
      <c r="V352" s="3"/>
      <c r="W352" s="3"/>
      <c r="X352" s="3"/>
    </row>
    <row r="353" ht="15.75" customHeight="1">
      <c r="A353" s="3"/>
      <c r="B353" s="3"/>
      <c r="C353" s="3"/>
      <c r="D353" s="3"/>
      <c r="E353" s="3"/>
      <c r="F353" s="3"/>
      <c r="L353" s="3"/>
      <c r="M353" s="3"/>
      <c r="N353" s="3"/>
      <c r="O353" s="3"/>
      <c r="V353" s="3"/>
      <c r="W353" s="3"/>
      <c r="X353" s="3"/>
    </row>
    <row r="354" ht="15.75" customHeight="1">
      <c r="A354" s="3"/>
      <c r="B354" s="3"/>
      <c r="C354" s="3"/>
      <c r="D354" s="3"/>
      <c r="E354" s="3"/>
      <c r="F354" s="3"/>
      <c r="L354" s="3"/>
      <c r="M354" s="3"/>
      <c r="N354" s="3"/>
      <c r="O354" s="3"/>
      <c r="V354" s="3"/>
      <c r="W354" s="3"/>
      <c r="X354" s="3"/>
    </row>
    <row r="355" ht="15.75" customHeight="1">
      <c r="A355" s="3"/>
      <c r="B355" s="3"/>
      <c r="C355" s="3"/>
      <c r="D355" s="3"/>
      <c r="E355" s="3"/>
      <c r="F355" s="3"/>
      <c r="L355" s="3"/>
      <c r="M355" s="3"/>
      <c r="N355" s="3"/>
      <c r="O355" s="3"/>
      <c r="V355" s="3"/>
      <c r="W355" s="3"/>
      <c r="X355" s="3"/>
    </row>
    <row r="356" ht="15.75" customHeight="1">
      <c r="A356" s="3"/>
      <c r="B356" s="3"/>
      <c r="C356" s="3"/>
      <c r="D356" s="3"/>
      <c r="E356" s="3"/>
      <c r="F356" s="3"/>
      <c r="L356" s="3"/>
      <c r="M356" s="3"/>
      <c r="N356" s="3"/>
      <c r="O356" s="3"/>
      <c r="V356" s="3"/>
      <c r="W356" s="3"/>
      <c r="X356" s="3"/>
    </row>
    <row r="357" ht="15.75" customHeight="1">
      <c r="A357" s="3"/>
      <c r="B357" s="3"/>
      <c r="C357" s="3"/>
      <c r="D357" s="3"/>
      <c r="E357" s="3"/>
      <c r="F357" s="3"/>
      <c r="L357" s="3"/>
      <c r="M357" s="3"/>
      <c r="N357" s="3"/>
      <c r="O357" s="3"/>
      <c r="V357" s="3"/>
      <c r="W357" s="3"/>
      <c r="X357" s="3"/>
    </row>
    <row r="358" ht="15.75" customHeight="1">
      <c r="A358" s="3"/>
      <c r="B358" s="3"/>
      <c r="C358" s="3"/>
      <c r="D358" s="3"/>
      <c r="E358" s="3"/>
      <c r="F358" s="3"/>
      <c r="L358" s="3"/>
      <c r="M358" s="3"/>
      <c r="N358" s="3"/>
      <c r="O358" s="3"/>
      <c r="V358" s="3"/>
      <c r="W358" s="3"/>
      <c r="X358" s="3"/>
    </row>
    <row r="359" ht="15.75" customHeight="1">
      <c r="A359" s="3"/>
      <c r="B359" s="3"/>
      <c r="C359" s="3"/>
      <c r="D359" s="3"/>
      <c r="E359" s="3"/>
      <c r="F359" s="3"/>
      <c r="L359" s="3"/>
      <c r="M359" s="3"/>
      <c r="N359" s="3"/>
      <c r="O359" s="3"/>
      <c r="V359" s="3"/>
      <c r="W359" s="3"/>
      <c r="X359" s="3"/>
    </row>
    <row r="360" ht="15.75" customHeight="1">
      <c r="A360" s="3"/>
      <c r="B360" s="3"/>
      <c r="C360" s="3"/>
      <c r="D360" s="3"/>
      <c r="E360" s="3"/>
      <c r="F360" s="3"/>
      <c r="L360" s="3"/>
      <c r="M360" s="3"/>
      <c r="N360" s="3"/>
      <c r="O360" s="3"/>
      <c r="V360" s="3"/>
      <c r="W360" s="3"/>
      <c r="X360" s="3"/>
    </row>
    <row r="361" ht="15.75" customHeight="1">
      <c r="A361" s="3"/>
      <c r="B361" s="3"/>
      <c r="C361" s="3"/>
      <c r="D361" s="3"/>
      <c r="E361" s="3"/>
      <c r="F361" s="3"/>
      <c r="L361" s="3"/>
      <c r="M361" s="3"/>
      <c r="N361" s="3"/>
      <c r="O361" s="3"/>
      <c r="V361" s="3"/>
      <c r="W361" s="3"/>
      <c r="X361" s="3"/>
    </row>
    <row r="362" ht="15.75" customHeight="1">
      <c r="A362" s="3"/>
      <c r="B362" s="3"/>
      <c r="C362" s="3"/>
      <c r="D362" s="3"/>
      <c r="E362" s="3"/>
      <c r="F362" s="3"/>
      <c r="L362" s="3"/>
      <c r="M362" s="3"/>
      <c r="N362" s="3"/>
      <c r="O362" s="3"/>
      <c r="V362" s="3"/>
      <c r="W362" s="3"/>
      <c r="X362" s="3"/>
    </row>
    <row r="363" ht="15.75" customHeight="1">
      <c r="A363" s="3"/>
      <c r="B363" s="3"/>
      <c r="C363" s="3"/>
      <c r="D363" s="3"/>
      <c r="E363" s="3"/>
      <c r="F363" s="3"/>
      <c r="L363" s="3"/>
      <c r="M363" s="3"/>
      <c r="N363" s="3"/>
      <c r="O363" s="3"/>
      <c r="V363" s="3"/>
      <c r="W363" s="3"/>
      <c r="X363" s="3"/>
    </row>
    <row r="364" ht="15.75" customHeight="1">
      <c r="A364" s="3"/>
      <c r="B364" s="3"/>
      <c r="C364" s="3"/>
      <c r="D364" s="3"/>
      <c r="E364" s="3"/>
      <c r="F364" s="3"/>
      <c r="L364" s="3"/>
      <c r="M364" s="3"/>
      <c r="N364" s="3"/>
      <c r="O364" s="3"/>
      <c r="V364" s="3"/>
      <c r="W364" s="3"/>
      <c r="X364" s="3"/>
    </row>
    <row r="365" ht="15.75" customHeight="1">
      <c r="A365" s="3"/>
      <c r="B365" s="3"/>
      <c r="C365" s="3"/>
      <c r="D365" s="3"/>
      <c r="E365" s="3"/>
      <c r="F365" s="3"/>
      <c r="L365" s="3"/>
      <c r="M365" s="3"/>
      <c r="N365" s="3"/>
      <c r="O365" s="3"/>
      <c r="V365" s="3"/>
      <c r="W365" s="3"/>
      <c r="X365" s="3"/>
    </row>
    <row r="366" ht="15.75" customHeight="1">
      <c r="A366" s="3"/>
      <c r="B366" s="3"/>
      <c r="C366" s="3"/>
      <c r="D366" s="3"/>
      <c r="E366" s="3"/>
      <c r="F366" s="3"/>
      <c r="L366" s="3"/>
      <c r="M366" s="3"/>
      <c r="N366" s="3"/>
      <c r="O366" s="3"/>
      <c r="V366" s="3"/>
      <c r="W366" s="3"/>
      <c r="X366" s="3"/>
    </row>
    <row r="367" ht="15.75" customHeight="1">
      <c r="A367" s="3"/>
      <c r="B367" s="3"/>
      <c r="C367" s="3"/>
      <c r="D367" s="3"/>
      <c r="E367" s="3"/>
      <c r="F367" s="3"/>
      <c r="L367" s="3"/>
      <c r="M367" s="3"/>
      <c r="N367" s="3"/>
      <c r="O367" s="3"/>
      <c r="V367" s="3"/>
      <c r="W367" s="3"/>
      <c r="X367" s="3"/>
    </row>
    <row r="368" ht="15.75" customHeight="1">
      <c r="A368" s="3"/>
      <c r="B368" s="3"/>
      <c r="C368" s="3"/>
      <c r="D368" s="3"/>
      <c r="E368" s="3"/>
      <c r="F368" s="3"/>
      <c r="L368" s="3"/>
      <c r="M368" s="3"/>
      <c r="N368" s="3"/>
      <c r="O368" s="3"/>
      <c r="V368" s="3"/>
      <c r="W368" s="3"/>
      <c r="X368" s="3"/>
    </row>
    <row r="369" ht="15.75" customHeight="1">
      <c r="A369" s="3"/>
      <c r="B369" s="3"/>
      <c r="C369" s="3"/>
      <c r="D369" s="3"/>
      <c r="E369" s="3"/>
      <c r="F369" s="3"/>
      <c r="L369" s="3"/>
      <c r="M369" s="3"/>
      <c r="N369" s="3"/>
      <c r="O369" s="3"/>
      <c r="V369" s="3"/>
      <c r="W369" s="3"/>
      <c r="X369" s="3"/>
    </row>
    <row r="370" ht="15.75" customHeight="1">
      <c r="A370" s="3"/>
      <c r="B370" s="3"/>
      <c r="C370" s="3"/>
      <c r="D370" s="3"/>
      <c r="E370" s="3"/>
      <c r="F370" s="3"/>
      <c r="L370" s="3"/>
      <c r="M370" s="3"/>
      <c r="N370" s="3"/>
      <c r="O370" s="3"/>
      <c r="V370" s="3"/>
      <c r="W370" s="3"/>
      <c r="X370" s="3"/>
    </row>
    <row r="371" ht="15.75" customHeight="1">
      <c r="A371" s="3"/>
      <c r="B371" s="3"/>
      <c r="C371" s="3"/>
      <c r="D371" s="3"/>
      <c r="E371" s="3"/>
      <c r="F371" s="3"/>
      <c r="L371" s="3"/>
      <c r="M371" s="3"/>
      <c r="N371" s="3"/>
      <c r="O371" s="3"/>
      <c r="V371" s="3"/>
      <c r="W371" s="3"/>
      <c r="X371" s="3"/>
    </row>
    <row r="372" ht="15.75" customHeight="1">
      <c r="A372" s="3"/>
      <c r="B372" s="3"/>
      <c r="C372" s="3"/>
      <c r="D372" s="3"/>
      <c r="E372" s="3"/>
      <c r="F372" s="3"/>
      <c r="L372" s="3"/>
      <c r="M372" s="3"/>
      <c r="N372" s="3"/>
      <c r="O372" s="3"/>
      <c r="V372" s="3"/>
      <c r="W372" s="3"/>
      <c r="X372" s="3"/>
    </row>
    <row r="373" ht="15.75" customHeight="1">
      <c r="A373" s="3"/>
      <c r="B373" s="3"/>
      <c r="C373" s="3"/>
      <c r="D373" s="3"/>
      <c r="E373" s="3"/>
      <c r="F373" s="3"/>
      <c r="L373" s="3"/>
      <c r="M373" s="3"/>
      <c r="N373" s="3"/>
      <c r="O373" s="3"/>
      <c r="V373" s="3"/>
      <c r="W373" s="3"/>
      <c r="X373" s="3"/>
    </row>
    <row r="374" ht="15.75" customHeight="1">
      <c r="A374" s="3"/>
      <c r="B374" s="3"/>
      <c r="C374" s="3"/>
      <c r="D374" s="3"/>
      <c r="E374" s="3"/>
      <c r="F374" s="3"/>
      <c r="L374" s="3"/>
      <c r="M374" s="3"/>
      <c r="N374" s="3"/>
      <c r="O374" s="3"/>
      <c r="V374" s="3"/>
      <c r="W374" s="3"/>
      <c r="X374" s="3"/>
    </row>
    <row r="375" ht="15.75" customHeight="1">
      <c r="A375" s="3"/>
      <c r="B375" s="3"/>
      <c r="C375" s="3"/>
      <c r="D375" s="3"/>
      <c r="E375" s="3"/>
      <c r="F375" s="3"/>
      <c r="L375" s="3"/>
      <c r="M375" s="3"/>
      <c r="N375" s="3"/>
      <c r="O375" s="3"/>
      <c r="V375" s="3"/>
      <c r="W375" s="3"/>
      <c r="X375" s="3"/>
    </row>
    <row r="376" ht="15.75" customHeight="1">
      <c r="A376" s="3"/>
      <c r="B376" s="3"/>
      <c r="C376" s="3"/>
      <c r="D376" s="3"/>
      <c r="E376" s="3"/>
      <c r="F376" s="3"/>
      <c r="L376" s="3"/>
      <c r="M376" s="3"/>
      <c r="N376" s="3"/>
      <c r="O376" s="3"/>
      <c r="V376" s="3"/>
      <c r="W376" s="3"/>
      <c r="X376" s="3"/>
    </row>
    <row r="377" ht="15.75" customHeight="1">
      <c r="A377" s="3"/>
      <c r="B377" s="3"/>
      <c r="C377" s="3"/>
      <c r="D377" s="3"/>
      <c r="E377" s="3"/>
      <c r="F377" s="3"/>
      <c r="L377" s="3"/>
      <c r="M377" s="3"/>
      <c r="N377" s="3"/>
      <c r="O377" s="3"/>
      <c r="V377" s="3"/>
      <c r="W377" s="3"/>
      <c r="X377" s="3"/>
    </row>
    <row r="378" ht="15.75" customHeight="1">
      <c r="A378" s="3"/>
      <c r="B378" s="3"/>
      <c r="C378" s="3"/>
      <c r="D378" s="3"/>
      <c r="E378" s="3"/>
      <c r="F378" s="3"/>
      <c r="L378" s="3"/>
      <c r="M378" s="3"/>
      <c r="N378" s="3"/>
      <c r="O378" s="3"/>
      <c r="V378" s="3"/>
      <c r="W378" s="3"/>
      <c r="X378" s="3"/>
    </row>
    <row r="379" ht="15.75" customHeight="1">
      <c r="A379" s="3"/>
      <c r="B379" s="3"/>
      <c r="C379" s="3"/>
      <c r="D379" s="3"/>
      <c r="E379" s="3"/>
      <c r="F379" s="3"/>
      <c r="L379" s="3"/>
      <c r="M379" s="3"/>
      <c r="N379" s="3"/>
      <c r="O379" s="3"/>
      <c r="V379" s="3"/>
      <c r="W379" s="3"/>
      <c r="X379" s="3"/>
    </row>
    <row r="380" ht="15.75" customHeight="1">
      <c r="A380" s="3"/>
      <c r="B380" s="3"/>
      <c r="C380" s="3"/>
      <c r="D380" s="3"/>
      <c r="E380" s="3"/>
      <c r="F380" s="3"/>
      <c r="L380" s="3"/>
      <c r="M380" s="3"/>
      <c r="N380" s="3"/>
      <c r="O380" s="3"/>
      <c r="V380" s="3"/>
      <c r="W380" s="3"/>
      <c r="X380" s="3"/>
    </row>
    <row r="381" ht="15.75" customHeight="1">
      <c r="A381" s="3"/>
      <c r="B381" s="3"/>
      <c r="C381" s="3"/>
      <c r="D381" s="3"/>
      <c r="E381" s="3"/>
      <c r="F381" s="3"/>
      <c r="L381" s="3"/>
      <c r="M381" s="3"/>
      <c r="N381" s="3"/>
      <c r="O381" s="3"/>
      <c r="V381" s="3"/>
      <c r="W381" s="3"/>
      <c r="X381" s="3"/>
    </row>
    <row r="382" ht="15.75" customHeight="1">
      <c r="A382" s="3"/>
      <c r="B382" s="3"/>
      <c r="C382" s="3"/>
      <c r="D382" s="3"/>
      <c r="E382" s="3"/>
      <c r="F382" s="3"/>
      <c r="L382" s="3"/>
      <c r="M382" s="3"/>
      <c r="N382" s="3"/>
      <c r="O382" s="3"/>
      <c r="V382" s="3"/>
      <c r="W382" s="3"/>
      <c r="X382" s="3"/>
    </row>
    <row r="383" ht="15.75" customHeight="1">
      <c r="A383" s="3"/>
      <c r="B383" s="3"/>
      <c r="C383" s="3"/>
      <c r="D383" s="3"/>
      <c r="E383" s="3"/>
      <c r="F383" s="3"/>
      <c r="L383" s="3"/>
      <c r="M383" s="3"/>
      <c r="N383" s="3"/>
      <c r="O383" s="3"/>
      <c r="V383" s="3"/>
      <c r="W383" s="3"/>
      <c r="X383" s="3"/>
    </row>
    <row r="384" ht="15.75" customHeight="1">
      <c r="A384" s="3"/>
      <c r="B384" s="3"/>
      <c r="C384" s="3"/>
      <c r="D384" s="3"/>
      <c r="E384" s="3"/>
      <c r="F384" s="3"/>
      <c r="L384" s="3"/>
      <c r="M384" s="3"/>
      <c r="N384" s="3"/>
      <c r="O384" s="3"/>
      <c r="V384" s="3"/>
      <c r="W384" s="3"/>
      <c r="X384" s="3"/>
    </row>
    <row r="385" ht="15.75" customHeight="1">
      <c r="A385" s="3"/>
      <c r="B385" s="3"/>
      <c r="C385" s="3"/>
      <c r="D385" s="3"/>
      <c r="E385" s="3"/>
      <c r="F385" s="3"/>
      <c r="L385" s="3"/>
      <c r="M385" s="3"/>
      <c r="N385" s="3"/>
      <c r="O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L386" s="3"/>
      <c r="M386" s="3"/>
      <c r="N386" s="3"/>
      <c r="O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L387" s="3"/>
      <c r="M387" s="3"/>
      <c r="N387" s="3"/>
      <c r="O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L388" s="3"/>
      <c r="M388" s="3"/>
      <c r="N388" s="3"/>
      <c r="O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L389" s="3"/>
      <c r="M389" s="3"/>
      <c r="N389" s="3"/>
      <c r="O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L390" s="3"/>
      <c r="M390" s="3"/>
      <c r="N390" s="3"/>
      <c r="O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L391" s="3"/>
      <c r="M391" s="3"/>
      <c r="N391" s="3"/>
      <c r="O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L392" s="3"/>
      <c r="M392" s="3"/>
      <c r="N392" s="3"/>
      <c r="O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L393" s="3"/>
      <c r="M393" s="3"/>
      <c r="N393" s="3"/>
      <c r="O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L394" s="3"/>
      <c r="M394" s="3"/>
      <c r="N394" s="3"/>
      <c r="O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L395" s="3"/>
      <c r="M395" s="3"/>
      <c r="N395" s="3"/>
      <c r="O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L396" s="3"/>
      <c r="M396" s="3"/>
      <c r="N396" s="3"/>
      <c r="O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L397" s="3"/>
      <c r="M397" s="3"/>
      <c r="N397" s="3"/>
      <c r="O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L398" s="3"/>
      <c r="M398" s="3"/>
      <c r="N398" s="3"/>
      <c r="O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L399" s="3"/>
      <c r="M399" s="3"/>
      <c r="N399" s="3"/>
      <c r="O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L400" s="3"/>
      <c r="M400" s="3"/>
      <c r="N400" s="3"/>
      <c r="O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L401" s="3"/>
      <c r="M401" s="3"/>
      <c r="N401" s="3"/>
      <c r="O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L402" s="3"/>
      <c r="M402" s="3"/>
      <c r="N402" s="3"/>
      <c r="O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L403" s="3"/>
      <c r="M403" s="3"/>
      <c r="N403" s="3"/>
      <c r="O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L404" s="3"/>
      <c r="M404" s="3"/>
      <c r="N404" s="3"/>
      <c r="O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L405" s="3"/>
      <c r="M405" s="3"/>
      <c r="N405" s="3"/>
      <c r="O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L406" s="3"/>
      <c r="M406" s="3"/>
      <c r="N406" s="3"/>
      <c r="O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L407" s="3"/>
      <c r="M407" s="3"/>
      <c r="N407" s="3"/>
      <c r="O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L408" s="3"/>
      <c r="M408" s="3"/>
      <c r="N408" s="3"/>
      <c r="O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L409" s="3"/>
      <c r="M409" s="3"/>
      <c r="N409" s="3"/>
      <c r="O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L410" s="3"/>
      <c r="M410" s="3"/>
      <c r="N410" s="3"/>
      <c r="O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L411" s="3"/>
      <c r="M411" s="3"/>
      <c r="N411" s="3"/>
      <c r="O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L412" s="3"/>
      <c r="M412" s="3"/>
      <c r="N412" s="3"/>
      <c r="O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L413" s="3"/>
      <c r="M413" s="3"/>
      <c r="N413" s="3"/>
      <c r="O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L414" s="3"/>
      <c r="M414" s="3"/>
      <c r="N414" s="3"/>
      <c r="O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L415" s="3"/>
      <c r="M415" s="3"/>
      <c r="N415" s="3"/>
      <c r="O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L416" s="3"/>
      <c r="M416" s="3"/>
      <c r="N416" s="3"/>
      <c r="O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L417" s="3"/>
      <c r="M417" s="3"/>
      <c r="N417" s="3"/>
      <c r="O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L418" s="3"/>
      <c r="M418" s="3"/>
      <c r="N418" s="3"/>
      <c r="O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L419" s="3"/>
      <c r="M419" s="3"/>
      <c r="N419" s="3"/>
      <c r="O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L420" s="3"/>
      <c r="M420" s="3"/>
      <c r="N420" s="3"/>
      <c r="O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L421" s="3"/>
      <c r="M421" s="3"/>
      <c r="N421" s="3"/>
      <c r="O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L422" s="3"/>
      <c r="M422" s="3"/>
      <c r="N422" s="3"/>
      <c r="O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L423" s="3"/>
      <c r="M423" s="3"/>
      <c r="N423" s="3"/>
      <c r="O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L424" s="3"/>
      <c r="M424" s="3"/>
      <c r="N424" s="3"/>
      <c r="O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L425" s="3"/>
      <c r="M425" s="3"/>
      <c r="N425" s="3"/>
      <c r="O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L426" s="3"/>
      <c r="M426" s="3"/>
      <c r="N426" s="3"/>
      <c r="O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L427" s="3"/>
      <c r="M427" s="3"/>
      <c r="N427" s="3"/>
      <c r="O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L428" s="3"/>
      <c r="M428" s="3"/>
      <c r="N428" s="3"/>
      <c r="O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L429" s="3"/>
      <c r="M429" s="3"/>
      <c r="N429" s="3"/>
      <c r="O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L430" s="3"/>
      <c r="M430" s="3"/>
      <c r="N430" s="3"/>
      <c r="O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L431" s="3"/>
      <c r="M431" s="3"/>
      <c r="N431" s="3"/>
      <c r="O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L432" s="3"/>
      <c r="M432" s="3"/>
      <c r="N432" s="3"/>
      <c r="O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L433" s="3"/>
      <c r="M433" s="3"/>
      <c r="N433" s="3"/>
      <c r="O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L434" s="3"/>
      <c r="M434" s="3"/>
      <c r="N434" s="3"/>
      <c r="O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L435" s="3"/>
      <c r="M435" s="3"/>
      <c r="N435" s="3"/>
      <c r="O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L436" s="3"/>
      <c r="M436" s="3"/>
      <c r="N436" s="3"/>
      <c r="O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L437" s="3"/>
      <c r="M437" s="3"/>
      <c r="N437" s="3"/>
      <c r="O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L438" s="3"/>
      <c r="M438" s="3"/>
      <c r="N438" s="3"/>
      <c r="O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L439" s="3"/>
      <c r="M439" s="3"/>
      <c r="N439" s="3"/>
      <c r="O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L440" s="3"/>
      <c r="M440" s="3"/>
      <c r="N440" s="3"/>
      <c r="O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L441" s="3"/>
      <c r="M441" s="3"/>
      <c r="N441" s="3"/>
      <c r="O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L442" s="3"/>
      <c r="M442" s="3"/>
      <c r="N442" s="3"/>
      <c r="O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L443" s="3"/>
      <c r="M443" s="3"/>
      <c r="N443" s="3"/>
      <c r="O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L444" s="3"/>
      <c r="M444" s="3"/>
      <c r="N444" s="3"/>
      <c r="O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L445" s="3"/>
      <c r="M445" s="3"/>
      <c r="N445" s="3"/>
      <c r="O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L446" s="3"/>
      <c r="M446" s="3"/>
      <c r="N446" s="3"/>
      <c r="O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L447" s="3"/>
      <c r="M447" s="3"/>
      <c r="N447" s="3"/>
      <c r="O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L448" s="3"/>
      <c r="M448" s="3"/>
      <c r="N448" s="3"/>
      <c r="O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L449" s="3"/>
      <c r="M449" s="3"/>
      <c r="N449" s="3"/>
      <c r="O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L450" s="3"/>
      <c r="M450" s="3"/>
      <c r="N450" s="3"/>
      <c r="O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L451" s="3"/>
      <c r="M451" s="3"/>
      <c r="N451" s="3"/>
      <c r="O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L452" s="3"/>
      <c r="M452" s="3"/>
      <c r="N452" s="3"/>
      <c r="O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L453" s="3"/>
      <c r="M453" s="3"/>
      <c r="N453" s="3"/>
      <c r="O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L454" s="3"/>
      <c r="M454" s="3"/>
      <c r="N454" s="3"/>
      <c r="O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L455" s="3"/>
      <c r="M455" s="3"/>
      <c r="N455" s="3"/>
      <c r="O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L456" s="3"/>
      <c r="M456" s="3"/>
      <c r="N456" s="3"/>
      <c r="O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L457" s="3"/>
      <c r="M457" s="3"/>
      <c r="N457" s="3"/>
      <c r="O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L458" s="3"/>
      <c r="M458" s="3"/>
      <c r="N458" s="3"/>
      <c r="O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L459" s="3"/>
      <c r="M459" s="3"/>
      <c r="N459" s="3"/>
      <c r="O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L460" s="3"/>
      <c r="M460" s="3"/>
      <c r="N460" s="3"/>
      <c r="O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L461" s="3"/>
      <c r="M461" s="3"/>
      <c r="N461" s="3"/>
      <c r="O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L462" s="3"/>
      <c r="M462" s="3"/>
      <c r="N462" s="3"/>
      <c r="O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L463" s="3"/>
      <c r="M463" s="3"/>
      <c r="N463" s="3"/>
      <c r="O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L464" s="3"/>
      <c r="M464" s="3"/>
      <c r="N464" s="3"/>
      <c r="O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L465" s="3"/>
      <c r="M465" s="3"/>
      <c r="N465" s="3"/>
      <c r="O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L466" s="3"/>
      <c r="M466" s="3"/>
      <c r="N466" s="3"/>
      <c r="O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L467" s="3"/>
      <c r="M467" s="3"/>
      <c r="N467" s="3"/>
      <c r="O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L468" s="3"/>
      <c r="M468" s="3"/>
      <c r="N468" s="3"/>
      <c r="O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L469" s="3"/>
      <c r="M469" s="3"/>
      <c r="N469" s="3"/>
      <c r="O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L470" s="3"/>
      <c r="M470" s="3"/>
      <c r="N470" s="3"/>
      <c r="O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L471" s="3"/>
      <c r="M471" s="3"/>
      <c r="N471" s="3"/>
      <c r="O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L472" s="3"/>
      <c r="M472" s="3"/>
      <c r="N472" s="3"/>
      <c r="O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L473" s="3"/>
      <c r="M473" s="3"/>
      <c r="N473" s="3"/>
      <c r="O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L474" s="3"/>
      <c r="M474" s="3"/>
      <c r="N474" s="3"/>
      <c r="O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L475" s="3"/>
      <c r="M475" s="3"/>
      <c r="N475" s="3"/>
      <c r="O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L476" s="3"/>
      <c r="M476" s="3"/>
      <c r="N476" s="3"/>
      <c r="O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L477" s="3"/>
      <c r="M477" s="3"/>
      <c r="N477" s="3"/>
      <c r="O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L478" s="3"/>
      <c r="M478" s="3"/>
      <c r="N478" s="3"/>
      <c r="O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L479" s="3"/>
      <c r="M479" s="3"/>
      <c r="N479" s="3"/>
      <c r="O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L480" s="3"/>
      <c r="M480" s="3"/>
      <c r="N480" s="3"/>
      <c r="O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L481" s="3"/>
      <c r="M481" s="3"/>
      <c r="N481" s="3"/>
      <c r="O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L482" s="3"/>
      <c r="M482" s="3"/>
      <c r="N482" s="3"/>
      <c r="O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L483" s="3"/>
      <c r="M483" s="3"/>
      <c r="N483" s="3"/>
      <c r="O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L484" s="3"/>
      <c r="M484" s="3"/>
      <c r="N484" s="3"/>
      <c r="O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L485" s="3"/>
      <c r="M485" s="3"/>
      <c r="N485" s="3"/>
      <c r="O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L486" s="3"/>
      <c r="M486" s="3"/>
      <c r="N486" s="3"/>
      <c r="O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L487" s="3"/>
      <c r="M487" s="3"/>
      <c r="N487" s="3"/>
      <c r="O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L488" s="3"/>
      <c r="M488" s="3"/>
      <c r="N488" s="3"/>
      <c r="O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L489" s="3"/>
      <c r="M489" s="3"/>
      <c r="N489" s="3"/>
      <c r="O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L490" s="3"/>
      <c r="M490" s="3"/>
      <c r="N490" s="3"/>
      <c r="O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L491" s="3"/>
      <c r="M491" s="3"/>
      <c r="N491" s="3"/>
      <c r="O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L492" s="3"/>
      <c r="M492" s="3"/>
      <c r="N492" s="3"/>
      <c r="O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L493" s="3"/>
      <c r="M493" s="3"/>
      <c r="N493" s="3"/>
      <c r="O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L494" s="3"/>
      <c r="M494" s="3"/>
      <c r="N494" s="3"/>
      <c r="O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L495" s="3"/>
      <c r="M495" s="3"/>
      <c r="N495" s="3"/>
      <c r="O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L496" s="3"/>
      <c r="M496" s="3"/>
      <c r="N496" s="3"/>
      <c r="O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L497" s="3"/>
      <c r="M497" s="3"/>
      <c r="N497" s="3"/>
      <c r="O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L498" s="3"/>
      <c r="M498" s="3"/>
      <c r="N498" s="3"/>
      <c r="O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L499" s="3"/>
      <c r="M499" s="3"/>
      <c r="N499" s="3"/>
      <c r="O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L500" s="3"/>
      <c r="M500" s="3"/>
      <c r="N500" s="3"/>
      <c r="O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L501" s="3"/>
      <c r="M501" s="3"/>
      <c r="N501" s="3"/>
      <c r="O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L502" s="3"/>
      <c r="M502" s="3"/>
      <c r="N502" s="3"/>
      <c r="O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L503" s="3"/>
      <c r="M503" s="3"/>
      <c r="N503" s="3"/>
      <c r="O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L504" s="3"/>
      <c r="M504" s="3"/>
      <c r="N504" s="3"/>
      <c r="O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L505" s="3"/>
      <c r="M505" s="3"/>
      <c r="N505" s="3"/>
      <c r="O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L506" s="3"/>
      <c r="M506" s="3"/>
      <c r="N506" s="3"/>
      <c r="O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L507" s="3"/>
      <c r="M507" s="3"/>
      <c r="N507" s="3"/>
      <c r="O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L508" s="3"/>
      <c r="M508" s="3"/>
      <c r="N508" s="3"/>
      <c r="O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L509" s="3"/>
      <c r="M509" s="3"/>
      <c r="N509" s="3"/>
      <c r="O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L510" s="3"/>
      <c r="M510" s="3"/>
      <c r="N510" s="3"/>
      <c r="O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L511" s="3"/>
      <c r="M511" s="3"/>
      <c r="N511" s="3"/>
      <c r="O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L512" s="3"/>
      <c r="M512" s="3"/>
      <c r="N512" s="3"/>
      <c r="O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L513" s="3"/>
      <c r="M513" s="3"/>
      <c r="N513" s="3"/>
      <c r="O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L514" s="3"/>
      <c r="M514" s="3"/>
      <c r="N514" s="3"/>
      <c r="O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L515" s="3"/>
      <c r="M515" s="3"/>
      <c r="N515" s="3"/>
      <c r="O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L516" s="3"/>
      <c r="M516" s="3"/>
      <c r="N516" s="3"/>
      <c r="O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L517" s="3"/>
      <c r="M517" s="3"/>
      <c r="N517" s="3"/>
      <c r="O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L518" s="3"/>
      <c r="M518" s="3"/>
      <c r="N518" s="3"/>
      <c r="O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L519" s="3"/>
      <c r="M519" s="3"/>
      <c r="N519" s="3"/>
      <c r="O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L520" s="3"/>
      <c r="M520" s="3"/>
      <c r="N520" s="3"/>
      <c r="O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L521" s="3"/>
      <c r="M521" s="3"/>
      <c r="N521" s="3"/>
      <c r="O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L522" s="3"/>
      <c r="M522" s="3"/>
      <c r="N522" s="3"/>
      <c r="O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L523" s="3"/>
      <c r="M523" s="3"/>
      <c r="N523" s="3"/>
      <c r="O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L524" s="3"/>
      <c r="M524" s="3"/>
      <c r="N524" s="3"/>
      <c r="O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L525" s="3"/>
      <c r="M525" s="3"/>
      <c r="N525" s="3"/>
      <c r="O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L526" s="3"/>
      <c r="M526" s="3"/>
      <c r="N526" s="3"/>
      <c r="O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L527" s="3"/>
      <c r="M527" s="3"/>
      <c r="N527" s="3"/>
      <c r="O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L528" s="3"/>
      <c r="M528" s="3"/>
      <c r="N528" s="3"/>
      <c r="O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L529" s="3"/>
      <c r="M529" s="3"/>
      <c r="N529" s="3"/>
      <c r="O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L530" s="3"/>
      <c r="M530" s="3"/>
      <c r="N530" s="3"/>
      <c r="O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L531" s="3"/>
      <c r="M531" s="3"/>
      <c r="N531" s="3"/>
      <c r="O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L532" s="3"/>
      <c r="M532" s="3"/>
      <c r="N532" s="3"/>
      <c r="O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L533" s="3"/>
      <c r="M533" s="3"/>
      <c r="N533" s="3"/>
      <c r="O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L534" s="3"/>
      <c r="M534" s="3"/>
      <c r="N534" s="3"/>
      <c r="O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L535" s="3"/>
      <c r="M535" s="3"/>
      <c r="N535" s="3"/>
      <c r="O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L536" s="3"/>
      <c r="M536" s="3"/>
      <c r="N536" s="3"/>
      <c r="O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L537" s="3"/>
      <c r="M537" s="3"/>
      <c r="N537" s="3"/>
      <c r="O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L538" s="3"/>
      <c r="M538" s="3"/>
      <c r="N538" s="3"/>
      <c r="O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L539" s="3"/>
      <c r="M539" s="3"/>
      <c r="N539" s="3"/>
      <c r="O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L540" s="3"/>
      <c r="M540" s="3"/>
      <c r="N540" s="3"/>
      <c r="O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L541" s="3"/>
      <c r="M541" s="3"/>
      <c r="N541" s="3"/>
      <c r="O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L542" s="3"/>
      <c r="M542" s="3"/>
      <c r="N542" s="3"/>
      <c r="O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L543" s="3"/>
      <c r="M543" s="3"/>
      <c r="N543" s="3"/>
      <c r="O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L544" s="3"/>
      <c r="M544" s="3"/>
      <c r="N544" s="3"/>
      <c r="O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L545" s="3"/>
      <c r="M545" s="3"/>
      <c r="N545" s="3"/>
      <c r="O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L546" s="3"/>
      <c r="M546" s="3"/>
      <c r="N546" s="3"/>
      <c r="O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L547" s="3"/>
      <c r="M547" s="3"/>
      <c r="N547" s="3"/>
      <c r="O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L548" s="3"/>
      <c r="M548" s="3"/>
      <c r="N548" s="3"/>
      <c r="O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L549" s="3"/>
      <c r="M549" s="3"/>
      <c r="N549" s="3"/>
      <c r="O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L550" s="3"/>
      <c r="M550" s="3"/>
      <c r="N550" s="3"/>
      <c r="O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L551" s="3"/>
      <c r="M551" s="3"/>
      <c r="N551" s="3"/>
      <c r="O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L552" s="3"/>
      <c r="M552" s="3"/>
      <c r="N552" s="3"/>
      <c r="O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L553" s="3"/>
      <c r="M553" s="3"/>
      <c r="N553" s="3"/>
      <c r="O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L554" s="3"/>
      <c r="M554" s="3"/>
      <c r="N554" s="3"/>
      <c r="O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L555" s="3"/>
      <c r="M555" s="3"/>
      <c r="N555" s="3"/>
      <c r="O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L556" s="3"/>
      <c r="M556" s="3"/>
      <c r="N556" s="3"/>
      <c r="O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L557" s="3"/>
      <c r="M557" s="3"/>
      <c r="N557" s="3"/>
      <c r="O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L558" s="3"/>
      <c r="M558" s="3"/>
      <c r="N558" s="3"/>
      <c r="O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L559" s="3"/>
      <c r="M559" s="3"/>
      <c r="N559" s="3"/>
      <c r="O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L560" s="3"/>
      <c r="M560" s="3"/>
      <c r="N560" s="3"/>
      <c r="O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L561" s="3"/>
      <c r="M561" s="3"/>
      <c r="N561" s="3"/>
      <c r="O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L562" s="3"/>
      <c r="M562" s="3"/>
      <c r="N562" s="3"/>
      <c r="O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L563" s="3"/>
      <c r="M563" s="3"/>
      <c r="N563" s="3"/>
      <c r="O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L564" s="3"/>
      <c r="M564" s="3"/>
      <c r="N564" s="3"/>
      <c r="O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L565" s="3"/>
      <c r="M565" s="3"/>
      <c r="N565" s="3"/>
      <c r="O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L566" s="3"/>
      <c r="M566" s="3"/>
      <c r="N566" s="3"/>
      <c r="O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L567" s="3"/>
      <c r="M567" s="3"/>
      <c r="N567" s="3"/>
      <c r="O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L568" s="3"/>
      <c r="M568" s="3"/>
      <c r="N568" s="3"/>
      <c r="O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L569" s="3"/>
      <c r="M569" s="3"/>
      <c r="N569" s="3"/>
      <c r="O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L570" s="3"/>
      <c r="M570" s="3"/>
      <c r="N570" s="3"/>
      <c r="O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L571" s="3"/>
      <c r="M571" s="3"/>
      <c r="N571" s="3"/>
      <c r="O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L572" s="3"/>
      <c r="M572" s="3"/>
      <c r="N572" s="3"/>
      <c r="O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L573" s="3"/>
      <c r="M573" s="3"/>
      <c r="N573" s="3"/>
      <c r="O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L574" s="3"/>
      <c r="M574" s="3"/>
      <c r="N574" s="3"/>
      <c r="O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L575" s="3"/>
      <c r="M575" s="3"/>
      <c r="N575" s="3"/>
      <c r="O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L576" s="3"/>
      <c r="M576" s="3"/>
      <c r="N576" s="3"/>
      <c r="O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L577" s="3"/>
      <c r="M577" s="3"/>
      <c r="N577" s="3"/>
      <c r="O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L578" s="3"/>
      <c r="M578" s="3"/>
      <c r="N578" s="3"/>
      <c r="O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L579" s="3"/>
      <c r="M579" s="3"/>
      <c r="N579" s="3"/>
      <c r="O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L580" s="3"/>
      <c r="M580" s="3"/>
      <c r="N580" s="3"/>
      <c r="O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L581" s="3"/>
      <c r="M581" s="3"/>
      <c r="N581" s="3"/>
      <c r="O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L582" s="3"/>
      <c r="M582" s="3"/>
      <c r="N582" s="3"/>
      <c r="O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L583" s="3"/>
      <c r="M583" s="3"/>
      <c r="N583" s="3"/>
      <c r="O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L584" s="3"/>
      <c r="M584" s="3"/>
      <c r="N584" s="3"/>
      <c r="O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L585" s="3"/>
      <c r="M585" s="3"/>
      <c r="N585" s="3"/>
      <c r="O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L586" s="3"/>
      <c r="M586" s="3"/>
      <c r="N586" s="3"/>
      <c r="O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L587" s="3"/>
      <c r="M587" s="3"/>
      <c r="N587" s="3"/>
      <c r="O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L588" s="3"/>
      <c r="M588" s="3"/>
      <c r="N588" s="3"/>
      <c r="O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L589" s="3"/>
      <c r="M589" s="3"/>
      <c r="N589" s="3"/>
      <c r="O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L590" s="3"/>
      <c r="M590" s="3"/>
      <c r="N590" s="3"/>
      <c r="O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L591" s="3"/>
      <c r="M591" s="3"/>
      <c r="N591" s="3"/>
      <c r="O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L592" s="3"/>
      <c r="M592" s="3"/>
      <c r="N592" s="3"/>
      <c r="O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L593" s="3"/>
      <c r="M593" s="3"/>
      <c r="N593" s="3"/>
      <c r="O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L594" s="3"/>
      <c r="M594" s="3"/>
      <c r="N594" s="3"/>
      <c r="O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L595" s="3"/>
      <c r="M595" s="3"/>
      <c r="N595" s="3"/>
      <c r="O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L596" s="3"/>
      <c r="M596" s="3"/>
      <c r="N596" s="3"/>
      <c r="O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L597" s="3"/>
      <c r="M597" s="3"/>
      <c r="N597" s="3"/>
      <c r="O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L598" s="3"/>
      <c r="M598" s="3"/>
      <c r="N598" s="3"/>
      <c r="O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L599" s="3"/>
      <c r="M599" s="3"/>
      <c r="N599" s="3"/>
      <c r="O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L600" s="3"/>
      <c r="M600" s="3"/>
      <c r="N600" s="3"/>
      <c r="O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L601" s="3"/>
      <c r="M601" s="3"/>
      <c r="N601" s="3"/>
      <c r="O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L602" s="3"/>
      <c r="M602" s="3"/>
      <c r="N602" s="3"/>
      <c r="O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L603" s="3"/>
      <c r="M603" s="3"/>
      <c r="N603" s="3"/>
      <c r="O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L604" s="3"/>
      <c r="M604" s="3"/>
      <c r="N604" s="3"/>
      <c r="O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L605" s="3"/>
      <c r="M605" s="3"/>
      <c r="N605" s="3"/>
      <c r="O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L606" s="3"/>
      <c r="M606" s="3"/>
      <c r="N606" s="3"/>
      <c r="O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L607" s="3"/>
      <c r="M607" s="3"/>
      <c r="N607" s="3"/>
      <c r="O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L608" s="3"/>
      <c r="M608" s="3"/>
      <c r="N608" s="3"/>
      <c r="O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L609" s="3"/>
      <c r="M609" s="3"/>
      <c r="N609" s="3"/>
      <c r="O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L610" s="3"/>
      <c r="M610" s="3"/>
      <c r="N610" s="3"/>
      <c r="O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L611" s="3"/>
      <c r="M611" s="3"/>
      <c r="N611" s="3"/>
      <c r="O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L612" s="3"/>
      <c r="M612" s="3"/>
      <c r="N612" s="3"/>
      <c r="O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L613" s="3"/>
      <c r="M613" s="3"/>
      <c r="N613" s="3"/>
      <c r="O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L614" s="3"/>
      <c r="M614" s="3"/>
      <c r="N614" s="3"/>
      <c r="O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L615" s="3"/>
      <c r="M615" s="3"/>
      <c r="N615" s="3"/>
      <c r="O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L616" s="3"/>
      <c r="M616" s="3"/>
      <c r="N616" s="3"/>
      <c r="O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L617" s="3"/>
      <c r="M617" s="3"/>
      <c r="N617" s="3"/>
      <c r="O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L618" s="3"/>
      <c r="M618" s="3"/>
      <c r="N618" s="3"/>
      <c r="O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L619" s="3"/>
      <c r="M619" s="3"/>
      <c r="N619" s="3"/>
      <c r="O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L620" s="3"/>
      <c r="M620" s="3"/>
      <c r="N620" s="3"/>
      <c r="O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L621" s="3"/>
      <c r="M621" s="3"/>
      <c r="N621" s="3"/>
      <c r="O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L622" s="3"/>
      <c r="M622" s="3"/>
      <c r="N622" s="3"/>
      <c r="O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L623" s="3"/>
      <c r="M623" s="3"/>
      <c r="N623" s="3"/>
      <c r="O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L624" s="3"/>
      <c r="M624" s="3"/>
      <c r="N624" s="3"/>
      <c r="O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L625" s="3"/>
      <c r="M625" s="3"/>
      <c r="N625" s="3"/>
      <c r="O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L626" s="3"/>
      <c r="M626" s="3"/>
      <c r="N626" s="3"/>
      <c r="O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L627" s="3"/>
      <c r="M627" s="3"/>
      <c r="N627" s="3"/>
      <c r="O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L628" s="3"/>
      <c r="M628" s="3"/>
      <c r="N628" s="3"/>
      <c r="O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L629" s="3"/>
      <c r="M629" s="3"/>
      <c r="N629" s="3"/>
      <c r="O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L630" s="3"/>
      <c r="M630" s="3"/>
      <c r="N630" s="3"/>
      <c r="O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L631" s="3"/>
      <c r="M631" s="3"/>
      <c r="N631" s="3"/>
      <c r="O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L632" s="3"/>
      <c r="M632" s="3"/>
      <c r="N632" s="3"/>
      <c r="O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L633" s="3"/>
      <c r="M633" s="3"/>
      <c r="N633" s="3"/>
      <c r="O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L634" s="3"/>
      <c r="M634" s="3"/>
      <c r="N634" s="3"/>
      <c r="O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L635" s="3"/>
      <c r="M635" s="3"/>
      <c r="N635" s="3"/>
      <c r="O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L636" s="3"/>
      <c r="M636" s="3"/>
      <c r="N636" s="3"/>
      <c r="O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L637" s="3"/>
      <c r="M637" s="3"/>
      <c r="N637" s="3"/>
      <c r="O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L638" s="3"/>
      <c r="M638" s="3"/>
      <c r="N638" s="3"/>
      <c r="O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L639" s="3"/>
      <c r="M639" s="3"/>
      <c r="N639" s="3"/>
      <c r="O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L640" s="3"/>
      <c r="M640" s="3"/>
      <c r="N640" s="3"/>
      <c r="O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L641" s="3"/>
      <c r="M641" s="3"/>
      <c r="N641" s="3"/>
      <c r="O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L642" s="3"/>
      <c r="M642" s="3"/>
      <c r="N642" s="3"/>
      <c r="O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L643" s="3"/>
      <c r="M643" s="3"/>
      <c r="N643" s="3"/>
      <c r="O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L644" s="3"/>
      <c r="M644" s="3"/>
      <c r="N644" s="3"/>
      <c r="O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L645" s="3"/>
      <c r="M645" s="3"/>
      <c r="N645" s="3"/>
      <c r="O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L646" s="3"/>
      <c r="M646" s="3"/>
      <c r="N646" s="3"/>
      <c r="O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L647" s="3"/>
      <c r="M647" s="3"/>
      <c r="N647" s="3"/>
      <c r="O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L648" s="3"/>
      <c r="M648" s="3"/>
      <c r="N648" s="3"/>
      <c r="O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L649" s="3"/>
      <c r="M649" s="3"/>
      <c r="N649" s="3"/>
      <c r="O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L650" s="3"/>
      <c r="M650" s="3"/>
      <c r="N650" s="3"/>
      <c r="O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L651" s="3"/>
      <c r="M651" s="3"/>
      <c r="N651" s="3"/>
      <c r="O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L652" s="3"/>
      <c r="M652" s="3"/>
      <c r="N652" s="3"/>
      <c r="O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L653" s="3"/>
      <c r="M653" s="3"/>
      <c r="N653" s="3"/>
      <c r="O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L654" s="3"/>
      <c r="M654" s="3"/>
      <c r="N654" s="3"/>
      <c r="O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L655" s="3"/>
      <c r="M655" s="3"/>
      <c r="N655" s="3"/>
      <c r="O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L656" s="3"/>
      <c r="M656" s="3"/>
      <c r="N656" s="3"/>
      <c r="O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L657" s="3"/>
      <c r="M657" s="3"/>
      <c r="N657" s="3"/>
      <c r="O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L658" s="3"/>
      <c r="M658" s="3"/>
      <c r="N658" s="3"/>
      <c r="O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L659" s="3"/>
      <c r="M659" s="3"/>
      <c r="N659" s="3"/>
      <c r="O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L660" s="3"/>
      <c r="M660" s="3"/>
      <c r="N660" s="3"/>
      <c r="O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L661" s="3"/>
      <c r="M661" s="3"/>
      <c r="N661" s="3"/>
      <c r="O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L662" s="3"/>
      <c r="M662" s="3"/>
      <c r="N662" s="3"/>
      <c r="O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L663" s="3"/>
      <c r="M663" s="3"/>
      <c r="N663" s="3"/>
      <c r="O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L664" s="3"/>
      <c r="M664" s="3"/>
      <c r="N664" s="3"/>
      <c r="O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L665" s="3"/>
      <c r="M665" s="3"/>
      <c r="N665" s="3"/>
      <c r="O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L666" s="3"/>
      <c r="M666" s="3"/>
      <c r="N666" s="3"/>
      <c r="O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L667" s="3"/>
      <c r="M667" s="3"/>
      <c r="N667" s="3"/>
      <c r="O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L668" s="3"/>
      <c r="M668" s="3"/>
      <c r="N668" s="3"/>
      <c r="O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L669" s="3"/>
      <c r="M669" s="3"/>
      <c r="N669" s="3"/>
      <c r="O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L670" s="3"/>
      <c r="M670" s="3"/>
      <c r="N670" s="3"/>
      <c r="O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L671" s="3"/>
      <c r="M671" s="3"/>
      <c r="N671" s="3"/>
      <c r="O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L672" s="3"/>
      <c r="M672" s="3"/>
      <c r="N672" s="3"/>
      <c r="O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L673" s="3"/>
      <c r="M673" s="3"/>
      <c r="N673" s="3"/>
      <c r="O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L674" s="3"/>
      <c r="M674" s="3"/>
      <c r="N674" s="3"/>
      <c r="O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L675" s="3"/>
      <c r="M675" s="3"/>
      <c r="N675" s="3"/>
      <c r="O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L676" s="3"/>
      <c r="M676" s="3"/>
      <c r="N676" s="3"/>
      <c r="O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L677" s="3"/>
      <c r="M677" s="3"/>
      <c r="N677" s="3"/>
      <c r="O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L678" s="3"/>
      <c r="M678" s="3"/>
      <c r="N678" s="3"/>
      <c r="O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L679" s="3"/>
      <c r="M679" s="3"/>
      <c r="N679" s="3"/>
      <c r="O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L680" s="3"/>
      <c r="M680" s="3"/>
      <c r="N680" s="3"/>
      <c r="O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L681" s="3"/>
      <c r="M681" s="3"/>
      <c r="N681" s="3"/>
      <c r="O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L682" s="3"/>
      <c r="M682" s="3"/>
      <c r="N682" s="3"/>
      <c r="O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L683" s="3"/>
      <c r="M683" s="3"/>
      <c r="N683" s="3"/>
      <c r="O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L684" s="3"/>
      <c r="M684" s="3"/>
      <c r="N684" s="3"/>
      <c r="O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L685" s="3"/>
      <c r="M685" s="3"/>
      <c r="N685" s="3"/>
      <c r="O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L686" s="3"/>
      <c r="M686" s="3"/>
      <c r="N686" s="3"/>
      <c r="O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L687" s="3"/>
      <c r="M687" s="3"/>
      <c r="N687" s="3"/>
      <c r="O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L688" s="3"/>
      <c r="M688" s="3"/>
      <c r="N688" s="3"/>
      <c r="O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L689" s="3"/>
      <c r="M689" s="3"/>
      <c r="N689" s="3"/>
      <c r="O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L690" s="3"/>
      <c r="M690" s="3"/>
      <c r="N690" s="3"/>
      <c r="O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L691" s="3"/>
      <c r="M691" s="3"/>
      <c r="N691" s="3"/>
      <c r="O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L692" s="3"/>
      <c r="M692" s="3"/>
      <c r="N692" s="3"/>
      <c r="O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L693" s="3"/>
      <c r="M693" s="3"/>
      <c r="N693" s="3"/>
      <c r="O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L694" s="3"/>
      <c r="M694" s="3"/>
      <c r="N694" s="3"/>
      <c r="O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L695" s="3"/>
      <c r="M695" s="3"/>
      <c r="N695" s="3"/>
      <c r="O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L696" s="3"/>
      <c r="M696" s="3"/>
      <c r="N696" s="3"/>
      <c r="O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L697" s="3"/>
      <c r="M697" s="3"/>
      <c r="N697" s="3"/>
      <c r="O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L698" s="3"/>
      <c r="M698" s="3"/>
      <c r="N698" s="3"/>
      <c r="O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L699" s="3"/>
      <c r="M699" s="3"/>
      <c r="N699" s="3"/>
      <c r="O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L700" s="3"/>
      <c r="M700" s="3"/>
      <c r="N700" s="3"/>
      <c r="O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L701" s="3"/>
      <c r="M701" s="3"/>
      <c r="N701" s="3"/>
      <c r="O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L702" s="3"/>
      <c r="M702" s="3"/>
      <c r="N702" s="3"/>
      <c r="O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L703" s="3"/>
      <c r="M703" s="3"/>
      <c r="N703" s="3"/>
      <c r="O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L704" s="3"/>
      <c r="M704" s="3"/>
      <c r="N704" s="3"/>
      <c r="O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L705" s="3"/>
      <c r="M705" s="3"/>
      <c r="N705" s="3"/>
      <c r="O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L706" s="3"/>
      <c r="M706" s="3"/>
      <c r="N706" s="3"/>
      <c r="O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L707" s="3"/>
      <c r="M707" s="3"/>
      <c r="N707" s="3"/>
      <c r="O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L708" s="3"/>
      <c r="M708" s="3"/>
      <c r="N708" s="3"/>
      <c r="O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L709" s="3"/>
      <c r="M709" s="3"/>
      <c r="N709" s="3"/>
      <c r="O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L710" s="3"/>
      <c r="M710" s="3"/>
      <c r="N710" s="3"/>
      <c r="O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L711" s="3"/>
      <c r="M711" s="3"/>
      <c r="N711" s="3"/>
      <c r="O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L712" s="3"/>
      <c r="M712" s="3"/>
      <c r="N712" s="3"/>
      <c r="O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L713" s="3"/>
      <c r="M713" s="3"/>
      <c r="N713" s="3"/>
      <c r="O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L714" s="3"/>
      <c r="M714" s="3"/>
      <c r="N714" s="3"/>
      <c r="O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L715" s="3"/>
      <c r="M715" s="3"/>
      <c r="N715" s="3"/>
      <c r="O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L716" s="3"/>
      <c r="M716" s="3"/>
      <c r="N716" s="3"/>
      <c r="O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L717" s="3"/>
      <c r="M717" s="3"/>
      <c r="N717" s="3"/>
      <c r="O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L718" s="3"/>
      <c r="M718" s="3"/>
      <c r="N718" s="3"/>
      <c r="O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L719" s="3"/>
      <c r="M719" s="3"/>
      <c r="N719" s="3"/>
      <c r="O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L720" s="3"/>
      <c r="M720" s="3"/>
      <c r="N720" s="3"/>
      <c r="O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L721" s="3"/>
      <c r="M721" s="3"/>
      <c r="N721" s="3"/>
      <c r="O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L722" s="3"/>
      <c r="M722" s="3"/>
      <c r="N722" s="3"/>
      <c r="O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L723" s="3"/>
      <c r="M723" s="3"/>
      <c r="N723" s="3"/>
      <c r="O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L724" s="3"/>
      <c r="M724" s="3"/>
      <c r="N724" s="3"/>
      <c r="O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L725" s="3"/>
      <c r="M725" s="3"/>
      <c r="N725" s="3"/>
      <c r="O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L726" s="3"/>
      <c r="M726" s="3"/>
      <c r="N726" s="3"/>
      <c r="O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L727" s="3"/>
      <c r="M727" s="3"/>
      <c r="N727" s="3"/>
      <c r="O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L728" s="3"/>
      <c r="M728" s="3"/>
      <c r="N728" s="3"/>
      <c r="O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L729" s="3"/>
      <c r="M729" s="3"/>
      <c r="N729" s="3"/>
      <c r="O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L730" s="3"/>
      <c r="M730" s="3"/>
      <c r="N730" s="3"/>
      <c r="O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L731" s="3"/>
      <c r="M731" s="3"/>
      <c r="N731" s="3"/>
      <c r="O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L732" s="3"/>
      <c r="M732" s="3"/>
      <c r="N732" s="3"/>
      <c r="O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L733" s="3"/>
      <c r="M733" s="3"/>
      <c r="N733" s="3"/>
      <c r="O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L734" s="3"/>
      <c r="M734" s="3"/>
      <c r="N734" s="3"/>
      <c r="O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L735" s="3"/>
      <c r="M735" s="3"/>
      <c r="N735" s="3"/>
      <c r="O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L736" s="3"/>
      <c r="M736" s="3"/>
      <c r="N736" s="3"/>
      <c r="O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L737" s="3"/>
      <c r="M737" s="3"/>
      <c r="N737" s="3"/>
      <c r="O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L738" s="3"/>
      <c r="M738" s="3"/>
      <c r="N738" s="3"/>
      <c r="O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L739" s="3"/>
      <c r="M739" s="3"/>
      <c r="N739" s="3"/>
      <c r="O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L740" s="3"/>
      <c r="M740" s="3"/>
      <c r="N740" s="3"/>
      <c r="O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L741" s="3"/>
      <c r="M741" s="3"/>
      <c r="N741" s="3"/>
      <c r="O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L742" s="3"/>
      <c r="M742" s="3"/>
      <c r="N742" s="3"/>
      <c r="O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L743" s="3"/>
      <c r="M743" s="3"/>
      <c r="N743" s="3"/>
      <c r="O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L744" s="3"/>
      <c r="M744" s="3"/>
      <c r="N744" s="3"/>
      <c r="O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L745" s="3"/>
      <c r="M745" s="3"/>
      <c r="N745" s="3"/>
      <c r="O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L746" s="3"/>
      <c r="M746" s="3"/>
      <c r="N746" s="3"/>
      <c r="O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L747" s="3"/>
      <c r="M747" s="3"/>
      <c r="N747" s="3"/>
      <c r="O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L748" s="3"/>
      <c r="M748" s="3"/>
      <c r="N748" s="3"/>
      <c r="O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L749" s="3"/>
      <c r="M749" s="3"/>
      <c r="N749" s="3"/>
      <c r="O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L750" s="3"/>
      <c r="M750" s="3"/>
      <c r="N750" s="3"/>
      <c r="O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L751" s="3"/>
      <c r="M751" s="3"/>
      <c r="N751" s="3"/>
      <c r="O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L752" s="3"/>
      <c r="M752" s="3"/>
      <c r="N752" s="3"/>
      <c r="O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L753" s="3"/>
      <c r="M753" s="3"/>
      <c r="N753" s="3"/>
      <c r="O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L754" s="3"/>
      <c r="M754" s="3"/>
      <c r="N754" s="3"/>
      <c r="O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L755" s="3"/>
      <c r="M755" s="3"/>
      <c r="N755" s="3"/>
      <c r="O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L756" s="3"/>
      <c r="M756" s="3"/>
      <c r="N756" s="3"/>
      <c r="O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L757" s="3"/>
      <c r="M757" s="3"/>
      <c r="N757" s="3"/>
      <c r="O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L758" s="3"/>
      <c r="M758" s="3"/>
      <c r="N758" s="3"/>
      <c r="O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L759" s="3"/>
      <c r="M759" s="3"/>
      <c r="N759" s="3"/>
      <c r="O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L760" s="3"/>
      <c r="M760" s="3"/>
      <c r="N760" s="3"/>
      <c r="O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L761" s="3"/>
      <c r="M761" s="3"/>
      <c r="N761" s="3"/>
      <c r="O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L762" s="3"/>
      <c r="M762" s="3"/>
      <c r="N762" s="3"/>
      <c r="O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L763" s="3"/>
      <c r="M763" s="3"/>
      <c r="N763" s="3"/>
      <c r="O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L764" s="3"/>
      <c r="M764" s="3"/>
      <c r="N764" s="3"/>
      <c r="O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L765" s="3"/>
      <c r="M765" s="3"/>
      <c r="N765" s="3"/>
      <c r="O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L766" s="3"/>
      <c r="M766" s="3"/>
      <c r="N766" s="3"/>
      <c r="O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L767" s="3"/>
      <c r="M767" s="3"/>
      <c r="N767" s="3"/>
      <c r="O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L768" s="3"/>
      <c r="M768" s="3"/>
      <c r="N768" s="3"/>
      <c r="O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L769" s="3"/>
      <c r="M769" s="3"/>
      <c r="N769" s="3"/>
      <c r="O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L770" s="3"/>
      <c r="M770" s="3"/>
      <c r="N770" s="3"/>
      <c r="O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L771" s="3"/>
      <c r="M771" s="3"/>
      <c r="N771" s="3"/>
      <c r="O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L772" s="3"/>
      <c r="M772" s="3"/>
      <c r="N772" s="3"/>
      <c r="O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L773" s="3"/>
      <c r="M773" s="3"/>
      <c r="N773" s="3"/>
      <c r="O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L774" s="3"/>
      <c r="M774" s="3"/>
      <c r="N774" s="3"/>
      <c r="O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L775" s="3"/>
      <c r="M775" s="3"/>
      <c r="N775" s="3"/>
      <c r="O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L776" s="3"/>
      <c r="M776" s="3"/>
      <c r="N776" s="3"/>
      <c r="O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L777" s="3"/>
      <c r="M777" s="3"/>
      <c r="N777" s="3"/>
      <c r="O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L778" s="3"/>
      <c r="M778" s="3"/>
      <c r="N778" s="3"/>
      <c r="O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L779" s="3"/>
      <c r="M779" s="3"/>
      <c r="N779" s="3"/>
      <c r="O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L780" s="3"/>
      <c r="M780" s="3"/>
      <c r="N780" s="3"/>
      <c r="O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L781" s="3"/>
      <c r="M781" s="3"/>
      <c r="N781" s="3"/>
      <c r="O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L782" s="3"/>
      <c r="M782" s="3"/>
      <c r="N782" s="3"/>
      <c r="O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L783" s="3"/>
      <c r="M783" s="3"/>
      <c r="N783" s="3"/>
      <c r="O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L784" s="3"/>
      <c r="M784" s="3"/>
      <c r="N784" s="3"/>
      <c r="O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L785" s="3"/>
      <c r="M785" s="3"/>
      <c r="N785" s="3"/>
      <c r="O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L786" s="3"/>
      <c r="M786" s="3"/>
      <c r="N786" s="3"/>
      <c r="O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L787" s="3"/>
      <c r="M787" s="3"/>
      <c r="N787" s="3"/>
      <c r="O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L788" s="3"/>
      <c r="M788" s="3"/>
      <c r="N788" s="3"/>
      <c r="O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L789" s="3"/>
      <c r="M789" s="3"/>
      <c r="N789" s="3"/>
      <c r="O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L790" s="3"/>
      <c r="M790" s="3"/>
      <c r="N790" s="3"/>
      <c r="O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L791" s="3"/>
      <c r="M791" s="3"/>
      <c r="N791" s="3"/>
      <c r="O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L792" s="3"/>
      <c r="M792" s="3"/>
      <c r="N792" s="3"/>
      <c r="O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L793" s="3"/>
      <c r="M793" s="3"/>
      <c r="N793" s="3"/>
      <c r="O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L794" s="3"/>
      <c r="M794" s="3"/>
      <c r="N794" s="3"/>
      <c r="O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L795" s="3"/>
      <c r="M795" s="3"/>
      <c r="N795" s="3"/>
      <c r="O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L796" s="3"/>
      <c r="M796" s="3"/>
      <c r="N796" s="3"/>
      <c r="O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L797" s="3"/>
      <c r="M797" s="3"/>
      <c r="N797" s="3"/>
      <c r="O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L798" s="3"/>
      <c r="M798" s="3"/>
      <c r="N798" s="3"/>
      <c r="O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L799" s="3"/>
      <c r="M799" s="3"/>
      <c r="N799" s="3"/>
      <c r="O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L800" s="3"/>
      <c r="M800" s="3"/>
      <c r="N800" s="3"/>
      <c r="O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L801" s="3"/>
      <c r="M801" s="3"/>
      <c r="N801" s="3"/>
      <c r="O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L802" s="3"/>
      <c r="M802" s="3"/>
      <c r="N802" s="3"/>
      <c r="O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L803" s="3"/>
      <c r="M803" s="3"/>
      <c r="N803" s="3"/>
      <c r="O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L804" s="3"/>
      <c r="M804" s="3"/>
      <c r="N804" s="3"/>
      <c r="O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L805" s="3"/>
      <c r="M805" s="3"/>
      <c r="N805" s="3"/>
      <c r="O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L806" s="3"/>
      <c r="M806" s="3"/>
      <c r="N806" s="3"/>
      <c r="O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L807" s="3"/>
      <c r="M807" s="3"/>
      <c r="N807" s="3"/>
      <c r="O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L808" s="3"/>
      <c r="M808" s="3"/>
      <c r="N808" s="3"/>
      <c r="O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L809" s="3"/>
      <c r="M809" s="3"/>
      <c r="N809" s="3"/>
      <c r="O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L810" s="3"/>
      <c r="M810" s="3"/>
      <c r="N810" s="3"/>
      <c r="O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L811" s="3"/>
      <c r="M811" s="3"/>
      <c r="N811" s="3"/>
      <c r="O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L812" s="3"/>
      <c r="M812" s="3"/>
      <c r="N812" s="3"/>
      <c r="O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L813" s="3"/>
      <c r="M813" s="3"/>
      <c r="N813" s="3"/>
      <c r="O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L814" s="3"/>
      <c r="M814" s="3"/>
      <c r="N814" s="3"/>
      <c r="O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L815" s="3"/>
      <c r="M815" s="3"/>
      <c r="N815" s="3"/>
      <c r="O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L816" s="3"/>
      <c r="M816" s="3"/>
      <c r="N816" s="3"/>
      <c r="O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L817" s="3"/>
      <c r="M817" s="3"/>
      <c r="N817" s="3"/>
      <c r="O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L818" s="3"/>
      <c r="M818" s="3"/>
      <c r="N818" s="3"/>
      <c r="O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L819" s="3"/>
      <c r="M819" s="3"/>
      <c r="N819" s="3"/>
      <c r="O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L820" s="3"/>
      <c r="M820" s="3"/>
      <c r="N820" s="3"/>
      <c r="O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L821" s="3"/>
      <c r="M821" s="3"/>
      <c r="N821" s="3"/>
      <c r="O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L822" s="3"/>
      <c r="M822" s="3"/>
      <c r="N822" s="3"/>
      <c r="O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L823" s="3"/>
      <c r="M823" s="3"/>
      <c r="N823" s="3"/>
      <c r="O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L824" s="3"/>
      <c r="M824" s="3"/>
      <c r="N824" s="3"/>
      <c r="O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L825" s="3"/>
      <c r="M825" s="3"/>
      <c r="N825" s="3"/>
      <c r="O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L826" s="3"/>
      <c r="M826" s="3"/>
      <c r="N826" s="3"/>
      <c r="O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L827" s="3"/>
      <c r="M827" s="3"/>
      <c r="N827" s="3"/>
      <c r="O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L828" s="3"/>
      <c r="M828" s="3"/>
      <c r="N828" s="3"/>
      <c r="O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L829" s="3"/>
      <c r="M829" s="3"/>
      <c r="N829" s="3"/>
      <c r="O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L830" s="3"/>
      <c r="M830" s="3"/>
      <c r="N830" s="3"/>
      <c r="O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L831" s="3"/>
      <c r="M831" s="3"/>
      <c r="N831" s="3"/>
      <c r="O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L832" s="3"/>
      <c r="M832" s="3"/>
      <c r="N832" s="3"/>
      <c r="O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L833" s="3"/>
      <c r="M833" s="3"/>
      <c r="N833" s="3"/>
      <c r="O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L834" s="3"/>
      <c r="M834" s="3"/>
      <c r="N834" s="3"/>
      <c r="O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L835" s="3"/>
      <c r="M835" s="3"/>
      <c r="N835" s="3"/>
      <c r="O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L836" s="3"/>
      <c r="M836" s="3"/>
      <c r="N836" s="3"/>
      <c r="O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L837" s="3"/>
      <c r="M837" s="3"/>
      <c r="N837" s="3"/>
      <c r="O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L838" s="3"/>
      <c r="M838" s="3"/>
      <c r="N838" s="3"/>
      <c r="O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L839" s="3"/>
      <c r="M839" s="3"/>
      <c r="N839" s="3"/>
      <c r="O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L840" s="3"/>
      <c r="M840" s="3"/>
      <c r="N840" s="3"/>
      <c r="O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L841" s="3"/>
      <c r="M841" s="3"/>
      <c r="N841" s="3"/>
      <c r="O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L842" s="3"/>
      <c r="M842" s="3"/>
      <c r="N842" s="3"/>
      <c r="O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L843" s="3"/>
      <c r="M843" s="3"/>
      <c r="N843" s="3"/>
      <c r="O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L844" s="3"/>
      <c r="M844" s="3"/>
      <c r="N844" s="3"/>
      <c r="O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L845" s="3"/>
      <c r="M845" s="3"/>
      <c r="N845" s="3"/>
      <c r="O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L846" s="3"/>
      <c r="M846" s="3"/>
      <c r="N846" s="3"/>
      <c r="O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L847" s="3"/>
      <c r="M847" s="3"/>
      <c r="N847" s="3"/>
      <c r="O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L848" s="3"/>
      <c r="M848" s="3"/>
      <c r="N848" s="3"/>
      <c r="O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L849" s="3"/>
      <c r="M849" s="3"/>
      <c r="N849" s="3"/>
      <c r="O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L850" s="3"/>
      <c r="M850" s="3"/>
      <c r="N850" s="3"/>
      <c r="O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L851" s="3"/>
      <c r="M851" s="3"/>
      <c r="N851" s="3"/>
      <c r="O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L852" s="3"/>
      <c r="M852" s="3"/>
      <c r="N852" s="3"/>
      <c r="O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L853" s="3"/>
      <c r="M853" s="3"/>
      <c r="N853" s="3"/>
      <c r="O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L854" s="3"/>
      <c r="M854" s="3"/>
      <c r="N854" s="3"/>
      <c r="O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L855" s="3"/>
      <c r="M855" s="3"/>
      <c r="N855" s="3"/>
      <c r="O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L856" s="3"/>
      <c r="M856" s="3"/>
      <c r="N856" s="3"/>
      <c r="O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L857" s="3"/>
      <c r="M857" s="3"/>
      <c r="N857" s="3"/>
      <c r="O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L858" s="3"/>
      <c r="M858" s="3"/>
      <c r="N858" s="3"/>
      <c r="O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L859" s="3"/>
      <c r="M859" s="3"/>
      <c r="N859" s="3"/>
      <c r="O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L860" s="3"/>
      <c r="M860" s="3"/>
      <c r="N860" s="3"/>
      <c r="O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L861" s="3"/>
      <c r="M861" s="3"/>
      <c r="N861" s="3"/>
      <c r="O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L862" s="3"/>
      <c r="M862" s="3"/>
      <c r="N862" s="3"/>
      <c r="O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L863" s="3"/>
      <c r="M863" s="3"/>
      <c r="N863" s="3"/>
      <c r="O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L864" s="3"/>
      <c r="M864" s="3"/>
      <c r="N864" s="3"/>
      <c r="O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L865" s="3"/>
      <c r="M865" s="3"/>
      <c r="N865" s="3"/>
      <c r="O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L866" s="3"/>
      <c r="M866" s="3"/>
      <c r="N866" s="3"/>
      <c r="O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L867" s="3"/>
      <c r="M867" s="3"/>
      <c r="N867" s="3"/>
      <c r="O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L868" s="3"/>
      <c r="M868" s="3"/>
      <c r="N868" s="3"/>
      <c r="O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L869" s="3"/>
      <c r="M869" s="3"/>
      <c r="N869" s="3"/>
      <c r="O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L870" s="3"/>
      <c r="M870" s="3"/>
      <c r="N870" s="3"/>
      <c r="O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L871" s="3"/>
      <c r="M871" s="3"/>
      <c r="N871" s="3"/>
      <c r="O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L872" s="3"/>
      <c r="M872" s="3"/>
      <c r="N872" s="3"/>
      <c r="O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L873" s="3"/>
      <c r="M873" s="3"/>
      <c r="N873" s="3"/>
      <c r="O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L874" s="3"/>
      <c r="M874" s="3"/>
      <c r="N874" s="3"/>
      <c r="O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L875" s="3"/>
      <c r="M875" s="3"/>
      <c r="N875" s="3"/>
      <c r="O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L876" s="3"/>
      <c r="M876" s="3"/>
      <c r="N876" s="3"/>
      <c r="O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L877" s="3"/>
      <c r="M877" s="3"/>
      <c r="N877" s="3"/>
      <c r="O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L878" s="3"/>
      <c r="M878" s="3"/>
      <c r="N878" s="3"/>
      <c r="O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L879" s="3"/>
      <c r="M879" s="3"/>
      <c r="N879" s="3"/>
      <c r="O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L880" s="3"/>
      <c r="M880" s="3"/>
      <c r="N880" s="3"/>
      <c r="O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L881" s="3"/>
      <c r="M881" s="3"/>
      <c r="N881" s="3"/>
      <c r="O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L882" s="3"/>
      <c r="M882" s="3"/>
      <c r="N882" s="3"/>
      <c r="O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L883" s="3"/>
      <c r="M883" s="3"/>
      <c r="N883" s="3"/>
      <c r="O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L884" s="3"/>
      <c r="M884" s="3"/>
      <c r="N884" s="3"/>
      <c r="O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L885" s="3"/>
      <c r="M885" s="3"/>
      <c r="N885" s="3"/>
      <c r="O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L886" s="3"/>
      <c r="M886" s="3"/>
      <c r="N886" s="3"/>
      <c r="O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L887" s="3"/>
      <c r="M887" s="3"/>
      <c r="N887" s="3"/>
      <c r="O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L888" s="3"/>
      <c r="M888" s="3"/>
      <c r="N888" s="3"/>
      <c r="O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L889" s="3"/>
      <c r="M889" s="3"/>
      <c r="N889" s="3"/>
      <c r="O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L890" s="3"/>
      <c r="M890" s="3"/>
      <c r="N890" s="3"/>
      <c r="O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L891" s="3"/>
      <c r="M891" s="3"/>
      <c r="N891" s="3"/>
      <c r="O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L892" s="3"/>
      <c r="M892" s="3"/>
      <c r="N892" s="3"/>
      <c r="O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L893" s="3"/>
      <c r="M893" s="3"/>
      <c r="N893" s="3"/>
      <c r="O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L894" s="3"/>
      <c r="M894" s="3"/>
      <c r="N894" s="3"/>
      <c r="O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L895" s="3"/>
      <c r="M895" s="3"/>
      <c r="N895" s="3"/>
      <c r="O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L896" s="3"/>
      <c r="M896" s="3"/>
      <c r="N896" s="3"/>
      <c r="O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L897" s="3"/>
      <c r="M897" s="3"/>
      <c r="N897" s="3"/>
      <c r="O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L898" s="3"/>
      <c r="M898" s="3"/>
      <c r="N898" s="3"/>
      <c r="O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L899" s="3"/>
      <c r="M899" s="3"/>
      <c r="N899" s="3"/>
      <c r="O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L900" s="3"/>
      <c r="M900" s="3"/>
      <c r="N900" s="3"/>
      <c r="O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L901" s="3"/>
      <c r="M901" s="3"/>
      <c r="N901" s="3"/>
      <c r="O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L902" s="3"/>
      <c r="M902" s="3"/>
      <c r="N902" s="3"/>
      <c r="O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L903" s="3"/>
      <c r="M903" s="3"/>
      <c r="N903" s="3"/>
      <c r="O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L904" s="3"/>
      <c r="M904" s="3"/>
      <c r="N904" s="3"/>
      <c r="O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L905" s="3"/>
      <c r="M905" s="3"/>
      <c r="N905" s="3"/>
      <c r="O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L906" s="3"/>
      <c r="M906" s="3"/>
      <c r="N906" s="3"/>
      <c r="O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L907" s="3"/>
      <c r="M907" s="3"/>
      <c r="N907" s="3"/>
      <c r="O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L908" s="3"/>
      <c r="M908" s="3"/>
      <c r="N908" s="3"/>
      <c r="O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L909" s="3"/>
      <c r="M909" s="3"/>
      <c r="N909" s="3"/>
      <c r="O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L910" s="3"/>
      <c r="M910" s="3"/>
      <c r="N910" s="3"/>
      <c r="O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L911" s="3"/>
      <c r="M911" s="3"/>
      <c r="N911" s="3"/>
      <c r="O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L912" s="3"/>
      <c r="M912" s="3"/>
      <c r="N912" s="3"/>
      <c r="O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L913" s="3"/>
      <c r="M913" s="3"/>
      <c r="N913" s="3"/>
      <c r="O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L914" s="3"/>
      <c r="M914" s="3"/>
      <c r="N914" s="3"/>
      <c r="O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L915" s="3"/>
      <c r="M915" s="3"/>
      <c r="N915" s="3"/>
      <c r="O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L916" s="3"/>
      <c r="M916" s="3"/>
      <c r="N916" s="3"/>
      <c r="O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L917" s="3"/>
      <c r="M917" s="3"/>
      <c r="N917" s="3"/>
      <c r="O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L918" s="3"/>
      <c r="M918" s="3"/>
      <c r="N918" s="3"/>
      <c r="O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L919" s="3"/>
      <c r="M919" s="3"/>
      <c r="N919" s="3"/>
      <c r="O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L920" s="3"/>
      <c r="M920" s="3"/>
      <c r="N920" s="3"/>
      <c r="O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L921" s="3"/>
      <c r="M921" s="3"/>
      <c r="N921" s="3"/>
      <c r="O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L922" s="3"/>
      <c r="M922" s="3"/>
      <c r="N922" s="3"/>
      <c r="O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L923" s="3"/>
      <c r="M923" s="3"/>
      <c r="N923" s="3"/>
      <c r="O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L924" s="3"/>
      <c r="M924" s="3"/>
      <c r="N924" s="3"/>
      <c r="O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L925" s="3"/>
      <c r="M925" s="3"/>
      <c r="N925" s="3"/>
      <c r="O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L926" s="3"/>
      <c r="M926" s="3"/>
      <c r="N926" s="3"/>
      <c r="O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L927" s="3"/>
      <c r="M927" s="3"/>
      <c r="N927" s="3"/>
      <c r="O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L928" s="3"/>
      <c r="M928" s="3"/>
      <c r="N928" s="3"/>
      <c r="O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L929" s="3"/>
      <c r="M929" s="3"/>
      <c r="N929" s="3"/>
      <c r="O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L930" s="3"/>
      <c r="M930" s="3"/>
      <c r="N930" s="3"/>
      <c r="O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L931" s="3"/>
      <c r="M931" s="3"/>
      <c r="N931" s="3"/>
      <c r="O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L932" s="3"/>
      <c r="M932" s="3"/>
      <c r="N932" s="3"/>
      <c r="O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L933" s="3"/>
      <c r="M933" s="3"/>
      <c r="N933" s="3"/>
      <c r="O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L934" s="3"/>
      <c r="M934" s="3"/>
      <c r="N934" s="3"/>
      <c r="O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L935" s="3"/>
      <c r="M935" s="3"/>
      <c r="N935" s="3"/>
      <c r="O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L936" s="3"/>
      <c r="M936" s="3"/>
      <c r="N936" s="3"/>
      <c r="O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L937" s="3"/>
      <c r="M937" s="3"/>
      <c r="N937" s="3"/>
      <c r="O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L938" s="3"/>
      <c r="M938" s="3"/>
      <c r="N938" s="3"/>
      <c r="O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L939" s="3"/>
      <c r="M939" s="3"/>
      <c r="N939" s="3"/>
      <c r="O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L940" s="3"/>
      <c r="M940" s="3"/>
      <c r="N940" s="3"/>
      <c r="O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L941" s="3"/>
      <c r="M941" s="3"/>
      <c r="N941" s="3"/>
      <c r="O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L942" s="3"/>
      <c r="M942" s="3"/>
      <c r="N942" s="3"/>
      <c r="O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L943" s="3"/>
      <c r="M943" s="3"/>
      <c r="N943" s="3"/>
      <c r="O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L944" s="3"/>
      <c r="M944" s="3"/>
      <c r="N944" s="3"/>
      <c r="O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L945" s="3"/>
      <c r="M945" s="3"/>
      <c r="N945" s="3"/>
      <c r="O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L946" s="3"/>
      <c r="M946" s="3"/>
      <c r="N946" s="3"/>
      <c r="O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L947" s="3"/>
      <c r="M947" s="3"/>
      <c r="N947" s="3"/>
      <c r="O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L948" s="3"/>
      <c r="M948" s="3"/>
      <c r="N948" s="3"/>
      <c r="O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L949" s="3"/>
      <c r="M949" s="3"/>
      <c r="N949" s="3"/>
      <c r="O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L950" s="3"/>
      <c r="M950" s="3"/>
      <c r="N950" s="3"/>
      <c r="O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L951" s="3"/>
      <c r="M951" s="3"/>
      <c r="N951" s="3"/>
      <c r="O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L952" s="3"/>
      <c r="M952" s="3"/>
      <c r="N952" s="3"/>
      <c r="O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L953" s="3"/>
      <c r="M953" s="3"/>
      <c r="N953" s="3"/>
      <c r="O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L954" s="3"/>
      <c r="M954" s="3"/>
      <c r="N954" s="3"/>
      <c r="O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L955" s="3"/>
      <c r="M955" s="3"/>
      <c r="N955" s="3"/>
      <c r="O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L956" s="3"/>
      <c r="M956" s="3"/>
      <c r="N956" s="3"/>
      <c r="O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L957" s="3"/>
      <c r="M957" s="3"/>
      <c r="N957" s="3"/>
      <c r="O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L958" s="3"/>
      <c r="M958" s="3"/>
      <c r="N958" s="3"/>
      <c r="O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L959" s="3"/>
      <c r="M959" s="3"/>
      <c r="N959" s="3"/>
      <c r="O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L960" s="3"/>
      <c r="M960" s="3"/>
      <c r="N960" s="3"/>
      <c r="O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L961" s="3"/>
      <c r="M961" s="3"/>
      <c r="N961" s="3"/>
      <c r="O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L962" s="3"/>
      <c r="M962" s="3"/>
      <c r="N962" s="3"/>
      <c r="O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L963" s="3"/>
      <c r="M963" s="3"/>
      <c r="N963" s="3"/>
      <c r="O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L964" s="3"/>
      <c r="M964" s="3"/>
      <c r="N964" s="3"/>
      <c r="O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L965" s="3"/>
      <c r="M965" s="3"/>
      <c r="N965" s="3"/>
      <c r="O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L966" s="3"/>
      <c r="M966" s="3"/>
      <c r="N966" s="3"/>
      <c r="O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L967" s="3"/>
      <c r="M967" s="3"/>
      <c r="N967" s="3"/>
      <c r="O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L968" s="3"/>
      <c r="M968" s="3"/>
      <c r="N968" s="3"/>
      <c r="O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L969" s="3"/>
      <c r="M969" s="3"/>
      <c r="N969" s="3"/>
      <c r="O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L970" s="3"/>
      <c r="M970" s="3"/>
      <c r="N970" s="3"/>
      <c r="O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L971" s="3"/>
      <c r="M971" s="3"/>
      <c r="N971" s="3"/>
      <c r="O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L972" s="3"/>
      <c r="M972" s="3"/>
      <c r="N972" s="3"/>
      <c r="O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L973" s="3"/>
      <c r="M973" s="3"/>
      <c r="N973" s="3"/>
      <c r="O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L974" s="3"/>
      <c r="M974" s="3"/>
      <c r="N974" s="3"/>
      <c r="O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L975" s="3"/>
      <c r="M975" s="3"/>
      <c r="N975" s="3"/>
      <c r="O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L976" s="3"/>
      <c r="M976" s="3"/>
      <c r="N976" s="3"/>
      <c r="O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L977" s="3"/>
      <c r="M977" s="3"/>
      <c r="N977" s="3"/>
      <c r="O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L978" s="3"/>
      <c r="M978" s="3"/>
      <c r="N978" s="3"/>
      <c r="O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L979" s="3"/>
      <c r="M979" s="3"/>
      <c r="N979" s="3"/>
      <c r="O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L980" s="3"/>
      <c r="M980" s="3"/>
      <c r="N980" s="3"/>
      <c r="O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L981" s="3"/>
      <c r="M981" s="3"/>
      <c r="N981" s="3"/>
      <c r="O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L982" s="3"/>
      <c r="M982" s="3"/>
      <c r="N982" s="3"/>
      <c r="O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L983" s="3"/>
      <c r="M983" s="3"/>
      <c r="N983" s="3"/>
      <c r="O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L984" s="3"/>
      <c r="M984" s="3"/>
      <c r="N984" s="3"/>
      <c r="O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L985" s="3"/>
      <c r="M985" s="3"/>
      <c r="N985" s="3"/>
      <c r="O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L986" s="3"/>
      <c r="M986" s="3"/>
      <c r="N986" s="3"/>
      <c r="O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L987" s="3"/>
      <c r="M987" s="3"/>
      <c r="N987" s="3"/>
      <c r="O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L988" s="3"/>
      <c r="M988" s="3"/>
      <c r="N988" s="3"/>
      <c r="O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L989" s="3"/>
      <c r="M989" s="3"/>
      <c r="N989" s="3"/>
      <c r="O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L990" s="3"/>
      <c r="M990" s="3"/>
      <c r="N990" s="3"/>
      <c r="O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L991" s="3"/>
      <c r="M991" s="3"/>
      <c r="N991" s="3"/>
      <c r="O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L992" s="3"/>
      <c r="M992" s="3"/>
      <c r="N992" s="3"/>
      <c r="O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L993" s="3"/>
      <c r="M993" s="3"/>
      <c r="N993" s="3"/>
      <c r="O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L994" s="3"/>
      <c r="M994" s="3"/>
      <c r="N994" s="3"/>
      <c r="O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L995" s="3"/>
      <c r="M995" s="3"/>
      <c r="N995" s="3"/>
      <c r="O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L996" s="3"/>
      <c r="M996" s="3"/>
      <c r="N996" s="3"/>
      <c r="O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L997" s="3"/>
      <c r="M997" s="3"/>
      <c r="N997" s="3"/>
      <c r="O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L998" s="3"/>
      <c r="M998" s="3"/>
      <c r="N998" s="3"/>
      <c r="O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L999" s="3"/>
      <c r="M999" s="3"/>
      <c r="N999" s="3"/>
      <c r="O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L1000" s="3"/>
      <c r="M1000" s="3"/>
      <c r="N1000" s="3"/>
      <c r="O1000" s="3"/>
      <c r="V1000" s="3"/>
      <c r="W1000" s="3"/>
      <c r="X1000" s="3"/>
    </row>
  </sheetData>
  <mergeCells count="9">
    <mergeCell ref="F43:I43"/>
    <mergeCell ref="F50:I50"/>
    <mergeCell ref="F1:I1"/>
    <mergeCell ref="L1:O1"/>
    <mergeCell ref="F8:I8"/>
    <mergeCell ref="F15:I15"/>
    <mergeCell ref="F22:I22"/>
    <mergeCell ref="F29:I29"/>
    <mergeCell ref="F36:I36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2025-10-15T23:27:34Z</dcterms:created>
  <dc:creator>openpyxl</dc:creator>
</cp:coreProperties>
</file>