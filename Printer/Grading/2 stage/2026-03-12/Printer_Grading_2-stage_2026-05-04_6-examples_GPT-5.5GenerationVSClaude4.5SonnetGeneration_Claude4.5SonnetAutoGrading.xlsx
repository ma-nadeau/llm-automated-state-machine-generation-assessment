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Printer/Grading/2 stage/2026-03-12/"/>
    </mc:Choice>
  </mc:AlternateContent>
  <xr:revisionPtr revIDLastSave="0" documentId="8_{96019539-FF28-724F-9906-4ED2EBB8432D}" xr6:coauthVersionLast="47" xr6:coauthVersionMax="47" xr10:uidLastSave="{00000000-0000-0000-0000-000000000000}"/>
  <bookViews>
    <workbookView xWindow="20840" yWindow="-18760" windowWidth="30240" windowHeight="17300" activeTab="3" xr2:uid="{00000000-000D-0000-FFFF-FFFF00000000}"/>
  </bookViews>
  <sheets>
    <sheet name="printer" sheetId="1" r:id="rId1"/>
    <sheet name="GPT-5 Generation" sheetId="2" r:id="rId2"/>
    <sheet name="Claude Sonnet 4.5 Gen" sheetId="3" r:id="rId3"/>
    <sheet name="Metrics" sheetId="4" r:id="rId4"/>
    <sheet name="Inter-rater" sheetId="5" r:id="rId5"/>
    <sheet name="Weighted Cohens Kappa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" i="6" l="1"/>
  <c r="N54" i="6"/>
  <c r="M54" i="6"/>
  <c r="O53" i="6"/>
  <c r="N53" i="6"/>
  <c r="M53" i="6"/>
  <c r="O52" i="6"/>
  <c r="N52" i="6"/>
  <c r="M52" i="6"/>
  <c r="V51" i="6"/>
  <c r="O47" i="6"/>
  <c r="N47" i="6"/>
  <c r="M47" i="6"/>
  <c r="O46" i="6"/>
  <c r="N46" i="6"/>
  <c r="M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G10" i="6"/>
  <c r="D10" i="6"/>
  <c r="C10" i="6"/>
  <c r="B10" i="6"/>
  <c r="A10" i="6"/>
  <c r="V9" i="6"/>
  <c r="D9" i="6"/>
  <c r="C9" i="6"/>
  <c r="B9" i="6"/>
  <c r="A9" i="6"/>
  <c r="H54" i="6" s="1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I11" i="6" s="1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I53" i="6" s="1"/>
  <c r="V2" i="6"/>
  <c r="D2" i="6"/>
  <c r="C2" i="6"/>
  <c r="G4" i="6" s="1"/>
  <c r="B2" i="6"/>
  <c r="A2" i="6"/>
  <c r="I47" i="6" s="1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G38" i="5" s="1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G20" i="4"/>
  <c r="E20" i="4"/>
  <c r="D20" i="4"/>
  <c r="C20" i="4"/>
  <c r="B20" i="4"/>
  <c r="E19" i="4"/>
  <c r="D19" i="4"/>
  <c r="C19" i="4"/>
  <c r="C21" i="4" s="1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G15" i="4" s="1"/>
  <c r="E14" i="4"/>
  <c r="D14" i="4"/>
  <c r="C14" i="4"/>
  <c r="B14" i="4"/>
  <c r="E9" i="4"/>
  <c r="D9" i="4"/>
  <c r="C9" i="4"/>
  <c r="G9" i="4" s="1"/>
  <c r="B9" i="4"/>
  <c r="E8" i="4"/>
  <c r="D8" i="4"/>
  <c r="C8" i="4"/>
  <c r="B8" i="4"/>
  <c r="E7" i="4"/>
  <c r="D7" i="4"/>
  <c r="C7" i="4"/>
  <c r="B7" i="4"/>
  <c r="G7" i="4" s="1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G3" i="4" s="1"/>
  <c r="B3" i="4"/>
  <c r="F19" i="4" l="1"/>
  <c r="F6" i="4"/>
  <c r="F15" i="4"/>
  <c r="H15" i="4" s="1"/>
  <c r="F20" i="4"/>
  <c r="H20" i="4"/>
  <c r="G16" i="4"/>
  <c r="G19" i="4"/>
  <c r="D21" i="4"/>
  <c r="F21" i="4" s="1"/>
  <c r="B21" i="4"/>
  <c r="G21" i="4" s="1"/>
  <c r="G5" i="4"/>
  <c r="F17" i="4"/>
  <c r="I4" i="6"/>
  <c r="F7" i="4"/>
  <c r="G63" i="5"/>
  <c r="I39" i="6"/>
  <c r="F3" i="4"/>
  <c r="H3" i="4" s="1"/>
  <c r="G6" i="4"/>
  <c r="H6" i="4" s="1"/>
  <c r="H12" i="5"/>
  <c r="H33" i="6"/>
  <c r="I45" i="5"/>
  <c r="I5" i="5"/>
  <c r="D10" i="4"/>
  <c r="I19" i="6"/>
  <c r="H10" i="6"/>
  <c r="H7" i="4"/>
  <c r="G8" i="4"/>
  <c r="F8" i="4"/>
  <c r="G18" i="4"/>
  <c r="F18" i="4"/>
  <c r="H18" i="4" s="1"/>
  <c r="H11" i="5"/>
  <c r="I18" i="5"/>
  <c r="H39" i="5"/>
  <c r="H47" i="5"/>
  <c r="I54" i="5"/>
  <c r="H19" i="6"/>
  <c r="I25" i="6"/>
  <c r="G5" i="6"/>
  <c r="I12" i="6"/>
  <c r="I52" i="6"/>
  <c r="F16" i="4"/>
  <c r="H16" i="4" s="1"/>
  <c r="I46" i="5"/>
  <c r="G17" i="5"/>
  <c r="E10" i="4"/>
  <c r="H17" i="5"/>
  <c r="I39" i="5"/>
  <c r="I47" i="5"/>
  <c r="G31" i="6"/>
  <c r="I10" i="6"/>
  <c r="I13" i="6" s="1"/>
  <c r="I3" i="6"/>
  <c r="H31" i="6"/>
  <c r="G39" i="6"/>
  <c r="G47" i="6"/>
  <c r="H4" i="6"/>
  <c r="J4" i="6" s="1"/>
  <c r="I31" i="6"/>
  <c r="G33" i="6"/>
  <c r="J33" i="6" s="1"/>
  <c r="H39" i="6"/>
  <c r="G19" i="6"/>
  <c r="G26" i="6"/>
  <c r="I45" i="6"/>
  <c r="G46" i="6"/>
  <c r="I24" i="6"/>
  <c r="G45" i="6"/>
  <c r="G54" i="6"/>
  <c r="H38" i="5"/>
  <c r="I4" i="5"/>
  <c r="G12" i="5"/>
  <c r="G26" i="5"/>
  <c r="I33" i="6"/>
  <c r="H45" i="6"/>
  <c r="I17" i="5"/>
  <c r="G17" i="4"/>
  <c r="H17" i="4" s="1"/>
  <c r="G25" i="5"/>
  <c r="G31" i="5"/>
  <c r="I53" i="5"/>
  <c r="H46" i="5"/>
  <c r="H33" i="5"/>
  <c r="H32" i="5"/>
  <c r="G52" i="5"/>
  <c r="H26" i="5"/>
  <c r="H25" i="5"/>
  <c r="G24" i="5"/>
  <c r="G10" i="5"/>
  <c r="G32" i="5"/>
  <c r="I38" i="5"/>
  <c r="H45" i="5"/>
  <c r="I52" i="5"/>
  <c r="I55" i="5" s="1"/>
  <c r="F5" i="4"/>
  <c r="G4" i="4"/>
  <c r="F14" i="4"/>
  <c r="G3" i="6"/>
  <c r="I5" i="6"/>
  <c r="H5" i="6"/>
  <c r="H3" i="6"/>
  <c r="G12" i="6"/>
  <c r="J12" i="6" s="1"/>
  <c r="I24" i="5"/>
  <c r="G53" i="5"/>
  <c r="H12" i="6"/>
  <c r="H53" i="6"/>
  <c r="E21" i="4"/>
  <c r="J10" i="6"/>
  <c r="H53" i="5"/>
  <c r="H17" i="6"/>
  <c r="G18" i="6"/>
  <c r="G25" i="6"/>
  <c r="G52" i="6"/>
  <c r="H5" i="5"/>
  <c r="H4" i="5"/>
  <c r="G3" i="5"/>
  <c r="G4" i="5"/>
  <c r="I11" i="5"/>
  <c r="H10" i="5"/>
  <c r="H13" i="5" s="1"/>
  <c r="G19" i="5"/>
  <c r="G40" i="5"/>
  <c r="B10" i="4"/>
  <c r="F9" i="4"/>
  <c r="H9" i="4" s="1"/>
  <c r="H3" i="5"/>
  <c r="H6" i="5" s="1"/>
  <c r="G18" i="5"/>
  <c r="H19" i="5"/>
  <c r="I10" i="5"/>
  <c r="G5" i="5"/>
  <c r="I12" i="5"/>
  <c r="I3" i="5"/>
  <c r="H40" i="5"/>
  <c r="G54" i="5"/>
  <c r="G46" i="5"/>
  <c r="C10" i="4"/>
  <c r="F4" i="4"/>
  <c r="G14" i="4"/>
  <c r="G11" i="5"/>
  <c r="J11" i="5" s="1"/>
  <c r="H18" i="5"/>
  <c r="I19" i="5"/>
  <c r="G33" i="5"/>
  <c r="G39" i="5"/>
  <c r="J39" i="5" s="1"/>
  <c r="I40" i="5"/>
  <c r="G47" i="5"/>
  <c r="J47" i="5" s="1"/>
  <c r="H54" i="5"/>
  <c r="G53" i="6"/>
  <c r="I17" i="6"/>
  <c r="H25" i="6"/>
  <c r="G40" i="6"/>
  <c r="H52" i="6"/>
  <c r="G11" i="6"/>
  <c r="I32" i="6"/>
  <c r="H38" i="6"/>
  <c r="H40" i="6"/>
  <c r="H24" i="5"/>
  <c r="I25" i="5"/>
  <c r="I26" i="5"/>
  <c r="G45" i="5"/>
  <c r="H52" i="5"/>
  <c r="H11" i="6"/>
  <c r="H13" i="6" s="1"/>
  <c r="G17" i="6"/>
  <c r="I38" i="6"/>
  <c r="I41" i="6" s="1"/>
  <c r="I40" i="6"/>
  <c r="H18" i="6"/>
  <c r="G24" i="6"/>
  <c r="H46" i="6"/>
  <c r="I54" i="6"/>
  <c r="H31" i="5"/>
  <c r="H34" i="5" s="1"/>
  <c r="I32" i="5"/>
  <c r="I33" i="5"/>
  <c r="I18" i="6"/>
  <c r="H24" i="6"/>
  <c r="H27" i="6" s="1"/>
  <c r="H26" i="6"/>
  <c r="G32" i="6"/>
  <c r="J32" i="6" s="1"/>
  <c r="I46" i="6"/>
  <c r="H47" i="6"/>
  <c r="I31" i="5"/>
  <c r="I26" i="6"/>
  <c r="H32" i="6"/>
  <c r="G38" i="6"/>
  <c r="H5" i="4" l="1"/>
  <c r="H19" i="4"/>
  <c r="I13" i="5"/>
  <c r="I48" i="5"/>
  <c r="I20" i="5"/>
  <c r="J53" i="6"/>
  <c r="H4" i="4"/>
  <c r="J46" i="5"/>
  <c r="H48" i="5"/>
  <c r="J11" i="6"/>
  <c r="J33" i="5"/>
  <c r="I6" i="5"/>
  <c r="J19" i="5"/>
  <c r="I41" i="5"/>
  <c r="H55" i="6"/>
  <c r="H55" i="5"/>
  <c r="J5" i="5"/>
  <c r="J25" i="5"/>
  <c r="M38" i="5"/>
  <c r="J40" i="5"/>
  <c r="J55" i="6"/>
  <c r="W52" i="6" s="1"/>
  <c r="G55" i="6"/>
  <c r="J52" i="6"/>
  <c r="J53" i="5"/>
  <c r="J12" i="5"/>
  <c r="G34" i="6"/>
  <c r="J34" i="6"/>
  <c r="S32" i="6" s="1"/>
  <c r="J31" i="6"/>
  <c r="J5" i="6"/>
  <c r="H8" i="4"/>
  <c r="J20" i="6"/>
  <c r="W17" i="6" s="1"/>
  <c r="G20" i="6"/>
  <c r="J17" i="6"/>
  <c r="J25" i="6"/>
  <c r="I27" i="5"/>
  <c r="J41" i="6"/>
  <c r="W38" i="6" s="1"/>
  <c r="G41" i="6"/>
  <c r="J38" i="6"/>
  <c r="H21" i="4"/>
  <c r="J18" i="6"/>
  <c r="H41" i="5"/>
  <c r="I34" i="6"/>
  <c r="J40" i="6"/>
  <c r="H20" i="6"/>
  <c r="H6" i="6"/>
  <c r="J32" i="5"/>
  <c r="M31" i="5"/>
  <c r="J31" i="5"/>
  <c r="G34" i="5"/>
  <c r="J54" i="6"/>
  <c r="H20" i="5"/>
  <c r="G48" i="6"/>
  <c r="J45" i="6"/>
  <c r="J48" i="6"/>
  <c r="W45" i="6" s="1"/>
  <c r="J47" i="6"/>
  <c r="G13" i="6"/>
  <c r="G27" i="5"/>
  <c r="M24" i="5"/>
  <c r="J24" i="5"/>
  <c r="I27" i="6"/>
  <c r="J39" i="6"/>
  <c r="M17" i="5"/>
  <c r="G20" i="5"/>
  <c r="J17" i="5"/>
  <c r="J46" i="6"/>
  <c r="H34" i="6"/>
  <c r="G41" i="5"/>
  <c r="G48" i="5"/>
  <c r="M45" i="5"/>
  <c r="J45" i="5"/>
  <c r="J10" i="5"/>
  <c r="M10" i="5"/>
  <c r="G13" i="5"/>
  <c r="I34" i="5"/>
  <c r="I20" i="6"/>
  <c r="J18" i="5"/>
  <c r="J4" i="5"/>
  <c r="J6" i="6"/>
  <c r="G6" i="6"/>
  <c r="J3" i="6"/>
  <c r="W24" i="6"/>
  <c r="J24" i="6"/>
  <c r="J27" i="6"/>
  <c r="G27" i="6"/>
  <c r="H27" i="5"/>
  <c r="G10" i="4"/>
  <c r="F10" i="4"/>
  <c r="G6" i="5"/>
  <c r="J3" i="5"/>
  <c r="M4" i="5" s="1" a="1"/>
  <c r="M4" i="5" s="1"/>
  <c r="M3" i="5"/>
  <c r="M5" i="5" s="1"/>
  <c r="H14" i="4"/>
  <c r="H48" i="6"/>
  <c r="I48" i="6"/>
  <c r="J38" i="5"/>
  <c r="M52" i="5"/>
  <c r="J52" i="5"/>
  <c r="G55" i="5"/>
  <c r="J26" i="6"/>
  <c r="I6" i="6"/>
  <c r="I55" i="6"/>
  <c r="H41" i="6"/>
  <c r="J54" i="5"/>
  <c r="J26" i="5"/>
  <c r="J19" i="6"/>
  <c r="J13" i="6"/>
  <c r="W10" i="6" s="1"/>
  <c r="R53" i="6" l="1"/>
  <c r="S33" i="6"/>
  <c r="R32" i="6"/>
  <c r="T32" i="6"/>
  <c r="T33" i="6"/>
  <c r="W31" i="6"/>
  <c r="R4" i="6"/>
  <c r="R33" i="6"/>
  <c r="H10" i="4"/>
  <c r="W3" i="6"/>
  <c r="M11" i="5" a="1"/>
  <c r="M11" i="5" s="1"/>
  <c r="M53" i="5" a="1"/>
  <c r="M53" i="5" s="1"/>
  <c r="S53" i="6"/>
  <c r="T53" i="6"/>
  <c r="S12" i="6"/>
  <c r="M32" i="5" a="1"/>
  <c r="M32" i="5" s="1"/>
  <c r="M33" i="5" s="1"/>
  <c r="T12" i="6"/>
  <c r="S52" i="6"/>
  <c r="R52" i="6"/>
  <c r="T52" i="6"/>
  <c r="T3" i="6"/>
  <c r="S3" i="6"/>
  <c r="R3" i="6"/>
  <c r="S18" i="6"/>
  <c r="R18" i="6"/>
  <c r="T18" i="6"/>
  <c r="T26" i="6"/>
  <c r="S26" i="6"/>
  <c r="R26" i="6"/>
  <c r="T46" i="6"/>
  <c r="S46" i="6"/>
  <c r="R46" i="6"/>
  <c r="T47" i="6"/>
  <c r="S47" i="6"/>
  <c r="R47" i="6"/>
  <c r="M18" i="5" a="1"/>
  <c r="M18" i="5" s="1"/>
  <c r="M19" i="5" s="1"/>
  <c r="T38" i="6"/>
  <c r="S38" i="6"/>
  <c r="R38" i="6"/>
  <c r="T5" i="6"/>
  <c r="S5" i="6"/>
  <c r="R5" i="6"/>
  <c r="S10" i="6"/>
  <c r="R25" i="6"/>
  <c r="T25" i="6"/>
  <c r="S25" i="6"/>
  <c r="S31" i="6"/>
  <c r="R31" i="6"/>
  <c r="T31" i="6"/>
  <c r="M12" i="5"/>
  <c r="R39" i="6"/>
  <c r="T39" i="6"/>
  <c r="S39" i="6"/>
  <c r="S11" i="6"/>
  <c r="S4" i="6"/>
  <c r="M46" i="5" a="1"/>
  <c r="M46" i="5" s="1"/>
  <c r="M47" i="5" s="1"/>
  <c r="T11" i="6"/>
  <c r="T4" i="6"/>
  <c r="M54" i="5"/>
  <c r="T10" i="6"/>
  <c r="R45" i="6"/>
  <c r="T45" i="6"/>
  <c r="S45" i="6"/>
  <c r="T40" i="6"/>
  <c r="S40" i="6"/>
  <c r="R40" i="6"/>
  <c r="R11" i="6"/>
  <c r="S19" i="6"/>
  <c r="R19" i="6"/>
  <c r="T19" i="6"/>
  <c r="M39" i="5" a="1"/>
  <c r="M39" i="5" s="1"/>
  <c r="M40" i="5" s="1"/>
  <c r="R10" i="6"/>
  <c r="T24" i="6"/>
  <c r="S24" i="6"/>
  <c r="R24" i="6"/>
  <c r="M25" i="5" a="1"/>
  <c r="M25" i="5" s="1"/>
  <c r="M26" i="5" s="1"/>
  <c r="T54" i="6"/>
  <c r="S54" i="6"/>
  <c r="R54" i="6"/>
  <c r="R12" i="6"/>
  <c r="S17" i="6"/>
  <c r="R17" i="6"/>
  <c r="T17" i="6"/>
  <c r="W18" i="6" l="1"/>
  <c r="W19" i="6" s="1"/>
  <c r="W46" i="6"/>
  <c r="W47" i="6" s="1"/>
  <c r="W11" i="6"/>
  <c r="W12" i="6" s="1"/>
  <c r="W53" i="6"/>
  <c r="W54" i="6" s="1"/>
  <c r="W4" i="6"/>
  <c r="W5" i="6" s="1"/>
  <c r="W25" i="6"/>
  <c r="W26" i="6" s="1"/>
  <c r="W39" i="6"/>
  <c r="W40" i="6" s="1"/>
  <c r="W32" i="6"/>
  <c r="W33" i="6" s="1"/>
</calcChain>
</file>

<file path=xl/sharedStrings.xml><?xml version="1.0" encoding="utf-8"?>
<sst xmlns="http://schemas.openxmlformats.org/spreadsheetml/2006/main" count="731" uniqueCount="189">
  <si>
    <t>Type</t>
  </si>
  <si>
    <t>Element</t>
  </si>
  <si>
    <t>State</t>
  </si>
  <si>
    <t>initial state (Off)</t>
  </si>
  <si>
    <t>Off</t>
  </si>
  <si>
    <t>Transition</t>
  </si>
  <si>
    <t>on (Off =&gt; On)</t>
  </si>
  <si>
    <t>Composite State</t>
  </si>
  <si>
    <t>On</t>
  </si>
  <si>
    <t>off (On =&gt; Off)</t>
  </si>
  <si>
    <t>initial state (Idle)</t>
  </si>
  <si>
    <t>Idle</t>
  </si>
  <si>
    <t>login(cardID) (Idle =&gt; Idle)</t>
  </si>
  <si>
    <t>Guard</t>
  </si>
  <si>
    <t>[!idAuthorized(cardID)]</t>
  </si>
  <si>
    <t>login(cardID) (Idle =&gt; Ready)</t>
  </si>
  <si>
    <t>[idAuthorized(cardID)]</t>
  </si>
  <si>
    <t>Action</t>
  </si>
  <si>
    <t>action="none"</t>
  </si>
  <si>
    <t>Ready</t>
  </si>
  <si>
    <t>logoff (Ready =&gt; Idle)</t>
  </si>
  <si>
    <t>start (Ready =&gt; Ready)</t>
  </si>
  <si>
    <t>[action=="scan" &amp; !originalLoaded()]</t>
  </si>
  <si>
    <t>[action=="print" &amp; !documentInQueue()]</t>
  </si>
  <si>
    <t>scan (Ready =&gt; Ready)</t>
  </si>
  <si>
    <t>action = "scan"</t>
  </si>
  <si>
    <t>print (Ready =&gt; Ready)</t>
  </si>
  <si>
    <t>action="print"</t>
  </si>
  <si>
    <t>start (Ready =&gt; Scan &amp; Email)</t>
  </si>
  <si>
    <t>[action=="scan" &amp;&amp; originalLoaded()]</t>
  </si>
  <si>
    <t>Busy</t>
  </si>
  <si>
    <t>stop (Busy =&gt; Ready)</t>
  </si>
  <si>
    <t>done (Busy =&gt; Ready)</t>
  </si>
  <si>
    <t>jam (Busy =&gt; Suspended)</t>
  </si>
  <si>
    <t>History State</t>
  </si>
  <si>
    <t>for Busy</t>
  </si>
  <si>
    <t>Print</t>
  </si>
  <si>
    <t>start (Ready =&gt; Print)</t>
  </si>
  <si>
    <t>[action="print" &amp;&amp; documentInQueue()]</t>
  </si>
  <si>
    <t>outOfPaper (Print =&gt; Suspended)</t>
  </si>
  <si>
    <t>Scan &amp; Email</t>
  </si>
  <si>
    <t>Suspended</t>
  </si>
  <si>
    <t>resume (Suspended =&gt; History State for Busy)</t>
  </si>
  <si>
    <t>cancel (Suspended =&gt; Ready)</t>
  </si>
  <si>
    <t>additional elements</t>
  </si>
  <si>
    <t>Region</t>
  </si>
  <si>
    <t>GPT-5 Generation</t>
  </si>
  <si>
    <t>Notes</t>
  </si>
  <si>
    <t>Claude Sonnet 4.5 Generation</t>
  </si>
  <si>
    <t>Correctly represented with [*] --&gt; Off</t>
  </si>
  <si>
    <t>Off state is present</t>
  </si>
  <si>
    <t>Transition powerOn from Off to On is present</t>
  </si>
  <si>
    <t>On is correctly modeled as a composite state</t>
  </si>
  <si>
    <t>Transition powerOff from On to Off is present</t>
  </si>
  <si>
    <t>Initial state within On correctly transitions to WaitingForLogin (equivalent to Idle)</t>
  </si>
  <si>
    <t>WaitingForLogin serves as the idle/waiting state</t>
  </si>
  <si>
    <t>Self-transition on WaitingForLogin with unauthorized card is present</t>
  </si>
  <si>
    <t>Guard [!authorized] correctly checks for unauthorized card</t>
  </si>
  <si>
    <t>Transition tapCard from WaitingForLogin to LoggedIn (equivalent to Ready) is present</t>
  </si>
  <si>
    <t>Guard [authorized] correctly checks for authorized card</t>
  </si>
  <si>
    <t>No action setting action to none is present in the login transition</t>
  </si>
  <si>
    <t>LoggedIn state serves as the ready state after login</t>
  </si>
  <si>
    <t>Transition logoff from LoggedIn to WaitingForLogin is present</t>
  </si>
  <si>
    <t>Self-transition startScan with !documentDetected guard is present</t>
  </si>
  <si>
    <t>Guard [!documentDetected] checks document but lacks action variable check</t>
  </si>
  <si>
    <t>Self-transition startPrint with queueEmpty guard is present</t>
  </si>
  <si>
    <t>Guard [queueEmpty] checks queue but lacks action variable check</t>
  </si>
  <si>
    <t>No explicit scan event that sets action variable is present</t>
  </si>
  <si>
    <t>No action variable assignment for scan selection</t>
  </si>
  <si>
    <t>No explicit print event that sets action variable is present</t>
  </si>
  <si>
    <t>No action variable assignment for print selection</t>
  </si>
  <si>
    <t>Transition startScan to ScanningProcess with documentDetected guard is present</t>
  </si>
  <si>
    <t>Guard [documentDetected] checks document but lacks action variable check</t>
  </si>
  <si>
    <t>PrintingProcess and ScanningProcess are separate composites rather than unified Busy state</t>
  </si>
  <si>
    <t>Stop transitions from both PrintingProcess and ScanningProcess to LoggedIn are present</t>
  </si>
  <si>
    <t>Done transitions from Printing and Scanning to LoggedIn are present</t>
  </si>
  <si>
    <t>PaperJam transitions from Printing and Scanning to suspended states are present</t>
  </si>
  <si>
    <t>No history state is used; resume transitions go directly to active states</t>
  </si>
  <si>
    <t>Printing state within PrintingProcess is present</t>
  </si>
  <si>
    <t>Transition startPrint to PrintingProcess with !queueEmpty guard is present</t>
  </si>
  <si>
    <t>Guard [!queueEmpty] checks queue but lacks action variable check</t>
  </si>
  <si>
    <t>Transition outOfPaper from Printing to PrintSuspendedOutOfPaper is present</t>
  </si>
  <si>
    <t>Scanning state within ScanningProcess represents scan and email functionality</t>
  </si>
  <si>
    <t>PrintSuspendedPaperJam and PrintSuspendedOutOfPaper represent suspended states</t>
  </si>
  <si>
    <t>Resume transitions exist but go directly to Printing/Scanning rather than through history state</t>
  </si>
  <si>
    <t>Cancel transitions from suspended states to LoggedIn are present</t>
  </si>
  <si>
    <t>No incorrect additional states</t>
  </si>
  <si>
    <t>No incorrect additional transitions</t>
  </si>
  <si>
    <t>No incorrect additional guards</t>
  </si>
  <si>
    <t>No incorrect additional actions</t>
  </si>
  <si>
    <t>Separate PrintingProcess and ScanningProcess composites are reasonable modeling choices</t>
  </si>
  <si>
    <t>No incorrect additional regions</t>
  </si>
  <si>
    <t>No incorrect additional history states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</si>
  <si>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</si>
  <si>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</si>
  <si>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</si>
  <si>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</si>
  <si>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</si>
  <si>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</si>
  <si>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</si>
  <si>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</si>
  <si>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</si>
  <si>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</si>
  <si>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</si>
  <si>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Claude Sonnet 4.5</t>
  </si>
  <si>
    <t>GPT-5</t>
  </si>
  <si>
    <t>Overall Score</t>
  </si>
  <si>
    <t>Generated by Claude Sonnet 4.5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</si>
  <si>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</si>
  <si>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</si>
  <si>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</si>
  <si>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</si>
  <si>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</si>
  <si>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</si>
  <si>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</si>
  <si>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</si>
  <si>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</si>
  <si>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</si>
  <si>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</si>
  <si>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</si>
  <si>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</si>
  <si>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</si>
  <si>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</si>
  <si>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</si>
  <si>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</si>
  <si>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</si>
  <si>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</si>
  <si>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</si>
  <si>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</si>
  <si>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</si>
  <si>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</si>
  <si>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</si>
  <si>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</si>
  <si>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</si>
  <si>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</si>
  <si>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</si>
  <si>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</si>
  <si>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</si>
  <si>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</si>
  <si>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</si>
  <si>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</si>
  <si>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</si>
  <si>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</si>
  <si>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</si>
  <si>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</si>
  <si>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Initial state correctly transitions to Off</t>
  </si>
  <si>
    <t>Transition masterOn from Off to On is present</t>
  </si>
  <si>
    <t>On is a composite state containing substates</t>
  </si>
  <si>
    <t>Transition masterOff from On to Off is present</t>
  </si>
  <si>
    <t>Initial state in On correctly transitions to LoggedOut (equivalent to Idle)</t>
  </si>
  <si>
    <t>LoggedOut state represents the idle/logged-out state</t>
  </si>
  <si>
    <t>Transition tapCard with unauthorized guard loops back to LoggedOut</t>
  </si>
  <si>
    <t>Guard !authorized(cardId) is semantically equivalent</t>
  </si>
  <si>
    <t>Transition tapCard with authorized guard goes to UserSession (Ready equivalent)</t>
  </si>
  <si>
    <t>Guard authorized(cardId) is present</t>
  </si>
  <si>
    <t>No action setting a variable to track mode is present</t>
  </si>
  <si>
    <t>UserSession with TaskSelection represents the ready state</t>
  </si>
  <si>
    <t>Transition logoff from TaskSelection to LoggedOut is present</t>
  </si>
  <si>
    <t>Self-transition on PrintChosen with !hasQueuedDocument guard shows error</t>
  </si>
  <si>
    <t>Guard !originalDetected() on ScanChosen self-transition is equivalent</t>
  </si>
  <si>
    <t>Self-transition on PrintChosen with !hasQueuedDocument guard is present</t>
  </si>
  <si>
    <t>Guard !hasQueuedDocument() is semantically equivalent</t>
  </si>
  <si>
    <t>Transition chooseScan within TaskSelection changes option</t>
  </si>
  <si>
    <t>No explicit action variable assignment for scan mode</t>
  </si>
  <si>
    <t>Transition choosePrint within TaskSelection changes option</t>
  </si>
  <si>
    <t>No explicit action variable assignment for print mode</t>
  </si>
  <si>
    <t>Transition from ScanChosen to Scanning with originalDetected guard is present</t>
  </si>
  <si>
    <t>Guard originalDetected() on ScanChosen to Scanning transition is equivalent</t>
  </si>
  <si>
    <t>ActiveTask composite state represents the busy state</t>
  </si>
  <si>
    <t>Transition pressStop from ActiveTask to TaskSelection is present</t>
  </si>
  <si>
    <t>Transitions printDone and scanDone from Printing/Scanning to TaskSelection are present</t>
  </si>
  <si>
    <t>Transition paperJam from ActiveTask to PaperJamRecovery is present</t>
  </si>
  <si>
    <t>History state H is present in ActiveTask</t>
  </si>
  <si>
    <t>Printing state is present</t>
  </si>
  <si>
    <t>Transition from PrintChosen to Printing with hasQueuedDocument guard is present</t>
  </si>
  <si>
    <t>Guard hasQueuedDocument() is semantically equivalent</t>
  </si>
  <si>
    <t>Transition outOfPaper from Printing to OutOfPaperRecovery is present</t>
  </si>
  <si>
    <t>Scanning state represents scan and email functionality</t>
  </si>
  <si>
    <t>PaperJamRecovery and OutOfPaperRecovery represent suspended states</t>
  </si>
  <si>
    <t>Transitions resume from recovery states to history state H are present</t>
  </si>
  <si>
    <t>Transitions cancel from recovery states to TaskSelection are present</t>
  </si>
  <si>
    <t>No fundamentally incorrect states present</t>
  </si>
  <si>
    <t>No fundamentally incorrect transitions present</t>
  </si>
  <si>
    <t>No fundamentally incorrect guards present</t>
  </si>
  <si>
    <t>No fundamentally incorrect actions present</t>
  </si>
  <si>
    <t>Additional composite states are reasonable modeling choices</t>
  </si>
  <si>
    <t>No incorrect regions present</t>
  </si>
  <si>
    <t>No incorrect history states present</t>
  </si>
  <si>
    <t>Generation LLMs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</si>
</sst>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/>
    <xf numFmtId="0" fontId="2" fillId="0" borderId="0" xfId="0" applyFont="1"/>
    <xf numFmtId="0" fontId="1" fillId="5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horizontal="right"/>
    </xf>
    <xf numFmtId="0" fontId="2" fillId="0" borderId="5" xfId="0" applyFont="1" applyBorder="1"/>
    <xf numFmtId="0" fontId="1" fillId="0" borderId="5" xfId="0" applyFont="1" applyBorder="1"/>
    <xf numFmtId="0" fontId="5" fillId="7" borderId="0" xfId="0" applyFont="1" applyFill="1"/>
    <xf numFmtId="0" fontId="5" fillId="3" borderId="0" xfId="0" applyFont="1" applyFill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8" borderId="20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3" borderId="23" xfId="0" applyFont="1" applyFill="1" applyBorder="1" applyAlignment="1">
      <alignment horizontal="center"/>
    </xf>
    <xf numFmtId="0" fontId="5" fillId="0" borderId="0" xfId="0" applyFont="1"/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8" borderId="20" xfId="0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0" fontId="3" fillId="3" borderId="0" xfId="0" applyFont="1" applyFill="1"/>
    <xf numFmtId="0" fontId="1" fillId="0" borderId="0" xfId="0" applyFont="1" applyAlignment="1">
      <alignment horizontal="center"/>
    </xf>
    <xf numFmtId="0" fontId="0" fillId="0" borderId="0" xfId="0"/>
    <xf numFmtId="0" fontId="1" fillId="5" borderId="4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6" xfId="0" applyBorder="1"/>
    <xf numFmtId="0" fontId="8" fillId="0" borderId="0" xfId="0" applyFont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printer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45">
  <tableColumns count="2">
    <tableColumn id="1" xr3:uid="{00000000-0010-0000-0000-000001000000}" name="Type"/>
    <tableColumn id="2" xr3:uid="{00000000-0010-0000-0000-000002000000}" name="Element"/>
  </tableColumns>
  <tableStyleInfo name="print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45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 Grading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45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DF5D528-44DD-AE4A-B8FB-AAD06BD77C99}" name="Table_59" displayName="Table_59" ref="J7:J9">
  <tableColumns count="1">
    <tableColumn id="1" xr3:uid="{2E7E0639-8C8B-7941-88E4-6C0BACDEB68A}" name="Generation LLMs"/>
  </tableColumns>
  <tableStyleInfo name="Metrics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45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45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2" t="s">
        <v>3</v>
      </c>
    </row>
    <row r="3" spans="1:2" ht="12.75" customHeight="1" x14ac:dyDescent="0.15">
      <c r="A3" s="3" t="s">
        <v>2</v>
      </c>
      <c r="B3" s="2" t="s">
        <v>4</v>
      </c>
    </row>
    <row r="4" spans="1:2" ht="12.75" customHeight="1" x14ac:dyDescent="0.15">
      <c r="A4" s="3" t="s">
        <v>5</v>
      </c>
      <c r="B4" s="2" t="s">
        <v>6</v>
      </c>
    </row>
    <row r="5" spans="1:2" ht="12.75" customHeight="1" x14ac:dyDescent="0.15">
      <c r="A5" s="3" t="s">
        <v>7</v>
      </c>
      <c r="B5" s="2" t="s">
        <v>8</v>
      </c>
    </row>
    <row r="6" spans="1:2" ht="12.75" customHeight="1" x14ac:dyDescent="0.15">
      <c r="A6" s="3" t="s">
        <v>5</v>
      </c>
      <c r="B6" s="2" t="s">
        <v>9</v>
      </c>
    </row>
    <row r="7" spans="1:2" ht="12.75" customHeight="1" x14ac:dyDescent="0.15">
      <c r="A7" s="3" t="s">
        <v>2</v>
      </c>
      <c r="B7" s="2" t="s">
        <v>10</v>
      </c>
    </row>
    <row r="8" spans="1:2" ht="12.75" customHeight="1" x14ac:dyDescent="0.15">
      <c r="A8" s="3" t="s">
        <v>2</v>
      </c>
      <c r="B8" s="2" t="s">
        <v>11</v>
      </c>
    </row>
    <row r="9" spans="1:2" ht="12.75" customHeight="1" x14ac:dyDescent="0.15">
      <c r="A9" s="3" t="s">
        <v>5</v>
      </c>
      <c r="B9" s="2" t="s">
        <v>12</v>
      </c>
    </row>
    <row r="10" spans="1:2" ht="12.75" customHeight="1" x14ac:dyDescent="0.15">
      <c r="A10" s="3" t="s">
        <v>13</v>
      </c>
      <c r="B10" s="2" t="s">
        <v>14</v>
      </c>
    </row>
    <row r="11" spans="1:2" ht="12.75" customHeight="1" x14ac:dyDescent="0.15">
      <c r="A11" s="3" t="s">
        <v>5</v>
      </c>
      <c r="B11" s="2" t="s">
        <v>15</v>
      </c>
    </row>
    <row r="12" spans="1:2" ht="12.75" customHeight="1" x14ac:dyDescent="0.15">
      <c r="A12" s="3" t="s">
        <v>13</v>
      </c>
      <c r="B12" s="2" t="s">
        <v>16</v>
      </c>
    </row>
    <row r="13" spans="1:2" ht="12.75" customHeight="1" x14ac:dyDescent="0.15">
      <c r="A13" s="3" t="s">
        <v>17</v>
      </c>
      <c r="B13" s="2" t="s">
        <v>18</v>
      </c>
    </row>
    <row r="14" spans="1:2" ht="12.75" customHeight="1" x14ac:dyDescent="0.15">
      <c r="A14" s="3" t="s">
        <v>2</v>
      </c>
      <c r="B14" s="2" t="s">
        <v>19</v>
      </c>
    </row>
    <row r="15" spans="1:2" ht="12.75" customHeight="1" x14ac:dyDescent="0.15">
      <c r="A15" s="3" t="s">
        <v>5</v>
      </c>
      <c r="B15" s="2" t="s">
        <v>20</v>
      </c>
    </row>
    <row r="16" spans="1:2" ht="12.75" customHeight="1" x14ac:dyDescent="0.15">
      <c r="A16" s="3" t="s">
        <v>5</v>
      </c>
      <c r="B16" s="2" t="s">
        <v>21</v>
      </c>
    </row>
    <row r="17" spans="1:22" ht="15" customHeight="1" x14ac:dyDescent="0.15">
      <c r="A17" s="3" t="s">
        <v>13</v>
      </c>
      <c r="B17" s="2" t="s">
        <v>22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2.75" customHeight="1" x14ac:dyDescent="0.15">
      <c r="A18" s="3" t="s">
        <v>5</v>
      </c>
      <c r="B18" s="2" t="s">
        <v>21</v>
      </c>
    </row>
    <row r="19" spans="1:22" ht="12.75" customHeight="1" x14ac:dyDescent="0.15">
      <c r="A19" s="3" t="s">
        <v>13</v>
      </c>
      <c r="B19" s="2" t="s">
        <v>23</v>
      </c>
    </row>
    <row r="20" spans="1:22" ht="12.75" customHeight="1" x14ac:dyDescent="0.15">
      <c r="A20" s="3" t="s">
        <v>5</v>
      </c>
      <c r="B20" s="2" t="s">
        <v>24</v>
      </c>
    </row>
    <row r="21" spans="1:22" ht="12.75" customHeight="1" x14ac:dyDescent="0.15">
      <c r="A21" s="3" t="s">
        <v>17</v>
      </c>
      <c r="B21" s="2" t="s">
        <v>25</v>
      </c>
    </row>
    <row r="22" spans="1:22" ht="12.75" customHeight="1" x14ac:dyDescent="0.15">
      <c r="A22" s="3" t="s">
        <v>5</v>
      </c>
      <c r="B22" s="2" t="s">
        <v>26</v>
      </c>
    </row>
    <row r="23" spans="1:22" ht="12.75" customHeight="1" x14ac:dyDescent="0.15">
      <c r="A23" s="3" t="s">
        <v>17</v>
      </c>
      <c r="B23" s="2" t="s">
        <v>27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15">
      <c r="A24" s="3" t="s">
        <v>5</v>
      </c>
      <c r="B24" s="2" t="s">
        <v>28</v>
      </c>
    </row>
    <row r="25" spans="1:22" ht="12.75" customHeight="1" x14ac:dyDescent="0.15">
      <c r="A25" s="3" t="s">
        <v>13</v>
      </c>
      <c r="B25" s="2" t="s">
        <v>29</v>
      </c>
    </row>
    <row r="26" spans="1:22" ht="15" customHeight="1" x14ac:dyDescent="0.15">
      <c r="A26" s="3" t="s">
        <v>7</v>
      </c>
      <c r="B26" s="2" t="s">
        <v>30</v>
      </c>
    </row>
    <row r="27" spans="1:22" ht="12.75" customHeight="1" x14ac:dyDescent="0.15">
      <c r="A27" s="3" t="s">
        <v>5</v>
      </c>
      <c r="B27" s="2" t="s">
        <v>31</v>
      </c>
    </row>
    <row r="28" spans="1:22" ht="12.75" customHeight="1" x14ac:dyDescent="0.15">
      <c r="A28" s="3" t="s">
        <v>5</v>
      </c>
      <c r="B28" s="2" t="s">
        <v>32</v>
      </c>
    </row>
    <row r="29" spans="1:22" ht="12.75" customHeight="1" x14ac:dyDescent="0.15">
      <c r="A29" s="3" t="s">
        <v>5</v>
      </c>
      <c r="B29" s="2" t="s">
        <v>33</v>
      </c>
    </row>
    <row r="30" spans="1:22" ht="12.75" customHeight="1" x14ac:dyDescent="0.15">
      <c r="A30" s="3" t="s">
        <v>34</v>
      </c>
      <c r="B30" s="2" t="s">
        <v>35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2.75" customHeight="1" x14ac:dyDescent="0.15">
      <c r="A31" s="3" t="s">
        <v>2</v>
      </c>
      <c r="B31" s="2" t="s">
        <v>36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2.75" customHeight="1" x14ac:dyDescent="0.15">
      <c r="A32" s="3" t="s">
        <v>5</v>
      </c>
      <c r="B32" s="2" t="s">
        <v>37</v>
      </c>
    </row>
    <row r="33" spans="1:22" ht="12.75" customHeight="1" x14ac:dyDescent="0.15">
      <c r="A33" s="3" t="s">
        <v>13</v>
      </c>
      <c r="B33" s="2" t="s">
        <v>38</v>
      </c>
    </row>
    <row r="34" spans="1:22" ht="12.75" customHeight="1" x14ac:dyDescent="0.15">
      <c r="A34" s="3" t="s">
        <v>5</v>
      </c>
      <c r="B34" s="2" t="s">
        <v>39</v>
      </c>
    </row>
    <row r="35" spans="1:22" ht="12.75" customHeight="1" x14ac:dyDescent="0.15">
      <c r="A35" s="3" t="s">
        <v>2</v>
      </c>
      <c r="B35" s="2" t="s">
        <v>40</v>
      </c>
    </row>
    <row r="36" spans="1:22" ht="12.75" customHeight="1" x14ac:dyDescent="0.15">
      <c r="A36" s="3" t="s">
        <v>2</v>
      </c>
      <c r="B36" s="2" t="s">
        <v>41</v>
      </c>
    </row>
    <row r="37" spans="1:22" ht="12.75" customHeight="1" x14ac:dyDescent="0.15">
      <c r="A37" s="3" t="s">
        <v>5</v>
      </c>
      <c r="B37" s="2" t="s">
        <v>42</v>
      </c>
    </row>
    <row r="38" spans="1:22" ht="12.75" customHeight="1" x14ac:dyDescent="0.15">
      <c r="A38" s="3" t="s">
        <v>5</v>
      </c>
      <c r="B38" s="2" t="s">
        <v>43</v>
      </c>
    </row>
    <row r="39" spans="1:22" ht="15" customHeight="1" x14ac:dyDescent="0.15">
      <c r="A39" s="5" t="s">
        <v>2</v>
      </c>
      <c r="B39" s="6" t="s">
        <v>44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customHeight="1" x14ac:dyDescent="0.15">
      <c r="A40" s="3" t="s">
        <v>5</v>
      </c>
      <c r="B40" s="2" t="s">
        <v>44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" customHeight="1" x14ac:dyDescent="0.15">
      <c r="A41" s="3" t="s">
        <v>13</v>
      </c>
      <c r="B41" s="2" t="s">
        <v>44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" customHeight="1" x14ac:dyDescent="0.15">
      <c r="A42" s="3" t="s">
        <v>17</v>
      </c>
      <c r="B42" s="2" t="s">
        <v>44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" customHeight="1" x14ac:dyDescent="0.15">
      <c r="A43" s="3" t="s">
        <v>7</v>
      </c>
      <c r="B43" s="2" t="s">
        <v>44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" customHeight="1" x14ac:dyDescent="0.15">
      <c r="A44" s="3" t="s">
        <v>45</v>
      </c>
      <c r="B44" s="2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" customHeight="1" x14ac:dyDescent="0.15">
      <c r="A45" s="3" t="s">
        <v>34</v>
      </c>
      <c r="B45" s="2" t="s">
        <v>44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" customHeight="1" x14ac:dyDescent="0.15">
      <c r="A46" s="1"/>
      <c r="B46" s="2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" customHeight="1" x14ac:dyDescent="0.15">
      <c r="A47" s="1"/>
      <c r="B47" s="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" customHeight="1" x14ac:dyDescent="0.15">
      <c r="A48" s="1"/>
      <c r="B48" s="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" ht="12.75" customHeight="1" x14ac:dyDescent="0.15">
      <c r="A49" s="1"/>
      <c r="B49" s="2"/>
    </row>
    <row r="50" spans="1:2" ht="12.75" customHeight="1" x14ac:dyDescent="0.15">
      <c r="A50" s="1"/>
      <c r="B50" s="2"/>
    </row>
    <row r="51" spans="1:2" ht="12.75" customHeight="1" x14ac:dyDescent="0.15">
      <c r="A51" s="1"/>
      <c r="B51" s="2"/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workbookViewId="0">
      <selection activeCell="C1" sqref="C1:C1048576"/>
    </sheetView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3" width="15.33203125" bestFit="1" customWidth="1"/>
    <col min="4" max="4" width="71.83203125" bestFit="1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7" t="s">
        <v>46</v>
      </c>
      <c r="D1" s="7" t="s">
        <v>47</v>
      </c>
    </row>
    <row r="2" spans="1:4" ht="12.75" customHeight="1" x14ac:dyDescent="0.15">
      <c r="A2" s="3" t="s">
        <v>2</v>
      </c>
      <c r="B2" s="2" t="s">
        <v>3</v>
      </c>
      <c r="C2" s="8">
        <v>1</v>
      </c>
      <c r="D2" s="9" t="s">
        <v>145</v>
      </c>
    </row>
    <row r="3" spans="1:4" ht="12.75" customHeight="1" x14ac:dyDescent="0.15">
      <c r="A3" s="3" t="s">
        <v>2</v>
      </c>
      <c r="B3" s="2" t="s">
        <v>4</v>
      </c>
      <c r="C3" s="10">
        <v>1</v>
      </c>
      <c r="D3" s="11" t="s">
        <v>50</v>
      </c>
    </row>
    <row r="4" spans="1:4" ht="12.75" customHeight="1" x14ac:dyDescent="0.15">
      <c r="A4" s="3" t="s">
        <v>5</v>
      </c>
      <c r="B4" s="2" t="s">
        <v>6</v>
      </c>
      <c r="C4" s="8">
        <v>1</v>
      </c>
      <c r="D4" s="9" t="s">
        <v>146</v>
      </c>
    </row>
    <row r="5" spans="1:4" ht="12.75" customHeight="1" x14ac:dyDescent="0.15">
      <c r="A5" s="3" t="s">
        <v>7</v>
      </c>
      <c r="B5" s="2" t="s">
        <v>8</v>
      </c>
      <c r="C5" s="10">
        <v>1</v>
      </c>
      <c r="D5" s="11" t="s">
        <v>147</v>
      </c>
    </row>
    <row r="6" spans="1:4" ht="12.75" customHeight="1" x14ac:dyDescent="0.15">
      <c r="A6" s="3" t="s">
        <v>5</v>
      </c>
      <c r="B6" s="2" t="s">
        <v>9</v>
      </c>
      <c r="C6" s="8">
        <v>1</v>
      </c>
      <c r="D6" s="9" t="s">
        <v>148</v>
      </c>
    </row>
    <row r="7" spans="1:4" ht="12.75" customHeight="1" x14ac:dyDescent="0.15">
      <c r="A7" s="3" t="s">
        <v>2</v>
      </c>
      <c r="B7" s="2" t="s">
        <v>10</v>
      </c>
      <c r="C7" s="10">
        <v>1</v>
      </c>
      <c r="D7" s="11" t="s">
        <v>149</v>
      </c>
    </row>
    <row r="8" spans="1:4" ht="12.75" customHeight="1" x14ac:dyDescent="0.15">
      <c r="A8" s="3" t="s">
        <v>2</v>
      </c>
      <c r="B8" s="2" t="s">
        <v>11</v>
      </c>
      <c r="C8" s="8">
        <v>1</v>
      </c>
      <c r="D8" s="9" t="s">
        <v>150</v>
      </c>
    </row>
    <row r="9" spans="1:4" ht="12.75" customHeight="1" x14ac:dyDescent="0.15">
      <c r="A9" s="3" t="s">
        <v>5</v>
      </c>
      <c r="B9" s="2" t="s">
        <v>12</v>
      </c>
      <c r="C9" s="10">
        <v>1</v>
      </c>
      <c r="D9" s="11" t="s">
        <v>151</v>
      </c>
    </row>
    <row r="10" spans="1:4" ht="12.75" customHeight="1" x14ac:dyDescent="0.15">
      <c r="A10" s="3" t="s">
        <v>13</v>
      </c>
      <c r="B10" s="2" t="s">
        <v>14</v>
      </c>
      <c r="C10" s="8">
        <v>1</v>
      </c>
      <c r="D10" s="9" t="s">
        <v>152</v>
      </c>
    </row>
    <row r="11" spans="1:4" ht="12.75" customHeight="1" x14ac:dyDescent="0.15">
      <c r="A11" s="3" t="s">
        <v>5</v>
      </c>
      <c r="B11" s="2" t="s">
        <v>15</v>
      </c>
      <c r="C11" s="10">
        <v>1</v>
      </c>
      <c r="D11" s="11" t="s">
        <v>153</v>
      </c>
    </row>
    <row r="12" spans="1:4" ht="12.75" customHeight="1" x14ac:dyDescent="0.15">
      <c r="A12" s="3" t="s">
        <v>13</v>
      </c>
      <c r="B12" s="2" t="s">
        <v>16</v>
      </c>
      <c r="C12" s="8">
        <v>1</v>
      </c>
      <c r="D12" s="9" t="s">
        <v>154</v>
      </c>
    </row>
    <row r="13" spans="1:4" ht="12.75" customHeight="1" x14ac:dyDescent="0.15">
      <c r="A13" s="3" t="s">
        <v>17</v>
      </c>
      <c r="B13" s="2" t="s">
        <v>18</v>
      </c>
      <c r="C13" s="10">
        <v>0</v>
      </c>
      <c r="D13" s="11" t="s">
        <v>155</v>
      </c>
    </row>
    <row r="14" spans="1:4" ht="12.75" customHeight="1" x14ac:dyDescent="0.15">
      <c r="A14" s="3" t="s">
        <v>2</v>
      </c>
      <c r="B14" s="2" t="s">
        <v>19</v>
      </c>
      <c r="C14" s="8">
        <v>1</v>
      </c>
      <c r="D14" s="9" t="s">
        <v>156</v>
      </c>
    </row>
    <row r="15" spans="1:4" ht="12.75" customHeight="1" x14ac:dyDescent="0.15">
      <c r="A15" s="3" t="s">
        <v>5</v>
      </c>
      <c r="B15" s="2" t="s">
        <v>20</v>
      </c>
      <c r="C15" s="10">
        <v>1</v>
      </c>
      <c r="D15" s="11" t="s">
        <v>157</v>
      </c>
    </row>
    <row r="16" spans="1:4" ht="12.75" customHeight="1" x14ac:dyDescent="0.15">
      <c r="A16" s="3" t="s">
        <v>5</v>
      </c>
      <c r="B16" s="2" t="s">
        <v>21</v>
      </c>
      <c r="C16" s="8">
        <v>1</v>
      </c>
      <c r="D16" s="9" t="s">
        <v>158</v>
      </c>
    </row>
    <row r="17" spans="1:22" ht="15" customHeight="1" x14ac:dyDescent="0.15">
      <c r="A17" s="3" t="s">
        <v>13</v>
      </c>
      <c r="B17" s="2" t="s">
        <v>22</v>
      </c>
      <c r="C17" s="10">
        <v>1</v>
      </c>
      <c r="D17" s="11" t="s">
        <v>159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2.75" customHeight="1" x14ac:dyDescent="0.15">
      <c r="A18" s="3" t="s">
        <v>5</v>
      </c>
      <c r="B18" s="2" t="s">
        <v>21</v>
      </c>
      <c r="C18" s="8">
        <v>1</v>
      </c>
      <c r="D18" s="9" t="s">
        <v>160</v>
      </c>
    </row>
    <row r="19" spans="1:22" ht="12.75" customHeight="1" x14ac:dyDescent="0.15">
      <c r="A19" s="3" t="s">
        <v>13</v>
      </c>
      <c r="B19" s="2" t="s">
        <v>23</v>
      </c>
      <c r="C19" s="10">
        <v>1</v>
      </c>
      <c r="D19" s="11" t="s">
        <v>161</v>
      </c>
    </row>
    <row r="20" spans="1:22" ht="12.75" customHeight="1" x14ac:dyDescent="0.15">
      <c r="A20" s="3" t="s">
        <v>5</v>
      </c>
      <c r="B20" s="2" t="s">
        <v>24</v>
      </c>
      <c r="C20" s="8">
        <v>1</v>
      </c>
      <c r="D20" s="9" t="s">
        <v>162</v>
      </c>
    </row>
    <row r="21" spans="1:22" ht="12.75" customHeight="1" x14ac:dyDescent="0.15">
      <c r="A21" s="3" t="s">
        <v>17</v>
      </c>
      <c r="B21" s="2" t="s">
        <v>25</v>
      </c>
      <c r="C21" s="10">
        <v>0</v>
      </c>
      <c r="D21" s="11" t="s">
        <v>163</v>
      </c>
    </row>
    <row r="22" spans="1:22" ht="12.75" customHeight="1" x14ac:dyDescent="0.15">
      <c r="A22" s="3" t="s">
        <v>5</v>
      </c>
      <c r="B22" s="2" t="s">
        <v>26</v>
      </c>
      <c r="C22" s="8">
        <v>1</v>
      </c>
      <c r="D22" s="9" t="s">
        <v>164</v>
      </c>
    </row>
    <row r="23" spans="1:22" ht="12.75" customHeight="1" x14ac:dyDescent="0.15">
      <c r="A23" s="3" t="s">
        <v>17</v>
      </c>
      <c r="B23" s="2" t="s">
        <v>27</v>
      </c>
      <c r="C23" s="10">
        <v>0</v>
      </c>
      <c r="D23" s="11" t="s">
        <v>165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15">
      <c r="A24" s="3" t="s">
        <v>5</v>
      </c>
      <c r="B24" s="2" t="s">
        <v>28</v>
      </c>
      <c r="C24" s="8">
        <v>1</v>
      </c>
      <c r="D24" s="9" t="s">
        <v>166</v>
      </c>
    </row>
    <row r="25" spans="1:22" ht="12.75" customHeight="1" x14ac:dyDescent="0.15">
      <c r="A25" s="3" t="s">
        <v>13</v>
      </c>
      <c r="B25" s="2" t="s">
        <v>29</v>
      </c>
      <c r="C25" s="10">
        <v>1</v>
      </c>
      <c r="D25" s="11" t="s">
        <v>167</v>
      </c>
    </row>
    <row r="26" spans="1:22" ht="15" customHeight="1" x14ac:dyDescent="0.15">
      <c r="A26" s="3" t="s">
        <v>7</v>
      </c>
      <c r="B26" s="2" t="s">
        <v>30</v>
      </c>
      <c r="C26" s="8">
        <v>1</v>
      </c>
      <c r="D26" s="9" t="s">
        <v>168</v>
      </c>
    </row>
    <row r="27" spans="1:22" ht="12.75" customHeight="1" x14ac:dyDescent="0.15">
      <c r="A27" s="3" t="s">
        <v>5</v>
      </c>
      <c r="B27" s="2" t="s">
        <v>31</v>
      </c>
      <c r="C27" s="10">
        <v>1</v>
      </c>
      <c r="D27" s="11" t="s">
        <v>169</v>
      </c>
    </row>
    <row r="28" spans="1:22" ht="12.75" customHeight="1" x14ac:dyDescent="0.15">
      <c r="A28" s="3" t="s">
        <v>5</v>
      </c>
      <c r="B28" s="2" t="s">
        <v>32</v>
      </c>
      <c r="C28" s="8">
        <v>1</v>
      </c>
      <c r="D28" s="9" t="s">
        <v>170</v>
      </c>
    </row>
    <row r="29" spans="1:22" ht="12.75" customHeight="1" x14ac:dyDescent="0.15">
      <c r="A29" s="3" t="s">
        <v>5</v>
      </c>
      <c r="B29" s="2" t="s">
        <v>33</v>
      </c>
      <c r="C29" s="10">
        <v>1</v>
      </c>
      <c r="D29" s="11" t="s">
        <v>171</v>
      </c>
    </row>
    <row r="30" spans="1:22" ht="12.75" customHeight="1" x14ac:dyDescent="0.15">
      <c r="A30" s="3" t="s">
        <v>34</v>
      </c>
      <c r="B30" s="2" t="s">
        <v>35</v>
      </c>
      <c r="C30" s="8">
        <v>1</v>
      </c>
      <c r="D30" s="9" t="s">
        <v>172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2.75" customHeight="1" x14ac:dyDescent="0.15">
      <c r="A31" s="3" t="s">
        <v>2</v>
      </c>
      <c r="B31" s="2" t="s">
        <v>36</v>
      </c>
      <c r="C31" s="10">
        <v>1</v>
      </c>
      <c r="D31" s="11" t="s">
        <v>173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2.75" customHeight="1" x14ac:dyDescent="0.15">
      <c r="A32" s="3" t="s">
        <v>5</v>
      </c>
      <c r="B32" s="2" t="s">
        <v>37</v>
      </c>
      <c r="C32" s="8">
        <v>1</v>
      </c>
      <c r="D32" s="9" t="s">
        <v>174</v>
      </c>
    </row>
    <row r="33" spans="1:22" ht="12.75" customHeight="1" x14ac:dyDescent="0.15">
      <c r="A33" s="3" t="s">
        <v>13</v>
      </c>
      <c r="B33" s="2" t="s">
        <v>38</v>
      </c>
      <c r="C33" s="10">
        <v>1</v>
      </c>
      <c r="D33" s="11" t="s">
        <v>175</v>
      </c>
    </row>
    <row r="34" spans="1:22" ht="12.75" customHeight="1" x14ac:dyDescent="0.15">
      <c r="A34" s="3" t="s">
        <v>5</v>
      </c>
      <c r="B34" s="2" t="s">
        <v>39</v>
      </c>
      <c r="C34" s="8">
        <v>1</v>
      </c>
      <c r="D34" s="9" t="s">
        <v>176</v>
      </c>
    </row>
    <row r="35" spans="1:22" ht="12.75" customHeight="1" x14ac:dyDescent="0.15">
      <c r="A35" s="3" t="s">
        <v>2</v>
      </c>
      <c r="B35" s="2" t="s">
        <v>40</v>
      </c>
      <c r="C35" s="10">
        <v>1</v>
      </c>
      <c r="D35" s="11" t="s">
        <v>177</v>
      </c>
    </row>
    <row r="36" spans="1:22" ht="12.75" customHeight="1" x14ac:dyDescent="0.15">
      <c r="A36" s="3" t="s">
        <v>2</v>
      </c>
      <c r="B36" s="2" t="s">
        <v>41</v>
      </c>
      <c r="C36" s="8">
        <v>1</v>
      </c>
      <c r="D36" s="9" t="s">
        <v>178</v>
      </c>
    </row>
    <row r="37" spans="1:22" ht="12.75" customHeight="1" x14ac:dyDescent="0.15">
      <c r="A37" s="3" t="s">
        <v>5</v>
      </c>
      <c r="B37" s="2" t="s">
        <v>42</v>
      </c>
      <c r="C37" s="10">
        <v>1</v>
      </c>
      <c r="D37" s="11" t="s">
        <v>179</v>
      </c>
    </row>
    <row r="38" spans="1:22" ht="12.75" customHeight="1" x14ac:dyDescent="0.15">
      <c r="A38" s="3" t="s">
        <v>5</v>
      </c>
      <c r="B38" s="2" t="s">
        <v>43</v>
      </c>
      <c r="C38" s="8">
        <v>1</v>
      </c>
      <c r="D38" s="9" t="s">
        <v>180</v>
      </c>
    </row>
    <row r="39" spans="1:22" ht="15" customHeight="1" x14ac:dyDescent="0.15">
      <c r="A39" s="5" t="s">
        <v>2</v>
      </c>
      <c r="B39" s="6" t="s">
        <v>44</v>
      </c>
      <c r="C39" s="12">
        <v>0</v>
      </c>
      <c r="D39" s="13" t="s">
        <v>181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customHeight="1" x14ac:dyDescent="0.15">
      <c r="A40" s="3" t="s">
        <v>5</v>
      </c>
      <c r="B40" s="2" t="s">
        <v>44</v>
      </c>
      <c r="C40" s="8">
        <v>0</v>
      </c>
      <c r="D40" s="9" t="s">
        <v>182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" customHeight="1" x14ac:dyDescent="0.15">
      <c r="A41" s="3" t="s">
        <v>13</v>
      </c>
      <c r="B41" s="2" t="s">
        <v>44</v>
      </c>
      <c r="C41" s="10">
        <v>0</v>
      </c>
      <c r="D41" s="11" t="s">
        <v>183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" customHeight="1" x14ac:dyDescent="0.15">
      <c r="A42" s="3" t="s">
        <v>17</v>
      </c>
      <c r="B42" s="2" t="s">
        <v>44</v>
      </c>
      <c r="C42" s="8">
        <v>0</v>
      </c>
      <c r="D42" s="9" t="s">
        <v>184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" customHeight="1" x14ac:dyDescent="0.15">
      <c r="A43" s="3" t="s">
        <v>7</v>
      </c>
      <c r="B43" s="2" t="s">
        <v>44</v>
      </c>
      <c r="C43" s="10">
        <v>0</v>
      </c>
      <c r="D43" s="11" t="s">
        <v>185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" customHeight="1" x14ac:dyDescent="0.15">
      <c r="A44" s="3" t="s">
        <v>45</v>
      </c>
      <c r="B44" s="2" t="s">
        <v>44</v>
      </c>
      <c r="C44" s="8">
        <v>0</v>
      </c>
      <c r="D44" s="9" t="s">
        <v>186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" customHeight="1" x14ac:dyDescent="0.15">
      <c r="A45" s="3" t="s">
        <v>34</v>
      </c>
      <c r="B45" s="2" t="s">
        <v>44</v>
      </c>
      <c r="C45" s="10">
        <v>0</v>
      </c>
      <c r="D45" s="11" t="s">
        <v>187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" customHeight="1" x14ac:dyDescent="0.15">
      <c r="A46" s="1"/>
      <c r="B46" s="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" customHeight="1" x14ac:dyDescent="0.15">
      <c r="A47" s="1"/>
      <c r="B47" s="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" customHeight="1" x14ac:dyDescent="0.15">
      <c r="A48" s="1"/>
      <c r="B48" s="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" ht="12.75" customHeight="1" x14ac:dyDescent="0.15">
      <c r="A49" s="1"/>
      <c r="B49" s="2"/>
    </row>
    <row r="50" spans="1:2" ht="12.75" customHeight="1" x14ac:dyDescent="0.15">
      <c r="A50" s="1"/>
      <c r="B50" s="2"/>
    </row>
    <row r="51" spans="1:2" ht="12.75" customHeight="1" x14ac:dyDescent="0.15">
      <c r="A51" s="1"/>
      <c r="B51" s="2"/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3" width="10.6640625" customWidth="1"/>
    <col min="4" max="4" width="70.3320312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7" t="s">
        <v>48</v>
      </c>
      <c r="D1" s="7" t="s">
        <v>47</v>
      </c>
    </row>
    <row r="2" spans="1:4" ht="12.75" customHeight="1" x14ac:dyDescent="0.15">
      <c r="A2" s="3" t="s">
        <v>2</v>
      </c>
      <c r="B2" s="2" t="s">
        <v>3</v>
      </c>
      <c r="C2" s="8">
        <v>1</v>
      </c>
      <c r="D2" s="9" t="s">
        <v>49</v>
      </c>
    </row>
    <row r="3" spans="1:4" ht="12.75" customHeight="1" x14ac:dyDescent="0.15">
      <c r="A3" s="3" t="s">
        <v>2</v>
      </c>
      <c r="B3" s="2" t="s">
        <v>4</v>
      </c>
      <c r="C3" s="10">
        <v>1</v>
      </c>
      <c r="D3" s="11" t="s">
        <v>50</v>
      </c>
    </row>
    <row r="4" spans="1:4" ht="12.75" customHeight="1" x14ac:dyDescent="0.15">
      <c r="A4" s="3" t="s">
        <v>5</v>
      </c>
      <c r="B4" s="2" t="s">
        <v>6</v>
      </c>
      <c r="C4" s="8">
        <v>1</v>
      </c>
      <c r="D4" s="9" t="s">
        <v>51</v>
      </c>
    </row>
    <row r="5" spans="1:4" ht="12.75" customHeight="1" x14ac:dyDescent="0.15">
      <c r="A5" s="3" t="s">
        <v>7</v>
      </c>
      <c r="B5" s="2" t="s">
        <v>8</v>
      </c>
      <c r="C5" s="10">
        <v>1</v>
      </c>
      <c r="D5" s="11" t="s">
        <v>52</v>
      </c>
    </row>
    <row r="6" spans="1:4" ht="12.75" customHeight="1" x14ac:dyDescent="0.15">
      <c r="A6" s="3" t="s">
        <v>5</v>
      </c>
      <c r="B6" s="2" t="s">
        <v>9</v>
      </c>
      <c r="C6" s="8">
        <v>1</v>
      </c>
      <c r="D6" s="9" t="s">
        <v>53</v>
      </c>
    </row>
    <row r="7" spans="1:4" ht="12.75" customHeight="1" x14ac:dyDescent="0.15">
      <c r="A7" s="3" t="s">
        <v>2</v>
      </c>
      <c r="B7" s="2" t="s">
        <v>10</v>
      </c>
      <c r="C7" s="10">
        <v>1</v>
      </c>
      <c r="D7" s="11" t="s">
        <v>54</v>
      </c>
    </row>
    <row r="8" spans="1:4" ht="12.75" customHeight="1" x14ac:dyDescent="0.15">
      <c r="A8" s="3" t="s">
        <v>2</v>
      </c>
      <c r="B8" s="2" t="s">
        <v>11</v>
      </c>
      <c r="C8" s="8">
        <v>1</v>
      </c>
      <c r="D8" s="9" t="s">
        <v>55</v>
      </c>
    </row>
    <row r="9" spans="1:4" ht="12.75" customHeight="1" x14ac:dyDescent="0.15">
      <c r="A9" s="3" t="s">
        <v>5</v>
      </c>
      <c r="B9" s="2" t="s">
        <v>12</v>
      </c>
      <c r="C9" s="10">
        <v>1</v>
      </c>
      <c r="D9" s="11" t="s">
        <v>56</v>
      </c>
    </row>
    <row r="10" spans="1:4" ht="12.75" customHeight="1" x14ac:dyDescent="0.15">
      <c r="A10" s="3" t="s">
        <v>13</v>
      </c>
      <c r="B10" s="2" t="s">
        <v>14</v>
      </c>
      <c r="C10" s="8">
        <v>1</v>
      </c>
      <c r="D10" s="9" t="s">
        <v>57</v>
      </c>
    </row>
    <row r="11" spans="1:4" ht="12.75" customHeight="1" x14ac:dyDescent="0.15">
      <c r="A11" s="3" t="s">
        <v>5</v>
      </c>
      <c r="B11" s="2" t="s">
        <v>15</v>
      </c>
      <c r="C11" s="10">
        <v>1</v>
      </c>
      <c r="D11" s="11" t="s">
        <v>58</v>
      </c>
    </row>
    <row r="12" spans="1:4" ht="12.75" customHeight="1" x14ac:dyDescent="0.15">
      <c r="A12" s="3" t="s">
        <v>13</v>
      </c>
      <c r="B12" s="2" t="s">
        <v>16</v>
      </c>
      <c r="C12" s="8">
        <v>1</v>
      </c>
      <c r="D12" s="9" t="s">
        <v>59</v>
      </c>
    </row>
    <row r="13" spans="1:4" ht="12.75" customHeight="1" x14ac:dyDescent="0.15">
      <c r="A13" s="3" t="s">
        <v>17</v>
      </c>
      <c r="B13" s="2" t="s">
        <v>18</v>
      </c>
      <c r="C13" s="10">
        <v>0</v>
      </c>
      <c r="D13" s="11" t="s">
        <v>60</v>
      </c>
    </row>
    <row r="14" spans="1:4" ht="12.75" customHeight="1" x14ac:dyDescent="0.15">
      <c r="A14" s="3" t="s">
        <v>2</v>
      </c>
      <c r="B14" s="2" t="s">
        <v>19</v>
      </c>
      <c r="C14" s="8">
        <v>1</v>
      </c>
      <c r="D14" s="9" t="s">
        <v>61</v>
      </c>
    </row>
    <row r="15" spans="1:4" ht="12.75" customHeight="1" x14ac:dyDescent="0.15">
      <c r="A15" s="3" t="s">
        <v>5</v>
      </c>
      <c r="B15" s="2" t="s">
        <v>20</v>
      </c>
      <c r="C15" s="10">
        <v>1</v>
      </c>
      <c r="D15" s="11" t="s">
        <v>62</v>
      </c>
    </row>
    <row r="16" spans="1:4" ht="12.75" customHeight="1" x14ac:dyDescent="0.15">
      <c r="A16" s="3" t="s">
        <v>5</v>
      </c>
      <c r="B16" s="2" t="s">
        <v>21</v>
      </c>
      <c r="C16" s="8">
        <v>1</v>
      </c>
      <c r="D16" s="9" t="s">
        <v>63</v>
      </c>
    </row>
    <row r="17" spans="1:22" ht="15" customHeight="1" x14ac:dyDescent="0.15">
      <c r="A17" s="3" t="s">
        <v>13</v>
      </c>
      <c r="B17" s="2" t="s">
        <v>22</v>
      </c>
      <c r="C17" s="10">
        <v>0.5</v>
      </c>
      <c r="D17" s="11" t="s">
        <v>64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2.75" customHeight="1" x14ac:dyDescent="0.15">
      <c r="A18" s="3" t="s">
        <v>5</v>
      </c>
      <c r="B18" s="2" t="s">
        <v>21</v>
      </c>
      <c r="C18" s="8">
        <v>1</v>
      </c>
      <c r="D18" s="9" t="s">
        <v>65</v>
      </c>
    </row>
    <row r="19" spans="1:22" ht="12.75" customHeight="1" x14ac:dyDescent="0.15">
      <c r="A19" s="3" t="s">
        <v>13</v>
      </c>
      <c r="B19" s="2" t="s">
        <v>23</v>
      </c>
      <c r="C19" s="10">
        <v>0.5</v>
      </c>
      <c r="D19" s="11" t="s">
        <v>66</v>
      </c>
    </row>
    <row r="20" spans="1:22" ht="12.75" customHeight="1" x14ac:dyDescent="0.15">
      <c r="A20" s="3" t="s">
        <v>5</v>
      </c>
      <c r="B20" s="2" t="s">
        <v>24</v>
      </c>
      <c r="C20" s="8">
        <v>0</v>
      </c>
      <c r="D20" s="9" t="s">
        <v>67</v>
      </c>
    </row>
    <row r="21" spans="1:22" ht="12.75" customHeight="1" x14ac:dyDescent="0.15">
      <c r="A21" s="3" t="s">
        <v>17</v>
      </c>
      <c r="B21" s="2" t="s">
        <v>25</v>
      </c>
      <c r="C21" s="10">
        <v>0</v>
      </c>
      <c r="D21" s="11" t="s">
        <v>68</v>
      </c>
    </row>
    <row r="22" spans="1:22" ht="12.75" customHeight="1" x14ac:dyDescent="0.15">
      <c r="A22" s="3" t="s">
        <v>5</v>
      </c>
      <c r="B22" s="2" t="s">
        <v>26</v>
      </c>
      <c r="C22" s="8">
        <v>0</v>
      </c>
      <c r="D22" s="9" t="s">
        <v>69</v>
      </c>
    </row>
    <row r="23" spans="1:22" ht="12.75" customHeight="1" x14ac:dyDescent="0.15">
      <c r="A23" s="3" t="s">
        <v>17</v>
      </c>
      <c r="B23" s="2" t="s">
        <v>27</v>
      </c>
      <c r="C23" s="10">
        <v>0</v>
      </c>
      <c r="D23" s="11" t="s">
        <v>70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15">
      <c r="A24" s="3" t="s">
        <v>5</v>
      </c>
      <c r="B24" s="2" t="s">
        <v>28</v>
      </c>
      <c r="C24" s="8">
        <v>1</v>
      </c>
      <c r="D24" s="9" t="s">
        <v>71</v>
      </c>
    </row>
    <row r="25" spans="1:22" ht="12.75" customHeight="1" x14ac:dyDescent="0.15">
      <c r="A25" s="3" t="s">
        <v>13</v>
      </c>
      <c r="B25" s="2" t="s">
        <v>29</v>
      </c>
      <c r="C25" s="10">
        <v>0.5</v>
      </c>
      <c r="D25" s="11" t="s">
        <v>72</v>
      </c>
    </row>
    <row r="26" spans="1:22" ht="15" customHeight="1" x14ac:dyDescent="0.15">
      <c r="A26" s="3" t="s">
        <v>7</v>
      </c>
      <c r="B26" s="2" t="s">
        <v>30</v>
      </c>
      <c r="C26" s="8">
        <v>0.5</v>
      </c>
      <c r="D26" s="9" t="s">
        <v>73</v>
      </c>
    </row>
    <row r="27" spans="1:22" ht="12.75" customHeight="1" x14ac:dyDescent="0.15">
      <c r="A27" s="3" t="s">
        <v>5</v>
      </c>
      <c r="B27" s="2" t="s">
        <v>31</v>
      </c>
      <c r="C27" s="10">
        <v>1</v>
      </c>
      <c r="D27" s="11" t="s">
        <v>74</v>
      </c>
    </row>
    <row r="28" spans="1:22" ht="12.75" customHeight="1" x14ac:dyDescent="0.15">
      <c r="A28" s="3" t="s">
        <v>5</v>
      </c>
      <c r="B28" s="2" t="s">
        <v>32</v>
      </c>
      <c r="C28" s="8">
        <v>1</v>
      </c>
      <c r="D28" s="9" t="s">
        <v>75</v>
      </c>
    </row>
    <row r="29" spans="1:22" ht="12.75" customHeight="1" x14ac:dyDescent="0.15">
      <c r="A29" s="3" t="s">
        <v>5</v>
      </c>
      <c r="B29" s="2" t="s">
        <v>33</v>
      </c>
      <c r="C29" s="10">
        <v>1</v>
      </c>
      <c r="D29" s="11" t="s">
        <v>76</v>
      </c>
    </row>
    <row r="30" spans="1:22" ht="12.75" customHeight="1" x14ac:dyDescent="0.15">
      <c r="A30" s="3" t="s">
        <v>34</v>
      </c>
      <c r="B30" s="2" t="s">
        <v>35</v>
      </c>
      <c r="C30" s="8">
        <v>0</v>
      </c>
      <c r="D30" s="9" t="s">
        <v>77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2.75" customHeight="1" x14ac:dyDescent="0.15">
      <c r="A31" s="3" t="s">
        <v>2</v>
      </c>
      <c r="B31" s="2" t="s">
        <v>36</v>
      </c>
      <c r="C31" s="10">
        <v>1</v>
      </c>
      <c r="D31" s="11" t="s">
        <v>78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2.75" customHeight="1" x14ac:dyDescent="0.15">
      <c r="A32" s="3" t="s">
        <v>5</v>
      </c>
      <c r="B32" s="2" t="s">
        <v>37</v>
      </c>
      <c r="C32" s="8">
        <v>1</v>
      </c>
      <c r="D32" s="9" t="s">
        <v>79</v>
      </c>
    </row>
    <row r="33" spans="1:22" ht="12.75" customHeight="1" x14ac:dyDescent="0.15">
      <c r="A33" s="3" t="s">
        <v>13</v>
      </c>
      <c r="B33" s="2" t="s">
        <v>38</v>
      </c>
      <c r="C33" s="10">
        <v>0.5</v>
      </c>
      <c r="D33" s="11" t="s">
        <v>80</v>
      </c>
    </row>
    <row r="34" spans="1:22" ht="12.75" customHeight="1" x14ac:dyDescent="0.15">
      <c r="A34" s="3" t="s">
        <v>5</v>
      </c>
      <c r="B34" s="2" t="s">
        <v>39</v>
      </c>
      <c r="C34" s="8">
        <v>1</v>
      </c>
      <c r="D34" s="9" t="s">
        <v>81</v>
      </c>
    </row>
    <row r="35" spans="1:22" ht="12.75" customHeight="1" x14ac:dyDescent="0.15">
      <c r="A35" s="3" t="s">
        <v>2</v>
      </c>
      <c r="B35" s="2" t="s">
        <v>40</v>
      </c>
      <c r="C35" s="10">
        <v>1</v>
      </c>
      <c r="D35" s="11" t="s">
        <v>82</v>
      </c>
    </row>
    <row r="36" spans="1:22" ht="12.75" customHeight="1" x14ac:dyDescent="0.15">
      <c r="A36" s="3" t="s">
        <v>2</v>
      </c>
      <c r="B36" s="2" t="s">
        <v>41</v>
      </c>
      <c r="C36" s="8">
        <v>1</v>
      </c>
      <c r="D36" s="9" t="s">
        <v>83</v>
      </c>
    </row>
    <row r="37" spans="1:22" ht="12.75" customHeight="1" x14ac:dyDescent="0.15">
      <c r="A37" s="3" t="s">
        <v>5</v>
      </c>
      <c r="B37" s="2" t="s">
        <v>42</v>
      </c>
      <c r="C37" s="10">
        <v>0.5</v>
      </c>
      <c r="D37" s="11" t="s">
        <v>84</v>
      </c>
    </row>
    <row r="38" spans="1:22" ht="12.75" customHeight="1" x14ac:dyDescent="0.15">
      <c r="A38" s="3" t="s">
        <v>5</v>
      </c>
      <c r="B38" s="2" t="s">
        <v>43</v>
      </c>
      <c r="C38" s="8">
        <v>1</v>
      </c>
      <c r="D38" s="9" t="s">
        <v>85</v>
      </c>
    </row>
    <row r="39" spans="1:22" ht="15" customHeight="1" x14ac:dyDescent="0.15">
      <c r="A39" s="5" t="s">
        <v>2</v>
      </c>
      <c r="B39" s="6" t="s">
        <v>44</v>
      </c>
      <c r="C39" s="12">
        <v>0</v>
      </c>
      <c r="D39" s="13" t="s">
        <v>86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customHeight="1" x14ac:dyDescent="0.15">
      <c r="A40" s="3" t="s">
        <v>5</v>
      </c>
      <c r="B40" s="2" t="s">
        <v>44</v>
      </c>
      <c r="C40" s="8">
        <v>0</v>
      </c>
      <c r="D40" s="9" t="s">
        <v>87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" customHeight="1" x14ac:dyDescent="0.15">
      <c r="A41" s="3" t="s">
        <v>13</v>
      </c>
      <c r="B41" s="2" t="s">
        <v>44</v>
      </c>
      <c r="C41" s="10">
        <v>0</v>
      </c>
      <c r="D41" s="11" t="s">
        <v>88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" customHeight="1" x14ac:dyDescent="0.15">
      <c r="A42" s="3" t="s">
        <v>17</v>
      </c>
      <c r="B42" s="2" t="s">
        <v>44</v>
      </c>
      <c r="C42" s="8">
        <v>0</v>
      </c>
      <c r="D42" s="9" t="s">
        <v>89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" customHeight="1" x14ac:dyDescent="0.15">
      <c r="A43" s="3" t="s">
        <v>7</v>
      </c>
      <c r="B43" s="2" t="s">
        <v>44</v>
      </c>
      <c r="C43" s="10">
        <v>0</v>
      </c>
      <c r="D43" s="11" t="s">
        <v>90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" customHeight="1" x14ac:dyDescent="0.15">
      <c r="A44" s="3" t="s">
        <v>45</v>
      </c>
      <c r="B44" s="2" t="s">
        <v>44</v>
      </c>
      <c r="C44" s="8">
        <v>0</v>
      </c>
      <c r="D44" s="9" t="s">
        <v>91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" customHeight="1" x14ac:dyDescent="0.15">
      <c r="A45" s="3" t="s">
        <v>34</v>
      </c>
      <c r="B45" s="2" t="s">
        <v>44</v>
      </c>
      <c r="C45" s="10">
        <v>0</v>
      </c>
      <c r="D45" s="11" t="s">
        <v>92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" customHeight="1" x14ac:dyDescent="0.15">
      <c r="A46" s="1"/>
      <c r="B46" s="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" customHeight="1" x14ac:dyDescent="0.15">
      <c r="A47" s="1"/>
      <c r="B47" s="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" customHeight="1" x14ac:dyDescent="0.15">
      <c r="A48" s="1"/>
      <c r="B48" s="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" ht="12.75" customHeight="1" x14ac:dyDescent="0.15">
      <c r="A49" s="1"/>
      <c r="B49" s="2"/>
    </row>
    <row r="50" spans="1:2" ht="12.75" customHeight="1" x14ac:dyDescent="0.15">
      <c r="A50" s="1"/>
      <c r="B50" s="2"/>
    </row>
    <row r="51" spans="1:2" ht="12.75" customHeight="1" x14ac:dyDescent="0.15">
      <c r="A51" s="1"/>
      <c r="B51" s="2"/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abSelected="1" workbookViewId="0">
      <selection activeCell="J7" sqref="J7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63" t="s">
        <v>93</v>
      </c>
      <c r="B1" s="62"/>
      <c r="C1" s="62"/>
      <c r="D1" s="62"/>
      <c r="E1" s="62"/>
      <c r="F1" s="62"/>
      <c r="G1" s="62"/>
      <c r="H1" s="62"/>
      <c r="J1" s="14" t="s">
        <v>94</v>
      </c>
    </row>
    <row r="2" spans="1:10" ht="15.75" customHeight="1" x14ac:dyDescent="0.15">
      <c r="A2" s="15" t="s">
        <v>0</v>
      </c>
      <c r="B2" s="15" t="s">
        <v>95</v>
      </c>
      <c r="C2" s="15" t="s">
        <v>96</v>
      </c>
      <c r="D2" s="15" t="s">
        <v>97</v>
      </c>
      <c r="E2" s="15" t="s">
        <v>98</v>
      </c>
      <c r="F2" s="15" t="s">
        <v>99</v>
      </c>
      <c r="G2" s="15" t="s">
        <v>100</v>
      </c>
      <c r="H2" s="15" t="s">
        <v>101</v>
      </c>
      <c r="J2" s="4" t="s">
        <v>102</v>
      </c>
    </row>
    <row r="3" spans="1:10" ht="15.75" customHeight="1" x14ac:dyDescent="0.15">
      <c r="A3" s="16" t="s">
        <v>7</v>
      </c>
      <c r="B3" s="17">
        <f>COUNTIF(printer!$A$2:$A$38, A3)</f>
        <v>2</v>
      </c>
      <c r="C3" s="17">
        <f>SUMIF('GPT-5 Generation'!$A$2:$A$38, $A3, 'GPT-5 Generation'!$C$2:$C$38)</f>
        <v>2</v>
      </c>
      <c r="D3" s="17">
        <f>SUMIF('GPT-5 Generation'!$A$39:$A$45, $A3, 'GPT-5 Generation'!$C$39:$C$45)</f>
        <v>0</v>
      </c>
      <c r="E3" s="18">
        <f>COUNTIFS('GPT-5 Generation'!$A$2:$A$38, $A3, 'GPT-5 Generation'!$C$2:$C$38,0)</f>
        <v>0</v>
      </c>
      <c r="F3" s="18">
        <f t="shared" ref="F3:F10" si="0">IFERROR(C3 / (C3 + D3), "Not Available")</f>
        <v>1</v>
      </c>
      <c r="G3" s="18">
        <f t="shared" ref="G3:G10" si="1">IFERROR(C3 / B3, "Not Available")</f>
        <v>1</v>
      </c>
      <c r="H3" s="18">
        <f t="shared" ref="H3:H10" si="2">IFERROR(2*((F3*G3)/(F3+G3)),"Not Available")</f>
        <v>1</v>
      </c>
    </row>
    <row r="4" spans="1:10" ht="15.75" customHeight="1" x14ac:dyDescent="0.15">
      <c r="A4" s="19" t="s">
        <v>2</v>
      </c>
      <c r="B4" s="17">
        <f>COUNTIF(printer!$A$2:$A$38, A4)</f>
        <v>8</v>
      </c>
      <c r="C4" s="17">
        <f>SUMIF('GPT-5 Generation'!$A$2:$A$38, $A4, 'GPT-5 Generation'!$C$2:$C$38)</f>
        <v>8</v>
      </c>
      <c r="D4" s="17">
        <f>SUMIF('GPT-5 Generation'!$A$39:$A$45, $A4, 'GPT-5 Generation'!$C$39:$C$45)</f>
        <v>0</v>
      </c>
      <c r="E4" s="18">
        <f>COUNTIFS('GPT-5 Generation'!$A$2:$A$38, $A4, 'GPT-5 Generation'!$C$2:$C$38,0)</f>
        <v>0</v>
      </c>
      <c r="F4" s="18">
        <f t="shared" si="0"/>
        <v>1</v>
      </c>
      <c r="G4" s="18">
        <f t="shared" si="1"/>
        <v>1</v>
      </c>
      <c r="H4" s="18">
        <f t="shared" si="2"/>
        <v>1</v>
      </c>
      <c r="J4" s="20" t="s">
        <v>103</v>
      </c>
    </row>
    <row r="5" spans="1:10" ht="15.75" customHeight="1" x14ac:dyDescent="0.15">
      <c r="A5" s="19" t="s">
        <v>5</v>
      </c>
      <c r="B5" s="17">
        <f>COUNTIF(printer!$A$2:$A$38, A5)</f>
        <v>17</v>
      </c>
      <c r="C5" s="17">
        <f>SUMIF('GPT-5 Generation'!$A$2:$A$38, $A5, 'GPT-5 Generation'!$C$2:$C$38)</f>
        <v>17</v>
      </c>
      <c r="D5" s="17">
        <f>SUMIF('GPT-5 Generation'!$A$39:$A$45, $A5, 'GPT-5 Generation'!$C$39:$C$45)</f>
        <v>0</v>
      </c>
      <c r="E5" s="18">
        <f>COUNTIFS('GPT-5 Generation'!$A$2:$A$38, $A5, 'GPT-5 Generation'!$C$2:$C$38,0)</f>
        <v>0</v>
      </c>
      <c r="F5" s="18">
        <f t="shared" si="0"/>
        <v>1</v>
      </c>
      <c r="G5" s="18">
        <f t="shared" si="1"/>
        <v>1</v>
      </c>
      <c r="H5" s="18">
        <f t="shared" si="2"/>
        <v>1</v>
      </c>
      <c r="J5" s="21" t="s">
        <v>104</v>
      </c>
    </row>
    <row r="6" spans="1:10" ht="15.75" customHeight="1" x14ac:dyDescent="0.15">
      <c r="A6" s="19" t="s">
        <v>17</v>
      </c>
      <c r="B6" s="17">
        <f>COUNTIF(printer!$A$2:$A$38, A6)</f>
        <v>3</v>
      </c>
      <c r="C6" s="17">
        <f>SUMIF('GPT-5 Generation'!$A$2:$A$38, $A6, 'GPT-5 Generation'!$C$2:$C$38)</f>
        <v>0</v>
      </c>
      <c r="D6" s="17">
        <f>SUMIF('GPT-5 Generation'!$A$39:$A$45, $A6, 'GPT-5 Generation'!$C$39:$C$45)</f>
        <v>0</v>
      </c>
      <c r="E6" s="18">
        <f>COUNTIFS('GPT-5 Generation'!$A$2:$A$38, $A6, 'GPT-5 Generation'!$C$2:$C$38,0)</f>
        <v>3</v>
      </c>
      <c r="F6" s="18" t="str">
        <f t="shared" si="0"/>
        <v>Not Available</v>
      </c>
      <c r="G6" s="18">
        <f t="shared" si="1"/>
        <v>0</v>
      </c>
      <c r="H6" s="18" t="str">
        <f t="shared" si="2"/>
        <v>Not Available</v>
      </c>
    </row>
    <row r="7" spans="1:10" ht="15.75" customHeight="1" x14ac:dyDescent="0.15">
      <c r="A7" s="19" t="s">
        <v>45</v>
      </c>
      <c r="B7" s="17">
        <f>COUNTIF(printer!$A$2:$A$38, A7)</f>
        <v>0</v>
      </c>
      <c r="C7" s="17">
        <f>SUMIF('GPT-5 Generation'!$A$2:$A$38, $A7, 'GPT-5 Generation'!$C$2:$C$38)</f>
        <v>0</v>
      </c>
      <c r="D7" s="17">
        <f>SUMIF('GPT-5 Generation'!$A$39:$A$45, $A7, 'GPT-5 Generation'!$C$39:$C$45)</f>
        <v>0</v>
      </c>
      <c r="E7" s="18">
        <f>COUNTIFS('GPT-5 Generation'!$A$2:$A$38, $A7, 'GPT-5 Generation'!$C$2:$C$38,0)</f>
        <v>0</v>
      </c>
      <c r="F7" s="18" t="str">
        <f t="shared" si="0"/>
        <v>Not Available</v>
      </c>
      <c r="G7" s="18" t="str">
        <f t="shared" si="1"/>
        <v>Not Available</v>
      </c>
      <c r="H7" s="18" t="str">
        <f t="shared" si="2"/>
        <v>Not Available</v>
      </c>
      <c r="J7" s="66" t="s">
        <v>188</v>
      </c>
    </row>
    <row r="8" spans="1:10" ht="15.75" customHeight="1" x14ac:dyDescent="0.15">
      <c r="A8" s="19" t="s">
        <v>34</v>
      </c>
      <c r="B8" s="17">
        <f>COUNTIF(printer!$A$2:$A$38, A8)</f>
        <v>1</v>
      </c>
      <c r="C8" s="17">
        <f>SUMIF('GPT-5 Generation'!$A$2:$A$38, $A8, 'GPT-5 Generation'!$C$2:$C$38)</f>
        <v>1</v>
      </c>
      <c r="D8" s="17">
        <f>SUMIF('GPT-5 Generation'!$A$39:$A$45, $A8, 'GPT-5 Generation'!$C$39:$C$45)</f>
        <v>0</v>
      </c>
      <c r="E8" s="18">
        <f>COUNTIFS('GPT-5 Generation'!$A$2:$A$38, $A8, 'GPT-5 Generation'!$C$2:$C$38,0)</f>
        <v>0</v>
      </c>
      <c r="F8" s="18">
        <f t="shared" si="0"/>
        <v>1</v>
      </c>
      <c r="G8" s="18">
        <f t="shared" si="1"/>
        <v>1</v>
      </c>
      <c r="H8" s="18">
        <f t="shared" si="2"/>
        <v>1</v>
      </c>
      <c r="J8" s="60" t="s">
        <v>105</v>
      </c>
    </row>
    <row r="9" spans="1:10" ht="15.75" customHeight="1" x14ac:dyDescent="0.15">
      <c r="A9" s="19" t="s">
        <v>13</v>
      </c>
      <c r="B9" s="17">
        <f>COUNTIF(printer!$A$2:$A$38, A9)</f>
        <v>6</v>
      </c>
      <c r="C9" s="17">
        <f>SUMIF('GPT-5 Generation'!$A$2:$A$38, $A9, 'GPT-5 Generation'!$C$2:$C$38)</f>
        <v>6</v>
      </c>
      <c r="D9" s="17">
        <f>SUMIF('GPT-5 Generation'!$A$39:$A$45, $A9, 'GPT-5 Generation'!$C$39:$C$45)</f>
        <v>0</v>
      </c>
      <c r="E9" s="18">
        <f>COUNTIFS('GPT-5 Generation'!$A$2:$A$38, $A9, 'GPT-5 Generation'!$C$2:$C$38,0)</f>
        <v>0</v>
      </c>
      <c r="F9" s="18">
        <f t="shared" si="0"/>
        <v>1</v>
      </c>
      <c r="G9" s="18">
        <f t="shared" si="1"/>
        <v>1</v>
      </c>
      <c r="H9" s="18">
        <f t="shared" si="2"/>
        <v>1</v>
      </c>
      <c r="J9" t="s">
        <v>104</v>
      </c>
    </row>
    <row r="10" spans="1:10" ht="15.75" customHeight="1" x14ac:dyDescent="0.15">
      <c r="A10" s="19" t="s">
        <v>106</v>
      </c>
      <c r="B10" s="18">
        <f>SUM(B3:B9)</f>
        <v>37</v>
      </c>
      <c r="C10" s="18">
        <f>SUM(C3:C9)</f>
        <v>34</v>
      </c>
      <c r="D10" s="18">
        <f>SUM(D3:D9)</f>
        <v>0</v>
      </c>
      <c r="E10" s="18">
        <f>SUM(E3:E9)</f>
        <v>3</v>
      </c>
      <c r="F10" s="18">
        <f t="shared" si="0"/>
        <v>1</v>
      </c>
      <c r="G10" s="18">
        <f t="shared" si="1"/>
        <v>0.91891891891891897</v>
      </c>
      <c r="H10" s="18">
        <f t="shared" si="2"/>
        <v>0.95774647887323949</v>
      </c>
    </row>
    <row r="11" spans="1:10" ht="15.75" customHeight="1" x14ac:dyDescent="0.15"/>
    <row r="12" spans="1:10" ht="15.75" customHeight="1" x14ac:dyDescent="0.15">
      <c r="A12" s="63" t="s">
        <v>107</v>
      </c>
      <c r="B12" s="62"/>
      <c r="C12" s="62"/>
      <c r="D12" s="62"/>
      <c r="E12" s="62"/>
      <c r="F12" s="62"/>
      <c r="G12" s="62"/>
      <c r="H12" s="62"/>
    </row>
    <row r="13" spans="1:10" ht="15.75" customHeight="1" x14ac:dyDescent="0.15">
      <c r="A13" s="15" t="s">
        <v>0</v>
      </c>
      <c r="B13" s="15" t="s">
        <v>95</v>
      </c>
      <c r="C13" s="15" t="s">
        <v>96</v>
      </c>
      <c r="D13" s="15" t="s">
        <v>97</v>
      </c>
      <c r="E13" s="15" t="s">
        <v>98</v>
      </c>
      <c r="F13" s="15" t="s">
        <v>99</v>
      </c>
      <c r="G13" s="15" t="s">
        <v>100</v>
      </c>
      <c r="H13" s="15" t="s">
        <v>101</v>
      </c>
    </row>
    <row r="14" spans="1:10" ht="15.75" customHeight="1" x14ac:dyDescent="0.15">
      <c r="A14" s="16" t="s">
        <v>108</v>
      </c>
      <c r="B14" s="17">
        <f>COUNTIF(printer!$A$2:$A$38, A14)</f>
        <v>2</v>
      </c>
      <c r="C14" s="17">
        <f>SUMIF('Claude Sonnet 4.5 Gen'!$A$2:$A$38, $A14, 'Claude Sonnet 4.5 Gen'!$C$2:$C$38)</f>
        <v>1.5</v>
      </c>
      <c r="D14" s="17">
        <f>SUMIF('Claude Sonnet 4.5 Gen'!$A$39:$A$45, $A3, 'Claude Sonnet 4.5 Gen'!$C$39:$C$45)</f>
        <v>0</v>
      </c>
      <c r="E14" s="17">
        <f>COUNTIFS('Claude Sonnet 4.5 Gen'!$A$2:$A$38, $A3, 'Claude Sonnet 4.5 Gen'!$C$2:$C$38,0)</f>
        <v>0</v>
      </c>
      <c r="F14" s="18">
        <f t="shared" ref="F14:F21" si="3">IFERROR(C14 / (C14 + D14), "Not Available")</f>
        <v>1</v>
      </c>
      <c r="G14" s="18">
        <f t="shared" ref="G14:G21" si="4">IFERROR(C14 / B14, "Not Available")</f>
        <v>0.75</v>
      </c>
      <c r="H14" s="18">
        <f t="shared" ref="H14:H21" si="5">IFERROR(2*((F14*G14)/(F14+G14)),"Not Available")</f>
        <v>0.8571428571428571</v>
      </c>
    </row>
    <row r="15" spans="1:10" ht="15.75" customHeight="1" x14ac:dyDescent="0.15">
      <c r="A15" s="19" t="s">
        <v>2</v>
      </c>
      <c r="B15" s="17">
        <f>COUNTIF(printer!$A$2:$A$38, A15)</f>
        <v>8</v>
      </c>
      <c r="C15" s="17">
        <f>SUMIF('Claude Sonnet 4.5 Gen'!$A$2:$A$38, $A15, 'Claude Sonnet 4.5 Gen'!$C$2:$C$38)</f>
        <v>8</v>
      </c>
      <c r="D15" s="17">
        <f>SUMIF('Claude Sonnet 4.5 Gen'!$A$39:$A$45, $A4, 'Claude Sonnet 4.5 Gen'!$C$39:$C$45)</f>
        <v>0</v>
      </c>
      <c r="E15" s="17">
        <f>COUNTIFS('Claude Sonnet 4.5 Gen'!$A$2:$A$38, $A4, 'Claude Sonnet 4.5 Gen'!$C$2:$C$38,0)</f>
        <v>0</v>
      </c>
      <c r="F15" s="18">
        <f t="shared" si="3"/>
        <v>1</v>
      </c>
      <c r="G15" s="18">
        <f t="shared" si="4"/>
        <v>1</v>
      </c>
      <c r="H15" s="18">
        <f t="shared" si="5"/>
        <v>1</v>
      </c>
    </row>
    <row r="16" spans="1:10" ht="15.75" customHeight="1" x14ac:dyDescent="0.15">
      <c r="A16" s="19" t="s">
        <v>5</v>
      </c>
      <c r="B16" s="17">
        <f>COUNTIF(printer!$A$2:$A$38, A16)</f>
        <v>17</v>
      </c>
      <c r="C16" s="17">
        <f>SUMIF('Claude Sonnet 4.5 Gen'!$A$2:$A$38, $A16, 'Claude Sonnet 4.5 Gen'!$C$2:$C$38)</f>
        <v>14.5</v>
      </c>
      <c r="D16" s="17">
        <f>SUMIF('Claude Sonnet 4.5 Gen'!$A$39:$A$45, $A5, 'Claude Sonnet 4.5 Gen'!$C$39:$C$45)</f>
        <v>0</v>
      </c>
      <c r="E16" s="17">
        <f>COUNTIFS('Claude Sonnet 4.5 Gen'!$A$2:$A$38, $A5, 'Claude Sonnet 4.5 Gen'!$C$2:$C$38,0)</f>
        <v>2</v>
      </c>
      <c r="F16" s="18">
        <f t="shared" si="3"/>
        <v>1</v>
      </c>
      <c r="G16" s="18">
        <f t="shared" si="4"/>
        <v>0.8529411764705882</v>
      </c>
      <c r="H16" s="18">
        <f t="shared" si="5"/>
        <v>0.92063492063492058</v>
      </c>
    </row>
    <row r="17" spans="1:8" ht="15.75" customHeight="1" x14ac:dyDescent="0.15">
      <c r="A17" s="19" t="s">
        <v>17</v>
      </c>
      <c r="B17" s="17">
        <f>COUNTIF(printer!$A$2:$A$38, A17)</f>
        <v>3</v>
      </c>
      <c r="C17" s="17">
        <f>SUMIF('Claude Sonnet 4.5 Gen'!$A$2:$A$38, $A17, 'Claude Sonnet 4.5 Gen'!$C$2:$C$38)</f>
        <v>0</v>
      </c>
      <c r="D17" s="17">
        <f>SUMIF('Claude Sonnet 4.5 Gen'!$A$39:$A$45, $A6, 'Claude Sonnet 4.5 Gen'!$C$39:$C$45)</f>
        <v>0</v>
      </c>
      <c r="E17" s="17">
        <f>COUNTIFS('Claude Sonnet 4.5 Gen'!$A$2:$A$38, $A6, 'Claude Sonnet 4.5 Gen'!$C$2:$C$38,0)</f>
        <v>3</v>
      </c>
      <c r="F17" s="18" t="str">
        <f t="shared" si="3"/>
        <v>Not Available</v>
      </c>
      <c r="G17" s="18">
        <f t="shared" si="4"/>
        <v>0</v>
      </c>
      <c r="H17" s="18" t="str">
        <f t="shared" si="5"/>
        <v>Not Available</v>
      </c>
    </row>
    <row r="18" spans="1:8" ht="15.75" customHeight="1" x14ac:dyDescent="0.15">
      <c r="A18" s="19" t="s">
        <v>45</v>
      </c>
      <c r="B18" s="17">
        <f>COUNTIF(printer!$A$2:$A$38, A18)</f>
        <v>0</v>
      </c>
      <c r="C18" s="17">
        <f>SUMIF('Claude Sonnet 4.5 Gen'!$A$2:$A$38, $A18, 'Claude Sonnet 4.5 Gen'!$C$2:$C$38)</f>
        <v>0</v>
      </c>
      <c r="D18" s="17">
        <f>SUMIF('Claude Sonnet 4.5 Gen'!$A$39:$A$45, $A7, 'Claude Sonnet 4.5 Gen'!$C$39:$C$45)</f>
        <v>0</v>
      </c>
      <c r="E18" s="17">
        <f>COUNTIFS('Claude Sonnet 4.5 Gen'!$A$2:$A$38, $A7, 'Claude Sonnet 4.5 Gen'!$C$2:$C$38,0)</f>
        <v>0</v>
      </c>
      <c r="F18" s="18" t="str">
        <f t="shared" si="3"/>
        <v>Not Available</v>
      </c>
      <c r="G18" s="18" t="str">
        <f t="shared" si="4"/>
        <v>Not Available</v>
      </c>
      <c r="H18" s="18" t="str">
        <f t="shared" si="5"/>
        <v>Not Available</v>
      </c>
    </row>
    <row r="19" spans="1:8" ht="15.75" customHeight="1" x14ac:dyDescent="0.15">
      <c r="A19" s="19" t="s">
        <v>34</v>
      </c>
      <c r="B19" s="17">
        <f>COUNTIF(printer!$A$2:$A$38, A19)</f>
        <v>1</v>
      </c>
      <c r="C19" s="17">
        <f>SUMIF('Claude Sonnet 4.5 Gen'!$A$2:$A$38, $A19, 'Claude Sonnet 4.5 Gen'!$C$2:$C$38)</f>
        <v>0</v>
      </c>
      <c r="D19" s="17">
        <f>SUMIF('Claude Sonnet 4.5 Gen'!$A$39:$A$45, $A8, 'Claude Sonnet 4.5 Gen'!$C$39:$C$45)</f>
        <v>0</v>
      </c>
      <c r="E19" s="17">
        <f>COUNTIFS('Claude Sonnet 4.5 Gen'!$A$2:$A$38, $A8, 'Claude Sonnet 4.5 Gen'!$C$2:$C$38,0)</f>
        <v>1</v>
      </c>
      <c r="F19" s="18" t="str">
        <f t="shared" si="3"/>
        <v>Not Available</v>
      </c>
      <c r="G19" s="18">
        <f t="shared" si="4"/>
        <v>0</v>
      </c>
      <c r="H19" s="18" t="str">
        <f t="shared" si="5"/>
        <v>Not Available</v>
      </c>
    </row>
    <row r="20" spans="1:8" ht="15.75" customHeight="1" x14ac:dyDescent="0.15">
      <c r="A20" s="19" t="s">
        <v>13</v>
      </c>
      <c r="B20" s="17">
        <f>COUNTIF(printer!$A$2:$A$38, A20)</f>
        <v>6</v>
      </c>
      <c r="C20" s="17">
        <f>SUMIF('Claude Sonnet 4.5 Gen'!$A$2:$A$38, $A20, 'Claude Sonnet 4.5 Gen'!$C$2:$C$38)</f>
        <v>4</v>
      </c>
      <c r="D20" s="17">
        <f>SUMIF('Claude Sonnet 4.5 Gen'!$A$39:$A$45, $A9, 'Claude Sonnet 4.5 Gen'!$C$39:$C$45)</f>
        <v>0</v>
      </c>
      <c r="E20" s="17">
        <f>COUNTIFS('Claude Sonnet 4.5 Gen'!$A$2:$A$38, $A9, 'Claude Sonnet 4.5 Gen'!$C$2:$C$38,0)</f>
        <v>0</v>
      </c>
      <c r="F20" s="18">
        <f t="shared" si="3"/>
        <v>1</v>
      </c>
      <c r="G20" s="18">
        <f t="shared" si="4"/>
        <v>0.66666666666666663</v>
      </c>
      <c r="H20" s="18">
        <f t="shared" si="5"/>
        <v>0.8</v>
      </c>
    </row>
    <row r="21" spans="1:8" ht="15.75" customHeight="1" x14ac:dyDescent="0.15">
      <c r="A21" s="19" t="s">
        <v>106</v>
      </c>
      <c r="B21" s="18">
        <f>SUM(B14:B20)</f>
        <v>37</v>
      </c>
      <c r="C21" s="18">
        <f>SUM(C14:C20)</f>
        <v>28</v>
      </c>
      <c r="D21" s="18">
        <f>SUM(D14:D20)</f>
        <v>0</v>
      </c>
      <c r="E21" s="18">
        <f>SUM(E14:E20)</f>
        <v>6</v>
      </c>
      <c r="F21" s="18">
        <f t="shared" si="3"/>
        <v>1</v>
      </c>
      <c r="G21" s="18">
        <f t="shared" si="4"/>
        <v>0.7567567567567568</v>
      </c>
      <c r="H21" s="18">
        <f t="shared" si="5"/>
        <v>0.86153846153846159</v>
      </c>
    </row>
    <row r="22" spans="1:8" ht="15.75" customHeight="1" x14ac:dyDescent="0.15">
      <c r="H22" s="22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2:H12"/>
    <mergeCell ref="A1:H1"/>
  </mergeCells>
  <phoneticPr fontId="7" type="noConversion"/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topLeftCell="I1"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3.33203125" customWidth="1"/>
    <col min="13" max="13" width="11.6640625" customWidth="1"/>
    <col min="14" max="14" width="56.1640625" customWidth="1"/>
  </cols>
  <sheetData>
    <row r="1" spans="1:14" ht="15.75" customHeight="1" x14ac:dyDescent="0.15">
      <c r="A1" s="1" t="s">
        <v>0</v>
      </c>
      <c r="B1" s="2" t="s">
        <v>1</v>
      </c>
      <c r="C1" s="7" t="s">
        <v>105</v>
      </c>
      <c r="D1" s="7" t="s">
        <v>104</v>
      </c>
      <c r="E1" s="14"/>
      <c r="F1" s="61" t="s">
        <v>109</v>
      </c>
      <c r="G1" s="62"/>
      <c r="H1" s="62"/>
      <c r="I1" s="62"/>
      <c r="L1" s="64" t="s">
        <v>110</v>
      </c>
      <c r="M1" s="65"/>
      <c r="N1" s="65"/>
    </row>
    <row r="2" spans="1:14" ht="15.75" customHeight="1" x14ac:dyDescent="0.15">
      <c r="A2" s="23" t="str">
        <f>'GPT-5 Generation'!A2</f>
        <v>State</v>
      </c>
      <c r="B2" s="24" t="str">
        <f>'GPT-5 Generation'!B2</f>
        <v>initial state (Off)</v>
      </c>
      <c r="C2" s="8">
        <f>'GPT-5 Generation'!C2</f>
        <v>1</v>
      </c>
      <c r="D2" s="8">
        <f>'Claude Sonnet 4.5 Gen'!C2</f>
        <v>1</v>
      </c>
      <c r="E2" s="14"/>
      <c r="F2" s="2" t="s">
        <v>111</v>
      </c>
      <c r="G2" s="25" t="s">
        <v>112</v>
      </c>
      <c r="H2" s="26" t="s">
        <v>113</v>
      </c>
      <c r="I2" s="27" t="s">
        <v>114</v>
      </c>
      <c r="J2" s="28" t="s">
        <v>115</v>
      </c>
      <c r="K2" s="2"/>
      <c r="L2" s="29" t="s">
        <v>116</v>
      </c>
      <c r="M2" s="29" t="s">
        <v>117</v>
      </c>
      <c r="N2" s="29" t="s">
        <v>118</v>
      </c>
    </row>
    <row r="3" spans="1:14" ht="15.75" customHeight="1" x14ac:dyDescent="0.15">
      <c r="A3" s="23" t="str">
        <f>'GPT-5 Generation'!A3</f>
        <v>State</v>
      </c>
      <c r="B3" s="24" t="str">
        <f>'GPT-5 Generation'!B3</f>
        <v>Off</v>
      </c>
      <c r="C3" s="8">
        <f>'GPT-5 Generation'!C3</f>
        <v>1</v>
      </c>
      <c r="D3" s="8">
        <f>'Claude Sonnet 4.5 Gen'!C3</f>
        <v>1</v>
      </c>
      <c r="E3" s="14"/>
      <c r="F3" s="30">
        <v>0</v>
      </c>
      <c r="G3" s="31">
        <f>COUNTIFS($C$2:$C$90, $F3, $D$2:$D$90, G$2)</f>
        <v>10</v>
      </c>
      <c r="H3" s="32">
        <f>COUNTIFS($C$2:$C$38, $F3, $D$2:$D$38, H$2)</f>
        <v>0</v>
      </c>
      <c r="I3" s="33">
        <f>COUNTIFS($C$2:$C$38, $F3, $D$2:$D$38, I$2)+MAX(D39-C39,0)+MAX(D40-C40,0)+MAX(D41-C41,0)+MAX(D42-C42,0)+MAX(D43-C43,0)+MAX(D44-C44,0)+MAX(D45-C45,0)</f>
        <v>0</v>
      </c>
      <c r="J3" s="2">
        <f>SUM(G3:I3)</f>
        <v>10</v>
      </c>
      <c r="K3" s="2"/>
      <c r="L3" s="34" t="s">
        <v>119</v>
      </c>
      <c r="M3" s="31">
        <f>(G3+H4+I5)/COUNTA($C$2:$C$90)</f>
        <v>0.79545454545454541</v>
      </c>
      <c r="N3" s="33" t="s">
        <v>120</v>
      </c>
    </row>
    <row r="4" spans="1:14" ht="15.75" customHeight="1" x14ac:dyDescent="0.15">
      <c r="A4" s="23" t="str">
        <f>'GPT-5 Generation'!A4</f>
        <v>Transition</v>
      </c>
      <c r="B4" s="24" t="str">
        <f>'GPT-5 Generation'!B4</f>
        <v>on (Off =&gt; On)</v>
      </c>
      <c r="C4" s="8">
        <f>'GPT-5 Generation'!C4</f>
        <v>1</v>
      </c>
      <c r="D4" s="8">
        <f>'Claude Sonnet 4.5 Gen'!C4</f>
        <v>1</v>
      </c>
      <c r="E4" s="14"/>
      <c r="F4" s="30">
        <v>0.5</v>
      </c>
      <c r="G4" s="35">
        <f>COUNTIFS($C$2:$C$38, $F4, $D$2:$D$38, G$2)</f>
        <v>0</v>
      </c>
      <c r="H4" s="2">
        <f>COUNTIFS($C$2:$C$38, $F4, $D$2:$D$38, H$2)</f>
        <v>0</v>
      </c>
      <c r="I4" s="36">
        <f>COUNTIFS($C$2:$C$38, $F4, $D$2:$D$38, I$2)</f>
        <v>0</v>
      </c>
      <c r="J4" s="2">
        <f>SUM(G4:I4)</f>
        <v>0</v>
      </c>
      <c r="K4" s="2"/>
      <c r="L4" s="34" t="s">
        <v>121</v>
      </c>
      <c r="M4" s="35">
        <f t="array" ref="M4">SUMPRODUCT(J3:J5/COUNTA($C$2:$C$90), TRANSPOSE(G6:I6)/COUNTA($C$2:$C$90))</f>
        <v>0.50619834710743805</v>
      </c>
      <c r="N4" s="36" t="s">
        <v>122</v>
      </c>
    </row>
    <row r="5" spans="1:14" ht="15.75" customHeight="1" x14ac:dyDescent="0.15">
      <c r="A5" s="23" t="str">
        <f>'GPT-5 Generation'!A5</f>
        <v>Composite State</v>
      </c>
      <c r="B5" s="24" t="str">
        <f>'GPT-5 Generation'!B5</f>
        <v>On</v>
      </c>
      <c r="C5" s="8">
        <f>'GPT-5 Generation'!C5</f>
        <v>1</v>
      </c>
      <c r="D5" s="8">
        <f>'Claude Sonnet 4.5 Gen'!C5</f>
        <v>1</v>
      </c>
      <c r="E5" s="14"/>
      <c r="F5" s="30">
        <v>1</v>
      </c>
      <c r="G5" s="37">
        <f>COUNTIFS($C$2:$C$38, $F5, $D$2:$D$38, G$2)+MAX(C39-D39,0)+MAX(C40-D40,0)+MAX(C41-D41,0)+MAX(C42-D42,0)+MAX(C43-D43,0)+MAX(C44-D44,0)+MAX(C45-D45,0)</f>
        <v>3</v>
      </c>
      <c r="H5" s="38">
        <f>COUNTIFS($C$2:$C$38, $F5, $D$2:$D$38, H$2)</f>
        <v>6</v>
      </c>
      <c r="I5" s="39">
        <f>COUNTIFS($C$2:$C$38, $F5, $D$2:$D$38, I$2)+ SUM(MIN(C39,D39), MIN(C40,D40), MIN(C41,D41), MIN(C42,D42), MIN(C43,D43), MIN(C44,D44), MIN(C45,D45))</f>
        <v>25</v>
      </c>
      <c r="J5" s="2">
        <f>SUM(G5:I5)</f>
        <v>34</v>
      </c>
      <c r="K5" s="2"/>
      <c r="L5" s="34" t="s">
        <v>110</v>
      </c>
      <c r="M5" s="37">
        <f>(M3-M4)/(1-M4)</f>
        <v>0.58577405857740572</v>
      </c>
      <c r="N5" s="39" t="s">
        <v>123</v>
      </c>
    </row>
    <row r="6" spans="1:14" ht="15.75" customHeight="1" x14ac:dyDescent="0.15">
      <c r="A6" s="23" t="str">
        <f>'GPT-5 Generation'!A6</f>
        <v>Transition</v>
      </c>
      <c r="B6" s="24" t="str">
        <f>'GPT-5 Generation'!B6</f>
        <v>off (On =&gt; Off)</v>
      </c>
      <c r="C6" s="8">
        <f>'GPT-5 Generation'!C6</f>
        <v>1</v>
      </c>
      <c r="D6" s="8">
        <f>'Claude Sonnet 4.5 Gen'!C6</f>
        <v>1</v>
      </c>
      <c r="E6" s="14"/>
      <c r="F6" s="40" t="s">
        <v>124</v>
      </c>
      <c r="G6" s="2">
        <f>SUM(G3:G5)</f>
        <v>13</v>
      </c>
      <c r="H6" s="2">
        <f>SUM(H3:H5)</f>
        <v>6</v>
      </c>
      <c r="I6" s="2">
        <f>SUM(I3:I5)</f>
        <v>25</v>
      </c>
      <c r="J6" s="2"/>
      <c r="K6" s="2"/>
      <c r="L6" s="2"/>
      <c r="M6" s="41"/>
    </row>
    <row r="7" spans="1:14" ht="15.75" customHeight="1" x14ac:dyDescent="0.15">
      <c r="A7" s="23" t="str">
        <f>'GPT-5 Generation'!A7</f>
        <v>State</v>
      </c>
      <c r="B7" s="24" t="str">
        <f>'GPT-5 Generation'!B7</f>
        <v>initial state (Idle)</v>
      </c>
      <c r="C7" s="8">
        <f>'GPT-5 Generation'!C7</f>
        <v>1</v>
      </c>
      <c r="D7" s="8">
        <f>'Claude Sonnet 4.5 Gen'!C7</f>
        <v>1</v>
      </c>
      <c r="E7" s="14"/>
      <c r="K7" s="2"/>
      <c r="L7" s="2"/>
      <c r="M7" s="41"/>
    </row>
    <row r="8" spans="1:14" ht="15.75" customHeight="1" x14ac:dyDescent="0.15">
      <c r="A8" s="23" t="str">
        <f>'GPT-5 Generation'!A8</f>
        <v>State</v>
      </c>
      <c r="B8" s="24" t="str">
        <f>'GPT-5 Generation'!B8</f>
        <v>Idle</v>
      </c>
      <c r="C8" s="8">
        <f>'GPT-5 Generation'!C8</f>
        <v>1</v>
      </c>
      <c r="D8" s="8">
        <f>'Claude Sonnet 4.5 Gen'!C8</f>
        <v>1</v>
      </c>
      <c r="E8" s="14"/>
      <c r="F8" s="61" t="s">
        <v>125</v>
      </c>
      <c r="G8" s="62"/>
      <c r="H8" s="62"/>
      <c r="I8" s="62"/>
      <c r="L8" s="64" t="s">
        <v>126</v>
      </c>
      <c r="M8" s="65"/>
      <c r="N8" s="65"/>
    </row>
    <row r="9" spans="1:14" ht="15.75" customHeight="1" x14ac:dyDescent="0.15">
      <c r="A9" s="23" t="str">
        <f>'GPT-5 Generation'!A9</f>
        <v>Transition</v>
      </c>
      <c r="B9" s="24" t="str">
        <f>'GPT-5 Generation'!B9</f>
        <v>login(cardID) (Idle =&gt; Idle)</v>
      </c>
      <c r="C9" s="8">
        <f>'GPT-5 Generation'!C9</f>
        <v>1</v>
      </c>
      <c r="D9" s="8">
        <f>'Claude Sonnet 4.5 Gen'!C9</f>
        <v>1</v>
      </c>
      <c r="E9" s="14"/>
      <c r="F9" s="2" t="s">
        <v>2</v>
      </c>
      <c r="G9" s="42" t="s">
        <v>112</v>
      </c>
      <c r="H9" s="42" t="s">
        <v>113</v>
      </c>
      <c r="I9" s="42" t="s">
        <v>114</v>
      </c>
      <c r="J9" s="43" t="s">
        <v>115</v>
      </c>
      <c r="L9" s="29" t="s">
        <v>116</v>
      </c>
      <c r="M9" s="29" t="s">
        <v>117</v>
      </c>
      <c r="N9" s="29" t="s">
        <v>118</v>
      </c>
    </row>
    <row r="10" spans="1:14" ht="15.75" customHeight="1" x14ac:dyDescent="0.15">
      <c r="A10" s="23" t="str">
        <f>'GPT-5 Generation'!A10</f>
        <v>Guard</v>
      </c>
      <c r="B10" s="24" t="str">
        <f>'GPT-5 Generation'!B10</f>
        <v>[!idAuthorized(cardID)]</v>
      </c>
      <c r="C10" s="8">
        <f>'GPT-5 Generation'!C10</f>
        <v>1</v>
      </c>
      <c r="D10" s="8">
        <f>'Claude Sonnet 4.5 Gen'!C10</f>
        <v>1</v>
      </c>
      <c r="E10" s="14"/>
      <c r="F10" s="30">
        <v>0</v>
      </c>
      <c r="G10" s="31">
        <f>COUNTIFS($A$2:$A$38,$F$9,$C$2:$C$38,$F10,$D$2:$D$38,G$9)</f>
        <v>0</v>
      </c>
      <c r="H10" s="32">
        <f>COUNTIFS($A$2:$A$90,$F$9,$C$2:$C$90,$F10,$D$2:$D$90,H$9)</f>
        <v>0</v>
      </c>
      <c r="I10" s="33">
        <f>COUNTIFS($A$2:$A$38,$F$9,$C$2:$C$38,$F10,$D$2:$D$38,I$9)+MAX(D39-C39,0)</f>
        <v>0</v>
      </c>
      <c r="J10" s="2">
        <f>SUM(G10:I10)</f>
        <v>0</v>
      </c>
      <c r="L10" s="34" t="s">
        <v>119</v>
      </c>
      <c r="M10" s="31">
        <f>(G10+H11+I12)/COUNTIF($A$2:$A$90,F9)</f>
        <v>0.88888888888888884</v>
      </c>
      <c r="N10" s="33" t="s">
        <v>120</v>
      </c>
    </row>
    <row r="11" spans="1:14" ht="15.75" customHeight="1" x14ac:dyDescent="0.15">
      <c r="A11" s="23" t="str">
        <f>'GPT-5 Generation'!A11</f>
        <v>Transition</v>
      </c>
      <c r="B11" s="24" t="str">
        <f>'GPT-5 Generation'!B11</f>
        <v>login(cardID) (Idle =&gt; Ready)</v>
      </c>
      <c r="C11" s="8">
        <f>'GPT-5 Generation'!C11</f>
        <v>1</v>
      </c>
      <c r="D11" s="8">
        <f>'Claude Sonnet 4.5 Gen'!C11</f>
        <v>1</v>
      </c>
      <c r="E11" s="14"/>
      <c r="F11" s="30">
        <v>0.5</v>
      </c>
      <c r="G11" s="35">
        <f>COUNTIFS($A$2:$A$38,$F$9,$C$2:$C$38,$F11,$D$2:$D$38,G$9)</f>
        <v>0</v>
      </c>
      <c r="H11" s="2">
        <f>COUNTIFS($A$2:$A$90,$F$9,$C$2:$C$90,$F11,$D$2:$D$90,H$9)</f>
        <v>0</v>
      </c>
      <c r="I11" s="36">
        <f>COUNTIFS($A$2:$A$38,$F$9,$C$2:$C$38,$F11,$D$2:$D$38,I$9)</f>
        <v>0</v>
      </c>
      <c r="J11" s="2">
        <f>SUM(G11:I11)</f>
        <v>0</v>
      </c>
      <c r="K11" s="2"/>
      <c r="L11" s="34" t="s">
        <v>121</v>
      </c>
      <c r="M11" s="35">
        <f t="array" ref="M11">SUMPRODUCT(J10:J12/COUNTIF($A$2:$A$90,F9), TRANSPOSE(G13:I13)/COUNTIF($A$2:$A$90,F9))</f>
        <v>0.79012345679012341</v>
      </c>
      <c r="N11" s="36" t="s">
        <v>122</v>
      </c>
    </row>
    <row r="12" spans="1:14" ht="15.75" customHeight="1" x14ac:dyDescent="0.15">
      <c r="A12" s="23" t="str">
        <f>'GPT-5 Generation'!A12</f>
        <v>Guard</v>
      </c>
      <c r="B12" s="24" t="str">
        <f>'GPT-5 Generation'!B12</f>
        <v>[idAuthorized(cardID)]</v>
      </c>
      <c r="C12" s="8">
        <f>'GPT-5 Generation'!C12</f>
        <v>1</v>
      </c>
      <c r="D12" s="8">
        <f>'Claude Sonnet 4.5 Gen'!C12</f>
        <v>1</v>
      </c>
      <c r="E12" s="14"/>
      <c r="F12" s="30">
        <v>1</v>
      </c>
      <c r="G12" s="37">
        <f>COUNTIFS($A$2:$A$38,$F$9,$C$2:$C$38,$F12,$D$2:$D$38,G$9)+MAX(C39-D39,0)</f>
        <v>0</v>
      </c>
      <c r="H12" s="38">
        <f>COUNTIFS($A$2:$A$90,$F$9,$C$2:$C$90,$F12,$D$2:$D$90,H$9)</f>
        <v>0</v>
      </c>
      <c r="I12" s="39">
        <f>COUNTIFS($A$2:$A$38,$F$9,$C$2:$C$38,$F12,$D$2:$D$38,I$9)+MIN(C39-D39)</f>
        <v>8</v>
      </c>
      <c r="J12" s="2">
        <f>SUM(G12:I12)</f>
        <v>8</v>
      </c>
      <c r="K12" s="2"/>
      <c r="L12" s="34" t="s">
        <v>110</v>
      </c>
      <c r="M12" s="37">
        <f>(M10-M11)/(1-M11)</f>
        <v>0.47058823529411753</v>
      </c>
      <c r="N12" s="39" t="s">
        <v>123</v>
      </c>
    </row>
    <row r="13" spans="1:14" ht="15.75" customHeight="1" x14ac:dyDescent="0.15">
      <c r="A13" s="23" t="str">
        <f>'GPT-5 Generation'!A13</f>
        <v>Action</v>
      </c>
      <c r="B13" s="24" t="str">
        <f>'GPT-5 Generation'!B13</f>
        <v>action="none"</v>
      </c>
      <c r="C13" s="8">
        <f>'GPT-5 Generation'!C13</f>
        <v>0</v>
      </c>
      <c r="D13" s="8">
        <f>'Claude Sonnet 4.5 Gen'!C13</f>
        <v>0</v>
      </c>
      <c r="E13" s="14"/>
      <c r="F13" s="40" t="s">
        <v>124</v>
      </c>
      <c r="G13" s="2">
        <f>SUM(G10:G12)</f>
        <v>0</v>
      </c>
      <c r="H13" s="2">
        <f>SUM(H10:H12)</f>
        <v>0</v>
      </c>
      <c r="I13" s="2">
        <f>SUM(I10:I12)</f>
        <v>8</v>
      </c>
      <c r="J13" s="2"/>
      <c r="K13" s="2"/>
      <c r="L13" s="2"/>
      <c r="M13" s="41"/>
    </row>
    <row r="14" spans="1:14" ht="15.75" customHeight="1" x14ac:dyDescent="0.15">
      <c r="A14" s="23" t="str">
        <f>'GPT-5 Generation'!A14</f>
        <v>State</v>
      </c>
      <c r="B14" s="24" t="str">
        <f>'GPT-5 Generation'!B14</f>
        <v>Ready</v>
      </c>
      <c r="C14" s="8">
        <f>'GPT-5 Generation'!C14</f>
        <v>1</v>
      </c>
      <c r="D14" s="8">
        <f>'Claude Sonnet 4.5 Gen'!C14</f>
        <v>1</v>
      </c>
      <c r="E14" s="14"/>
      <c r="K14" s="2"/>
    </row>
    <row r="15" spans="1:14" ht="15.75" customHeight="1" x14ac:dyDescent="0.15">
      <c r="A15" s="23" t="str">
        <f>'GPT-5 Generation'!A15</f>
        <v>Transition</v>
      </c>
      <c r="B15" s="24" t="str">
        <f>'GPT-5 Generation'!B15</f>
        <v>logoff (Ready =&gt; Idle)</v>
      </c>
      <c r="C15" s="8">
        <f>'GPT-5 Generation'!C15</f>
        <v>1</v>
      </c>
      <c r="D15" s="8">
        <f>'Claude Sonnet 4.5 Gen'!C15</f>
        <v>1</v>
      </c>
      <c r="E15" s="14"/>
      <c r="F15" s="61" t="s">
        <v>127</v>
      </c>
      <c r="G15" s="62"/>
      <c r="H15" s="62"/>
      <c r="I15" s="62"/>
      <c r="K15" s="2"/>
      <c r="L15" s="64" t="s">
        <v>128</v>
      </c>
      <c r="M15" s="65"/>
      <c r="N15" s="65"/>
    </row>
    <row r="16" spans="1:14" ht="15.75" customHeight="1" x14ac:dyDescent="0.15">
      <c r="A16" s="23" t="str">
        <f>'GPT-5 Generation'!A16</f>
        <v>Transition</v>
      </c>
      <c r="B16" s="24" t="str">
        <f>'GPT-5 Generation'!B16</f>
        <v>start (Ready =&gt; Ready)</v>
      </c>
      <c r="C16" s="8">
        <f>'GPT-5 Generation'!C16</f>
        <v>1</v>
      </c>
      <c r="D16" s="8">
        <f>'Claude Sonnet 4.5 Gen'!C16</f>
        <v>1</v>
      </c>
      <c r="E16" s="14"/>
      <c r="F16" s="2" t="s">
        <v>5</v>
      </c>
      <c r="G16" s="42" t="s">
        <v>112</v>
      </c>
      <c r="H16" s="42" t="s">
        <v>113</v>
      </c>
      <c r="I16" s="42" t="s">
        <v>114</v>
      </c>
      <c r="J16" s="43" t="s">
        <v>115</v>
      </c>
      <c r="K16" s="2"/>
      <c r="L16" s="29" t="s">
        <v>116</v>
      </c>
      <c r="M16" s="29" t="s">
        <v>117</v>
      </c>
      <c r="N16" s="29" t="s">
        <v>118</v>
      </c>
    </row>
    <row r="17" spans="1:14" ht="15.75" customHeight="1" x14ac:dyDescent="0.15">
      <c r="A17" s="23" t="str">
        <f>'GPT-5 Generation'!A17</f>
        <v>Guard</v>
      </c>
      <c r="B17" s="24" t="str">
        <f>'GPT-5 Generation'!B17</f>
        <v>[action=="scan" &amp; !originalLoaded()]</v>
      </c>
      <c r="C17" s="8">
        <f>'GPT-5 Generation'!C17</f>
        <v>1</v>
      </c>
      <c r="D17" s="8">
        <f>'Claude Sonnet 4.5 Gen'!C17</f>
        <v>0.5</v>
      </c>
      <c r="E17" s="14"/>
      <c r="F17" s="30">
        <v>0</v>
      </c>
      <c r="G17" s="31">
        <f>COUNTIFS($A$2:$A$90,$F$16,$C$2:$C$90,$F17,$D$2:$D$90,G$16)</f>
        <v>1</v>
      </c>
      <c r="H17" s="32">
        <f>COUNTIFS($A$2:$A$90,$F$16,$C$2:$C$90,$F17,$D$2:$D$90,H$16)</f>
        <v>0</v>
      </c>
      <c r="I17" s="33">
        <f>COUNTIFS($A$2:$A$38,$F$16,$C$2:$C$38,$F17,$D$2:$D$38,I$16) + MAX(D40-C40,0)</f>
        <v>0</v>
      </c>
      <c r="J17" s="2">
        <f>SUM(G17:I17)</f>
        <v>1</v>
      </c>
      <c r="L17" s="34" t="s">
        <v>119</v>
      </c>
      <c r="M17" s="31">
        <f>(G17+H18+I19)/COUNTIF($A$2:$A$90,F16)</f>
        <v>0.83333333333333337</v>
      </c>
      <c r="N17" s="33" t="s">
        <v>120</v>
      </c>
    </row>
    <row r="18" spans="1:14" ht="15.75" customHeight="1" x14ac:dyDescent="0.15">
      <c r="A18" s="23" t="str">
        <f>'GPT-5 Generation'!A18</f>
        <v>Transition</v>
      </c>
      <c r="B18" s="24" t="str">
        <f>'GPT-5 Generation'!B18</f>
        <v>start (Ready =&gt; Ready)</v>
      </c>
      <c r="C18" s="8">
        <f>'GPT-5 Generation'!C18</f>
        <v>1</v>
      </c>
      <c r="D18" s="8">
        <f>'Claude Sonnet 4.5 Gen'!C18</f>
        <v>1</v>
      </c>
      <c r="E18" s="14"/>
      <c r="F18" s="30">
        <v>0.5</v>
      </c>
      <c r="G18" s="35">
        <f>COUNTIFS($A$2:$A$90,$F$16,$C$2:$C$90,$F18,$D$2:$D$90,G$16)</f>
        <v>0</v>
      </c>
      <c r="H18" s="2">
        <f>COUNTIFS($A$2:$A$90,$F$16,$C$2:$C$90,$F18,$D$2:$D$90,H$16)</f>
        <v>0</v>
      </c>
      <c r="I18" s="36">
        <f>COUNTIFS($A$2:$A$90,$F$16,$C$2:$C$90,$F18,$D$2:$D$90,I$16)</f>
        <v>0</v>
      </c>
      <c r="J18" s="2">
        <f>SUM(G18:I18)</f>
        <v>0</v>
      </c>
      <c r="L18" s="34" t="s">
        <v>121</v>
      </c>
      <c r="M18" s="35">
        <f t="array" ref="M18">SUMPRODUCT(J17:J19/COUNTIF($A$2:$A$90,F16), TRANSPOSE(G20:I20)/COUNTIF($A$2:$A$90,F16))</f>
        <v>0.74382716049382724</v>
      </c>
      <c r="N18" s="36" t="s">
        <v>122</v>
      </c>
    </row>
    <row r="19" spans="1:14" ht="15.75" customHeight="1" x14ac:dyDescent="0.15">
      <c r="A19" s="23" t="str">
        <f>'GPT-5 Generation'!A19</f>
        <v>Guard</v>
      </c>
      <c r="B19" s="24" t="str">
        <f>'GPT-5 Generation'!B19</f>
        <v>[action=="print" &amp; !documentInQueue()]</v>
      </c>
      <c r="C19" s="8">
        <f>'GPT-5 Generation'!C19</f>
        <v>1</v>
      </c>
      <c r="D19" s="8">
        <f>'Claude Sonnet 4.5 Gen'!C19</f>
        <v>0.5</v>
      </c>
      <c r="E19" s="14"/>
      <c r="F19" s="30">
        <v>1</v>
      </c>
      <c r="G19" s="37">
        <f>COUNTIFS($A$2:$A$38,$F$16,$C$2:$C$38,$F19,$D$2:$D$38,G$16)+MAX(C40-D40,0)</f>
        <v>2</v>
      </c>
      <c r="H19" s="38">
        <f>COUNTIFS($A$2:$A$90,$F$16,$C$2:$C$90,$F19,$D$2:$D$90,H$16)</f>
        <v>1</v>
      </c>
      <c r="I19" s="39">
        <f>COUNTIFS($A$2:$A$38,$F$16,$C$2:$C$38,$F19,$D$2:$D$38,I$16) + MIN(C40,D40)</f>
        <v>14</v>
      </c>
      <c r="J19" s="2">
        <f>SUM(G19:I19)</f>
        <v>17</v>
      </c>
      <c r="L19" s="34" t="s">
        <v>110</v>
      </c>
      <c r="M19" s="37">
        <f>(M17-M18)/(1-M18)</f>
        <v>0.34939759036144574</v>
      </c>
      <c r="N19" s="39" t="s">
        <v>123</v>
      </c>
    </row>
    <row r="20" spans="1:14" ht="15.75" customHeight="1" x14ac:dyDescent="0.15">
      <c r="A20" s="23" t="str">
        <f>'GPT-5 Generation'!A20</f>
        <v>Transition</v>
      </c>
      <c r="B20" s="24" t="str">
        <f>'GPT-5 Generation'!B20</f>
        <v>scan (Ready =&gt; Ready)</v>
      </c>
      <c r="C20" s="8">
        <f>'GPT-5 Generation'!C20</f>
        <v>1</v>
      </c>
      <c r="D20" s="8">
        <f>'Claude Sonnet 4.5 Gen'!C20</f>
        <v>0</v>
      </c>
      <c r="E20" s="14"/>
      <c r="F20" s="40" t="s">
        <v>124</v>
      </c>
      <c r="G20" s="2">
        <f>SUM(G17:G19)</f>
        <v>3</v>
      </c>
      <c r="H20" s="2">
        <f>SUM(H17:H19)</f>
        <v>1</v>
      </c>
      <c r="I20" s="2">
        <f>SUM(I17:I19)</f>
        <v>14</v>
      </c>
      <c r="J20" s="2"/>
      <c r="K20" s="2"/>
      <c r="L20" s="2"/>
      <c r="M20" s="41"/>
    </row>
    <row r="21" spans="1:14" ht="15.75" customHeight="1" x14ac:dyDescent="0.15">
      <c r="A21" s="23" t="str">
        <f>'GPT-5 Generation'!A21</f>
        <v>Action</v>
      </c>
      <c r="B21" s="24" t="str">
        <f>'GPT-5 Generation'!B21</f>
        <v>action = "scan"</v>
      </c>
      <c r="C21" s="8">
        <f>'GPT-5 Generation'!C21</f>
        <v>0</v>
      </c>
      <c r="D21" s="8">
        <f>'Claude Sonnet 4.5 Gen'!C21</f>
        <v>0</v>
      </c>
      <c r="E21" s="14"/>
      <c r="K21" s="2"/>
    </row>
    <row r="22" spans="1:14" ht="15.75" customHeight="1" x14ac:dyDescent="0.15">
      <c r="A22" s="23" t="str">
        <f>'GPT-5 Generation'!A22</f>
        <v>Transition</v>
      </c>
      <c r="B22" s="24" t="str">
        <f>'GPT-5 Generation'!B22</f>
        <v>print (Ready =&gt; Ready)</v>
      </c>
      <c r="C22" s="8">
        <f>'GPT-5 Generation'!C22</f>
        <v>1</v>
      </c>
      <c r="D22" s="8">
        <f>'Claude Sonnet 4.5 Gen'!C22</f>
        <v>0</v>
      </c>
      <c r="E22" s="14"/>
      <c r="F22" s="61" t="s">
        <v>129</v>
      </c>
      <c r="G22" s="62"/>
      <c r="H22" s="62"/>
      <c r="I22" s="62"/>
      <c r="K22" s="2"/>
      <c r="L22" s="64" t="s">
        <v>130</v>
      </c>
      <c r="M22" s="65"/>
      <c r="N22" s="65"/>
    </row>
    <row r="23" spans="1:14" ht="15.75" customHeight="1" x14ac:dyDescent="0.15">
      <c r="A23" s="23" t="str">
        <f>'GPT-5 Generation'!A23</f>
        <v>Action</v>
      </c>
      <c r="B23" s="24" t="str">
        <f>'GPT-5 Generation'!B23</f>
        <v>action="print"</v>
      </c>
      <c r="C23" s="8">
        <f>'GPT-5 Generation'!C23</f>
        <v>0</v>
      </c>
      <c r="D23" s="8">
        <f>'Claude Sonnet 4.5 Gen'!C23</f>
        <v>0</v>
      </c>
      <c r="E23" s="14"/>
      <c r="F23" s="2" t="s">
        <v>7</v>
      </c>
      <c r="G23" s="42" t="s">
        <v>112</v>
      </c>
      <c r="H23" s="42" t="s">
        <v>113</v>
      </c>
      <c r="I23" s="42" t="s">
        <v>114</v>
      </c>
      <c r="J23" s="43" t="s">
        <v>115</v>
      </c>
      <c r="K23" s="2"/>
      <c r="L23" s="29" t="s">
        <v>116</v>
      </c>
      <c r="M23" s="29" t="s">
        <v>117</v>
      </c>
      <c r="N23" s="29" t="s">
        <v>118</v>
      </c>
    </row>
    <row r="24" spans="1:14" ht="15.75" customHeight="1" x14ac:dyDescent="0.15">
      <c r="A24" s="23" t="str">
        <f>'GPT-5 Generation'!A24</f>
        <v>Transition</v>
      </c>
      <c r="B24" s="24" t="str">
        <f>'GPT-5 Generation'!B24</f>
        <v>start (Ready =&gt; Scan &amp; Email)</v>
      </c>
      <c r="C24" s="8">
        <f>'GPT-5 Generation'!C24</f>
        <v>1</v>
      </c>
      <c r="D24" s="8">
        <f>'Claude Sonnet 4.5 Gen'!C24</f>
        <v>1</v>
      </c>
      <c r="E24" s="14"/>
      <c r="F24" s="30">
        <v>0</v>
      </c>
      <c r="G24" s="31">
        <f>COUNTIFS($A$2:$A$90,$F$23,$C$2:$C$90,$F24,$D$2:$D$90,G$23)</f>
        <v>1</v>
      </c>
      <c r="H24" s="32">
        <f>COUNTIFS($A$2:$A$90,$F$23,$C$2:$C$90,$F24,$D$2:$D$90,H$23)</f>
        <v>0</v>
      </c>
      <c r="I24" s="33">
        <f>COUNTIFS($A$2:$A$38,$F$23,$C$2:$C$38,$F24,$D$2:$D$38,I$23) + MAX(D43-C43,0)</f>
        <v>0</v>
      </c>
      <c r="J24" s="2">
        <f>SUM(G24:I24)</f>
        <v>1</v>
      </c>
      <c r="K24" s="2"/>
      <c r="L24" s="34" t="s">
        <v>119</v>
      </c>
      <c r="M24" s="31">
        <f>(G24+H25+I26)/COUNTIF($A$2:$A$90,F23)</f>
        <v>0.66666666666666663</v>
      </c>
      <c r="N24" s="33" t="s">
        <v>120</v>
      </c>
    </row>
    <row r="25" spans="1:14" ht="15.75" customHeight="1" x14ac:dyDescent="0.15">
      <c r="A25" s="23" t="str">
        <f>'GPT-5 Generation'!A25</f>
        <v>Guard</v>
      </c>
      <c r="B25" s="24" t="str">
        <f>'GPT-5 Generation'!B25</f>
        <v>[action=="scan" &amp;&amp; originalLoaded()]</v>
      </c>
      <c r="C25" s="8">
        <f>'GPT-5 Generation'!C25</f>
        <v>1</v>
      </c>
      <c r="D25" s="8">
        <f>'Claude Sonnet 4.5 Gen'!C25</f>
        <v>0.5</v>
      </c>
      <c r="E25" s="14"/>
      <c r="F25" s="30">
        <v>0.5</v>
      </c>
      <c r="G25" s="35">
        <f>COUNTIFS($A$2:$A$90,$F$23,$C$2:$C$90,$F25,$D$2:$D$90,G$23)</f>
        <v>0</v>
      </c>
      <c r="H25" s="2">
        <f>COUNTIFS($A$2:$A$90,$F$23,$C$2:$C$90,$F25,$D$2:$D$90,H$23)</f>
        <v>0</v>
      </c>
      <c r="I25" s="36">
        <f>COUNTIFS($A$2:$A$90,$F$23,$C$2:$C$90,$F25,$D$2:$D$90,I$23)</f>
        <v>0</v>
      </c>
      <c r="J25" s="2">
        <f>SUM(G25:I25)</f>
        <v>0</v>
      </c>
      <c r="K25" s="2"/>
      <c r="L25" s="34" t="s">
        <v>121</v>
      </c>
      <c r="M25" s="35">
        <f t="array" ref="M25">SUMPRODUCT(J24:J26/COUNTIF($A$2:$A$90,F23), TRANSPOSE(G27:I27)/COUNTIF($A$2:$A$90,F23))</f>
        <v>0.33333333333333331</v>
      </c>
      <c r="N25" s="36" t="s">
        <v>122</v>
      </c>
    </row>
    <row r="26" spans="1:14" ht="15.75" customHeight="1" x14ac:dyDescent="0.15">
      <c r="A26" s="23" t="str">
        <f>'GPT-5 Generation'!A26</f>
        <v>Composite State</v>
      </c>
      <c r="B26" s="24" t="str">
        <f>'GPT-5 Generation'!B26</f>
        <v>Busy</v>
      </c>
      <c r="C26" s="8">
        <f>'GPT-5 Generation'!C26</f>
        <v>1</v>
      </c>
      <c r="D26" s="8">
        <f>'Claude Sonnet 4.5 Gen'!C26</f>
        <v>0.5</v>
      </c>
      <c r="E26" s="14"/>
      <c r="F26" s="30">
        <v>1</v>
      </c>
      <c r="G26" s="37">
        <f>COUNTIFS($A$2:$A$38,$F$23,$C$2:$C$38,$F26,$D$2:$D$38,G$23) + MAX(C43-D43,0)</f>
        <v>0</v>
      </c>
      <c r="H26" s="38">
        <f>COUNTIFS($A$2:$A$90,$F$23,$C$2:$C$90,$F26,$D$2:$D$90,H$23)</f>
        <v>1</v>
      </c>
      <c r="I26" s="39">
        <f>COUNTIFS($A$2:$A$38,$F$23,$C$2:$C$38,$F26,$D$2:$D$38,I$23) + MIN(C43,D43)</f>
        <v>1</v>
      </c>
      <c r="J26" s="2">
        <f>SUM(G26:I26)</f>
        <v>2</v>
      </c>
      <c r="L26" s="34" t="s">
        <v>110</v>
      </c>
      <c r="M26" s="37">
        <f>(M24-M25)/(1-M25)</f>
        <v>0.49999999999999994</v>
      </c>
      <c r="N26" s="39" t="s">
        <v>123</v>
      </c>
    </row>
    <row r="27" spans="1:14" ht="15.75" customHeight="1" x14ac:dyDescent="0.15">
      <c r="A27" s="23" t="str">
        <f>'GPT-5 Generation'!A27</f>
        <v>Transition</v>
      </c>
      <c r="B27" s="24" t="str">
        <f>'GPT-5 Generation'!B27</f>
        <v>stop (Busy =&gt; Ready)</v>
      </c>
      <c r="C27" s="8">
        <f>'GPT-5 Generation'!C27</f>
        <v>1</v>
      </c>
      <c r="D27" s="8">
        <f>'Claude Sonnet 4.5 Gen'!C27</f>
        <v>1</v>
      </c>
      <c r="E27" s="14"/>
      <c r="F27" s="40" t="s">
        <v>124</v>
      </c>
      <c r="G27" s="2">
        <f>SUM(G24:G26)</f>
        <v>1</v>
      </c>
      <c r="H27" s="2">
        <f>SUM(H24:H26)</f>
        <v>1</v>
      </c>
      <c r="I27" s="2">
        <f>SUM(I24:I26)</f>
        <v>1</v>
      </c>
      <c r="J27" s="2"/>
      <c r="L27" s="2"/>
      <c r="M27" s="41"/>
    </row>
    <row r="28" spans="1:14" ht="15.75" customHeight="1" x14ac:dyDescent="0.15">
      <c r="A28" s="23" t="str">
        <f>'GPT-5 Generation'!A28</f>
        <v>Transition</v>
      </c>
      <c r="B28" s="24" t="str">
        <f>'GPT-5 Generation'!B28</f>
        <v>done (Busy =&gt; Ready)</v>
      </c>
      <c r="C28" s="8">
        <f>'GPT-5 Generation'!C28</f>
        <v>1</v>
      </c>
      <c r="D28" s="8">
        <f>'Claude Sonnet 4.5 Gen'!C28</f>
        <v>1</v>
      </c>
      <c r="E28" s="14"/>
    </row>
    <row r="29" spans="1:14" ht="15.75" customHeight="1" x14ac:dyDescent="0.15">
      <c r="A29" s="23" t="str">
        <f>'GPT-5 Generation'!A29</f>
        <v>Transition</v>
      </c>
      <c r="B29" s="24" t="str">
        <f>'GPT-5 Generation'!B29</f>
        <v>jam (Busy =&gt; Suspended)</v>
      </c>
      <c r="C29" s="8">
        <f>'GPT-5 Generation'!C29</f>
        <v>1</v>
      </c>
      <c r="D29" s="8">
        <f>'Claude Sonnet 4.5 Gen'!C29</f>
        <v>1</v>
      </c>
      <c r="E29" s="14"/>
      <c r="F29" s="61" t="s">
        <v>131</v>
      </c>
      <c r="G29" s="62"/>
      <c r="H29" s="62"/>
      <c r="I29" s="62"/>
      <c r="K29" s="2"/>
      <c r="L29" s="64" t="s">
        <v>132</v>
      </c>
      <c r="M29" s="65"/>
      <c r="N29" s="65"/>
    </row>
    <row r="30" spans="1:14" ht="15.75" customHeight="1" x14ac:dyDescent="0.15">
      <c r="A30" s="23" t="str">
        <f>'GPT-5 Generation'!A30</f>
        <v>History State</v>
      </c>
      <c r="B30" s="24" t="str">
        <f>'GPT-5 Generation'!B30</f>
        <v>for Busy</v>
      </c>
      <c r="C30" s="8">
        <f>'GPT-5 Generation'!C30</f>
        <v>1</v>
      </c>
      <c r="D30" s="8">
        <f>'Claude Sonnet 4.5 Gen'!C30</f>
        <v>0</v>
      </c>
      <c r="E30" s="14"/>
      <c r="F30" s="2" t="s">
        <v>13</v>
      </c>
      <c r="G30" s="42" t="s">
        <v>112</v>
      </c>
      <c r="H30" s="42" t="s">
        <v>113</v>
      </c>
      <c r="I30" s="42" t="s">
        <v>114</v>
      </c>
      <c r="J30" s="43" t="s">
        <v>115</v>
      </c>
      <c r="K30" s="2"/>
      <c r="L30" s="29" t="s">
        <v>116</v>
      </c>
      <c r="M30" s="29" t="s">
        <v>117</v>
      </c>
      <c r="N30" s="29" t="s">
        <v>118</v>
      </c>
    </row>
    <row r="31" spans="1:14" ht="15.75" customHeight="1" x14ac:dyDescent="0.15">
      <c r="A31" s="23" t="str">
        <f>'GPT-5 Generation'!A31</f>
        <v>State</v>
      </c>
      <c r="B31" s="24" t="str">
        <f>'GPT-5 Generation'!B31</f>
        <v>Print</v>
      </c>
      <c r="C31" s="8">
        <f>'GPT-5 Generation'!C31</f>
        <v>1</v>
      </c>
      <c r="D31" s="8">
        <f>'Claude Sonnet 4.5 Gen'!C31</f>
        <v>1</v>
      </c>
      <c r="E31" s="14"/>
      <c r="F31" s="30">
        <v>0</v>
      </c>
      <c r="G31" s="31">
        <f>COUNTIFS($A$2:$A$90,$F$30,$C$2:$C$90,$F31,$D$2:$D$90,G$30)</f>
        <v>1</v>
      </c>
      <c r="H31" s="32">
        <f>COUNTIFS($A$2:$A$90,$F$30,$C$2:$C$90,$F31,$D$2:$D$90,H$30)</f>
        <v>0</v>
      </c>
      <c r="I31" s="33">
        <f>COUNTIFS($A$2:$A$38,$F$30,$C$2:$C$38,$F31,$D$2:$D$38,I$30) + MAX(D41-C41,0)</f>
        <v>0</v>
      </c>
      <c r="J31" s="2">
        <f>SUM(G31:I31)</f>
        <v>1</v>
      </c>
      <c r="K31" s="2"/>
      <c r="L31" s="34" t="s">
        <v>119</v>
      </c>
      <c r="M31" s="31">
        <f>(G31+H32+I33)/COUNTIF($A$2:$A$90,F30)</f>
        <v>0.42857142857142855</v>
      </c>
      <c r="N31" s="33" t="s">
        <v>120</v>
      </c>
    </row>
    <row r="32" spans="1:14" ht="15.75" customHeight="1" x14ac:dyDescent="0.15">
      <c r="A32" s="23" t="str">
        <f>'GPT-5 Generation'!A32</f>
        <v>Transition</v>
      </c>
      <c r="B32" s="24" t="str">
        <f>'GPT-5 Generation'!B32</f>
        <v>start (Ready =&gt; Print)</v>
      </c>
      <c r="C32" s="8">
        <f>'GPT-5 Generation'!C32</f>
        <v>1</v>
      </c>
      <c r="D32" s="8">
        <f>'Claude Sonnet 4.5 Gen'!C32</f>
        <v>1</v>
      </c>
      <c r="E32" s="14"/>
      <c r="F32" s="30">
        <v>0.5</v>
      </c>
      <c r="G32" s="35">
        <f>COUNTIFS($A$2:$A$90,$F$30,$C$2:$C$90,$F32,$D$2:$D$90,G$30)</f>
        <v>0</v>
      </c>
      <c r="H32" s="2">
        <f>COUNTIFS($A$2:$A$90,$F$30,$C$2:$C$90,$F32,$D$2:$D$90,H$30)</f>
        <v>0</v>
      </c>
      <c r="I32" s="36">
        <f>COUNTIFS($A$2:$A$90,$F$30,$C$2:$C$90,$F32,$D$2:$D$90,I$30)</f>
        <v>0</v>
      </c>
      <c r="J32" s="2">
        <f>SUM(G32:I32)</f>
        <v>0</v>
      </c>
      <c r="K32" s="2"/>
      <c r="L32" s="34" t="s">
        <v>121</v>
      </c>
      <c r="M32" s="35">
        <f t="array" ref="M32">SUMPRODUCT(J31:J33/COUNTIF($A$2:$A$90,F30), TRANSPOSE(G34:I34)/COUNTIF($A$2:$A$90,F30))</f>
        <v>0.26530612244897955</v>
      </c>
      <c r="N32" s="36" t="s">
        <v>122</v>
      </c>
    </row>
    <row r="33" spans="1:14" ht="15.75" customHeight="1" x14ac:dyDescent="0.15">
      <c r="A33" s="23" t="str">
        <f>'GPT-5 Generation'!A33</f>
        <v>Guard</v>
      </c>
      <c r="B33" s="24" t="str">
        <f>'GPT-5 Generation'!B33</f>
        <v>[action="print" &amp;&amp; documentInQueue()]</v>
      </c>
      <c r="C33" s="8">
        <f>'GPT-5 Generation'!C33</f>
        <v>1</v>
      </c>
      <c r="D33" s="8">
        <f>'Claude Sonnet 4.5 Gen'!C33</f>
        <v>0.5</v>
      </c>
      <c r="E33" s="14"/>
      <c r="F33" s="30">
        <v>1</v>
      </c>
      <c r="G33" s="37">
        <f>COUNTIFS($A$2:$A$38,$F$30,$C$2:$C$38,$F33,$D$2:$D$38,G$30) + MAX(C41-D41,0)</f>
        <v>0</v>
      </c>
      <c r="H33" s="38">
        <f>COUNTIFS($A$2:$A$90,$F$30,$C$2:$C$90,$F33,$D$2:$D$90,H$30)</f>
        <v>4</v>
      </c>
      <c r="I33" s="39">
        <f>COUNTIFS($A$2:$A$38,$F$30,$C$2:$C$38,$F33,$D$2:$D$38,I$30) + MIN(C41,D41)</f>
        <v>2</v>
      </c>
      <c r="J33" s="2">
        <f>SUM(G33:I33)</f>
        <v>6</v>
      </c>
      <c r="K33" s="2"/>
      <c r="L33" s="34" t="s">
        <v>110</v>
      </c>
      <c r="M33" s="37">
        <f>(M31-M32)/(1-M32)</f>
        <v>0.22222222222222224</v>
      </c>
      <c r="N33" s="39" t="s">
        <v>123</v>
      </c>
    </row>
    <row r="34" spans="1:14" ht="15.75" customHeight="1" x14ac:dyDescent="0.15">
      <c r="A34" s="23" t="str">
        <f>'GPT-5 Generation'!A34</f>
        <v>Transition</v>
      </c>
      <c r="B34" s="24" t="str">
        <f>'GPT-5 Generation'!B34</f>
        <v>outOfPaper (Print =&gt; Suspended)</v>
      </c>
      <c r="C34" s="8">
        <f>'GPT-5 Generation'!C34</f>
        <v>1</v>
      </c>
      <c r="D34" s="8">
        <f>'Claude Sonnet 4.5 Gen'!C34</f>
        <v>1</v>
      </c>
      <c r="E34" s="14"/>
      <c r="F34" s="40" t="s">
        <v>124</v>
      </c>
      <c r="G34" s="2">
        <f>SUM(G31:G33)</f>
        <v>1</v>
      </c>
      <c r="H34" s="2">
        <f>SUM(H31:H33)</f>
        <v>4</v>
      </c>
      <c r="I34" s="2">
        <f>SUM(I31:I33)</f>
        <v>2</v>
      </c>
      <c r="J34" s="2"/>
      <c r="K34" s="2"/>
      <c r="L34" s="2"/>
      <c r="M34" s="41"/>
    </row>
    <row r="35" spans="1:14" ht="15.75" customHeight="1" x14ac:dyDescent="0.15">
      <c r="A35" s="23" t="str">
        <f>'GPT-5 Generation'!A35</f>
        <v>State</v>
      </c>
      <c r="B35" s="24" t="str">
        <f>'GPT-5 Generation'!B35</f>
        <v>Scan &amp; Email</v>
      </c>
      <c r="C35" s="8">
        <f>'GPT-5 Generation'!C35</f>
        <v>1</v>
      </c>
      <c r="D35" s="8">
        <f>'Claude Sonnet 4.5 Gen'!C35</f>
        <v>1</v>
      </c>
      <c r="E35" s="14"/>
    </row>
    <row r="36" spans="1:14" ht="15.75" customHeight="1" x14ac:dyDescent="0.15">
      <c r="A36" s="23" t="str">
        <f>'GPT-5 Generation'!A36</f>
        <v>State</v>
      </c>
      <c r="B36" s="24" t="str">
        <f>'GPT-5 Generation'!B36</f>
        <v>Suspended</v>
      </c>
      <c r="C36" s="8">
        <f>'GPT-5 Generation'!C36</f>
        <v>1</v>
      </c>
      <c r="D36" s="8">
        <f>'Claude Sonnet 4.5 Gen'!C36</f>
        <v>1</v>
      </c>
      <c r="E36" s="14"/>
      <c r="F36" s="61" t="s">
        <v>133</v>
      </c>
      <c r="G36" s="62"/>
      <c r="H36" s="62"/>
      <c r="I36" s="62"/>
      <c r="L36" s="64" t="s">
        <v>134</v>
      </c>
      <c r="M36" s="65"/>
      <c r="N36" s="65"/>
    </row>
    <row r="37" spans="1:14" ht="15.75" customHeight="1" x14ac:dyDescent="0.15">
      <c r="A37" s="23" t="str">
        <f>'GPT-5 Generation'!A37</f>
        <v>Transition</v>
      </c>
      <c r="B37" s="24" t="str">
        <f>'GPT-5 Generation'!B37</f>
        <v>resume (Suspended =&gt; History State for Busy)</v>
      </c>
      <c r="C37" s="8">
        <f>'GPT-5 Generation'!C37</f>
        <v>1</v>
      </c>
      <c r="D37" s="8">
        <f>'Claude Sonnet 4.5 Gen'!C37</f>
        <v>0.5</v>
      </c>
      <c r="E37" s="14"/>
      <c r="F37" s="2" t="s">
        <v>17</v>
      </c>
      <c r="G37" s="42" t="s">
        <v>112</v>
      </c>
      <c r="H37" s="42" t="s">
        <v>113</v>
      </c>
      <c r="I37" s="42" t="s">
        <v>114</v>
      </c>
      <c r="J37" s="43" t="s">
        <v>115</v>
      </c>
      <c r="L37" s="29" t="s">
        <v>116</v>
      </c>
      <c r="M37" s="29" t="s">
        <v>117</v>
      </c>
      <c r="N37" s="29" t="s">
        <v>118</v>
      </c>
    </row>
    <row r="38" spans="1:14" ht="15.75" customHeight="1" x14ac:dyDescent="0.15">
      <c r="A38" s="23" t="str">
        <f>'GPT-5 Generation'!A38</f>
        <v>Transition</v>
      </c>
      <c r="B38" s="24" t="str">
        <f>'GPT-5 Generation'!B38</f>
        <v>cancel (Suspended =&gt; Ready)</v>
      </c>
      <c r="C38" s="44">
        <f>'GPT-5 Generation'!C38</f>
        <v>1</v>
      </c>
      <c r="D38" s="44">
        <f>'Claude Sonnet 4.5 Gen'!C38</f>
        <v>1</v>
      </c>
      <c r="E38" s="14"/>
      <c r="F38" s="30">
        <v>0</v>
      </c>
      <c r="G38" s="31">
        <f>COUNTIFS($A$2:$A$90,$F$37,$C$2:$C$90,$F38,$D$2:$D$90,G$37)</f>
        <v>4</v>
      </c>
      <c r="H38" s="32">
        <f>COUNTIFS($A$2:$A$90,$F$37,$C$2:$C$90,$F38,$D$2:$D$90,H$37)</f>
        <v>0</v>
      </c>
      <c r="I38" s="33">
        <f>COUNTIFS($A$2:$A$38,$F$37,$C$2:$C$38,$F38,$D$2:$D$38,I$37)+MAX(D42-C42,0)</f>
        <v>0</v>
      </c>
      <c r="J38" s="2">
        <f>SUM(G38:I38)</f>
        <v>4</v>
      </c>
      <c r="K38" s="2"/>
      <c r="L38" s="34" t="s">
        <v>119</v>
      </c>
      <c r="M38" s="31">
        <f>(G38+H39+I40)/COUNTIF($A$2:$A$90,F37)</f>
        <v>1</v>
      </c>
      <c r="N38" s="33" t="s">
        <v>120</v>
      </c>
    </row>
    <row r="39" spans="1:14" ht="15.75" customHeight="1" x14ac:dyDescent="0.15">
      <c r="A39" s="45" t="str">
        <f>'GPT-5 Generation'!A39</f>
        <v>State</v>
      </c>
      <c r="B39" s="46" t="str">
        <f>'GPT-5 Generation'!B39</f>
        <v>additional elements</v>
      </c>
      <c r="C39" s="47">
        <f>'GPT-5 Generation'!C39</f>
        <v>0</v>
      </c>
      <c r="D39" s="47">
        <f>'Claude Sonnet 4.5 Gen'!C39</f>
        <v>0</v>
      </c>
      <c r="E39" s="14"/>
      <c r="F39" s="30">
        <v>0.5</v>
      </c>
      <c r="G39" s="35">
        <f>COUNTIFS($A$2:$A$90,$F$37,$C$2:$C$90,$F39,$D$2:$D$90,G$37)</f>
        <v>0</v>
      </c>
      <c r="H39" s="2">
        <f>COUNTIFS($A$2:$A$90,$F$37,$C$2:$C$90,$F39,$D$2:$D$90,H$37)</f>
        <v>0</v>
      </c>
      <c r="I39" s="36">
        <f>COUNTIFS($A$2:$A$90,$F$37,$C$2:$C$90,$F39,$D$2:$D$90,I$37)</f>
        <v>0</v>
      </c>
      <c r="J39" s="2">
        <f>SUM(G39:I39)</f>
        <v>0</v>
      </c>
      <c r="K39" s="2"/>
      <c r="L39" s="34" t="s">
        <v>121</v>
      </c>
      <c r="M39" s="35">
        <f t="array" ref="M39">SUMPRODUCT(J38:J40/COUNTIF($A$2:$A$90,F37), TRANSPOSE(G41:I41)/COUNTIF($A$2:$A$90,F37))</f>
        <v>1</v>
      </c>
      <c r="N39" s="36" t="s">
        <v>122</v>
      </c>
    </row>
    <row r="40" spans="1:14" ht="15.75" customHeight="1" x14ac:dyDescent="0.15">
      <c r="A40" s="23" t="str">
        <f>'GPT-5 Generation'!A40</f>
        <v>Transition</v>
      </c>
      <c r="B40" s="24" t="str">
        <f>'GPT-5 Generation'!B40</f>
        <v>additional elements</v>
      </c>
      <c r="C40" s="8">
        <f>'GPT-5 Generation'!C40</f>
        <v>0</v>
      </c>
      <c r="D40" s="8">
        <f>'Claude Sonnet 4.5 Gen'!C40</f>
        <v>0</v>
      </c>
      <c r="E40" s="14"/>
      <c r="F40" s="30">
        <v>1</v>
      </c>
      <c r="G40" s="37">
        <f>COUNTIFS($A$2:$A$38,$F$37,$C$2:$C$38,$F40,$D$2:$D$38,G$37)+MAX(C42-D42,0)</f>
        <v>0</v>
      </c>
      <c r="H40" s="38">
        <f>COUNTIFS($A$2:$A$90,$F$37,$C$2:$C$90,$F40,$D$2:$D$90,H$37)</f>
        <v>0</v>
      </c>
      <c r="I40" s="39">
        <f>COUNTIFS($A$2:$A$38,$F$37,$C$2:$C$38,$F40,$D$2:$D$38,I$37) + MIN(C42,D42)</f>
        <v>0</v>
      </c>
      <c r="J40" s="2">
        <f>SUM(G40:I40)</f>
        <v>0</v>
      </c>
      <c r="K40" s="2"/>
      <c r="L40" s="34" t="s">
        <v>110</v>
      </c>
      <c r="M40" s="37" t="e">
        <f>(M38-M39)/(1-M39)</f>
        <v>#DIV/0!</v>
      </c>
      <c r="N40" s="39" t="s">
        <v>123</v>
      </c>
    </row>
    <row r="41" spans="1:14" ht="15.75" customHeight="1" x14ac:dyDescent="0.15">
      <c r="A41" s="23" t="str">
        <f>'GPT-5 Generation'!A41</f>
        <v>Guard</v>
      </c>
      <c r="B41" s="24" t="str">
        <f>'GPT-5 Generation'!B41</f>
        <v>additional elements</v>
      </c>
      <c r="C41" s="8">
        <f>'GPT-5 Generation'!C41</f>
        <v>0</v>
      </c>
      <c r="D41" s="8">
        <f>'Claude Sonnet 4.5 Gen'!C41</f>
        <v>0</v>
      </c>
      <c r="E41" s="14"/>
      <c r="F41" s="40" t="s">
        <v>124</v>
      </c>
      <c r="G41" s="2">
        <f>SUM(G38:G40)</f>
        <v>4</v>
      </c>
      <c r="H41" s="2">
        <f>SUM(H38:H40)</f>
        <v>0</v>
      </c>
      <c r="I41" s="2">
        <f>SUM(I38:I40)</f>
        <v>0</v>
      </c>
      <c r="J41" s="2"/>
      <c r="K41" s="2"/>
      <c r="L41" s="2"/>
      <c r="M41" s="41"/>
    </row>
    <row r="42" spans="1:14" ht="15.75" customHeight="1" x14ac:dyDescent="0.15">
      <c r="A42" s="23" t="str">
        <f>'GPT-5 Generation'!A42</f>
        <v>Action</v>
      </c>
      <c r="B42" s="24" t="str">
        <f>'GPT-5 Generation'!B42</f>
        <v>additional elements</v>
      </c>
      <c r="C42" s="8">
        <f>'GPT-5 Generation'!C42</f>
        <v>0</v>
      </c>
      <c r="D42" s="8">
        <f>'Claude Sonnet 4.5 Gen'!C42</f>
        <v>0</v>
      </c>
      <c r="E42" s="14"/>
      <c r="K42" s="2"/>
    </row>
    <row r="43" spans="1:14" ht="15.75" customHeight="1" x14ac:dyDescent="0.15">
      <c r="A43" s="23" t="str">
        <f>'GPT-5 Generation'!A43</f>
        <v>Composite State</v>
      </c>
      <c r="B43" s="24" t="str">
        <f>'GPT-5 Generation'!B43</f>
        <v>additional elements</v>
      </c>
      <c r="C43" s="8">
        <f>'GPT-5 Generation'!C43</f>
        <v>0</v>
      </c>
      <c r="D43" s="8">
        <f>'Claude Sonnet 4.5 Gen'!C43</f>
        <v>0</v>
      </c>
      <c r="E43" s="14"/>
      <c r="F43" s="61" t="s">
        <v>135</v>
      </c>
      <c r="G43" s="62"/>
      <c r="H43" s="62"/>
      <c r="I43" s="62"/>
      <c r="K43" s="2"/>
      <c r="L43" s="64" t="s">
        <v>136</v>
      </c>
      <c r="M43" s="65"/>
      <c r="N43" s="65"/>
    </row>
    <row r="44" spans="1:14" ht="15.75" customHeight="1" x14ac:dyDescent="0.15">
      <c r="A44" s="23" t="str">
        <f>'GPT-5 Generation'!A44</f>
        <v>Region</v>
      </c>
      <c r="B44" s="24" t="str">
        <f>'GPT-5 Generation'!B44</f>
        <v>additional elements</v>
      </c>
      <c r="C44" s="8">
        <f>'GPT-5 Generation'!C44</f>
        <v>0</v>
      </c>
      <c r="D44" s="8">
        <f>'Claude Sonnet 4.5 Gen'!C44</f>
        <v>0</v>
      </c>
      <c r="E44" s="14"/>
      <c r="F44" s="2" t="s">
        <v>34</v>
      </c>
      <c r="G44" s="42" t="s">
        <v>112</v>
      </c>
      <c r="H44" s="42" t="s">
        <v>113</v>
      </c>
      <c r="I44" s="42" t="s">
        <v>114</v>
      </c>
      <c r="J44" s="43" t="s">
        <v>115</v>
      </c>
      <c r="L44" s="29" t="s">
        <v>116</v>
      </c>
      <c r="M44" s="29" t="s">
        <v>117</v>
      </c>
      <c r="N44" s="29" t="s">
        <v>118</v>
      </c>
    </row>
    <row r="45" spans="1:14" ht="15.75" customHeight="1" x14ac:dyDescent="0.15">
      <c r="A45" s="23" t="str">
        <f>'GPT-5 Generation'!A45</f>
        <v>History State</v>
      </c>
      <c r="B45" s="24" t="str">
        <f>'GPT-5 Generation'!B45</f>
        <v>additional elements</v>
      </c>
      <c r="C45" s="8">
        <f>'GPT-5 Generation'!C45</f>
        <v>0</v>
      </c>
      <c r="D45" s="8">
        <f>'Claude Sonnet 4.5 Gen'!C45</f>
        <v>0</v>
      </c>
      <c r="E45" s="14"/>
      <c r="F45" s="30">
        <v>0</v>
      </c>
      <c r="G45" s="31">
        <f>COUNTIFS($A$2:$A$90,$F$44,$C$2:$C$90,$F45,$D$2:$D$90,G$44)</f>
        <v>1</v>
      </c>
      <c r="H45" s="32">
        <f>COUNTIFS($A$2:$A$90,$F$44,$C$2:$C$90,$F45,$D$2:$D$90,H$44)</f>
        <v>0</v>
      </c>
      <c r="I45" s="33">
        <f>COUNTIFS($A$2:$A$38,$F$44,$C$2:$C$38,$F45,$D$2:$D$38,I$44) + MAX(D45-C45,0)</f>
        <v>0</v>
      </c>
      <c r="J45" s="2">
        <f>SUM(G45:I45)</f>
        <v>1</v>
      </c>
      <c r="L45" s="34" t="s">
        <v>119</v>
      </c>
      <c r="M45" s="31">
        <f>(G45+H46+I47)/COUNTIF($A$2:$A$90,F44)</f>
        <v>0.5</v>
      </c>
      <c r="N45" s="33" t="s">
        <v>120</v>
      </c>
    </row>
    <row r="46" spans="1:14" ht="15.75" customHeight="1" x14ac:dyDescent="0.15">
      <c r="A46" s="23"/>
      <c r="B46" s="24"/>
      <c r="C46" s="14"/>
      <c r="D46" s="14"/>
      <c r="E46" s="14"/>
      <c r="F46" s="30">
        <v>0.5</v>
      </c>
      <c r="G46" s="35">
        <f>COUNTIFS($A$2:$A$90,$F$44,$C$2:$C$90,$F46,$D$2:$D$90,G$44)</f>
        <v>0</v>
      </c>
      <c r="H46" s="2">
        <f>COUNTIFS($A$2:$A$90,$F$44,$C$2:$C$90,$F46,$D$2:$D$90,H$44)</f>
        <v>0</v>
      </c>
      <c r="I46" s="36">
        <f>COUNTIFS($A$2:$A$90,$F$44,$C$2:$C$90,$F46,$D$2:$D$90,I$44)</f>
        <v>0</v>
      </c>
      <c r="J46" s="2">
        <f>SUM(G46:I46)</f>
        <v>0</v>
      </c>
      <c r="L46" s="34" t="s">
        <v>121</v>
      </c>
      <c r="M46" s="35">
        <f t="array" ref="M46">SUMPRODUCT(J45:J47/COUNTIF($A$2:$A$90,F44), TRANSPOSE(G48:I48)/COUNTIF($A$2:$A$90,F44))</f>
        <v>0.5</v>
      </c>
      <c r="N46" s="36" t="s">
        <v>122</v>
      </c>
    </row>
    <row r="47" spans="1:14" ht="15.75" customHeight="1" x14ac:dyDescent="0.15">
      <c r="A47" s="23"/>
      <c r="B47" s="24"/>
      <c r="C47" s="14"/>
      <c r="D47" s="14"/>
      <c r="E47" s="14"/>
      <c r="F47" s="30">
        <v>1</v>
      </c>
      <c r="G47" s="37">
        <f>COUNTIFS($A$2:$A$38,$F$44,$C$2:$C$38,$F47,$D$2:$D$38,G$44) + MAX(C45-D45,0)</f>
        <v>1</v>
      </c>
      <c r="H47" s="38">
        <f>COUNTIFS($A$2:$A$90,$F$44,$C$2:$C$90,$F47,$D$2:$D$90,H$44)</f>
        <v>0</v>
      </c>
      <c r="I47" s="39">
        <f>COUNTIFS($A$2:$A$38,$F$44,$C$2:$C$38,$F47,$D$2:$D$38,I$44) + MIN(C45,D45)</f>
        <v>0</v>
      </c>
      <c r="J47" s="2">
        <f>SUM(G47:I47)</f>
        <v>1</v>
      </c>
      <c r="K47" s="2"/>
      <c r="L47" s="34" t="s">
        <v>110</v>
      </c>
      <c r="M47" s="37">
        <f>(M45-M46)/(1-M46)</f>
        <v>0</v>
      </c>
      <c r="N47" s="39" t="s">
        <v>123</v>
      </c>
    </row>
    <row r="48" spans="1:14" ht="15.75" customHeight="1" x14ac:dyDescent="0.15">
      <c r="A48" s="23"/>
      <c r="B48" s="24"/>
      <c r="C48" s="14"/>
      <c r="D48" s="14"/>
      <c r="E48" s="14"/>
      <c r="F48" s="40" t="s">
        <v>124</v>
      </c>
      <c r="G48" s="2">
        <f>SUM(G45:G47)</f>
        <v>2</v>
      </c>
      <c r="H48" s="2">
        <f>SUM(H45:H47)</f>
        <v>0</v>
      </c>
      <c r="I48" s="2">
        <f>SUM(I45:I47)</f>
        <v>0</v>
      </c>
      <c r="J48" s="2"/>
      <c r="K48" s="2"/>
      <c r="L48" s="2"/>
      <c r="M48" s="41"/>
    </row>
    <row r="49" spans="1:14" ht="15.75" customHeight="1" x14ac:dyDescent="0.15">
      <c r="A49" s="23"/>
      <c r="B49" s="24"/>
      <c r="C49" s="14"/>
      <c r="D49" s="14"/>
      <c r="E49" s="14"/>
      <c r="K49" s="2"/>
    </row>
    <row r="50" spans="1:14" ht="15.75" customHeight="1" x14ac:dyDescent="0.15">
      <c r="A50" s="23"/>
      <c r="B50" s="24"/>
      <c r="C50" s="14"/>
      <c r="D50" s="14"/>
      <c r="E50" s="14"/>
      <c r="F50" s="61" t="s">
        <v>137</v>
      </c>
      <c r="G50" s="62"/>
      <c r="H50" s="62"/>
      <c r="I50" s="62"/>
      <c r="K50" s="2"/>
      <c r="L50" s="64" t="s">
        <v>138</v>
      </c>
      <c r="M50" s="65"/>
      <c r="N50" s="65"/>
    </row>
    <row r="51" spans="1:14" ht="15.75" customHeight="1" x14ac:dyDescent="0.15">
      <c r="A51" s="23"/>
      <c r="B51" s="24"/>
      <c r="C51" s="14"/>
      <c r="D51" s="14"/>
      <c r="E51" s="14"/>
      <c r="F51" s="2" t="s">
        <v>45</v>
      </c>
      <c r="G51" s="42" t="s">
        <v>112</v>
      </c>
      <c r="H51" s="42" t="s">
        <v>113</v>
      </c>
      <c r="I51" s="42" t="s">
        <v>114</v>
      </c>
      <c r="J51" s="43" t="s">
        <v>115</v>
      </c>
      <c r="K51" s="2"/>
      <c r="L51" s="29" t="s">
        <v>116</v>
      </c>
      <c r="M51" s="29" t="s">
        <v>117</v>
      </c>
      <c r="N51" s="29" t="s">
        <v>118</v>
      </c>
    </row>
    <row r="52" spans="1:14" ht="15.75" customHeight="1" x14ac:dyDescent="0.15">
      <c r="A52" s="23"/>
      <c r="B52" s="24"/>
      <c r="C52" s="14"/>
      <c r="D52" s="14"/>
      <c r="E52" s="14"/>
      <c r="F52" s="30">
        <v>0</v>
      </c>
      <c r="G52" s="31">
        <f>COUNTIFS($A$2:$A$90,$F$51,$C$2:$C$90,$F52,$D$2:$D$90,G$51)</f>
        <v>1</v>
      </c>
      <c r="H52" s="32">
        <f>COUNTIFS($A$2:$A$90,$F$51,$C$2:$C$90,$F52,$D$2:$D$90,H$51)</f>
        <v>0</v>
      </c>
      <c r="I52" s="33">
        <f>COUNTIFS($A$2:$A$38,$F$51,$C$2:$C$38,$F52,$D$2:$D$38,I$51)+MAX(D44-C44,0)</f>
        <v>0</v>
      </c>
      <c r="J52" s="2">
        <f>SUM(G52:I52)</f>
        <v>1</v>
      </c>
      <c r="K52" s="2"/>
      <c r="L52" s="34" t="s">
        <v>119</v>
      </c>
      <c r="M52" s="31">
        <f>(G52+H53+I54)/COUNTIF($A$2:$A$90,F51)</f>
        <v>1</v>
      </c>
      <c r="N52" s="33" t="s">
        <v>120</v>
      </c>
    </row>
    <row r="53" spans="1:14" ht="15.75" customHeight="1" x14ac:dyDescent="0.15">
      <c r="A53" s="23"/>
      <c r="B53" s="24"/>
      <c r="C53" s="14"/>
      <c r="D53" s="14"/>
      <c r="E53" s="14"/>
      <c r="F53" s="30">
        <v>0.5</v>
      </c>
      <c r="G53" s="35">
        <f>COUNTIFS($A$2:$A$90,$F$51,$C$2:$C$90,$F53,$D$2:$D$90,G$51)</f>
        <v>0</v>
      </c>
      <c r="H53" s="2">
        <f>COUNTIFS($A$2:$A$90,$F$51,$C$2:$C$90,$F53,$D$2:$D$90,H$51)</f>
        <v>0</v>
      </c>
      <c r="I53" s="36">
        <f>COUNTIFS($A$2:$A$90,$F$51,$C$2:$C$90,$F53,$D$2:$D$90,I$51)</f>
        <v>0</v>
      </c>
      <c r="J53" s="2">
        <f>SUM(G53:I53)</f>
        <v>0</v>
      </c>
      <c r="L53" s="34" t="s">
        <v>121</v>
      </c>
      <c r="M53" s="35">
        <f t="array" ref="M53">SUMPRODUCT(J52:J54/COUNTIF($A$2:$A$90,F51), TRANSPOSE(G55:I55)/COUNTIF($A$2:$A$90,F51))</f>
        <v>1</v>
      </c>
      <c r="N53" s="36" t="s">
        <v>122</v>
      </c>
    </row>
    <row r="54" spans="1:14" ht="15.75" customHeight="1" x14ac:dyDescent="0.15">
      <c r="A54" s="23"/>
      <c r="B54" s="24"/>
      <c r="C54" s="14"/>
      <c r="D54" s="14"/>
      <c r="E54" s="14"/>
      <c r="F54" s="30">
        <v>1</v>
      </c>
      <c r="G54" s="37">
        <f>COUNTIFS($A$2:$A$38,$F$51,$C$2:$C$38,$F54,$D$2:$D$38,G$51) + MAX(C44-D44,0)</f>
        <v>0</v>
      </c>
      <c r="H54" s="38">
        <f>COUNTIFS($A$2:$A$90,$F$51,$C$2:$C$90,$F54,$D$2:$D$90,H$51)</f>
        <v>0</v>
      </c>
      <c r="I54" s="39">
        <f>COUNTIFS($A$2:$A$38,$F$51,$C$2:$C$38,$F54,$D$2:$D$38,I$51)+MIN(C44,D44)</f>
        <v>0</v>
      </c>
      <c r="J54" s="2">
        <f>SUM(G54:I54)</f>
        <v>0</v>
      </c>
      <c r="L54" s="34" t="s">
        <v>110</v>
      </c>
      <c r="M54" s="37" t="e">
        <f>(M52-M53)/(1-M53)</f>
        <v>#DIV/0!</v>
      </c>
      <c r="N54" s="39" t="s">
        <v>123</v>
      </c>
    </row>
    <row r="55" spans="1:14" ht="15.75" customHeight="1" x14ac:dyDescent="0.15">
      <c r="A55" s="23"/>
      <c r="B55" s="24"/>
      <c r="C55" s="14"/>
      <c r="D55" s="14"/>
      <c r="E55" s="14"/>
      <c r="F55" s="40" t="s">
        <v>124</v>
      </c>
      <c r="G55" s="2">
        <f>SUM(G52:G54)</f>
        <v>1</v>
      </c>
      <c r="H55" s="2">
        <f>SUM(H52:H54)</f>
        <v>0</v>
      </c>
      <c r="I55" s="2">
        <f>SUM(I52:I54)</f>
        <v>0</v>
      </c>
      <c r="J55" s="2"/>
      <c r="L55" s="2"/>
      <c r="M55" s="41"/>
    </row>
    <row r="56" spans="1:14" ht="15.75" customHeight="1" x14ac:dyDescent="0.15">
      <c r="A56" s="23"/>
      <c r="B56" s="24"/>
      <c r="C56" s="14"/>
      <c r="D56" s="14"/>
      <c r="E56" s="14"/>
      <c r="K56" s="2"/>
      <c r="L56" s="2"/>
      <c r="M56" s="41"/>
    </row>
    <row r="57" spans="1:14" ht="15.75" customHeight="1" x14ac:dyDescent="0.15">
      <c r="A57" s="23"/>
      <c r="B57" s="24"/>
      <c r="C57" s="14"/>
      <c r="D57" s="14"/>
      <c r="E57" s="14"/>
      <c r="K57" s="2"/>
      <c r="L57" s="2"/>
      <c r="M57" s="41"/>
    </row>
    <row r="58" spans="1:14" ht="15.75" customHeight="1" x14ac:dyDescent="0.15">
      <c r="A58" s="23"/>
      <c r="B58" s="24"/>
      <c r="C58" s="14"/>
      <c r="D58" s="14"/>
      <c r="E58" s="14"/>
      <c r="K58" s="2"/>
    </row>
    <row r="59" spans="1:14" ht="15.75" customHeight="1" x14ac:dyDescent="0.15">
      <c r="A59" s="23"/>
      <c r="B59" s="24"/>
      <c r="C59" s="14"/>
      <c r="D59" s="14"/>
      <c r="E59" s="14"/>
      <c r="K59" s="2"/>
    </row>
    <row r="60" spans="1:14" ht="15.75" customHeight="1" x14ac:dyDescent="0.15">
      <c r="A60" s="23"/>
      <c r="B60" s="24"/>
      <c r="C60" s="14"/>
      <c r="D60" s="14"/>
      <c r="E60" s="14"/>
      <c r="K60" s="2"/>
    </row>
    <row r="61" spans="1:14" ht="15.75" customHeight="1" x14ac:dyDescent="0.15">
      <c r="A61" s="23"/>
      <c r="B61" s="24"/>
      <c r="C61" s="14"/>
      <c r="D61" s="14"/>
      <c r="E61" s="14"/>
      <c r="K61" s="2"/>
    </row>
    <row r="62" spans="1:14" ht="15.75" customHeight="1" x14ac:dyDescent="0.15">
      <c r="A62" s="23"/>
      <c r="B62" s="24"/>
      <c r="C62" s="14"/>
      <c r="D62" s="14"/>
      <c r="E62" s="14"/>
    </row>
    <row r="63" spans="1:14" ht="15.75" customHeight="1" x14ac:dyDescent="0.15">
      <c r="A63" s="23"/>
      <c r="B63" s="24"/>
      <c r="C63" s="14"/>
      <c r="D63" s="14"/>
      <c r="E63" s="14"/>
      <c r="G63" s="48">
        <f>MIN(C41,D41)+MIN(C42,D42)+MIN(C43,D43)+MIN(C44,D44)+MIN(C45,D45)</f>
        <v>0</v>
      </c>
    </row>
    <row r="64" spans="1:14" ht="15.75" customHeight="1" x14ac:dyDescent="0.15">
      <c r="A64" s="23"/>
      <c r="B64" s="24"/>
      <c r="C64" s="14"/>
      <c r="D64" s="14"/>
      <c r="E64" s="14"/>
    </row>
    <row r="65" spans="1:11" ht="15.75" customHeight="1" x14ac:dyDescent="0.15">
      <c r="A65" s="23"/>
      <c r="B65" s="24"/>
      <c r="C65" s="14"/>
      <c r="D65" s="14"/>
      <c r="E65" s="14"/>
      <c r="K65" s="2"/>
    </row>
    <row r="66" spans="1:11" ht="15.75" customHeight="1" x14ac:dyDescent="0.15">
      <c r="A66" s="23"/>
      <c r="B66" s="24"/>
      <c r="C66" s="14"/>
      <c r="D66" s="14"/>
      <c r="E66" s="14"/>
      <c r="K66" s="2"/>
    </row>
    <row r="67" spans="1:11" ht="15.75" customHeight="1" x14ac:dyDescent="0.15">
      <c r="A67" s="23"/>
      <c r="B67" s="24"/>
      <c r="C67" s="14"/>
      <c r="D67" s="14"/>
      <c r="E67" s="14"/>
      <c r="K67" s="2"/>
    </row>
    <row r="68" spans="1:11" ht="15.75" customHeight="1" x14ac:dyDescent="0.15">
      <c r="A68" s="23"/>
      <c r="B68" s="24"/>
      <c r="C68" s="14"/>
      <c r="D68" s="14"/>
      <c r="E68" s="14"/>
      <c r="K68" s="2"/>
    </row>
    <row r="69" spans="1:11" ht="15.75" customHeight="1" x14ac:dyDescent="0.15">
      <c r="A69" s="23"/>
      <c r="B69" s="24"/>
      <c r="C69" s="14"/>
      <c r="D69" s="14"/>
      <c r="E69" s="14"/>
      <c r="K69" s="2"/>
    </row>
    <row r="70" spans="1:11" ht="15.75" customHeight="1" x14ac:dyDescent="0.15">
      <c r="A70" s="23"/>
      <c r="B70" s="24"/>
      <c r="C70" s="14"/>
      <c r="D70" s="14"/>
      <c r="K70" s="2"/>
    </row>
    <row r="71" spans="1:11" ht="15.75" customHeight="1" x14ac:dyDescent="0.15">
      <c r="B71" s="24"/>
      <c r="D71" s="14"/>
    </row>
    <row r="72" spans="1:11" ht="15.75" customHeight="1" x14ac:dyDescent="0.15">
      <c r="B72" s="24"/>
      <c r="D72" s="14"/>
    </row>
    <row r="73" spans="1:11" ht="15.75" customHeight="1" x14ac:dyDescent="0.15">
      <c r="D73" s="14"/>
    </row>
    <row r="74" spans="1:11" ht="15.75" customHeight="1" x14ac:dyDescent="0.15"/>
    <row r="75" spans="1:11" ht="15.75" customHeight="1" x14ac:dyDescent="0.15"/>
    <row r="76" spans="1:11" ht="15.75" customHeight="1" x14ac:dyDescent="0.15"/>
    <row r="77" spans="1:11" ht="15.75" customHeight="1" x14ac:dyDescent="0.15"/>
    <row r="78" spans="1:11" ht="15.75" customHeight="1" x14ac:dyDescent="0.15"/>
    <row r="79" spans="1:11" ht="15.75" customHeight="1" x14ac:dyDescent="0.15"/>
    <row r="80" spans="1:11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L1:N1"/>
    <mergeCell ref="F50:I50"/>
    <mergeCell ref="L15:N15"/>
    <mergeCell ref="F1:I1"/>
    <mergeCell ref="F8:I8"/>
    <mergeCell ref="L50:N50"/>
    <mergeCell ref="L36:N36"/>
    <mergeCell ref="F43:I43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0"/>
  <sheetViews>
    <sheetView topLeftCell="G1"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2.1640625" customWidth="1"/>
    <col min="14" max="14" width="15.5" customWidth="1"/>
    <col min="15" max="15" width="12.1640625" customWidth="1"/>
    <col min="22" max="22" width="36.33203125" customWidth="1"/>
    <col min="23" max="23" width="11.6640625" customWidth="1"/>
    <col min="24" max="24" width="56.6640625" customWidth="1"/>
  </cols>
  <sheetData>
    <row r="1" spans="1:24" ht="15.75" customHeight="1" x14ac:dyDescent="0.15">
      <c r="A1" s="1" t="s">
        <v>0</v>
      </c>
      <c r="B1" s="2" t="s">
        <v>1</v>
      </c>
      <c r="C1" s="7" t="s">
        <v>105</v>
      </c>
      <c r="D1" s="7" t="s">
        <v>104</v>
      </c>
      <c r="E1" s="14"/>
      <c r="F1" s="61" t="s">
        <v>109</v>
      </c>
      <c r="G1" s="62"/>
      <c r="H1" s="62"/>
      <c r="I1" s="62"/>
      <c r="L1" s="61" t="s">
        <v>139</v>
      </c>
      <c r="M1" s="62"/>
      <c r="N1" s="62"/>
      <c r="O1" s="62"/>
    </row>
    <row r="2" spans="1:24" ht="15.75" customHeight="1" x14ac:dyDescent="0.15">
      <c r="A2" s="23" t="str">
        <f>'GPT-5 Generation'!A2</f>
        <v>State</v>
      </c>
      <c r="B2" s="24" t="str">
        <f>'GPT-5 Generation'!B2</f>
        <v>initial state (Off)</v>
      </c>
      <c r="C2" s="8">
        <f>'GPT-5 Generation'!C2</f>
        <v>1</v>
      </c>
      <c r="D2" s="8">
        <f>'Claude Sonnet 4.5 Gen'!C2</f>
        <v>1</v>
      </c>
      <c r="E2" s="14"/>
      <c r="F2" s="2" t="s">
        <v>111</v>
      </c>
      <c r="G2" s="25" t="s">
        <v>112</v>
      </c>
      <c r="H2" s="26" t="s">
        <v>113</v>
      </c>
      <c r="I2" s="27" t="s">
        <v>114</v>
      </c>
      <c r="J2" s="43" t="s">
        <v>115</v>
      </c>
      <c r="K2" s="2"/>
      <c r="L2" s="2" t="s">
        <v>111</v>
      </c>
      <c r="M2" s="42" t="s">
        <v>112</v>
      </c>
      <c r="N2" s="42" t="s">
        <v>113</v>
      </c>
      <c r="O2" s="42" t="s">
        <v>114</v>
      </c>
      <c r="P2" s="2"/>
      <c r="Q2" s="2" t="s">
        <v>111</v>
      </c>
      <c r="R2" s="42" t="s">
        <v>112</v>
      </c>
      <c r="S2" s="42" t="s">
        <v>113</v>
      </c>
      <c r="T2" s="42" t="s">
        <v>114</v>
      </c>
      <c r="V2" s="29" t="str">
        <f>"Metrics" &amp; " " &amp; F2</f>
        <v>Metrics Global</v>
      </c>
      <c r="W2" s="29" t="s">
        <v>117</v>
      </c>
      <c r="X2" s="29" t="s">
        <v>118</v>
      </c>
    </row>
    <row r="3" spans="1:24" ht="15.75" customHeight="1" x14ac:dyDescent="0.15">
      <c r="A3" s="23" t="str">
        <f>'GPT-5 Generation'!A3</f>
        <v>State</v>
      </c>
      <c r="B3" s="24" t="str">
        <f>'GPT-5 Generation'!B3</f>
        <v>Off</v>
      </c>
      <c r="C3" s="8">
        <f>'GPT-5 Generation'!C3</f>
        <v>1</v>
      </c>
      <c r="D3" s="8">
        <f>'Claude Sonnet 4.5 Gen'!C3</f>
        <v>1</v>
      </c>
      <c r="E3" s="14"/>
      <c r="F3" s="30">
        <v>0</v>
      </c>
      <c r="G3" s="31">
        <f>COUNTIFS($C$2:$C$90, $F3, $D$2:$D$90, G$2)</f>
        <v>10</v>
      </c>
      <c r="H3" s="32">
        <f>COUNTIFS($C$2:$C$38, $F3, $D$2:$D$38, H$2)</f>
        <v>0</v>
      </c>
      <c r="I3" s="33">
        <f>COUNTIFS($C$2:$C$38, $F3, $D$2:$D$38, I$2)+MAX(D39-C39,0)+MAX(D40-C40,0)+MAX(D41-C41,0)+MAX(D42-C42,0)+MAX(D43-C43,0)+MAX(D44-C44,0)+MAX(D45-C45,0)</f>
        <v>0</v>
      </c>
      <c r="J3" s="2">
        <f>SUM(G3:I3)</f>
        <v>10</v>
      </c>
      <c r="K3" s="2"/>
      <c r="L3" s="30">
        <v>0</v>
      </c>
      <c r="M3" s="31">
        <f>ABS(G$2-$F3)/1</f>
        <v>0</v>
      </c>
      <c r="N3" s="32">
        <f>ABS(H$2-$F3)/1</f>
        <v>0.5</v>
      </c>
      <c r="O3" s="33">
        <f>ABS(I$2-$F3)/1</f>
        <v>1</v>
      </c>
      <c r="P3" s="2"/>
      <c r="Q3" s="30">
        <v>0</v>
      </c>
      <c r="R3" s="31">
        <f t="shared" ref="R3:T5" si="0">($J3/$J$6) * (G$6/$J$6)</f>
        <v>6.7148760330578511E-2</v>
      </c>
      <c r="S3" s="32">
        <f t="shared" si="0"/>
        <v>3.099173553719008E-2</v>
      </c>
      <c r="T3" s="33">
        <f t="shared" si="0"/>
        <v>0.12913223140495869</v>
      </c>
      <c r="U3" s="2"/>
      <c r="V3" s="34" t="s">
        <v>140</v>
      </c>
      <c r="W3" s="31">
        <f>SUMPRODUCT(G3:I5, M3:O5) /$J$6</f>
        <v>0.13636363636363635</v>
      </c>
      <c r="X3" s="33" t="s">
        <v>141</v>
      </c>
    </row>
    <row r="4" spans="1:24" ht="15.75" customHeight="1" x14ac:dyDescent="0.15">
      <c r="A4" s="23" t="str">
        <f>'GPT-5 Generation'!A4</f>
        <v>Transition</v>
      </c>
      <c r="B4" s="24" t="str">
        <f>'GPT-5 Generation'!B4</f>
        <v>on (Off =&gt; On)</v>
      </c>
      <c r="C4" s="8">
        <f>'GPT-5 Generation'!C4</f>
        <v>1</v>
      </c>
      <c r="D4" s="8">
        <f>'Claude Sonnet 4.5 Gen'!C4</f>
        <v>1</v>
      </c>
      <c r="E4" s="14"/>
      <c r="F4" s="30">
        <v>0.5</v>
      </c>
      <c r="G4" s="35">
        <f>COUNTIFS($C$2:$C$38, $F4, $D$2:$D$38, G$2)</f>
        <v>0</v>
      </c>
      <c r="H4" s="2">
        <f>COUNTIFS($C$2:$C$38, $F4, $D$2:$D$38, H$2)</f>
        <v>0</v>
      </c>
      <c r="I4" s="36">
        <f>COUNTIFS($C$2:$C$38, $F4, $D$2:$D$38, I$2)</f>
        <v>0</v>
      </c>
      <c r="J4" s="2">
        <f>SUM(G4:I4)</f>
        <v>0</v>
      </c>
      <c r="K4" s="2"/>
      <c r="L4" s="30">
        <v>0.5</v>
      </c>
      <c r="M4" s="35">
        <f>ABS(G$2-$F4)/1</f>
        <v>0.5</v>
      </c>
      <c r="N4" s="2">
        <f>ABS(H$2-$F4)/3</f>
        <v>0</v>
      </c>
      <c r="O4" s="36">
        <f>ABS(I$2-$F4)/1</f>
        <v>0.5</v>
      </c>
      <c r="P4" s="2"/>
      <c r="Q4" s="30">
        <v>0.5</v>
      </c>
      <c r="R4" s="35">
        <f t="shared" si="0"/>
        <v>0</v>
      </c>
      <c r="S4" s="2">
        <f t="shared" si="0"/>
        <v>0</v>
      </c>
      <c r="T4" s="36">
        <f t="shared" si="0"/>
        <v>0</v>
      </c>
      <c r="U4" s="2"/>
      <c r="V4" s="34" t="s">
        <v>142</v>
      </c>
      <c r="W4" s="35">
        <f>SUMPRODUCT(R3:T5, M3:O5)</f>
        <v>0.42561983471074388</v>
      </c>
      <c r="X4" s="36" t="s">
        <v>143</v>
      </c>
    </row>
    <row r="5" spans="1:24" ht="15.75" customHeight="1" x14ac:dyDescent="0.15">
      <c r="A5" s="23" t="str">
        <f>'GPT-5 Generation'!A5</f>
        <v>Composite State</v>
      </c>
      <c r="B5" s="24" t="str">
        <f>'GPT-5 Generation'!B5</f>
        <v>On</v>
      </c>
      <c r="C5" s="8">
        <f>'GPT-5 Generation'!C5</f>
        <v>1</v>
      </c>
      <c r="D5" s="8">
        <f>'Claude Sonnet 4.5 Gen'!C5</f>
        <v>1</v>
      </c>
      <c r="E5" s="14"/>
      <c r="F5" s="30">
        <v>1</v>
      </c>
      <c r="G5" s="37">
        <f>COUNTIFS($C$2:$C$38, $F5, $D$2:$D$38, G$2)+MAX(C39-D39,0)+MAX(C40-D40,0)+MAX(C41-D41,0)+MAX(C42-D42,0)+MAX(C43-D43,0)+MAX(C44-D44,0)+MAX(C45-D45,0)</f>
        <v>3</v>
      </c>
      <c r="H5" s="38">
        <f>COUNTIFS($C$2:$C$38, $F5, $D$2:$D$38, H$2)</f>
        <v>6</v>
      </c>
      <c r="I5" s="39">
        <f>COUNTIFS($C$2:$C$38, $F5, $D$2:$D$38, I$2)+ SUM(MIN(C39,D39), MIN(C40,D40), MIN(C41,D41), MIN(C42,D42), MIN(C43,D43), MIN(C44,D44), MIN(C45,D45))</f>
        <v>25</v>
      </c>
      <c r="J5" s="2">
        <f>SUM(G5:I5)</f>
        <v>34</v>
      </c>
      <c r="K5" s="2"/>
      <c r="L5" s="30">
        <v>1</v>
      </c>
      <c r="M5" s="37">
        <f>ABS(G$2-$F5)/1</f>
        <v>1</v>
      </c>
      <c r="N5" s="38">
        <f>ABS(H$2-$F5)/1</f>
        <v>0.5</v>
      </c>
      <c r="O5" s="39">
        <f>ABS(I$2-$F5)/1</f>
        <v>0</v>
      </c>
      <c r="P5" s="2"/>
      <c r="Q5" s="30">
        <v>1</v>
      </c>
      <c r="R5" s="37">
        <f t="shared" si="0"/>
        <v>0.22830578512396696</v>
      </c>
      <c r="S5" s="38">
        <f t="shared" si="0"/>
        <v>0.10537190082644628</v>
      </c>
      <c r="T5" s="39">
        <f t="shared" si="0"/>
        <v>0.43904958677685951</v>
      </c>
      <c r="U5" s="2"/>
      <c r="V5" s="34" t="s">
        <v>110</v>
      </c>
      <c r="W5" s="37">
        <f>1-W3/W4</f>
        <v>0.67961165048543704</v>
      </c>
      <c r="X5" s="39" t="s">
        <v>144</v>
      </c>
    </row>
    <row r="6" spans="1:24" ht="15.75" customHeight="1" x14ac:dyDescent="0.15">
      <c r="A6" s="23" t="str">
        <f>'GPT-5 Generation'!A6</f>
        <v>Transition</v>
      </c>
      <c r="B6" s="24" t="str">
        <f>'GPT-5 Generation'!B6</f>
        <v>off (On =&gt; Off)</v>
      </c>
      <c r="C6" s="8">
        <f>'GPT-5 Generation'!C6</f>
        <v>1</v>
      </c>
      <c r="D6" s="8">
        <f>'Claude Sonnet 4.5 Gen'!C6</f>
        <v>1</v>
      </c>
      <c r="E6" s="14"/>
      <c r="F6" s="40" t="s">
        <v>124</v>
      </c>
      <c r="G6" s="2">
        <f>SUM(G3:G5)</f>
        <v>13</v>
      </c>
      <c r="H6" s="2">
        <f>SUM(H3:H5)</f>
        <v>6</v>
      </c>
      <c r="I6" s="2">
        <f>SUM(I3:I5)</f>
        <v>25</v>
      </c>
      <c r="J6" s="2">
        <f>SUM(G3:I5)</f>
        <v>44</v>
      </c>
      <c r="L6" s="2"/>
      <c r="M6" s="2"/>
      <c r="N6" s="2"/>
      <c r="O6" s="2"/>
      <c r="P6" s="2"/>
      <c r="Q6" s="2"/>
      <c r="R6" s="2"/>
      <c r="S6" s="2"/>
      <c r="T6" s="2"/>
      <c r="V6" s="2"/>
      <c r="W6" s="41"/>
    </row>
    <row r="7" spans="1:24" ht="15.75" customHeight="1" x14ac:dyDescent="0.15">
      <c r="A7" s="23" t="str">
        <f>'GPT-5 Generation'!A7</f>
        <v>State</v>
      </c>
      <c r="B7" s="24" t="str">
        <f>'GPT-5 Generation'!B7</f>
        <v>initial state (Idle)</v>
      </c>
      <c r="C7" s="8">
        <f>'GPT-5 Generation'!C7</f>
        <v>1</v>
      </c>
      <c r="D7" s="8">
        <f>'Claude Sonnet 4.5 Gen'!C7</f>
        <v>1</v>
      </c>
      <c r="E7" s="14"/>
      <c r="L7" s="2"/>
      <c r="M7" s="2"/>
      <c r="N7" s="2"/>
    </row>
    <row r="8" spans="1:24" ht="15.75" customHeight="1" x14ac:dyDescent="0.15">
      <c r="A8" s="23" t="str">
        <f>'GPT-5 Generation'!A8</f>
        <v>State</v>
      </c>
      <c r="B8" s="24" t="str">
        <f>'GPT-5 Generation'!B8</f>
        <v>Idle</v>
      </c>
      <c r="C8" s="8">
        <f>'GPT-5 Generation'!C8</f>
        <v>1</v>
      </c>
      <c r="D8" s="8">
        <f>'Claude Sonnet 4.5 Gen'!C8</f>
        <v>1</v>
      </c>
      <c r="E8" s="14"/>
      <c r="F8" s="61" t="s">
        <v>125</v>
      </c>
      <c r="G8" s="62"/>
      <c r="H8" s="62"/>
      <c r="I8" s="62"/>
    </row>
    <row r="9" spans="1:24" ht="15.75" customHeight="1" x14ac:dyDescent="0.15">
      <c r="A9" s="23" t="str">
        <f>'GPT-5 Generation'!A9</f>
        <v>Transition</v>
      </c>
      <c r="B9" s="24" t="str">
        <f>'GPT-5 Generation'!B9</f>
        <v>login(cardID) (Idle =&gt; Idle)</v>
      </c>
      <c r="C9" s="8">
        <f>'GPT-5 Generation'!C9</f>
        <v>1</v>
      </c>
      <c r="D9" s="8">
        <f>'Claude Sonnet 4.5 Gen'!C9</f>
        <v>1</v>
      </c>
      <c r="E9" s="14"/>
      <c r="F9" s="2" t="s">
        <v>2</v>
      </c>
      <c r="G9" s="42" t="s">
        <v>112</v>
      </c>
      <c r="H9" s="42" t="s">
        <v>113</v>
      </c>
      <c r="I9" s="42" t="s">
        <v>114</v>
      </c>
      <c r="J9" s="43" t="s">
        <v>115</v>
      </c>
      <c r="K9" s="2"/>
      <c r="L9" s="2" t="s">
        <v>111</v>
      </c>
      <c r="M9" s="42" t="s">
        <v>112</v>
      </c>
      <c r="N9" s="42" t="s">
        <v>113</v>
      </c>
      <c r="O9" s="42" t="s">
        <v>114</v>
      </c>
      <c r="P9" s="2"/>
      <c r="Q9" s="2" t="s">
        <v>111</v>
      </c>
      <c r="R9" s="42" t="s">
        <v>112</v>
      </c>
      <c r="S9" s="42" t="s">
        <v>113</v>
      </c>
      <c r="T9" s="42" t="s">
        <v>114</v>
      </c>
      <c r="V9" s="29" t="str">
        <f>"Metrics" &amp; " " &amp; F9</f>
        <v>Metrics State</v>
      </c>
      <c r="W9" s="29" t="s">
        <v>117</v>
      </c>
      <c r="X9" s="29" t="s">
        <v>118</v>
      </c>
    </row>
    <row r="10" spans="1:24" ht="15.75" customHeight="1" x14ac:dyDescent="0.15">
      <c r="A10" s="23" t="str">
        <f>'GPT-5 Generation'!A10</f>
        <v>Guard</v>
      </c>
      <c r="B10" s="24" t="str">
        <f>'GPT-5 Generation'!B10</f>
        <v>[!idAuthorized(cardID)]</v>
      </c>
      <c r="C10" s="8">
        <f>'GPT-5 Generation'!C10</f>
        <v>1</v>
      </c>
      <c r="D10" s="8">
        <f>'Claude Sonnet 4.5 Gen'!C10</f>
        <v>1</v>
      </c>
      <c r="E10" s="14"/>
      <c r="F10" s="30">
        <v>0</v>
      </c>
      <c r="G10" s="31">
        <f>COUNTIFS($A$2:$A$38,$F$9,$C$2:$C$38,$F10,$D$2:$D$38,G$9)</f>
        <v>0</v>
      </c>
      <c r="H10" s="32">
        <f>COUNTIFS($A$2:$A$90,$F$9,$C$2:$C$90,$F10,$D$2:$D$90,H$9)</f>
        <v>0</v>
      </c>
      <c r="I10" s="33">
        <f>COUNTIFS($A$2:$A$38,$F$9,$C$2:$C$38,$F10,$D$2:$D$38,I$9)+MAX(D39-C39,0)</f>
        <v>0</v>
      </c>
      <c r="J10" s="2">
        <f>SUM(G10:I10)</f>
        <v>0</v>
      </c>
      <c r="K10" s="2"/>
      <c r="L10" s="30">
        <v>0</v>
      </c>
      <c r="M10" s="49">
        <f>ABS(G$2-$F10)/1</f>
        <v>0</v>
      </c>
      <c r="N10" s="50">
        <f>ABS(H$2-$F10)/1</f>
        <v>0.5</v>
      </c>
      <c r="O10" s="51">
        <f>ABS(I$2-$F10)/1</f>
        <v>1</v>
      </c>
      <c r="P10" s="2"/>
      <c r="Q10" s="30">
        <v>0</v>
      </c>
      <c r="R10" s="31">
        <f t="shared" ref="R10:T12" si="1">($J10/$J$13) * (G$13/$J$13)</f>
        <v>0</v>
      </c>
      <c r="S10" s="32">
        <f t="shared" si="1"/>
        <v>0</v>
      </c>
      <c r="T10" s="33">
        <f t="shared" si="1"/>
        <v>0</v>
      </c>
      <c r="U10" s="2"/>
      <c r="V10" s="34" t="s">
        <v>140</v>
      </c>
      <c r="W10" s="31">
        <f>SUMPRODUCT(G10:I12, M10:O12) /$J$13</f>
        <v>0</v>
      </c>
      <c r="X10" s="33" t="s">
        <v>141</v>
      </c>
    </row>
    <row r="11" spans="1:24" ht="15.75" customHeight="1" x14ac:dyDescent="0.15">
      <c r="A11" s="23" t="str">
        <f>'GPT-5 Generation'!A11</f>
        <v>Transition</v>
      </c>
      <c r="B11" s="24" t="str">
        <f>'GPT-5 Generation'!B11</f>
        <v>login(cardID) (Idle =&gt; Ready)</v>
      </c>
      <c r="C11" s="8">
        <f>'GPT-5 Generation'!C11</f>
        <v>1</v>
      </c>
      <c r="D11" s="8">
        <f>'Claude Sonnet 4.5 Gen'!C11</f>
        <v>1</v>
      </c>
      <c r="E11" s="14"/>
      <c r="F11" s="30">
        <v>0.5</v>
      </c>
      <c r="G11" s="35">
        <f>COUNTIFS($A$2:$A$38,$F$9,$C$2:$C$38,$F11,$D$2:$D$38,G$9)</f>
        <v>0</v>
      </c>
      <c r="H11" s="2">
        <f>COUNTIFS($A$2:$A$90,$F$9,$C$2:$C$90,$F11,$D$2:$D$90,H$9)</f>
        <v>0</v>
      </c>
      <c r="I11" s="36">
        <f>COUNTIFS($A$2:$A$38,$F$9,$C$2:$C$38,$F11,$D$2:$D$38,I$9)</f>
        <v>0</v>
      </c>
      <c r="J11" s="2">
        <f>SUM(G11:I11)</f>
        <v>0</v>
      </c>
      <c r="K11" s="2"/>
      <c r="L11" s="30">
        <v>0.5</v>
      </c>
      <c r="M11" s="52">
        <f>ABS(G$2-$F11)/1</f>
        <v>0.5</v>
      </c>
      <c r="N11" s="53">
        <f>ABS(H$2-$F11)/3</f>
        <v>0</v>
      </c>
      <c r="O11" s="54">
        <f>ABS(I$2-$F11)/1</f>
        <v>0.5</v>
      </c>
      <c r="P11" s="2"/>
      <c r="Q11" s="30">
        <v>0.5</v>
      </c>
      <c r="R11" s="35">
        <f t="shared" si="1"/>
        <v>0</v>
      </c>
      <c r="S11" s="2">
        <f t="shared" si="1"/>
        <v>0</v>
      </c>
      <c r="T11" s="36">
        <f t="shared" si="1"/>
        <v>0</v>
      </c>
      <c r="U11" s="2"/>
      <c r="V11" s="34" t="s">
        <v>142</v>
      </c>
      <c r="W11" s="35">
        <f>SUMPRODUCT(R10:T12, M10:O12)</f>
        <v>0</v>
      </c>
      <c r="X11" s="36" t="s">
        <v>143</v>
      </c>
    </row>
    <row r="12" spans="1:24" ht="15.75" customHeight="1" x14ac:dyDescent="0.15">
      <c r="A12" s="23" t="str">
        <f>'GPT-5 Generation'!A12</f>
        <v>Guard</v>
      </c>
      <c r="B12" s="24" t="str">
        <f>'GPT-5 Generation'!B12</f>
        <v>[idAuthorized(cardID)]</v>
      </c>
      <c r="C12" s="8">
        <f>'GPT-5 Generation'!C12</f>
        <v>1</v>
      </c>
      <c r="D12" s="8">
        <f>'Claude Sonnet 4.5 Gen'!C12</f>
        <v>1</v>
      </c>
      <c r="E12" s="14"/>
      <c r="F12" s="30">
        <v>1</v>
      </c>
      <c r="G12" s="37">
        <f>COUNTIFS($A$2:$A$38,$F$9,$C$2:$C$38,$F12,$D$2:$D$38,G$9)+MAX(C39-D39,0)</f>
        <v>0</v>
      </c>
      <c r="H12" s="38">
        <f>COUNTIFS($A$2:$A$90,$F$9,$C$2:$C$90,$F12,$D$2:$D$90,H$9)</f>
        <v>0</v>
      </c>
      <c r="I12" s="39">
        <f>COUNTIFS($A$2:$A$38,$F$9,$C$2:$C$38,$F12,$D$2:$D$38,I$9)+MIN(C39-D39)</f>
        <v>8</v>
      </c>
      <c r="J12" s="2">
        <f>SUM(G12:I12)</f>
        <v>8</v>
      </c>
      <c r="K12" s="2"/>
      <c r="L12" s="30">
        <v>1</v>
      </c>
      <c r="M12" s="55">
        <f>ABS(G$2-$F12)/1</f>
        <v>1</v>
      </c>
      <c r="N12" s="56">
        <f>ABS(H$2-$F12)/1</f>
        <v>0.5</v>
      </c>
      <c r="O12" s="57">
        <f>ABS(I$2-$F12)/1</f>
        <v>0</v>
      </c>
      <c r="P12" s="2"/>
      <c r="Q12" s="30">
        <v>1</v>
      </c>
      <c r="R12" s="37">
        <f t="shared" si="1"/>
        <v>0</v>
      </c>
      <c r="S12" s="38">
        <f t="shared" si="1"/>
        <v>0</v>
      </c>
      <c r="T12" s="39">
        <f t="shared" si="1"/>
        <v>1</v>
      </c>
      <c r="U12" s="2"/>
      <c r="V12" s="34" t="s">
        <v>110</v>
      </c>
      <c r="W12" s="37" t="e">
        <f>1-W10/W11</f>
        <v>#DIV/0!</v>
      </c>
      <c r="X12" s="39" t="s">
        <v>144</v>
      </c>
    </row>
    <row r="13" spans="1:24" ht="15.75" customHeight="1" x14ac:dyDescent="0.15">
      <c r="A13" s="23" t="str">
        <f>'GPT-5 Generation'!A13</f>
        <v>Action</v>
      </c>
      <c r="B13" s="24" t="str">
        <f>'GPT-5 Generation'!B13</f>
        <v>action="none"</v>
      </c>
      <c r="C13" s="8">
        <f>'GPT-5 Generation'!C13</f>
        <v>0</v>
      </c>
      <c r="D13" s="8">
        <f>'Claude Sonnet 4.5 Gen'!C13</f>
        <v>0</v>
      </c>
      <c r="E13" s="14"/>
      <c r="F13" s="40" t="s">
        <v>124</v>
      </c>
      <c r="G13" s="2">
        <f>SUM(G10:G12)</f>
        <v>0</v>
      </c>
      <c r="H13" s="2">
        <f>SUM(H10:H12)</f>
        <v>0</v>
      </c>
      <c r="I13" s="2">
        <f>SUM(I10:I12)</f>
        <v>8</v>
      </c>
      <c r="J13" s="2">
        <f>SUM(G10:I12)</f>
        <v>8</v>
      </c>
    </row>
    <row r="14" spans="1:24" ht="15.75" customHeight="1" x14ac:dyDescent="0.15">
      <c r="A14" s="23" t="str">
        <f>'GPT-5 Generation'!A14</f>
        <v>State</v>
      </c>
      <c r="B14" s="24" t="str">
        <f>'GPT-5 Generation'!B14</f>
        <v>Ready</v>
      </c>
      <c r="C14" s="8">
        <f>'GPT-5 Generation'!C14</f>
        <v>1</v>
      </c>
      <c r="D14" s="8">
        <f>'Claude Sonnet 4.5 Gen'!C14</f>
        <v>1</v>
      </c>
      <c r="E14" s="14"/>
    </row>
    <row r="15" spans="1:24" ht="15.75" customHeight="1" x14ac:dyDescent="0.15">
      <c r="A15" s="23" t="str">
        <f>'GPT-5 Generation'!A15</f>
        <v>Transition</v>
      </c>
      <c r="B15" s="24" t="str">
        <f>'GPT-5 Generation'!B15</f>
        <v>logoff (Ready =&gt; Idle)</v>
      </c>
      <c r="C15" s="8">
        <f>'GPT-5 Generation'!C15</f>
        <v>1</v>
      </c>
      <c r="D15" s="8">
        <f>'Claude Sonnet 4.5 Gen'!C15</f>
        <v>1</v>
      </c>
      <c r="E15" s="14"/>
      <c r="F15" s="61" t="s">
        <v>127</v>
      </c>
      <c r="G15" s="62"/>
      <c r="H15" s="62"/>
      <c r="I15" s="62"/>
    </row>
    <row r="16" spans="1:24" ht="15.75" customHeight="1" x14ac:dyDescent="0.15">
      <c r="A16" s="23" t="str">
        <f>'GPT-5 Generation'!A16</f>
        <v>Transition</v>
      </c>
      <c r="B16" s="24" t="str">
        <f>'GPT-5 Generation'!B16</f>
        <v>start (Ready =&gt; Ready)</v>
      </c>
      <c r="C16" s="8">
        <f>'GPT-5 Generation'!C16</f>
        <v>1</v>
      </c>
      <c r="D16" s="8">
        <f>'Claude Sonnet 4.5 Gen'!C16</f>
        <v>1</v>
      </c>
      <c r="E16" s="14"/>
      <c r="F16" s="2" t="s">
        <v>5</v>
      </c>
      <c r="G16" s="42" t="s">
        <v>112</v>
      </c>
      <c r="H16" s="42" t="s">
        <v>113</v>
      </c>
      <c r="I16" s="42" t="s">
        <v>114</v>
      </c>
      <c r="J16" s="43" t="s">
        <v>115</v>
      </c>
      <c r="K16" s="2"/>
      <c r="L16" s="2" t="s">
        <v>111</v>
      </c>
      <c r="M16" s="42" t="s">
        <v>112</v>
      </c>
      <c r="N16" s="42" t="s">
        <v>113</v>
      </c>
      <c r="O16" s="42" t="s">
        <v>114</v>
      </c>
      <c r="P16" s="2"/>
      <c r="Q16" s="2" t="s">
        <v>111</v>
      </c>
      <c r="R16" s="42" t="s">
        <v>112</v>
      </c>
      <c r="S16" s="42" t="s">
        <v>113</v>
      </c>
      <c r="T16" s="42" t="s">
        <v>114</v>
      </c>
      <c r="V16" s="29" t="str">
        <f>"Metrics" &amp; " " &amp; F16</f>
        <v>Metrics Transition</v>
      </c>
      <c r="W16" s="29" t="s">
        <v>117</v>
      </c>
      <c r="X16" s="29" t="s">
        <v>118</v>
      </c>
    </row>
    <row r="17" spans="1:24" ht="15.75" customHeight="1" x14ac:dyDescent="0.15">
      <c r="A17" s="23" t="str">
        <f>'GPT-5 Generation'!A17</f>
        <v>Guard</v>
      </c>
      <c r="B17" s="24" t="str">
        <f>'GPT-5 Generation'!B17</f>
        <v>[action=="scan" &amp; !originalLoaded()]</v>
      </c>
      <c r="C17" s="8">
        <f>'GPT-5 Generation'!C17</f>
        <v>1</v>
      </c>
      <c r="D17" s="8">
        <f>'Claude Sonnet 4.5 Gen'!C17</f>
        <v>0.5</v>
      </c>
      <c r="E17" s="14"/>
      <c r="F17" s="30">
        <v>0</v>
      </c>
      <c r="G17" s="31">
        <f>COUNTIFS($A$2:$A$90,$F$16,$C$2:$C$90,$F17,$D$2:$D$90,G$16)</f>
        <v>1</v>
      </c>
      <c r="H17" s="32">
        <f>COUNTIFS($A$2:$A$90,$F$16,$C$2:$C$90,$F17,$D$2:$D$90,H$16)</f>
        <v>0</v>
      </c>
      <c r="I17" s="33">
        <f>COUNTIFS($A$2:$A$38,$F$16,$C$2:$C$38,$F17,$D$2:$D$38,I$16) + MAX(D40-C40,0)</f>
        <v>0</v>
      </c>
      <c r="J17" s="2">
        <f>SUM(G17:I17)</f>
        <v>1</v>
      </c>
      <c r="K17" s="2"/>
      <c r="L17" s="30">
        <v>0</v>
      </c>
      <c r="M17" s="49">
        <f>ABS(G$2-$F17)/1</f>
        <v>0</v>
      </c>
      <c r="N17" s="50">
        <f>ABS(H$2-$F17)/1</f>
        <v>0.5</v>
      </c>
      <c r="O17" s="51">
        <f>ABS(I$2-$F17)/1</f>
        <v>1</v>
      </c>
      <c r="P17" s="2"/>
      <c r="Q17" s="30">
        <v>0</v>
      </c>
      <c r="R17" s="31">
        <f t="shared" ref="R17:T19" si="2">($J17/$J$20) * (G$20/$J$20)</f>
        <v>9.2592592592592587E-3</v>
      </c>
      <c r="S17" s="32">
        <f t="shared" si="2"/>
        <v>3.0864197530864196E-3</v>
      </c>
      <c r="T17" s="33">
        <f t="shared" si="2"/>
        <v>4.3209876543209874E-2</v>
      </c>
      <c r="U17" s="2"/>
      <c r="V17" s="34" t="s">
        <v>140</v>
      </c>
      <c r="W17" s="31">
        <f>SUMPRODUCT(G17:I19, M17:O19) /$J$20</f>
        <v>0.1388888888888889</v>
      </c>
      <c r="X17" s="33" t="s">
        <v>141</v>
      </c>
    </row>
    <row r="18" spans="1:24" ht="15.75" customHeight="1" x14ac:dyDescent="0.15">
      <c r="A18" s="23" t="str">
        <f>'GPT-5 Generation'!A18</f>
        <v>Transition</v>
      </c>
      <c r="B18" s="24" t="str">
        <f>'GPT-5 Generation'!B18</f>
        <v>start (Ready =&gt; Ready)</v>
      </c>
      <c r="C18" s="8">
        <f>'GPT-5 Generation'!C18</f>
        <v>1</v>
      </c>
      <c r="D18" s="8">
        <f>'Claude Sonnet 4.5 Gen'!C18</f>
        <v>1</v>
      </c>
      <c r="E18" s="14"/>
      <c r="F18" s="30">
        <v>0.5</v>
      </c>
      <c r="G18" s="35">
        <f>COUNTIFS($A$2:$A$90,$F$16,$C$2:$C$90,$F18,$D$2:$D$90,G$16)</f>
        <v>0</v>
      </c>
      <c r="H18" s="2">
        <f>COUNTIFS($A$2:$A$90,$F$16,$C$2:$C$90,$F18,$D$2:$D$90,H$16)</f>
        <v>0</v>
      </c>
      <c r="I18" s="36">
        <f>COUNTIFS($A$2:$A$90,$F$16,$C$2:$C$90,$F18,$D$2:$D$90,I$16)</f>
        <v>0</v>
      </c>
      <c r="J18" s="2">
        <f>SUM(G18:I18)</f>
        <v>0</v>
      </c>
      <c r="K18" s="2"/>
      <c r="L18" s="30">
        <v>0.5</v>
      </c>
      <c r="M18" s="52">
        <f>ABS(G$2-$F18)/1</f>
        <v>0.5</v>
      </c>
      <c r="N18" s="53">
        <f>ABS(H$2-$F18)/3</f>
        <v>0</v>
      </c>
      <c r="O18" s="54">
        <f>ABS(I$2-$F18)/1</f>
        <v>0.5</v>
      </c>
      <c r="P18" s="2"/>
      <c r="Q18" s="30">
        <v>0.5</v>
      </c>
      <c r="R18" s="35">
        <f t="shared" si="2"/>
        <v>0</v>
      </c>
      <c r="S18" s="2">
        <f t="shared" si="2"/>
        <v>0</v>
      </c>
      <c r="T18" s="36">
        <f t="shared" si="2"/>
        <v>0</v>
      </c>
      <c r="U18" s="2"/>
      <c r="V18" s="34" t="s">
        <v>142</v>
      </c>
      <c r="W18" s="35">
        <f>SUMPRODUCT(R17:T19, M17:O19)</f>
        <v>0.22839506172839505</v>
      </c>
      <c r="X18" s="36" t="s">
        <v>143</v>
      </c>
    </row>
    <row r="19" spans="1:24" ht="15.75" customHeight="1" x14ac:dyDescent="0.15">
      <c r="A19" s="23" t="str">
        <f>'GPT-5 Generation'!A19</f>
        <v>Guard</v>
      </c>
      <c r="B19" s="24" t="str">
        <f>'GPT-5 Generation'!B19</f>
        <v>[action=="print" &amp; !documentInQueue()]</v>
      </c>
      <c r="C19" s="8">
        <f>'GPT-5 Generation'!C19</f>
        <v>1</v>
      </c>
      <c r="D19" s="8">
        <f>'Claude Sonnet 4.5 Gen'!C19</f>
        <v>0.5</v>
      </c>
      <c r="E19" s="14"/>
      <c r="F19" s="30">
        <v>1</v>
      </c>
      <c r="G19" s="37">
        <f>COUNTIFS($A$2:$A$38,$F$16,$C$2:$C$38,$F19,$D$2:$D$38,G$16)+MAX(C40-D40,0)</f>
        <v>2</v>
      </c>
      <c r="H19" s="38">
        <f>COUNTIFS($A$2:$A$90,$F$16,$C$2:$C$90,$F19,$D$2:$D$90,H$16)</f>
        <v>1</v>
      </c>
      <c r="I19" s="39">
        <f>COUNTIFS($A$2:$A$38,$F$16,$C$2:$C$38,$F19,$D$2:$D$38,I$16) + MIN(C40,D40)</f>
        <v>14</v>
      </c>
      <c r="J19" s="2">
        <f>SUM(G19:I19)</f>
        <v>17</v>
      </c>
      <c r="K19" s="2"/>
      <c r="L19" s="30">
        <v>1</v>
      </c>
      <c r="M19" s="55">
        <f>ABS(G$2-$F19)/1</f>
        <v>1</v>
      </c>
      <c r="N19" s="56">
        <f>ABS(H$2-$F19)/1</f>
        <v>0.5</v>
      </c>
      <c r="O19" s="57">
        <f>ABS(I$2-$F19)/1</f>
        <v>0</v>
      </c>
      <c r="P19" s="2"/>
      <c r="Q19" s="30">
        <v>1</v>
      </c>
      <c r="R19" s="37">
        <f t="shared" si="2"/>
        <v>0.15740740740740738</v>
      </c>
      <c r="S19" s="38">
        <f t="shared" si="2"/>
        <v>5.2469135802469133E-2</v>
      </c>
      <c r="T19" s="39">
        <f t="shared" si="2"/>
        <v>0.73456790123456794</v>
      </c>
      <c r="U19" s="2"/>
      <c r="V19" s="34" t="s">
        <v>110</v>
      </c>
      <c r="W19" s="37">
        <f>1-W17/W18</f>
        <v>0.39189189189189189</v>
      </c>
      <c r="X19" s="39" t="s">
        <v>144</v>
      </c>
    </row>
    <row r="20" spans="1:24" ht="15.75" customHeight="1" x14ac:dyDescent="0.15">
      <c r="A20" s="23" t="str">
        <f>'GPT-5 Generation'!A20</f>
        <v>Transition</v>
      </c>
      <c r="B20" s="24" t="str">
        <f>'GPT-5 Generation'!B20</f>
        <v>scan (Ready =&gt; Ready)</v>
      </c>
      <c r="C20" s="8">
        <f>'GPT-5 Generation'!C20</f>
        <v>1</v>
      </c>
      <c r="D20" s="8">
        <f>'Claude Sonnet 4.5 Gen'!C20</f>
        <v>0</v>
      </c>
      <c r="E20" s="14"/>
      <c r="F20" s="40" t="s">
        <v>124</v>
      </c>
      <c r="G20" s="2">
        <f>SUM(G17:G19)</f>
        <v>3</v>
      </c>
      <c r="H20" s="2">
        <f>SUM(H17:H19)</f>
        <v>1</v>
      </c>
      <c r="I20" s="2">
        <f>SUM(I17:I19)</f>
        <v>14</v>
      </c>
      <c r="J20" s="2">
        <f>SUM(G17:I19)</f>
        <v>18</v>
      </c>
    </row>
    <row r="21" spans="1:24" ht="15.75" customHeight="1" x14ac:dyDescent="0.15">
      <c r="A21" s="23" t="str">
        <f>'GPT-5 Generation'!A21</f>
        <v>Action</v>
      </c>
      <c r="B21" s="24" t="str">
        <f>'GPT-5 Generation'!B21</f>
        <v>action = "scan"</v>
      </c>
      <c r="C21" s="8">
        <f>'GPT-5 Generation'!C21</f>
        <v>0</v>
      </c>
      <c r="D21" s="8">
        <f>'Claude Sonnet 4.5 Gen'!C21</f>
        <v>0</v>
      </c>
      <c r="E21" s="14"/>
    </row>
    <row r="22" spans="1:24" ht="15.75" customHeight="1" x14ac:dyDescent="0.15">
      <c r="A22" s="23" t="str">
        <f>'GPT-5 Generation'!A22</f>
        <v>Transition</v>
      </c>
      <c r="B22" s="24" t="str">
        <f>'GPT-5 Generation'!B22</f>
        <v>print (Ready =&gt; Ready)</v>
      </c>
      <c r="C22" s="8">
        <f>'GPT-5 Generation'!C22</f>
        <v>1</v>
      </c>
      <c r="D22" s="8">
        <f>'Claude Sonnet 4.5 Gen'!C22</f>
        <v>0</v>
      </c>
      <c r="E22" s="14"/>
      <c r="F22" s="61" t="s">
        <v>129</v>
      </c>
      <c r="G22" s="62"/>
      <c r="H22" s="62"/>
      <c r="I22" s="62"/>
    </row>
    <row r="23" spans="1:24" ht="15.75" customHeight="1" x14ac:dyDescent="0.15">
      <c r="A23" s="23" t="str">
        <f>'GPT-5 Generation'!A23</f>
        <v>Action</v>
      </c>
      <c r="B23" s="24" t="str">
        <f>'GPT-5 Generation'!B23</f>
        <v>action="print"</v>
      </c>
      <c r="C23" s="8">
        <f>'GPT-5 Generation'!C23</f>
        <v>0</v>
      </c>
      <c r="D23" s="8">
        <f>'Claude Sonnet 4.5 Gen'!C23</f>
        <v>0</v>
      </c>
      <c r="E23" s="14"/>
      <c r="F23" s="2" t="s">
        <v>7</v>
      </c>
      <c r="G23" s="42" t="s">
        <v>112</v>
      </c>
      <c r="H23" s="42" t="s">
        <v>113</v>
      </c>
      <c r="I23" s="42" t="s">
        <v>114</v>
      </c>
      <c r="J23" s="43" t="s">
        <v>115</v>
      </c>
      <c r="K23" s="2"/>
      <c r="L23" s="2" t="s">
        <v>111</v>
      </c>
      <c r="M23" s="42" t="s">
        <v>112</v>
      </c>
      <c r="N23" s="42" t="s">
        <v>113</v>
      </c>
      <c r="O23" s="42" t="s">
        <v>114</v>
      </c>
      <c r="P23" s="2"/>
      <c r="Q23" s="2" t="s">
        <v>111</v>
      </c>
      <c r="R23" s="42" t="s">
        <v>112</v>
      </c>
      <c r="S23" s="42" t="s">
        <v>113</v>
      </c>
      <c r="T23" s="42" t="s">
        <v>114</v>
      </c>
      <c r="V23" s="29" t="str">
        <f>"Metrics" &amp; " " &amp; F23</f>
        <v>Metrics Composite State</v>
      </c>
      <c r="W23" s="29" t="s">
        <v>117</v>
      </c>
      <c r="X23" s="29" t="s">
        <v>118</v>
      </c>
    </row>
    <row r="24" spans="1:24" ht="15.75" customHeight="1" x14ac:dyDescent="0.15">
      <c r="A24" s="23" t="str">
        <f>'GPT-5 Generation'!A24</f>
        <v>Transition</v>
      </c>
      <c r="B24" s="24" t="str">
        <f>'GPT-5 Generation'!B24</f>
        <v>start (Ready =&gt; Scan &amp; Email)</v>
      </c>
      <c r="C24" s="8">
        <f>'GPT-5 Generation'!C24</f>
        <v>1</v>
      </c>
      <c r="D24" s="8">
        <f>'Claude Sonnet 4.5 Gen'!C24</f>
        <v>1</v>
      </c>
      <c r="E24" s="14"/>
      <c r="F24" s="30">
        <v>0</v>
      </c>
      <c r="G24" s="31">
        <f>COUNTIFS($A$2:$A$90,$F$23,$C$2:$C$90,$F24,$D$2:$D$90,G$23)</f>
        <v>1</v>
      </c>
      <c r="H24" s="32">
        <f>COUNTIFS($A$2:$A$90,$F$23,$C$2:$C$90,$F24,$D$2:$D$90,H$23)</f>
        <v>0</v>
      </c>
      <c r="I24" s="33">
        <f>COUNTIFS($A$2:$A$38,$F$23,$C$2:$C$38,$F24,$D$2:$D$38,I$23) + MAX(D43-C43,0)</f>
        <v>0</v>
      </c>
      <c r="J24" s="2">
        <f>SUM(G24:I24)</f>
        <v>1</v>
      </c>
      <c r="K24" s="2"/>
      <c r="L24" s="30">
        <v>0</v>
      </c>
      <c r="M24" s="49">
        <f>ABS(G$2-$F24)/1</f>
        <v>0</v>
      </c>
      <c r="N24" s="50">
        <f>ABS(H$2-$F24)/1</f>
        <v>0.5</v>
      </c>
      <c r="O24" s="51">
        <f>ABS(I$2-$F24)/1</f>
        <v>1</v>
      </c>
      <c r="P24" s="2"/>
      <c r="Q24" s="30">
        <v>0</v>
      </c>
      <c r="R24" s="31">
        <f t="shared" ref="R24:T26" si="3">($J24/$J$27) * (G$27/$J$27)</f>
        <v>0.1111111111111111</v>
      </c>
      <c r="S24" s="32">
        <f t="shared" si="3"/>
        <v>0.1111111111111111</v>
      </c>
      <c r="T24" s="33">
        <f t="shared" si="3"/>
        <v>0.1111111111111111</v>
      </c>
      <c r="U24" s="2"/>
      <c r="V24" s="34" t="s">
        <v>140</v>
      </c>
      <c r="W24" s="31">
        <f>SUMPRODUCT(G24:I26, M24:O26) /$J$27</f>
        <v>0.16666666666666666</v>
      </c>
      <c r="X24" s="33" t="s">
        <v>141</v>
      </c>
    </row>
    <row r="25" spans="1:24" ht="15.75" customHeight="1" x14ac:dyDescent="0.15">
      <c r="A25" s="23" t="str">
        <f>'GPT-5 Generation'!A25</f>
        <v>Guard</v>
      </c>
      <c r="B25" s="24" t="str">
        <f>'GPT-5 Generation'!B25</f>
        <v>[action=="scan" &amp;&amp; originalLoaded()]</v>
      </c>
      <c r="C25" s="8">
        <f>'GPT-5 Generation'!C25</f>
        <v>1</v>
      </c>
      <c r="D25" s="8">
        <f>'Claude Sonnet 4.5 Gen'!C25</f>
        <v>0.5</v>
      </c>
      <c r="E25" s="14"/>
      <c r="F25" s="30">
        <v>0.5</v>
      </c>
      <c r="G25" s="35">
        <f>COUNTIFS($A$2:$A$90,$F$23,$C$2:$C$90,$F25,$D$2:$D$90,G$23)</f>
        <v>0</v>
      </c>
      <c r="H25" s="2">
        <f>COUNTIFS($A$2:$A$90,$F$23,$C$2:$C$90,$F25,$D$2:$D$90,H$23)</f>
        <v>0</v>
      </c>
      <c r="I25" s="36">
        <f>COUNTIFS($A$2:$A$90,$F$23,$C$2:$C$90,$F25,$D$2:$D$90,I$23)</f>
        <v>0</v>
      </c>
      <c r="J25" s="2">
        <f>SUM(G25:I25)</f>
        <v>0</v>
      </c>
      <c r="K25" s="2"/>
      <c r="L25" s="30">
        <v>0.5</v>
      </c>
      <c r="M25" s="52">
        <f>ABS(G$2-$F25)/1</f>
        <v>0.5</v>
      </c>
      <c r="N25" s="53">
        <f>ABS(H$2-$F25)/3</f>
        <v>0</v>
      </c>
      <c r="O25" s="54">
        <f>ABS(I$2-$F25)/1</f>
        <v>0.5</v>
      </c>
      <c r="P25" s="2"/>
      <c r="Q25" s="30">
        <v>0.5</v>
      </c>
      <c r="R25" s="35">
        <f t="shared" si="3"/>
        <v>0</v>
      </c>
      <c r="S25" s="2">
        <f t="shared" si="3"/>
        <v>0</v>
      </c>
      <c r="T25" s="36">
        <f t="shared" si="3"/>
        <v>0</v>
      </c>
      <c r="U25" s="2"/>
      <c r="V25" s="34" t="s">
        <v>142</v>
      </c>
      <c r="W25" s="35">
        <f>SUMPRODUCT(R24:T26, M24:O26)</f>
        <v>0.49999999999999994</v>
      </c>
      <c r="X25" s="36" t="s">
        <v>143</v>
      </c>
    </row>
    <row r="26" spans="1:24" ht="15.75" customHeight="1" x14ac:dyDescent="0.15">
      <c r="A26" s="23" t="str">
        <f>'GPT-5 Generation'!A26</f>
        <v>Composite State</v>
      </c>
      <c r="B26" s="24" t="str">
        <f>'GPT-5 Generation'!B26</f>
        <v>Busy</v>
      </c>
      <c r="C26" s="8">
        <f>'GPT-5 Generation'!C26</f>
        <v>1</v>
      </c>
      <c r="D26" s="8">
        <f>'Claude Sonnet 4.5 Gen'!C26</f>
        <v>0.5</v>
      </c>
      <c r="E26" s="14"/>
      <c r="F26" s="30">
        <v>1</v>
      </c>
      <c r="G26" s="37">
        <f>COUNTIFS($A$2:$A$38,$F$23,$C$2:$C$38,$F26,$D$2:$D$38,G$23) + MAX(C43-D43,0)</f>
        <v>0</v>
      </c>
      <c r="H26" s="38">
        <f>COUNTIFS($A$2:$A$90,$F$23,$C$2:$C$90,$F26,$D$2:$D$90,H$23)</f>
        <v>1</v>
      </c>
      <c r="I26" s="39">
        <f>COUNTIFS($A$2:$A$38,$F$23,$C$2:$C$38,$F26,$D$2:$D$38,I$23) + MIN(C43,D43)</f>
        <v>1</v>
      </c>
      <c r="J26" s="2">
        <f>SUM(G26:I26)</f>
        <v>2</v>
      </c>
      <c r="K26" s="2"/>
      <c r="L26" s="30">
        <v>1</v>
      </c>
      <c r="M26" s="55">
        <f>ABS(G$2-$F26)/1</f>
        <v>1</v>
      </c>
      <c r="N26" s="56">
        <f>ABS(H$2-$F26)/1</f>
        <v>0.5</v>
      </c>
      <c r="O26" s="57">
        <f>ABS(I$2-$F26)/1</f>
        <v>0</v>
      </c>
      <c r="P26" s="2"/>
      <c r="Q26" s="30">
        <v>1</v>
      </c>
      <c r="R26" s="37">
        <f t="shared" si="3"/>
        <v>0.22222222222222221</v>
      </c>
      <c r="S26" s="38">
        <f t="shared" si="3"/>
        <v>0.22222222222222221</v>
      </c>
      <c r="T26" s="39">
        <f t="shared" si="3"/>
        <v>0.22222222222222221</v>
      </c>
      <c r="U26" s="2"/>
      <c r="V26" s="34" t="s">
        <v>110</v>
      </c>
      <c r="W26" s="37">
        <f>1-W24/W25</f>
        <v>0.66666666666666663</v>
      </c>
      <c r="X26" s="39" t="s">
        <v>144</v>
      </c>
    </row>
    <row r="27" spans="1:24" ht="15.75" customHeight="1" x14ac:dyDescent="0.15">
      <c r="A27" s="23" t="str">
        <f>'GPT-5 Generation'!A27</f>
        <v>Transition</v>
      </c>
      <c r="B27" s="24" t="str">
        <f>'GPT-5 Generation'!B27</f>
        <v>stop (Busy =&gt; Ready)</v>
      </c>
      <c r="C27" s="8">
        <f>'GPT-5 Generation'!C27</f>
        <v>1</v>
      </c>
      <c r="D27" s="8">
        <f>'Claude Sonnet 4.5 Gen'!C27</f>
        <v>1</v>
      </c>
      <c r="E27" s="14"/>
      <c r="F27" s="40" t="s">
        <v>124</v>
      </c>
      <c r="G27" s="2">
        <f>SUM(G24:G26)</f>
        <v>1</v>
      </c>
      <c r="H27" s="2">
        <f>SUM(H24:H26)</f>
        <v>1</v>
      </c>
      <c r="I27" s="2">
        <f>SUM(I24:I26)</f>
        <v>1</v>
      </c>
      <c r="J27" s="2">
        <f>SUM(G24:I26)</f>
        <v>3</v>
      </c>
    </row>
    <row r="28" spans="1:24" ht="15.75" customHeight="1" x14ac:dyDescent="0.15">
      <c r="A28" s="23" t="str">
        <f>'GPT-5 Generation'!A28</f>
        <v>Transition</v>
      </c>
      <c r="B28" s="24" t="str">
        <f>'GPT-5 Generation'!B28</f>
        <v>done (Busy =&gt; Ready)</v>
      </c>
      <c r="C28" s="8">
        <f>'GPT-5 Generation'!C28</f>
        <v>1</v>
      </c>
      <c r="D28" s="8">
        <f>'Claude Sonnet 4.5 Gen'!C28</f>
        <v>1</v>
      </c>
      <c r="E28" s="14"/>
    </row>
    <row r="29" spans="1:24" ht="15.75" customHeight="1" x14ac:dyDescent="0.15">
      <c r="A29" s="23" t="str">
        <f>'GPT-5 Generation'!A29</f>
        <v>Transition</v>
      </c>
      <c r="B29" s="24" t="str">
        <f>'GPT-5 Generation'!B29</f>
        <v>jam (Busy =&gt; Suspended)</v>
      </c>
      <c r="C29" s="8">
        <f>'GPT-5 Generation'!C29</f>
        <v>1</v>
      </c>
      <c r="D29" s="8">
        <f>'Claude Sonnet 4.5 Gen'!C29</f>
        <v>1</v>
      </c>
      <c r="E29" s="14"/>
      <c r="F29" s="61" t="s">
        <v>131</v>
      </c>
      <c r="G29" s="62"/>
      <c r="H29" s="62"/>
      <c r="I29" s="62"/>
    </row>
    <row r="30" spans="1:24" ht="15.75" customHeight="1" x14ac:dyDescent="0.15">
      <c r="A30" s="23" t="str">
        <f>'GPT-5 Generation'!A30</f>
        <v>History State</v>
      </c>
      <c r="B30" s="24" t="str">
        <f>'GPT-5 Generation'!B30</f>
        <v>for Busy</v>
      </c>
      <c r="C30" s="8">
        <f>'GPT-5 Generation'!C30</f>
        <v>1</v>
      </c>
      <c r="D30" s="8">
        <f>'Claude Sonnet 4.5 Gen'!C30</f>
        <v>0</v>
      </c>
      <c r="E30" s="14"/>
      <c r="F30" s="2" t="s">
        <v>13</v>
      </c>
      <c r="G30" s="42" t="s">
        <v>112</v>
      </c>
      <c r="H30" s="42" t="s">
        <v>113</v>
      </c>
      <c r="I30" s="42" t="s">
        <v>114</v>
      </c>
      <c r="J30" s="43" t="s">
        <v>115</v>
      </c>
      <c r="K30" s="2"/>
      <c r="L30" s="2" t="s">
        <v>111</v>
      </c>
      <c r="M30" s="42">
        <v>0</v>
      </c>
      <c r="N30" s="42" t="s">
        <v>113</v>
      </c>
      <c r="O30" s="42" t="s">
        <v>114</v>
      </c>
      <c r="P30" s="2"/>
      <c r="Q30" s="2" t="s">
        <v>111</v>
      </c>
      <c r="R30" s="42" t="s">
        <v>112</v>
      </c>
      <c r="S30" s="42" t="s">
        <v>113</v>
      </c>
      <c r="T30" s="42" t="s">
        <v>114</v>
      </c>
      <c r="V30" s="29" t="str">
        <f>"Metrics" &amp; " " &amp; F30</f>
        <v>Metrics Guard</v>
      </c>
      <c r="W30" s="29" t="s">
        <v>117</v>
      </c>
      <c r="X30" s="29" t="s">
        <v>118</v>
      </c>
    </row>
    <row r="31" spans="1:24" ht="15.75" customHeight="1" x14ac:dyDescent="0.15">
      <c r="A31" s="23" t="str">
        <f>'GPT-5 Generation'!A31</f>
        <v>State</v>
      </c>
      <c r="B31" s="24" t="str">
        <f>'GPT-5 Generation'!B31</f>
        <v>Print</v>
      </c>
      <c r="C31" s="8">
        <f>'GPT-5 Generation'!C31</f>
        <v>1</v>
      </c>
      <c r="D31" s="8">
        <f>'Claude Sonnet 4.5 Gen'!C31</f>
        <v>1</v>
      </c>
      <c r="E31" s="14"/>
      <c r="F31" s="30">
        <v>0</v>
      </c>
      <c r="G31" s="31">
        <f>COUNTIFS($A$2:$A$90,$F$30,$C$2:$C$90,$F31,$D$2:$D$90,G$30)</f>
        <v>1</v>
      </c>
      <c r="H31" s="32">
        <f>COUNTIFS($A$2:$A$90,$F$30,$C$2:$C$90,$F31,$D$2:$D$90,H$30)</f>
        <v>0</v>
      </c>
      <c r="I31" s="33">
        <f>COUNTIFS($A$2:$A$38,$F$30,$C$2:$C$38,$F31,$D$2:$D$38,I$30) + MAX(D41-C41,0)</f>
        <v>0</v>
      </c>
      <c r="J31" s="2">
        <f>SUM(G31:I31)</f>
        <v>1</v>
      </c>
      <c r="K31" s="2"/>
      <c r="L31" s="30">
        <v>0</v>
      </c>
      <c r="M31" s="49">
        <f>ABS(G$2-$F31)/1</f>
        <v>0</v>
      </c>
      <c r="N31" s="50">
        <f>ABS(H$2-$F31)/1</f>
        <v>0.5</v>
      </c>
      <c r="O31" s="51">
        <f>ABS(I$2-$F31)/1</f>
        <v>1</v>
      </c>
      <c r="P31" s="2"/>
      <c r="Q31" s="30">
        <v>0</v>
      </c>
      <c r="R31" s="31">
        <f t="shared" ref="R31:T33" si="4">($J31/$J$34) * (G$34/$J$34)</f>
        <v>2.0408163265306121E-2</v>
      </c>
      <c r="S31" s="32">
        <f t="shared" si="4"/>
        <v>8.1632653061224483E-2</v>
      </c>
      <c r="T31" s="33">
        <f t="shared" si="4"/>
        <v>4.0816326530612242E-2</v>
      </c>
      <c r="U31" s="2"/>
      <c r="V31" s="34" t="s">
        <v>140</v>
      </c>
      <c r="W31" s="31">
        <f>SUMPRODUCT(G31:I33, M31:O33) /$J$34</f>
        <v>0.2857142857142857</v>
      </c>
      <c r="X31" s="33" t="s">
        <v>141</v>
      </c>
    </row>
    <row r="32" spans="1:24" ht="15.75" customHeight="1" x14ac:dyDescent="0.15">
      <c r="A32" s="23" t="str">
        <f>'GPT-5 Generation'!A32</f>
        <v>Transition</v>
      </c>
      <c r="B32" s="24" t="str">
        <f>'GPT-5 Generation'!B32</f>
        <v>start (Ready =&gt; Print)</v>
      </c>
      <c r="C32" s="8">
        <f>'GPT-5 Generation'!C32</f>
        <v>1</v>
      </c>
      <c r="D32" s="8">
        <f>'Claude Sonnet 4.5 Gen'!C32</f>
        <v>1</v>
      </c>
      <c r="E32" s="14"/>
      <c r="F32" s="30">
        <v>0.5</v>
      </c>
      <c r="G32" s="35">
        <f>COUNTIFS($A$2:$A$90,$F$30,$C$2:$C$90,$F32,$D$2:$D$90,G$30)</f>
        <v>0</v>
      </c>
      <c r="H32" s="2">
        <f>COUNTIFS($A$2:$A$90,$F$30,$C$2:$C$90,$F32,$D$2:$D$90,H$30)</f>
        <v>0</v>
      </c>
      <c r="I32" s="36">
        <f>COUNTIFS($A$2:$A$90,$F$30,$C$2:$C$90,$F32,$D$2:$D$90,I$30)</f>
        <v>0</v>
      </c>
      <c r="J32" s="2">
        <f>SUM(G32:I32)</f>
        <v>0</v>
      </c>
      <c r="K32" s="2"/>
      <c r="L32" s="30">
        <v>0.5</v>
      </c>
      <c r="M32" s="52">
        <f>ABS(G$2-$F32)/1</f>
        <v>0.5</v>
      </c>
      <c r="N32" s="53">
        <f>ABS(H$2-$F32)/3</f>
        <v>0</v>
      </c>
      <c r="O32" s="54">
        <f>ABS(I$2-$F32)/1</f>
        <v>0.5</v>
      </c>
      <c r="P32" s="2"/>
      <c r="Q32" s="30">
        <v>0.5</v>
      </c>
      <c r="R32" s="35">
        <f t="shared" si="4"/>
        <v>0</v>
      </c>
      <c r="S32" s="2">
        <f t="shared" si="4"/>
        <v>0</v>
      </c>
      <c r="T32" s="36">
        <f t="shared" si="4"/>
        <v>0</v>
      </c>
      <c r="U32" s="2"/>
      <c r="V32" s="34" t="s">
        <v>142</v>
      </c>
      <c r="W32" s="35">
        <f>SUMPRODUCT(R31:T33, M31:O33)</f>
        <v>0.44897959183673464</v>
      </c>
      <c r="X32" s="36" t="s">
        <v>143</v>
      </c>
    </row>
    <row r="33" spans="1:24" ht="15.75" customHeight="1" x14ac:dyDescent="0.15">
      <c r="A33" s="23" t="str">
        <f>'GPT-5 Generation'!A33</f>
        <v>Guard</v>
      </c>
      <c r="B33" s="24" t="str">
        <f>'GPT-5 Generation'!B33</f>
        <v>[action="print" &amp;&amp; documentInQueue()]</v>
      </c>
      <c r="C33" s="8">
        <f>'GPT-5 Generation'!C33</f>
        <v>1</v>
      </c>
      <c r="D33" s="8">
        <f>'Claude Sonnet 4.5 Gen'!C33</f>
        <v>0.5</v>
      </c>
      <c r="E33" s="14"/>
      <c r="F33" s="30">
        <v>1</v>
      </c>
      <c r="G33" s="37">
        <f>COUNTIFS($A$2:$A$38,$F$30,$C$2:$C$38,$F33,$D$2:$D$38,G$30) + MAX(C41-D41,0)</f>
        <v>0</v>
      </c>
      <c r="H33" s="38">
        <f>COUNTIFS($A$2:$A$90,$F$30,$C$2:$C$90,$F33,$D$2:$D$90,H$30)</f>
        <v>4</v>
      </c>
      <c r="I33" s="39">
        <f>COUNTIFS($A$2:$A$38,$F$30,$C$2:$C$38,$F33,$D$2:$D$38,I$30) + MIN(C41,D41)</f>
        <v>2</v>
      </c>
      <c r="J33" s="2">
        <f>SUM(G33:I33)</f>
        <v>6</v>
      </c>
      <c r="K33" s="2"/>
      <c r="L33" s="30">
        <v>1</v>
      </c>
      <c r="M33" s="55">
        <f>ABS(G$2-$F33)/1</f>
        <v>1</v>
      </c>
      <c r="N33" s="56">
        <f>ABS(H$2-$F33)/1</f>
        <v>0.5</v>
      </c>
      <c r="O33" s="57">
        <f>ABS(I$2-$F33)/1</f>
        <v>0</v>
      </c>
      <c r="P33" s="2"/>
      <c r="Q33" s="30">
        <v>1</v>
      </c>
      <c r="R33" s="37">
        <f t="shared" si="4"/>
        <v>0.12244897959183672</v>
      </c>
      <c r="S33" s="38">
        <f t="shared" si="4"/>
        <v>0.48979591836734687</v>
      </c>
      <c r="T33" s="39">
        <f t="shared" si="4"/>
        <v>0.24489795918367344</v>
      </c>
      <c r="U33" s="2"/>
      <c r="V33" s="34" t="s">
        <v>110</v>
      </c>
      <c r="W33" s="37">
        <f>1-W31/W32</f>
        <v>0.36363636363636365</v>
      </c>
      <c r="X33" s="39" t="s">
        <v>144</v>
      </c>
    </row>
    <row r="34" spans="1:24" ht="15.75" customHeight="1" x14ac:dyDescent="0.15">
      <c r="A34" s="23" t="str">
        <f>'GPT-5 Generation'!A34</f>
        <v>Transition</v>
      </c>
      <c r="B34" s="24" t="str">
        <f>'GPT-5 Generation'!B34</f>
        <v>outOfPaper (Print =&gt; Suspended)</v>
      </c>
      <c r="C34" s="8">
        <f>'GPT-5 Generation'!C34</f>
        <v>1</v>
      </c>
      <c r="D34" s="8">
        <f>'Claude Sonnet 4.5 Gen'!C34</f>
        <v>1</v>
      </c>
      <c r="E34" s="14"/>
      <c r="F34" s="40" t="s">
        <v>124</v>
      </c>
      <c r="G34" s="2">
        <f>SUM(G31:G33)</f>
        <v>1</v>
      </c>
      <c r="H34" s="2">
        <f>SUM(H31:H33)</f>
        <v>4</v>
      </c>
      <c r="I34" s="2">
        <f>SUM(I31:I33)</f>
        <v>2</v>
      </c>
      <c r="J34" s="2">
        <f>SUM(G31:I33)</f>
        <v>7</v>
      </c>
    </row>
    <row r="35" spans="1:24" ht="15.75" customHeight="1" x14ac:dyDescent="0.15">
      <c r="A35" s="23" t="str">
        <f>'GPT-5 Generation'!A35</f>
        <v>State</v>
      </c>
      <c r="B35" s="24" t="str">
        <f>'GPT-5 Generation'!B35</f>
        <v>Scan &amp; Email</v>
      </c>
      <c r="C35" s="8">
        <f>'GPT-5 Generation'!C35</f>
        <v>1</v>
      </c>
      <c r="D35" s="8">
        <f>'Claude Sonnet 4.5 Gen'!C35</f>
        <v>1</v>
      </c>
      <c r="E35" s="14"/>
    </row>
    <row r="36" spans="1:24" ht="15.75" customHeight="1" x14ac:dyDescent="0.15">
      <c r="A36" s="23" t="str">
        <f>'GPT-5 Generation'!A36</f>
        <v>State</v>
      </c>
      <c r="B36" s="24" t="str">
        <f>'GPT-5 Generation'!B36</f>
        <v>Suspended</v>
      </c>
      <c r="C36" s="8">
        <f>'GPT-5 Generation'!C36</f>
        <v>1</v>
      </c>
      <c r="D36" s="8">
        <f>'Claude Sonnet 4.5 Gen'!C36</f>
        <v>1</v>
      </c>
      <c r="E36" s="14"/>
      <c r="F36" s="61" t="s">
        <v>133</v>
      </c>
      <c r="G36" s="62"/>
      <c r="H36" s="62"/>
      <c r="I36" s="62"/>
    </row>
    <row r="37" spans="1:24" ht="15.75" customHeight="1" x14ac:dyDescent="0.15">
      <c r="A37" s="23" t="str">
        <f>'GPT-5 Generation'!A37</f>
        <v>Transition</v>
      </c>
      <c r="B37" s="24" t="str">
        <f>'GPT-5 Generation'!B37</f>
        <v>resume (Suspended =&gt; History State for Busy)</v>
      </c>
      <c r="C37" s="8">
        <f>'GPT-5 Generation'!C37</f>
        <v>1</v>
      </c>
      <c r="D37" s="8">
        <f>'Claude Sonnet 4.5 Gen'!C37</f>
        <v>0.5</v>
      </c>
      <c r="E37" s="14"/>
      <c r="F37" s="2" t="s">
        <v>17</v>
      </c>
      <c r="G37" s="42" t="s">
        <v>112</v>
      </c>
      <c r="H37" s="42" t="s">
        <v>113</v>
      </c>
      <c r="I37" s="42" t="s">
        <v>114</v>
      </c>
      <c r="J37" s="43" t="s">
        <v>115</v>
      </c>
      <c r="K37" s="2"/>
      <c r="L37" s="2" t="s">
        <v>111</v>
      </c>
      <c r="M37" s="42" t="s">
        <v>112</v>
      </c>
      <c r="N37" s="42" t="s">
        <v>113</v>
      </c>
      <c r="O37" s="42" t="s">
        <v>114</v>
      </c>
      <c r="P37" s="2"/>
      <c r="Q37" s="53" t="s">
        <v>111</v>
      </c>
      <c r="R37" s="58" t="s">
        <v>112</v>
      </c>
      <c r="S37" s="58" t="s">
        <v>113</v>
      </c>
      <c r="T37" s="58" t="s">
        <v>114</v>
      </c>
      <c r="V37" s="29" t="str">
        <f>"Metrics" &amp; " " &amp; F37</f>
        <v>Metrics Action</v>
      </c>
      <c r="W37" s="29" t="s">
        <v>117</v>
      </c>
      <c r="X37" s="29" t="s">
        <v>118</v>
      </c>
    </row>
    <row r="38" spans="1:24" ht="15.75" customHeight="1" x14ac:dyDescent="0.15">
      <c r="A38" s="23" t="str">
        <f>'GPT-5 Generation'!A38</f>
        <v>Transition</v>
      </c>
      <c r="B38" s="24" t="str">
        <f>'GPT-5 Generation'!B38</f>
        <v>cancel (Suspended =&gt; Ready)</v>
      </c>
      <c r="C38" s="44">
        <f>'GPT-5 Generation'!C38</f>
        <v>1</v>
      </c>
      <c r="D38" s="44">
        <f>'Claude Sonnet 4.5 Gen'!C38</f>
        <v>1</v>
      </c>
      <c r="E38" s="14"/>
      <c r="F38" s="30">
        <v>0</v>
      </c>
      <c r="G38" s="31">
        <f>COUNTIFS($A$2:$A$90,$F$37,$C$2:$C$90,$F38,$D$2:$D$90,G$37)</f>
        <v>4</v>
      </c>
      <c r="H38" s="32">
        <f>COUNTIFS($A$2:$A$90,$F$37,$C$2:$C$90,$F38,$D$2:$D$90,H$37)</f>
        <v>0</v>
      </c>
      <c r="I38" s="33">
        <f>COUNTIFS($A$2:$A$38,$F$37,$C$2:$C$38,$F38,$D$2:$D$38,I$37)+MAX(D42-C42,0)</f>
        <v>0</v>
      </c>
      <c r="J38" s="2">
        <f>SUM(G38:I38)</f>
        <v>4</v>
      </c>
      <c r="K38" s="2"/>
      <c r="L38" s="30">
        <v>0</v>
      </c>
      <c r="M38" s="49">
        <f>ABS(G$2-$F38)/1</f>
        <v>0</v>
      </c>
      <c r="N38" s="50">
        <f>ABS(H$2-$F38)/1</f>
        <v>0.5</v>
      </c>
      <c r="O38" s="51">
        <f>ABS(I$2-$F38)/1</f>
        <v>1</v>
      </c>
      <c r="P38" s="2"/>
      <c r="Q38" s="59">
        <v>0</v>
      </c>
      <c r="R38" s="49">
        <f t="shared" ref="R38:T40" si="5">($J38/$J$41) * (G$41/$J$41)</f>
        <v>1</v>
      </c>
      <c r="S38" s="50">
        <f t="shared" si="5"/>
        <v>0</v>
      </c>
      <c r="T38" s="51">
        <f t="shared" si="5"/>
        <v>0</v>
      </c>
      <c r="U38" s="2"/>
      <c r="V38" s="34" t="s">
        <v>140</v>
      </c>
      <c r="W38" s="31">
        <f>SUMPRODUCT(G38:I40, M38:O40) /$J$41</f>
        <v>0</v>
      </c>
      <c r="X38" s="33" t="s">
        <v>141</v>
      </c>
    </row>
    <row r="39" spans="1:24" ht="15.75" customHeight="1" x14ac:dyDescent="0.15">
      <c r="A39" s="45" t="str">
        <f>'GPT-5 Generation'!A39</f>
        <v>State</v>
      </c>
      <c r="B39" s="46" t="str">
        <f>'GPT-5 Generation'!B39</f>
        <v>additional elements</v>
      </c>
      <c r="C39" s="47">
        <f>'GPT-5 Generation'!C39</f>
        <v>0</v>
      </c>
      <c r="D39" s="47">
        <f>'Claude Sonnet 4.5 Gen'!C39</f>
        <v>0</v>
      </c>
      <c r="E39" s="14"/>
      <c r="F39" s="30">
        <v>0.5</v>
      </c>
      <c r="G39" s="35">
        <f>COUNTIFS($A$2:$A$90,$F$37,$C$2:$C$90,$F39,$D$2:$D$90,G$37)</f>
        <v>0</v>
      </c>
      <c r="H39" s="2">
        <f>COUNTIFS($A$2:$A$90,$F$37,$C$2:$C$90,$F39,$D$2:$D$90,H$37)</f>
        <v>0</v>
      </c>
      <c r="I39" s="36">
        <f>COUNTIFS($A$2:$A$90,$F$37,$C$2:$C$90,$F39,$D$2:$D$90,I$37)</f>
        <v>0</v>
      </c>
      <c r="J39" s="2">
        <f>SUM(G39:I39)</f>
        <v>0</v>
      </c>
      <c r="K39" s="2"/>
      <c r="L39" s="30">
        <v>0.5</v>
      </c>
      <c r="M39" s="52">
        <f>ABS(G$2-$F39)/1</f>
        <v>0.5</v>
      </c>
      <c r="N39" s="53">
        <f>ABS(H$2-$F39)/3</f>
        <v>0</v>
      </c>
      <c r="O39" s="54">
        <f>ABS(I$2-$F39)/1</f>
        <v>0.5</v>
      </c>
      <c r="P39" s="2"/>
      <c r="Q39" s="59">
        <v>0.5</v>
      </c>
      <c r="R39" s="52">
        <f t="shared" si="5"/>
        <v>0</v>
      </c>
      <c r="S39" s="53">
        <f t="shared" si="5"/>
        <v>0</v>
      </c>
      <c r="T39" s="54">
        <f t="shared" si="5"/>
        <v>0</v>
      </c>
      <c r="U39" s="2"/>
      <c r="V39" s="34" t="s">
        <v>142</v>
      </c>
      <c r="W39" s="35">
        <f>SUMPRODUCT(R38:T40, M38:O40)</f>
        <v>0</v>
      </c>
      <c r="X39" s="36" t="s">
        <v>143</v>
      </c>
    </row>
    <row r="40" spans="1:24" ht="15.75" customHeight="1" x14ac:dyDescent="0.15">
      <c r="A40" s="23" t="str">
        <f>'GPT-5 Generation'!A40</f>
        <v>Transition</v>
      </c>
      <c r="B40" s="24" t="str">
        <f>'GPT-5 Generation'!B40</f>
        <v>additional elements</v>
      </c>
      <c r="C40" s="8">
        <f>'GPT-5 Generation'!C40</f>
        <v>0</v>
      </c>
      <c r="D40" s="8">
        <f>'Claude Sonnet 4.5 Gen'!C40</f>
        <v>0</v>
      </c>
      <c r="E40" s="14"/>
      <c r="F40" s="30">
        <v>1</v>
      </c>
      <c r="G40" s="37">
        <f>COUNTIFS($A$2:$A$38,$F$37,$C$2:$C$38,$F40,$D$2:$D$38,G$37)+MAX(C42-D42,0)</f>
        <v>0</v>
      </c>
      <c r="H40" s="38">
        <f>COUNTIFS($A$2:$A$90,$F$37,$C$2:$C$90,$F40,$D$2:$D$90,H$37)</f>
        <v>0</v>
      </c>
      <c r="I40" s="39">
        <f>COUNTIFS($A$2:$A$38,$F$37,$C$2:$C$38,$F40,$D$2:$D$38,I$37) + MIN(C42,D42)</f>
        <v>0</v>
      </c>
      <c r="J40" s="2">
        <f>SUM(G40:I40)</f>
        <v>0</v>
      </c>
      <c r="K40" s="2"/>
      <c r="L40" s="30">
        <v>1</v>
      </c>
      <c r="M40" s="55">
        <f>ABS(G$2-$F40)/1</f>
        <v>1</v>
      </c>
      <c r="N40" s="56">
        <f>ABS(H$2-$F40)/1</f>
        <v>0.5</v>
      </c>
      <c r="O40" s="57">
        <f>ABS(I$2-$F40)/1</f>
        <v>0</v>
      </c>
      <c r="P40" s="2"/>
      <c r="Q40" s="59">
        <v>1</v>
      </c>
      <c r="R40" s="55">
        <f t="shared" si="5"/>
        <v>0</v>
      </c>
      <c r="S40" s="56">
        <f t="shared" si="5"/>
        <v>0</v>
      </c>
      <c r="T40" s="57">
        <f t="shared" si="5"/>
        <v>0</v>
      </c>
      <c r="U40" s="2"/>
      <c r="V40" s="34" t="s">
        <v>110</v>
      </c>
      <c r="W40" s="37" t="e">
        <f>1-W38/W39</f>
        <v>#DIV/0!</v>
      </c>
      <c r="X40" s="39" t="s">
        <v>144</v>
      </c>
    </row>
    <row r="41" spans="1:24" ht="15.75" customHeight="1" x14ac:dyDescent="0.15">
      <c r="A41" s="23" t="str">
        <f>'GPT-5 Generation'!A41</f>
        <v>Guard</v>
      </c>
      <c r="B41" s="24" t="str">
        <f>'GPT-5 Generation'!B41</f>
        <v>additional elements</v>
      </c>
      <c r="C41" s="8">
        <f>'GPT-5 Generation'!C41</f>
        <v>0</v>
      </c>
      <c r="D41" s="8">
        <f>'Claude Sonnet 4.5 Gen'!C41</f>
        <v>0</v>
      </c>
      <c r="E41" s="14"/>
      <c r="F41" s="40" t="s">
        <v>124</v>
      </c>
      <c r="G41" s="2">
        <f>SUM(G38:G40)</f>
        <v>4</v>
      </c>
      <c r="H41" s="2">
        <f>SUM(H38:H40)</f>
        <v>0</v>
      </c>
      <c r="I41" s="2">
        <f>SUM(I38:I40)</f>
        <v>0</v>
      </c>
      <c r="J41" s="2">
        <f>SUM(G38:I40)</f>
        <v>4</v>
      </c>
    </row>
    <row r="42" spans="1:24" ht="15.75" customHeight="1" x14ac:dyDescent="0.15">
      <c r="A42" s="23" t="str">
        <f>'GPT-5 Generation'!A42</f>
        <v>Action</v>
      </c>
      <c r="B42" s="24" t="str">
        <f>'GPT-5 Generation'!B42</f>
        <v>additional elements</v>
      </c>
      <c r="C42" s="8">
        <f>'GPT-5 Generation'!C42</f>
        <v>0</v>
      </c>
      <c r="D42" s="8">
        <f>'Claude Sonnet 4.5 Gen'!C42</f>
        <v>0</v>
      </c>
      <c r="E42" s="14"/>
    </row>
    <row r="43" spans="1:24" ht="15.75" customHeight="1" x14ac:dyDescent="0.15">
      <c r="A43" s="23" t="str">
        <f>'GPT-5 Generation'!A43</f>
        <v>Composite State</v>
      </c>
      <c r="B43" s="24" t="str">
        <f>'GPT-5 Generation'!B43</f>
        <v>additional elements</v>
      </c>
      <c r="C43" s="8">
        <f>'GPT-5 Generation'!C43</f>
        <v>0</v>
      </c>
      <c r="D43" s="8">
        <f>'Claude Sonnet 4.5 Gen'!C43</f>
        <v>0</v>
      </c>
      <c r="E43" s="14"/>
      <c r="F43" s="61" t="s">
        <v>135</v>
      </c>
      <c r="G43" s="62"/>
      <c r="H43" s="62"/>
      <c r="I43" s="62"/>
    </row>
    <row r="44" spans="1:24" ht="15.75" customHeight="1" x14ac:dyDescent="0.15">
      <c r="A44" s="23" t="str">
        <f>'GPT-5 Generation'!A44</f>
        <v>Region</v>
      </c>
      <c r="B44" s="24" t="str">
        <f>'GPT-5 Generation'!B44</f>
        <v>additional elements</v>
      </c>
      <c r="C44" s="8">
        <f>'GPT-5 Generation'!C44</f>
        <v>0</v>
      </c>
      <c r="D44" s="8">
        <f>'Claude Sonnet 4.5 Gen'!C44</f>
        <v>0</v>
      </c>
      <c r="E44" s="14"/>
      <c r="F44" s="2" t="s">
        <v>34</v>
      </c>
      <c r="G44" s="42" t="s">
        <v>112</v>
      </c>
      <c r="H44" s="42" t="s">
        <v>113</v>
      </c>
      <c r="I44" s="42" t="s">
        <v>114</v>
      </c>
      <c r="J44" s="43" t="s">
        <v>115</v>
      </c>
      <c r="K44" s="2"/>
      <c r="L44" s="2" t="s">
        <v>111</v>
      </c>
      <c r="M44" s="42" t="s">
        <v>112</v>
      </c>
      <c r="N44" s="42" t="s">
        <v>113</v>
      </c>
      <c r="O44" s="42" t="s">
        <v>114</v>
      </c>
      <c r="P44" s="2"/>
      <c r="Q44" s="2" t="s">
        <v>111</v>
      </c>
      <c r="R44" s="42" t="s">
        <v>112</v>
      </c>
      <c r="S44" s="42" t="s">
        <v>113</v>
      </c>
      <c r="T44" s="42" t="s">
        <v>114</v>
      </c>
      <c r="V44" s="29" t="str">
        <f>"Metrics" &amp; " " &amp; F44</f>
        <v>Metrics History State</v>
      </c>
      <c r="W44" s="29" t="s">
        <v>117</v>
      </c>
      <c r="X44" s="29" t="s">
        <v>118</v>
      </c>
    </row>
    <row r="45" spans="1:24" ht="15.75" customHeight="1" x14ac:dyDescent="0.15">
      <c r="A45" s="23" t="str">
        <f>'GPT-5 Generation'!A45</f>
        <v>History State</v>
      </c>
      <c r="B45" s="24" t="str">
        <f>'GPT-5 Generation'!B45</f>
        <v>additional elements</v>
      </c>
      <c r="C45" s="8">
        <f>'GPT-5 Generation'!C45</f>
        <v>0</v>
      </c>
      <c r="D45" s="8">
        <f>'Claude Sonnet 4.5 Gen'!C45</f>
        <v>0</v>
      </c>
      <c r="E45" s="14"/>
      <c r="F45" s="30">
        <v>0</v>
      </c>
      <c r="G45" s="31">
        <f>COUNTIFS($A$2:$A$90,$F$44,$C$2:$C$90,$F45,$D$2:$D$90,G$44)</f>
        <v>1</v>
      </c>
      <c r="H45" s="32">
        <f>COUNTIFS($A$2:$A$90,$F$44,$C$2:$C$90,$F45,$D$2:$D$90,H$44)</f>
        <v>0</v>
      </c>
      <c r="I45" s="33">
        <f>COUNTIFS($A$2:$A$38,$F$44,$C$2:$C$38,$F45,$D$2:$D$38,I$44) + MAX(D45-C45,0)</f>
        <v>0</v>
      </c>
      <c r="J45" s="2">
        <f>SUM(G45:I45)</f>
        <v>1</v>
      </c>
      <c r="K45" s="2"/>
      <c r="L45" s="30">
        <v>0</v>
      </c>
      <c r="M45" s="49">
        <f>ABS(G$2-$F45)/1</f>
        <v>0</v>
      </c>
      <c r="N45" s="50">
        <f>ABS(H$2-$F45)/1</f>
        <v>0.5</v>
      </c>
      <c r="O45" s="51">
        <f>ABS(I$2-$F45)/1</f>
        <v>1</v>
      </c>
      <c r="P45" s="2"/>
      <c r="Q45" s="30">
        <v>0</v>
      </c>
      <c r="R45" s="31">
        <f t="shared" ref="R45:T47" si="6">($J45/$J$48) * (G$48/$J$48)</f>
        <v>0.5</v>
      </c>
      <c r="S45" s="32">
        <f t="shared" si="6"/>
        <v>0</v>
      </c>
      <c r="T45" s="33">
        <f t="shared" si="6"/>
        <v>0</v>
      </c>
      <c r="U45" s="2"/>
      <c r="V45" s="34" t="s">
        <v>140</v>
      </c>
      <c r="W45" s="31">
        <f>SUMPRODUCT(G45:I47, M45:O47) /$J$48</f>
        <v>0.5</v>
      </c>
      <c r="X45" s="33" t="s">
        <v>141</v>
      </c>
    </row>
    <row r="46" spans="1:24" ht="15.75" customHeight="1" x14ac:dyDescent="0.15">
      <c r="A46" s="23"/>
      <c r="B46" s="24"/>
      <c r="C46" s="14"/>
      <c r="D46" s="14"/>
      <c r="E46" s="14"/>
      <c r="F46" s="30">
        <v>0.5</v>
      </c>
      <c r="G46" s="35">
        <f>COUNTIFS($A$2:$A$90,$F$44,$C$2:$C$90,$F46,$D$2:$D$90,G$44)</f>
        <v>0</v>
      </c>
      <c r="H46" s="2">
        <f>COUNTIFS($A$2:$A$90,$F$44,$C$2:$C$90,$F46,$D$2:$D$90,H$44)</f>
        <v>0</v>
      </c>
      <c r="I46" s="36">
        <f>COUNTIFS($A$2:$A$90,$F$44,$C$2:$C$90,$F46,$D$2:$D$90,I$44)</f>
        <v>0</v>
      </c>
      <c r="J46" s="2">
        <f>SUM(G46:I46)</f>
        <v>0</v>
      </c>
      <c r="K46" s="2"/>
      <c r="L46" s="30">
        <v>0.5</v>
      </c>
      <c r="M46" s="52">
        <f>ABS(G$2-$F46)/1</f>
        <v>0.5</v>
      </c>
      <c r="N46" s="53">
        <f>ABS(H$2-$F46)/3</f>
        <v>0</v>
      </c>
      <c r="O46" s="54">
        <f>ABS(I$2-$F46)/1</f>
        <v>0.5</v>
      </c>
      <c r="P46" s="2"/>
      <c r="Q46" s="30">
        <v>0.5</v>
      </c>
      <c r="R46" s="35">
        <f t="shared" si="6"/>
        <v>0</v>
      </c>
      <c r="S46" s="2">
        <f t="shared" si="6"/>
        <v>0</v>
      </c>
      <c r="T46" s="36">
        <f t="shared" si="6"/>
        <v>0</v>
      </c>
      <c r="U46" s="2"/>
      <c r="V46" s="34" t="s">
        <v>142</v>
      </c>
      <c r="W46" s="35">
        <f>SUMPRODUCT(R45:T47, M45:O47)</f>
        <v>0.5</v>
      </c>
      <c r="X46" s="36" t="s">
        <v>143</v>
      </c>
    </row>
    <row r="47" spans="1:24" ht="15.75" customHeight="1" x14ac:dyDescent="0.15">
      <c r="A47" s="23"/>
      <c r="B47" s="24"/>
      <c r="C47" s="14"/>
      <c r="D47" s="14"/>
      <c r="E47" s="14"/>
      <c r="F47" s="30">
        <v>1</v>
      </c>
      <c r="G47" s="37">
        <f>COUNTIFS($A$2:$A$38,$F$44,$C$2:$C$38,$F47,$D$2:$D$38,G$44) + MAX(C45-D45,0)</f>
        <v>1</v>
      </c>
      <c r="H47" s="38">
        <f>COUNTIFS($A$2:$A$90,$F$44,$C$2:$C$90,$F47,$D$2:$D$90,H$44)</f>
        <v>0</v>
      </c>
      <c r="I47" s="39">
        <f>COUNTIFS($A$2:$A$38,$F$44,$C$2:$C$38,$F47,$D$2:$D$38,I$44) + MIN(C45,D45)</f>
        <v>0</v>
      </c>
      <c r="J47" s="2">
        <f>SUM(G47:I47)</f>
        <v>1</v>
      </c>
      <c r="K47" s="2"/>
      <c r="L47" s="30">
        <v>1</v>
      </c>
      <c r="M47" s="55">
        <f>ABS(G$2-$F47)/1</f>
        <v>1</v>
      </c>
      <c r="N47" s="56">
        <f>ABS(H$2-$F47)/1</f>
        <v>0.5</v>
      </c>
      <c r="O47" s="57">
        <f>ABS(I$2-$F47)/1</f>
        <v>0</v>
      </c>
      <c r="P47" s="2"/>
      <c r="Q47" s="30">
        <v>1</v>
      </c>
      <c r="R47" s="37">
        <f t="shared" si="6"/>
        <v>0.5</v>
      </c>
      <c r="S47" s="38">
        <f t="shared" si="6"/>
        <v>0</v>
      </c>
      <c r="T47" s="39">
        <f t="shared" si="6"/>
        <v>0</v>
      </c>
      <c r="U47" s="2"/>
      <c r="V47" s="34" t="s">
        <v>110</v>
      </c>
      <c r="W47" s="37">
        <f>1-W45/W46</f>
        <v>0</v>
      </c>
      <c r="X47" s="39" t="s">
        <v>144</v>
      </c>
    </row>
    <row r="48" spans="1:24" ht="15.75" customHeight="1" x14ac:dyDescent="0.15">
      <c r="A48" s="23"/>
      <c r="B48" s="24"/>
      <c r="C48" s="14"/>
      <c r="D48" s="14"/>
      <c r="E48" s="14"/>
      <c r="F48" s="40" t="s">
        <v>124</v>
      </c>
      <c r="G48" s="2">
        <f>SUM(G45:G47)</f>
        <v>2</v>
      </c>
      <c r="H48" s="2">
        <f>SUM(H45:H47)</f>
        <v>0</v>
      </c>
      <c r="I48" s="2">
        <f>SUM(I45:I47)</f>
        <v>0</v>
      </c>
      <c r="J48" s="2">
        <f>SUM(G45:I47)</f>
        <v>2</v>
      </c>
    </row>
    <row r="49" spans="1:24" ht="15.75" customHeight="1" x14ac:dyDescent="0.15">
      <c r="A49" s="23"/>
      <c r="B49" s="24"/>
      <c r="C49" s="14"/>
      <c r="D49" s="14"/>
      <c r="E49" s="14"/>
    </row>
    <row r="50" spans="1:24" ht="15.75" customHeight="1" x14ac:dyDescent="0.15">
      <c r="A50" s="23"/>
      <c r="B50" s="24"/>
      <c r="C50" s="14"/>
      <c r="D50" s="14"/>
      <c r="E50" s="14"/>
      <c r="F50" s="61" t="s">
        <v>137</v>
      </c>
      <c r="G50" s="62"/>
      <c r="H50" s="62"/>
      <c r="I50" s="62"/>
    </row>
    <row r="51" spans="1:24" ht="15.75" customHeight="1" x14ac:dyDescent="0.15">
      <c r="A51" s="23"/>
      <c r="B51" s="24"/>
      <c r="C51" s="14"/>
      <c r="D51" s="14"/>
      <c r="E51" s="14"/>
      <c r="F51" s="2" t="s">
        <v>45</v>
      </c>
      <c r="G51" s="42" t="s">
        <v>112</v>
      </c>
      <c r="H51" s="42" t="s">
        <v>113</v>
      </c>
      <c r="I51" s="42" t="s">
        <v>114</v>
      </c>
      <c r="J51" s="43" t="s">
        <v>115</v>
      </c>
      <c r="K51" s="2"/>
      <c r="L51" s="2" t="s">
        <v>111</v>
      </c>
      <c r="M51" s="42" t="s">
        <v>112</v>
      </c>
      <c r="N51" s="42" t="s">
        <v>113</v>
      </c>
      <c r="O51" s="42" t="s">
        <v>114</v>
      </c>
      <c r="P51" s="2"/>
      <c r="Q51" s="2" t="s">
        <v>111</v>
      </c>
      <c r="R51" s="42" t="s">
        <v>112</v>
      </c>
      <c r="S51" s="42" t="s">
        <v>113</v>
      </c>
      <c r="T51" s="42" t="s">
        <v>114</v>
      </c>
      <c r="V51" s="29" t="str">
        <f>"Metrics" &amp; " " &amp; F51</f>
        <v>Metrics Region</v>
      </c>
      <c r="W51" s="29" t="s">
        <v>117</v>
      </c>
      <c r="X51" s="29" t="s">
        <v>118</v>
      </c>
    </row>
    <row r="52" spans="1:24" ht="15.75" customHeight="1" x14ac:dyDescent="0.15">
      <c r="A52" s="23"/>
      <c r="B52" s="24"/>
      <c r="C52" s="14"/>
      <c r="D52" s="14"/>
      <c r="E52" s="14"/>
      <c r="F52" s="30">
        <v>0</v>
      </c>
      <c r="G52" s="31">
        <f>COUNTIFS($A$2:$A$90,$F$51,$C$2:$C$90,$F52,$D$2:$D$90,G$51)</f>
        <v>1</v>
      </c>
      <c r="H52" s="32">
        <f>COUNTIFS($A$2:$A$90,$F$51,$C$2:$C$90,$F52,$D$2:$D$90,H$51)</f>
        <v>0</v>
      </c>
      <c r="I52" s="33">
        <f>COUNTIFS($A$2:$A$38,$F$51,$C$2:$C$38,$F52,$D$2:$D$38,I$51)+MAX(D44-C44,0)</f>
        <v>0</v>
      </c>
      <c r="J52" s="2">
        <f>SUM(G52:I52)</f>
        <v>1</v>
      </c>
      <c r="K52" s="2"/>
      <c r="L52" s="30">
        <v>0</v>
      </c>
      <c r="M52" s="49">
        <f>ABS(G$2-$F52)/1</f>
        <v>0</v>
      </c>
      <c r="N52" s="50">
        <f>ABS(H$2-$F52)/1</f>
        <v>0.5</v>
      </c>
      <c r="O52" s="51">
        <f>ABS(I$2-$F52)/1</f>
        <v>1</v>
      </c>
      <c r="P52" s="2"/>
      <c r="Q52" s="30">
        <v>0</v>
      </c>
      <c r="R52" s="31">
        <f t="shared" ref="R52:T54" si="7">($J52/$J$55) * (G$55/$J$55)</f>
        <v>1</v>
      </c>
      <c r="S52" s="32">
        <f t="shared" si="7"/>
        <v>0</v>
      </c>
      <c r="T52" s="33">
        <f t="shared" si="7"/>
        <v>0</v>
      </c>
      <c r="U52" s="2"/>
      <c r="V52" s="34" t="s">
        <v>140</v>
      </c>
      <c r="W52" s="31">
        <f>SUMPRODUCT(G52:I54, M52:O54) /$J$55</f>
        <v>0</v>
      </c>
      <c r="X52" s="33" t="s">
        <v>141</v>
      </c>
    </row>
    <row r="53" spans="1:24" ht="15.75" customHeight="1" x14ac:dyDescent="0.15">
      <c r="A53" s="23"/>
      <c r="B53" s="24"/>
      <c r="C53" s="14"/>
      <c r="D53" s="14"/>
      <c r="E53" s="14"/>
      <c r="F53" s="30">
        <v>0.5</v>
      </c>
      <c r="G53" s="35">
        <f>COUNTIFS($A$2:$A$90,$F$51,$C$2:$C$90,$F53,$D$2:$D$90,G$51)</f>
        <v>0</v>
      </c>
      <c r="H53" s="2">
        <f>COUNTIFS($A$2:$A$90,$F$51,$C$2:$C$90,$F53,$D$2:$D$90,H$51)</f>
        <v>0</v>
      </c>
      <c r="I53" s="36">
        <f>COUNTIFS($A$2:$A$90,$F$51,$C$2:$C$90,$F53,$D$2:$D$90,I$51)</f>
        <v>0</v>
      </c>
      <c r="J53" s="2">
        <f>SUM(G53:I53)</f>
        <v>0</v>
      </c>
      <c r="K53" s="2"/>
      <c r="L53" s="30">
        <v>0.5</v>
      </c>
      <c r="M53" s="52">
        <f>ABS(G$2-$F53)/1</f>
        <v>0.5</v>
      </c>
      <c r="N53" s="53">
        <f>ABS(H$2-$F53)/3</f>
        <v>0</v>
      </c>
      <c r="O53" s="54">
        <f>ABS(I$2-$F53)/1</f>
        <v>0.5</v>
      </c>
      <c r="P53" s="2"/>
      <c r="Q53" s="30">
        <v>0.5</v>
      </c>
      <c r="R53" s="35">
        <f t="shared" si="7"/>
        <v>0</v>
      </c>
      <c r="S53" s="2">
        <f t="shared" si="7"/>
        <v>0</v>
      </c>
      <c r="T53" s="36">
        <f t="shared" si="7"/>
        <v>0</v>
      </c>
      <c r="U53" s="2"/>
      <c r="V53" s="34" t="s">
        <v>142</v>
      </c>
      <c r="W53" s="35">
        <f>SUMPRODUCT(R52:T54, M52:O54)</f>
        <v>0</v>
      </c>
      <c r="X53" s="36" t="s">
        <v>143</v>
      </c>
    </row>
    <row r="54" spans="1:24" ht="15.75" customHeight="1" x14ac:dyDescent="0.15">
      <c r="A54" s="23"/>
      <c r="B54" s="24"/>
      <c r="C54" s="14"/>
      <c r="D54" s="14"/>
      <c r="E54" s="14"/>
      <c r="F54" s="30">
        <v>1</v>
      </c>
      <c r="G54" s="37">
        <f>COUNTIFS($A$2:$A$38,$F$51,$C$2:$C$38,$F54,$D$2:$D$38,G$51) + MAX(C44-D44,0)</f>
        <v>0</v>
      </c>
      <c r="H54" s="38">
        <f>COUNTIFS($A$2:$A$90,$F$51,$C$2:$C$90,$F54,$D$2:$D$90,H$51)</f>
        <v>0</v>
      </c>
      <c r="I54" s="39">
        <f>COUNTIFS($A$2:$A$38,$F$51,$C$2:$C$38,$F54,$D$2:$D$38,I$51)+MIN(C44,D44)</f>
        <v>0</v>
      </c>
      <c r="J54" s="2">
        <f>SUM(G54:I54)</f>
        <v>0</v>
      </c>
      <c r="K54" s="2"/>
      <c r="L54" s="30">
        <v>1</v>
      </c>
      <c r="M54" s="55">
        <f>ABS(G$2-$F54)/1</f>
        <v>1</v>
      </c>
      <c r="N54" s="56">
        <f>ABS(H$2-$F54)/1</f>
        <v>0.5</v>
      </c>
      <c r="O54" s="57">
        <f>ABS(I$2-$F54)/1</f>
        <v>0</v>
      </c>
      <c r="P54" s="2"/>
      <c r="Q54" s="30">
        <v>1</v>
      </c>
      <c r="R54" s="37">
        <f t="shared" si="7"/>
        <v>0</v>
      </c>
      <c r="S54" s="38">
        <f t="shared" si="7"/>
        <v>0</v>
      </c>
      <c r="T54" s="39">
        <f t="shared" si="7"/>
        <v>0</v>
      </c>
      <c r="U54" s="2"/>
      <c r="V54" s="34" t="s">
        <v>110</v>
      </c>
      <c r="W54" s="37" t="e">
        <f>1-W52/W53</f>
        <v>#DIV/0!</v>
      </c>
      <c r="X54" s="39" t="s">
        <v>144</v>
      </c>
    </row>
    <row r="55" spans="1:24" ht="15.75" customHeight="1" x14ac:dyDescent="0.15">
      <c r="A55" s="23"/>
      <c r="B55" s="24"/>
      <c r="C55" s="14"/>
      <c r="D55" s="14"/>
      <c r="E55" s="14"/>
      <c r="F55" s="40" t="s">
        <v>124</v>
      </c>
      <c r="G55" s="2">
        <f>SUM(G52:G54)</f>
        <v>1</v>
      </c>
      <c r="H55" s="2">
        <f>SUM(H52:H54)</f>
        <v>0</v>
      </c>
      <c r="I55" s="2">
        <f>SUM(I52:I54)</f>
        <v>0</v>
      </c>
      <c r="J55" s="2">
        <f>SUM(G52:I54)</f>
        <v>1</v>
      </c>
      <c r="L55" s="2"/>
      <c r="M55" s="41"/>
    </row>
    <row r="56" spans="1:24" ht="15.75" customHeight="1" x14ac:dyDescent="0.15">
      <c r="A56" s="23"/>
      <c r="B56" s="24"/>
      <c r="C56" s="14"/>
      <c r="D56" s="14"/>
      <c r="E56" s="14"/>
    </row>
    <row r="57" spans="1:24" ht="15.75" customHeight="1" x14ac:dyDescent="0.15">
      <c r="A57" s="23"/>
      <c r="B57" s="24"/>
      <c r="C57" s="14"/>
      <c r="D57" s="14"/>
      <c r="E57" s="14"/>
    </row>
    <row r="58" spans="1:24" ht="15.75" customHeight="1" x14ac:dyDescent="0.15">
      <c r="A58" s="23"/>
      <c r="B58" s="24"/>
      <c r="C58" s="14"/>
      <c r="D58" s="14"/>
      <c r="E58" s="14"/>
    </row>
    <row r="59" spans="1:24" ht="15.75" customHeight="1" x14ac:dyDescent="0.15">
      <c r="A59" s="23"/>
      <c r="B59" s="24"/>
      <c r="C59" s="14"/>
      <c r="D59" s="14"/>
      <c r="E59" s="14"/>
    </row>
    <row r="60" spans="1:24" ht="15.75" customHeight="1" x14ac:dyDescent="0.15">
      <c r="A60" s="23"/>
      <c r="B60" s="24"/>
      <c r="C60" s="14"/>
      <c r="D60" s="14"/>
      <c r="E60" s="14"/>
    </row>
    <row r="61" spans="1:24" ht="15.75" customHeight="1" x14ac:dyDescent="0.15">
      <c r="A61" s="23"/>
      <c r="B61" s="24"/>
      <c r="C61" s="14"/>
      <c r="D61" s="14"/>
      <c r="E61" s="14"/>
    </row>
    <row r="62" spans="1:24" ht="15.75" customHeight="1" x14ac:dyDescent="0.15">
      <c r="A62" s="23"/>
      <c r="B62" s="24"/>
      <c r="C62" s="14"/>
      <c r="D62" s="14"/>
      <c r="E62" s="14"/>
    </row>
    <row r="63" spans="1:24" ht="15.75" customHeight="1" x14ac:dyDescent="0.15">
      <c r="A63" s="23"/>
      <c r="B63" s="24"/>
      <c r="C63" s="14"/>
      <c r="D63" s="14"/>
      <c r="E63" s="14"/>
    </row>
    <row r="64" spans="1:24" ht="15.75" customHeight="1" x14ac:dyDescent="0.15">
      <c r="A64" s="23"/>
      <c r="B64" s="24"/>
      <c r="C64" s="14"/>
      <c r="D64" s="14"/>
      <c r="E64" s="14"/>
    </row>
    <row r="65" spans="1:5" ht="15.75" customHeight="1" x14ac:dyDescent="0.15">
      <c r="A65" s="23"/>
      <c r="B65" s="24"/>
      <c r="C65" s="14"/>
      <c r="D65" s="14"/>
      <c r="E65" s="14"/>
    </row>
    <row r="66" spans="1:5" ht="15.75" customHeight="1" x14ac:dyDescent="0.15">
      <c r="A66" s="23"/>
      <c r="B66" s="24"/>
      <c r="C66" s="14"/>
      <c r="D66" s="14"/>
      <c r="E66" s="14"/>
    </row>
    <row r="67" spans="1:5" ht="15.75" customHeight="1" x14ac:dyDescent="0.15">
      <c r="A67" s="23"/>
      <c r="B67" s="24"/>
      <c r="C67" s="14"/>
      <c r="D67" s="14"/>
      <c r="E67" s="14"/>
    </row>
    <row r="68" spans="1:5" ht="15.75" customHeight="1" x14ac:dyDescent="0.15">
      <c r="A68" s="23"/>
      <c r="B68" s="24"/>
      <c r="C68" s="14"/>
      <c r="D68" s="14"/>
      <c r="E68" s="14"/>
    </row>
    <row r="69" spans="1:5" ht="15.75" customHeight="1" x14ac:dyDescent="0.15">
      <c r="A69" s="23"/>
      <c r="B69" s="24"/>
      <c r="C69" s="14"/>
      <c r="D69" s="14"/>
      <c r="E69" s="14"/>
    </row>
    <row r="70" spans="1:5" ht="15.75" customHeight="1" x14ac:dyDescent="0.15">
      <c r="A70" s="23"/>
      <c r="B70" s="24"/>
      <c r="C70" s="14"/>
      <c r="D70" s="14"/>
      <c r="E70" s="14"/>
    </row>
    <row r="71" spans="1:5" ht="15.75" customHeight="1" x14ac:dyDescent="0.15">
      <c r="B71" s="24"/>
      <c r="D71" s="14"/>
      <c r="E71" s="14"/>
    </row>
    <row r="72" spans="1:5" ht="15.75" customHeight="1" x14ac:dyDescent="0.15">
      <c r="B72" s="24"/>
      <c r="D72" s="14"/>
    </row>
    <row r="73" spans="1:5" ht="15.75" customHeight="1" x14ac:dyDescent="0.15">
      <c r="D73" s="14"/>
    </row>
    <row r="74" spans="1:5" ht="15.75" customHeight="1" x14ac:dyDescent="0.15"/>
    <row r="75" spans="1:5" ht="15.75" customHeight="1" x14ac:dyDescent="0.15"/>
    <row r="76" spans="1:5" ht="15.75" customHeight="1" x14ac:dyDescent="0.15"/>
    <row r="77" spans="1:5" ht="15.75" customHeight="1" x14ac:dyDescent="0.15"/>
    <row r="78" spans="1:5" ht="15.75" customHeight="1" x14ac:dyDescent="0.15"/>
    <row r="79" spans="1:5" ht="15.75" customHeight="1" x14ac:dyDescent="0.15"/>
    <row r="80" spans="1:5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9">
    <mergeCell ref="L1:O1"/>
    <mergeCell ref="F36:I36"/>
    <mergeCell ref="F50:I50"/>
    <mergeCell ref="F1:I1"/>
    <mergeCell ref="F8:I8"/>
    <mergeCell ref="F43:I43"/>
    <mergeCell ref="F15:I15"/>
    <mergeCell ref="F29:I29"/>
    <mergeCell ref="F22:I22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printer</vt:lpstr>
      <vt:lpstr>GPT-5 Generation</vt:lpstr>
      <vt:lpstr>Claude Sonnet 4.5 Gen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2026-05-06T15:00:58Z</dcterms:modified>
</cp:coreProperties>
</file>