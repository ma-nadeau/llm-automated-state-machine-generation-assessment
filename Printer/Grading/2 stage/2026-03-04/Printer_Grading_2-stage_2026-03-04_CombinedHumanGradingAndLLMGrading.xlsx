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ter" sheetId="1" r:id="rId4"/>
    <sheet state="visible" name="Printer Human-Based Grading" sheetId="2" r:id="rId5"/>
    <sheet state="visible" name="Printer LLM-Based Grading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<sst xmlns="http://schemas.openxmlformats.org/spreadsheetml/2006/main" count="684" uniqueCount="145">
  <si>
    <t>Type</t>
  </si>
  <si>
    <t>Element</t>
  </si>
  <si>
    <t>State</t>
  </si>
  <si>
    <t>initial state (Off)</t>
  </si>
  <si>
    <t>Off</t>
  </si>
  <si>
    <t>Transition</t>
  </si>
  <si>
    <t>on (Off =&gt; On)</t>
  </si>
  <si>
    <t>Composite State</t>
  </si>
  <si>
    <t>On</t>
  </si>
  <si>
    <t>off (On =&gt; Off)</t>
  </si>
  <si>
    <t>initial state (Idle)</t>
  </si>
  <si>
    <t>Idle</t>
  </si>
  <si>
    <t>login(cardID) (Idle =&gt; Idle)</t>
  </si>
  <si>
    <t>Guard</t>
  </si>
  <si>
    <t>[!idAuthorized(cardID)]</t>
  </si>
  <si>
    <t>login(cardID) (Idle =&gt; Ready)</t>
  </si>
  <si>
    <t>[idAuthorized(cardID)]</t>
  </si>
  <si>
    <t>Action</t>
  </si>
  <si>
    <t>action="none"</t>
  </si>
  <si>
    <t>Ready</t>
  </si>
  <si>
    <t>logoff (Ready =&gt; Idle)</t>
  </si>
  <si>
    <t>start (Ready =&gt; Ready)</t>
  </si>
  <si>
    <t>[action=="scan" &amp; !originalLoaded()]</t>
  </si>
  <si>
    <t>[action=="print" &amp; !documentInQueue()]</t>
  </si>
  <si>
    <t>scan (Ready =&gt; Ready)</t>
  </si>
  <si>
    <t>action = "scan"</t>
  </si>
  <si>
    <t>print (Ready =&gt; Ready)</t>
  </si>
  <si>
    <t>action="print"</t>
  </si>
  <si>
    <t>start (Ready =&gt; Scan &amp; Email)</t>
  </si>
  <si>
    <t>[action=="scan" &amp;&amp; originalLoaded()]</t>
  </si>
  <si>
    <t>Busy</t>
  </si>
  <si>
    <t>stop (Busy =&gt; Ready)</t>
  </si>
  <si>
    <t>done (Busy =&gt; Ready)</t>
  </si>
  <si>
    <t>jam (Busy =&gt; Suspended)</t>
  </si>
  <si>
    <t>History State</t>
  </si>
  <si>
    <t>for Busy</t>
  </si>
  <si>
    <t>Print</t>
  </si>
  <si>
    <t>start (Ready =&gt; Print)</t>
  </si>
  <si>
    <t>[action="print" &amp;&amp; documentInQueue()]</t>
  </si>
  <si>
    <t>outOfPaper (Print =&gt; Suspended)</t>
  </si>
  <si>
    <t>Scan &amp; Email</t>
  </si>
  <si>
    <t>Suspended</t>
  </si>
  <si>
    <t>resume (Suspended =&gt; History State for Busy)</t>
  </si>
  <si>
    <t>cancel (Suspended =&gt; Ready)</t>
  </si>
  <si>
    <t>additional elements</t>
  </si>
  <si>
    <t>Region</t>
  </si>
  <si>
    <t>Rater 1</t>
  </si>
  <si>
    <t>Notes</t>
  </si>
  <si>
    <t>Grading</t>
  </si>
  <si>
    <t>Initial state correctly transitions to Off</t>
  </si>
  <si>
    <t>Off state is present</t>
  </si>
  <si>
    <t>powerOn transition from Off to On is present</t>
  </si>
  <si>
    <t>On is a composite state containing substates</t>
  </si>
  <si>
    <t>powerOff transition from On to Off is present</t>
  </si>
  <si>
    <t>Initial state transitions to WaitingForLogin instead of Idle; semantically similar but different naming</t>
  </si>
  <si>
    <t>Idle state exists within LoggedIn composite state</t>
  </si>
  <si>
    <t>Represented as tapCard transition to LoginError with guard; semantically captures unauthorized login but structure differs</t>
  </si>
  <si>
    <t>Guard [!authorized] is present on tapCard transition</t>
  </si>
  <si>
    <t>Represented as tapCard to LoggedIn with [authorized] guard; semantically equivalent but naming differs</t>
  </si>
  <si>
    <t>Guard [authorized] is present on tapCard transition</t>
  </si>
  <si>
    <t>No action setting action variable to none is present</t>
  </si>
  <si>
    <t>Represented by Idle state within LoggedIn; semantically similar but naming differs</t>
  </si>
  <si>
    <t>Logoff transitions from LoggedIn to WaitingForLogin; semantically correct but different state names</t>
  </si>
  <si>
    <t>Error handling transitions exist (Idle to PrintError/ScanError) but structure differs from self-loop</t>
  </si>
  <si>
    <t>Guard [!documentPresent] on startScan exists; semantically equivalent but different variable naming</t>
  </si>
  <si>
    <t>Error handling for print queue exists with guard [queueEmpty]; semantically equivalent</t>
  </si>
  <si>
    <t>Guard [queueEmpty] on startPrint exists; semantically equivalent but different variable naming</t>
  </si>
  <si>
    <t>No explicit scan action setting transition is present</t>
  </si>
  <si>
    <t>No action variable assignment for scan is present</t>
  </si>
  <si>
    <t>No explicit print action setting transition is present</t>
  </si>
  <si>
    <t>No action variable assignment for print is present</t>
  </si>
  <si>
    <t>Represented as startScan to ScanTask with [documentPresent] guard; semantically equivalent</t>
  </si>
  <si>
    <t>Guard [documentPresent] on startScan exists; semantically equivalent but no action variable check</t>
  </si>
  <si>
    <t>Represented by separate PrintTask and ScanTask composite states; semantically equivalent but different structure</t>
  </si>
  <si>
    <t>Stop transitions from Printing/Scanning to Idle; semantically equivalent but different target state name</t>
  </si>
  <si>
    <t>Complete transitions from Printing/Scanning to Idle; semantically equivalent</t>
  </si>
  <si>
    <t>PaperJam transitions exist from Printing/Scanning states; semantically equivalent but different state names</t>
  </si>
  <si>
    <t>HPrint and HScan history states exist within PrintTask and ScanTask; semantically equivalent but different structure</t>
  </si>
  <si>
    <t>Printing state exists within PrintTask composite state</t>
  </si>
  <si>
    <t>startPrint transition to PrintTask with [!queueEmpty] guard; semantically equivalent</t>
  </si>
  <si>
    <t>Guard [!queueEmpty] on startPrint exists; semantically equivalent but no action variable check</t>
  </si>
  <si>
    <t>outOfPaper transition from Printing to PrintingOutOfPaper is present</t>
  </si>
  <si>
    <t>Represented by Scanning state with sendToEmail() exit action; semantically equivalent</t>
  </si>
  <si>
    <t>Represented by PrintingPaperJam, PrintingOutOfPaper, ScanningPaperJam states; semantically equivalent but different structure</t>
  </si>
  <si>
    <t>Resume transitions to HPrint/HScan history states are present</t>
  </si>
  <si>
    <t>Cancel transitions to Idle from suspended states; semantically equivalent</t>
  </si>
  <si>
    <t>No fundamentally incorrect states present</t>
  </si>
  <si>
    <t>No fundamentally incorrect transitions present</t>
  </si>
  <si>
    <t>No fundamentally incorrect guards present</t>
  </si>
  <si>
    <t>No fundamentally incorrect actions present</t>
  </si>
  <si>
    <t>Additional composite states are reasonable modeling choices</t>
  </si>
  <si>
    <t>No incorrect regions present</t>
  </si>
  <si>
    <t>No incorrect history states present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</si>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</sst>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5">
    <border/>
    <border>
      <top style="thin">
        <color rgb="FF000000"/>
      </top>
    </border>
    <border>
      <left/>
      <right/>
      <top/>
      <bottom/>
    </border>
    <border>
      <left/>
      <right/>
      <top style="thin">
        <color rgb="FF000000"/>
      </top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3" numFmtId="0" xfId="0" applyFont="1"/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2" fontId="3" numFmtId="0" xfId="0" applyBorder="1" applyFill="1" applyFont="1"/>
    <xf borderId="2" fillId="3" fontId="3" numFmtId="0" xfId="0" applyAlignment="1" applyBorder="1" applyFill="1" applyFont="1">
      <alignment horizontal="center"/>
    </xf>
    <xf borderId="2" fillId="3" fontId="3" numFmtId="0" xfId="0" applyBorder="1" applyFont="1"/>
    <xf borderId="2" fillId="4" fontId="3" numFmtId="0" xfId="0" applyAlignment="1" applyBorder="1" applyFill="1" applyFont="1">
      <alignment horizontal="center"/>
    </xf>
    <xf borderId="2" fillId="4" fontId="3" numFmtId="0" xfId="0" applyBorder="1" applyFont="1"/>
    <xf borderId="3" fillId="4" fontId="3" numFmtId="0" xfId="0" applyAlignment="1" applyBorder="1" applyFont="1">
      <alignment horizontal="center" readingOrder="0"/>
    </xf>
    <xf borderId="3" fillId="4" fontId="3" numFmtId="0" xfId="0" applyBorder="1" applyFont="1"/>
    <xf borderId="2" fillId="4" fontId="3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2" fillId="3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/>
    </xf>
    <xf borderId="5" fillId="0" fontId="4" numFmtId="0" xfId="0" applyBorder="1" applyFont="1"/>
    <xf borderId="0" fillId="6" fontId="5" numFmtId="0" xfId="0" applyAlignment="1" applyFill="1" applyFont="1">
      <alignment vertical="bottom"/>
    </xf>
    <xf borderId="6" fillId="5" fontId="1" numFmtId="0" xfId="0" applyAlignment="1" applyBorder="1" applyFont="1">
      <alignment horizontal="center"/>
    </xf>
    <xf borderId="0" fillId="3" fontId="5" numFmtId="0" xfId="0" applyAlignment="1" applyFont="1">
      <alignment vertical="bottom"/>
    </xf>
    <xf borderId="6" fillId="7" fontId="6" numFmtId="0" xfId="0" applyAlignment="1" applyBorder="1" applyFill="1" applyFont="1">
      <alignment shrinkToFit="0" vertical="center" wrapText="1"/>
    </xf>
    <xf borderId="6" fillId="0" fontId="3" numFmtId="0" xfId="0" applyBorder="1" applyFont="1"/>
    <xf borderId="6" fillId="0" fontId="2" numFmtId="0" xfId="0" applyBorder="1" applyFont="1"/>
    <xf borderId="0" fillId="0" fontId="5" numFmtId="0" xfId="0" applyAlignment="1" applyFont="1">
      <alignment vertical="bottom"/>
    </xf>
    <xf borderId="6" fillId="0" fontId="1" numFmtId="0" xfId="0" applyBorder="1" applyFont="1"/>
    <xf borderId="6" fillId="0" fontId="5" numFmtId="0" xfId="0" applyAlignment="1" applyBorder="1" applyFont="1">
      <alignment horizontal="right" vertical="bottom"/>
    </xf>
    <xf borderId="1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7" fillId="0" fontId="1" numFmtId="0" xfId="0" applyAlignment="1" applyBorder="1" applyFont="1">
      <alignment horizontal="center"/>
    </xf>
    <xf borderId="7" fillId="0" fontId="4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8" fillId="8" fontId="2" numFmtId="0" xfId="0" applyAlignment="1" applyBorder="1" applyFill="1" applyFont="1">
      <alignment horizontal="center" vertical="center"/>
    </xf>
    <xf borderId="9" fillId="8" fontId="2" numFmtId="0" xfId="0" applyAlignment="1" applyBorder="1" applyFont="1">
      <alignment horizontal="center" vertical="center"/>
    </xf>
    <xf borderId="10" fillId="8" fontId="2" numFmtId="0" xfId="0" applyAlignment="1" applyBorder="1" applyFont="1">
      <alignment horizontal="center" vertical="center"/>
    </xf>
    <xf borderId="11" fillId="8" fontId="2" numFmtId="0" xfId="0" applyAlignment="1" applyBorder="1" applyFont="1">
      <alignment horizontal="center" vertical="center"/>
    </xf>
    <xf borderId="2" fillId="8" fontId="7" numFmtId="0" xfId="0" applyAlignment="1" applyBorder="1" applyFont="1">
      <alignment horizontal="center" vertical="center"/>
    </xf>
    <xf borderId="12" fillId="8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5" fillId="0" fontId="2" numFmtId="0" xfId="0" applyAlignment="1" applyBorder="1" applyFont="1">
      <alignment horizontal="center" vertical="center"/>
    </xf>
    <xf borderId="2" fillId="8" fontId="1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1" fillId="8" fontId="2" numFmtId="0" xfId="0" applyAlignment="1" applyBorder="1" applyFont="1">
      <alignment horizontal="center" vertical="center"/>
    </xf>
    <xf borderId="22" fillId="8" fontId="2" numFmtId="0" xfId="0" applyAlignment="1" applyBorder="1" applyFont="1">
      <alignment horizontal="center" vertical="center"/>
    </xf>
    <xf borderId="23" fillId="3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4" fillId="3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Font="1"/>
    <xf borderId="13" fillId="0" fontId="5" numFmtId="0" xfId="0" applyAlignment="1" applyBorder="1" applyFont="1">
      <alignment horizontal="center"/>
    </xf>
    <xf borderId="14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9" fillId="0" fontId="5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21" fillId="8" fontId="5" numFmtId="0" xfId="0" applyAlignment="1" applyBorder="1" applyFont="1">
      <alignment horizontal="center" vertical="bottom"/>
    </xf>
    <xf borderId="12" fillId="8" fontId="5" numFmtId="0" xfId="0" applyAlignment="1" applyBorder="1" applyFont="1">
      <alignment horizontal="center" vertical="bottom"/>
    </xf>
    <xf borderId="13" fillId="0" fontId="5" numFmtId="0" xfId="0" applyAlignment="1" applyBorder="1" applyFont="1">
      <alignment horizontal="center" vertical="bottom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7">
    <tableStyle count="3" pivot="0" name="printer-style">
      <tableStyleElement dxfId="1" type="headerRow"/>
      <tableStyleElement dxfId="2" type="firstRowStripe"/>
      <tableStyleElement dxfId="3" type="secondRowStripe"/>
    </tableStyle>
    <tableStyle count="3" pivot="0" name="Printer Human-Based Grading-style">
      <tableStyleElement dxfId="1" type="headerRow"/>
      <tableStyleElement dxfId="2" type="firstRowStripe"/>
      <tableStyleElement dxfId="3" type="secondRowStripe"/>
    </tableStyle>
    <tableStyle count="3" pivot="0" name="Printer LLM-Based Grading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45" displayName="Table_1" name="Table_1" id="1">
  <tableColumns count="2">
    <tableColumn name="Type" id="1"/>
    <tableColumn name="Element" id="2"/>
  </tableColumns>
  <tableStyleInfo name="printer-style" showColumnStripes="0" showFirstColumn="1" showLastColumn="1" showRowStripes="1"/>
</table>
</file>

<file path=xl/tables/table2.xml><?xml version="1.0" encoding="utf-8"?>
<table xmlns="http://schemas.openxmlformats.org/spreadsheetml/2006/main" ref="A1:D45" displayName="Table_2" name="Table_2" id="2">
  <tableColumns count="4">
    <tableColumn name="Type" id="1"/>
    <tableColumn name="Element" id="2"/>
    <tableColumn name="Rater 1" id="3"/>
    <tableColumn name="Notes" id="4"/>
  </tableColumns>
  <tableStyleInfo name="Printer Human-Based Grading-style" showColumnStripes="0" showFirstColumn="1" showLastColumn="1" showRowStripes="1"/>
</table>
</file>

<file path=xl/tables/table3.xml><?xml version="1.0" encoding="utf-8"?>
<table xmlns="http://schemas.openxmlformats.org/spreadsheetml/2006/main" ref="A1:D45" displayName="Table_3" name="Table_3" id="3">
  <tableColumns count="4">
    <tableColumn name="Type" id="1"/>
    <tableColumn name="Element" id="2"/>
    <tableColumn name="Grading" id="3"/>
    <tableColumn name="Notes" id="4"/>
  </tableColumns>
  <tableStyleInfo name="Printer LLM-Based Grading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5:J6" displayName="Table_5" name="Table_5" id="5">
  <tableColumns count="1">
    <tableColumn name="LLM Use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A1:D45" displayName="Table_6" name="Table_6" id="6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7.xml><?xml version="1.0" encoding="utf-8"?>
<table xmlns="http://schemas.openxmlformats.org/spreadsheetml/2006/main" ref="A1:D45" displayName="Table_7" name="Table_7" id="7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2" t="s">
        <v>3</v>
      </c>
    </row>
    <row r="3" ht="12.75" customHeight="1">
      <c r="A3" s="3" t="s">
        <v>2</v>
      </c>
      <c r="B3" s="2" t="s">
        <v>4</v>
      </c>
    </row>
    <row r="4" ht="12.75" customHeight="1">
      <c r="A4" s="3" t="s">
        <v>5</v>
      </c>
      <c r="B4" s="2" t="s">
        <v>6</v>
      </c>
    </row>
    <row r="5" ht="12.75" customHeight="1">
      <c r="A5" s="3" t="s">
        <v>7</v>
      </c>
      <c r="B5" s="2" t="s">
        <v>8</v>
      </c>
    </row>
    <row r="6" ht="12.75" customHeight="1">
      <c r="A6" s="3" t="s">
        <v>5</v>
      </c>
      <c r="B6" s="2" t="s">
        <v>9</v>
      </c>
    </row>
    <row r="7" ht="12.75" customHeight="1">
      <c r="A7" s="3" t="s">
        <v>2</v>
      </c>
      <c r="B7" s="2" t="s">
        <v>10</v>
      </c>
    </row>
    <row r="8" ht="12.75" customHeight="1">
      <c r="A8" s="3" t="s">
        <v>2</v>
      </c>
      <c r="B8" s="2" t="s">
        <v>11</v>
      </c>
    </row>
    <row r="9" ht="12.75" customHeight="1">
      <c r="A9" s="3" t="s">
        <v>5</v>
      </c>
      <c r="B9" s="2" t="s">
        <v>12</v>
      </c>
    </row>
    <row r="10" ht="12.75" customHeight="1">
      <c r="A10" s="3" t="s">
        <v>13</v>
      </c>
      <c r="B10" s="2" t="s">
        <v>14</v>
      </c>
    </row>
    <row r="11" ht="12.75" customHeight="1">
      <c r="A11" s="3" t="s">
        <v>5</v>
      </c>
      <c r="B11" s="2" t="s">
        <v>15</v>
      </c>
    </row>
    <row r="12" ht="12.75" customHeight="1">
      <c r="A12" s="3" t="s">
        <v>13</v>
      </c>
      <c r="B12" s="2" t="s">
        <v>16</v>
      </c>
    </row>
    <row r="13" ht="12.75" customHeight="1">
      <c r="A13" s="3" t="s">
        <v>17</v>
      </c>
      <c r="B13" s="2" t="s">
        <v>18</v>
      </c>
    </row>
    <row r="14" ht="12.75" customHeight="1">
      <c r="A14" s="3" t="s">
        <v>2</v>
      </c>
      <c r="B14" s="2" t="s">
        <v>19</v>
      </c>
    </row>
    <row r="15" ht="12.75" customHeight="1">
      <c r="A15" s="3" t="s">
        <v>5</v>
      </c>
      <c r="B15" s="2" t="s">
        <v>20</v>
      </c>
    </row>
    <row r="16" ht="12.75" customHeight="1">
      <c r="A16" s="3" t="s">
        <v>5</v>
      </c>
      <c r="B16" s="2" t="s">
        <v>21</v>
      </c>
    </row>
    <row r="17" ht="15.0" customHeight="1">
      <c r="A17" s="3" t="s">
        <v>13</v>
      </c>
      <c r="B17" s="2" t="s">
        <v>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</row>
    <row r="19" ht="12.75" customHeight="1">
      <c r="A19" s="3" t="s">
        <v>13</v>
      </c>
      <c r="B19" s="2" t="s">
        <v>23</v>
      </c>
    </row>
    <row r="20" ht="12.75" customHeight="1">
      <c r="A20" s="3" t="s">
        <v>5</v>
      </c>
      <c r="B20" s="2" t="s">
        <v>24</v>
      </c>
    </row>
    <row r="21" ht="12.75" customHeight="1">
      <c r="A21" s="3" t="s">
        <v>17</v>
      </c>
      <c r="B21" s="2" t="s">
        <v>25</v>
      </c>
    </row>
    <row r="22" ht="12.75" customHeight="1">
      <c r="A22" s="3" t="s">
        <v>5</v>
      </c>
      <c r="B22" s="2" t="s">
        <v>26</v>
      </c>
    </row>
    <row r="23" ht="12.75" customHeight="1">
      <c r="A23" s="3" t="s">
        <v>17</v>
      </c>
      <c r="B23" s="2" t="s">
        <v>27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</row>
    <row r="25" ht="12.75" customHeight="1">
      <c r="A25" s="3" t="s">
        <v>13</v>
      </c>
      <c r="B25" s="2" t="s">
        <v>29</v>
      </c>
    </row>
    <row r="26" ht="15.0" customHeight="1">
      <c r="A26" s="3" t="s">
        <v>7</v>
      </c>
      <c r="B26" s="2" t="s">
        <v>30</v>
      </c>
    </row>
    <row r="27" ht="12.75" customHeight="1">
      <c r="A27" s="3" t="s">
        <v>5</v>
      </c>
      <c r="B27" s="2" t="s">
        <v>31</v>
      </c>
    </row>
    <row r="28" ht="12.75" customHeight="1">
      <c r="A28" s="3" t="s">
        <v>5</v>
      </c>
      <c r="B28" s="2" t="s">
        <v>32</v>
      </c>
    </row>
    <row r="29" ht="12.75" customHeight="1">
      <c r="A29" s="3" t="s">
        <v>5</v>
      </c>
      <c r="B29" s="2" t="s">
        <v>33</v>
      </c>
    </row>
    <row r="30" ht="12.75" customHeight="1">
      <c r="A30" s="3" t="s">
        <v>34</v>
      </c>
      <c r="B30" s="2" t="s">
        <v>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</row>
    <row r="33" ht="12.75" customHeight="1">
      <c r="A33" s="3" t="s">
        <v>13</v>
      </c>
      <c r="B33" s="2" t="s">
        <v>38</v>
      </c>
    </row>
    <row r="34" ht="12.75" customHeight="1">
      <c r="A34" s="3" t="s">
        <v>5</v>
      </c>
      <c r="B34" s="2" t="s">
        <v>39</v>
      </c>
    </row>
    <row r="35" ht="12.75" customHeight="1">
      <c r="A35" s="3" t="s">
        <v>2</v>
      </c>
      <c r="B35" s="2" t="s">
        <v>40</v>
      </c>
    </row>
    <row r="36" ht="12.75" customHeight="1">
      <c r="A36" s="3" t="s">
        <v>2</v>
      </c>
      <c r="B36" s="2" t="s">
        <v>41</v>
      </c>
    </row>
    <row r="37" ht="12.75" customHeight="1">
      <c r="A37" s="3" t="s">
        <v>5</v>
      </c>
      <c r="B37" s="2" t="s">
        <v>42</v>
      </c>
    </row>
    <row r="38" ht="12.75" customHeight="1">
      <c r="A38" s="3" t="s">
        <v>5</v>
      </c>
      <c r="B38" s="2" t="s">
        <v>43</v>
      </c>
    </row>
    <row r="39" ht="15.0" customHeight="1">
      <c r="A39" s="5" t="s">
        <v>2</v>
      </c>
      <c r="B39" s="6" t="s">
        <v>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9" t="s">
        <v>46</v>
      </c>
      <c r="D1" s="9" t="s">
        <v>47</v>
      </c>
    </row>
    <row r="2" ht="12.75" customHeight="1">
      <c r="A2" s="3" t="s">
        <v>2</v>
      </c>
      <c r="B2" s="2" t="s">
        <v>3</v>
      </c>
      <c r="C2" s="10">
        <v>1.0</v>
      </c>
      <c r="D2" s="11"/>
    </row>
    <row r="3" ht="12.75" customHeight="1">
      <c r="A3" s="3" t="s">
        <v>2</v>
      </c>
      <c r="B3" s="2" t="s">
        <v>4</v>
      </c>
      <c r="C3" s="12">
        <v>1.0</v>
      </c>
      <c r="D3" s="13"/>
    </row>
    <row r="4" ht="12.75" customHeight="1">
      <c r="A4" s="3" t="s">
        <v>5</v>
      </c>
      <c r="B4" s="2" t="s">
        <v>6</v>
      </c>
      <c r="C4" s="10">
        <v>1.0</v>
      </c>
      <c r="D4" s="11"/>
    </row>
    <row r="5" ht="12.75" customHeight="1">
      <c r="A5" s="3" t="s">
        <v>7</v>
      </c>
      <c r="B5" s="2" t="s">
        <v>8</v>
      </c>
      <c r="C5" s="12">
        <v>1.0</v>
      </c>
      <c r="D5" s="13"/>
    </row>
    <row r="6" ht="12.75" customHeight="1">
      <c r="A6" s="3" t="s">
        <v>5</v>
      </c>
      <c r="B6" s="2" t="s">
        <v>9</v>
      </c>
      <c r="C6" s="10">
        <v>1.0</v>
      </c>
      <c r="D6" s="11"/>
    </row>
    <row r="7" ht="12.75" customHeight="1">
      <c r="A7" s="3" t="s">
        <v>2</v>
      </c>
      <c r="B7" s="2" t="s">
        <v>10</v>
      </c>
      <c r="C7" s="12">
        <v>1.0</v>
      </c>
      <c r="D7" s="13"/>
    </row>
    <row r="8" ht="12.75" customHeight="1">
      <c r="A8" s="3" t="s">
        <v>2</v>
      </c>
      <c r="B8" s="2" t="s">
        <v>11</v>
      </c>
      <c r="C8" s="10">
        <v>1.0</v>
      </c>
      <c r="D8" s="11"/>
    </row>
    <row r="9" ht="12.75" customHeight="1">
      <c r="A9" s="3" t="s">
        <v>5</v>
      </c>
      <c r="B9" s="2" t="s">
        <v>12</v>
      </c>
      <c r="C9" s="12">
        <v>1.0</v>
      </c>
      <c r="D9" s="13"/>
    </row>
    <row r="10" ht="12.75" customHeight="1">
      <c r="A10" s="3" t="s">
        <v>13</v>
      </c>
      <c r="B10" s="2" t="s">
        <v>14</v>
      </c>
      <c r="C10" s="10">
        <v>1.0</v>
      </c>
      <c r="D10" s="11"/>
    </row>
    <row r="11" ht="12.75" customHeight="1">
      <c r="A11" s="3" t="s">
        <v>5</v>
      </c>
      <c r="B11" s="2" t="s">
        <v>15</v>
      </c>
      <c r="C11" s="12">
        <v>1.0</v>
      </c>
      <c r="D11" s="13"/>
    </row>
    <row r="12" ht="12.75" customHeight="1">
      <c r="A12" s="3" t="s">
        <v>13</v>
      </c>
      <c r="B12" s="2" t="s">
        <v>16</v>
      </c>
      <c r="C12" s="10">
        <v>1.0</v>
      </c>
      <c r="D12" s="11"/>
    </row>
    <row r="13" ht="12.75" customHeight="1">
      <c r="A13" s="3" t="s">
        <v>17</v>
      </c>
      <c r="B13" s="2" t="s">
        <v>18</v>
      </c>
      <c r="C13" s="12">
        <v>1.0</v>
      </c>
      <c r="D13" s="13"/>
    </row>
    <row r="14" ht="12.75" customHeight="1">
      <c r="A14" s="3" t="s">
        <v>2</v>
      </c>
      <c r="B14" s="2" t="s">
        <v>19</v>
      </c>
      <c r="C14" s="10">
        <v>1.0</v>
      </c>
      <c r="D14" s="11"/>
    </row>
    <row r="15" ht="12.75" customHeight="1">
      <c r="A15" s="3" t="s">
        <v>5</v>
      </c>
      <c r="B15" s="2" t="s">
        <v>20</v>
      </c>
      <c r="C15" s="12">
        <v>1.0</v>
      </c>
      <c r="D15" s="13"/>
    </row>
    <row r="16" ht="12.75" customHeight="1">
      <c r="A16" s="3" t="s">
        <v>5</v>
      </c>
      <c r="B16" s="2" t="s">
        <v>21</v>
      </c>
      <c r="C16" s="10">
        <v>1.0</v>
      </c>
      <c r="D16" s="11"/>
    </row>
    <row r="17" ht="15.0" customHeight="1">
      <c r="A17" s="3" t="s">
        <v>13</v>
      </c>
      <c r="B17" s="2" t="s">
        <v>22</v>
      </c>
      <c r="C17" s="12">
        <v>1.0</v>
      </c>
      <c r="D17" s="1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3" t="s">
        <v>5</v>
      </c>
      <c r="B18" s="2" t="s">
        <v>21</v>
      </c>
      <c r="C18" s="10">
        <v>1.0</v>
      </c>
      <c r="D18" s="11"/>
    </row>
    <row r="19" ht="12.75" customHeight="1">
      <c r="A19" s="3" t="s">
        <v>13</v>
      </c>
      <c r="B19" s="2" t="s">
        <v>23</v>
      </c>
      <c r="C19" s="12">
        <v>1.0</v>
      </c>
      <c r="D19" s="13"/>
    </row>
    <row r="20" ht="12.75" customHeight="1">
      <c r="A20" s="3" t="s">
        <v>5</v>
      </c>
      <c r="B20" s="2" t="s">
        <v>24</v>
      </c>
      <c r="C20" s="10">
        <v>1.0</v>
      </c>
      <c r="D20" s="11"/>
    </row>
    <row r="21" ht="12.75" customHeight="1">
      <c r="A21" s="3" t="s">
        <v>17</v>
      </c>
      <c r="B21" s="2" t="s">
        <v>25</v>
      </c>
      <c r="C21" s="12">
        <v>1.0</v>
      </c>
      <c r="D21" s="13"/>
    </row>
    <row r="22" ht="12.75" customHeight="1">
      <c r="A22" s="3" t="s">
        <v>5</v>
      </c>
      <c r="B22" s="2" t="s">
        <v>26</v>
      </c>
      <c r="C22" s="10">
        <v>1.0</v>
      </c>
      <c r="D22" s="11"/>
    </row>
    <row r="23" ht="12.75" customHeight="1">
      <c r="A23" s="3" t="s">
        <v>17</v>
      </c>
      <c r="B23" s="2" t="s">
        <v>27</v>
      </c>
      <c r="C23" s="12">
        <v>1.0</v>
      </c>
      <c r="D23" s="1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3" t="s">
        <v>5</v>
      </c>
      <c r="B24" s="2" t="s">
        <v>28</v>
      </c>
      <c r="C24" s="10">
        <v>1.0</v>
      </c>
      <c r="D24" s="11"/>
    </row>
    <row r="25" ht="12.75" customHeight="1">
      <c r="A25" s="3" t="s">
        <v>13</v>
      </c>
      <c r="B25" s="2" t="s">
        <v>29</v>
      </c>
      <c r="C25" s="12">
        <v>1.0</v>
      </c>
      <c r="D25" s="13"/>
    </row>
    <row r="26" ht="15.0" customHeight="1">
      <c r="A26" s="3" t="s">
        <v>7</v>
      </c>
      <c r="B26" s="2" t="s">
        <v>30</v>
      </c>
      <c r="C26" s="10">
        <v>1.0</v>
      </c>
      <c r="D26" s="11"/>
    </row>
    <row r="27" ht="12.75" customHeight="1">
      <c r="A27" s="3" t="s">
        <v>5</v>
      </c>
      <c r="B27" s="2" t="s">
        <v>31</v>
      </c>
      <c r="C27" s="12">
        <v>1.0</v>
      </c>
      <c r="D27" s="13"/>
    </row>
    <row r="28" ht="12.75" customHeight="1">
      <c r="A28" s="3" t="s">
        <v>5</v>
      </c>
      <c r="B28" s="2" t="s">
        <v>32</v>
      </c>
      <c r="C28" s="10">
        <v>1.0</v>
      </c>
      <c r="D28" s="11"/>
    </row>
    <row r="29" ht="12.75" customHeight="1">
      <c r="A29" s="3" t="s">
        <v>5</v>
      </c>
      <c r="B29" s="2" t="s">
        <v>33</v>
      </c>
      <c r="C29" s="12">
        <v>1.0</v>
      </c>
      <c r="D29" s="13"/>
    </row>
    <row r="30" ht="12.75" customHeight="1">
      <c r="A30" s="3" t="s">
        <v>34</v>
      </c>
      <c r="B30" s="2" t="s">
        <v>35</v>
      </c>
      <c r="C30" s="10">
        <v>1.0</v>
      </c>
      <c r="D30" s="11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3" t="s">
        <v>2</v>
      </c>
      <c r="B31" s="2" t="s">
        <v>36</v>
      </c>
      <c r="C31" s="12">
        <v>1.0</v>
      </c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3" t="s">
        <v>5</v>
      </c>
      <c r="B32" s="2" t="s">
        <v>37</v>
      </c>
      <c r="C32" s="10">
        <v>1.0</v>
      </c>
      <c r="D32" s="11"/>
    </row>
    <row r="33" ht="12.75" customHeight="1">
      <c r="A33" s="3" t="s">
        <v>13</v>
      </c>
      <c r="B33" s="2" t="s">
        <v>38</v>
      </c>
      <c r="C33" s="12">
        <v>1.0</v>
      </c>
      <c r="D33" s="13"/>
    </row>
    <row r="34" ht="12.75" customHeight="1">
      <c r="A34" s="3" t="s">
        <v>5</v>
      </c>
      <c r="B34" s="2" t="s">
        <v>39</v>
      </c>
      <c r="C34" s="10">
        <v>1.0</v>
      </c>
      <c r="D34" s="11"/>
    </row>
    <row r="35" ht="12.75" customHeight="1">
      <c r="A35" s="3" t="s">
        <v>2</v>
      </c>
      <c r="B35" s="2" t="s">
        <v>40</v>
      </c>
      <c r="C35" s="12">
        <v>1.0</v>
      </c>
      <c r="D35" s="13"/>
    </row>
    <row r="36" ht="12.75" customHeight="1">
      <c r="A36" s="3" t="s">
        <v>2</v>
      </c>
      <c r="B36" s="2" t="s">
        <v>41</v>
      </c>
      <c r="C36" s="10">
        <v>1.0</v>
      </c>
      <c r="D36" s="11"/>
    </row>
    <row r="37" ht="12.75" customHeight="1">
      <c r="A37" s="3" t="s">
        <v>5</v>
      </c>
      <c r="B37" s="2" t="s">
        <v>42</v>
      </c>
      <c r="C37" s="12">
        <v>1.0</v>
      </c>
      <c r="D37" s="13"/>
    </row>
    <row r="38" ht="12.75" customHeight="1">
      <c r="A38" s="3" t="s">
        <v>5</v>
      </c>
      <c r="B38" s="2" t="s">
        <v>43</v>
      </c>
      <c r="C38" s="10">
        <v>1.0</v>
      </c>
      <c r="D38" s="11"/>
    </row>
    <row r="39" ht="15.0" customHeight="1">
      <c r="A39" s="5" t="s">
        <v>2</v>
      </c>
      <c r="B39" s="6" t="s">
        <v>44</v>
      </c>
      <c r="C39" s="14">
        <v>0.0</v>
      </c>
      <c r="D39" s="1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3" t="s">
        <v>5</v>
      </c>
      <c r="B40" s="2" t="s">
        <v>44</v>
      </c>
      <c r="C40" s="10">
        <v>0.0</v>
      </c>
      <c r="D40" s="1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3" t="s">
        <v>13</v>
      </c>
      <c r="B41" s="2" t="s">
        <v>44</v>
      </c>
      <c r="C41" s="12">
        <v>0.0</v>
      </c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3" t="s">
        <v>17</v>
      </c>
      <c r="B42" s="2" t="s">
        <v>44</v>
      </c>
      <c r="C42" s="10">
        <v>0.0</v>
      </c>
      <c r="D42" s="1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3" t="s">
        <v>7</v>
      </c>
      <c r="B43" s="2" t="s">
        <v>44</v>
      </c>
      <c r="C43" s="16">
        <v>1.0</v>
      </c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3" t="s">
        <v>45</v>
      </c>
      <c r="B44" s="2" t="s">
        <v>44</v>
      </c>
      <c r="C44" s="10">
        <v>0.0</v>
      </c>
      <c r="D44" s="1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3" t="s">
        <v>34</v>
      </c>
      <c r="B45" s="2" t="s">
        <v>44</v>
      </c>
      <c r="C45" s="16">
        <v>0.0</v>
      </c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93.38"/>
    <col customWidth="1" min="5" max="22" width="10.63"/>
  </cols>
  <sheetData>
    <row r="1" ht="13.5" customHeight="1">
      <c r="A1" s="17" t="s">
        <v>0</v>
      </c>
      <c r="B1" s="18" t="s">
        <v>1</v>
      </c>
      <c r="C1" s="19" t="s">
        <v>48</v>
      </c>
      <c r="D1" s="19" t="s">
        <v>47</v>
      </c>
    </row>
    <row r="2" ht="12.75" customHeight="1">
      <c r="A2" s="20" t="s">
        <v>2</v>
      </c>
      <c r="B2" s="18" t="s">
        <v>3</v>
      </c>
      <c r="C2" s="21">
        <v>1.0</v>
      </c>
      <c r="D2" s="22" t="s">
        <v>49</v>
      </c>
    </row>
    <row r="3" ht="12.75" customHeight="1">
      <c r="A3" s="20" t="s">
        <v>2</v>
      </c>
      <c r="B3" s="18" t="s">
        <v>4</v>
      </c>
      <c r="C3" s="16">
        <v>1.0</v>
      </c>
      <c r="D3" s="23" t="s">
        <v>50</v>
      </c>
    </row>
    <row r="4" ht="12.75" customHeight="1">
      <c r="A4" s="20" t="s">
        <v>5</v>
      </c>
      <c r="B4" s="18" t="s">
        <v>6</v>
      </c>
      <c r="C4" s="21">
        <v>1.0</v>
      </c>
      <c r="D4" s="22" t="s">
        <v>51</v>
      </c>
    </row>
    <row r="5" ht="12.75" customHeight="1">
      <c r="A5" s="20" t="s">
        <v>7</v>
      </c>
      <c r="B5" s="18" t="s">
        <v>8</v>
      </c>
      <c r="C5" s="16">
        <v>1.0</v>
      </c>
      <c r="D5" s="23" t="s">
        <v>52</v>
      </c>
    </row>
    <row r="6" ht="12.75" customHeight="1">
      <c r="A6" s="20" t="s">
        <v>5</v>
      </c>
      <c r="B6" s="18" t="s">
        <v>9</v>
      </c>
      <c r="C6" s="21">
        <v>1.0</v>
      </c>
      <c r="D6" s="22" t="s">
        <v>53</v>
      </c>
    </row>
    <row r="7" ht="12.75" customHeight="1">
      <c r="A7" s="20" t="s">
        <v>2</v>
      </c>
      <c r="B7" s="18" t="s">
        <v>10</v>
      </c>
      <c r="C7" s="16">
        <v>0.5</v>
      </c>
      <c r="D7" s="23" t="s">
        <v>54</v>
      </c>
    </row>
    <row r="8" ht="12.75" customHeight="1">
      <c r="A8" s="20" t="s">
        <v>2</v>
      </c>
      <c r="B8" s="18" t="s">
        <v>11</v>
      </c>
      <c r="C8" s="21">
        <v>1.0</v>
      </c>
      <c r="D8" s="22" t="s">
        <v>55</v>
      </c>
    </row>
    <row r="9" ht="12.75" customHeight="1">
      <c r="A9" s="20" t="s">
        <v>5</v>
      </c>
      <c r="B9" s="18" t="s">
        <v>12</v>
      </c>
      <c r="C9" s="16">
        <v>0.5</v>
      </c>
      <c r="D9" s="23" t="s">
        <v>56</v>
      </c>
    </row>
    <row r="10" ht="12.75" customHeight="1">
      <c r="A10" s="20" t="s">
        <v>13</v>
      </c>
      <c r="B10" s="18" t="s">
        <v>14</v>
      </c>
      <c r="C10" s="21">
        <v>1.0</v>
      </c>
      <c r="D10" s="22" t="s">
        <v>57</v>
      </c>
    </row>
    <row r="11" ht="12.75" customHeight="1">
      <c r="A11" s="20" t="s">
        <v>5</v>
      </c>
      <c r="B11" s="18" t="s">
        <v>15</v>
      </c>
      <c r="C11" s="16">
        <v>0.5</v>
      </c>
      <c r="D11" s="23" t="s">
        <v>58</v>
      </c>
    </row>
    <row r="12" ht="12.75" customHeight="1">
      <c r="A12" s="20" t="s">
        <v>13</v>
      </c>
      <c r="B12" s="18" t="s">
        <v>16</v>
      </c>
      <c r="C12" s="21">
        <v>1.0</v>
      </c>
      <c r="D12" s="22" t="s">
        <v>59</v>
      </c>
    </row>
    <row r="13" ht="12.75" customHeight="1">
      <c r="A13" s="20" t="s">
        <v>17</v>
      </c>
      <c r="B13" s="18" t="s">
        <v>18</v>
      </c>
      <c r="C13" s="16">
        <v>0.0</v>
      </c>
      <c r="D13" s="23" t="s">
        <v>60</v>
      </c>
    </row>
    <row r="14" ht="12.75" customHeight="1">
      <c r="A14" s="20" t="s">
        <v>2</v>
      </c>
      <c r="B14" s="18" t="s">
        <v>19</v>
      </c>
      <c r="C14" s="21">
        <v>0.5</v>
      </c>
      <c r="D14" s="22" t="s">
        <v>61</v>
      </c>
    </row>
    <row r="15" ht="12.75" customHeight="1">
      <c r="A15" s="20" t="s">
        <v>5</v>
      </c>
      <c r="B15" s="18" t="s">
        <v>20</v>
      </c>
      <c r="C15" s="16">
        <v>0.5</v>
      </c>
      <c r="D15" s="23" t="s">
        <v>62</v>
      </c>
    </row>
    <row r="16" ht="12.75" customHeight="1">
      <c r="A16" s="20" t="s">
        <v>5</v>
      </c>
      <c r="B16" s="18" t="s">
        <v>21</v>
      </c>
      <c r="C16" s="21">
        <v>0.5</v>
      </c>
      <c r="D16" s="22" t="s">
        <v>63</v>
      </c>
    </row>
    <row r="17" ht="15.0" customHeight="1">
      <c r="A17" s="20" t="s">
        <v>13</v>
      </c>
      <c r="B17" s="18" t="s">
        <v>22</v>
      </c>
      <c r="C17" s="16">
        <v>0.5</v>
      </c>
      <c r="D17" s="23" t="s">
        <v>64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2.75" customHeight="1">
      <c r="A18" s="20" t="s">
        <v>5</v>
      </c>
      <c r="B18" s="18" t="s">
        <v>21</v>
      </c>
      <c r="C18" s="21">
        <v>0.5</v>
      </c>
      <c r="D18" s="22" t="s">
        <v>65</v>
      </c>
    </row>
    <row r="19" ht="12.75" customHeight="1">
      <c r="A19" s="20" t="s">
        <v>13</v>
      </c>
      <c r="B19" s="18" t="s">
        <v>23</v>
      </c>
      <c r="C19" s="16">
        <v>0.5</v>
      </c>
      <c r="D19" s="23" t="s">
        <v>66</v>
      </c>
    </row>
    <row r="20" ht="12.75" customHeight="1">
      <c r="A20" s="20" t="s">
        <v>5</v>
      </c>
      <c r="B20" s="18" t="s">
        <v>24</v>
      </c>
      <c r="C20" s="21">
        <v>0.0</v>
      </c>
      <c r="D20" s="22" t="s">
        <v>67</v>
      </c>
    </row>
    <row r="21" ht="12.75" customHeight="1">
      <c r="A21" s="20" t="s">
        <v>17</v>
      </c>
      <c r="B21" s="18" t="s">
        <v>25</v>
      </c>
      <c r="C21" s="16">
        <v>0.0</v>
      </c>
      <c r="D21" s="23" t="s">
        <v>68</v>
      </c>
    </row>
    <row r="22" ht="12.75" customHeight="1">
      <c r="A22" s="20" t="s">
        <v>5</v>
      </c>
      <c r="B22" s="18" t="s">
        <v>26</v>
      </c>
      <c r="C22" s="21">
        <v>0.0</v>
      </c>
      <c r="D22" s="22" t="s">
        <v>69</v>
      </c>
    </row>
    <row r="23" ht="12.75" customHeight="1">
      <c r="A23" s="20" t="s">
        <v>17</v>
      </c>
      <c r="B23" s="18" t="s">
        <v>27</v>
      </c>
      <c r="C23" s="16">
        <v>0.0</v>
      </c>
      <c r="D23" s="23" t="s">
        <v>70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2.75" customHeight="1">
      <c r="A24" s="20" t="s">
        <v>5</v>
      </c>
      <c r="B24" s="18" t="s">
        <v>28</v>
      </c>
      <c r="C24" s="21">
        <v>0.5</v>
      </c>
      <c r="D24" s="22" t="s">
        <v>71</v>
      </c>
    </row>
    <row r="25" ht="12.75" customHeight="1">
      <c r="A25" s="20" t="s">
        <v>13</v>
      </c>
      <c r="B25" s="18" t="s">
        <v>29</v>
      </c>
      <c r="C25" s="16">
        <v>0.5</v>
      </c>
      <c r="D25" s="23" t="s">
        <v>72</v>
      </c>
    </row>
    <row r="26" ht="15.0" customHeight="1">
      <c r="A26" s="20" t="s">
        <v>7</v>
      </c>
      <c r="B26" s="18" t="s">
        <v>30</v>
      </c>
      <c r="C26" s="21">
        <v>0.5</v>
      </c>
      <c r="D26" s="22" t="s">
        <v>73</v>
      </c>
    </row>
    <row r="27" ht="12.75" customHeight="1">
      <c r="A27" s="20" t="s">
        <v>5</v>
      </c>
      <c r="B27" s="18" t="s">
        <v>31</v>
      </c>
      <c r="C27" s="16">
        <v>0.5</v>
      </c>
      <c r="D27" s="23" t="s">
        <v>74</v>
      </c>
    </row>
    <row r="28" ht="12.75" customHeight="1">
      <c r="A28" s="20" t="s">
        <v>5</v>
      </c>
      <c r="B28" s="18" t="s">
        <v>32</v>
      </c>
      <c r="C28" s="21">
        <v>0.5</v>
      </c>
      <c r="D28" s="22" t="s">
        <v>75</v>
      </c>
    </row>
    <row r="29" ht="12.75" customHeight="1">
      <c r="A29" s="20" t="s">
        <v>5</v>
      </c>
      <c r="B29" s="18" t="s">
        <v>33</v>
      </c>
      <c r="C29" s="16">
        <v>0.5</v>
      </c>
      <c r="D29" s="23" t="s">
        <v>76</v>
      </c>
    </row>
    <row r="30" ht="12.75" customHeight="1">
      <c r="A30" s="20" t="s">
        <v>34</v>
      </c>
      <c r="B30" s="18" t="s">
        <v>35</v>
      </c>
      <c r="C30" s="21">
        <v>0.5</v>
      </c>
      <c r="D30" s="22" t="s">
        <v>77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2.75" customHeight="1">
      <c r="A31" s="20" t="s">
        <v>2</v>
      </c>
      <c r="B31" s="18" t="s">
        <v>36</v>
      </c>
      <c r="C31" s="16">
        <v>1.0</v>
      </c>
      <c r="D31" s="23" t="s">
        <v>78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2.75" customHeight="1">
      <c r="A32" s="20" t="s">
        <v>5</v>
      </c>
      <c r="B32" s="18" t="s">
        <v>37</v>
      </c>
      <c r="C32" s="21">
        <v>0.5</v>
      </c>
      <c r="D32" s="22" t="s">
        <v>79</v>
      </c>
    </row>
    <row r="33" ht="12.75" customHeight="1">
      <c r="A33" s="20" t="s">
        <v>13</v>
      </c>
      <c r="B33" s="18" t="s">
        <v>38</v>
      </c>
      <c r="C33" s="16">
        <v>0.5</v>
      </c>
      <c r="D33" s="23" t="s">
        <v>80</v>
      </c>
    </row>
    <row r="34" ht="12.75" customHeight="1">
      <c r="A34" s="20" t="s">
        <v>5</v>
      </c>
      <c r="B34" s="18" t="s">
        <v>39</v>
      </c>
      <c r="C34" s="21">
        <v>1.0</v>
      </c>
      <c r="D34" s="22" t="s">
        <v>81</v>
      </c>
    </row>
    <row r="35" ht="12.75" customHeight="1">
      <c r="A35" s="20" t="s">
        <v>2</v>
      </c>
      <c r="B35" s="18" t="s">
        <v>40</v>
      </c>
      <c r="C35" s="16">
        <v>0.5</v>
      </c>
      <c r="D35" s="23" t="s">
        <v>82</v>
      </c>
    </row>
    <row r="36" ht="12.75" customHeight="1">
      <c r="A36" s="20" t="s">
        <v>2</v>
      </c>
      <c r="B36" s="18" t="s">
        <v>41</v>
      </c>
      <c r="C36" s="21">
        <v>0.5</v>
      </c>
      <c r="D36" s="22" t="s">
        <v>83</v>
      </c>
    </row>
    <row r="37" ht="12.75" customHeight="1">
      <c r="A37" s="20" t="s">
        <v>5</v>
      </c>
      <c r="B37" s="18" t="s">
        <v>42</v>
      </c>
      <c r="C37" s="16">
        <v>1.0</v>
      </c>
      <c r="D37" s="23" t="s">
        <v>84</v>
      </c>
    </row>
    <row r="38" ht="12.75" customHeight="1">
      <c r="A38" s="20" t="s">
        <v>5</v>
      </c>
      <c r="B38" s="18" t="s">
        <v>43</v>
      </c>
      <c r="C38" s="21">
        <v>0.5</v>
      </c>
      <c r="D38" s="22" t="s">
        <v>85</v>
      </c>
    </row>
    <row r="39" ht="15.0" customHeight="1">
      <c r="A39" s="24" t="s">
        <v>2</v>
      </c>
      <c r="B39" s="25" t="s">
        <v>44</v>
      </c>
      <c r="C39" s="14">
        <v>0.0</v>
      </c>
      <c r="D39" s="26" t="s">
        <v>86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0" customHeight="1">
      <c r="A40" s="20" t="s">
        <v>5</v>
      </c>
      <c r="B40" s="18" t="s">
        <v>44</v>
      </c>
      <c r="C40" s="21">
        <v>0.0</v>
      </c>
      <c r="D40" s="22" t="s">
        <v>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0" customHeight="1">
      <c r="A41" s="20" t="s">
        <v>13</v>
      </c>
      <c r="B41" s="18" t="s">
        <v>44</v>
      </c>
      <c r="C41" s="21">
        <v>0.0</v>
      </c>
      <c r="D41" s="23" t="s">
        <v>88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0" customHeight="1">
      <c r="A42" s="20" t="s">
        <v>17</v>
      </c>
      <c r="B42" s="18" t="s">
        <v>44</v>
      </c>
      <c r="C42" s="21">
        <v>0.0</v>
      </c>
      <c r="D42" s="22" t="s">
        <v>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0" customHeight="1">
      <c r="A43" s="20" t="s">
        <v>7</v>
      </c>
      <c r="B43" s="18" t="s">
        <v>44</v>
      </c>
      <c r="C43" s="21">
        <v>0.0</v>
      </c>
      <c r="D43" s="23" t="s">
        <v>90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0" customHeight="1">
      <c r="A44" s="20" t="s">
        <v>45</v>
      </c>
      <c r="B44" s="18" t="s">
        <v>44</v>
      </c>
      <c r="C44" s="21">
        <v>0.0</v>
      </c>
      <c r="D44" s="22" t="s">
        <v>91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0" customHeight="1">
      <c r="A45" s="20" t="s">
        <v>34</v>
      </c>
      <c r="B45" s="18" t="s">
        <v>44</v>
      </c>
      <c r="C45" s="21">
        <v>0.0</v>
      </c>
      <c r="D45" s="23" t="s">
        <v>92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0" customHeight="1">
      <c r="A46" s="7"/>
      <c r="B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0" customHeight="1">
      <c r="A47" s="7"/>
      <c r="B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0" customHeight="1">
      <c r="A48" s="7"/>
      <c r="B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2.75" customHeight="1">
      <c r="A49" s="7"/>
      <c r="B49" s="8"/>
    </row>
    <row r="50" ht="12.75" customHeight="1">
      <c r="A50" s="7"/>
      <c r="B50" s="8"/>
    </row>
    <row r="51" ht="12.75" customHeight="1">
      <c r="A51" s="7"/>
      <c r="B51" s="8"/>
    </row>
    <row r="52" ht="12.75" customHeight="1">
      <c r="A52" s="7"/>
      <c r="B52" s="8"/>
    </row>
    <row r="53" ht="12.75" customHeight="1">
      <c r="A53" s="7"/>
      <c r="B53" s="8"/>
    </row>
    <row r="54" ht="12.75" customHeight="1">
      <c r="A54" s="7"/>
      <c r="B54" s="8"/>
    </row>
    <row r="55" ht="12.75" customHeight="1">
      <c r="A55" s="7"/>
      <c r="B55" s="8"/>
    </row>
    <row r="56" ht="12.75" customHeight="1">
      <c r="A56" s="7"/>
      <c r="B56" s="8"/>
    </row>
    <row r="57" ht="12.75" customHeight="1">
      <c r="A57" s="7"/>
      <c r="B57" s="8"/>
    </row>
    <row r="58" ht="12.75" customHeight="1">
      <c r="A58" s="7"/>
      <c r="B58" s="8"/>
    </row>
    <row r="59" ht="12.75" customHeight="1">
      <c r="A59" s="7"/>
      <c r="B59" s="8"/>
    </row>
    <row r="60" ht="12.75" customHeight="1">
      <c r="A60" s="7"/>
      <c r="B60" s="8"/>
    </row>
    <row r="61" ht="12.75" customHeight="1">
      <c r="A61" s="7"/>
      <c r="B61" s="8"/>
    </row>
    <row r="62" ht="12.75" customHeight="1">
      <c r="A62" s="7"/>
      <c r="B62" s="8"/>
    </row>
    <row r="63" ht="12.75" customHeight="1">
      <c r="A63" s="7"/>
      <c r="B63" s="8"/>
    </row>
    <row r="64" ht="12.75" customHeight="1">
      <c r="A64" s="7"/>
      <c r="B64" s="8"/>
    </row>
    <row r="65" ht="12.75" customHeight="1">
      <c r="A65" s="7"/>
      <c r="B65" s="8"/>
    </row>
    <row r="66" ht="12.75" customHeight="1">
      <c r="A66" s="7"/>
      <c r="B66" s="8"/>
    </row>
    <row r="67" ht="12.75" customHeight="1">
      <c r="A67" s="7"/>
      <c r="B67" s="8"/>
    </row>
    <row r="68" ht="12.75" customHeight="1">
      <c r="A68" s="7"/>
      <c r="B68" s="8"/>
    </row>
    <row r="69" ht="12.75" customHeight="1">
      <c r="A69" s="7"/>
      <c r="B69" s="8"/>
    </row>
    <row r="70" ht="12.75" customHeight="1">
      <c r="A70" s="7"/>
      <c r="B70" s="8"/>
    </row>
    <row r="71" ht="12.75" customHeight="1">
      <c r="A71" s="7"/>
      <c r="B71" s="8"/>
    </row>
    <row r="72" ht="12.75" customHeight="1">
      <c r="A72" s="7"/>
      <c r="B72" s="8"/>
    </row>
    <row r="73" ht="12.75" customHeight="1">
      <c r="A73" s="7"/>
      <c r="B73" s="8"/>
    </row>
    <row r="74" ht="12.75" customHeight="1">
      <c r="A74" s="7"/>
      <c r="B74" s="8"/>
    </row>
    <row r="75" ht="12.75" customHeight="1">
      <c r="A75" s="7"/>
      <c r="B75" s="8"/>
    </row>
    <row r="76" ht="12.75" customHeight="1">
      <c r="A76" s="7"/>
      <c r="B76" s="8"/>
    </row>
    <row r="77" ht="12.75" customHeight="1">
      <c r="A77" s="7"/>
      <c r="B77" s="8"/>
    </row>
    <row r="78" ht="12.75" customHeight="1">
      <c r="A78" s="7"/>
      <c r="B78" s="8"/>
    </row>
    <row r="79" ht="12.75" customHeight="1">
      <c r="A79" s="7"/>
      <c r="B79" s="8"/>
    </row>
    <row r="80" ht="12.75" customHeight="1">
      <c r="A80" s="7"/>
      <c r="B80" s="8"/>
    </row>
    <row r="81" ht="12.75" customHeight="1">
      <c r="A81" s="7"/>
      <c r="B81" s="8"/>
    </row>
    <row r="82" ht="12.75" customHeight="1">
      <c r="A82" s="7"/>
      <c r="B82" s="8"/>
    </row>
    <row r="83" ht="12.75" customHeight="1">
      <c r="A83" s="7"/>
      <c r="B83" s="8"/>
    </row>
    <row r="84" ht="12.75" customHeight="1">
      <c r="A84" s="7"/>
      <c r="B84" s="8"/>
    </row>
    <row r="85" ht="12.75" customHeight="1">
      <c r="A85" s="7"/>
      <c r="B85" s="8"/>
    </row>
    <row r="86" ht="12.75" customHeight="1">
      <c r="A86" s="7"/>
      <c r="B86" s="8"/>
    </row>
    <row r="87" ht="12.75" customHeight="1">
      <c r="A87" s="7"/>
      <c r="B87" s="8"/>
    </row>
    <row r="88" ht="12.75" customHeight="1">
      <c r="A88" s="7"/>
      <c r="B88" s="8"/>
    </row>
    <row r="89" ht="12.75" customHeight="1">
      <c r="A89" s="7"/>
      <c r="B89" s="8"/>
    </row>
    <row r="90" ht="12.75" customHeight="1">
      <c r="A90" s="7"/>
      <c r="B90" s="8"/>
    </row>
    <row r="91" ht="12.75" customHeight="1">
      <c r="A91" s="7"/>
      <c r="B91" s="8"/>
    </row>
    <row r="92" ht="12.75" customHeight="1">
      <c r="A92" s="7"/>
      <c r="B92" s="8"/>
    </row>
    <row r="93" ht="12.75" customHeight="1">
      <c r="A93" s="7"/>
      <c r="B93" s="8"/>
    </row>
    <row r="94" ht="12.75" customHeight="1">
      <c r="A94" s="7"/>
      <c r="B94" s="8"/>
    </row>
    <row r="95" ht="12.75" customHeight="1">
      <c r="A95" s="7"/>
      <c r="B95" s="8"/>
    </row>
    <row r="96" ht="12.75" customHeight="1">
      <c r="A96" s="7"/>
      <c r="B96" s="8"/>
    </row>
    <row r="97" ht="12.75" customHeight="1">
      <c r="A97" s="7"/>
      <c r="B97" s="8"/>
    </row>
    <row r="98" ht="12.75" customHeight="1">
      <c r="A98" s="7"/>
      <c r="B98" s="8"/>
    </row>
    <row r="99" ht="12.75" customHeight="1">
      <c r="A99" s="7"/>
      <c r="B99" s="8"/>
    </row>
    <row r="100" ht="12.75" customHeight="1">
      <c r="A100" s="7"/>
      <c r="B100" s="8"/>
    </row>
    <row r="101" ht="12.75" customHeight="1">
      <c r="A101" s="7"/>
      <c r="B101" s="8"/>
    </row>
    <row r="102" ht="12.75" customHeight="1">
      <c r="A102" s="7"/>
      <c r="B102" s="8"/>
    </row>
    <row r="103" ht="12.75" customHeight="1">
      <c r="A103" s="7"/>
      <c r="B103" s="8"/>
    </row>
    <row r="104" ht="12.75" customHeight="1">
      <c r="A104" s="7"/>
      <c r="B104" s="8"/>
    </row>
    <row r="105" ht="12.75" customHeight="1">
      <c r="A105" s="7"/>
      <c r="B105" s="8"/>
    </row>
    <row r="106" ht="12.75" customHeight="1">
      <c r="A106" s="7"/>
      <c r="B106" s="8"/>
    </row>
    <row r="107" ht="12.75" customHeight="1">
      <c r="A107" s="7"/>
      <c r="B107" s="8"/>
    </row>
    <row r="108" ht="12.75" customHeight="1">
      <c r="A108" s="7"/>
      <c r="B108" s="8"/>
    </row>
    <row r="109" ht="12.75" customHeight="1">
      <c r="A109" s="7"/>
      <c r="B109" s="8"/>
    </row>
    <row r="110" ht="12.75" customHeight="1">
      <c r="A110" s="7"/>
      <c r="B110" s="8"/>
    </row>
    <row r="111" ht="12.75" customHeight="1">
      <c r="A111" s="7"/>
      <c r="B111" s="8"/>
    </row>
    <row r="112" ht="12.75" customHeight="1">
      <c r="A112" s="7"/>
      <c r="B112" s="8"/>
    </row>
    <row r="113" ht="12.75" customHeight="1">
      <c r="A113" s="7"/>
      <c r="B113" s="8"/>
    </row>
    <row r="114" ht="12.75" customHeight="1">
      <c r="A114" s="7"/>
      <c r="B114" s="8"/>
    </row>
    <row r="115" ht="12.75" customHeight="1">
      <c r="A115" s="7"/>
      <c r="B115" s="8"/>
    </row>
    <row r="116" ht="12.75" customHeight="1">
      <c r="A116" s="7"/>
      <c r="B116" s="8"/>
    </row>
    <row r="117" ht="12.75" customHeight="1">
      <c r="A117" s="7"/>
      <c r="B117" s="8"/>
    </row>
    <row r="118" ht="12.75" customHeight="1">
      <c r="A118" s="7"/>
      <c r="B118" s="8"/>
    </row>
    <row r="119" ht="12.75" customHeight="1">
      <c r="A119" s="7"/>
      <c r="B119" s="8"/>
    </row>
    <row r="120" ht="12.75" customHeight="1">
      <c r="A120" s="7"/>
      <c r="B120" s="8"/>
    </row>
    <row r="121" ht="12.75" customHeight="1">
      <c r="A121" s="7"/>
      <c r="B121" s="8"/>
    </row>
    <row r="122" ht="12.75" customHeight="1">
      <c r="A122" s="7"/>
      <c r="B122" s="8"/>
    </row>
    <row r="123" ht="12.75" customHeight="1">
      <c r="A123" s="7"/>
      <c r="B123" s="8"/>
    </row>
    <row r="124" ht="12.75" customHeight="1">
      <c r="A124" s="7"/>
      <c r="B124" s="8"/>
    </row>
    <row r="125" ht="12.75" customHeight="1">
      <c r="A125" s="7"/>
      <c r="B125" s="8"/>
    </row>
    <row r="126" ht="12.75" customHeight="1">
      <c r="A126" s="7"/>
      <c r="B126" s="8"/>
    </row>
    <row r="127" ht="12.75" customHeight="1">
      <c r="A127" s="7"/>
      <c r="B127" s="8"/>
    </row>
    <row r="128" ht="12.75" customHeight="1">
      <c r="A128" s="7"/>
      <c r="B128" s="8"/>
    </row>
    <row r="129" ht="12.75" customHeight="1">
      <c r="A129" s="7"/>
      <c r="B129" s="8"/>
    </row>
    <row r="130" ht="12.75" customHeight="1">
      <c r="A130" s="7"/>
      <c r="B130" s="8"/>
    </row>
    <row r="131" ht="12.75" customHeight="1">
      <c r="A131" s="7"/>
      <c r="B131" s="8"/>
    </row>
    <row r="132" ht="12.75" customHeight="1">
      <c r="A132" s="7"/>
      <c r="B132" s="8"/>
    </row>
    <row r="133" ht="12.75" customHeight="1">
      <c r="A133" s="7"/>
      <c r="B133" s="8"/>
    </row>
    <row r="134" ht="12.75" customHeight="1">
      <c r="A134" s="7"/>
      <c r="B134" s="8"/>
    </row>
    <row r="135" ht="12.75" customHeight="1">
      <c r="A135" s="7"/>
      <c r="B135" s="8"/>
    </row>
    <row r="136" ht="12.75" customHeight="1">
      <c r="A136" s="7"/>
      <c r="B136" s="8"/>
    </row>
    <row r="137" ht="12.75" customHeight="1">
      <c r="A137" s="7"/>
      <c r="B137" s="8"/>
    </row>
    <row r="138" ht="12.75" customHeight="1">
      <c r="A138" s="7"/>
      <c r="B138" s="8"/>
    </row>
    <row r="139" ht="12.75" customHeight="1">
      <c r="A139" s="7"/>
      <c r="B139" s="8"/>
    </row>
    <row r="140" ht="12.75" customHeight="1">
      <c r="A140" s="7"/>
      <c r="B140" s="8"/>
    </row>
    <row r="141" ht="12.75" customHeight="1">
      <c r="A141" s="7"/>
      <c r="B141" s="8"/>
    </row>
    <row r="142" ht="12.75" customHeight="1">
      <c r="A142" s="7"/>
      <c r="B142" s="8"/>
    </row>
    <row r="143" ht="12.75" customHeight="1">
      <c r="A143" s="7"/>
      <c r="B143" s="8"/>
    </row>
    <row r="144" ht="12.75" customHeight="1">
      <c r="A144" s="7"/>
      <c r="B144" s="8"/>
    </row>
    <row r="145" ht="12.75" customHeight="1">
      <c r="A145" s="7"/>
      <c r="B145" s="8"/>
    </row>
    <row r="146" ht="12.75" customHeight="1">
      <c r="A146" s="7"/>
      <c r="B146" s="8"/>
    </row>
    <row r="147" ht="12.75" customHeight="1">
      <c r="A147" s="7"/>
      <c r="B147" s="8"/>
    </row>
    <row r="148" ht="12.75" customHeight="1">
      <c r="A148" s="7"/>
      <c r="B148" s="8"/>
    </row>
    <row r="149" ht="12.75" customHeight="1">
      <c r="A149" s="7"/>
      <c r="B149" s="8"/>
    </row>
    <row r="150" ht="12.75" customHeight="1">
      <c r="A150" s="7"/>
      <c r="B150" s="8"/>
    </row>
    <row r="151" ht="12.75" customHeight="1">
      <c r="A151" s="7"/>
      <c r="B151" s="8"/>
    </row>
    <row r="152" ht="12.75" customHeight="1">
      <c r="A152" s="7"/>
      <c r="B152" s="8"/>
    </row>
    <row r="153" ht="12.75" customHeight="1">
      <c r="A153" s="7"/>
      <c r="B153" s="8"/>
    </row>
    <row r="154" ht="12.75" customHeight="1">
      <c r="A154" s="7"/>
      <c r="B154" s="8"/>
    </row>
    <row r="155" ht="12.75" customHeight="1">
      <c r="A155" s="7"/>
      <c r="B155" s="8"/>
    </row>
    <row r="156" ht="12.75" customHeight="1">
      <c r="A156" s="7"/>
      <c r="B156" s="8"/>
    </row>
    <row r="157" ht="12.75" customHeight="1">
      <c r="A157" s="7"/>
      <c r="B157" s="8"/>
    </row>
    <row r="158" ht="12.75" customHeight="1">
      <c r="A158" s="7"/>
      <c r="B158" s="8"/>
    </row>
    <row r="159" ht="12.75" customHeight="1">
      <c r="A159" s="7"/>
      <c r="B159" s="8"/>
    </row>
    <row r="160" ht="12.75" customHeight="1">
      <c r="A160" s="7"/>
      <c r="B160" s="8"/>
    </row>
    <row r="161" ht="12.75" customHeight="1">
      <c r="A161" s="7"/>
      <c r="B161" s="8"/>
    </row>
    <row r="162" ht="12.75" customHeight="1">
      <c r="A162" s="7"/>
      <c r="B162" s="8"/>
    </row>
    <row r="163" ht="12.75" customHeight="1">
      <c r="A163" s="7"/>
      <c r="B163" s="8"/>
    </row>
    <row r="164" ht="12.75" customHeight="1">
      <c r="A164" s="7"/>
      <c r="B164" s="8"/>
    </row>
    <row r="165" ht="12.75" customHeight="1">
      <c r="A165" s="7"/>
      <c r="B165" s="8"/>
    </row>
    <row r="166" ht="12.75" customHeight="1">
      <c r="A166" s="7"/>
      <c r="B166" s="8"/>
    </row>
    <row r="167" ht="12.75" customHeight="1">
      <c r="A167" s="7"/>
      <c r="B167" s="8"/>
    </row>
    <row r="168" ht="12.75" customHeight="1">
      <c r="A168" s="7"/>
      <c r="B168" s="8"/>
    </row>
    <row r="169" ht="12.75" customHeight="1">
      <c r="A169" s="7"/>
      <c r="B169" s="8"/>
    </row>
    <row r="170" ht="12.75" customHeight="1">
      <c r="A170" s="7"/>
      <c r="B170" s="8"/>
    </row>
    <row r="171" ht="12.75" customHeight="1">
      <c r="A171" s="7"/>
      <c r="B171" s="8"/>
    </row>
    <row r="172" ht="12.75" customHeight="1">
      <c r="A172" s="7"/>
      <c r="B172" s="8"/>
    </row>
    <row r="173" ht="12.75" customHeight="1">
      <c r="A173" s="7"/>
      <c r="B173" s="8"/>
    </row>
    <row r="174" ht="12.75" customHeight="1">
      <c r="A174" s="7"/>
      <c r="B174" s="8"/>
    </row>
    <row r="175" ht="12.75" customHeight="1">
      <c r="A175" s="7"/>
      <c r="B175" s="8"/>
    </row>
    <row r="176" ht="12.75" customHeight="1">
      <c r="A176" s="7"/>
      <c r="B176" s="8"/>
    </row>
    <row r="177" ht="12.75" customHeight="1">
      <c r="A177" s="7"/>
      <c r="B177" s="8"/>
    </row>
    <row r="178" ht="12.75" customHeight="1">
      <c r="A178" s="7"/>
      <c r="B178" s="8"/>
    </row>
    <row r="179" ht="12.75" customHeight="1">
      <c r="A179" s="7"/>
      <c r="B179" s="8"/>
    </row>
    <row r="180" ht="12.75" customHeight="1">
      <c r="A180" s="7"/>
      <c r="B180" s="8"/>
    </row>
    <row r="181" ht="12.75" customHeight="1">
      <c r="A181" s="7"/>
      <c r="B181" s="8"/>
    </row>
    <row r="182" ht="12.75" customHeight="1">
      <c r="A182" s="7"/>
      <c r="B182" s="8"/>
    </row>
    <row r="183" ht="12.75" customHeight="1">
      <c r="A183" s="7"/>
      <c r="B183" s="8"/>
    </row>
    <row r="184" ht="12.75" customHeight="1">
      <c r="A184" s="7"/>
      <c r="B184" s="8"/>
    </row>
    <row r="185" ht="12.75" customHeight="1">
      <c r="A185" s="7"/>
      <c r="B185" s="8"/>
    </row>
    <row r="186" ht="12.75" customHeight="1">
      <c r="A186" s="7"/>
      <c r="B186" s="8"/>
    </row>
    <row r="187" ht="12.75" customHeight="1">
      <c r="A187" s="7"/>
      <c r="B187" s="8"/>
    </row>
    <row r="188" ht="12.75" customHeight="1">
      <c r="A188" s="7"/>
      <c r="B188" s="8"/>
    </row>
    <row r="189" ht="12.75" customHeight="1">
      <c r="A189" s="7"/>
      <c r="B189" s="8"/>
    </row>
    <row r="190" ht="12.75" customHeight="1">
      <c r="A190" s="7"/>
      <c r="B190" s="8"/>
    </row>
    <row r="191" ht="12.75" customHeight="1">
      <c r="A191" s="7"/>
      <c r="B191" s="8"/>
    </row>
    <row r="192" ht="12.75" customHeight="1">
      <c r="A192" s="7"/>
      <c r="B192" s="8"/>
    </row>
    <row r="193" ht="12.75" customHeight="1">
      <c r="A193" s="7"/>
      <c r="B193" s="8"/>
    </row>
    <row r="194" ht="12.75" customHeight="1">
      <c r="A194" s="7"/>
      <c r="B194" s="8"/>
    </row>
    <row r="195" ht="12.75" customHeight="1">
      <c r="A195" s="7"/>
      <c r="B195" s="8"/>
    </row>
    <row r="196" ht="12.75" customHeight="1">
      <c r="A196" s="7"/>
      <c r="B196" s="8"/>
    </row>
    <row r="197" ht="12.75" customHeight="1">
      <c r="A197" s="7"/>
      <c r="B197" s="8"/>
    </row>
    <row r="198" ht="12.75" customHeight="1">
      <c r="A198" s="7"/>
      <c r="B198" s="8"/>
    </row>
    <row r="199" ht="12.75" customHeight="1">
      <c r="A199" s="7"/>
      <c r="B199" s="8"/>
    </row>
    <row r="200" ht="12.75" customHeight="1">
      <c r="A200" s="7"/>
      <c r="B200" s="8"/>
    </row>
    <row r="201" ht="12.75" customHeight="1">
      <c r="A201" s="7"/>
      <c r="B201" s="8"/>
    </row>
    <row r="202" ht="12.75" customHeight="1">
      <c r="A202" s="7"/>
      <c r="B202" s="8"/>
    </row>
    <row r="203" ht="12.75" customHeight="1">
      <c r="A203" s="7"/>
      <c r="B203" s="8"/>
    </row>
    <row r="204" ht="12.75" customHeight="1">
      <c r="A204" s="7"/>
      <c r="B204" s="8"/>
    </row>
    <row r="205" ht="12.75" customHeight="1">
      <c r="A205" s="7"/>
      <c r="B205" s="8"/>
    </row>
    <row r="206" ht="12.75" customHeight="1">
      <c r="A206" s="7"/>
      <c r="B206" s="8"/>
    </row>
    <row r="207" ht="12.75" customHeight="1">
      <c r="A207" s="7"/>
      <c r="B207" s="8"/>
    </row>
    <row r="208" ht="12.75" customHeight="1">
      <c r="A208" s="7"/>
      <c r="B208" s="8"/>
    </row>
    <row r="209" ht="12.75" customHeight="1">
      <c r="A209" s="7"/>
      <c r="B209" s="8"/>
    </row>
    <row r="210" ht="12.75" customHeight="1">
      <c r="A210" s="7"/>
      <c r="B210" s="8"/>
    </row>
    <row r="211" ht="12.75" customHeight="1">
      <c r="A211" s="7"/>
      <c r="B211" s="8"/>
    </row>
    <row r="212" ht="12.75" customHeight="1">
      <c r="A212" s="7"/>
      <c r="B212" s="8"/>
    </row>
    <row r="213" ht="12.75" customHeight="1">
      <c r="A213" s="7"/>
      <c r="B213" s="8"/>
    </row>
    <row r="214" ht="12.75" customHeight="1">
      <c r="A214" s="7"/>
      <c r="B214" s="8"/>
    </row>
    <row r="215" ht="12.75" customHeight="1">
      <c r="A215" s="7"/>
      <c r="B215" s="8"/>
    </row>
    <row r="216" ht="12.75" customHeight="1">
      <c r="A216" s="7"/>
      <c r="B216" s="8"/>
    </row>
    <row r="217" ht="12.75" customHeight="1">
      <c r="A217" s="7"/>
      <c r="B217" s="8"/>
    </row>
    <row r="218" ht="12.75" customHeight="1">
      <c r="A218" s="7"/>
      <c r="B218" s="8"/>
    </row>
    <row r="219" ht="12.75" customHeight="1">
      <c r="A219" s="7"/>
      <c r="B219" s="8"/>
    </row>
    <row r="220" ht="12.75" customHeight="1">
      <c r="A220" s="7"/>
      <c r="B220" s="8"/>
    </row>
    <row r="221" ht="12.75" customHeight="1">
      <c r="A221" s="7"/>
      <c r="B221" s="8"/>
    </row>
    <row r="222" ht="12.75" customHeight="1">
      <c r="A222" s="7"/>
      <c r="B222" s="8"/>
    </row>
    <row r="223" ht="12.75" customHeight="1">
      <c r="A223" s="7"/>
      <c r="B223" s="8"/>
    </row>
    <row r="224" ht="12.75" customHeight="1">
      <c r="A224" s="7"/>
      <c r="B224" s="8"/>
    </row>
    <row r="225" ht="12.75" customHeight="1">
      <c r="A225" s="7"/>
      <c r="B225" s="8"/>
    </row>
    <row r="226" ht="12.75" customHeight="1">
      <c r="A226" s="7"/>
      <c r="B226" s="8"/>
    </row>
    <row r="227" ht="12.75" customHeight="1">
      <c r="A227" s="7"/>
      <c r="B227" s="8"/>
    </row>
    <row r="228" ht="12.75" customHeight="1">
      <c r="A228" s="7"/>
      <c r="B228" s="8"/>
    </row>
    <row r="229" ht="12.75" customHeight="1">
      <c r="A229" s="7"/>
      <c r="B229" s="8"/>
    </row>
    <row r="230" ht="12.75" customHeight="1">
      <c r="A230" s="7"/>
      <c r="B230" s="8"/>
    </row>
    <row r="231" ht="12.75" customHeight="1">
      <c r="A231" s="7"/>
      <c r="B231" s="8"/>
    </row>
    <row r="232" ht="12.75" customHeight="1">
      <c r="A232" s="7"/>
      <c r="B232" s="8"/>
    </row>
    <row r="233" ht="12.75" customHeight="1">
      <c r="A233" s="7"/>
      <c r="B233" s="8"/>
    </row>
    <row r="234" ht="12.75" customHeight="1">
      <c r="A234" s="7"/>
      <c r="B234" s="8"/>
    </row>
    <row r="235" ht="12.75" customHeight="1">
      <c r="A235" s="7"/>
      <c r="B235" s="8"/>
    </row>
    <row r="236" ht="12.75" customHeight="1">
      <c r="A236" s="7"/>
      <c r="B236" s="8"/>
    </row>
    <row r="237" ht="12.75" customHeight="1">
      <c r="A237" s="7"/>
      <c r="B237" s="8"/>
    </row>
    <row r="238" ht="12.75" customHeight="1">
      <c r="A238" s="7"/>
      <c r="B238" s="8"/>
    </row>
    <row r="239" ht="12.75" customHeight="1">
      <c r="A239" s="7"/>
      <c r="B239" s="8"/>
    </row>
    <row r="240" ht="12.75" customHeight="1">
      <c r="A240" s="7"/>
      <c r="B240" s="8"/>
    </row>
    <row r="241" ht="12.75" customHeight="1">
      <c r="A241" s="7"/>
      <c r="B241" s="8"/>
    </row>
    <row r="242" ht="12.75" customHeight="1">
      <c r="A242" s="7"/>
      <c r="B242" s="8"/>
    </row>
    <row r="243" ht="12.75" customHeight="1">
      <c r="A243" s="7"/>
      <c r="B243" s="8"/>
    </row>
    <row r="244" ht="12.75" customHeight="1">
      <c r="A244" s="7"/>
      <c r="B244" s="8"/>
    </row>
    <row r="245" ht="12.75" customHeight="1">
      <c r="A245" s="7"/>
      <c r="B245" s="8"/>
    </row>
    <row r="246" ht="12.75" customHeight="1">
      <c r="A246" s="7"/>
      <c r="B246" s="8"/>
    </row>
    <row r="247" ht="12.75" customHeight="1">
      <c r="A247" s="7"/>
      <c r="B247" s="8"/>
    </row>
    <row r="248" ht="12.75" customHeight="1">
      <c r="A248" s="7"/>
      <c r="B248" s="8"/>
    </row>
    <row r="249" ht="12.75" customHeight="1">
      <c r="A249" s="7"/>
      <c r="B249" s="8"/>
    </row>
    <row r="250" ht="12.75" customHeight="1">
      <c r="A250" s="7"/>
      <c r="B250" s="8"/>
    </row>
    <row r="251" ht="12.75" customHeight="1">
      <c r="A251" s="7"/>
      <c r="B251" s="8"/>
    </row>
    <row r="252" ht="12.75" customHeight="1">
      <c r="A252" s="7"/>
      <c r="B252" s="8"/>
    </row>
    <row r="253" ht="12.75" customHeight="1">
      <c r="A253" s="7"/>
      <c r="B253" s="8"/>
    </row>
    <row r="254" ht="12.75" customHeight="1">
      <c r="A254" s="7"/>
      <c r="B254" s="8"/>
    </row>
    <row r="255" ht="12.75" customHeight="1">
      <c r="A255" s="7"/>
      <c r="B255" s="8"/>
    </row>
    <row r="256" ht="12.75" customHeight="1">
      <c r="A256" s="7"/>
      <c r="B256" s="8"/>
    </row>
    <row r="257" ht="12.75" customHeight="1">
      <c r="A257" s="7"/>
      <c r="B257" s="8"/>
    </row>
    <row r="258" ht="12.75" customHeight="1">
      <c r="A258" s="7"/>
      <c r="B258" s="8"/>
    </row>
    <row r="259" ht="12.75" customHeight="1">
      <c r="A259" s="7"/>
      <c r="B259" s="8"/>
    </row>
    <row r="260" ht="12.75" customHeight="1">
      <c r="A260" s="7"/>
      <c r="B260" s="8"/>
    </row>
    <row r="261" ht="12.75" customHeight="1">
      <c r="A261" s="7"/>
      <c r="B261" s="8"/>
    </row>
    <row r="262" ht="12.75" customHeight="1">
      <c r="A262" s="7"/>
      <c r="B262" s="8"/>
    </row>
    <row r="263" ht="12.75" customHeight="1">
      <c r="A263" s="7"/>
      <c r="B263" s="8"/>
    </row>
    <row r="264" ht="12.75" customHeight="1">
      <c r="A264" s="7"/>
      <c r="B264" s="8"/>
    </row>
    <row r="265" ht="12.75" customHeight="1">
      <c r="A265" s="7"/>
      <c r="B265" s="8"/>
    </row>
    <row r="266" ht="12.75" customHeight="1">
      <c r="A266" s="7"/>
      <c r="B266" s="8"/>
    </row>
    <row r="267" ht="12.75" customHeight="1">
      <c r="A267" s="7"/>
      <c r="B267" s="8"/>
    </row>
    <row r="268" ht="12.75" customHeight="1">
      <c r="A268" s="7"/>
      <c r="B268" s="8"/>
    </row>
    <row r="269" ht="12.75" customHeight="1">
      <c r="A269" s="7"/>
      <c r="B269" s="8"/>
    </row>
    <row r="270" ht="12.75" customHeight="1">
      <c r="A270" s="7"/>
      <c r="B270" s="8"/>
    </row>
    <row r="271" ht="12.75" customHeight="1">
      <c r="A271" s="7"/>
      <c r="B271" s="8"/>
    </row>
    <row r="272" ht="12.75" customHeight="1">
      <c r="A272" s="7"/>
      <c r="B272" s="8"/>
    </row>
    <row r="273" ht="12.75" customHeight="1">
      <c r="A273" s="7"/>
      <c r="B273" s="8"/>
    </row>
    <row r="274" ht="12.75" customHeight="1">
      <c r="A274" s="7"/>
      <c r="B274" s="8"/>
    </row>
    <row r="275" ht="12.75" customHeight="1">
      <c r="A275" s="7"/>
      <c r="B275" s="8"/>
    </row>
    <row r="276" ht="12.75" customHeight="1">
      <c r="A276" s="7"/>
      <c r="B276" s="8"/>
    </row>
    <row r="277" ht="12.75" customHeight="1">
      <c r="A277" s="7"/>
      <c r="B277" s="8"/>
    </row>
    <row r="278" ht="12.75" customHeight="1">
      <c r="A278" s="7"/>
      <c r="B278" s="8"/>
    </row>
    <row r="279" ht="12.75" customHeight="1">
      <c r="A279" s="7"/>
      <c r="B279" s="8"/>
    </row>
    <row r="280" ht="12.75" customHeight="1">
      <c r="A280" s="7"/>
      <c r="B280" s="8"/>
    </row>
    <row r="281" ht="12.75" customHeight="1">
      <c r="A281" s="7"/>
      <c r="B281" s="8"/>
    </row>
    <row r="282" ht="12.75" customHeight="1">
      <c r="A282" s="7"/>
      <c r="B282" s="8"/>
    </row>
    <row r="283" ht="12.75" customHeight="1">
      <c r="A283" s="7"/>
      <c r="B283" s="8"/>
    </row>
    <row r="284" ht="12.75" customHeight="1">
      <c r="A284" s="7"/>
      <c r="B284" s="8"/>
    </row>
    <row r="285" ht="12.75" customHeight="1">
      <c r="A285" s="7"/>
      <c r="B285" s="8"/>
    </row>
    <row r="286" ht="12.75" customHeight="1">
      <c r="A286" s="7"/>
      <c r="B286" s="8"/>
    </row>
    <row r="287" ht="12.75" customHeight="1">
      <c r="A287" s="7"/>
      <c r="B287" s="8"/>
    </row>
    <row r="288" ht="12.75" customHeight="1">
      <c r="A288" s="7"/>
      <c r="B288" s="8"/>
    </row>
    <row r="289" ht="12.75" customHeight="1">
      <c r="A289" s="7"/>
      <c r="B289" s="8"/>
    </row>
    <row r="290" ht="12.75" customHeight="1">
      <c r="A290" s="7"/>
      <c r="B290" s="8"/>
    </row>
    <row r="291" ht="12.75" customHeight="1">
      <c r="A291" s="7"/>
      <c r="B291" s="8"/>
    </row>
    <row r="292" ht="12.75" customHeight="1">
      <c r="A292" s="7"/>
      <c r="B292" s="8"/>
    </row>
    <row r="293" ht="12.75" customHeight="1">
      <c r="A293" s="7"/>
      <c r="B293" s="8"/>
    </row>
    <row r="294" ht="12.75" customHeight="1">
      <c r="A294" s="7"/>
      <c r="B294" s="8"/>
    </row>
    <row r="295" ht="12.75" customHeight="1">
      <c r="A295" s="7"/>
      <c r="B295" s="8"/>
    </row>
    <row r="296" ht="12.75" customHeight="1">
      <c r="A296" s="7"/>
      <c r="B296" s="8"/>
    </row>
    <row r="297" ht="12.75" customHeight="1">
      <c r="A297" s="7"/>
      <c r="B297" s="8"/>
    </row>
    <row r="298" ht="12.75" customHeight="1">
      <c r="A298" s="7"/>
      <c r="B298" s="8"/>
    </row>
    <row r="299" ht="12.75" customHeight="1">
      <c r="A299" s="7"/>
      <c r="B299" s="8"/>
    </row>
    <row r="300" ht="12.75" customHeight="1">
      <c r="A300" s="7"/>
      <c r="B300" s="8"/>
    </row>
    <row r="301" ht="12.75" customHeight="1">
      <c r="A301" s="7"/>
      <c r="B301" s="8"/>
    </row>
    <row r="302" ht="12.75" customHeight="1">
      <c r="A302" s="7"/>
      <c r="B302" s="8"/>
    </row>
    <row r="303" ht="12.75" customHeight="1">
      <c r="A303" s="7"/>
      <c r="B303" s="8"/>
    </row>
    <row r="304" ht="12.75" customHeight="1">
      <c r="A304" s="7"/>
      <c r="B304" s="8"/>
    </row>
    <row r="305" ht="12.75" customHeight="1">
      <c r="A305" s="7"/>
      <c r="B305" s="8"/>
    </row>
    <row r="306" ht="12.75" customHeight="1">
      <c r="A306" s="7"/>
      <c r="B306" s="8"/>
    </row>
    <row r="307" ht="12.75" customHeight="1">
      <c r="A307" s="7"/>
      <c r="B307" s="8"/>
    </row>
    <row r="308" ht="12.75" customHeight="1">
      <c r="A308" s="7"/>
      <c r="B308" s="8"/>
    </row>
    <row r="309" ht="12.75" customHeight="1">
      <c r="A309" s="7"/>
      <c r="B309" s="8"/>
    </row>
    <row r="310" ht="12.75" customHeight="1">
      <c r="A310" s="7"/>
      <c r="B310" s="8"/>
    </row>
    <row r="311" ht="12.75" customHeight="1">
      <c r="A311" s="7"/>
      <c r="B311" s="8"/>
    </row>
    <row r="312" ht="12.75" customHeight="1">
      <c r="A312" s="7"/>
      <c r="B312" s="8"/>
    </row>
    <row r="313" ht="12.75" customHeight="1">
      <c r="A313" s="7"/>
      <c r="B313" s="8"/>
    </row>
    <row r="314" ht="12.75" customHeight="1">
      <c r="A314" s="7"/>
      <c r="B314" s="8"/>
    </row>
    <row r="315" ht="12.75" customHeight="1">
      <c r="A315" s="7"/>
      <c r="B315" s="8"/>
    </row>
    <row r="316" ht="12.75" customHeight="1">
      <c r="A316" s="7"/>
      <c r="B316" s="8"/>
    </row>
    <row r="317" ht="12.75" customHeight="1">
      <c r="A317" s="7"/>
      <c r="B317" s="8"/>
    </row>
    <row r="318" ht="12.75" customHeight="1">
      <c r="A318" s="7"/>
      <c r="B318" s="8"/>
    </row>
    <row r="319" ht="12.75" customHeight="1">
      <c r="A319" s="7"/>
      <c r="B319" s="8"/>
    </row>
    <row r="320" ht="12.75" customHeight="1">
      <c r="A320" s="7"/>
      <c r="B320" s="8"/>
    </row>
    <row r="321" ht="12.75" customHeight="1">
      <c r="A321" s="7"/>
      <c r="B321" s="8"/>
    </row>
    <row r="322" ht="12.75" customHeight="1">
      <c r="A322" s="7"/>
      <c r="B322" s="8"/>
    </row>
    <row r="323" ht="12.75" customHeight="1">
      <c r="A323" s="7"/>
      <c r="B323" s="8"/>
    </row>
    <row r="324" ht="12.75" customHeight="1">
      <c r="A324" s="7"/>
      <c r="B324" s="8"/>
    </row>
    <row r="325" ht="12.75" customHeight="1">
      <c r="A325" s="7"/>
      <c r="B325" s="8"/>
    </row>
    <row r="326" ht="12.75" customHeight="1">
      <c r="A326" s="7"/>
      <c r="B326" s="8"/>
    </row>
    <row r="327" ht="12.75" customHeight="1">
      <c r="A327" s="7"/>
      <c r="B327" s="8"/>
    </row>
    <row r="328" ht="12.75" customHeight="1">
      <c r="A328" s="7"/>
      <c r="B328" s="8"/>
    </row>
    <row r="329" ht="12.75" customHeight="1">
      <c r="A329" s="7"/>
      <c r="B329" s="8"/>
    </row>
    <row r="330" ht="12.75" customHeight="1">
      <c r="A330" s="7"/>
      <c r="B330" s="8"/>
    </row>
    <row r="331" ht="12.75" customHeight="1">
      <c r="A331" s="7"/>
      <c r="B331" s="8"/>
    </row>
    <row r="332" ht="12.75" customHeight="1">
      <c r="A332" s="7"/>
      <c r="B332" s="8"/>
    </row>
    <row r="333" ht="12.75" customHeight="1">
      <c r="A333" s="7"/>
      <c r="B333" s="8"/>
    </row>
    <row r="334" ht="12.75" customHeight="1">
      <c r="A334" s="7"/>
      <c r="B334" s="8"/>
    </row>
    <row r="335" ht="12.75" customHeight="1">
      <c r="A335" s="7"/>
      <c r="B335" s="8"/>
    </row>
    <row r="336" ht="12.75" customHeight="1">
      <c r="A336" s="7"/>
      <c r="B336" s="8"/>
    </row>
    <row r="337" ht="12.75" customHeight="1">
      <c r="A337" s="7"/>
      <c r="B337" s="8"/>
    </row>
    <row r="338" ht="12.75" customHeight="1">
      <c r="A338" s="7"/>
      <c r="B338" s="8"/>
    </row>
    <row r="339" ht="12.75" customHeight="1">
      <c r="A339" s="7"/>
      <c r="B339" s="8"/>
    </row>
    <row r="340" ht="12.75" customHeight="1">
      <c r="A340" s="7"/>
      <c r="B340" s="8"/>
    </row>
    <row r="341" ht="12.75" customHeight="1">
      <c r="A341" s="7"/>
      <c r="B341" s="8"/>
    </row>
    <row r="342" ht="12.75" customHeight="1">
      <c r="A342" s="7"/>
      <c r="B342" s="8"/>
    </row>
    <row r="343" ht="12.75" customHeight="1">
      <c r="A343" s="7"/>
      <c r="B343" s="8"/>
    </row>
    <row r="344" ht="12.75" customHeight="1">
      <c r="A344" s="7"/>
      <c r="B344" s="8"/>
    </row>
    <row r="345" ht="12.75" customHeight="1">
      <c r="A345" s="7"/>
      <c r="B345" s="8"/>
    </row>
    <row r="346" ht="12.75" customHeight="1">
      <c r="A346" s="7"/>
      <c r="B346" s="8"/>
    </row>
    <row r="347" ht="12.75" customHeight="1">
      <c r="A347" s="7"/>
      <c r="B347" s="8"/>
    </row>
    <row r="348" ht="12.75" customHeight="1">
      <c r="A348" s="7"/>
      <c r="B348" s="8"/>
    </row>
    <row r="349" ht="12.75" customHeight="1">
      <c r="A349" s="7"/>
      <c r="B349" s="8"/>
    </row>
    <row r="350" ht="12.75" customHeight="1">
      <c r="A350" s="7"/>
      <c r="B350" s="8"/>
    </row>
    <row r="351" ht="12.75" customHeight="1">
      <c r="A351" s="7"/>
      <c r="B351" s="8"/>
    </row>
    <row r="352" ht="12.75" customHeight="1">
      <c r="A352" s="7"/>
      <c r="B352" s="8"/>
    </row>
    <row r="353" ht="12.75" customHeight="1">
      <c r="A353" s="7"/>
      <c r="B353" s="8"/>
    </row>
    <row r="354" ht="12.75" customHeight="1">
      <c r="A354" s="7"/>
      <c r="B354" s="8"/>
    </row>
    <row r="355" ht="12.75" customHeight="1">
      <c r="A355" s="7"/>
      <c r="B355" s="8"/>
    </row>
    <row r="356" ht="12.75" customHeight="1">
      <c r="A356" s="7"/>
      <c r="B356" s="8"/>
    </row>
    <row r="357" ht="12.75" customHeight="1">
      <c r="A357" s="7"/>
      <c r="B357" s="8"/>
    </row>
    <row r="358" ht="12.75" customHeight="1">
      <c r="A358" s="7"/>
      <c r="B358" s="8"/>
    </row>
    <row r="359" ht="12.75" customHeight="1">
      <c r="A359" s="7"/>
      <c r="B359" s="8"/>
    </row>
    <row r="360" ht="12.75" customHeight="1">
      <c r="A360" s="7"/>
      <c r="B360" s="8"/>
    </row>
    <row r="361" ht="12.75" customHeight="1">
      <c r="A361" s="7"/>
      <c r="B361" s="8"/>
    </row>
    <row r="362" ht="12.75" customHeight="1">
      <c r="A362" s="7"/>
      <c r="B362" s="8"/>
    </row>
    <row r="363" ht="12.75" customHeight="1">
      <c r="A363" s="7"/>
      <c r="B363" s="8"/>
    </row>
    <row r="364" ht="12.75" customHeight="1">
      <c r="A364" s="7"/>
      <c r="B364" s="8"/>
    </row>
    <row r="365" ht="12.75" customHeight="1">
      <c r="A365" s="7"/>
      <c r="B365" s="8"/>
    </row>
    <row r="366" ht="12.75" customHeight="1">
      <c r="A366" s="7"/>
      <c r="B366" s="8"/>
    </row>
    <row r="367" ht="12.75" customHeight="1">
      <c r="A367" s="7"/>
      <c r="B367" s="8"/>
    </row>
    <row r="368" ht="12.75" customHeight="1">
      <c r="A368" s="7"/>
      <c r="B368" s="8"/>
    </row>
    <row r="369" ht="12.75" customHeight="1">
      <c r="A369" s="7"/>
      <c r="B369" s="8"/>
    </row>
    <row r="370" ht="12.75" customHeight="1">
      <c r="A370" s="7"/>
      <c r="B370" s="8"/>
    </row>
    <row r="371" ht="12.75" customHeight="1">
      <c r="A371" s="7"/>
      <c r="B371" s="8"/>
    </row>
    <row r="372" ht="12.75" customHeight="1">
      <c r="A372" s="7"/>
      <c r="B372" s="8"/>
    </row>
    <row r="373" ht="12.75" customHeight="1">
      <c r="A373" s="7"/>
      <c r="B373" s="8"/>
    </row>
    <row r="374" ht="12.75" customHeight="1">
      <c r="A374" s="7"/>
      <c r="B374" s="8"/>
    </row>
    <row r="375" ht="12.75" customHeight="1">
      <c r="A375" s="7"/>
      <c r="B375" s="8"/>
    </row>
    <row r="376" ht="12.75" customHeight="1">
      <c r="A376" s="7"/>
      <c r="B376" s="8"/>
    </row>
    <row r="377" ht="12.75" customHeight="1">
      <c r="A377" s="7"/>
      <c r="B377" s="8"/>
    </row>
    <row r="378" ht="12.75" customHeight="1">
      <c r="A378" s="7"/>
      <c r="B378" s="8"/>
    </row>
    <row r="379" ht="12.75" customHeight="1">
      <c r="A379" s="7"/>
      <c r="B379" s="8"/>
    </row>
    <row r="380" ht="12.75" customHeight="1">
      <c r="A380" s="7"/>
      <c r="B380" s="8"/>
    </row>
    <row r="381" ht="12.75" customHeight="1">
      <c r="A381" s="7"/>
      <c r="B381" s="8"/>
    </row>
    <row r="382" ht="12.75" customHeight="1">
      <c r="A382" s="7"/>
      <c r="B382" s="8"/>
    </row>
    <row r="383" ht="12.75" customHeight="1">
      <c r="A383" s="7"/>
      <c r="B383" s="8"/>
    </row>
    <row r="384" ht="12.75" customHeight="1">
      <c r="A384" s="7"/>
      <c r="B384" s="8"/>
    </row>
    <row r="385" ht="12.75" customHeight="1">
      <c r="A385" s="7"/>
      <c r="B385" s="8"/>
    </row>
    <row r="386" ht="12.75" customHeight="1">
      <c r="A386" s="7"/>
      <c r="B386" s="8"/>
    </row>
    <row r="387" ht="12.75" customHeight="1">
      <c r="A387" s="7"/>
      <c r="B387" s="8"/>
    </row>
    <row r="388" ht="12.75" customHeight="1">
      <c r="A388" s="7"/>
      <c r="B388" s="8"/>
    </row>
    <row r="389" ht="12.75" customHeight="1">
      <c r="A389" s="7"/>
      <c r="B389" s="8"/>
    </row>
    <row r="390" ht="12.75" customHeight="1">
      <c r="A390" s="7"/>
      <c r="B390" s="8"/>
    </row>
    <row r="391" ht="12.75" customHeight="1">
      <c r="A391" s="7"/>
      <c r="B391" s="8"/>
    </row>
    <row r="392" ht="12.75" customHeight="1">
      <c r="A392" s="7"/>
      <c r="B392" s="8"/>
    </row>
    <row r="393" ht="12.75" customHeight="1">
      <c r="A393" s="7"/>
      <c r="B393" s="8"/>
    </row>
    <row r="394" ht="12.75" customHeight="1">
      <c r="A394" s="7"/>
      <c r="B394" s="8"/>
    </row>
    <row r="395" ht="12.75" customHeight="1">
      <c r="A395" s="7"/>
      <c r="B395" s="8"/>
    </row>
    <row r="396" ht="12.75" customHeight="1">
      <c r="A396" s="7"/>
      <c r="B396" s="8"/>
    </row>
    <row r="397" ht="12.75" customHeight="1">
      <c r="A397" s="7"/>
      <c r="B397" s="8"/>
    </row>
    <row r="398" ht="12.75" customHeight="1">
      <c r="A398" s="7"/>
      <c r="B398" s="8"/>
    </row>
    <row r="399" ht="12.75" customHeight="1">
      <c r="A399" s="7"/>
      <c r="B399" s="8"/>
    </row>
    <row r="400" ht="12.75" customHeight="1">
      <c r="A400" s="7"/>
      <c r="B400" s="8"/>
    </row>
    <row r="401" ht="12.75" customHeight="1">
      <c r="A401" s="7"/>
      <c r="B401" s="8"/>
    </row>
    <row r="402" ht="12.75" customHeight="1">
      <c r="A402" s="7"/>
      <c r="B402" s="8"/>
    </row>
    <row r="403" ht="12.75" customHeight="1">
      <c r="A403" s="7"/>
      <c r="B403" s="8"/>
    </row>
    <row r="404" ht="12.75" customHeight="1">
      <c r="A404" s="7"/>
      <c r="B404" s="8"/>
    </row>
    <row r="405" ht="12.75" customHeight="1">
      <c r="A405" s="7"/>
      <c r="B405" s="8"/>
    </row>
    <row r="406" ht="12.75" customHeight="1">
      <c r="A406" s="7"/>
      <c r="B406" s="8"/>
    </row>
    <row r="407" ht="12.75" customHeight="1">
      <c r="A407" s="7"/>
      <c r="B407" s="8"/>
    </row>
    <row r="408" ht="12.75" customHeight="1">
      <c r="A408" s="7"/>
      <c r="B408" s="8"/>
    </row>
    <row r="409" ht="12.75" customHeight="1">
      <c r="A409" s="7"/>
      <c r="B409" s="8"/>
    </row>
    <row r="410" ht="12.75" customHeight="1">
      <c r="A410" s="7"/>
      <c r="B410" s="8"/>
    </row>
    <row r="411" ht="12.75" customHeight="1">
      <c r="A411" s="7"/>
      <c r="B411" s="8"/>
    </row>
    <row r="412" ht="12.75" customHeight="1">
      <c r="A412" s="7"/>
      <c r="B412" s="8"/>
    </row>
    <row r="413" ht="12.75" customHeight="1">
      <c r="A413" s="7"/>
      <c r="B413" s="8"/>
    </row>
    <row r="414" ht="12.75" customHeight="1">
      <c r="A414" s="7"/>
      <c r="B414" s="8"/>
    </row>
    <row r="415" ht="12.75" customHeight="1">
      <c r="A415" s="7"/>
      <c r="B415" s="8"/>
    </row>
    <row r="416" ht="12.75" customHeight="1">
      <c r="A416" s="7"/>
      <c r="B416" s="8"/>
    </row>
    <row r="417" ht="12.75" customHeight="1">
      <c r="A417" s="7"/>
      <c r="B417" s="8"/>
    </row>
    <row r="418" ht="12.75" customHeight="1">
      <c r="A418" s="7"/>
      <c r="B418" s="8"/>
    </row>
    <row r="419" ht="12.75" customHeight="1">
      <c r="A419" s="7"/>
      <c r="B419" s="8"/>
    </row>
    <row r="420" ht="12.75" customHeight="1">
      <c r="A420" s="7"/>
      <c r="B420" s="8"/>
    </row>
    <row r="421" ht="12.75" customHeight="1">
      <c r="A421" s="7"/>
      <c r="B421" s="8"/>
    </row>
    <row r="422" ht="12.75" customHeight="1">
      <c r="A422" s="7"/>
      <c r="B422" s="8"/>
    </row>
    <row r="423" ht="12.75" customHeight="1">
      <c r="A423" s="7"/>
      <c r="B423" s="8"/>
    </row>
    <row r="424" ht="12.75" customHeight="1">
      <c r="A424" s="7"/>
      <c r="B424" s="8"/>
    </row>
    <row r="425" ht="12.75" customHeight="1">
      <c r="A425" s="7"/>
      <c r="B425" s="8"/>
    </row>
    <row r="426" ht="12.75" customHeight="1">
      <c r="A426" s="7"/>
      <c r="B426" s="8"/>
    </row>
    <row r="427" ht="12.75" customHeight="1">
      <c r="A427" s="7"/>
      <c r="B427" s="8"/>
    </row>
    <row r="428" ht="12.75" customHeight="1">
      <c r="A428" s="7"/>
      <c r="B428" s="8"/>
    </row>
    <row r="429" ht="12.75" customHeight="1">
      <c r="A429" s="7"/>
      <c r="B429" s="8"/>
    </row>
    <row r="430" ht="12.75" customHeight="1">
      <c r="A430" s="7"/>
      <c r="B430" s="8"/>
    </row>
    <row r="431" ht="12.75" customHeight="1">
      <c r="A431" s="7"/>
      <c r="B431" s="8"/>
    </row>
    <row r="432" ht="12.75" customHeight="1">
      <c r="A432" s="7"/>
      <c r="B432" s="8"/>
    </row>
    <row r="433" ht="12.75" customHeight="1">
      <c r="A433" s="7"/>
      <c r="B433" s="8"/>
    </row>
    <row r="434" ht="12.75" customHeight="1">
      <c r="A434" s="7"/>
      <c r="B434" s="8"/>
    </row>
    <row r="435" ht="12.75" customHeight="1">
      <c r="A435" s="7"/>
      <c r="B435" s="8"/>
    </row>
    <row r="436" ht="12.75" customHeight="1">
      <c r="A436" s="7"/>
      <c r="B436" s="8"/>
    </row>
    <row r="437" ht="12.75" customHeight="1">
      <c r="A437" s="7"/>
      <c r="B437" s="8"/>
    </row>
    <row r="438" ht="12.75" customHeight="1">
      <c r="A438" s="7"/>
      <c r="B438" s="8"/>
    </row>
    <row r="439" ht="12.75" customHeight="1">
      <c r="A439" s="7"/>
      <c r="B439" s="8"/>
    </row>
    <row r="440" ht="12.75" customHeight="1">
      <c r="A440" s="7"/>
      <c r="B440" s="8"/>
    </row>
    <row r="441" ht="12.75" customHeight="1">
      <c r="A441" s="7"/>
      <c r="B441" s="8"/>
    </row>
    <row r="442" ht="12.75" customHeight="1">
      <c r="A442" s="7"/>
      <c r="B442" s="8"/>
    </row>
    <row r="443" ht="12.75" customHeight="1">
      <c r="A443" s="7"/>
      <c r="B443" s="8"/>
    </row>
    <row r="444" ht="12.75" customHeight="1">
      <c r="A444" s="7"/>
      <c r="B444" s="8"/>
    </row>
    <row r="445" ht="12.75" customHeight="1">
      <c r="A445" s="7"/>
      <c r="B445" s="8"/>
    </row>
    <row r="446" ht="12.75" customHeight="1">
      <c r="A446" s="7"/>
      <c r="B446" s="8"/>
    </row>
    <row r="447" ht="12.75" customHeight="1">
      <c r="A447" s="7"/>
      <c r="B447" s="8"/>
    </row>
    <row r="448" ht="12.75" customHeight="1">
      <c r="A448" s="7"/>
      <c r="B448" s="8"/>
    </row>
    <row r="449" ht="12.75" customHeight="1">
      <c r="A449" s="7"/>
      <c r="B449" s="8"/>
    </row>
    <row r="450" ht="12.75" customHeight="1">
      <c r="A450" s="7"/>
      <c r="B450" s="8"/>
    </row>
    <row r="451" ht="12.75" customHeight="1">
      <c r="A451" s="7"/>
      <c r="B451" s="8"/>
    </row>
    <row r="452" ht="12.75" customHeight="1">
      <c r="A452" s="7"/>
      <c r="B452" s="8"/>
    </row>
    <row r="453" ht="12.75" customHeight="1">
      <c r="A453" s="7"/>
      <c r="B453" s="8"/>
    </row>
    <row r="454" ht="12.75" customHeight="1">
      <c r="A454" s="7"/>
      <c r="B454" s="8"/>
    </row>
    <row r="455" ht="12.75" customHeight="1">
      <c r="A455" s="7"/>
      <c r="B455" s="8"/>
    </row>
    <row r="456" ht="12.75" customHeight="1">
      <c r="A456" s="7"/>
      <c r="B456" s="8"/>
    </row>
    <row r="457" ht="12.75" customHeight="1">
      <c r="A457" s="7"/>
      <c r="B457" s="8"/>
    </row>
    <row r="458" ht="12.75" customHeight="1">
      <c r="A458" s="7"/>
      <c r="B458" s="8"/>
    </row>
    <row r="459" ht="12.75" customHeight="1">
      <c r="A459" s="7"/>
      <c r="B459" s="8"/>
    </row>
    <row r="460" ht="12.75" customHeight="1">
      <c r="A460" s="7"/>
      <c r="B460" s="8"/>
    </row>
    <row r="461" ht="12.75" customHeight="1">
      <c r="A461" s="7"/>
      <c r="B461" s="8"/>
    </row>
    <row r="462" ht="12.75" customHeight="1">
      <c r="A462" s="7"/>
      <c r="B462" s="8"/>
    </row>
    <row r="463" ht="12.75" customHeight="1">
      <c r="A463" s="7"/>
      <c r="B463" s="8"/>
    </row>
    <row r="464" ht="12.75" customHeight="1">
      <c r="A464" s="7"/>
      <c r="B464" s="8"/>
    </row>
    <row r="465" ht="12.75" customHeight="1">
      <c r="A465" s="7"/>
      <c r="B465" s="8"/>
    </row>
    <row r="466" ht="12.75" customHeight="1">
      <c r="A466" s="7"/>
      <c r="B466" s="8"/>
    </row>
    <row r="467" ht="12.75" customHeight="1">
      <c r="A467" s="7"/>
      <c r="B467" s="8"/>
    </row>
    <row r="468" ht="12.75" customHeight="1">
      <c r="A468" s="7"/>
      <c r="B468" s="8"/>
    </row>
    <row r="469" ht="12.75" customHeight="1">
      <c r="A469" s="7"/>
      <c r="B469" s="8"/>
    </row>
    <row r="470" ht="12.75" customHeight="1">
      <c r="A470" s="7"/>
      <c r="B470" s="8"/>
    </row>
    <row r="471" ht="12.75" customHeight="1">
      <c r="A471" s="7"/>
      <c r="B471" s="8"/>
    </row>
    <row r="472" ht="12.75" customHeight="1">
      <c r="A472" s="7"/>
      <c r="B472" s="8"/>
    </row>
    <row r="473" ht="12.75" customHeight="1">
      <c r="A473" s="7"/>
      <c r="B473" s="8"/>
    </row>
    <row r="474" ht="12.75" customHeight="1">
      <c r="A474" s="7"/>
      <c r="B474" s="8"/>
    </row>
    <row r="475" ht="12.75" customHeight="1">
      <c r="A475" s="7"/>
      <c r="B475" s="8"/>
    </row>
    <row r="476" ht="12.75" customHeight="1">
      <c r="A476" s="7"/>
      <c r="B476" s="8"/>
    </row>
    <row r="477" ht="12.75" customHeight="1">
      <c r="A477" s="7"/>
      <c r="B477" s="8"/>
    </row>
    <row r="478" ht="12.75" customHeight="1">
      <c r="A478" s="7"/>
      <c r="B478" s="8"/>
    </row>
    <row r="479" ht="12.75" customHeight="1">
      <c r="A479" s="7"/>
      <c r="B479" s="8"/>
    </row>
    <row r="480" ht="12.75" customHeight="1">
      <c r="A480" s="7"/>
      <c r="B480" s="8"/>
    </row>
    <row r="481" ht="12.75" customHeight="1">
      <c r="A481" s="7"/>
      <c r="B481" s="8"/>
    </row>
    <row r="482" ht="12.75" customHeight="1">
      <c r="A482" s="7"/>
      <c r="B482" s="8"/>
    </row>
    <row r="483" ht="12.75" customHeight="1">
      <c r="A483" s="7"/>
      <c r="B483" s="8"/>
    </row>
    <row r="484" ht="12.75" customHeight="1">
      <c r="A484" s="7"/>
      <c r="B484" s="8"/>
    </row>
    <row r="485" ht="12.75" customHeight="1">
      <c r="A485" s="7"/>
      <c r="B485" s="8"/>
    </row>
    <row r="486" ht="12.75" customHeight="1">
      <c r="A486" s="7"/>
      <c r="B486" s="8"/>
    </row>
    <row r="487" ht="12.75" customHeight="1">
      <c r="A487" s="7"/>
      <c r="B487" s="8"/>
    </row>
    <row r="488" ht="12.75" customHeight="1">
      <c r="A488" s="7"/>
      <c r="B488" s="8"/>
    </row>
    <row r="489" ht="12.75" customHeight="1">
      <c r="A489" s="7"/>
      <c r="B489" s="8"/>
    </row>
    <row r="490" ht="12.75" customHeight="1">
      <c r="A490" s="7"/>
      <c r="B490" s="8"/>
    </row>
    <row r="491" ht="12.75" customHeight="1">
      <c r="A491" s="7"/>
      <c r="B491" s="8"/>
    </row>
    <row r="492" ht="12.75" customHeight="1">
      <c r="A492" s="7"/>
      <c r="B492" s="8"/>
    </row>
    <row r="493" ht="12.75" customHeight="1">
      <c r="A493" s="7"/>
      <c r="B493" s="8"/>
    </row>
    <row r="494" ht="12.75" customHeight="1">
      <c r="A494" s="7"/>
      <c r="B494" s="8"/>
    </row>
    <row r="495" ht="12.75" customHeight="1">
      <c r="A495" s="7"/>
      <c r="B495" s="8"/>
    </row>
    <row r="496" ht="12.75" customHeight="1">
      <c r="A496" s="7"/>
      <c r="B496" s="8"/>
    </row>
    <row r="497" ht="12.75" customHeight="1">
      <c r="A497" s="7"/>
      <c r="B497" s="8"/>
    </row>
    <row r="498" ht="12.75" customHeight="1">
      <c r="A498" s="7"/>
      <c r="B498" s="8"/>
    </row>
    <row r="499" ht="12.75" customHeight="1">
      <c r="A499" s="7"/>
      <c r="B499" s="8"/>
    </row>
    <row r="500" ht="12.75" customHeight="1">
      <c r="A500" s="7"/>
      <c r="B500" s="8"/>
    </row>
    <row r="501" ht="12.75" customHeight="1">
      <c r="A501" s="7"/>
      <c r="B501" s="8"/>
    </row>
    <row r="502" ht="12.75" customHeight="1">
      <c r="A502" s="7"/>
      <c r="B502" s="8"/>
    </row>
    <row r="503" ht="12.75" customHeight="1">
      <c r="A503" s="7"/>
      <c r="B503" s="8"/>
    </row>
    <row r="504" ht="12.75" customHeight="1">
      <c r="A504" s="7"/>
      <c r="B504" s="8"/>
    </row>
    <row r="505" ht="12.75" customHeight="1">
      <c r="A505" s="7"/>
      <c r="B505" s="8"/>
    </row>
    <row r="506" ht="12.75" customHeight="1">
      <c r="A506" s="7"/>
      <c r="B506" s="8"/>
    </row>
    <row r="507" ht="12.75" customHeight="1">
      <c r="A507" s="7"/>
      <c r="B507" s="8"/>
    </row>
    <row r="508" ht="12.75" customHeight="1">
      <c r="A508" s="7"/>
      <c r="B508" s="8"/>
    </row>
    <row r="509" ht="12.75" customHeight="1">
      <c r="A509" s="7"/>
      <c r="B509" s="8"/>
    </row>
    <row r="510" ht="12.75" customHeight="1">
      <c r="A510" s="7"/>
      <c r="B510" s="8"/>
    </row>
    <row r="511" ht="12.75" customHeight="1">
      <c r="A511" s="7"/>
      <c r="B511" s="8"/>
    </row>
    <row r="512" ht="12.75" customHeight="1">
      <c r="A512" s="7"/>
      <c r="B512" s="8"/>
    </row>
    <row r="513" ht="12.75" customHeight="1">
      <c r="A513" s="7"/>
      <c r="B513" s="8"/>
    </row>
    <row r="514" ht="12.75" customHeight="1">
      <c r="A514" s="7"/>
      <c r="B514" s="8"/>
    </row>
    <row r="515" ht="12.75" customHeight="1">
      <c r="A515" s="7"/>
      <c r="B515" s="8"/>
    </row>
    <row r="516" ht="12.75" customHeight="1">
      <c r="A516" s="7"/>
      <c r="B516" s="8"/>
    </row>
    <row r="517" ht="12.75" customHeight="1">
      <c r="A517" s="7"/>
      <c r="B517" s="8"/>
    </row>
    <row r="518" ht="12.75" customHeight="1">
      <c r="A518" s="7"/>
      <c r="B518" s="8"/>
    </row>
    <row r="519" ht="12.75" customHeight="1">
      <c r="A519" s="7"/>
      <c r="B519" s="8"/>
    </row>
    <row r="520" ht="12.75" customHeight="1">
      <c r="A520" s="7"/>
      <c r="B520" s="8"/>
    </row>
    <row r="521" ht="12.75" customHeight="1">
      <c r="A521" s="7"/>
      <c r="B521" s="8"/>
    </row>
    <row r="522" ht="12.75" customHeight="1">
      <c r="A522" s="7"/>
      <c r="B522" s="8"/>
    </row>
    <row r="523" ht="12.75" customHeight="1">
      <c r="A523" s="7"/>
      <c r="B523" s="8"/>
    </row>
    <row r="524" ht="12.75" customHeight="1">
      <c r="A524" s="7"/>
      <c r="B524" s="8"/>
    </row>
    <row r="525" ht="12.75" customHeight="1">
      <c r="A525" s="7"/>
      <c r="B525" s="8"/>
    </row>
    <row r="526" ht="12.75" customHeight="1">
      <c r="A526" s="7"/>
      <c r="B526" s="8"/>
    </row>
    <row r="527" ht="12.75" customHeight="1">
      <c r="A527" s="7"/>
      <c r="B527" s="8"/>
    </row>
    <row r="528" ht="12.75" customHeight="1">
      <c r="A528" s="7"/>
      <c r="B528" s="8"/>
    </row>
    <row r="529" ht="12.75" customHeight="1">
      <c r="A529" s="7"/>
      <c r="B529" s="8"/>
    </row>
    <row r="530" ht="12.75" customHeight="1">
      <c r="A530" s="7"/>
      <c r="B530" s="8"/>
    </row>
    <row r="531" ht="12.75" customHeight="1">
      <c r="A531" s="7"/>
      <c r="B531" s="8"/>
    </row>
    <row r="532" ht="12.75" customHeight="1">
      <c r="A532" s="7"/>
      <c r="B532" s="8"/>
    </row>
    <row r="533" ht="12.75" customHeight="1">
      <c r="A533" s="7"/>
      <c r="B533" s="8"/>
    </row>
    <row r="534" ht="12.75" customHeight="1">
      <c r="A534" s="7"/>
      <c r="B534" s="8"/>
    </row>
    <row r="535" ht="12.75" customHeight="1">
      <c r="A535" s="7"/>
      <c r="B535" s="8"/>
    </row>
    <row r="536" ht="12.75" customHeight="1">
      <c r="A536" s="7"/>
      <c r="B536" s="8"/>
    </row>
    <row r="537" ht="12.75" customHeight="1">
      <c r="A537" s="7"/>
      <c r="B537" s="8"/>
    </row>
    <row r="538" ht="12.75" customHeight="1">
      <c r="A538" s="7"/>
      <c r="B538" s="8"/>
    </row>
    <row r="539" ht="12.75" customHeight="1">
      <c r="A539" s="7"/>
      <c r="B539" s="8"/>
    </row>
    <row r="540" ht="12.75" customHeight="1">
      <c r="A540" s="7"/>
      <c r="B540" s="8"/>
    </row>
    <row r="541" ht="12.75" customHeight="1">
      <c r="A541" s="7"/>
      <c r="B541" s="8"/>
    </row>
    <row r="542" ht="12.75" customHeight="1">
      <c r="A542" s="7"/>
      <c r="B542" s="8"/>
    </row>
    <row r="543" ht="12.75" customHeight="1">
      <c r="A543" s="7"/>
      <c r="B543" s="8"/>
    </row>
    <row r="544" ht="12.75" customHeight="1">
      <c r="A544" s="7"/>
      <c r="B544" s="8"/>
    </row>
    <row r="545" ht="12.75" customHeight="1">
      <c r="A545" s="7"/>
      <c r="B545" s="8"/>
    </row>
    <row r="546" ht="12.75" customHeight="1">
      <c r="A546" s="7"/>
      <c r="B546" s="8"/>
    </row>
    <row r="547" ht="12.75" customHeight="1">
      <c r="A547" s="7"/>
      <c r="B547" s="8"/>
    </row>
    <row r="548" ht="12.75" customHeight="1">
      <c r="A548" s="7"/>
      <c r="B548" s="8"/>
    </row>
    <row r="549" ht="12.75" customHeight="1">
      <c r="A549" s="7"/>
      <c r="B549" s="8"/>
    </row>
    <row r="550" ht="12.75" customHeight="1">
      <c r="A550" s="7"/>
      <c r="B550" s="8"/>
    </row>
    <row r="551" ht="12.75" customHeight="1">
      <c r="A551" s="7"/>
      <c r="B551" s="8"/>
    </row>
    <row r="552" ht="12.75" customHeight="1">
      <c r="A552" s="7"/>
      <c r="B552" s="8"/>
    </row>
    <row r="553" ht="12.75" customHeight="1">
      <c r="A553" s="7"/>
      <c r="B553" s="8"/>
    </row>
    <row r="554" ht="12.75" customHeight="1">
      <c r="A554" s="7"/>
      <c r="B554" s="8"/>
    </row>
    <row r="555" ht="12.75" customHeight="1">
      <c r="A555" s="7"/>
      <c r="B555" s="8"/>
    </row>
    <row r="556" ht="12.75" customHeight="1">
      <c r="A556" s="7"/>
      <c r="B556" s="8"/>
    </row>
    <row r="557" ht="12.75" customHeight="1">
      <c r="A557" s="7"/>
      <c r="B557" s="8"/>
    </row>
    <row r="558" ht="12.75" customHeight="1">
      <c r="A558" s="7"/>
      <c r="B558" s="8"/>
    </row>
    <row r="559" ht="12.75" customHeight="1">
      <c r="A559" s="7"/>
      <c r="B559" s="8"/>
    </row>
    <row r="560" ht="12.75" customHeight="1">
      <c r="A560" s="7"/>
      <c r="B560" s="8"/>
    </row>
    <row r="561" ht="12.75" customHeight="1">
      <c r="A561" s="7"/>
      <c r="B561" s="8"/>
    </row>
    <row r="562" ht="12.75" customHeight="1">
      <c r="A562" s="7"/>
      <c r="B562" s="8"/>
    </row>
    <row r="563" ht="12.75" customHeight="1">
      <c r="A563" s="7"/>
      <c r="B563" s="8"/>
    </row>
    <row r="564" ht="12.75" customHeight="1">
      <c r="A564" s="7"/>
      <c r="B564" s="8"/>
    </row>
    <row r="565" ht="12.75" customHeight="1">
      <c r="A565" s="7"/>
      <c r="B565" s="8"/>
    </row>
    <row r="566" ht="12.75" customHeight="1">
      <c r="A566" s="7"/>
      <c r="B566" s="8"/>
    </row>
    <row r="567" ht="12.75" customHeight="1">
      <c r="A567" s="7"/>
      <c r="B567" s="8"/>
    </row>
    <row r="568" ht="12.75" customHeight="1">
      <c r="A568" s="7"/>
      <c r="B568" s="8"/>
    </row>
    <row r="569" ht="12.75" customHeight="1">
      <c r="A569" s="7"/>
      <c r="B569" s="8"/>
    </row>
    <row r="570" ht="12.75" customHeight="1">
      <c r="A570" s="7"/>
      <c r="B570" s="8"/>
    </row>
    <row r="571" ht="12.75" customHeight="1">
      <c r="A571" s="7"/>
      <c r="B571" s="8"/>
    </row>
    <row r="572" ht="12.75" customHeight="1">
      <c r="A572" s="7"/>
      <c r="B572" s="8"/>
    </row>
    <row r="573" ht="12.75" customHeight="1">
      <c r="A573" s="7"/>
      <c r="B573" s="8"/>
    </row>
    <row r="574" ht="12.75" customHeight="1">
      <c r="A574" s="7"/>
      <c r="B574" s="8"/>
    </row>
    <row r="575" ht="12.75" customHeight="1">
      <c r="A575" s="7"/>
      <c r="B575" s="8"/>
    </row>
    <row r="576" ht="12.75" customHeight="1">
      <c r="A576" s="7"/>
      <c r="B576" s="8"/>
    </row>
    <row r="577" ht="12.75" customHeight="1">
      <c r="A577" s="7"/>
      <c r="B577" s="8"/>
    </row>
    <row r="578" ht="12.75" customHeight="1">
      <c r="A578" s="7"/>
      <c r="B578" s="8"/>
    </row>
    <row r="579" ht="12.75" customHeight="1">
      <c r="A579" s="7"/>
      <c r="B579" s="8"/>
    </row>
    <row r="580" ht="12.75" customHeight="1">
      <c r="A580" s="7"/>
      <c r="B580" s="8"/>
    </row>
    <row r="581" ht="12.75" customHeight="1">
      <c r="A581" s="7"/>
      <c r="B581" s="8"/>
    </row>
    <row r="582" ht="12.75" customHeight="1">
      <c r="A582" s="7"/>
      <c r="B582" s="8"/>
    </row>
    <row r="583" ht="12.75" customHeight="1">
      <c r="A583" s="7"/>
      <c r="B583" s="8"/>
    </row>
    <row r="584" ht="12.75" customHeight="1">
      <c r="A584" s="7"/>
      <c r="B584" s="8"/>
    </row>
    <row r="585" ht="12.75" customHeight="1">
      <c r="A585" s="7"/>
      <c r="B585" s="8"/>
    </row>
    <row r="586" ht="12.75" customHeight="1">
      <c r="A586" s="7"/>
      <c r="B586" s="8"/>
    </row>
    <row r="587" ht="12.75" customHeight="1">
      <c r="A587" s="7"/>
      <c r="B587" s="8"/>
    </row>
    <row r="588" ht="12.75" customHeight="1">
      <c r="A588" s="7"/>
      <c r="B588" s="8"/>
    </row>
    <row r="589" ht="12.75" customHeight="1">
      <c r="A589" s="7"/>
      <c r="B589" s="8"/>
    </row>
    <row r="590" ht="12.75" customHeight="1">
      <c r="A590" s="7"/>
      <c r="B590" s="8"/>
    </row>
    <row r="591" ht="12.75" customHeight="1">
      <c r="A591" s="7"/>
      <c r="B591" s="8"/>
    </row>
    <row r="592" ht="12.75" customHeight="1">
      <c r="A592" s="7"/>
      <c r="B592" s="8"/>
    </row>
    <row r="593" ht="12.75" customHeight="1">
      <c r="A593" s="7"/>
      <c r="B593" s="8"/>
    </row>
    <row r="594" ht="12.75" customHeight="1">
      <c r="A594" s="7"/>
      <c r="B594" s="8"/>
    </row>
    <row r="595" ht="12.75" customHeight="1">
      <c r="A595" s="7"/>
      <c r="B595" s="8"/>
    </row>
    <row r="596" ht="12.75" customHeight="1">
      <c r="A596" s="7"/>
      <c r="B596" s="8"/>
    </row>
    <row r="597" ht="12.75" customHeight="1">
      <c r="A597" s="7"/>
      <c r="B597" s="8"/>
    </row>
    <row r="598" ht="12.75" customHeight="1">
      <c r="A598" s="7"/>
      <c r="B598" s="8"/>
    </row>
    <row r="599" ht="12.75" customHeight="1">
      <c r="A599" s="7"/>
      <c r="B599" s="8"/>
    </row>
    <row r="600" ht="12.75" customHeight="1">
      <c r="A600" s="7"/>
      <c r="B600" s="8"/>
    </row>
    <row r="601" ht="12.75" customHeight="1">
      <c r="A601" s="7"/>
      <c r="B601" s="8"/>
    </row>
    <row r="602" ht="12.75" customHeight="1">
      <c r="A602" s="7"/>
      <c r="B602" s="8"/>
    </row>
    <row r="603" ht="12.75" customHeight="1">
      <c r="A603" s="7"/>
      <c r="B603" s="8"/>
    </row>
    <row r="604" ht="12.75" customHeight="1">
      <c r="A604" s="7"/>
      <c r="B604" s="8"/>
    </row>
    <row r="605" ht="12.75" customHeight="1">
      <c r="A605" s="7"/>
      <c r="B605" s="8"/>
    </row>
    <row r="606" ht="12.75" customHeight="1">
      <c r="A606" s="7"/>
      <c r="B606" s="8"/>
    </row>
    <row r="607" ht="12.75" customHeight="1">
      <c r="A607" s="7"/>
      <c r="B607" s="8"/>
    </row>
    <row r="608" ht="12.75" customHeight="1">
      <c r="A608" s="7"/>
      <c r="B608" s="8"/>
    </row>
    <row r="609" ht="12.75" customHeight="1">
      <c r="A609" s="7"/>
      <c r="B609" s="8"/>
    </row>
    <row r="610" ht="12.75" customHeight="1">
      <c r="A610" s="7"/>
      <c r="B610" s="8"/>
    </row>
    <row r="611" ht="12.75" customHeight="1">
      <c r="A611" s="7"/>
      <c r="B611" s="8"/>
    </row>
    <row r="612" ht="12.75" customHeight="1">
      <c r="A612" s="7"/>
      <c r="B612" s="8"/>
    </row>
    <row r="613" ht="12.75" customHeight="1">
      <c r="A613" s="7"/>
      <c r="B613" s="8"/>
    </row>
    <row r="614" ht="12.75" customHeight="1">
      <c r="A614" s="7"/>
      <c r="B614" s="8"/>
    </row>
    <row r="615" ht="12.75" customHeight="1">
      <c r="A615" s="7"/>
      <c r="B615" s="8"/>
    </row>
    <row r="616" ht="12.75" customHeight="1">
      <c r="A616" s="7"/>
      <c r="B616" s="8"/>
    </row>
    <row r="617" ht="12.75" customHeight="1">
      <c r="A617" s="7"/>
      <c r="B617" s="8"/>
    </row>
    <row r="618" ht="12.75" customHeight="1">
      <c r="A618" s="7"/>
      <c r="B618" s="8"/>
    </row>
    <row r="619" ht="12.75" customHeight="1">
      <c r="A619" s="7"/>
      <c r="B619" s="8"/>
    </row>
    <row r="620" ht="12.75" customHeight="1">
      <c r="A620" s="7"/>
      <c r="B620" s="8"/>
    </row>
    <row r="621" ht="12.75" customHeight="1">
      <c r="A621" s="7"/>
      <c r="B621" s="8"/>
    </row>
    <row r="622" ht="12.75" customHeight="1">
      <c r="A622" s="7"/>
      <c r="B622" s="8"/>
    </row>
    <row r="623" ht="12.75" customHeight="1">
      <c r="A623" s="7"/>
      <c r="B623" s="8"/>
    </row>
    <row r="624" ht="12.75" customHeight="1">
      <c r="A624" s="7"/>
      <c r="B624" s="8"/>
    </row>
    <row r="625" ht="12.75" customHeight="1">
      <c r="A625" s="7"/>
      <c r="B625" s="8"/>
    </row>
    <row r="626" ht="12.75" customHeight="1">
      <c r="A626" s="7"/>
      <c r="B626" s="8"/>
    </row>
    <row r="627" ht="12.75" customHeight="1">
      <c r="A627" s="7"/>
      <c r="B627" s="8"/>
    </row>
    <row r="628" ht="12.75" customHeight="1">
      <c r="A628" s="7"/>
      <c r="B628" s="8"/>
    </row>
    <row r="629" ht="12.75" customHeight="1">
      <c r="A629" s="7"/>
      <c r="B629" s="8"/>
    </row>
    <row r="630" ht="12.75" customHeight="1">
      <c r="A630" s="7"/>
      <c r="B630" s="8"/>
    </row>
    <row r="631" ht="12.75" customHeight="1">
      <c r="A631" s="7"/>
      <c r="B631" s="8"/>
    </row>
    <row r="632" ht="12.75" customHeight="1">
      <c r="A632" s="7"/>
      <c r="B632" s="8"/>
    </row>
    <row r="633" ht="12.75" customHeight="1">
      <c r="A633" s="7"/>
      <c r="B633" s="8"/>
    </row>
    <row r="634" ht="12.75" customHeight="1">
      <c r="A634" s="7"/>
      <c r="B634" s="8"/>
    </row>
    <row r="635" ht="12.75" customHeight="1">
      <c r="A635" s="7"/>
      <c r="B635" s="8"/>
    </row>
    <row r="636" ht="12.75" customHeight="1">
      <c r="A636" s="7"/>
      <c r="B636" s="8"/>
    </row>
    <row r="637" ht="12.75" customHeight="1">
      <c r="A637" s="7"/>
      <c r="B637" s="8"/>
    </row>
    <row r="638" ht="12.75" customHeight="1">
      <c r="A638" s="7"/>
      <c r="B638" s="8"/>
    </row>
    <row r="639" ht="12.75" customHeight="1">
      <c r="A639" s="7"/>
      <c r="B639" s="8"/>
    </row>
    <row r="640" ht="12.75" customHeight="1">
      <c r="A640" s="7"/>
      <c r="B640" s="8"/>
    </row>
    <row r="641" ht="12.75" customHeight="1">
      <c r="A641" s="7"/>
      <c r="B641" s="8"/>
    </row>
    <row r="642" ht="12.75" customHeight="1">
      <c r="A642" s="7"/>
      <c r="B642" s="8"/>
    </row>
    <row r="643" ht="12.75" customHeight="1">
      <c r="A643" s="7"/>
      <c r="B643" s="8"/>
    </row>
    <row r="644" ht="12.75" customHeight="1">
      <c r="A644" s="7"/>
      <c r="B644" s="8"/>
    </row>
    <row r="645" ht="12.75" customHeight="1">
      <c r="A645" s="7"/>
      <c r="B645" s="8"/>
    </row>
    <row r="646" ht="12.75" customHeight="1">
      <c r="A646" s="7"/>
      <c r="B646" s="8"/>
    </row>
    <row r="647" ht="12.75" customHeight="1">
      <c r="A647" s="7"/>
      <c r="B647" s="8"/>
    </row>
    <row r="648" ht="12.75" customHeight="1">
      <c r="A648" s="7"/>
      <c r="B648" s="8"/>
    </row>
    <row r="649" ht="12.75" customHeight="1">
      <c r="A649" s="7"/>
      <c r="B649" s="8"/>
    </row>
    <row r="650" ht="12.75" customHeight="1">
      <c r="A650" s="7"/>
      <c r="B650" s="8"/>
    </row>
    <row r="651" ht="12.75" customHeight="1">
      <c r="A651" s="7"/>
      <c r="B651" s="8"/>
    </row>
    <row r="652" ht="12.75" customHeight="1">
      <c r="A652" s="7"/>
      <c r="B652" s="8"/>
    </row>
    <row r="653" ht="12.75" customHeight="1">
      <c r="A653" s="7"/>
      <c r="B653" s="8"/>
    </row>
    <row r="654" ht="12.75" customHeight="1">
      <c r="A654" s="7"/>
      <c r="B654" s="8"/>
    </row>
    <row r="655" ht="12.75" customHeight="1">
      <c r="A655" s="7"/>
      <c r="B655" s="8"/>
    </row>
    <row r="656" ht="12.75" customHeight="1">
      <c r="A656" s="7"/>
      <c r="B656" s="8"/>
    </row>
    <row r="657" ht="12.75" customHeight="1">
      <c r="A657" s="7"/>
      <c r="B657" s="8"/>
    </row>
    <row r="658" ht="12.75" customHeight="1">
      <c r="A658" s="7"/>
      <c r="B658" s="8"/>
    </row>
    <row r="659" ht="12.75" customHeight="1">
      <c r="A659" s="7"/>
      <c r="B659" s="8"/>
    </row>
    <row r="660" ht="12.75" customHeight="1">
      <c r="A660" s="7"/>
      <c r="B660" s="8"/>
    </row>
    <row r="661" ht="12.75" customHeight="1">
      <c r="A661" s="7"/>
      <c r="B661" s="8"/>
    </row>
    <row r="662" ht="12.75" customHeight="1">
      <c r="A662" s="7"/>
      <c r="B662" s="8"/>
    </row>
    <row r="663" ht="12.75" customHeight="1">
      <c r="A663" s="7"/>
      <c r="B663" s="8"/>
    </row>
    <row r="664" ht="12.75" customHeight="1">
      <c r="A664" s="7"/>
      <c r="B664" s="8"/>
    </row>
    <row r="665" ht="12.75" customHeight="1">
      <c r="A665" s="7"/>
      <c r="B665" s="8"/>
    </row>
    <row r="666" ht="12.75" customHeight="1">
      <c r="A666" s="7"/>
      <c r="B666" s="8"/>
    </row>
    <row r="667" ht="12.75" customHeight="1">
      <c r="A667" s="7"/>
      <c r="B667" s="8"/>
    </row>
    <row r="668" ht="12.75" customHeight="1">
      <c r="A668" s="7"/>
      <c r="B668" s="8"/>
    </row>
    <row r="669" ht="12.75" customHeight="1">
      <c r="A669" s="7"/>
      <c r="B669" s="8"/>
    </row>
    <row r="670" ht="12.75" customHeight="1">
      <c r="A670" s="7"/>
      <c r="B670" s="8"/>
    </row>
    <row r="671" ht="12.75" customHeight="1">
      <c r="A671" s="7"/>
      <c r="B671" s="8"/>
    </row>
    <row r="672" ht="12.75" customHeight="1">
      <c r="A672" s="7"/>
      <c r="B672" s="8"/>
    </row>
    <row r="673" ht="12.75" customHeight="1">
      <c r="A673" s="7"/>
      <c r="B673" s="8"/>
    </row>
    <row r="674" ht="12.75" customHeight="1">
      <c r="A674" s="7"/>
      <c r="B674" s="8"/>
    </row>
    <row r="675" ht="12.75" customHeight="1">
      <c r="A675" s="7"/>
      <c r="B675" s="8"/>
    </row>
    <row r="676" ht="12.75" customHeight="1">
      <c r="A676" s="7"/>
      <c r="B676" s="8"/>
    </row>
    <row r="677" ht="12.75" customHeight="1">
      <c r="A677" s="7"/>
      <c r="B677" s="8"/>
    </row>
    <row r="678" ht="12.75" customHeight="1">
      <c r="A678" s="7"/>
      <c r="B678" s="8"/>
    </row>
    <row r="679" ht="12.75" customHeight="1">
      <c r="A679" s="7"/>
      <c r="B679" s="8"/>
    </row>
    <row r="680" ht="12.75" customHeight="1">
      <c r="A680" s="7"/>
      <c r="B680" s="8"/>
    </row>
    <row r="681" ht="12.75" customHeight="1">
      <c r="A681" s="7"/>
      <c r="B681" s="8"/>
    </row>
    <row r="682" ht="12.75" customHeight="1">
      <c r="A682" s="7"/>
      <c r="B682" s="8"/>
    </row>
    <row r="683" ht="12.75" customHeight="1">
      <c r="A683" s="7"/>
      <c r="B683" s="8"/>
    </row>
    <row r="684" ht="12.75" customHeight="1">
      <c r="A684" s="7"/>
      <c r="B684" s="8"/>
    </row>
    <row r="685" ht="12.75" customHeight="1">
      <c r="A685" s="7"/>
      <c r="B685" s="8"/>
    </row>
    <row r="686" ht="12.75" customHeight="1">
      <c r="A686" s="7"/>
      <c r="B686" s="8"/>
    </row>
    <row r="687" ht="12.75" customHeight="1">
      <c r="A687" s="7"/>
      <c r="B687" s="8"/>
    </row>
    <row r="688" ht="12.75" customHeight="1">
      <c r="A688" s="7"/>
      <c r="B688" s="8"/>
    </row>
    <row r="689" ht="12.75" customHeight="1">
      <c r="A689" s="7"/>
      <c r="B689" s="8"/>
    </row>
    <row r="690" ht="12.75" customHeight="1">
      <c r="A690" s="7"/>
      <c r="B690" s="8"/>
    </row>
    <row r="691" ht="12.75" customHeight="1">
      <c r="A691" s="7"/>
      <c r="B691" s="8"/>
    </row>
    <row r="692" ht="12.75" customHeight="1">
      <c r="A692" s="7"/>
      <c r="B692" s="8"/>
    </row>
    <row r="693" ht="12.75" customHeight="1">
      <c r="A693" s="7"/>
      <c r="B693" s="8"/>
    </row>
    <row r="694" ht="12.75" customHeight="1">
      <c r="A694" s="7"/>
      <c r="B694" s="8"/>
    </row>
    <row r="695" ht="12.75" customHeight="1">
      <c r="A695" s="7"/>
      <c r="B695" s="8"/>
    </row>
    <row r="696" ht="12.75" customHeight="1">
      <c r="A696" s="7"/>
      <c r="B696" s="8"/>
    </row>
    <row r="697" ht="12.75" customHeight="1">
      <c r="A697" s="7"/>
      <c r="B697" s="8"/>
    </row>
    <row r="698" ht="12.75" customHeight="1">
      <c r="A698" s="7"/>
      <c r="B698" s="8"/>
    </row>
    <row r="699" ht="12.75" customHeight="1">
      <c r="A699" s="7"/>
      <c r="B699" s="8"/>
    </row>
    <row r="700" ht="12.75" customHeight="1">
      <c r="A700" s="7"/>
      <c r="B700" s="8"/>
    </row>
    <row r="701" ht="12.75" customHeight="1">
      <c r="A701" s="7"/>
      <c r="B701" s="8"/>
    </row>
    <row r="702" ht="12.75" customHeight="1">
      <c r="A702" s="7"/>
      <c r="B702" s="8"/>
    </row>
    <row r="703" ht="12.75" customHeight="1">
      <c r="A703" s="7"/>
      <c r="B703" s="8"/>
    </row>
    <row r="704" ht="12.75" customHeight="1">
      <c r="A704" s="7"/>
      <c r="B704" s="8"/>
    </row>
    <row r="705" ht="12.75" customHeight="1">
      <c r="A705" s="7"/>
      <c r="B705" s="8"/>
    </row>
    <row r="706" ht="12.75" customHeight="1">
      <c r="A706" s="7"/>
      <c r="B706" s="8"/>
    </row>
    <row r="707" ht="12.75" customHeight="1">
      <c r="A707" s="7"/>
      <c r="B707" s="8"/>
    </row>
    <row r="708" ht="12.75" customHeight="1">
      <c r="A708" s="7"/>
      <c r="B708" s="8"/>
    </row>
    <row r="709" ht="12.75" customHeight="1">
      <c r="A709" s="7"/>
      <c r="B709" s="8"/>
    </row>
    <row r="710" ht="12.75" customHeight="1">
      <c r="A710" s="7"/>
      <c r="B710" s="8"/>
    </row>
    <row r="711" ht="12.75" customHeight="1">
      <c r="A711" s="7"/>
      <c r="B711" s="8"/>
    </row>
    <row r="712" ht="12.75" customHeight="1">
      <c r="A712" s="7"/>
      <c r="B712" s="8"/>
    </row>
    <row r="713" ht="12.75" customHeight="1">
      <c r="A713" s="7"/>
      <c r="B713" s="8"/>
    </row>
    <row r="714" ht="12.75" customHeight="1">
      <c r="A714" s="7"/>
      <c r="B714" s="8"/>
    </row>
    <row r="715" ht="12.75" customHeight="1">
      <c r="A715" s="7"/>
      <c r="B715" s="8"/>
    </row>
    <row r="716" ht="12.75" customHeight="1">
      <c r="A716" s="7"/>
      <c r="B716" s="8"/>
    </row>
    <row r="717" ht="12.75" customHeight="1">
      <c r="A717" s="7"/>
      <c r="B717" s="8"/>
    </row>
    <row r="718" ht="12.75" customHeight="1">
      <c r="A718" s="7"/>
      <c r="B718" s="8"/>
    </row>
    <row r="719" ht="12.75" customHeight="1">
      <c r="A719" s="7"/>
      <c r="B719" s="8"/>
    </row>
    <row r="720" ht="12.75" customHeight="1">
      <c r="A720" s="7"/>
      <c r="B720" s="8"/>
    </row>
    <row r="721" ht="12.75" customHeight="1">
      <c r="A721" s="7"/>
      <c r="B721" s="8"/>
    </row>
    <row r="722" ht="12.75" customHeight="1">
      <c r="A722" s="7"/>
      <c r="B722" s="8"/>
    </row>
    <row r="723" ht="12.75" customHeight="1">
      <c r="A723" s="7"/>
      <c r="B723" s="8"/>
    </row>
    <row r="724" ht="12.75" customHeight="1">
      <c r="A724" s="7"/>
      <c r="B724" s="8"/>
    </row>
    <row r="725" ht="12.75" customHeight="1">
      <c r="A725" s="7"/>
      <c r="B725" s="8"/>
    </row>
    <row r="726" ht="12.75" customHeight="1">
      <c r="A726" s="7"/>
      <c r="B726" s="8"/>
    </row>
    <row r="727" ht="12.75" customHeight="1">
      <c r="A727" s="7"/>
      <c r="B727" s="8"/>
    </row>
    <row r="728" ht="12.75" customHeight="1">
      <c r="A728" s="7"/>
      <c r="B728" s="8"/>
    </row>
    <row r="729" ht="12.75" customHeight="1">
      <c r="A729" s="7"/>
      <c r="B729" s="8"/>
    </row>
    <row r="730" ht="12.75" customHeight="1">
      <c r="A730" s="7"/>
      <c r="B730" s="8"/>
    </row>
    <row r="731" ht="12.75" customHeight="1">
      <c r="A731" s="7"/>
      <c r="B731" s="8"/>
    </row>
    <row r="732" ht="12.75" customHeight="1">
      <c r="A732" s="7"/>
      <c r="B732" s="8"/>
    </row>
    <row r="733" ht="12.75" customHeight="1">
      <c r="A733" s="7"/>
      <c r="B733" s="8"/>
    </row>
    <row r="734" ht="12.75" customHeight="1">
      <c r="A734" s="7"/>
      <c r="B734" s="8"/>
    </row>
    <row r="735" ht="12.75" customHeight="1">
      <c r="A735" s="7"/>
      <c r="B735" s="8"/>
    </row>
    <row r="736" ht="12.75" customHeight="1">
      <c r="A736" s="7"/>
      <c r="B736" s="8"/>
    </row>
    <row r="737" ht="12.75" customHeight="1">
      <c r="A737" s="7"/>
      <c r="B737" s="8"/>
    </row>
    <row r="738" ht="12.75" customHeight="1">
      <c r="A738" s="7"/>
      <c r="B738" s="8"/>
    </row>
    <row r="739" ht="12.75" customHeight="1">
      <c r="A739" s="7"/>
      <c r="B739" s="8"/>
    </row>
    <row r="740" ht="12.75" customHeight="1">
      <c r="A740" s="7"/>
      <c r="B740" s="8"/>
    </row>
    <row r="741" ht="12.75" customHeight="1">
      <c r="A741" s="7"/>
      <c r="B741" s="8"/>
    </row>
    <row r="742" ht="12.75" customHeight="1">
      <c r="A742" s="7"/>
      <c r="B742" s="8"/>
    </row>
    <row r="743" ht="12.75" customHeight="1">
      <c r="A743" s="7"/>
      <c r="B743" s="8"/>
    </row>
    <row r="744" ht="12.75" customHeight="1">
      <c r="A744" s="7"/>
      <c r="B744" s="8"/>
    </row>
    <row r="745" ht="12.75" customHeight="1">
      <c r="A745" s="7"/>
      <c r="B745" s="8"/>
    </row>
    <row r="746" ht="12.75" customHeight="1">
      <c r="A746" s="7"/>
      <c r="B746" s="8"/>
    </row>
    <row r="747" ht="12.75" customHeight="1">
      <c r="A747" s="7"/>
      <c r="B747" s="8"/>
    </row>
    <row r="748" ht="12.75" customHeight="1">
      <c r="A748" s="7"/>
      <c r="B748" s="8"/>
    </row>
    <row r="749" ht="12.75" customHeight="1">
      <c r="A749" s="7"/>
      <c r="B749" s="8"/>
    </row>
    <row r="750" ht="12.75" customHeight="1">
      <c r="A750" s="7"/>
      <c r="B750" s="8"/>
    </row>
    <row r="751" ht="12.75" customHeight="1">
      <c r="A751" s="7"/>
      <c r="B751" s="8"/>
    </row>
    <row r="752" ht="12.75" customHeight="1">
      <c r="A752" s="7"/>
      <c r="B752" s="8"/>
    </row>
    <row r="753" ht="12.75" customHeight="1">
      <c r="A753" s="7"/>
      <c r="B753" s="8"/>
    </row>
    <row r="754" ht="12.75" customHeight="1">
      <c r="A754" s="7"/>
      <c r="B754" s="8"/>
    </row>
    <row r="755" ht="12.75" customHeight="1">
      <c r="A755" s="7"/>
      <c r="B755" s="8"/>
    </row>
    <row r="756" ht="12.75" customHeight="1">
      <c r="A756" s="7"/>
      <c r="B756" s="8"/>
    </row>
    <row r="757" ht="12.75" customHeight="1">
      <c r="A757" s="7"/>
      <c r="B757" s="8"/>
    </row>
    <row r="758" ht="12.75" customHeight="1">
      <c r="A758" s="7"/>
      <c r="B758" s="8"/>
    </row>
    <row r="759" ht="12.75" customHeight="1">
      <c r="A759" s="7"/>
      <c r="B759" s="8"/>
    </row>
    <row r="760" ht="12.75" customHeight="1">
      <c r="A760" s="7"/>
      <c r="B760" s="8"/>
    </row>
    <row r="761" ht="12.75" customHeight="1">
      <c r="A761" s="7"/>
      <c r="B761" s="8"/>
    </row>
    <row r="762" ht="12.75" customHeight="1">
      <c r="A762" s="7"/>
      <c r="B762" s="8"/>
    </row>
    <row r="763" ht="12.75" customHeight="1">
      <c r="A763" s="7"/>
      <c r="B763" s="8"/>
    </row>
    <row r="764" ht="12.75" customHeight="1">
      <c r="A764" s="7"/>
      <c r="B764" s="8"/>
    </row>
    <row r="765" ht="12.75" customHeight="1">
      <c r="A765" s="7"/>
      <c r="B765" s="8"/>
    </row>
    <row r="766" ht="12.75" customHeight="1">
      <c r="A766" s="7"/>
      <c r="B766" s="8"/>
    </row>
    <row r="767" ht="12.75" customHeight="1">
      <c r="A767" s="7"/>
      <c r="B767" s="8"/>
    </row>
    <row r="768" ht="12.75" customHeight="1">
      <c r="A768" s="7"/>
      <c r="B768" s="8"/>
    </row>
    <row r="769" ht="12.75" customHeight="1">
      <c r="A769" s="7"/>
      <c r="B769" s="8"/>
    </row>
    <row r="770" ht="12.75" customHeight="1">
      <c r="A770" s="7"/>
      <c r="B770" s="8"/>
    </row>
    <row r="771" ht="12.75" customHeight="1">
      <c r="A771" s="7"/>
      <c r="B771" s="8"/>
    </row>
    <row r="772" ht="12.75" customHeight="1">
      <c r="A772" s="7"/>
      <c r="B772" s="8"/>
    </row>
    <row r="773" ht="12.75" customHeight="1">
      <c r="A773" s="7"/>
      <c r="B773" s="8"/>
    </row>
    <row r="774" ht="12.75" customHeight="1">
      <c r="A774" s="7"/>
      <c r="B774" s="8"/>
    </row>
    <row r="775" ht="12.75" customHeight="1">
      <c r="A775" s="7"/>
      <c r="B775" s="8"/>
    </row>
    <row r="776" ht="12.75" customHeight="1">
      <c r="A776" s="7"/>
      <c r="B776" s="8"/>
    </row>
    <row r="777" ht="12.75" customHeight="1">
      <c r="A777" s="7"/>
      <c r="B777" s="8"/>
    </row>
    <row r="778" ht="12.75" customHeight="1">
      <c r="A778" s="7"/>
      <c r="B778" s="8"/>
    </row>
    <row r="779" ht="12.75" customHeight="1">
      <c r="A779" s="7"/>
      <c r="B779" s="8"/>
    </row>
    <row r="780" ht="12.75" customHeight="1">
      <c r="A780" s="7"/>
      <c r="B780" s="8"/>
    </row>
    <row r="781" ht="12.75" customHeight="1">
      <c r="A781" s="7"/>
      <c r="B781" s="8"/>
    </row>
    <row r="782" ht="12.75" customHeight="1">
      <c r="A782" s="7"/>
      <c r="B782" s="8"/>
    </row>
    <row r="783" ht="12.75" customHeight="1">
      <c r="A783" s="7"/>
      <c r="B783" s="8"/>
    </row>
    <row r="784" ht="12.75" customHeight="1">
      <c r="A784" s="7"/>
      <c r="B784" s="8"/>
    </row>
    <row r="785" ht="12.75" customHeight="1">
      <c r="A785" s="7"/>
      <c r="B785" s="8"/>
    </row>
    <row r="786" ht="12.75" customHeight="1">
      <c r="A786" s="7"/>
      <c r="B786" s="8"/>
    </row>
    <row r="787" ht="12.75" customHeight="1">
      <c r="A787" s="7"/>
      <c r="B787" s="8"/>
    </row>
    <row r="788" ht="12.75" customHeight="1">
      <c r="A788" s="7"/>
      <c r="B788" s="8"/>
    </row>
    <row r="789" ht="12.75" customHeight="1">
      <c r="A789" s="7"/>
      <c r="B789" s="8"/>
    </row>
    <row r="790" ht="12.75" customHeight="1">
      <c r="A790" s="7"/>
      <c r="B790" s="8"/>
    </row>
    <row r="791" ht="12.75" customHeight="1">
      <c r="A791" s="7"/>
      <c r="B791" s="8"/>
    </row>
    <row r="792" ht="12.75" customHeight="1">
      <c r="A792" s="7"/>
      <c r="B792" s="8"/>
    </row>
    <row r="793" ht="12.75" customHeight="1">
      <c r="A793" s="7"/>
      <c r="B793" s="8"/>
    </row>
    <row r="794" ht="12.75" customHeight="1">
      <c r="A794" s="7"/>
      <c r="B794" s="8"/>
    </row>
    <row r="795" ht="12.75" customHeight="1">
      <c r="A795" s="7"/>
      <c r="B795" s="8"/>
    </row>
    <row r="796" ht="12.75" customHeight="1">
      <c r="A796" s="7"/>
      <c r="B796" s="8"/>
    </row>
    <row r="797" ht="12.75" customHeight="1">
      <c r="A797" s="7"/>
      <c r="B797" s="8"/>
    </row>
    <row r="798" ht="12.75" customHeight="1">
      <c r="A798" s="7"/>
      <c r="B798" s="8"/>
    </row>
    <row r="799" ht="12.75" customHeight="1">
      <c r="A799" s="7"/>
      <c r="B799" s="8"/>
    </row>
    <row r="800" ht="12.75" customHeight="1">
      <c r="A800" s="7"/>
      <c r="B800" s="8"/>
    </row>
    <row r="801" ht="12.75" customHeight="1">
      <c r="A801" s="7"/>
      <c r="B801" s="8"/>
    </row>
    <row r="802" ht="12.75" customHeight="1">
      <c r="A802" s="7"/>
      <c r="B802" s="8"/>
    </row>
    <row r="803" ht="12.75" customHeight="1">
      <c r="A803" s="7"/>
      <c r="B803" s="8"/>
    </row>
    <row r="804" ht="12.75" customHeight="1">
      <c r="A804" s="7"/>
      <c r="B804" s="8"/>
    </row>
    <row r="805" ht="12.75" customHeight="1">
      <c r="A805" s="7"/>
      <c r="B805" s="8"/>
    </row>
    <row r="806" ht="12.75" customHeight="1">
      <c r="A806" s="7"/>
      <c r="B806" s="8"/>
    </row>
    <row r="807" ht="12.75" customHeight="1">
      <c r="A807" s="7"/>
      <c r="B807" s="8"/>
    </row>
    <row r="808" ht="12.75" customHeight="1">
      <c r="A808" s="7"/>
      <c r="B808" s="8"/>
    </row>
    <row r="809" ht="12.75" customHeight="1">
      <c r="A809" s="7"/>
      <c r="B809" s="8"/>
    </row>
    <row r="810" ht="12.75" customHeight="1">
      <c r="A810" s="7"/>
      <c r="B810" s="8"/>
    </row>
    <row r="811" ht="12.75" customHeight="1">
      <c r="A811" s="7"/>
      <c r="B811" s="8"/>
    </row>
    <row r="812" ht="12.75" customHeight="1">
      <c r="A812" s="7"/>
      <c r="B812" s="8"/>
    </row>
    <row r="813" ht="12.75" customHeight="1">
      <c r="A813" s="7"/>
      <c r="B813" s="8"/>
    </row>
    <row r="814" ht="12.75" customHeight="1">
      <c r="A814" s="7"/>
      <c r="B814" s="8"/>
    </row>
    <row r="815" ht="12.75" customHeight="1">
      <c r="A815" s="7"/>
      <c r="B815" s="8"/>
    </row>
    <row r="816" ht="12.75" customHeight="1">
      <c r="A816" s="7"/>
      <c r="B816" s="8"/>
    </row>
    <row r="817" ht="12.75" customHeight="1">
      <c r="A817" s="7"/>
      <c r="B817" s="8"/>
    </row>
    <row r="818" ht="12.75" customHeight="1">
      <c r="A818" s="7"/>
      <c r="B818" s="8"/>
    </row>
    <row r="819" ht="12.75" customHeight="1">
      <c r="A819" s="7"/>
      <c r="B819" s="8"/>
    </row>
    <row r="820" ht="12.75" customHeight="1">
      <c r="A820" s="7"/>
      <c r="B820" s="8"/>
    </row>
    <row r="821" ht="12.75" customHeight="1">
      <c r="A821" s="7"/>
      <c r="B821" s="8"/>
    </row>
    <row r="822" ht="12.75" customHeight="1">
      <c r="A822" s="7"/>
      <c r="B822" s="8"/>
    </row>
    <row r="823" ht="12.75" customHeight="1">
      <c r="A823" s="7"/>
      <c r="B823" s="8"/>
    </row>
    <row r="824" ht="12.75" customHeight="1">
      <c r="A824" s="7"/>
      <c r="B824" s="8"/>
    </row>
    <row r="825" ht="12.75" customHeight="1">
      <c r="A825" s="7"/>
      <c r="B825" s="8"/>
    </row>
    <row r="826" ht="12.75" customHeight="1">
      <c r="A826" s="7"/>
      <c r="B826" s="8"/>
    </row>
    <row r="827" ht="12.75" customHeight="1">
      <c r="A827" s="7"/>
      <c r="B827" s="8"/>
    </row>
    <row r="828" ht="12.75" customHeight="1">
      <c r="A828" s="7"/>
      <c r="B828" s="8"/>
    </row>
    <row r="829" ht="12.75" customHeight="1">
      <c r="A829" s="7"/>
      <c r="B829" s="8"/>
    </row>
    <row r="830" ht="12.75" customHeight="1">
      <c r="A830" s="7"/>
      <c r="B830" s="8"/>
    </row>
    <row r="831" ht="12.75" customHeight="1">
      <c r="A831" s="7"/>
      <c r="B831" s="8"/>
    </row>
    <row r="832" ht="12.75" customHeight="1">
      <c r="A832" s="7"/>
      <c r="B832" s="8"/>
    </row>
    <row r="833" ht="12.75" customHeight="1">
      <c r="A833" s="7"/>
      <c r="B833" s="8"/>
    </row>
    <row r="834" ht="12.75" customHeight="1">
      <c r="A834" s="7"/>
      <c r="B834" s="8"/>
    </row>
    <row r="835" ht="12.75" customHeight="1">
      <c r="A835" s="7"/>
      <c r="B835" s="8"/>
    </row>
    <row r="836" ht="12.75" customHeight="1">
      <c r="A836" s="7"/>
      <c r="B836" s="8"/>
    </row>
    <row r="837" ht="12.75" customHeight="1">
      <c r="A837" s="7"/>
      <c r="B837" s="8"/>
    </row>
    <row r="838" ht="12.75" customHeight="1">
      <c r="A838" s="7"/>
      <c r="B838" s="8"/>
    </row>
    <row r="839" ht="12.75" customHeight="1">
      <c r="A839" s="7"/>
      <c r="B839" s="8"/>
    </row>
    <row r="840" ht="12.75" customHeight="1">
      <c r="A840" s="7"/>
      <c r="B840" s="8"/>
    </row>
    <row r="841" ht="12.75" customHeight="1">
      <c r="A841" s="7"/>
      <c r="B841" s="8"/>
    </row>
    <row r="842" ht="12.75" customHeight="1">
      <c r="A842" s="7"/>
      <c r="B842" s="8"/>
    </row>
    <row r="843" ht="12.75" customHeight="1">
      <c r="A843" s="7"/>
      <c r="B843" s="8"/>
    </row>
    <row r="844" ht="12.75" customHeight="1">
      <c r="A844" s="7"/>
      <c r="B844" s="8"/>
    </row>
    <row r="845" ht="12.75" customHeight="1">
      <c r="A845" s="7"/>
      <c r="B845" s="8"/>
    </row>
    <row r="846" ht="12.75" customHeight="1">
      <c r="A846" s="7"/>
      <c r="B846" s="8"/>
    </row>
    <row r="847" ht="12.75" customHeight="1">
      <c r="A847" s="7"/>
      <c r="B847" s="8"/>
    </row>
    <row r="848" ht="12.75" customHeight="1">
      <c r="A848" s="7"/>
      <c r="B848" s="8"/>
    </row>
    <row r="849" ht="12.75" customHeight="1">
      <c r="A849" s="7"/>
      <c r="B849" s="8"/>
    </row>
    <row r="850" ht="12.75" customHeight="1">
      <c r="A850" s="7"/>
      <c r="B850" s="8"/>
    </row>
    <row r="851" ht="12.75" customHeight="1">
      <c r="A851" s="7"/>
      <c r="B851" s="8"/>
    </row>
    <row r="852" ht="12.75" customHeight="1">
      <c r="A852" s="7"/>
      <c r="B852" s="8"/>
    </row>
    <row r="853" ht="12.75" customHeight="1">
      <c r="A853" s="7"/>
      <c r="B853" s="8"/>
    </row>
    <row r="854" ht="12.75" customHeight="1">
      <c r="A854" s="7"/>
      <c r="B854" s="8"/>
    </row>
    <row r="855" ht="12.75" customHeight="1">
      <c r="A855" s="7"/>
      <c r="B855" s="8"/>
    </row>
    <row r="856" ht="12.75" customHeight="1">
      <c r="A856" s="7"/>
      <c r="B856" s="8"/>
    </row>
    <row r="857" ht="12.75" customHeight="1">
      <c r="A857" s="7"/>
      <c r="B857" s="8"/>
    </row>
    <row r="858" ht="12.75" customHeight="1">
      <c r="A858" s="7"/>
      <c r="B858" s="8"/>
    </row>
    <row r="859" ht="12.75" customHeight="1">
      <c r="A859" s="7"/>
      <c r="B859" s="8"/>
    </row>
    <row r="860" ht="12.75" customHeight="1">
      <c r="A860" s="7"/>
      <c r="B860" s="8"/>
    </row>
    <row r="861" ht="12.75" customHeight="1">
      <c r="A861" s="7"/>
      <c r="B861" s="8"/>
    </row>
    <row r="862" ht="12.75" customHeight="1">
      <c r="A862" s="7"/>
      <c r="B862" s="8"/>
    </row>
    <row r="863" ht="12.75" customHeight="1">
      <c r="A863" s="7"/>
      <c r="B863" s="8"/>
    </row>
    <row r="864" ht="12.75" customHeight="1">
      <c r="A864" s="7"/>
      <c r="B864" s="8"/>
    </row>
    <row r="865" ht="12.75" customHeight="1">
      <c r="A865" s="7"/>
      <c r="B865" s="8"/>
    </row>
    <row r="866" ht="12.75" customHeight="1">
      <c r="A866" s="7"/>
      <c r="B866" s="8"/>
    </row>
    <row r="867" ht="12.75" customHeight="1">
      <c r="A867" s="7"/>
      <c r="B867" s="8"/>
    </row>
    <row r="868" ht="12.75" customHeight="1">
      <c r="A868" s="7"/>
      <c r="B868" s="8"/>
    </row>
    <row r="869" ht="12.75" customHeight="1">
      <c r="A869" s="7"/>
      <c r="B869" s="8"/>
    </row>
    <row r="870" ht="12.75" customHeight="1">
      <c r="A870" s="7"/>
      <c r="B870" s="8"/>
    </row>
    <row r="871" ht="12.75" customHeight="1">
      <c r="A871" s="7"/>
      <c r="B871" s="8"/>
    </row>
    <row r="872" ht="12.75" customHeight="1">
      <c r="A872" s="7"/>
      <c r="B872" s="8"/>
    </row>
    <row r="873" ht="12.75" customHeight="1">
      <c r="A873" s="7"/>
      <c r="B873" s="8"/>
    </row>
    <row r="874" ht="12.75" customHeight="1">
      <c r="A874" s="7"/>
      <c r="B874" s="8"/>
    </row>
    <row r="875" ht="12.75" customHeight="1">
      <c r="A875" s="7"/>
      <c r="B875" s="8"/>
    </row>
    <row r="876" ht="12.75" customHeight="1">
      <c r="A876" s="7"/>
      <c r="B876" s="8"/>
    </row>
    <row r="877" ht="12.75" customHeight="1">
      <c r="A877" s="7"/>
      <c r="B877" s="8"/>
    </row>
    <row r="878" ht="12.75" customHeight="1">
      <c r="A878" s="7"/>
      <c r="B878" s="8"/>
    </row>
    <row r="879" ht="12.75" customHeight="1">
      <c r="A879" s="7"/>
      <c r="B879" s="8"/>
    </row>
    <row r="880" ht="12.75" customHeight="1">
      <c r="A880" s="7"/>
      <c r="B880" s="8"/>
    </row>
    <row r="881" ht="12.75" customHeight="1">
      <c r="A881" s="7"/>
      <c r="B881" s="8"/>
    </row>
    <row r="882" ht="12.75" customHeight="1">
      <c r="A882" s="7"/>
      <c r="B882" s="8"/>
    </row>
    <row r="883" ht="12.75" customHeight="1">
      <c r="A883" s="7"/>
      <c r="B883" s="8"/>
    </row>
    <row r="884" ht="12.75" customHeight="1">
      <c r="A884" s="7"/>
      <c r="B884" s="8"/>
    </row>
    <row r="885" ht="12.75" customHeight="1">
      <c r="A885" s="7"/>
      <c r="B885" s="8"/>
    </row>
    <row r="886" ht="12.75" customHeight="1">
      <c r="A886" s="7"/>
      <c r="B886" s="8"/>
    </row>
    <row r="887" ht="12.75" customHeight="1">
      <c r="A887" s="7"/>
      <c r="B887" s="8"/>
    </row>
    <row r="888" ht="12.75" customHeight="1">
      <c r="A888" s="7"/>
      <c r="B888" s="8"/>
    </row>
    <row r="889" ht="12.75" customHeight="1">
      <c r="A889" s="7"/>
      <c r="B889" s="8"/>
    </row>
    <row r="890" ht="12.75" customHeight="1">
      <c r="A890" s="7"/>
      <c r="B890" s="8"/>
    </row>
    <row r="891" ht="12.75" customHeight="1">
      <c r="A891" s="7"/>
      <c r="B891" s="8"/>
    </row>
    <row r="892" ht="12.75" customHeight="1">
      <c r="A892" s="7"/>
      <c r="B892" s="8"/>
    </row>
    <row r="893" ht="12.75" customHeight="1">
      <c r="A893" s="7"/>
      <c r="B893" s="8"/>
    </row>
    <row r="894" ht="12.75" customHeight="1">
      <c r="A894" s="7"/>
      <c r="B894" s="8"/>
    </row>
    <row r="895" ht="12.75" customHeight="1">
      <c r="A895" s="7"/>
      <c r="B895" s="8"/>
    </row>
    <row r="896" ht="12.75" customHeight="1">
      <c r="A896" s="7"/>
      <c r="B896" s="8"/>
    </row>
    <row r="897" ht="12.75" customHeight="1">
      <c r="A897" s="7"/>
      <c r="B897" s="8"/>
    </row>
    <row r="898" ht="12.75" customHeight="1">
      <c r="A898" s="7"/>
      <c r="B898" s="8"/>
    </row>
    <row r="899" ht="12.75" customHeight="1">
      <c r="A899" s="7"/>
      <c r="B899" s="8"/>
    </row>
    <row r="900" ht="12.75" customHeight="1">
      <c r="A900" s="7"/>
      <c r="B900" s="8"/>
    </row>
    <row r="901" ht="12.75" customHeight="1">
      <c r="A901" s="7"/>
      <c r="B901" s="8"/>
    </row>
    <row r="902" ht="12.75" customHeight="1">
      <c r="A902" s="7"/>
      <c r="B902" s="8"/>
    </row>
    <row r="903" ht="12.75" customHeight="1">
      <c r="A903" s="7"/>
      <c r="B903" s="8"/>
    </row>
    <row r="904" ht="12.75" customHeight="1">
      <c r="A904" s="7"/>
      <c r="B904" s="8"/>
    </row>
    <row r="905" ht="12.75" customHeight="1">
      <c r="A905" s="7"/>
      <c r="B905" s="8"/>
    </row>
    <row r="906" ht="12.75" customHeight="1">
      <c r="A906" s="7"/>
      <c r="B906" s="8"/>
    </row>
    <row r="907" ht="12.75" customHeight="1">
      <c r="A907" s="7"/>
      <c r="B907" s="8"/>
    </row>
    <row r="908" ht="12.75" customHeight="1">
      <c r="A908" s="7"/>
      <c r="B908" s="8"/>
    </row>
    <row r="909" ht="12.75" customHeight="1">
      <c r="A909" s="7"/>
      <c r="B909" s="8"/>
    </row>
    <row r="910" ht="12.75" customHeight="1">
      <c r="A910" s="7"/>
      <c r="B910" s="8"/>
    </row>
    <row r="911" ht="12.75" customHeight="1">
      <c r="A911" s="7"/>
      <c r="B911" s="8"/>
    </row>
    <row r="912" ht="12.75" customHeight="1">
      <c r="A912" s="7"/>
      <c r="B912" s="8"/>
    </row>
    <row r="913" ht="12.75" customHeight="1">
      <c r="A913" s="7"/>
      <c r="B913" s="8"/>
    </row>
    <row r="914" ht="12.75" customHeight="1">
      <c r="A914" s="7"/>
      <c r="B914" s="8"/>
    </row>
    <row r="915" ht="12.75" customHeight="1">
      <c r="A915" s="7"/>
      <c r="B915" s="8"/>
    </row>
    <row r="916" ht="12.75" customHeight="1">
      <c r="A916" s="7"/>
      <c r="B916" s="8"/>
    </row>
    <row r="917" ht="12.75" customHeight="1">
      <c r="A917" s="7"/>
      <c r="B917" s="8"/>
    </row>
    <row r="918" ht="12.75" customHeight="1">
      <c r="A918" s="7"/>
      <c r="B918" s="8"/>
    </row>
    <row r="919" ht="12.75" customHeight="1">
      <c r="A919" s="7"/>
      <c r="B919" s="8"/>
    </row>
    <row r="920" ht="12.75" customHeight="1">
      <c r="A920" s="7"/>
      <c r="B920" s="8"/>
    </row>
    <row r="921" ht="12.75" customHeight="1">
      <c r="A921" s="7"/>
      <c r="B921" s="8"/>
    </row>
    <row r="922" ht="12.75" customHeight="1">
      <c r="A922" s="7"/>
      <c r="B922" s="8"/>
    </row>
    <row r="923" ht="12.75" customHeight="1">
      <c r="A923" s="7"/>
      <c r="B923" s="8"/>
    </row>
    <row r="924" ht="12.75" customHeight="1">
      <c r="A924" s="7"/>
      <c r="B924" s="8"/>
    </row>
    <row r="925" ht="12.75" customHeight="1">
      <c r="A925" s="7"/>
      <c r="B925" s="8"/>
    </row>
    <row r="926" ht="12.75" customHeight="1">
      <c r="A926" s="7"/>
      <c r="B926" s="8"/>
    </row>
    <row r="927" ht="12.75" customHeight="1">
      <c r="A927" s="7"/>
      <c r="B927" s="8"/>
    </row>
    <row r="928" ht="12.75" customHeight="1">
      <c r="A928" s="7"/>
      <c r="B928" s="8"/>
    </row>
    <row r="929" ht="12.75" customHeight="1">
      <c r="A929" s="7"/>
      <c r="B929" s="8"/>
    </row>
    <row r="930" ht="12.75" customHeight="1">
      <c r="A930" s="7"/>
      <c r="B930" s="8"/>
    </row>
    <row r="931" ht="12.75" customHeight="1">
      <c r="A931" s="7"/>
      <c r="B931" s="8"/>
    </row>
    <row r="932" ht="12.75" customHeight="1">
      <c r="A932" s="7"/>
      <c r="B932" s="8"/>
    </row>
    <row r="933" ht="12.75" customHeight="1">
      <c r="A933" s="7"/>
      <c r="B933" s="8"/>
    </row>
    <row r="934" ht="12.75" customHeight="1">
      <c r="A934" s="7"/>
      <c r="B934" s="8"/>
    </row>
    <row r="935" ht="12.75" customHeight="1">
      <c r="A935" s="7"/>
      <c r="B935" s="8"/>
    </row>
    <row r="936" ht="12.75" customHeight="1">
      <c r="A936" s="7"/>
      <c r="B936" s="8"/>
    </row>
    <row r="937" ht="12.75" customHeight="1">
      <c r="A937" s="7"/>
      <c r="B937" s="8"/>
    </row>
    <row r="938" ht="12.75" customHeight="1">
      <c r="A938" s="7"/>
      <c r="B938" s="8"/>
    </row>
    <row r="939" ht="12.75" customHeight="1">
      <c r="A939" s="7"/>
      <c r="B939" s="8"/>
    </row>
    <row r="940" ht="12.75" customHeight="1">
      <c r="A940" s="7"/>
      <c r="B940" s="8"/>
    </row>
    <row r="941" ht="12.75" customHeight="1">
      <c r="A941" s="7"/>
      <c r="B941" s="8"/>
    </row>
    <row r="942" ht="12.75" customHeight="1">
      <c r="A942" s="7"/>
      <c r="B942" s="8"/>
    </row>
    <row r="943" ht="12.75" customHeight="1">
      <c r="A943" s="7"/>
      <c r="B943" s="8"/>
    </row>
    <row r="944" ht="12.75" customHeight="1">
      <c r="A944" s="7"/>
      <c r="B944" s="8"/>
    </row>
    <row r="945" ht="12.75" customHeight="1">
      <c r="A945" s="7"/>
      <c r="B945" s="8"/>
    </row>
    <row r="946" ht="12.75" customHeight="1">
      <c r="A946" s="7"/>
      <c r="B946" s="8"/>
    </row>
    <row r="947" ht="12.75" customHeight="1">
      <c r="A947" s="7"/>
      <c r="B947" s="8"/>
    </row>
    <row r="948" ht="12.75" customHeight="1">
      <c r="A948" s="7"/>
      <c r="B948" s="8"/>
    </row>
    <row r="949" ht="12.75" customHeight="1">
      <c r="A949" s="7"/>
      <c r="B949" s="8"/>
    </row>
    <row r="950" ht="12.75" customHeight="1">
      <c r="A950" s="7"/>
      <c r="B950" s="8"/>
    </row>
    <row r="951" ht="12.75" customHeight="1">
      <c r="A951" s="7"/>
      <c r="B951" s="8"/>
    </row>
    <row r="952" ht="12.75" customHeight="1">
      <c r="A952" s="7"/>
      <c r="B952" s="8"/>
    </row>
    <row r="953" ht="12.75" customHeight="1">
      <c r="A953" s="7"/>
      <c r="B953" s="8"/>
    </row>
    <row r="954" ht="12.75" customHeight="1">
      <c r="A954" s="7"/>
      <c r="B954" s="8"/>
    </row>
    <row r="955" ht="12.75" customHeight="1">
      <c r="A955" s="7"/>
      <c r="B955" s="8"/>
    </row>
    <row r="956" ht="12.75" customHeight="1">
      <c r="A956" s="7"/>
      <c r="B956" s="8"/>
    </row>
    <row r="957" ht="12.75" customHeight="1">
      <c r="A957" s="7"/>
      <c r="B957" s="8"/>
    </row>
    <row r="958" ht="12.75" customHeight="1">
      <c r="A958" s="7"/>
      <c r="B958" s="8"/>
    </row>
    <row r="959" ht="12.75" customHeight="1">
      <c r="A959" s="7"/>
      <c r="B959" s="8"/>
    </row>
    <row r="960" ht="12.75" customHeight="1">
      <c r="A960" s="7"/>
      <c r="B960" s="8"/>
    </row>
    <row r="961" ht="12.75" customHeight="1">
      <c r="A961" s="7"/>
      <c r="B961" s="8"/>
    </row>
    <row r="962" ht="12.75" customHeight="1">
      <c r="A962" s="7"/>
      <c r="B962" s="8"/>
    </row>
    <row r="963" ht="12.75" customHeight="1">
      <c r="A963" s="7"/>
      <c r="B963" s="8"/>
    </row>
    <row r="964" ht="12.75" customHeight="1">
      <c r="A964" s="7"/>
      <c r="B964" s="8"/>
    </row>
    <row r="965" ht="12.75" customHeight="1">
      <c r="A965" s="7"/>
      <c r="B965" s="8"/>
    </row>
    <row r="966" ht="12.75" customHeight="1">
      <c r="A966" s="7"/>
      <c r="B966" s="8"/>
    </row>
    <row r="967" ht="12.75" customHeight="1">
      <c r="A967" s="7"/>
      <c r="B967" s="8"/>
    </row>
    <row r="968" ht="12.75" customHeight="1">
      <c r="A968" s="7"/>
      <c r="B968" s="8"/>
    </row>
    <row r="969" ht="12.75" customHeight="1">
      <c r="A969" s="7"/>
      <c r="B969" s="8"/>
    </row>
    <row r="970" ht="12.75" customHeight="1">
      <c r="A970" s="7"/>
      <c r="B970" s="8"/>
    </row>
    <row r="971" ht="12.75" customHeight="1">
      <c r="A971" s="7"/>
      <c r="B971" s="8"/>
    </row>
    <row r="972" ht="12.75" customHeight="1">
      <c r="A972" s="7"/>
      <c r="B972" s="8"/>
    </row>
    <row r="973" ht="12.75" customHeight="1">
      <c r="A973" s="7"/>
      <c r="B973" s="8"/>
    </row>
    <row r="974" ht="12.75" customHeight="1">
      <c r="A974" s="7"/>
      <c r="B974" s="8"/>
    </row>
    <row r="975" ht="12.75" customHeight="1">
      <c r="A975" s="7"/>
      <c r="B975" s="8"/>
    </row>
    <row r="976" ht="12.75" customHeight="1">
      <c r="A976" s="7"/>
      <c r="B976" s="8"/>
    </row>
    <row r="977" ht="12.75" customHeight="1">
      <c r="A977" s="7"/>
      <c r="B977" s="8"/>
    </row>
    <row r="978" ht="12.75" customHeight="1">
      <c r="A978" s="7"/>
      <c r="B978" s="8"/>
    </row>
    <row r="979" ht="12.75" customHeight="1">
      <c r="A979" s="7"/>
      <c r="B979" s="8"/>
    </row>
    <row r="980" ht="12.75" customHeight="1">
      <c r="A980" s="7"/>
      <c r="B980" s="8"/>
    </row>
    <row r="981" ht="12.75" customHeight="1">
      <c r="A981" s="7"/>
      <c r="B981" s="8"/>
    </row>
    <row r="982" ht="12.75" customHeight="1">
      <c r="A982" s="7"/>
      <c r="B982" s="8"/>
    </row>
    <row r="983" ht="12.75" customHeight="1">
      <c r="A983" s="7"/>
      <c r="B983" s="8"/>
    </row>
    <row r="984" ht="12.75" customHeight="1">
      <c r="A984" s="7"/>
      <c r="B984" s="8"/>
    </row>
    <row r="985" ht="12.75" customHeight="1">
      <c r="A985" s="7"/>
      <c r="B985" s="8"/>
    </row>
    <row r="986" ht="12.75" customHeight="1">
      <c r="A986" s="7"/>
      <c r="B986" s="8"/>
    </row>
    <row r="987" ht="12.75" customHeight="1">
      <c r="A987" s="7"/>
      <c r="B987" s="8"/>
    </row>
    <row r="988" ht="12.75" customHeight="1">
      <c r="A988" s="7"/>
      <c r="B988" s="8"/>
    </row>
    <row r="989" ht="12.75" customHeight="1">
      <c r="A989" s="7"/>
      <c r="B989" s="8"/>
    </row>
    <row r="990" ht="12.75" customHeight="1">
      <c r="A990" s="7"/>
      <c r="B990" s="8"/>
    </row>
    <row r="991" ht="12.75" customHeight="1">
      <c r="A991" s="7"/>
      <c r="B991" s="8"/>
    </row>
    <row r="992" ht="12.75" customHeight="1">
      <c r="A992" s="7"/>
      <c r="B992" s="8"/>
    </row>
    <row r="993" ht="12.75" customHeight="1">
      <c r="A993" s="7"/>
      <c r="B993" s="8"/>
    </row>
    <row r="994" ht="12.75" customHeight="1">
      <c r="A994" s="7"/>
      <c r="B994" s="8"/>
    </row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7" t="s">
        <v>93</v>
      </c>
      <c r="B1" s="28"/>
      <c r="C1" s="28"/>
      <c r="D1" s="28"/>
      <c r="E1" s="28"/>
      <c r="F1" s="28"/>
      <c r="G1" s="28"/>
      <c r="H1" s="28"/>
      <c r="J1" s="29" t="s">
        <v>94</v>
      </c>
    </row>
    <row r="2" ht="15.75" customHeight="1">
      <c r="A2" s="30" t="s">
        <v>0</v>
      </c>
      <c r="B2" s="30" t="s">
        <v>95</v>
      </c>
      <c r="C2" s="30" t="s">
        <v>96</v>
      </c>
      <c r="D2" s="30" t="s">
        <v>97</v>
      </c>
      <c r="E2" s="30" t="s">
        <v>98</v>
      </c>
      <c r="F2" s="30" t="s">
        <v>99</v>
      </c>
      <c r="G2" s="30" t="s">
        <v>100</v>
      </c>
      <c r="H2" s="30" t="s">
        <v>101</v>
      </c>
      <c r="J2" s="31" t="s">
        <v>102</v>
      </c>
    </row>
    <row r="3" ht="15.75" customHeight="1">
      <c r="A3" s="32" t="s">
        <v>7</v>
      </c>
      <c r="B3" s="33">
        <f>COUNTIF(printer!$A$2:$A$38, A3)</f>
        <v>2</v>
      </c>
      <c r="C3" s="34">
        <f>SUMIF('Printer Human-Based Grading'!$A$2:$A$38, $A3, 'Printer Human-Based Grading'!$C$2:$C$38)</f>
        <v>2</v>
      </c>
      <c r="D3" s="34">
        <f>SUMIF('Printer Human-Based Grading'!$A$39:$A$45, $A3, 'Printer Human-Based Grading'!$C$39:$C$45)</f>
        <v>1</v>
      </c>
      <c r="E3" s="34">
        <f>COUNTIFS('Printer Human-Based Grading'!$A$2:$A$38, $A4, 'Printer Human-Based Grading'!$C$2:$C$38,0)</f>
        <v>0</v>
      </c>
      <c r="F3" s="34">
        <f t="shared" ref="F3:F10" si="1">IFERROR(C3 / (C3 + D3), "Not Available")</f>
        <v>0.6666666667</v>
      </c>
      <c r="G3" s="34">
        <f t="shared" ref="G3:G10" si="2">IFERROR(C3 / B3, "Not Available")</f>
        <v>1</v>
      </c>
      <c r="H3" s="34">
        <f t="shared" ref="H3:H10" si="3">IFERROR(2*((F3*G3)/(F3+G3)),"Not Available")</f>
        <v>0.8</v>
      </c>
      <c r="J3" s="35"/>
    </row>
    <row r="4" ht="15.75" customHeight="1">
      <c r="A4" s="36" t="s">
        <v>2</v>
      </c>
      <c r="B4" s="33">
        <f>COUNTIF(printer!$A$2:$A$38, A4)</f>
        <v>8</v>
      </c>
      <c r="C4" s="34">
        <f>SUMIF('Printer Human-Based Grading'!$A$2:$A$38, $A4, 'Printer Human-Based Grading'!$C$2:$C$38)</f>
        <v>8</v>
      </c>
      <c r="D4" s="34">
        <f>SUMIF('Printer Human-Based Grading'!$A$39:$A$45, $A4, 'Printer Human-Based Grading'!$C$39:$C$45)</f>
        <v>0</v>
      </c>
      <c r="E4" s="34">
        <f>COUNTIFS('Printer Human-Based Grading'!$A$2:$A$38, $A5, 'Printer Human-Based Grading'!$C$2:$C$38,0)</f>
        <v>0</v>
      </c>
      <c r="F4" s="34">
        <f t="shared" si="1"/>
        <v>1</v>
      </c>
      <c r="G4" s="34">
        <f t="shared" si="2"/>
        <v>1</v>
      </c>
      <c r="H4" s="34">
        <f t="shared" si="3"/>
        <v>1</v>
      </c>
      <c r="J4" s="35"/>
    </row>
    <row r="5" ht="15.75" customHeight="1">
      <c r="A5" s="36" t="s">
        <v>5</v>
      </c>
      <c r="B5" s="33">
        <f>COUNTIF(printer!$A$2:$A$38, A5)</f>
        <v>17</v>
      </c>
      <c r="C5" s="34">
        <f>SUMIF('Printer Human-Based Grading'!$A$2:$A$38, $A5, 'Printer Human-Based Grading'!$C$2:$C$38)</f>
        <v>17</v>
      </c>
      <c r="D5" s="34">
        <f>SUMIF('Printer Human-Based Grading'!$A$39:$A$45, $A5, 'Printer Human-Based Grading'!$C$39:$C$45)</f>
        <v>0</v>
      </c>
      <c r="E5" s="34">
        <f>COUNTIFS('Printer Human-Based Grading'!$A$2:$A$38, $A6, 'Printer Human-Based Grading'!$C$2:$C$38,0)</f>
        <v>0</v>
      </c>
      <c r="F5" s="34">
        <f t="shared" si="1"/>
        <v>1</v>
      </c>
      <c r="G5" s="34">
        <f t="shared" si="2"/>
        <v>1</v>
      </c>
      <c r="H5" s="34">
        <f t="shared" si="3"/>
        <v>1</v>
      </c>
      <c r="J5" s="29" t="s">
        <v>103</v>
      </c>
    </row>
    <row r="6" ht="15.75" customHeight="1">
      <c r="A6" s="36" t="s">
        <v>17</v>
      </c>
      <c r="B6" s="33">
        <f>COUNTIF(printer!$A$2:$A$38, A6)</f>
        <v>3</v>
      </c>
      <c r="C6" s="34">
        <f>SUMIF('Printer Human-Based Grading'!$A$2:$A$38, $A6, 'Printer Human-Based Grading'!$C$2:$C$38)</f>
        <v>3</v>
      </c>
      <c r="D6" s="34">
        <f>SUMIF('Printer Human-Based Grading'!$A$39:$A$45, $A6, 'Printer Human-Based Grading'!$C$39:$C$45)</f>
        <v>0</v>
      </c>
      <c r="E6" s="34">
        <f>COUNTIFS('Printer Human-Based Grading'!$A$2:$A$38, $A7, 'Printer Human-Based Grading'!$C$2:$C$38,0)</f>
        <v>0</v>
      </c>
      <c r="F6" s="34">
        <f t="shared" si="1"/>
        <v>1</v>
      </c>
      <c r="G6" s="34">
        <f t="shared" si="2"/>
        <v>1</v>
      </c>
      <c r="H6" s="34">
        <f t="shared" si="3"/>
        <v>1</v>
      </c>
      <c r="J6" s="31" t="s">
        <v>104</v>
      </c>
    </row>
    <row r="7" ht="15.75" customHeight="1">
      <c r="A7" s="36" t="s">
        <v>45</v>
      </c>
      <c r="B7" s="33">
        <f>COUNTIF(printer!$A$2:$A$38, A7)</f>
        <v>0</v>
      </c>
      <c r="C7" s="34">
        <f>SUMIF('Printer Human-Based Grading'!$A$2:$A$38, $A7, 'Printer Human-Based Grading'!$C$2:$C$38)</f>
        <v>0</v>
      </c>
      <c r="D7" s="34">
        <f>SUMIF('Printer Human-Based Grading'!$A$39:$A$45, $A7, 'Printer Human-Based Grading'!$C$39:$C$45)</f>
        <v>0</v>
      </c>
      <c r="E7" s="34">
        <f>COUNTIFS('Printer Human-Based Grading'!$A$2:$A$38, $A8, 'Printer Human-Based Grading'!$C$2:$C$38,0)</f>
        <v>0</v>
      </c>
      <c r="F7" s="34" t="str">
        <f t="shared" si="1"/>
        <v>Not Available</v>
      </c>
      <c r="G7" s="34" t="str">
        <f t="shared" si="2"/>
        <v>Not Available</v>
      </c>
      <c r="H7" s="34" t="str">
        <f t="shared" si="3"/>
        <v>Not Available</v>
      </c>
    </row>
    <row r="8" ht="15.75" customHeight="1">
      <c r="A8" s="36" t="s">
        <v>34</v>
      </c>
      <c r="B8" s="33">
        <f>COUNTIF(printer!$A$2:$A$38, A8)</f>
        <v>1</v>
      </c>
      <c r="C8" s="34">
        <f>SUMIF('Printer Human-Based Grading'!$A$2:$A$38, $A8, 'Printer Human-Based Grading'!$C$2:$C$38)</f>
        <v>1</v>
      </c>
      <c r="D8" s="34">
        <f>SUMIF('Printer Human-Based Grading'!$A$39:$A$45, $A8, 'Printer Human-Based Grading'!$C$39:$C$45)</f>
        <v>0</v>
      </c>
      <c r="E8" s="34">
        <f>COUNTIFS('Printer Human-Based Grading'!$A$2:$A$38, $A9, 'Printer Human-Based Grading'!$C$2:$C$38,0)</f>
        <v>0</v>
      </c>
      <c r="F8" s="34">
        <f t="shared" si="1"/>
        <v>1</v>
      </c>
      <c r="G8" s="34">
        <f t="shared" si="2"/>
        <v>1</v>
      </c>
      <c r="H8" s="34">
        <f t="shared" si="3"/>
        <v>1</v>
      </c>
    </row>
    <row r="9" ht="15.75" customHeight="1">
      <c r="A9" s="36" t="s">
        <v>13</v>
      </c>
      <c r="B9" s="33">
        <f>COUNTIF(printer!$A$2:$A$38, A9)</f>
        <v>6</v>
      </c>
      <c r="C9" s="34">
        <f>SUMIF('Printer Human-Based Grading'!$A$2:$A$38, $A9, 'Printer Human-Based Grading'!$C$2:$C$38)</f>
        <v>6</v>
      </c>
      <c r="D9" s="34">
        <f>SUMIF('Printer Human-Based Grading'!$A$39:$A$45, $A9, 'Printer Human-Based Grading'!$C$39:$C$45)</f>
        <v>0</v>
      </c>
      <c r="E9" s="34">
        <f>COUNTIFS('Printer Human-Based Grading'!$A$2:$A$38, $A10, 'Printer Human-Based Grading'!$C$2:$C$38,0)</f>
        <v>0</v>
      </c>
      <c r="F9" s="34">
        <f t="shared" si="1"/>
        <v>1</v>
      </c>
      <c r="G9" s="34">
        <f t="shared" si="2"/>
        <v>1</v>
      </c>
      <c r="H9" s="34">
        <f t="shared" si="3"/>
        <v>1</v>
      </c>
    </row>
    <row r="10" ht="15.75" customHeight="1">
      <c r="A10" s="36" t="s">
        <v>105</v>
      </c>
      <c r="B10" s="37">
        <f t="shared" ref="B10:E10" si="4">SUM(B3:B9)</f>
        <v>37</v>
      </c>
      <c r="C10" s="37">
        <f t="shared" si="4"/>
        <v>37</v>
      </c>
      <c r="D10" s="37">
        <f t="shared" si="4"/>
        <v>1</v>
      </c>
      <c r="E10" s="37">
        <f t="shared" si="4"/>
        <v>0</v>
      </c>
      <c r="F10" s="34">
        <f t="shared" si="1"/>
        <v>0.9736842105</v>
      </c>
      <c r="G10" s="34">
        <f t="shared" si="2"/>
        <v>1</v>
      </c>
      <c r="H10" s="34">
        <f t="shared" si="3"/>
        <v>0.9866666667</v>
      </c>
    </row>
    <row r="11" ht="15.75" customHeight="1"/>
    <row r="12" ht="15.75" customHeight="1">
      <c r="A12" s="27" t="s">
        <v>106</v>
      </c>
      <c r="B12" s="28"/>
      <c r="C12" s="28"/>
      <c r="D12" s="28"/>
      <c r="E12" s="28"/>
      <c r="F12" s="28"/>
      <c r="G12" s="28"/>
      <c r="H12" s="28"/>
    </row>
    <row r="13" ht="15.75" customHeight="1">
      <c r="A13" s="30" t="s">
        <v>0</v>
      </c>
      <c r="B13" s="30" t="s">
        <v>95</v>
      </c>
      <c r="C13" s="30" t="s">
        <v>96</v>
      </c>
      <c r="D13" s="30" t="s">
        <v>97</v>
      </c>
      <c r="E13" s="30" t="s">
        <v>98</v>
      </c>
      <c r="F13" s="30" t="s">
        <v>99</v>
      </c>
      <c r="G13" s="30" t="s">
        <v>100</v>
      </c>
      <c r="H13" s="30" t="s">
        <v>101</v>
      </c>
    </row>
    <row r="14" ht="15.75" customHeight="1">
      <c r="A14" s="32" t="s">
        <v>107</v>
      </c>
      <c r="B14" s="33">
        <f>COUNTIF(printer!$A$2:$A$38, A14)</f>
        <v>2</v>
      </c>
      <c r="C14" s="34">
        <f>SUMIF('Printer LLM-Based Grading'!$A$2:$A$38, $A14, 'Printer LLM-Based Grading'!$C$2:$C$38)</f>
        <v>1.5</v>
      </c>
      <c r="D14" s="34">
        <f>SUMIF('Printer LLM-Based Grading'!$A$39:$A$45, $A3, 'Printer LLM-Based Grading'!$C$39:$C$45)</f>
        <v>0</v>
      </c>
      <c r="E14" s="34">
        <f>COUNTIFS('Printer LLM-Based Grading'!$A$2:$A$38, $A3, 'Printer LLM-Based Grading'!$C$2:$C$38,0)</f>
        <v>0</v>
      </c>
      <c r="F14" s="34">
        <f t="shared" ref="F14:F21" si="5">IFERROR(C14 / (C14 + D14), "Not Available")</f>
        <v>1</v>
      </c>
      <c r="G14" s="34">
        <f t="shared" ref="G14:G21" si="6">IFERROR(C14 / B14, "Not Available")</f>
        <v>0.75</v>
      </c>
      <c r="H14" s="34">
        <f t="shared" ref="H14:H21" si="7">IFERROR(2*((F14*G14)/(F14+G14)),"Not Available")</f>
        <v>0.8571428571</v>
      </c>
    </row>
    <row r="15" ht="15.75" customHeight="1">
      <c r="A15" s="36" t="s">
        <v>2</v>
      </c>
      <c r="B15" s="33">
        <f>COUNTIF(printer!$A$2:$A$38, A15)</f>
        <v>8</v>
      </c>
      <c r="C15" s="34">
        <f>SUMIF('Printer LLM-Based Grading'!$A$2:$A$38, $A15, 'Printer LLM-Based Grading'!$C$2:$C$38)</f>
        <v>6</v>
      </c>
      <c r="D15" s="34">
        <f>SUMIF('Printer LLM-Based Grading'!$A$39:$A$45, $A4, 'Printer LLM-Based Grading'!$C$39:$C$45)</f>
        <v>0</v>
      </c>
      <c r="E15" s="34">
        <f>COUNTIFS('Printer LLM-Based Grading'!$A$2:$A$38, $A4, 'Printer LLM-Based Grading'!$C$2:$C$38,0)</f>
        <v>0</v>
      </c>
      <c r="F15" s="34">
        <f t="shared" si="5"/>
        <v>1</v>
      </c>
      <c r="G15" s="34">
        <f t="shared" si="6"/>
        <v>0.75</v>
      </c>
      <c r="H15" s="34">
        <f t="shared" si="7"/>
        <v>0.8571428571</v>
      </c>
    </row>
    <row r="16" ht="15.75" customHeight="1">
      <c r="A16" s="36" t="s">
        <v>5</v>
      </c>
      <c r="B16" s="33">
        <f>COUNTIF(printer!$A$2:$A$38, A16)</f>
        <v>17</v>
      </c>
      <c r="C16" s="34">
        <f>SUMIF('Printer LLM-Based Grading'!$A$2:$A$38, $A16, 'Printer LLM-Based Grading'!$C$2:$C$38)</f>
        <v>9.5</v>
      </c>
      <c r="D16" s="34">
        <f>SUMIF('Printer LLM-Based Grading'!$A$39:$A$45, $A5, 'Printer LLM-Based Grading'!$C$39:$C$45)</f>
        <v>0</v>
      </c>
      <c r="E16" s="34">
        <f>COUNTIFS('Printer LLM-Based Grading'!$A$2:$A$38, $A5, 'Printer LLM-Based Grading'!$C$2:$C$38,0)</f>
        <v>2</v>
      </c>
      <c r="F16" s="34">
        <f t="shared" si="5"/>
        <v>1</v>
      </c>
      <c r="G16" s="34">
        <f t="shared" si="6"/>
        <v>0.5588235294</v>
      </c>
      <c r="H16" s="34">
        <f t="shared" si="7"/>
        <v>0.7169811321</v>
      </c>
    </row>
    <row r="17" ht="15.75" customHeight="1">
      <c r="A17" s="36" t="s">
        <v>17</v>
      </c>
      <c r="B17" s="33">
        <f>COUNTIF(printer!$A$2:$A$38, A17)</f>
        <v>3</v>
      </c>
      <c r="C17" s="34">
        <f>SUMIF('Printer LLM-Based Grading'!$A$2:$A$38, $A17, 'Printer LLM-Based Grading'!$C$2:$C$38)</f>
        <v>0</v>
      </c>
      <c r="D17" s="34">
        <f>SUMIF('Printer LLM-Based Grading'!$A$39:$A$45, $A6, 'Printer LLM-Based Grading'!$C$39:$C$45)</f>
        <v>0</v>
      </c>
      <c r="E17" s="34">
        <f>COUNTIFS('Printer LLM-Based Grading'!$A$2:$A$38, $A6, 'Printer LLM-Based Grading'!$C$2:$C$38,0)</f>
        <v>3</v>
      </c>
      <c r="F17" s="34" t="str">
        <f t="shared" si="5"/>
        <v>Not Available</v>
      </c>
      <c r="G17" s="34">
        <f t="shared" si="6"/>
        <v>0</v>
      </c>
      <c r="H17" s="34" t="str">
        <f t="shared" si="7"/>
        <v>Not Available</v>
      </c>
    </row>
    <row r="18" ht="15.75" customHeight="1">
      <c r="A18" s="36" t="s">
        <v>45</v>
      </c>
      <c r="B18" s="33">
        <f>COUNTIF(printer!$A$2:$A$38, A18)</f>
        <v>0</v>
      </c>
      <c r="C18" s="34">
        <f>SUMIF('Printer LLM-Based Grading'!$A$2:$A$38, $A18, 'Printer LLM-Based Grading'!$C$2:$C$38)</f>
        <v>0</v>
      </c>
      <c r="D18" s="34">
        <f>SUMIF('Printer LLM-Based Grading'!$A$39:$A$45, $A7, 'Printer LLM-Based Grading'!$C$39:$C$45)</f>
        <v>0</v>
      </c>
      <c r="E18" s="34">
        <f>COUNTIFS('Printer LLM-Based Grading'!$A$2:$A$38, $A7, 'Printer LLM-Based Grading'!$C$2:$C$38,0)</f>
        <v>0</v>
      </c>
      <c r="F18" s="34" t="str">
        <f t="shared" si="5"/>
        <v>Not Available</v>
      </c>
      <c r="G18" s="34" t="str">
        <f t="shared" si="6"/>
        <v>Not Available</v>
      </c>
      <c r="H18" s="34" t="str">
        <f t="shared" si="7"/>
        <v>Not Available</v>
      </c>
    </row>
    <row r="19" ht="15.75" customHeight="1">
      <c r="A19" s="36" t="s">
        <v>34</v>
      </c>
      <c r="B19" s="33">
        <f>COUNTIF(printer!$A$2:$A$38, A19)</f>
        <v>1</v>
      </c>
      <c r="C19" s="34">
        <f>SUMIF('Printer LLM-Based Grading'!$A$2:$A$38, $A19, 'Printer LLM-Based Grading'!$C$2:$C$38)</f>
        <v>0.5</v>
      </c>
      <c r="D19" s="34">
        <f>SUMIF('Printer LLM-Based Grading'!$A$39:$A$45, $A8, 'Printer LLM-Based Grading'!$C$39:$C$45)</f>
        <v>0</v>
      </c>
      <c r="E19" s="34">
        <f>COUNTIFS('Printer LLM-Based Grading'!$A$2:$A$38, $A8, 'Printer LLM-Based Grading'!$C$2:$C$38,0)</f>
        <v>0</v>
      </c>
      <c r="F19" s="34">
        <f t="shared" si="5"/>
        <v>1</v>
      </c>
      <c r="G19" s="34">
        <f t="shared" si="6"/>
        <v>0.5</v>
      </c>
      <c r="H19" s="34">
        <f t="shared" si="7"/>
        <v>0.6666666667</v>
      </c>
    </row>
    <row r="20" ht="15.75" customHeight="1">
      <c r="A20" s="36" t="s">
        <v>13</v>
      </c>
      <c r="B20" s="33">
        <f>COUNTIF(printer!$A$2:$A$38, A20)</f>
        <v>6</v>
      </c>
      <c r="C20" s="34">
        <f>SUMIF('Printer LLM-Based Grading'!$A$2:$A$38, $A20, 'Printer LLM-Based Grading'!$C$2:$C$38)</f>
        <v>4</v>
      </c>
      <c r="D20" s="34">
        <f>SUMIF('Printer LLM-Based Grading'!$A$39:$A$45, $A9, 'Printer LLM-Based Grading'!$C$39:$C$45)</f>
        <v>0</v>
      </c>
      <c r="E20" s="34">
        <f>COUNTIFS('Printer LLM-Based Grading'!$A$2:$A$38, $A9, 'Printer LLM-Based Grading'!$C$2:$C$38,0)</f>
        <v>0</v>
      </c>
      <c r="F20" s="34">
        <f t="shared" si="5"/>
        <v>1</v>
      </c>
      <c r="G20" s="34">
        <f t="shared" si="6"/>
        <v>0.6666666667</v>
      </c>
      <c r="H20" s="34">
        <f t="shared" si="7"/>
        <v>0.8</v>
      </c>
    </row>
    <row r="21" ht="15.75" customHeight="1">
      <c r="A21" s="36" t="s">
        <v>105</v>
      </c>
      <c r="B21" s="37">
        <f t="shared" ref="B21:E21" si="8">SUM(B14:B20)</f>
        <v>37</v>
      </c>
      <c r="C21" s="37">
        <f t="shared" si="8"/>
        <v>21.5</v>
      </c>
      <c r="D21" s="37">
        <f t="shared" si="8"/>
        <v>0</v>
      </c>
      <c r="E21" s="37">
        <f t="shared" si="8"/>
        <v>5</v>
      </c>
      <c r="F21" s="34">
        <f t="shared" si="5"/>
        <v>1</v>
      </c>
      <c r="G21" s="34">
        <f t="shared" si="6"/>
        <v>0.5810810811</v>
      </c>
      <c r="H21" s="34">
        <f t="shared" si="7"/>
        <v>0.735042735</v>
      </c>
    </row>
    <row r="22" ht="15.75" customHeight="1">
      <c r="H22" s="3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11.63"/>
    <col customWidth="1" min="14" max="14" width="56.1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108</v>
      </c>
      <c r="E1" s="39"/>
      <c r="F1" s="40" t="s">
        <v>109</v>
      </c>
      <c r="L1" s="41" t="s">
        <v>110</v>
      </c>
      <c r="M1" s="42"/>
      <c r="N1" s="42"/>
    </row>
    <row r="2" ht="15.75" customHeight="1">
      <c r="A2" s="43" t="str">
        <f>'Printer Human-Based Grading'!A2</f>
        <v>State</v>
      </c>
      <c r="B2" s="44" t="str">
        <f>'Printer Human-Based Grading'!B2</f>
        <v>initial state (Off)</v>
      </c>
      <c r="C2" s="10">
        <f>'Printer Human-Based Grading'!C2</f>
        <v>1</v>
      </c>
      <c r="D2" s="10">
        <f>'Printer LLM-Based Grading'!C2</f>
        <v>1</v>
      </c>
      <c r="E2" s="39"/>
      <c r="F2" s="8" t="s">
        <v>111</v>
      </c>
      <c r="G2" s="45" t="s">
        <v>112</v>
      </c>
      <c r="H2" s="46" t="s">
        <v>113</v>
      </c>
      <c r="I2" s="47" t="s">
        <v>114</v>
      </c>
      <c r="J2" s="48" t="s">
        <v>115</v>
      </c>
      <c r="K2" s="8"/>
      <c r="L2" s="49" t="s">
        <v>116</v>
      </c>
      <c r="M2" s="49" t="s">
        <v>117</v>
      </c>
      <c r="N2" s="49" t="s">
        <v>118</v>
      </c>
    </row>
    <row r="3" ht="15.75" customHeight="1">
      <c r="A3" s="43" t="str">
        <f>'Printer Human-Based Grading'!A3</f>
        <v>State</v>
      </c>
      <c r="B3" s="44" t="str">
        <f>'Printer Human-Based Grading'!B3</f>
        <v>Off</v>
      </c>
      <c r="C3" s="10">
        <f>'Printer Human-Based Grading'!C3</f>
        <v>1</v>
      </c>
      <c r="D3" s="10">
        <f>'Printer LLM-Based Grading'!C3</f>
        <v>1</v>
      </c>
      <c r="E3" s="39"/>
      <c r="F3" s="50">
        <v>0.0</v>
      </c>
      <c r="G3" s="51">
        <f>COUNTIFS($C$2:$C$90, $F3, $D$2:$D$90, G$2)</f>
        <v>6</v>
      </c>
      <c r="H3" s="52">
        <f>COUNTIFS($C$2:$C$38, $F3, $D$2:$D$38, H$2)</f>
        <v>0</v>
      </c>
      <c r="I3" s="53">
        <f>COUNTIFS($C$2:$C$38, $F3, $D$2:$D$38, I$2)+MAX(D39-C39,0)+MAX(D40-C40,0)+MAX(D41-C41,0)+MAX(D42-C42,0)+MAX(D43-C43,0)+MAX(D44-C44,0)+MAX(D45-C45,0)</f>
        <v>0</v>
      </c>
      <c r="J3" s="8">
        <f t="shared" ref="J3:J5" si="2">SUM(G3:I3)</f>
        <v>6</v>
      </c>
      <c r="K3" s="8"/>
      <c r="L3" s="54" t="s">
        <v>119</v>
      </c>
      <c r="M3" s="51">
        <f>(G3+H4+I5)/COUNTA($C$2:$C$90)</f>
        <v>0.3863636364</v>
      </c>
      <c r="N3" s="53" t="s">
        <v>120</v>
      </c>
    </row>
    <row r="4" ht="15.75" customHeight="1">
      <c r="A4" s="43" t="str">
        <f>'Printer Human-Based Grading'!A4</f>
        <v>Transition</v>
      </c>
      <c r="B4" s="44" t="str">
        <f>'Printer Human-Based Grading'!B4</f>
        <v>on (Off =&gt; On)</v>
      </c>
      <c r="C4" s="10">
        <f>'Printer Human-Based Grading'!C4</f>
        <v>1</v>
      </c>
      <c r="D4" s="10">
        <f>'Printer LLM-Based Grading'!C4</f>
        <v>1</v>
      </c>
      <c r="E4" s="39"/>
      <c r="F4" s="50">
        <v>0.5</v>
      </c>
      <c r="G4" s="55">
        <f t="shared" ref="G4:I4" si="1">COUNTIFS($C$2:$C$38, $F4, $D$2:$D$38, G$2)</f>
        <v>0</v>
      </c>
      <c r="H4" s="8">
        <f t="shared" si="1"/>
        <v>0</v>
      </c>
      <c r="I4" s="56">
        <f t="shared" si="1"/>
        <v>0</v>
      </c>
      <c r="J4" s="8">
        <f t="shared" si="2"/>
        <v>0</v>
      </c>
      <c r="K4" s="8"/>
      <c r="L4" s="54" t="s">
        <v>121</v>
      </c>
      <c r="M4" s="55">
        <f t="array" ref="M4">SUMPRODUCT(J3:J5/COUNTA($C$2:$C$90), TRANSPOSE(G6:I6)/COUNTA($C$2:$C$90))</f>
        <v>0.2530991736</v>
      </c>
      <c r="N4" s="56" t="s">
        <v>122</v>
      </c>
    </row>
    <row r="5" ht="15.75" customHeight="1">
      <c r="A5" s="43" t="str">
        <f>'Printer Human-Based Grading'!A5</f>
        <v>Composite State</v>
      </c>
      <c r="B5" s="44" t="str">
        <f>'Printer Human-Based Grading'!B5</f>
        <v>On</v>
      </c>
      <c r="C5" s="10">
        <f>'Printer Human-Based Grading'!C5</f>
        <v>1</v>
      </c>
      <c r="D5" s="10">
        <f>'Printer LLM-Based Grading'!C5</f>
        <v>1</v>
      </c>
      <c r="E5" s="39"/>
      <c r="F5" s="50">
        <v>1.0</v>
      </c>
      <c r="G5" s="57">
        <f>COUNTIFS($C$2:$C$38, $F5, $D$2:$D$38, G$2)+MAX(C39-D39,0)+MAX(C40-D40,0)+MAX(C41-D41,0)+MAX(C42-D42,0)+MAX(C43-D43,0)+MAX(C44-D44,0)+MAX(C45-D45,0)</f>
        <v>6</v>
      </c>
      <c r="H5" s="58">
        <f>COUNTIFS($C$2:$C$38, $F5, $D$2:$D$38, H$2)</f>
        <v>21</v>
      </c>
      <c r="I5" s="59">
        <f>COUNTIFS($C$2:$C$38, $F5, $D$2:$D$38, I$2)+ SUM(MIN(C39,D39), MIN(C40,D40), MIN(C41,D41), MIN(C42,D42), MIN(C43,D43), MIN(C44,D44), MIN(C45,D45))</f>
        <v>11</v>
      </c>
      <c r="J5" s="8">
        <f t="shared" si="2"/>
        <v>38</v>
      </c>
      <c r="K5" s="8"/>
      <c r="L5" s="54" t="s">
        <v>110</v>
      </c>
      <c r="M5" s="57">
        <f>(M3-M4)/(1-M4)</f>
        <v>0.1784232365</v>
      </c>
      <c r="N5" s="59" t="s">
        <v>123</v>
      </c>
    </row>
    <row r="6" ht="15.75" customHeight="1">
      <c r="A6" s="43" t="str">
        <f>'Printer Human-Based Grading'!A6</f>
        <v>Transition</v>
      </c>
      <c r="B6" s="44" t="str">
        <f>'Printer Human-Based Grading'!B6</f>
        <v>off (On =&gt; Off)</v>
      </c>
      <c r="C6" s="10">
        <f>'Printer Human-Based Grading'!C6</f>
        <v>1</v>
      </c>
      <c r="D6" s="10">
        <f>'Printer LLM-Based Grading'!C6</f>
        <v>1</v>
      </c>
      <c r="E6" s="39"/>
      <c r="F6" s="60" t="s">
        <v>124</v>
      </c>
      <c r="G6" s="8">
        <f t="shared" ref="G6:I6" si="3">SUM(G3:G5)</f>
        <v>12</v>
      </c>
      <c r="H6" s="8">
        <f t="shared" si="3"/>
        <v>21</v>
      </c>
      <c r="I6" s="8">
        <f t="shared" si="3"/>
        <v>11</v>
      </c>
      <c r="J6" s="8"/>
      <c r="K6" s="8"/>
      <c r="L6" s="8"/>
      <c r="M6" s="61"/>
    </row>
    <row r="7" ht="15.75" customHeight="1">
      <c r="A7" s="43" t="str">
        <f>'Printer Human-Based Grading'!A7</f>
        <v>State</v>
      </c>
      <c r="B7" s="44" t="str">
        <f>'Printer Human-Based Grading'!B7</f>
        <v>initial state (Idle)</v>
      </c>
      <c r="C7" s="10">
        <f>'Printer Human-Based Grading'!C7</f>
        <v>1</v>
      </c>
      <c r="D7" s="10">
        <f>'Printer LLM-Based Grading'!C7</f>
        <v>0.5</v>
      </c>
      <c r="E7" s="39"/>
      <c r="K7" s="8"/>
      <c r="L7" s="8"/>
      <c r="M7" s="61"/>
    </row>
    <row r="8" ht="15.75" customHeight="1">
      <c r="A8" s="43" t="str">
        <f>'Printer Human-Based Grading'!A8</f>
        <v>State</v>
      </c>
      <c r="B8" s="44" t="str">
        <f>'Printer Human-Based Grading'!B8</f>
        <v>Idle</v>
      </c>
      <c r="C8" s="10">
        <f>'Printer Human-Based Grading'!C8</f>
        <v>1</v>
      </c>
      <c r="D8" s="10">
        <f>'Printer LLM-Based Grading'!C8</f>
        <v>1</v>
      </c>
      <c r="E8" s="39"/>
      <c r="F8" s="40" t="s">
        <v>125</v>
      </c>
      <c r="L8" s="41" t="s">
        <v>126</v>
      </c>
      <c r="M8" s="42"/>
      <c r="N8" s="42"/>
    </row>
    <row r="9" ht="15.75" customHeight="1">
      <c r="A9" s="43" t="str">
        <f>'Printer Human-Based Grading'!A9</f>
        <v>Transition</v>
      </c>
      <c r="B9" s="44" t="str">
        <f>'Printer Human-Based Grading'!B9</f>
        <v>login(cardID) (Idle =&gt; Idle)</v>
      </c>
      <c r="C9" s="10">
        <f>'Printer Human-Based Grading'!C9</f>
        <v>1</v>
      </c>
      <c r="D9" s="10">
        <f>'Printer LLM-Based Grading'!C9</f>
        <v>0.5</v>
      </c>
      <c r="E9" s="39"/>
      <c r="F9" s="8" t="s">
        <v>2</v>
      </c>
      <c r="G9" s="62" t="s">
        <v>112</v>
      </c>
      <c r="H9" s="62" t="s">
        <v>113</v>
      </c>
      <c r="I9" s="62" t="s">
        <v>114</v>
      </c>
      <c r="J9" s="63" t="s">
        <v>115</v>
      </c>
      <c r="L9" s="49" t="s">
        <v>116</v>
      </c>
      <c r="M9" s="49" t="s">
        <v>117</v>
      </c>
      <c r="N9" s="49" t="s">
        <v>118</v>
      </c>
    </row>
    <row r="10" ht="15.75" customHeight="1">
      <c r="A10" s="43" t="str">
        <f>'Printer Human-Based Grading'!A10</f>
        <v>Guard</v>
      </c>
      <c r="B10" s="44" t="str">
        <f>'Printer Human-Based Grading'!B10</f>
        <v>[!idAuthorized(cardID)]</v>
      </c>
      <c r="C10" s="10">
        <f>'Printer Human-Based Grading'!C10</f>
        <v>1</v>
      </c>
      <c r="D10" s="10">
        <f>'Printer LLM-Based Grading'!C10</f>
        <v>1</v>
      </c>
      <c r="E10" s="39"/>
      <c r="F10" s="50">
        <v>0.0</v>
      </c>
      <c r="G10" s="51">
        <f t="shared" ref="G10:G11" si="4">COUNTIFS($A$2:$A$38,$F$9,$C$2:$C$38,$F10,$D$2:$D$38,G$9)</f>
        <v>0</v>
      </c>
      <c r="H10" s="52">
        <f t="shared" ref="H10:H12" si="5">COUNTIFS($A$2:$A$90,$F$9,$C$2:$C$90,$F10,$D$2:$D$90,H$9)</f>
        <v>0</v>
      </c>
      <c r="I10" s="53">
        <f>COUNTIFS($A$2:$A$38,$F$9,$C$2:$C$38,$F10,$D$2:$D$38,I$9)+MAX(D39-C39,0)</f>
        <v>0</v>
      </c>
      <c r="J10" s="8">
        <f t="shared" ref="J10:J12" si="6">SUM(G10:I10)</f>
        <v>0</v>
      </c>
      <c r="L10" s="54" t="s">
        <v>119</v>
      </c>
      <c r="M10" s="51">
        <f>(G10+H11+I12)/COUNTIF($A$2:$A$90,F9)</f>
        <v>0.4444444444</v>
      </c>
      <c r="N10" s="53" t="s">
        <v>120</v>
      </c>
    </row>
    <row r="11" ht="15.75" customHeight="1">
      <c r="A11" s="43" t="str">
        <f>'Printer Human-Based Grading'!A11</f>
        <v>Transition</v>
      </c>
      <c r="B11" s="44" t="str">
        <f>'Printer Human-Based Grading'!B11</f>
        <v>login(cardID) (Idle =&gt; Ready)</v>
      </c>
      <c r="C11" s="10">
        <f>'Printer Human-Based Grading'!C11</f>
        <v>1</v>
      </c>
      <c r="D11" s="10">
        <f>'Printer LLM-Based Grading'!C11</f>
        <v>0.5</v>
      </c>
      <c r="E11" s="39"/>
      <c r="F11" s="50">
        <v>0.5</v>
      </c>
      <c r="G11" s="55">
        <f t="shared" si="4"/>
        <v>0</v>
      </c>
      <c r="H11" s="8">
        <f t="shared" si="5"/>
        <v>0</v>
      </c>
      <c r="I11" s="56">
        <f>COUNTIFS($A$2:$A$38,$F$9,$C$2:$C$38,$F11,$D$2:$D$38,I$9)</f>
        <v>0</v>
      </c>
      <c r="J11" s="8">
        <f t="shared" si="6"/>
        <v>0</v>
      </c>
      <c r="K11" s="8"/>
      <c r="L11" s="54" t="s">
        <v>121</v>
      </c>
      <c r="M11" s="55">
        <f t="array" ref="M11">SUMPRODUCT(J10:J12/COUNTIF($A$2:$A$90,F9), TRANSPOSE(G13:I13)/COUNTIF($A$2:$A$90,F9))</f>
        <v>0.3950617284</v>
      </c>
      <c r="N11" s="56" t="s">
        <v>122</v>
      </c>
    </row>
    <row r="12" ht="15.75" customHeight="1">
      <c r="A12" s="43" t="str">
        <f>'Printer Human-Based Grading'!A12</f>
        <v>Guard</v>
      </c>
      <c r="B12" s="44" t="str">
        <f>'Printer Human-Based Grading'!B12</f>
        <v>[idAuthorized(cardID)]</v>
      </c>
      <c r="C12" s="10">
        <f>'Printer Human-Based Grading'!C12</f>
        <v>1</v>
      </c>
      <c r="D12" s="10">
        <f>'Printer LLM-Based Grading'!C12</f>
        <v>1</v>
      </c>
      <c r="E12" s="39"/>
      <c r="F12" s="50">
        <v>1.0</v>
      </c>
      <c r="G12" s="57">
        <f>COUNTIFS($A$2:$A$38,$F$9,$C$2:$C$38,$F12,$D$2:$D$38,G$9)+MAX(C39-D39,0)</f>
        <v>0</v>
      </c>
      <c r="H12" s="58">
        <f t="shared" si="5"/>
        <v>4</v>
      </c>
      <c r="I12" s="59">
        <f>COUNTIFS($A$2:$A$38,$F$9,$C$2:$C$38,$F12,$D$2:$D$38,I$9)+MIN(C39-D39)</f>
        <v>4</v>
      </c>
      <c r="J12" s="8">
        <f t="shared" si="6"/>
        <v>8</v>
      </c>
      <c r="K12" s="8"/>
      <c r="L12" s="54" t="s">
        <v>110</v>
      </c>
      <c r="M12" s="57">
        <f>(M10-M11)/(1-M11)</f>
        <v>0.08163265306</v>
      </c>
      <c r="N12" s="59" t="s">
        <v>123</v>
      </c>
    </row>
    <row r="13" ht="15.75" customHeight="1">
      <c r="A13" s="43" t="str">
        <f>'Printer Human-Based Grading'!A13</f>
        <v>Action</v>
      </c>
      <c r="B13" s="44" t="str">
        <f>'Printer Human-Based Grading'!B13</f>
        <v>action="none"</v>
      </c>
      <c r="C13" s="10">
        <f>'Printer Human-Based Grading'!C13</f>
        <v>1</v>
      </c>
      <c r="D13" s="10">
        <f>'Printer LLM-Based Grading'!C13</f>
        <v>0</v>
      </c>
      <c r="E13" s="39"/>
      <c r="F13" s="60" t="s">
        <v>124</v>
      </c>
      <c r="G13" s="8">
        <f t="shared" ref="G13:I13" si="7">SUM(G10:G12)</f>
        <v>0</v>
      </c>
      <c r="H13" s="8">
        <f t="shared" si="7"/>
        <v>4</v>
      </c>
      <c r="I13" s="8">
        <f t="shared" si="7"/>
        <v>4</v>
      </c>
      <c r="J13" s="8"/>
      <c r="K13" s="8"/>
      <c r="L13" s="8"/>
      <c r="M13" s="61"/>
    </row>
    <row r="14" ht="15.75" customHeight="1">
      <c r="A14" s="43" t="str">
        <f>'Printer Human-Based Grading'!A14</f>
        <v>State</v>
      </c>
      <c r="B14" s="44" t="str">
        <f>'Printer Human-Based Grading'!B14</f>
        <v>Ready</v>
      </c>
      <c r="C14" s="10">
        <f>'Printer Human-Based Grading'!C14</f>
        <v>1</v>
      </c>
      <c r="D14" s="10">
        <f>'Printer LLM-Based Grading'!C14</f>
        <v>0.5</v>
      </c>
      <c r="E14" s="39"/>
      <c r="K14" s="8"/>
    </row>
    <row r="15" ht="15.75" customHeight="1">
      <c r="A15" s="43" t="str">
        <f>'Printer Human-Based Grading'!A15</f>
        <v>Transition</v>
      </c>
      <c r="B15" s="44" t="str">
        <f>'Printer Human-Based Grading'!B15</f>
        <v>logoff (Ready =&gt; Idle)</v>
      </c>
      <c r="C15" s="10">
        <f>'Printer Human-Based Grading'!C15</f>
        <v>1</v>
      </c>
      <c r="D15" s="10">
        <f>'Printer LLM-Based Grading'!C15</f>
        <v>0.5</v>
      </c>
      <c r="E15" s="39"/>
      <c r="F15" s="40" t="s">
        <v>127</v>
      </c>
      <c r="K15" s="8"/>
      <c r="L15" s="41" t="s">
        <v>128</v>
      </c>
      <c r="M15" s="42"/>
      <c r="N15" s="42"/>
    </row>
    <row r="16" ht="15.75" customHeight="1">
      <c r="A16" s="43" t="str">
        <f>'Printer Human-Based Grading'!A16</f>
        <v>Transition</v>
      </c>
      <c r="B16" s="44" t="str">
        <f>'Printer Human-Based Grading'!B16</f>
        <v>start (Ready =&gt; Ready)</v>
      </c>
      <c r="C16" s="10">
        <f>'Printer Human-Based Grading'!C16</f>
        <v>1</v>
      </c>
      <c r="D16" s="10">
        <f>'Printer LLM-Based Grading'!C16</f>
        <v>0.5</v>
      </c>
      <c r="E16" s="39"/>
      <c r="F16" s="8" t="s">
        <v>5</v>
      </c>
      <c r="G16" s="62" t="s">
        <v>112</v>
      </c>
      <c r="H16" s="62" t="s">
        <v>113</v>
      </c>
      <c r="I16" s="62" t="s">
        <v>114</v>
      </c>
      <c r="J16" s="63" t="s">
        <v>115</v>
      </c>
      <c r="K16" s="8"/>
      <c r="L16" s="49" t="s">
        <v>116</v>
      </c>
      <c r="M16" s="49" t="s">
        <v>117</v>
      </c>
      <c r="N16" s="49" t="s">
        <v>118</v>
      </c>
    </row>
    <row r="17" ht="15.75" customHeight="1">
      <c r="A17" s="43" t="str">
        <f>'Printer Human-Based Grading'!A17</f>
        <v>Guard</v>
      </c>
      <c r="B17" s="44" t="str">
        <f>'Printer Human-Based Grading'!B17</f>
        <v>[action=="scan" &amp; !originalLoaded()]</v>
      </c>
      <c r="C17" s="10">
        <f>'Printer Human-Based Grading'!C17</f>
        <v>1</v>
      </c>
      <c r="D17" s="10">
        <f>'Printer LLM-Based Grading'!C17</f>
        <v>0.5</v>
      </c>
      <c r="E17" s="39"/>
      <c r="F17" s="50">
        <v>0.0</v>
      </c>
      <c r="G17" s="51">
        <f t="shared" ref="G17:H17" si="8">COUNTIFS($A$2:$A$90,$F$16,$C$2:$C$90,$F17,$D$2:$D$90,G$16)</f>
        <v>1</v>
      </c>
      <c r="H17" s="52">
        <f t="shared" si="8"/>
        <v>0</v>
      </c>
      <c r="I17" s="53">
        <f>COUNTIFS($A$2:$A$38,$F$16,$C$2:$C$38,$F17,$D$2:$D$38,I$16) + MAX(D40-C40,0)</f>
        <v>0</v>
      </c>
      <c r="J17" s="8">
        <f t="shared" ref="J17:J19" si="10">SUM(G17:I17)</f>
        <v>1</v>
      </c>
      <c r="L17" s="54" t="s">
        <v>119</v>
      </c>
      <c r="M17" s="51">
        <f>(G17+H18+I19)/COUNTIF($A$2:$A$90,F16)</f>
        <v>0.2777777778</v>
      </c>
      <c r="N17" s="53" t="s">
        <v>120</v>
      </c>
    </row>
    <row r="18" ht="15.75" customHeight="1">
      <c r="A18" s="43" t="str">
        <f>'Printer Human-Based Grading'!A18</f>
        <v>Transition</v>
      </c>
      <c r="B18" s="44" t="str">
        <f>'Printer Human-Based Grading'!B18</f>
        <v>start (Ready =&gt; Ready)</v>
      </c>
      <c r="C18" s="10">
        <f>'Printer Human-Based Grading'!C18</f>
        <v>1</v>
      </c>
      <c r="D18" s="10">
        <f>'Printer LLM-Based Grading'!C18</f>
        <v>0.5</v>
      </c>
      <c r="E18" s="39"/>
      <c r="F18" s="50">
        <v>0.5</v>
      </c>
      <c r="G18" s="55">
        <f t="shared" ref="G18:I18" si="9">COUNTIFS($A$2:$A$90,$F$16,$C$2:$C$90,$F18,$D$2:$D$90,G$16)</f>
        <v>0</v>
      </c>
      <c r="H18" s="8">
        <f t="shared" si="9"/>
        <v>0</v>
      </c>
      <c r="I18" s="56">
        <f t="shared" si="9"/>
        <v>0</v>
      </c>
      <c r="J18" s="8">
        <f t="shared" si="10"/>
        <v>0</v>
      </c>
      <c r="L18" s="54" t="s">
        <v>121</v>
      </c>
      <c r="M18" s="55">
        <f t="array" ref="M18">SUMPRODUCT(J17:J19/COUNTIF($A$2:$A$90,F16), TRANSPOSE(G20:I20)/COUNTIF($A$2:$A$90,F16))</f>
        <v>0.2191358025</v>
      </c>
      <c r="N18" s="56" t="s">
        <v>122</v>
      </c>
    </row>
    <row r="19" ht="15.75" customHeight="1">
      <c r="A19" s="43" t="str">
        <f>'Printer Human-Based Grading'!A19</f>
        <v>Guard</v>
      </c>
      <c r="B19" s="44" t="str">
        <f>'Printer Human-Based Grading'!B19</f>
        <v>[action=="print" &amp; !documentInQueue()]</v>
      </c>
      <c r="C19" s="10">
        <f>'Printer Human-Based Grading'!C19</f>
        <v>1</v>
      </c>
      <c r="D19" s="10">
        <f>'Printer LLM-Based Grading'!C19</f>
        <v>0.5</v>
      </c>
      <c r="E19" s="39"/>
      <c r="F19" s="50">
        <v>1.0</v>
      </c>
      <c r="G19" s="57">
        <f>COUNTIFS($A$2:$A$38,$F$16,$C$2:$C$38,$F19,$D$2:$D$38,G$16)+MAX(C40-D40,0)</f>
        <v>2</v>
      </c>
      <c r="H19" s="58">
        <f>COUNTIFS($A$2:$A$90,$F$16,$C$2:$C$90,$F19,$D$2:$D$90,H$16)</f>
        <v>11</v>
      </c>
      <c r="I19" s="59">
        <f>COUNTIFS($A$2:$A$38,$F$16,$C$2:$C$38,$F19,$D$2:$D$38,I$16) + MIN(C40,D40)</f>
        <v>4</v>
      </c>
      <c r="J19" s="8">
        <f t="shared" si="10"/>
        <v>17</v>
      </c>
      <c r="L19" s="54" t="s">
        <v>110</v>
      </c>
      <c r="M19" s="57">
        <f>(M17-M18)/(1-M18)</f>
        <v>0.07509881423</v>
      </c>
      <c r="N19" s="59" t="s">
        <v>123</v>
      </c>
    </row>
    <row r="20" ht="15.75" customHeight="1">
      <c r="A20" s="43" t="str">
        <f>'Printer Human-Based Grading'!A20</f>
        <v>Transition</v>
      </c>
      <c r="B20" s="44" t="str">
        <f>'Printer Human-Based Grading'!B20</f>
        <v>scan (Ready =&gt; Ready)</v>
      </c>
      <c r="C20" s="10">
        <f>'Printer Human-Based Grading'!C20</f>
        <v>1</v>
      </c>
      <c r="D20" s="10">
        <f>'Printer LLM-Based Grading'!C20</f>
        <v>0</v>
      </c>
      <c r="E20" s="39"/>
      <c r="F20" s="60" t="s">
        <v>124</v>
      </c>
      <c r="G20" s="8">
        <f t="shared" ref="G20:I20" si="11">SUM(G17:G19)</f>
        <v>3</v>
      </c>
      <c r="H20" s="8">
        <f t="shared" si="11"/>
        <v>11</v>
      </c>
      <c r="I20" s="8">
        <f t="shared" si="11"/>
        <v>4</v>
      </c>
      <c r="J20" s="8"/>
      <c r="K20" s="8"/>
      <c r="L20" s="8"/>
      <c r="M20" s="61"/>
    </row>
    <row r="21" ht="15.75" customHeight="1">
      <c r="A21" s="43" t="str">
        <f>'Printer Human-Based Grading'!A21</f>
        <v>Action</v>
      </c>
      <c r="B21" s="44" t="str">
        <f>'Printer Human-Based Grading'!B21</f>
        <v>action = "scan"</v>
      </c>
      <c r="C21" s="10">
        <f>'Printer Human-Based Grading'!C21</f>
        <v>1</v>
      </c>
      <c r="D21" s="10">
        <f>'Printer LLM-Based Grading'!C21</f>
        <v>0</v>
      </c>
      <c r="E21" s="39"/>
      <c r="K21" s="8"/>
    </row>
    <row r="22" ht="15.75" customHeight="1">
      <c r="A22" s="43" t="str">
        <f>'Printer Human-Based Grading'!A22</f>
        <v>Transition</v>
      </c>
      <c r="B22" s="44" t="str">
        <f>'Printer Human-Based Grading'!B22</f>
        <v>print (Ready =&gt; Ready)</v>
      </c>
      <c r="C22" s="10">
        <f>'Printer Human-Based Grading'!C22</f>
        <v>1</v>
      </c>
      <c r="D22" s="10">
        <f>'Printer LLM-Based Grading'!C22</f>
        <v>0</v>
      </c>
      <c r="E22" s="39"/>
      <c r="F22" s="40" t="s">
        <v>129</v>
      </c>
      <c r="K22" s="8"/>
      <c r="L22" s="41" t="s">
        <v>130</v>
      </c>
      <c r="M22" s="42"/>
      <c r="N22" s="42"/>
    </row>
    <row r="23" ht="15.75" customHeight="1">
      <c r="A23" s="43" t="str">
        <f>'Printer Human-Based Grading'!A23</f>
        <v>Action</v>
      </c>
      <c r="B23" s="44" t="str">
        <f>'Printer Human-Based Grading'!B23</f>
        <v>action="print"</v>
      </c>
      <c r="C23" s="10">
        <f>'Printer Human-Based Grading'!C23</f>
        <v>1</v>
      </c>
      <c r="D23" s="10">
        <f>'Printer LLM-Based Grading'!C23</f>
        <v>0</v>
      </c>
      <c r="E23" s="39"/>
      <c r="F23" s="8" t="s">
        <v>7</v>
      </c>
      <c r="G23" s="62" t="s">
        <v>112</v>
      </c>
      <c r="H23" s="62" t="s">
        <v>113</v>
      </c>
      <c r="I23" s="62" t="s">
        <v>114</v>
      </c>
      <c r="J23" s="63" t="s">
        <v>115</v>
      </c>
      <c r="K23" s="8"/>
      <c r="L23" s="49" t="s">
        <v>116</v>
      </c>
      <c r="M23" s="49" t="s">
        <v>117</v>
      </c>
      <c r="N23" s="49" t="s">
        <v>118</v>
      </c>
    </row>
    <row r="24" ht="15.75" customHeight="1">
      <c r="A24" s="43" t="str">
        <f>'Printer Human-Based Grading'!A24</f>
        <v>Transition</v>
      </c>
      <c r="B24" s="44" t="str">
        <f>'Printer Human-Based Grading'!B24</f>
        <v>start (Ready =&gt; Scan &amp; Email)</v>
      </c>
      <c r="C24" s="10">
        <f>'Printer Human-Based Grading'!C24</f>
        <v>1</v>
      </c>
      <c r="D24" s="10">
        <f>'Printer LLM-Based Grading'!C24</f>
        <v>0.5</v>
      </c>
      <c r="E24" s="39"/>
      <c r="F24" s="50">
        <v>0.0</v>
      </c>
      <c r="G24" s="51">
        <f t="shared" ref="G24:H24" si="12">COUNTIFS($A$2:$A$90,$F$23,$C$2:$C$90,$F24,$D$2:$D$90,G$23)</f>
        <v>0</v>
      </c>
      <c r="H24" s="52">
        <f t="shared" si="12"/>
        <v>0</v>
      </c>
      <c r="I24" s="53">
        <f>COUNTIFS($A$2:$A$38,$F$23,$C$2:$C$38,$F24,$D$2:$D$38,I$23) + MAX(D43-C43,0)</f>
        <v>0</v>
      </c>
      <c r="J24" s="8">
        <f t="shared" ref="J24:J26" si="14">SUM(G24:I24)</f>
        <v>0</v>
      </c>
      <c r="K24" s="8"/>
      <c r="L24" s="54" t="s">
        <v>119</v>
      </c>
      <c r="M24" s="51">
        <f>(G24+H25+I26)/COUNTIF($A$2:$A$90,F23)</f>
        <v>0.3333333333</v>
      </c>
      <c r="N24" s="53" t="s">
        <v>120</v>
      </c>
    </row>
    <row r="25" ht="15.75" customHeight="1">
      <c r="A25" s="43" t="str">
        <f>'Printer Human-Based Grading'!A25</f>
        <v>Guard</v>
      </c>
      <c r="B25" s="44" t="str">
        <f>'Printer Human-Based Grading'!B25</f>
        <v>[action=="scan" &amp;&amp; originalLoaded()]</v>
      </c>
      <c r="C25" s="10">
        <f>'Printer Human-Based Grading'!C25</f>
        <v>1</v>
      </c>
      <c r="D25" s="10">
        <f>'Printer LLM-Based Grading'!C25</f>
        <v>0.5</v>
      </c>
      <c r="E25" s="39"/>
      <c r="F25" s="50">
        <v>0.5</v>
      </c>
      <c r="G25" s="55">
        <f t="shared" ref="G25:I25" si="13">COUNTIFS($A$2:$A$90,$F$23,$C$2:$C$90,$F25,$D$2:$D$90,G$23)</f>
        <v>0</v>
      </c>
      <c r="H25" s="8">
        <f t="shared" si="13"/>
        <v>0</v>
      </c>
      <c r="I25" s="56">
        <f t="shared" si="13"/>
        <v>0</v>
      </c>
      <c r="J25" s="8">
        <f t="shared" si="14"/>
        <v>0</v>
      </c>
      <c r="K25" s="8"/>
      <c r="L25" s="54" t="s">
        <v>121</v>
      </c>
      <c r="M25" s="55">
        <f t="array" ref="M25">SUMPRODUCT(J24:J26/COUNTIF($A$2:$A$90,F23), TRANSPOSE(G27:I27)/COUNTIF($A$2:$A$90,F23))</f>
        <v>0.3333333333</v>
      </c>
      <c r="N25" s="56" t="s">
        <v>122</v>
      </c>
    </row>
    <row r="26" ht="15.75" customHeight="1">
      <c r="A26" s="43" t="str">
        <f>'Printer Human-Based Grading'!A26</f>
        <v>Composite State</v>
      </c>
      <c r="B26" s="44" t="str">
        <f>'Printer Human-Based Grading'!B26</f>
        <v>Busy</v>
      </c>
      <c r="C26" s="10">
        <f>'Printer Human-Based Grading'!C26</f>
        <v>1</v>
      </c>
      <c r="D26" s="10">
        <f>'Printer LLM-Based Grading'!C26</f>
        <v>0.5</v>
      </c>
      <c r="E26" s="39"/>
      <c r="F26" s="50">
        <v>1.0</v>
      </c>
      <c r="G26" s="57">
        <f>COUNTIFS($A$2:$A$38,$F$23,$C$2:$C$38,$F26,$D$2:$D$38,G$23) + MAX(C43-D43,0)</f>
        <v>1</v>
      </c>
      <c r="H26" s="58">
        <f>COUNTIFS($A$2:$A$90,$F$23,$C$2:$C$90,$F26,$D$2:$D$90,H$23)</f>
        <v>1</v>
      </c>
      <c r="I26" s="59">
        <f>COUNTIFS($A$2:$A$38,$F$23,$C$2:$C$38,$F26,$D$2:$D$38,I$23) + MIN(C43,D43)</f>
        <v>1</v>
      </c>
      <c r="J26" s="8">
        <f t="shared" si="14"/>
        <v>3</v>
      </c>
      <c r="L26" s="54" t="s">
        <v>110</v>
      </c>
      <c r="M26" s="57">
        <f>(M24-M25)/(1-M25)</f>
        <v>0</v>
      </c>
      <c r="N26" s="59" t="s">
        <v>123</v>
      </c>
    </row>
    <row r="27" ht="15.75" customHeight="1">
      <c r="A27" s="43" t="str">
        <f>'Printer Human-Based Grading'!A27</f>
        <v>Transition</v>
      </c>
      <c r="B27" s="44" t="str">
        <f>'Printer Human-Based Grading'!B27</f>
        <v>stop (Busy =&gt; Ready)</v>
      </c>
      <c r="C27" s="10">
        <f>'Printer Human-Based Grading'!C27</f>
        <v>1</v>
      </c>
      <c r="D27" s="10">
        <f>'Printer LLM-Based Grading'!C27</f>
        <v>0.5</v>
      </c>
      <c r="E27" s="39"/>
      <c r="F27" s="60" t="s">
        <v>124</v>
      </c>
      <c r="G27" s="8">
        <f t="shared" ref="G27:I27" si="15">SUM(G24:G26)</f>
        <v>1</v>
      </c>
      <c r="H27" s="8">
        <f t="shared" si="15"/>
        <v>1</v>
      </c>
      <c r="I27" s="8">
        <f t="shared" si="15"/>
        <v>1</v>
      </c>
      <c r="J27" s="8"/>
      <c r="L27" s="8"/>
      <c r="M27" s="61"/>
    </row>
    <row r="28" ht="15.75" customHeight="1">
      <c r="A28" s="43" t="str">
        <f>'Printer Human-Based Grading'!A28</f>
        <v>Transition</v>
      </c>
      <c r="B28" s="44" t="str">
        <f>'Printer Human-Based Grading'!B28</f>
        <v>done (Busy =&gt; Ready)</v>
      </c>
      <c r="C28" s="10">
        <f>'Printer Human-Based Grading'!C28</f>
        <v>1</v>
      </c>
      <c r="D28" s="10">
        <f>'Printer LLM-Based Grading'!C28</f>
        <v>0.5</v>
      </c>
      <c r="E28" s="39"/>
    </row>
    <row r="29" ht="15.75" customHeight="1">
      <c r="A29" s="43" t="str">
        <f>'Printer Human-Based Grading'!A29</f>
        <v>Transition</v>
      </c>
      <c r="B29" s="44" t="str">
        <f>'Printer Human-Based Grading'!B29</f>
        <v>jam (Busy =&gt; Suspended)</v>
      </c>
      <c r="C29" s="10">
        <f>'Printer Human-Based Grading'!C29</f>
        <v>1</v>
      </c>
      <c r="D29" s="10">
        <f>'Printer LLM-Based Grading'!C29</f>
        <v>0.5</v>
      </c>
      <c r="E29" s="39"/>
      <c r="F29" s="40" t="s">
        <v>131</v>
      </c>
      <c r="K29" s="8"/>
      <c r="L29" s="41" t="s">
        <v>132</v>
      </c>
      <c r="M29" s="42"/>
      <c r="N29" s="42"/>
    </row>
    <row r="30" ht="15.75" customHeight="1">
      <c r="A30" s="43" t="str">
        <f>'Printer Human-Based Grading'!A30</f>
        <v>History State</v>
      </c>
      <c r="B30" s="44" t="str">
        <f>'Printer Human-Based Grading'!B30</f>
        <v>for Busy</v>
      </c>
      <c r="C30" s="10">
        <f>'Printer Human-Based Grading'!C30</f>
        <v>1</v>
      </c>
      <c r="D30" s="10">
        <f>'Printer LLM-Based Grading'!C30</f>
        <v>0.5</v>
      </c>
      <c r="E30" s="39"/>
      <c r="F30" s="8" t="s">
        <v>13</v>
      </c>
      <c r="G30" s="62" t="s">
        <v>112</v>
      </c>
      <c r="H30" s="62" t="s">
        <v>113</v>
      </c>
      <c r="I30" s="62" t="s">
        <v>114</v>
      </c>
      <c r="J30" s="63" t="s">
        <v>115</v>
      </c>
      <c r="K30" s="8"/>
      <c r="L30" s="49" t="s">
        <v>116</v>
      </c>
      <c r="M30" s="49" t="s">
        <v>117</v>
      </c>
      <c r="N30" s="49" t="s">
        <v>118</v>
      </c>
    </row>
    <row r="31" ht="15.75" customHeight="1">
      <c r="A31" s="43" t="str">
        <f>'Printer Human-Based Grading'!A31</f>
        <v>State</v>
      </c>
      <c r="B31" s="44" t="str">
        <f>'Printer Human-Based Grading'!B31</f>
        <v>Print</v>
      </c>
      <c r="C31" s="10">
        <f>'Printer Human-Based Grading'!C31</f>
        <v>1</v>
      </c>
      <c r="D31" s="10">
        <f>'Printer LLM-Based Grading'!C31</f>
        <v>1</v>
      </c>
      <c r="E31" s="39"/>
      <c r="F31" s="50">
        <v>0.0</v>
      </c>
      <c r="G31" s="51">
        <f t="shared" ref="G31:H31" si="16">COUNTIFS($A$2:$A$90,$F$30,$C$2:$C$90,$F31,$D$2:$D$90,G$30)</f>
        <v>1</v>
      </c>
      <c r="H31" s="52">
        <f t="shared" si="16"/>
        <v>0</v>
      </c>
      <c r="I31" s="53">
        <f>COUNTIFS($A$2:$A$38,$F$30,$C$2:$C$38,$F31,$D$2:$D$38,I$30) + MAX(D41-C41,0)</f>
        <v>0</v>
      </c>
      <c r="J31" s="8">
        <f t="shared" ref="J31:J33" si="18">SUM(G31:I31)</f>
        <v>1</v>
      </c>
      <c r="K31" s="8"/>
      <c r="L31" s="54" t="s">
        <v>119</v>
      </c>
      <c r="M31" s="51">
        <f>(G31+H32+I33)/COUNTIF($A$2:$A$90,F30)</f>
        <v>0.4285714286</v>
      </c>
      <c r="N31" s="53" t="s">
        <v>120</v>
      </c>
    </row>
    <row r="32" ht="15.75" customHeight="1">
      <c r="A32" s="43" t="str">
        <f>'Printer Human-Based Grading'!A32</f>
        <v>Transition</v>
      </c>
      <c r="B32" s="44" t="str">
        <f>'Printer Human-Based Grading'!B32</f>
        <v>start (Ready =&gt; Print)</v>
      </c>
      <c r="C32" s="10">
        <f>'Printer Human-Based Grading'!C32</f>
        <v>1</v>
      </c>
      <c r="D32" s="10">
        <f>'Printer LLM-Based Grading'!C32</f>
        <v>0.5</v>
      </c>
      <c r="E32" s="39"/>
      <c r="F32" s="50">
        <v>0.5</v>
      </c>
      <c r="G32" s="55">
        <f t="shared" ref="G32:I32" si="17">COUNTIFS($A$2:$A$90,$F$30,$C$2:$C$90,$F32,$D$2:$D$90,G$30)</f>
        <v>0</v>
      </c>
      <c r="H32" s="8">
        <f t="shared" si="17"/>
        <v>0</v>
      </c>
      <c r="I32" s="56">
        <f t="shared" si="17"/>
        <v>0</v>
      </c>
      <c r="J32" s="8">
        <f t="shared" si="18"/>
        <v>0</v>
      </c>
      <c r="K32" s="8"/>
      <c r="L32" s="54" t="s">
        <v>121</v>
      </c>
      <c r="M32" s="55">
        <f t="array" ref="M32">SUMPRODUCT(J31:J33/COUNTIF($A$2:$A$90,F30), TRANSPOSE(G34:I34)/COUNTIF($A$2:$A$90,F30))</f>
        <v>0.2653061224</v>
      </c>
      <c r="N32" s="56" t="s">
        <v>122</v>
      </c>
    </row>
    <row r="33" ht="15.75" customHeight="1">
      <c r="A33" s="43" t="str">
        <f>'Printer Human-Based Grading'!A33</f>
        <v>Guard</v>
      </c>
      <c r="B33" s="44" t="str">
        <f>'Printer Human-Based Grading'!B33</f>
        <v>[action="print" &amp;&amp; documentInQueue()]</v>
      </c>
      <c r="C33" s="10">
        <f>'Printer Human-Based Grading'!C33</f>
        <v>1</v>
      </c>
      <c r="D33" s="10">
        <f>'Printer LLM-Based Grading'!C33</f>
        <v>0.5</v>
      </c>
      <c r="E33" s="39"/>
      <c r="F33" s="50">
        <v>1.0</v>
      </c>
      <c r="G33" s="57">
        <f>COUNTIFS($A$2:$A$38,$F$30,$C$2:$C$38,$F33,$D$2:$D$38,G$30) + MAX(C41-D41,0)</f>
        <v>0</v>
      </c>
      <c r="H33" s="58">
        <f>COUNTIFS($A$2:$A$90,$F$30,$C$2:$C$90,$F33,$D$2:$D$90,H$30)</f>
        <v>4</v>
      </c>
      <c r="I33" s="59">
        <f>COUNTIFS($A$2:$A$38,$F$30,$C$2:$C$38,$F33,$D$2:$D$38,I$30) + MIN(C41,D41)</f>
        <v>2</v>
      </c>
      <c r="J33" s="8">
        <f t="shared" si="18"/>
        <v>6</v>
      </c>
      <c r="K33" s="8"/>
      <c r="L33" s="54" t="s">
        <v>110</v>
      </c>
      <c r="M33" s="57">
        <f>(M31-M32)/(1-M32)</f>
        <v>0.2222222222</v>
      </c>
      <c r="N33" s="59" t="s">
        <v>123</v>
      </c>
    </row>
    <row r="34" ht="15.75" customHeight="1">
      <c r="A34" s="43" t="str">
        <f>'Printer Human-Based Grading'!A34</f>
        <v>Transition</v>
      </c>
      <c r="B34" s="44" t="str">
        <f>'Printer Human-Based Grading'!B34</f>
        <v>outOfPaper (Print =&gt; Suspended)</v>
      </c>
      <c r="C34" s="10">
        <f>'Printer Human-Based Grading'!C34</f>
        <v>1</v>
      </c>
      <c r="D34" s="10">
        <f>'Printer LLM-Based Grading'!C34</f>
        <v>1</v>
      </c>
      <c r="E34" s="39"/>
      <c r="F34" s="60" t="s">
        <v>124</v>
      </c>
      <c r="G34" s="8">
        <f t="shared" ref="G34:I34" si="19">SUM(G31:G33)</f>
        <v>1</v>
      </c>
      <c r="H34" s="8">
        <f t="shared" si="19"/>
        <v>4</v>
      </c>
      <c r="I34" s="8">
        <f t="shared" si="19"/>
        <v>2</v>
      </c>
      <c r="J34" s="8"/>
      <c r="K34" s="8"/>
      <c r="L34" s="8"/>
      <c r="M34" s="61"/>
    </row>
    <row r="35" ht="15.75" customHeight="1">
      <c r="A35" s="43" t="str">
        <f>'Printer Human-Based Grading'!A35</f>
        <v>State</v>
      </c>
      <c r="B35" s="44" t="str">
        <f>'Printer Human-Based Grading'!B35</f>
        <v>Scan &amp; Email</v>
      </c>
      <c r="C35" s="10">
        <f>'Printer Human-Based Grading'!C35</f>
        <v>1</v>
      </c>
      <c r="D35" s="10">
        <f>'Printer LLM-Based Grading'!C35</f>
        <v>0.5</v>
      </c>
      <c r="E35" s="39"/>
    </row>
    <row r="36" ht="15.75" customHeight="1">
      <c r="A36" s="43" t="str">
        <f>'Printer Human-Based Grading'!A36</f>
        <v>State</v>
      </c>
      <c r="B36" s="44" t="str">
        <f>'Printer Human-Based Grading'!B36</f>
        <v>Suspended</v>
      </c>
      <c r="C36" s="10">
        <f>'Printer Human-Based Grading'!C36</f>
        <v>1</v>
      </c>
      <c r="D36" s="10">
        <f>'Printer LLM-Based Grading'!C36</f>
        <v>0.5</v>
      </c>
      <c r="E36" s="39"/>
      <c r="F36" s="40" t="s">
        <v>133</v>
      </c>
      <c r="L36" s="41" t="s">
        <v>134</v>
      </c>
      <c r="M36" s="42"/>
      <c r="N36" s="42"/>
    </row>
    <row r="37" ht="15.75" customHeight="1">
      <c r="A37" s="43" t="str">
        <f>'Printer Human-Based Grading'!A37</f>
        <v>Transition</v>
      </c>
      <c r="B37" s="44" t="str">
        <f>'Printer Human-Based Grading'!B37</f>
        <v>resume (Suspended =&gt; History State for Busy)</v>
      </c>
      <c r="C37" s="10">
        <f>'Printer Human-Based Grading'!C37</f>
        <v>1</v>
      </c>
      <c r="D37" s="10">
        <f>'Printer LLM-Based Grading'!C37</f>
        <v>1</v>
      </c>
      <c r="E37" s="39"/>
      <c r="F37" s="8" t="s">
        <v>17</v>
      </c>
      <c r="G37" s="62" t="s">
        <v>112</v>
      </c>
      <c r="H37" s="62" t="s">
        <v>113</v>
      </c>
      <c r="I37" s="62" t="s">
        <v>114</v>
      </c>
      <c r="J37" s="63" t="s">
        <v>115</v>
      </c>
      <c r="L37" s="49" t="s">
        <v>116</v>
      </c>
      <c r="M37" s="49" t="s">
        <v>117</v>
      </c>
      <c r="N37" s="49" t="s">
        <v>118</v>
      </c>
    </row>
    <row r="38" ht="15.75" customHeight="1">
      <c r="A38" s="43" t="str">
        <f>'Printer Human-Based Grading'!A38</f>
        <v>Transition</v>
      </c>
      <c r="B38" s="44" t="str">
        <f>'Printer Human-Based Grading'!B38</f>
        <v>cancel (Suspended =&gt; Ready)</v>
      </c>
      <c r="C38" s="64">
        <f>'Printer Human-Based Grading'!C38</f>
        <v>1</v>
      </c>
      <c r="D38" s="64">
        <f>'Printer LLM-Based Grading'!C38</f>
        <v>0.5</v>
      </c>
      <c r="E38" s="39"/>
      <c r="F38" s="50">
        <v>0.0</v>
      </c>
      <c r="G38" s="51">
        <f t="shared" ref="G38:H38" si="20">COUNTIFS($A$2:$A$90,$F$37,$C$2:$C$90,$F38,$D$2:$D$90,G$37)</f>
        <v>1</v>
      </c>
      <c r="H38" s="52">
        <f t="shared" si="20"/>
        <v>0</v>
      </c>
      <c r="I38" s="53">
        <f>COUNTIFS($A$2:$A$38,$F$37,$C$2:$C$38,$F38,$D$2:$D$38,I$37)+MAX(D42-C42,0)</f>
        <v>0</v>
      </c>
      <c r="J38" s="8">
        <f t="shared" ref="J38:J40" si="22">SUM(G38:I38)</f>
        <v>1</v>
      </c>
      <c r="K38" s="8"/>
      <c r="L38" s="54" t="s">
        <v>119</v>
      </c>
      <c r="M38" s="51">
        <f>(G38+H39+I40)/COUNTIF($A$2:$A$90,F37)</f>
        <v>0.25</v>
      </c>
      <c r="N38" s="53" t="s">
        <v>120</v>
      </c>
    </row>
    <row r="39" ht="15.75" customHeight="1">
      <c r="A39" s="65" t="str">
        <f>'Printer Human-Based Grading'!A39</f>
        <v>State</v>
      </c>
      <c r="B39" s="66" t="str">
        <f>'Printer Human-Based Grading'!B39</f>
        <v>additional elements</v>
      </c>
      <c r="C39" s="67">
        <f>'Printer Human-Based Grading'!C39</f>
        <v>0</v>
      </c>
      <c r="D39" s="67">
        <f>'Printer LLM-Based Grading'!C39</f>
        <v>0</v>
      </c>
      <c r="E39" s="39"/>
      <c r="F39" s="50">
        <v>0.5</v>
      </c>
      <c r="G39" s="55">
        <f t="shared" ref="G39:I39" si="21">COUNTIFS($A$2:$A$90,$F$37,$C$2:$C$90,$F39,$D$2:$D$90,G$37)</f>
        <v>0</v>
      </c>
      <c r="H39" s="8">
        <f t="shared" si="21"/>
        <v>0</v>
      </c>
      <c r="I39" s="56">
        <f t="shared" si="21"/>
        <v>0</v>
      </c>
      <c r="J39" s="8">
        <f t="shared" si="22"/>
        <v>0</v>
      </c>
      <c r="K39" s="8"/>
      <c r="L39" s="54" t="s">
        <v>121</v>
      </c>
      <c r="M39" s="55">
        <f t="array" ref="M39">SUMPRODUCT(J38:J40/COUNTIF($A$2:$A$90,F37), TRANSPOSE(G41:I41)/COUNTIF($A$2:$A$90,F37))</f>
        <v>0.25</v>
      </c>
      <c r="N39" s="56" t="s">
        <v>122</v>
      </c>
    </row>
    <row r="40" ht="15.75" customHeight="1">
      <c r="A40" s="43" t="str">
        <f>'Printer Human-Based Grading'!A40</f>
        <v>Transition</v>
      </c>
      <c r="B40" s="44" t="str">
        <f>'Printer Human-Based Grading'!B40</f>
        <v>additional elements</v>
      </c>
      <c r="C40" s="10">
        <f>'Printer Human-Based Grading'!C40</f>
        <v>0</v>
      </c>
      <c r="D40" s="10">
        <f>'Printer LLM-Based Grading'!C40</f>
        <v>0</v>
      </c>
      <c r="E40" s="39"/>
      <c r="F40" s="50">
        <v>1.0</v>
      </c>
      <c r="G40" s="57">
        <f>COUNTIFS($A$2:$A$38,$F$37,$C$2:$C$38,$F40,$D$2:$D$38,G$37)+MAX(C42-D42,0)</f>
        <v>3</v>
      </c>
      <c r="H40" s="58">
        <f>COUNTIFS($A$2:$A$90,$F$37,$C$2:$C$90,$F40,$D$2:$D$90,H$37)</f>
        <v>0</v>
      </c>
      <c r="I40" s="59">
        <f>COUNTIFS($A$2:$A$38,$F$37,$C$2:$C$38,$F40,$D$2:$D$38,I$37) + MIN(C42,D42)</f>
        <v>0</v>
      </c>
      <c r="J40" s="8">
        <f t="shared" si="22"/>
        <v>3</v>
      </c>
      <c r="K40" s="8"/>
      <c r="L40" s="54" t="s">
        <v>110</v>
      </c>
      <c r="M40" s="57">
        <f>(M38-M39)/(1-M39)</f>
        <v>0</v>
      </c>
      <c r="N40" s="59" t="s">
        <v>123</v>
      </c>
    </row>
    <row r="41" ht="15.75" customHeight="1">
      <c r="A41" s="43" t="str">
        <f>'Printer Human-Based Grading'!A41</f>
        <v>Guard</v>
      </c>
      <c r="B41" s="44" t="str">
        <f>'Printer Human-Based Grading'!B41</f>
        <v>additional elements</v>
      </c>
      <c r="C41" s="10">
        <f>'Printer Human-Based Grading'!C41</f>
        <v>0</v>
      </c>
      <c r="D41" s="10">
        <f>'Printer LLM-Based Grading'!C41</f>
        <v>0</v>
      </c>
      <c r="E41" s="39"/>
      <c r="F41" s="60" t="s">
        <v>124</v>
      </c>
      <c r="G41" s="8">
        <f t="shared" ref="G41:I41" si="23">SUM(G38:G40)</f>
        <v>4</v>
      </c>
      <c r="H41" s="8">
        <f t="shared" si="23"/>
        <v>0</v>
      </c>
      <c r="I41" s="8">
        <f t="shared" si="23"/>
        <v>0</v>
      </c>
      <c r="J41" s="8"/>
      <c r="K41" s="8"/>
      <c r="L41" s="8"/>
      <c r="M41" s="61"/>
    </row>
    <row r="42" ht="15.75" customHeight="1">
      <c r="A42" s="43" t="str">
        <f>'Printer Human-Based Grading'!A42</f>
        <v>Action</v>
      </c>
      <c r="B42" s="44" t="str">
        <f>'Printer Human-Based Grading'!B42</f>
        <v>additional elements</v>
      </c>
      <c r="C42" s="10">
        <f>'Printer Human-Based Grading'!C42</f>
        <v>0</v>
      </c>
      <c r="D42" s="10">
        <f>'Printer LLM-Based Grading'!C42</f>
        <v>0</v>
      </c>
      <c r="E42" s="39"/>
      <c r="K42" s="8"/>
    </row>
    <row r="43" ht="15.75" customHeight="1">
      <c r="A43" s="43" t="str">
        <f>'Printer Human-Based Grading'!A43</f>
        <v>Composite State</v>
      </c>
      <c r="B43" s="44" t="str">
        <f>'Printer Human-Based Grading'!B43</f>
        <v>additional elements</v>
      </c>
      <c r="C43" s="10">
        <f>'Printer Human-Based Grading'!C43</f>
        <v>1</v>
      </c>
      <c r="D43" s="10">
        <f>'Printer LLM-Based Grading'!C43</f>
        <v>0</v>
      </c>
      <c r="E43" s="39"/>
      <c r="F43" s="40" t="s">
        <v>135</v>
      </c>
      <c r="K43" s="8"/>
      <c r="L43" s="41" t="s">
        <v>136</v>
      </c>
      <c r="M43" s="42"/>
      <c r="N43" s="42"/>
    </row>
    <row r="44" ht="15.75" customHeight="1">
      <c r="A44" s="43" t="str">
        <f>'Printer Human-Based Grading'!A44</f>
        <v>Region</v>
      </c>
      <c r="B44" s="44" t="str">
        <f>'Printer Human-Based Grading'!B44</f>
        <v>additional elements</v>
      </c>
      <c r="C44" s="10">
        <f>'Printer Human-Based Grading'!C44</f>
        <v>0</v>
      </c>
      <c r="D44" s="10">
        <f>'Printer LLM-Based Grading'!C44</f>
        <v>0</v>
      </c>
      <c r="E44" s="39"/>
      <c r="F44" s="8" t="s">
        <v>34</v>
      </c>
      <c r="G44" s="62" t="s">
        <v>112</v>
      </c>
      <c r="H44" s="62" t="s">
        <v>113</v>
      </c>
      <c r="I44" s="62" t="s">
        <v>114</v>
      </c>
      <c r="J44" s="63" t="s">
        <v>115</v>
      </c>
      <c r="L44" s="49" t="s">
        <v>116</v>
      </c>
      <c r="M44" s="49" t="s">
        <v>117</v>
      </c>
      <c r="N44" s="49" t="s">
        <v>118</v>
      </c>
    </row>
    <row r="45" ht="15.75" customHeight="1">
      <c r="A45" s="43" t="str">
        <f>'Printer Human-Based Grading'!A45</f>
        <v>History State</v>
      </c>
      <c r="B45" s="44" t="str">
        <f>'Printer Human-Based Grading'!B45</f>
        <v>additional elements</v>
      </c>
      <c r="C45" s="10">
        <f>'Printer Human-Based Grading'!C45</f>
        <v>0</v>
      </c>
      <c r="D45" s="10">
        <f>'Printer LLM-Based Grading'!C45</f>
        <v>0</v>
      </c>
      <c r="E45" s="39"/>
      <c r="F45" s="50">
        <v>0.0</v>
      </c>
      <c r="G45" s="51">
        <f t="shared" ref="G45:H45" si="24">COUNTIFS($A$2:$A$90,$F$44,$C$2:$C$90,$F45,$D$2:$D$90,G$44)</f>
        <v>1</v>
      </c>
      <c r="H45" s="52">
        <f t="shared" si="24"/>
        <v>0</v>
      </c>
      <c r="I45" s="53">
        <f>COUNTIFS($A$2:$A$38,$F$44,$C$2:$C$38,$F45,$D$2:$D$38,I$44) + MAX(D45-C45,0)</f>
        <v>0</v>
      </c>
      <c r="J45" s="8">
        <f t="shared" ref="J45:J47" si="26">SUM(G45:I45)</f>
        <v>1</v>
      </c>
      <c r="L45" s="54" t="s">
        <v>119</v>
      </c>
      <c r="M45" s="51">
        <f>(G45+H46+I47)/COUNTIF($A$2:$A$90,F44)</f>
        <v>0.5</v>
      </c>
      <c r="N45" s="53" t="s">
        <v>120</v>
      </c>
    </row>
    <row r="46" ht="15.75" customHeight="1">
      <c r="A46" s="40"/>
      <c r="B46" s="68"/>
      <c r="C46" s="39"/>
      <c r="D46" s="39"/>
      <c r="E46" s="39"/>
      <c r="F46" s="50">
        <v>0.5</v>
      </c>
      <c r="G46" s="55">
        <f t="shared" ref="G46:I46" si="25">COUNTIFS($A$2:$A$90,$F$44,$C$2:$C$90,$F46,$D$2:$D$90,G$44)</f>
        <v>0</v>
      </c>
      <c r="H46" s="8">
        <f t="shared" si="25"/>
        <v>0</v>
      </c>
      <c r="I46" s="56">
        <f t="shared" si="25"/>
        <v>0</v>
      </c>
      <c r="J46" s="8">
        <f t="shared" si="26"/>
        <v>0</v>
      </c>
      <c r="L46" s="54" t="s">
        <v>121</v>
      </c>
      <c r="M46" s="55">
        <f t="array" ref="M46">SUMPRODUCT(J45:J47/COUNTIF($A$2:$A$90,F44), TRANSPOSE(G48:I48)/COUNTIF($A$2:$A$90,F44))</f>
        <v>0.25</v>
      </c>
      <c r="N46" s="56" t="s">
        <v>122</v>
      </c>
    </row>
    <row r="47" ht="15.75" customHeight="1">
      <c r="A47" s="40"/>
      <c r="B47" s="68"/>
      <c r="C47" s="39"/>
      <c r="D47" s="39"/>
      <c r="E47" s="39"/>
      <c r="F47" s="50">
        <v>1.0</v>
      </c>
      <c r="G47" s="57">
        <f>COUNTIFS($A$2:$A$38,$F$44,$C$2:$C$38,$F47,$D$2:$D$38,G$44) + MAX(C45-D45,0)</f>
        <v>0</v>
      </c>
      <c r="H47" s="58">
        <f>COUNTIFS($A$2:$A$90,$F$44,$C$2:$C$90,$F47,$D$2:$D$90,H$44)</f>
        <v>1</v>
      </c>
      <c r="I47" s="59">
        <f>COUNTIFS($A$2:$A$38,$F$44,$C$2:$C$38,$F47,$D$2:$D$38,I$44) + MIN(C45,D45)</f>
        <v>0</v>
      </c>
      <c r="J47" s="8">
        <f t="shared" si="26"/>
        <v>1</v>
      </c>
      <c r="K47" s="8"/>
      <c r="L47" s="54" t="s">
        <v>110</v>
      </c>
      <c r="M47" s="57">
        <f>(M45-M46)/(1-M46)</f>
        <v>0.3333333333</v>
      </c>
      <c r="N47" s="59" t="s">
        <v>123</v>
      </c>
    </row>
    <row r="48" ht="15.75" customHeight="1">
      <c r="A48" s="40"/>
      <c r="B48" s="68"/>
      <c r="C48" s="39"/>
      <c r="D48" s="39"/>
      <c r="E48" s="39"/>
      <c r="F48" s="60" t="s">
        <v>124</v>
      </c>
      <c r="G48" s="8">
        <f t="shared" ref="G48:I48" si="27">SUM(G45:G47)</f>
        <v>1</v>
      </c>
      <c r="H48" s="8">
        <f t="shared" si="27"/>
        <v>1</v>
      </c>
      <c r="I48" s="8">
        <f t="shared" si="27"/>
        <v>0</v>
      </c>
      <c r="J48" s="8"/>
      <c r="K48" s="8"/>
      <c r="L48" s="8"/>
      <c r="M48" s="61"/>
    </row>
    <row r="49" ht="15.75" customHeight="1">
      <c r="A49" s="40"/>
      <c r="B49" s="68"/>
      <c r="C49" s="39"/>
      <c r="D49" s="39"/>
      <c r="E49" s="39"/>
      <c r="K49" s="8"/>
    </row>
    <row r="50" ht="15.75" customHeight="1">
      <c r="A50" s="40"/>
      <c r="B50" s="68"/>
      <c r="C50" s="39"/>
      <c r="D50" s="39"/>
      <c r="E50" s="39"/>
      <c r="F50" s="40" t="s">
        <v>137</v>
      </c>
      <c r="K50" s="8"/>
      <c r="L50" s="41" t="s">
        <v>138</v>
      </c>
      <c r="M50" s="42"/>
      <c r="N50" s="42"/>
    </row>
    <row r="51" ht="15.75" customHeight="1">
      <c r="A51" s="40"/>
      <c r="B51" s="68"/>
      <c r="C51" s="39"/>
      <c r="D51" s="39"/>
      <c r="E51" s="39"/>
      <c r="F51" s="8" t="s">
        <v>45</v>
      </c>
      <c r="G51" s="62" t="s">
        <v>112</v>
      </c>
      <c r="H51" s="62" t="s">
        <v>113</v>
      </c>
      <c r="I51" s="62" t="s">
        <v>114</v>
      </c>
      <c r="J51" s="63" t="s">
        <v>115</v>
      </c>
      <c r="K51" s="8"/>
      <c r="L51" s="49" t="s">
        <v>116</v>
      </c>
      <c r="M51" s="49" t="s">
        <v>117</v>
      </c>
      <c r="N51" s="49" t="s">
        <v>118</v>
      </c>
    </row>
    <row r="52" ht="15.75" customHeight="1">
      <c r="A52" s="40"/>
      <c r="B52" s="68"/>
      <c r="C52" s="39"/>
      <c r="D52" s="39"/>
      <c r="E52" s="39"/>
      <c r="F52" s="50">
        <v>0.0</v>
      </c>
      <c r="G52" s="51">
        <f t="shared" ref="G52:H52" si="28">COUNTIFS($A$2:$A$90,$F$51,$C$2:$C$90,$F52,$D$2:$D$90,G$51)</f>
        <v>1</v>
      </c>
      <c r="H52" s="52">
        <f t="shared" si="28"/>
        <v>0</v>
      </c>
      <c r="I52" s="53">
        <f>COUNTIFS($A$2:$A$38,$F$51,$C$2:$C$38,$F52,$D$2:$D$38,I$51)+MAX(D44-C44,0)</f>
        <v>0</v>
      </c>
      <c r="J52" s="8">
        <f t="shared" ref="J52:J54" si="30">SUM(G52:I52)</f>
        <v>1</v>
      </c>
      <c r="K52" s="8"/>
      <c r="L52" s="54" t="s">
        <v>119</v>
      </c>
      <c r="M52" s="51">
        <f>(G52+H53+I54)/COUNTIF($A$2:$A$90,F51)</f>
        <v>1</v>
      </c>
      <c r="N52" s="53" t="s">
        <v>120</v>
      </c>
    </row>
    <row r="53" ht="15.75" customHeight="1">
      <c r="A53" s="40"/>
      <c r="B53" s="68"/>
      <c r="C53" s="39"/>
      <c r="D53" s="39"/>
      <c r="E53" s="39"/>
      <c r="F53" s="50">
        <v>0.5</v>
      </c>
      <c r="G53" s="55">
        <f t="shared" ref="G53:I53" si="29">COUNTIFS($A$2:$A$90,$F$51,$C$2:$C$90,$F53,$D$2:$D$90,G$51)</f>
        <v>0</v>
      </c>
      <c r="H53" s="8">
        <f t="shared" si="29"/>
        <v>0</v>
      </c>
      <c r="I53" s="56">
        <f t="shared" si="29"/>
        <v>0</v>
      </c>
      <c r="J53" s="8">
        <f t="shared" si="30"/>
        <v>0</v>
      </c>
      <c r="L53" s="54" t="s">
        <v>121</v>
      </c>
      <c r="M53" s="55">
        <f t="array" ref="M53">SUMPRODUCT(J52:J54/COUNTIF($A$2:$A$90,F51), TRANSPOSE(G55:I55)/COUNTIF($A$2:$A$90,F51))</f>
        <v>1</v>
      </c>
      <c r="N53" s="56" t="s">
        <v>122</v>
      </c>
    </row>
    <row r="54" ht="15.75" customHeight="1">
      <c r="A54" s="40"/>
      <c r="B54" s="68"/>
      <c r="C54" s="39"/>
      <c r="D54" s="39"/>
      <c r="E54" s="39"/>
      <c r="F54" s="50">
        <v>1.0</v>
      </c>
      <c r="G54" s="57">
        <f>COUNTIFS($A$2:$A$38,$F$51,$C$2:$C$38,$F54,$D$2:$D$38,G$51) + MAX(C44-D44,0)</f>
        <v>0</v>
      </c>
      <c r="H54" s="58">
        <f>COUNTIFS($A$2:$A$90,$F$51,$C$2:$C$90,$F54,$D$2:$D$90,H$51)</f>
        <v>0</v>
      </c>
      <c r="I54" s="59">
        <f>COUNTIFS($A$2:$A$38,$F$51,$C$2:$C$38,$F54,$D$2:$D$38,I$51)+MIN(C44,D44)</f>
        <v>0</v>
      </c>
      <c r="J54" s="8">
        <f t="shared" si="30"/>
        <v>0</v>
      </c>
      <c r="L54" s="54" t="s">
        <v>110</v>
      </c>
      <c r="M54" s="57" t="str">
        <f>(M52-M53)/(1-M53)</f>
        <v>#DIV/0!</v>
      </c>
      <c r="N54" s="59" t="s">
        <v>123</v>
      </c>
    </row>
    <row r="55" ht="15.75" customHeight="1">
      <c r="A55" s="40"/>
      <c r="B55" s="68"/>
      <c r="C55" s="39"/>
      <c r="D55" s="39"/>
      <c r="E55" s="39"/>
      <c r="F55" s="60" t="s">
        <v>124</v>
      </c>
      <c r="G55" s="8">
        <f t="shared" ref="G55:I55" si="31">SUM(G52:G54)</f>
        <v>1</v>
      </c>
      <c r="H55" s="8">
        <f t="shared" si="31"/>
        <v>0</v>
      </c>
      <c r="I55" s="8">
        <f t="shared" si="31"/>
        <v>0</v>
      </c>
      <c r="J55" s="8"/>
      <c r="L55" s="8"/>
      <c r="M55" s="61"/>
    </row>
    <row r="56" ht="15.75" customHeight="1">
      <c r="A56" s="40"/>
      <c r="B56" s="68"/>
      <c r="C56" s="39"/>
      <c r="D56" s="39"/>
      <c r="E56" s="39"/>
      <c r="K56" s="8"/>
      <c r="L56" s="8"/>
      <c r="M56" s="61"/>
    </row>
    <row r="57" ht="15.75" customHeight="1">
      <c r="A57" s="40"/>
      <c r="B57" s="68"/>
      <c r="C57" s="39"/>
      <c r="D57" s="39"/>
      <c r="E57" s="39"/>
      <c r="K57" s="8"/>
      <c r="L57" s="8"/>
      <c r="M57" s="61"/>
    </row>
    <row r="58" ht="15.75" customHeight="1">
      <c r="A58" s="40"/>
      <c r="B58" s="68"/>
      <c r="C58" s="39"/>
      <c r="D58" s="39"/>
      <c r="E58" s="39"/>
      <c r="K58" s="8"/>
    </row>
    <row r="59" ht="15.75" customHeight="1">
      <c r="A59" s="40"/>
      <c r="B59" s="68"/>
      <c r="C59" s="39"/>
      <c r="D59" s="39"/>
      <c r="E59" s="39"/>
      <c r="K59" s="8"/>
    </row>
    <row r="60" ht="15.75" customHeight="1">
      <c r="A60" s="40"/>
      <c r="B60" s="68"/>
      <c r="C60" s="39"/>
      <c r="D60" s="39"/>
      <c r="E60" s="39"/>
      <c r="K60" s="8"/>
    </row>
    <row r="61" ht="15.75" customHeight="1">
      <c r="A61" s="40"/>
      <c r="B61" s="68"/>
      <c r="C61" s="39"/>
      <c r="D61" s="39"/>
      <c r="E61" s="39"/>
      <c r="K61" s="8"/>
    </row>
    <row r="62" ht="15.75" customHeight="1">
      <c r="A62" s="40"/>
      <c r="B62" s="68"/>
      <c r="C62" s="39"/>
      <c r="D62" s="39"/>
      <c r="E62" s="39"/>
    </row>
    <row r="63" ht="15.75" customHeight="1">
      <c r="A63" s="40"/>
      <c r="B63" s="68"/>
      <c r="C63" s="39"/>
      <c r="D63" s="39"/>
      <c r="E63" s="39"/>
      <c r="G63" s="69">
        <f>MIN(C41,D41)+MIN(C42,D42)+MIN(C43,D43)+MIN(C44,D44)+MIN(C45,D45)</f>
        <v>0</v>
      </c>
    </row>
    <row r="64" ht="15.75" customHeight="1">
      <c r="A64" s="40"/>
      <c r="B64" s="68"/>
      <c r="C64" s="39"/>
      <c r="D64" s="39"/>
      <c r="E64" s="39"/>
    </row>
    <row r="65" ht="15.75" customHeight="1">
      <c r="A65" s="40"/>
      <c r="B65" s="68"/>
      <c r="C65" s="39"/>
      <c r="D65" s="39"/>
      <c r="E65" s="39"/>
      <c r="K65" s="8"/>
    </row>
    <row r="66" ht="15.75" customHeight="1">
      <c r="A66" s="40"/>
      <c r="B66" s="68"/>
      <c r="C66" s="39"/>
      <c r="D66" s="39"/>
      <c r="E66" s="39"/>
      <c r="K66" s="8"/>
    </row>
    <row r="67" ht="15.75" customHeight="1">
      <c r="A67" s="40"/>
      <c r="B67" s="68"/>
      <c r="C67" s="39"/>
      <c r="D67" s="39"/>
      <c r="E67" s="39"/>
      <c r="K67" s="8"/>
    </row>
    <row r="68" ht="15.75" customHeight="1">
      <c r="A68" s="40"/>
      <c r="B68" s="68"/>
      <c r="C68" s="39"/>
      <c r="D68" s="39"/>
      <c r="E68" s="39"/>
      <c r="K68" s="8"/>
    </row>
    <row r="69" ht="15.75" customHeight="1">
      <c r="A69" s="40"/>
      <c r="B69" s="68"/>
      <c r="C69" s="39"/>
      <c r="D69" s="39"/>
      <c r="E69" s="39"/>
      <c r="K69" s="8"/>
    </row>
    <row r="70" ht="15.75" customHeight="1">
      <c r="A70" s="40"/>
      <c r="B70" s="68"/>
      <c r="C70" s="39"/>
      <c r="D70" s="39"/>
      <c r="K70" s="8"/>
    </row>
    <row r="71" ht="15.75" customHeight="1">
      <c r="B71" s="68"/>
      <c r="D71" s="39"/>
    </row>
    <row r="72" ht="15.75" customHeight="1">
      <c r="B72" s="68"/>
      <c r="D72" s="39"/>
    </row>
    <row r="73" ht="15.75" customHeight="1">
      <c r="D73" s="3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2.5"/>
    <col customWidth="1" min="13" max="13" width="12.13"/>
    <col customWidth="1" min="14" max="14" width="15.5"/>
    <col customWidth="1" min="15" max="15" width="12.13"/>
    <col customWidth="1" min="22" max="22" width="36.38"/>
    <col customWidth="1" min="23" max="23" width="21.13"/>
    <col customWidth="1" min="24" max="24" width="56.63"/>
  </cols>
  <sheetData>
    <row r="1" ht="15.75" customHeight="1">
      <c r="A1" s="1" t="s">
        <v>0</v>
      </c>
      <c r="B1" s="2" t="s">
        <v>1</v>
      </c>
      <c r="C1" s="9" t="s">
        <v>46</v>
      </c>
      <c r="D1" s="9" t="s">
        <v>108</v>
      </c>
      <c r="E1" s="39"/>
      <c r="F1" s="40" t="s">
        <v>109</v>
      </c>
      <c r="L1" s="40" t="s">
        <v>139</v>
      </c>
    </row>
    <row r="2" ht="15.75" customHeight="1">
      <c r="A2" s="43" t="str">
        <f>'Printer Human-Based Grading'!A2</f>
        <v>State</v>
      </c>
      <c r="B2" s="44" t="str">
        <f>'Printer Human-Based Grading'!B2</f>
        <v>initial state (Off)</v>
      </c>
      <c r="C2" s="10">
        <f>'Printer Human-Based Grading'!C2</f>
        <v>1</v>
      </c>
      <c r="D2" s="10">
        <f>'Printer LLM-Based Grading'!C2</f>
        <v>1</v>
      </c>
      <c r="E2" s="39"/>
      <c r="F2" s="8" t="s">
        <v>111</v>
      </c>
      <c r="G2" s="45" t="s">
        <v>112</v>
      </c>
      <c r="H2" s="46" t="s">
        <v>113</v>
      </c>
      <c r="I2" s="47" t="s">
        <v>114</v>
      </c>
      <c r="J2" s="63" t="s">
        <v>115</v>
      </c>
      <c r="K2" s="8"/>
      <c r="L2" s="8" t="s">
        <v>111</v>
      </c>
      <c r="M2" s="62" t="s">
        <v>112</v>
      </c>
      <c r="N2" s="62" t="s">
        <v>113</v>
      </c>
      <c r="O2" s="62" t="s">
        <v>114</v>
      </c>
      <c r="P2" s="8"/>
      <c r="Q2" s="8" t="s">
        <v>111</v>
      </c>
      <c r="R2" s="62" t="s">
        <v>112</v>
      </c>
      <c r="S2" s="62" t="s">
        <v>113</v>
      </c>
      <c r="T2" s="62" t="s">
        <v>114</v>
      </c>
      <c r="V2" s="49" t="str">
        <f>"Metrics" &amp; " " &amp; F2
</f>
        <v>Metrics Global</v>
      </c>
      <c r="W2" s="49" t="s">
        <v>117</v>
      </c>
      <c r="X2" s="49" t="s">
        <v>118</v>
      </c>
    </row>
    <row r="3" ht="15.75" customHeight="1">
      <c r="A3" s="43" t="str">
        <f>'Printer Human-Based Grading'!A3</f>
        <v>State</v>
      </c>
      <c r="B3" s="44" t="str">
        <f>'Printer Human-Based Grading'!B3</f>
        <v>Off</v>
      </c>
      <c r="C3" s="10">
        <f>'Printer Human-Based Grading'!C3</f>
        <v>1</v>
      </c>
      <c r="D3" s="10">
        <f>'Printer LLM-Based Grading'!C3</f>
        <v>1</v>
      </c>
      <c r="E3" s="39"/>
      <c r="F3" s="50">
        <v>0.0</v>
      </c>
      <c r="G3" s="51">
        <f>COUNTIFS($C$2:$C$90, $F3, $D$2:$D$90, G$2)</f>
        <v>6</v>
      </c>
      <c r="H3" s="52">
        <f>COUNTIFS($C$2:$C$38, $F3, $D$2:$D$38, H$2)</f>
        <v>0</v>
      </c>
      <c r="I3" s="53">
        <f>COUNTIFS($C$2:$C$38, $F3, $D$2:$D$38, I$2)+MAX(D39-C39,0)+MAX(D40-C40,0)+MAX(D41-C41,0)+MAX(D42-C42,0)+MAX(D43-C43,0)+MAX(D44-C44,0)+MAX(D45-C45,0)</f>
        <v>0</v>
      </c>
      <c r="J3" s="8">
        <f t="shared" ref="J3:J5" si="4">SUM(G3:I3)</f>
        <v>6</v>
      </c>
      <c r="K3" s="8"/>
      <c r="L3" s="50">
        <v>0.0</v>
      </c>
      <c r="M3" s="51">
        <f t="shared" ref="M3:O3" si="1">ABS(G$2-$F3)/1</f>
        <v>0</v>
      </c>
      <c r="N3" s="52">
        <f t="shared" si="1"/>
        <v>0.5</v>
      </c>
      <c r="O3" s="53">
        <f t="shared" si="1"/>
        <v>1</v>
      </c>
      <c r="P3" s="8"/>
      <c r="Q3" s="50">
        <v>0.0</v>
      </c>
      <c r="R3" s="51">
        <f t="shared" ref="R3:T3" si="2">($J3/$J$6) * (G$6/$J$6)</f>
        <v>0.03719008264</v>
      </c>
      <c r="S3" s="52">
        <f t="shared" si="2"/>
        <v>0.06508264463</v>
      </c>
      <c r="T3" s="53">
        <f t="shared" si="2"/>
        <v>0.03409090909</v>
      </c>
      <c r="U3" s="8"/>
      <c r="V3" s="54" t="s">
        <v>140</v>
      </c>
      <c r="W3" s="51">
        <f>SUMPRODUCT(G3:I5, M3:O5) /$J$6</f>
        <v>0.375</v>
      </c>
      <c r="X3" s="53" t="s">
        <v>141</v>
      </c>
    </row>
    <row r="4" ht="15.75" customHeight="1">
      <c r="A4" s="43" t="str">
        <f>'Printer Human-Based Grading'!A4</f>
        <v>Transition</v>
      </c>
      <c r="B4" s="44" t="str">
        <f>'Printer Human-Based Grading'!B4</f>
        <v>on (Off =&gt; On)</v>
      </c>
      <c r="C4" s="10">
        <f>'Printer Human-Based Grading'!C4</f>
        <v>1</v>
      </c>
      <c r="D4" s="10">
        <f>'Printer LLM-Based Grading'!C4</f>
        <v>1</v>
      </c>
      <c r="E4" s="39"/>
      <c r="F4" s="50">
        <v>0.5</v>
      </c>
      <c r="G4" s="55">
        <f t="shared" ref="G4:I4" si="3">COUNTIFS($C$2:$C$38, $F4, $D$2:$D$38, G$2)</f>
        <v>0</v>
      </c>
      <c r="H4" s="8">
        <f t="shared" si="3"/>
        <v>0</v>
      </c>
      <c r="I4" s="56">
        <f t="shared" si="3"/>
        <v>0</v>
      </c>
      <c r="J4" s="8">
        <f t="shared" si="4"/>
        <v>0</v>
      </c>
      <c r="K4" s="8"/>
      <c r="L4" s="50">
        <v>0.5</v>
      </c>
      <c r="M4" s="55">
        <f t="shared" ref="M4:M5" si="6">ABS(G$2-$F4)/1</f>
        <v>0.5</v>
      </c>
      <c r="N4" s="8">
        <f>ABS(H$2-$F4)/3</f>
        <v>0</v>
      </c>
      <c r="O4" s="56">
        <f>ABS(I$2-$F4)/1</f>
        <v>0.5</v>
      </c>
      <c r="P4" s="8"/>
      <c r="Q4" s="50">
        <v>0.5</v>
      </c>
      <c r="R4" s="55">
        <f t="shared" ref="R4:T4" si="5">($J4/$J$6) * (G$6/$J$6)</f>
        <v>0</v>
      </c>
      <c r="S4" s="8">
        <f t="shared" si="5"/>
        <v>0</v>
      </c>
      <c r="T4" s="56">
        <f t="shared" si="5"/>
        <v>0</v>
      </c>
      <c r="U4" s="8"/>
      <c r="V4" s="54" t="s">
        <v>142</v>
      </c>
      <c r="W4" s="55">
        <f>SUMPRODUCT(R3:T5, M3:O5)</f>
        <v>0.5082644628</v>
      </c>
      <c r="X4" s="56" t="s">
        <v>143</v>
      </c>
    </row>
    <row r="5" ht="15.75" customHeight="1">
      <c r="A5" s="43" t="str">
        <f>'Printer Human-Based Grading'!A5</f>
        <v>Composite State</v>
      </c>
      <c r="B5" s="44" t="str">
        <f>'Printer Human-Based Grading'!B5</f>
        <v>On</v>
      </c>
      <c r="C5" s="10">
        <f>'Printer Human-Based Grading'!C5</f>
        <v>1</v>
      </c>
      <c r="D5" s="10">
        <f>'Printer LLM-Based Grading'!C5</f>
        <v>1</v>
      </c>
      <c r="E5" s="39"/>
      <c r="F5" s="50">
        <v>1.0</v>
      </c>
      <c r="G5" s="57">
        <f>COUNTIFS($C$2:$C$38, $F5, $D$2:$D$38, G$2)+MAX(C39-D39,0)+MAX(C40-D40,0)+MAX(C41-D41,0)+MAX(C42-D42,0)+MAX(C43-D43,0)+MAX(C44-D44,0)+MAX(C45-D45,0)</f>
        <v>6</v>
      </c>
      <c r="H5" s="58">
        <f>COUNTIFS($C$2:$C$38, $F5, $D$2:$D$38, H$2)</f>
        <v>21</v>
      </c>
      <c r="I5" s="59">
        <f>COUNTIFS($C$2:$C$38, $F5, $D$2:$D$38, I$2)+ SUM(MIN(C39,D39), MIN(C40,D40), MIN(C41,D41), MIN(C42,D42), MIN(C43,D43), MIN(C44,D44), MIN(C45,D45))</f>
        <v>11</v>
      </c>
      <c r="J5" s="8">
        <f t="shared" si="4"/>
        <v>38</v>
      </c>
      <c r="K5" s="8"/>
      <c r="L5" s="50">
        <v>1.0</v>
      </c>
      <c r="M5" s="57">
        <f t="shared" si="6"/>
        <v>1</v>
      </c>
      <c r="N5" s="58">
        <f t="shared" ref="N5:O5" si="7">ABS(H$2-$F5)/1</f>
        <v>0.5</v>
      </c>
      <c r="O5" s="59">
        <f t="shared" si="7"/>
        <v>0</v>
      </c>
      <c r="P5" s="8"/>
      <c r="Q5" s="50">
        <v>1.0</v>
      </c>
      <c r="R5" s="57">
        <f t="shared" ref="R5:T5" si="8">($J5/$J$6) * (G$6/$J$6)</f>
        <v>0.2355371901</v>
      </c>
      <c r="S5" s="58">
        <f t="shared" si="8"/>
        <v>0.4121900826</v>
      </c>
      <c r="T5" s="59">
        <f t="shared" si="8"/>
        <v>0.2159090909</v>
      </c>
      <c r="U5" s="8"/>
      <c r="V5" s="54" t="s">
        <v>110</v>
      </c>
      <c r="W5" s="57">
        <f>1-W3/W4</f>
        <v>0.262195122</v>
      </c>
      <c r="X5" s="59" t="s">
        <v>144</v>
      </c>
    </row>
    <row r="6" ht="15.75" customHeight="1">
      <c r="A6" s="43" t="str">
        <f>'Printer Human-Based Grading'!A6</f>
        <v>Transition</v>
      </c>
      <c r="B6" s="44" t="str">
        <f>'Printer Human-Based Grading'!B6</f>
        <v>off (On =&gt; Off)</v>
      </c>
      <c r="C6" s="10">
        <f>'Printer Human-Based Grading'!C6</f>
        <v>1</v>
      </c>
      <c r="D6" s="10">
        <f>'Printer LLM-Based Grading'!C6</f>
        <v>1</v>
      </c>
      <c r="E6" s="39"/>
      <c r="F6" s="60" t="s">
        <v>124</v>
      </c>
      <c r="G6" s="8">
        <f t="shared" ref="G6:I6" si="9">SUM(G3:G5)</f>
        <v>12</v>
      </c>
      <c r="H6" s="8">
        <f t="shared" si="9"/>
        <v>21</v>
      </c>
      <c r="I6" s="8">
        <f t="shared" si="9"/>
        <v>11</v>
      </c>
      <c r="J6" s="8">
        <f>SUM(G3:I5)</f>
        <v>44</v>
      </c>
      <c r="L6" s="8"/>
      <c r="M6" s="8"/>
      <c r="N6" s="8"/>
      <c r="O6" s="8"/>
      <c r="P6" s="8"/>
      <c r="Q6" s="8"/>
      <c r="R6" s="8"/>
      <c r="S6" s="8"/>
      <c r="T6" s="8"/>
      <c r="V6" s="8"/>
      <c r="W6" s="61"/>
    </row>
    <row r="7" ht="15.75" customHeight="1">
      <c r="A7" s="43" t="str">
        <f>'Printer Human-Based Grading'!A7</f>
        <v>State</v>
      </c>
      <c r="B7" s="44" t="str">
        <f>'Printer Human-Based Grading'!B7</f>
        <v>initial state (Idle)</v>
      </c>
      <c r="C7" s="10">
        <f>'Printer Human-Based Grading'!C7</f>
        <v>1</v>
      </c>
      <c r="D7" s="10">
        <f>'Printer LLM-Based Grading'!C7</f>
        <v>0.5</v>
      </c>
      <c r="E7" s="39"/>
      <c r="L7" s="8"/>
      <c r="M7" s="8"/>
      <c r="N7" s="8"/>
    </row>
    <row r="8" ht="15.75" customHeight="1">
      <c r="A8" s="43" t="str">
        <f>'Printer Human-Based Grading'!A8</f>
        <v>State</v>
      </c>
      <c r="B8" s="44" t="str">
        <f>'Printer Human-Based Grading'!B8</f>
        <v>Idle</v>
      </c>
      <c r="C8" s="10">
        <f>'Printer Human-Based Grading'!C8</f>
        <v>1</v>
      </c>
      <c r="D8" s="10">
        <f>'Printer LLM-Based Grading'!C8</f>
        <v>1</v>
      </c>
      <c r="E8" s="39"/>
      <c r="F8" s="40" t="s">
        <v>125</v>
      </c>
    </row>
    <row r="9" ht="15.75" customHeight="1">
      <c r="A9" s="43" t="str">
        <f>'Printer Human-Based Grading'!A9</f>
        <v>Transition</v>
      </c>
      <c r="B9" s="44" t="str">
        <f>'Printer Human-Based Grading'!B9</f>
        <v>login(cardID) (Idle =&gt; Idle)</v>
      </c>
      <c r="C9" s="10">
        <f>'Printer Human-Based Grading'!C9</f>
        <v>1</v>
      </c>
      <c r="D9" s="10">
        <f>'Printer LLM-Based Grading'!C9</f>
        <v>0.5</v>
      </c>
      <c r="E9" s="39"/>
      <c r="F9" s="8" t="s">
        <v>2</v>
      </c>
      <c r="G9" s="62" t="s">
        <v>112</v>
      </c>
      <c r="H9" s="62" t="s">
        <v>113</v>
      </c>
      <c r="I9" s="62" t="s">
        <v>114</v>
      </c>
      <c r="J9" s="63" t="s">
        <v>115</v>
      </c>
      <c r="K9" s="8"/>
      <c r="L9" s="8" t="s">
        <v>111</v>
      </c>
      <c r="M9" s="62" t="s">
        <v>112</v>
      </c>
      <c r="N9" s="62" t="s">
        <v>113</v>
      </c>
      <c r="O9" s="62" t="s">
        <v>114</v>
      </c>
      <c r="P9" s="8"/>
      <c r="Q9" s="8" t="s">
        <v>111</v>
      </c>
      <c r="R9" s="62" t="s">
        <v>112</v>
      </c>
      <c r="S9" s="62" t="s">
        <v>113</v>
      </c>
      <c r="T9" s="62" t="s">
        <v>114</v>
      </c>
      <c r="V9" s="49" t="str">
        <f>"Metrics" &amp; " " &amp; F9
</f>
        <v>Metrics State</v>
      </c>
      <c r="W9" s="49" t="s">
        <v>117</v>
      </c>
      <c r="X9" s="49" t="s">
        <v>118</v>
      </c>
    </row>
    <row r="10" ht="15.75" customHeight="1">
      <c r="A10" s="43" t="str">
        <f>'Printer Human-Based Grading'!A10</f>
        <v>Guard</v>
      </c>
      <c r="B10" s="44" t="str">
        <f>'Printer Human-Based Grading'!B10</f>
        <v>[!idAuthorized(cardID)]</v>
      </c>
      <c r="C10" s="10">
        <f>'Printer Human-Based Grading'!C10</f>
        <v>1</v>
      </c>
      <c r="D10" s="10">
        <f>'Printer LLM-Based Grading'!C10</f>
        <v>1</v>
      </c>
      <c r="E10" s="39"/>
      <c r="F10" s="50">
        <v>0.0</v>
      </c>
      <c r="G10" s="51">
        <f t="shared" ref="G10:G11" si="12">COUNTIFS($A$2:$A$38,$F$9,$C$2:$C$38,$F10,$D$2:$D$38,G$9)</f>
        <v>0</v>
      </c>
      <c r="H10" s="52">
        <f t="shared" ref="H10:H12" si="13">COUNTIFS($A$2:$A$90,$F$9,$C$2:$C$90,$F10,$D$2:$D$90,H$9)</f>
        <v>0</v>
      </c>
      <c r="I10" s="53">
        <f>COUNTIFS($A$2:$A$38,$F$9,$C$2:$C$38,$F10,$D$2:$D$38,I$9)+MAX(D39-C39,0)</f>
        <v>0</v>
      </c>
      <c r="J10" s="8">
        <f t="shared" ref="J10:J12" si="14">SUM(G10:I10)</f>
        <v>0</v>
      </c>
      <c r="K10" s="8"/>
      <c r="L10" s="50">
        <v>0.0</v>
      </c>
      <c r="M10" s="70">
        <f t="shared" ref="M10:O10" si="10">ABS(G$2-$F10)/1</f>
        <v>0</v>
      </c>
      <c r="N10" s="71">
        <f t="shared" si="10"/>
        <v>0.5</v>
      </c>
      <c r="O10" s="72">
        <f t="shared" si="10"/>
        <v>1</v>
      </c>
      <c r="P10" s="8"/>
      <c r="Q10" s="50">
        <v>0.0</v>
      </c>
      <c r="R10" s="51">
        <f t="shared" ref="R10:T10" si="11">($J10/$J$13) * (G$13/$J$13)</f>
        <v>0</v>
      </c>
      <c r="S10" s="52">
        <f t="shared" si="11"/>
        <v>0</v>
      </c>
      <c r="T10" s="53">
        <f t="shared" si="11"/>
        <v>0</v>
      </c>
      <c r="U10" s="8"/>
      <c r="V10" s="54" t="s">
        <v>140</v>
      </c>
      <c r="W10" s="51">
        <f>SUMPRODUCT(G10:I12, M10:O12) /$J$13</f>
        <v>0.25</v>
      </c>
      <c r="X10" s="53" t="s">
        <v>141</v>
      </c>
    </row>
    <row r="11" ht="15.75" customHeight="1">
      <c r="A11" s="43" t="str">
        <f>'Printer Human-Based Grading'!A11</f>
        <v>Transition</v>
      </c>
      <c r="B11" s="44" t="str">
        <f>'Printer Human-Based Grading'!B11</f>
        <v>login(cardID) (Idle =&gt; Ready)</v>
      </c>
      <c r="C11" s="10">
        <f>'Printer Human-Based Grading'!C11</f>
        <v>1</v>
      </c>
      <c r="D11" s="10">
        <f>'Printer LLM-Based Grading'!C11</f>
        <v>0.5</v>
      </c>
      <c r="E11" s="39"/>
      <c r="F11" s="50">
        <v>0.5</v>
      </c>
      <c r="G11" s="55">
        <f t="shared" si="12"/>
        <v>0</v>
      </c>
      <c r="H11" s="8">
        <f t="shared" si="13"/>
        <v>0</v>
      </c>
      <c r="I11" s="56">
        <f>COUNTIFS($A$2:$A$38,$F$9,$C$2:$C$38,$F11,$D$2:$D$38,I$9)</f>
        <v>0</v>
      </c>
      <c r="J11" s="8">
        <f t="shared" si="14"/>
        <v>0</v>
      </c>
      <c r="K11" s="8"/>
      <c r="L11" s="50">
        <v>0.5</v>
      </c>
      <c r="M11" s="73">
        <f t="shared" ref="M11:M12" si="16">ABS(G$2-$F11)/1</f>
        <v>0.5</v>
      </c>
      <c r="N11" s="74">
        <f>ABS(H$2-$F11)/3</f>
        <v>0</v>
      </c>
      <c r="O11" s="75">
        <f>ABS(I$2-$F11)/1</f>
        <v>0.5</v>
      </c>
      <c r="P11" s="8"/>
      <c r="Q11" s="50">
        <v>0.5</v>
      </c>
      <c r="R11" s="55">
        <f t="shared" ref="R11:T11" si="15">($J11/$J$13) * (G$13/$J$13)</f>
        <v>0</v>
      </c>
      <c r="S11" s="8">
        <f t="shared" si="15"/>
        <v>0</v>
      </c>
      <c r="T11" s="56">
        <f t="shared" si="15"/>
        <v>0</v>
      </c>
      <c r="U11" s="8"/>
      <c r="V11" s="54" t="s">
        <v>142</v>
      </c>
      <c r="W11" s="55">
        <f>SUMPRODUCT(R10:T12, M10:O12)</f>
        <v>0.25</v>
      </c>
      <c r="X11" s="56" t="s">
        <v>143</v>
      </c>
    </row>
    <row r="12" ht="15.75" customHeight="1">
      <c r="A12" s="43" t="str">
        <f>'Printer Human-Based Grading'!A12</f>
        <v>Guard</v>
      </c>
      <c r="B12" s="44" t="str">
        <f>'Printer Human-Based Grading'!B12</f>
        <v>[idAuthorized(cardID)]</v>
      </c>
      <c r="C12" s="10">
        <f>'Printer Human-Based Grading'!C12</f>
        <v>1</v>
      </c>
      <c r="D12" s="10">
        <f>'Printer LLM-Based Grading'!C12</f>
        <v>1</v>
      </c>
      <c r="E12" s="39"/>
      <c r="F12" s="50">
        <v>1.0</v>
      </c>
      <c r="G12" s="57">
        <f>COUNTIFS($A$2:$A$38,$F$9,$C$2:$C$38,$F12,$D$2:$D$38,G$9)+MAX(C39-D39,0)</f>
        <v>0</v>
      </c>
      <c r="H12" s="58">
        <f t="shared" si="13"/>
        <v>4</v>
      </c>
      <c r="I12" s="59">
        <f>COUNTIFS($A$2:$A$38,$F$9,$C$2:$C$38,$F12,$D$2:$D$38,I$9)+MIN(C39-D39)</f>
        <v>4</v>
      </c>
      <c r="J12" s="8">
        <f t="shared" si="14"/>
        <v>8</v>
      </c>
      <c r="K12" s="8"/>
      <c r="L12" s="50">
        <v>1.0</v>
      </c>
      <c r="M12" s="76">
        <f t="shared" si="16"/>
        <v>1</v>
      </c>
      <c r="N12" s="77">
        <f t="shared" ref="N12:O12" si="17">ABS(H$2-$F12)/1</f>
        <v>0.5</v>
      </c>
      <c r="O12" s="78">
        <f t="shared" si="17"/>
        <v>0</v>
      </c>
      <c r="P12" s="8"/>
      <c r="Q12" s="50">
        <v>1.0</v>
      </c>
      <c r="R12" s="57">
        <f t="shared" ref="R12:T12" si="18">($J12/$J$13) * (G$13/$J$13)</f>
        <v>0</v>
      </c>
      <c r="S12" s="58">
        <f t="shared" si="18"/>
        <v>0.5</v>
      </c>
      <c r="T12" s="59">
        <f t="shared" si="18"/>
        <v>0.5</v>
      </c>
      <c r="U12" s="8"/>
      <c r="V12" s="54" t="s">
        <v>110</v>
      </c>
      <c r="W12" s="57">
        <f>1-W10/W11</f>
        <v>0</v>
      </c>
      <c r="X12" s="59" t="s">
        <v>144</v>
      </c>
    </row>
    <row r="13" ht="15.75" customHeight="1">
      <c r="A13" s="43" t="str">
        <f>'Printer Human-Based Grading'!A13</f>
        <v>Action</v>
      </c>
      <c r="B13" s="44" t="str">
        <f>'Printer Human-Based Grading'!B13</f>
        <v>action="none"</v>
      </c>
      <c r="C13" s="10">
        <f>'Printer Human-Based Grading'!C13</f>
        <v>1</v>
      </c>
      <c r="D13" s="10">
        <f>'Printer LLM-Based Grading'!C13</f>
        <v>0</v>
      </c>
      <c r="E13" s="39"/>
      <c r="F13" s="60" t="s">
        <v>124</v>
      </c>
      <c r="G13" s="8">
        <f t="shared" ref="G13:I13" si="19">SUM(G10:G12)</f>
        <v>0</v>
      </c>
      <c r="H13" s="8">
        <f t="shared" si="19"/>
        <v>4</v>
      </c>
      <c r="I13" s="8">
        <f t="shared" si="19"/>
        <v>4</v>
      </c>
      <c r="J13" s="8">
        <f>SUM(G10:I12)</f>
        <v>8</v>
      </c>
    </row>
    <row r="14" ht="15.75" customHeight="1">
      <c r="A14" s="43" t="str">
        <f>'Printer Human-Based Grading'!A14</f>
        <v>State</v>
      </c>
      <c r="B14" s="44" t="str">
        <f>'Printer Human-Based Grading'!B14</f>
        <v>Ready</v>
      </c>
      <c r="C14" s="10">
        <f>'Printer Human-Based Grading'!C14</f>
        <v>1</v>
      </c>
      <c r="D14" s="10">
        <f>'Printer LLM-Based Grading'!C14</f>
        <v>0.5</v>
      </c>
      <c r="E14" s="39"/>
    </row>
    <row r="15" ht="15.75" customHeight="1">
      <c r="A15" s="43" t="str">
        <f>'Printer Human-Based Grading'!A15</f>
        <v>Transition</v>
      </c>
      <c r="B15" s="44" t="str">
        <f>'Printer Human-Based Grading'!B15</f>
        <v>logoff (Ready =&gt; Idle)</v>
      </c>
      <c r="C15" s="10">
        <f>'Printer Human-Based Grading'!C15</f>
        <v>1</v>
      </c>
      <c r="D15" s="10">
        <f>'Printer LLM-Based Grading'!C15</f>
        <v>0.5</v>
      </c>
      <c r="E15" s="39"/>
      <c r="F15" s="40" t="s">
        <v>127</v>
      </c>
    </row>
    <row r="16" ht="15.75" customHeight="1">
      <c r="A16" s="43" t="str">
        <f>'Printer Human-Based Grading'!A16</f>
        <v>Transition</v>
      </c>
      <c r="B16" s="44" t="str">
        <f>'Printer Human-Based Grading'!B16</f>
        <v>start (Ready =&gt; Ready)</v>
      </c>
      <c r="C16" s="10">
        <f>'Printer Human-Based Grading'!C16</f>
        <v>1</v>
      </c>
      <c r="D16" s="10">
        <f>'Printer LLM-Based Grading'!C16</f>
        <v>0.5</v>
      </c>
      <c r="E16" s="39"/>
      <c r="F16" s="8" t="s">
        <v>5</v>
      </c>
      <c r="G16" s="62" t="s">
        <v>112</v>
      </c>
      <c r="H16" s="62" t="s">
        <v>113</v>
      </c>
      <c r="I16" s="62" t="s">
        <v>114</v>
      </c>
      <c r="J16" s="63" t="s">
        <v>115</v>
      </c>
      <c r="K16" s="8"/>
      <c r="L16" s="8" t="s">
        <v>111</v>
      </c>
      <c r="M16" s="62" t="s">
        <v>112</v>
      </c>
      <c r="N16" s="62" t="s">
        <v>113</v>
      </c>
      <c r="O16" s="62" t="s">
        <v>114</v>
      </c>
      <c r="P16" s="8"/>
      <c r="Q16" s="8" t="s">
        <v>111</v>
      </c>
      <c r="R16" s="62" t="s">
        <v>112</v>
      </c>
      <c r="S16" s="62" t="s">
        <v>113</v>
      </c>
      <c r="T16" s="62" t="s">
        <v>114</v>
      </c>
      <c r="V16" s="49" t="str">
        <f>"Metrics" &amp; " " &amp; F16
</f>
        <v>Metrics Transition</v>
      </c>
      <c r="W16" s="49" t="s">
        <v>117</v>
      </c>
      <c r="X16" s="49" t="s">
        <v>118</v>
      </c>
    </row>
    <row r="17" ht="15.75" customHeight="1">
      <c r="A17" s="43" t="str">
        <f>'Printer Human-Based Grading'!A17</f>
        <v>Guard</v>
      </c>
      <c r="B17" s="44" t="str">
        <f>'Printer Human-Based Grading'!B17</f>
        <v>[action=="scan" &amp; !originalLoaded()]</v>
      </c>
      <c r="C17" s="10">
        <f>'Printer Human-Based Grading'!C17</f>
        <v>1</v>
      </c>
      <c r="D17" s="10">
        <f>'Printer LLM-Based Grading'!C17</f>
        <v>0.5</v>
      </c>
      <c r="E17" s="39"/>
      <c r="F17" s="50">
        <v>0.0</v>
      </c>
      <c r="G17" s="51">
        <f t="shared" ref="G17:H17" si="20">COUNTIFS($A$2:$A$90,$F$16,$C$2:$C$90,$F17,$D$2:$D$90,G$16)</f>
        <v>1</v>
      </c>
      <c r="H17" s="52">
        <f t="shared" si="20"/>
        <v>0</v>
      </c>
      <c r="I17" s="53">
        <f>COUNTIFS($A$2:$A$38,$F$16,$C$2:$C$38,$F17,$D$2:$D$38,I$16) + MAX(D40-C40,0)</f>
        <v>0</v>
      </c>
      <c r="J17" s="8">
        <f t="shared" ref="J17:J19" si="24">SUM(G17:I17)</f>
        <v>1</v>
      </c>
      <c r="K17" s="8"/>
      <c r="L17" s="50">
        <v>0.0</v>
      </c>
      <c r="M17" s="70">
        <f t="shared" ref="M17:O17" si="21">ABS(G$2-$F17)/1</f>
        <v>0</v>
      </c>
      <c r="N17" s="71">
        <f t="shared" si="21"/>
        <v>0.5</v>
      </c>
      <c r="O17" s="72">
        <f t="shared" si="21"/>
        <v>1</v>
      </c>
      <c r="P17" s="8"/>
      <c r="Q17" s="50">
        <v>0.0</v>
      </c>
      <c r="R17" s="51">
        <f t="shared" ref="R17:T17" si="22">($J17/$J$20) * (G$20/$J$20)</f>
        <v>0.009259259259</v>
      </c>
      <c r="S17" s="52">
        <f t="shared" si="22"/>
        <v>0.03395061728</v>
      </c>
      <c r="T17" s="53">
        <f t="shared" si="22"/>
        <v>0.01234567901</v>
      </c>
      <c r="U17" s="8"/>
      <c r="V17" s="54" t="s">
        <v>140</v>
      </c>
      <c r="W17" s="51">
        <f>SUMPRODUCT(G17:I19, M17:O19) /$J$20</f>
        <v>0.4166666667</v>
      </c>
      <c r="X17" s="53" t="s">
        <v>141</v>
      </c>
    </row>
    <row r="18" ht="15.75" customHeight="1">
      <c r="A18" s="43" t="str">
        <f>'Printer Human-Based Grading'!A18</f>
        <v>Transition</v>
      </c>
      <c r="B18" s="44" t="str">
        <f>'Printer Human-Based Grading'!B18</f>
        <v>start (Ready =&gt; Ready)</v>
      </c>
      <c r="C18" s="10">
        <f>'Printer Human-Based Grading'!C18</f>
        <v>1</v>
      </c>
      <c r="D18" s="10">
        <f>'Printer LLM-Based Grading'!C18</f>
        <v>0.5</v>
      </c>
      <c r="E18" s="39"/>
      <c r="F18" s="50">
        <v>0.5</v>
      </c>
      <c r="G18" s="55">
        <f t="shared" ref="G18:I18" si="23">COUNTIFS($A$2:$A$90,$F$16,$C$2:$C$90,$F18,$D$2:$D$90,G$16)</f>
        <v>0</v>
      </c>
      <c r="H18" s="8">
        <f t="shared" si="23"/>
        <v>0</v>
      </c>
      <c r="I18" s="56">
        <f t="shared" si="23"/>
        <v>0</v>
      </c>
      <c r="J18" s="8">
        <f t="shared" si="24"/>
        <v>0</v>
      </c>
      <c r="K18" s="8"/>
      <c r="L18" s="50">
        <v>0.5</v>
      </c>
      <c r="M18" s="73">
        <f t="shared" ref="M18:M19" si="26">ABS(G$2-$F18)/1</f>
        <v>0.5</v>
      </c>
      <c r="N18" s="74">
        <f>ABS(H$2-$F18)/3</f>
        <v>0</v>
      </c>
      <c r="O18" s="75">
        <f>ABS(I$2-$F18)/1</f>
        <v>0.5</v>
      </c>
      <c r="P18" s="8"/>
      <c r="Q18" s="50">
        <v>0.5</v>
      </c>
      <c r="R18" s="55">
        <f t="shared" ref="R18:T18" si="25">($J18/$J$20) * (G$20/$J$20)</f>
        <v>0</v>
      </c>
      <c r="S18" s="8">
        <f t="shared" si="25"/>
        <v>0</v>
      </c>
      <c r="T18" s="56">
        <f t="shared" si="25"/>
        <v>0</v>
      </c>
      <c r="U18" s="8"/>
      <c r="V18" s="54" t="s">
        <v>142</v>
      </c>
      <c r="W18" s="55">
        <f>SUMPRODUCT(R17:T19, M17:O19)</f>
        <v>0.475308642</v>
      </c>
      <c r="X18" s="56" t="s">
        <v>143</v>
      </c>
    </row>
    <row r="19" ht="15.75" customHeight="1">
      <c r="A19" s="43" t="str">
        <f>'Printer Human-Based Grading'!A19</f>
        <v>Guard</v>
      </c>
      <c r="B19" s="44" t="str">
        <f>'Printer Human-Based Grading'!B19</f>
        <v>[action=="print" &amp; !documentInQueue()]</v>
      </c>
      <c r="C19" s="10">
        <f>'Printer Human-Based Grading'!C19</f>
        <v>1</v>
      </c>
      <c r="D19" s="10">
        <f>'Printer LLM-Based Grading'!C19</f>
        <v>0.5</v>
      </c>
      <c r="E19" s="39"/>
      <c r="F19" s="50">
        <v>1.0</v>
      </c>
      <c r="G19" s="57">
        <f>COUNTIFS($A$2:$A$38,$F$16,$C$2:$C$38,$F19,$D$2:$D$38,G$16)+MAX(C40-D40,0)</f>
        <v>2</v>
      </c>
      <c r="H19" s="58">
        <f>COUNTIFS($A$2:$A$90,$F$16,$C$2:$C$90,$F19,$D$2:$D$90,H$16)</f>
        <v>11</v>
      </c>
      <c r="I19" s="59">
        <f>COUNTIFS($A$2:$A$38,$F$16,$C$2:$C$38,$F19,$D$2:$D$38,I$16) + MIN(C40,D40)</f>
        <v>4</v>
      </c>
      <c r="J19" s="8">
        <f t="shared" si="24"/>
        <v>17</v>
      </c>
      <c r="K19" s="8"/>
      <c r="L19" s="50">
        <v>1.0</v>
      </c>
      <c r="M19" s="76">
        <f t="shared" si="26"/>
        <v>1</v>
      </c>
      <c r="N19" s="77">
        <f t="shared" ref="N19:O19" si="27">ABS(H$2-$F19)/1</f>
        <v>0.5</v>
      </c>
      <c r="O19" s="78">
        <f t="shared" si="27"/>
        <v>0</v>
      </c>
      <c r="P19" s="8"/>
      <c r="Q19" s="50">
        <v>1.0</v>
      </c>
      <c r="R19" s="57">
        <f t="shared" ref="R19:T19" si="28">($J19/$J$20) * (G$20/$J$20)</f>
        <v>0.1574074074</v>
      </c>
      <c r="S19" s="58">
        <f t="shared" si="28"/>
        <v>0.5771604938</v>
      </c>
      <c r="T19" s="59">
        <f t="shared" si="28"/>
        <v>0.2098765432</v>
      </c>
      <c r="U19" s="8"/>
      <c r="V19" s="54" t="s">
        <v>110</v>
      </c>
      <c r="W19" s="57">
        <f>1-W17/W18</f>
        <v>0.1233766234</v>
      </c>
      <c r="X19" s="59" t="s">
        <v>144</v>
      </c>
    </row>
    <row r="20" ht="15.75" customHeight="1">
      <c r="A20" s="43" t="str">
        <f>'Printer Human-Based Grading'!A20</f>
        <v>Transition</v>
      </c>
      <c r="B20" s="44" t="str">
        <f>'Printer Human-Based Grading'!B20</f>
        <v>scan (Ready =&gt; Ready)</v>
      </c>
      <c r="C20" s="10">
        <f>'Printer Human-Based Grading'!C20</f>
        <v>1</v>
      </c>
      <c r="D20" s="10">
        <f>'Printer LLM-Based Grading'!C20</f>
        <v>0</v>
      </c>
      <c r="E20" s="39"/>
      <c r="F20" s="60" t="s">
        <v>124</v>
      </c>
      <c r="G20" s="8">
        <f t="shared" ref="G20:I20" si="29">SUM(G17:G19)</f>
        <v>3</v>
      </c>
      <c r="H20" s="8">
        <f t="shared" si="29"/>
        <v>11</v>
      </c>
      <c r="I20" s="8">
        <f t="shared" si="29"/>
        <v>4</v>
      </c>
      <c r="J20" s="8">
        <f>SUM(G17:I19)</f>
        <v>18</v>
      </c>
    </row>
    <row r="21" ht="15.75" customHeight="1">
      <c r="A21" s="43" t="str">
        <f>'Printer Human-Based Grading'!A21</f>
        <v>Action</v>
      </c>
      <c r="B21" s="44" t="str">
        <f>'Printer Human-Based Grading'!B21</f>
        <v>action = "scan"</v>
      </c>
      <c r="C21" s="10">
        <f>'Printer Human-Based Grading'!C21</f>
        <v>1</v>
      </c>
      <c r="D21" s="10">
        <f>'Printer LLM-Based Grading'!C21</f>
        <v>0</v>
      </c>
      <c r="E21" s="39"/>
    </row>
    <row r="22" ht="15.75" customHeight="1">
      <c r="A22" s="43" t="str">
        <f>'Printer Human-Based Grading'!A22</f>
        <v>Transition</v>
      </c>
      <c r="B22" s="44" t="str">
        <f>'Printer Human-Based Grading'!B22</f>
        <v>print (Ready =&gt; Ready)</v>
      </c>
      <c r="C22" s="10">
        <f>'Printer Human-Based Grading'!C22</f>
        <v>1</v>
      </c>
      <c r="D22" s="10">
        <f>'Printer LLM-Based Grading'!C22</f>
        <v>0</v>
      </c>
      <c r="E22" s="39"/>
      <c r="F22" s="40" t="s">
        <v>129</v>
      </c>
    </row>
    <row r="23" ht="15.75" customHeight="1">
      <c r="A23" s="43" t="str">
        <f>'Printer Human-Based Grading'!A23</f>
        <v>Action</v>
      </c>
      <c r="B23" s="44" t="str">
        <f>'Printer Human-Based Grading'!B23</f>
        <v>action="print"</v>
      </c>
      <c r="C23" s="10">
        <f>'Printer Human-Based Grading'!C23</f>
        <v>1</v>
      </c>
      <c r="D23" s="10">
        <f>'Printer LLM-Based Grading'!C23</f>
        <v>0</v>
      </c>
      <c r="E23" s="39"/>
      <c r="F23" s="8" t="s">
        <v>7</v>
      </c>
      <c r="G23" s="62" t="s">
        <v>112</v>
      </c>
      <c r="H23" s="62" t="s">
        <v>113</v>
      </c>
      <c r="I23" s="62" t="s">
        <v>114</v>
      </c>
      <c r="J23" s="63" t="s">
        <v>115</v>
      </c>
      <c r="K23" s="8"/>
      <c r="L23" s="8" t="s">
        <v>111</v>
      </c>
      <c r="M23" s="62" t="s">
        <v>112</v>
      </c>
      <c r="N23" s="62" t="s">
        <v>113</v>
      </c>
      <c r="O23" s="62" t="s">
        <v>114</v>
      </c>
      <c r="P23" s="8"/>
      <c r="Q23" s="8" t="s">
        <v>111</v>
      </c>
      <c r="R23" s="62" t="s">
        <v>112</v>
      </c>
      <c r="S23" s="62" t="s">
        <v>113</v>
      </c>
      <c r="T23" s="62" t="s">
        <v>114</v>
      </c>
      <c r="V23" s="49" t="str">
        <f>"Metrics" &amp; " " &amp; F23
</f>
        <v>Metrics Composite State</v>
      </c>
      <c r="W23" s="49" t="s">
        <v>117</v>
      </c>
      <c r="X23" s="49" t="s">
        <v>118</v>
      </c>
    </row>
    <row r="24" ht="15.75" customHeight="1">
      <c r="A24" s="43" t="str">
        <f>'Printer Human-Based Grading'!A24</f>
        <v>Transition</v>
      </c>
      <c r="B24" s="44" t="str">
        <f>'Printer Human-Based Grading'!B24</f>
        <v>start (Ready =&gt; Scan &amp; Email)</v>
      </c>
      <c r="C24" s="10">
        <f>'Printer Human-Based Grading'!C24</f>
        <v>1</v>
      </c>
      <c r="D24" s="10">
        <f>'Printer LLM-Based Grading'!C24</f>
        <v>0.5</v>
      </c>
      <c r="E24" s="39"/>
      <c r="F24" s="50">
        <v>0.0</v>
      </c>
      <c r="G24" s="51">
        <f t="shared" ref="G24:H24" si="30">COUNTIFS($A$2:$A$90,$F$23,$C$2:$C$90,$F24,$D$2:$D$90,G$23)</f>
        <v>0</v>
      </c>
      <c r="H24" s="52">
        <f t="shared" si="30"/>
        <v>0</v>
      </c>
      <c r="I24" s="53">
        <f>COUNTIFS($A$2:$A$38,$F$23,$C$2:$C$38,$F24,$D$2:$D$38,I$23) + MAX(D43-C43,0)</f>
        <v>0</v>
      </c>
      <c r="J24" s="8">
        <f t="shared" ref="J24:J26" si="34">SUM(G24:I24)</f>
        <v>0</v>
      </c>
      <c r="K24" s="8"/>
      <c r="L24" s="50">
        <v>0.0</v>
      </c>
      <c r="M24" s="70">
        <f t="shared" ref="M24:O24" si="31">ABS(G$2-$F24)/1</f>
        <v>0</v>
      </c>
      <c r="N24" s="71">
        <f t="shared" si="31"/>
        <v>0.5</v>
      </c>
      <c r="O24" s="72">
        <f t="shared" si="31"/>
        <v>1</v>
      </c>
      <c r="P24" s="8"/>
      <c r="Q24" s="50">
        <v>0.0</v>
      </c>
      <c r="R24" s="51">
        <f t="shared" ref="R24:T24" si="32">($J24/$J$27) * (G$27/$J$27)</f>
        <v>0</v>
      </c>
      <c r="S24" s="52">
        <f t="shared" si="32"/>
        <v>0</v>
      </c>
      <c r="T24" s="53">
        <f t="shared" si="32"/>
        <v>0</v>
      </c>
      <c r="U24" s="8"/>
      <c r="V24" s="54" t="s">
        <v>140</v>
      </c>
      <c r="W24" s="51">
        <f>SUMPRODUCT(G24:I26, M24:O26) /$J$27</f>
        <v>0.5</v>
      </c>
      <c r="X24" s="53" t="s">
        <v>141</v>
      </c>
    </row>
    <row r="25" ht="15.75" customHeight="1">
      <c r="A25" s="43" t="str">
        <f>'Printer Human-Based Grading'!A25</f>
        <v>Guard</v>
      </c>
      <c r="B25" s="44" t="str">
        <f>'Printer Human-Based Grading'!B25</f>
        <v>[action=="scan" &amp;&amp; originalLoaded()]</v>
      </c>
      <c r="C25" s="10">
        <f>'Printer Human-Based Grading'!C25</f>
        <v>1</v>
      </c>
      <c r="D25" s="10">
        <f>'Printer LLM-Based Grading'!C25</f>
        <v>0.5</v>
      </c>
      <c r="E25" s="39"/>
      <c r="F25" s="50">
        <v>0.5</v>
      </c>
      <c r="G25" s="55">
        <f t="shared" ref="G25:I25" si="33">COUNTIFS($A$2:$A$90,$F$23,$C$2:$C$90,$F25,$D$2:$D$90,G$23)</f>
        <v>0</v>
      </c>
      <c r="H25" s="8">
        <f t="shared" si="33"/>
        <v>0</v>
      </c>
      <c r="I25" s="56">
        <f t="shared" si="33"/>
        <v>0</v>
      </c>
      <c r="J25" s="8">
        <f t="shared" si="34"/>
        <v>0</v>
      </c>
      <c r="K25" s="8"/>
      <c r="L25" s="50">
        <v>0.5</v>
      </c>
      <c r="M25" s="73">
        <f t="shared" ref="M25:M26" si="36">ABS(G$2-$F25)/1</f>
        <v>0.5</v>
      </c>
      <c r="N25" s="74">
        <f>ABS(H$2-$F25)/3</f>
        <v>0</v>
      </c>
      <c r="O25" s="75">
        <f>ABS(I$2-$F25)/1</f>
        <v>0.5</v>
      </c>
      <c r="P25" s="8"/>
      <c r="Q25" s="50">
        <v>0.5</v>
      </c>
      <c r="R25" s="55">
        <f t="shared" ref="R25:T25" si="35">($J25/$J$27) * (G$27/$J$27)</f>
        <v>0</v>
      </c>
      <c r="S25" s="8">
        <f t="shared" si="35"/>
        <v>0</v>
      </c>
      <c r="T25" s="56">
        <f t="shared" si="35"/>
        <v>0</v>
      </c>
      <c r="U25" s="8"/>
      <c r="V25" s="54" t="s">
        <v>142</v>
      </c>
      <c r="W25" s="55">
        <f>SUMPRODUCT(R24:T26, M24:O26)</f>
        <v>0.5</v>
      </c>
      <c r="X25" s="56" t="s">
        <v>143</v>
      </c>
    </row>
    <row r="26" ht="15.75" customHeight="1">
      <c r="A26" s="43" t="str">
        <f>'Printer Human-Based Grading'!A26</f>
        <v>Composite State</v>
      </c>
      <c r="B26" s="44" t="str">
        <f>'Printer Human-Based Grading'!B26</f>
        <v>Busy</v>
      </c>
      <c r="C26" s="10">
        <f>'Printer Human-Based Grading'!C26</f>
        <v>1</v>
      </c>
      <c r="D26" s="10">
        <f>'Printer LLM-Based Grading'!C26</f>
        <v>0.5</v>
      </c>
      <c r="E26" s="39"/>
      <c r="F26" s="50">
        <v>1.0</v>
      </c>
      <c r="G26" s="57">
        <f>COUNTIFS($A$2:$A$38,$F$23,$C$2:$C$38,$F26,$D$2:$D$38,G$23) + MAX(C43-D43,0)</f>
        <v>1</v>
      </c>
      <c r="H26" s="58">
        <f>COUNTIFS($A$2:$A$90,$F$23,$C$2:$C$90,$F26,$D$2:$D$90,H$23)</f>
        <v>1</v>
      </c>
      <c r="I26" s="59">
        <f>COUNTIFS($A$2:$A$38,$F$23,$C$2:$C$38,$F26,$D$2:$D$38,I$23) + MIN(C43,D43)</f>
        <v>1</v>
      </c>
      <c r="J26" s="8">
        <f t="shared" si="34"/>
        <v>3</v>
      </c>
      <c r="K26" s="8"/>
      <c r="L26" s="50">
        <v>1.0</v>
      </c>
      <c r="M26" s="76">
        <f t="shared" si="36"/>
        <v>1</v>
      </c>
      <c r="N26" s="77">
        <f t="shared" ref="N26:O26" si="37">ABS(H$2-$F26)/1</f>
        <v>0.5</v>
      </c>
      <c r="O26" s="78">
        <f t="shared" si="37"/>
        <v>0</v>
      </c>
      <c r="P26" s="8"/>
      <c r="Q26" s="50">
        <v>1.0</v>
      </c>
      <c r="R26" s="57">
        <f t="shared" ref="R26:T26" si="38">($J26/$J$27) * (G$27/$J$27)</f>
        <v>0.3333333333</v>
      </c>
      <c r="S26" s="58">
        <f t="shared" si="38"/>
        <v>0.3333333333</v>
      </c>
      <c r="T26" s="59">
        <f t="shared" si="38"/>
        <v>0.3333333333</v>
      </c>
      <c r="U26" s="8"/>
      <c r="V26" s="54" t="s">
        <v>110</v>
      </c>
      <c r="W26" s="57">
        <f>1-W24/W25</f>
        <v>0</v>
      </c>
      <c r="X26" s="59" t="s">
        <v>144</v>
      </c>
    </row>
    <row r="27" ht="15.75" customHeight="1">
      <c r="A27" s="43" t="str">
        <f>'Printer Human-Based Grading'!A27</f>
        <v>Transition</v>
      </c>
      <c r="B27" s="44" t="str">
        <f>'Printer Human-Based Grading'!B27</f>
        <v>stop (Busy =&gt; Ready)</v>
      </c>
      <c r="C27" s="10">
        <f>'Printer Human-Based Grading'!C27</f>
        <v>1</v>
      </c>
      <c r="D27" s="10">
        <f>'Printer LLM-Based Grading'!C27</f>
        <v>0.5</v>
      </c>
      <c r="E27" s="39"/>
      <c r="F27" s="60" t="s">
        <v>124</v>
      </c>
      <c r="G27" s="8">
        <f t="shared" ref="G27:I27" si="39">SUM(G24:G26)</f>
        <v>1</v>
      </c>
      <c r="H27" s="8">
        <f t="shared" si="39"/>
        <v>1</v>
      </c>
      <c r="I27" s="8">
        <f t="shared" si="39"/>
        <v>1</v>
      </c>
      <c r="J27" s="8">
        <f>SUM(G24:I26)</f>
        <v>3</v>
      </c>
    </row>
    <row r="28" ht="15.75" customHeight="1">
      <c r="A28" s="43" t="str">
        <f>'Printer Human-Based Grading'!A28</f>
        <v>Transition</v>
      </c>
      <c r="B28" s="44" t="str">
        <f>'Printer Human-Based Grading'!B28</f>
        <v>done (Busy =&gt; Ready)</v>
      </c>
      <c r="C28" s="10">
        <f>'Printer Human-Based Grading'!C28</f>
        <v>1</v>
      </c>
      <c r="D28" s="10">
        <f>'Printer LLM-Based Grading'!C28</f>
        <v>0.5</v>
      </c>
      <c r="E28" s="39"/>
    </row>
    <row r="29" ht="15.75" customHeight="1">
      <c r="A29" s="43" t="str">
        <f>'Printer Human-Based Grading'!A29</f>
        <v>Transition</v>
      </c>
      <c r="B29" s="44" t="str">
        <f>'Printer Human-Based Grading'!B29</f>
        <v>jam (Busy =&gt; Suspended)</v>
      </c>
      <c r="C29" s="10">
        <f>'Printer Human-Based Grading'!C29</f>
        <v>1</v>
      </c>
      <c r="D29" s="10">
        <f>'Printer LLM-Based Grading'!C29</f>
        <v>0.5</v>
      </c>
      <c r="E29" s="39"/>
      <c r="F29" s="40" t="s">
        <v>131</v>
      </c>
    </row>
    <row r="30" ht="15.75" customHeight="1">
      <c r="A30" s="43" t="str">
        <f>'Printer Human-Based Grading'!A30</f>
        <v>History State</v>
      </c>
      <c r="B30" s="44" t="str">
        <f>'Printer Human-Based Grading'!B30</f>
        <v>for Busy</v>
      </c>
      <c r="C30" s="10">
        <f>'Printer Human-Based Grading'!C30</f>
        <v>1</v>
      </c>
      <c r="D30" s="10">
        <f>'Printer LLM-Based Grading'!C30</f>
        <v>0.5</v>
      </c>
      <c r="E30" s="39"/>
      <c r="F30" s="8" t="s">
        <v>13</v>
      </c>
      <c r="G30" s="62" t="s">
        <v>112</v>
      </c>
      <c r="H30" s="62" t="s">
        <v>113</v>
      </c>
      <c r="I30" s="62" t="s">
        <v>114</v>
      </c>
      <c r="J30" s="63" t="s">
        <v>115</v>
      </c>
      <c r="K30" s="8"/>
      <c r="L30" s="8" t="s">
        <v>111</v>
      </c>
      <c r="M30" s="62">
        <v>0.0</v>
      </c>
      <c r="N30" s="62" t="s">
        <v>113</v>
      </c>
      <c r="O30" s="62" t="s">
        <v>114</v>
      </c>
      <c r="P30" s="8"/>
      <c r="Q30" s="8" t="s">
        <v>111</v>
      </c>
      <c r="R30" s="62" t="s">
        <v>112</v>
      </c>
      <c r="S30" s="62" t="s">
        <v>113</v>
      </c>
      <c r="T30" s="62" t="s">
        <v>114</v>
      </c>
      <c r="V30" s="49" t="str">
        <f>"Metrics" &amp; " " &amp; F30
</f>
        <v>Metrics Guard</v>
      </c>
      <c r="W30" s="49" t="s">
        <v>117</v>
      </c>
      <c r="X30" s="49" t="s">
        <v>118</v>
      </c>
    </row>
    <row r="31" ht="15.75" customHeight="1">
      <c r="A31" s="43" t="str">
        <f>'Printer Human-Based Grading'!A31</f>
        <v>State</v>
      </c>
      <c r="B31" s="44" t="str">
        <f>'Printer Human-Based Grading'!B31</f>
        <v>Print</v>
      </c>
      <c r="C31" s="10">
        <f>'Printer Human-Based Grading'!C31</f>
        <v>1</v>
      </c>
      <c r="D31" s="10">
        <f>'Printer LLM-Based Grading'!C31</f>
        <v>1</v>
      </c>
      <c r="E31" s="39"/>
      <c r="F31" s="50">
        <v>0.0</v>
      </c>
      <c r="G31" s="51">
        <f t="shared" ref="G31:H31" si="40">COUNTIFS($A$2:$A$90,$F$30,$C$2:$C$90,$F31,$D$2:$D$90,G$30)</f>
        <v>1</v>
      </c>
      <c r="H31" s="52">
        <f t="shared" si="40"/>
        <v>0</v>
      </c>
      <c r="I31" s="53">
        <f>COUNTIFS($A$2:$A$38,$F$30,$C$2:$C$38,$F31,$D$2:$D$38,I$30) + MAX(D41-C41,0)</f>
        <v>0</v>
      </c>
      <c r="J31" s="8">
        <f t="shared" ref="J31:J33" si="44">SUM(G31:I31)</f>
        <v>1</v>
      </c>
      <c r="K31" s="8"/>
      <c r="L31" s="50">
        <v>0.0</v>
      </c>
      <c r="M31" s="70">
        <f t="shared" ref="M31:O31" si="41">ABS(G$2-$F31)/1</f>
        <v>0</v>
      </c>
      <c r="N31" s="71">
        <f t="shared" si="41"/>
        <v>0.5</v>
      </c>
      <c r="O31" s="72">
        <f t="shared" si="41"/>
        <v>1</v>
      </c>
      <c r="P31" s="8"/>
      <c r="Q31" s="50">
        <v>0.0</v>
      </c>
      <c r="R31" s="51">
        <f t="shared" ref="R31:T31" si="42">($J31/$J$34) * (G$34/$J$34)</f>
        <v>0.02040816327</v>
      </c>
      <c r="S31" s="52">
        <f t="shared" si="42"/>
        <v>0.08163265306</v>
      </c>
      <c r="T31" s="53">
        <f t="shared" si="42"/>
        <v>0.04081632653</v>
      </c>
      <c r="U31" s="8"/>
      <c r="V31" s="54" t="s">
        <v>140</v>
      </c>
      <c r="W31" s="51">
        <f>SUMPRODUCT(G31:I33, M31:O33) /$J$34</f>
        <v>0.2857142857</v>
      </c>
      <c r="X31" s="53" t="s">
        <v>141</v>
      </c>
    </row>
    <row r="32" ht="15.75" customHeight="1">
      <c r="A32" s="43" t="str">
        <f>'Printer Human-Based Grading'!A32</f>
        <v>Transition</v>
      </c>
      <c r="B32" s="44" t="str">
        <f>'Printer Human-Based Grading'!B32</f>
        <v>start (Ready =&gt; Print)</v>
      </c>
      <c r="C32" s="10">
        <f>'Printer Human-Based Grading'!C32</f>
        <v>1</v>
      </c>
      <c r="D32" s="10">
        <f>'Printer LLM-Based Grading'!C32</f>
        <v>0.5</v>
      </c>
      <c r="E32" s="39"/>
      <c r="F32" s="50">
        <v>0.5</v>
      </c>
      <c r="G32" s="55">
        <f t="shared" ref="G32:I32" si="43">COUNTIFS($A$2:$A$90,$F$30,$C$2:$C$90,$F32,$D$2:$D$90,G$30)</f>
        <v>0</v>
      </c>
      <c r="H32" s="8">
        <f t="shared" si="43"/>
        <v>0</v>
      </c>
      <c r="I32" s="56">
        <f t="shared" si="43"/>
        <v>0</v>
      </c>
      <c r="J32" s="8">
        <f t="shared" si="44"/>
        <v>0</v>
      </c>
      <c r="K32" s="8"/>
      <c r="L32" s="50">
        <v>0.5</v>
      </c>
      <c r="M32" s="73">
        <f t="shared" ref="M32:M33" si="46">ABS(G$2-$F32)/1</f>
        <v>0.5</v>
      </c>
      <c r="N32" s="74">
        <f>ABS(H$2-$F32)/3</f>
        <v>0</v>
      </c>
      <c r="O32" s="75">
        <f>ABS(I$2-$F32)/1</f>
        <v>0.5</v>
      </c>
      <c r="P32" s="8"/>
      <c r="Q32" s="50">
        <v>0.5</v>
      </c>
      <c r="R32" s="55">
        <f t="shared" ref="R32:T32" si="45">($J32/$J$34) * (G$34/$J$34)</f>
        <v>0</v>
      </c>
      <c r="S32" s="8">
        <f t="shared" si="45"/>
        <v>0</v>
      </c>
      <c r="T32" s="56">
        <f t="shared" si="45"/>
        <v>0</v>
      </c>
      <c r="U32" s="8"/>
      <c r="V32" s="54" t="s">
        <v>142</v>
      </c>
      <c r="W32" s="55">
        <f>SUMPRODUCT(R31:T33, M31:O33)</f>
        <v>0.4489795918</v>
      </c>
      <c r="X32" s="56" t="s">
        <v>143</v>
      </c>
    </row>
    <row r="33" ht="15.75" customHeight="1">
      <c r="A33" s="43" t="str">
        <f>'Printer Human-Based Grading'!A33</f>
        <v>Guard</v>
      </c>
      <c r="B33" s="44" t="str">
        <f>'Printer Human-Based Grading'!B33</f>
        <v>[action="print" &amp;&amp; documentInQueue()]</v>
      </c>
      <c r="C33" s="10">
        <f>'Printer Human-Based Grading'!C33</f>
        <v>1</v>
      </c>
      <c r="D33" s="10">
        <f>'Printer LLM-Based Grading'!C33</f>
        <v>0.5</v>
      </c>
      <c r="E33" s="39"/>
      <c r="F33" s="50">
        <v>1.0</v>
      </c>
      <c r="G33" s="57">
        <f>COUNTIFS($A$2:$A$38,$F$30,$C$2:$C$38,$F33,$D$2:$D$38,G$30) + MAX(C41-D41,0)</f>
        <v>0</v>
      </c>
      <c r="H33" s="58">
        <f>COUNTIFS($A$2:$A$90,$F$30,$C$2:$C$90,$F33,$D$2:$D$90,H$30)</f>
        <v>4</v>
      </c>
      <c r="I33" s="59">
        <f>COUNTIFS($A$2:$A$38,$F$30,$C$2:$C$38,$F33,$D$2:$D$38,I$30) + MIN(C41,D41)</f>
        <v>2</v>
      </c>
      <c r="J33" s="8">
        <f t="shared" si="44"/>
        <v>6</v>
      </c>
      <c r="K33" s="8"/>
      <c r="L33" s="50">
        <v>1.0</v>
      </c>
      <c r="M33" s="76">
        <f t="shared" si="46"/>
        <v>1</v>
      </c>
      <c r="N33" s="77">
        <f t="shared" ref="N33:O33" si="47">ABS(H$2-$F33)/1</f>
        <v>0.5</v>
      </c>
      <c r="O33" s="78">
        <f t="shared" si="47"/>
        <v>0</v>
      </c>
      <c r="P33" s="8"/>
      <c r="Q33" s="50">
        <v>1.0</v>
      </c>
      <c r="R33" s="57">
        <f t="shared" ref="R33:T33" si="48">($J33/$J$34) * (G$34/$J$34)</f>
        <v>0.1224489796</v>
      </c>
      <c r="S33" s="58">
        <f t="shared" si="48"/>
        <v>0.4897959184</v>
      </c>
      <c r="T33" s="59">
        <f t="shared" si="48"/>
        <v>0.2448979592</v>
      </c>
      <c r="U33" s="8"/>
      <c r="V33" s="54" t="s">
        <v>110</v>
      </c>
      <c r="W33" s="57">
        <f>1-W31/W32</f>
        <v>0.3636363636</v>
      </c>
      <c r="X33" s="59" t="s">
        <v>144</v>
      </c>
    </row>
    <row r="34" ht="15.75" customHeight="1">
      <c r="A34" s="43" t="str">
        <f>'Printer Human-Based Grading'!A34</f>
        <v>Transition</v>
      </c>
      <c r="B34" s="44" t="str">
        <f>'Printer Human-Based Grading'!B34</f>
        <v>outOfPaper (Print =&gt; Suspended)</v>
      </c>
      <c r="C34" s="10">
        <f>'Printer Human-Based Grading'!C34</f>
        <v>1</v>
      </c>
      <c r="D34" s="10">
        <f>'Printer LLM-Based Grading'!C34</f>
        <v>1</v>
      </c>
      <c r="E34" s="39"/>
      <c r="F34" s="60" t="s">
        <v>124</v>
      </c>
      <c r="G34" s="8">
        <f t="shared" ref="G34:I34" si="49">SUM(G31:G33)</f>
        <v>1</v>
      </c>
      <c r="H34" s="8">
        <f t="shared" si="49"/>
        <v>4</v>
      </c>
      <c r="I34" s="8">
        <f t="shared" si="49"/>
        <v>2</v>
      </c>
      <c r="J34" s="8">
        <f>SUM(G31:I33)</f>
        <v>7</v>
      </c>
    </row>
    <row r="35" ht="15.75" customHeight="1">
      <c r="A35" s="43" t="str">
        <f>'Printer Human-Based Grading'!A35</f>
        <v>State</v>
      </c>
      <c r="B35" s="44" t="str">
        <f>'Printer Human-Based Grading'!B35</f>
        <v>Scan &amp; Email</v>
      </c>
      <c r="C35" s="10">
        <f>'Printer Human-Based Grading'!C35</f>
        <v>1</v>
      </c>
      <c r="D35" s="10">
        <f>'Printer LLM-Based Grading'!C35</f>
        <v>0.5</v>
      </c>
      <c r="E35" s="39"/>
    </row>
    <row r="36" ht="15.75" customHeight="1">
      <c r="A36" s="43" t="str">
        <f>'Printer Human-Based Grading'!A36</f>
        <v>State</v>
      </c>
      <c r="B36" s="44" t="str">
        <f>'Printer Human-Based Grading'!B36</f>
        <v>Suspended</v>
      </c>
      <c r="C36" s="10">
        <f>'Printer Human-Based Grading'!C36</f>
        <v>1</v>
      </c>
      <c r="D36" s="10">
        <f>'Printer LLM-Based Grading'!C36</f>
        <v>0.5</v>
      </c>
      <c r="E36" s="39"/>
      <c r="F36" s="40" t="s">
        <v>133</v>
      </c>
    </row>
    <row r="37" ht="15.75" customHeight="1">
      <c r="A37" s="43" t="str">
        <f>'Printer Human-Based Grading'!A37</f>
        <v>Transition</v>
      </c>
      <c r="B37" s="44" t="str">
        <f>'Printer Human-Based Grading'!B37</f>
        <v>resume (Suspended =&gt; History State for Busy)</v>
      </c>
      <c r="C37" s="10">
        <f>'Printer Human-Based Grading'!C37</f>
        <v>1</v>
      </c>
      <c r="D37" s="10">
        <f>'Printer LLM-Based Grading'!C37</f>
        <v>1</v>
      </c>
      <c r="E37" s="39"/>
      <c r="F37" s="8" t="s">
        <v>17</v>
      </c>
      <c r="G37" s="62" t="s">
        <v>112</v>
      </c>
      <c r="H37" s="62" t="s">
        <v>113</v>
      </c>
      <c r="I37" s="62" t="s">
        <v>114</v>
      </c>
      <c r="J37" s="63" t="s">
        <v>115</v>
      </c>
      <c r="K37" s="8"/>
      <c r="L37" s="8" t="s">
        <v>111</v>
      </c>
      <c r="M37" s="62" t="s">
        <v>112</v>
      </c>
      <c r="N37" s="62" t="s">
        <v>113</v>
      </c>
      <c r="O37" s="62" t="s">
        <v>114</v>
      </c>
      <c r="P37" s="8"/>
      <c r="Q37" s="79" t="s">
        <v>111</v>
      </c>
      <c r="R37" s="80" t="s">
        <v>112</v>
      </c>
      <c r="S37" s="80" t="s">
        <v>113</v>
      </c>
      <c r="T37" s="80" t="s">
        <v>114</v>
      </c>
      <c r="V37" s="49" t="str">
        <f>"Metrics" &amp; " " &amp; F37
</f>
        <v>Metrics Action</v>
      </c>
      <c r="W37" s="49" t="s">
        <v>117</v>
      </c>
      <c r="X37" s="49" t="s">
        <v>118</v>
      </c>
    </row>
    <row r="38" ht="15.75" customHeight="1">
      <c r="A38" s="43" t="str">
        <f>'Printer Human-Based Grading'!A38</f>
        <v>Transition</v>
      </c>
      <c r="B38" s="44" t="str">
        <f>'Printer Human-Based Grading'!B38</f>
        <v>cancel (Suspended =&gt; Ready)</v>
      </c>
      <c r="C38" s="64">
        <f>'Printer Human-Based Grading'!C38</f>
        <v>1</v>
      </c>
      <c r="D38" s="64">
        <f>'Printer LLM-Based Grading'!C38</f>
        <v>0.5</v>
      </c>
      <c r="E38" s="39"/>
      <c r="F38" s="50">
        <v>0.0</v>
      </c>
      <c r="G38" s="51">
        <f t="shared" ref="G38:H38" si="50">COUNTIFS($A$2:$A$90,$F$37,$C$2:$C$90,$F38,$D$2:$D$90,G$37)</f>
        <v>1</v>
      </c>
      <c r="H38" s="52">
        <f t="shared" si="50"/>
        <v>0</v>
      </c>
      <c r="I38" s="53">
        <f>COUNTIFS($A$2:$A$38,$F$37,$C$2:$C$38,$F38,$D$2:$D$38,I$37)+MAX(D42-C42,0)</f>
        <v>0</v>
      </c>
      <c r="J38" s="8">
        <f t="shared" ref="J38:J40" si="54">SUM(G38:I38)</f>
        <v>1</v>
      </c>
      <c r="K38" s="8"/>
      <c r="L38" s="50">
        <v>0.0</v>
      </c>
      <c r="M38" s="70">
        <f t="shared" ref="M38:O38" si="51">ABS(G$2-$F38)/1</f>
        <v>0</v>
      </c>
      <c r="N38" s="71">
        <f t="shared" si="51"/>
        <v>0.5</v>
      </c>
      <c r="O38" s="72">
        <f t="shared" si="51"/>
        <v>1</v>
      </c>
      <c r="P38" s="8"/>
      <c r="Q38" s="81">
        <v>0.0</v>
      </c>
      <c r="R38" s="82">
        <f t="shared" ref="R38:T38" si="52">($J38/$J$41) * (G$41/$J$41)</f>
        <v>0.25</v>
      </c>
      <c r="S38" s="83">
        <f t="shared" si="52"/>
        <v>0</v>
      </c>
      <c r="T38" s="84">
        <f t="shared" si="52"/>
        <v>0</v>
      </c>
      <c r="U38" s="8"/>
      <c r="V38" s="54" t="s">
        <v>140</v>
      </c>
      <c r="W38" s="51">
        <f>SUMPRODUCT(G38:I40, M38:O40) /$J$41</f>
        <v>0.75</v>
      </c>
      <c r="X38" s="53" t="s">
        <v>141</v>
      </c>
    </row>
    <row r="39" ht="15.75" customHeight="1">
      <c r="A39" s="65" t="str">
        <f>'Printer Human-Based Grading'!A39</f>
        <v>State</v>
      </c>
      <c r="B39" s="66" t="str">
        <f>'Printer Human-Based Grading'!B39</f>
        <v>additional elements</v>
      </c>
      <c r="C39" s="67">
        <f>'Printer Human-Based Grading'!C39</f>
        <v>0</v>
      </c>
      <c r="D39" s="67">
        <f>'Printer LLM-Based Grading'!C39</f>
        <v>0</v>
      </c>
      <c r="E39" s="39"/>
      <c r="F39" s="50">
        <v>0.5</v>
      </c>
      <c r="G39" s="55">
        <f t="shared" ref="G39:I39" si="53">COUNTIFS($A$2:$A$90,$F$37,$C$2:$C$90,$F39,$D$2:$D$90,G$37)</f>
        <v>0</v>
      </c>
      <c r="H39" s="8">
        <f t="shared" si="53"/>
        <v>0</v>
      </c>
      <c r="I39" s="56">
        <f t="shared" si="53"/>
        <v>0</v>
      </c>
      <c r="J39" s="8">
        <f t="shared" si="54"/>
        <v>0</v>
      </c>
      <c r="K39" s="8"/>
      <c r="L39" s="50">
        <v>0.5</v>
      </c>
      <c r="M39" s="73">
        <f t="shared" ref="M39:M40" si="56">ABS(G$2-$F39)/1</f>
        <v>0.5</v>
      </c>
      <c r="N39" s="74">
        <f>ABS(H$2-$F39)/3</f>
        <v>0</v>
      </c>
      <c r="O39" s="75">
        <f>ABS(I$2-$F39)/1</f>
        <v>0.5</v>
      </c>
      <c r="P39" s="8"/>
      <c r="Q39" s="81">
        <v>0.5</v>
      </c>
      <c r="R39" s="85">
        <f t="shared" ref="R39:T39" si="55">($J39/$J$41) * (G$41/$J$41)</f>
        <v>0</v>
      </c>
      <c r="S39" s="79">
        <f t="shared" si="55"/>
        <v>0</v>
      </c>
      <c r="T39" s="86">
        <f t="shared" si="55"/>
        <v>0</v>
      </c>
      <c r="U39" s="8"/>
      <c r="V39" s="54" t="s">
        <v>142</v>
      </c>
      <c r="W39" s="55">
        <f>SUMPRODUCT(R38:T40, M38:O40)</f>
        <v>0.75</v>
      </c>
      <c r="X39" s="56" t="s">
        <v>143</v>
      </c>
    </row>
    <row r="40" ht="15.75" customHeight="1">
      <c r="A40" s="43" t="str">
        <f>'Printer Human-Based Grading'!A40</f>
        <v>Transition</v>
      </c>
      <c r="B40" s="44" t="str">
        <f>'Printer Human-Based Grading'!B40</f>
        <v>additional elements</v>
      </c>
      <c r="C40" s="10">
        <f>'Printer Human-Based Grading'!C40</f>
        <v>0</v>
      </c>
      <c r="D40" s="10">
        <f>'Printer LLM-Based Grading'!C40</f>
        <v>0</v>
      </c>
      <c r="E40" s="39"/>
      <c r="F40" s="50">
        <v>1.0</v>
      </c>
      <c r="G40" s="57">
        <f>COUNTIFS($A$2:$A$38,$F$37,$C$2:$C$38,$F40,$D$2:$D$38,G$37)+MAX(C42-D42,0)</f>
        <v>3</v>
      </c>
      <c r="H40" s="58">
        <f>COUNTIFS($A$2:$A$90,$F$37,$C$2:$C$90,$F40,$D$2:$D$90,H$37)</f>
        <v>0</v>
      </c>
      <c r="I40" s="59">
        <f>COUNTIFS($A$2:$A$38,$F$37,$C$2:$C$38,$F40,$D$2:$D$38,I$37) + MIN(C42,D42)</f>
        <v>0</v>
      </c>
      <c r="J40" s="8">
        <f t="shared" si="54"/>
        <v>3</v>
      </c>
      <c r="K40" s="8"/>
      <c r="L40" s="50">
        <v>1.0</v>
      </c>
      <c r="M40" s="76">
        <f t="shared" si="56"/>
        <v>1</v>
      </c>
      <c r="N40" s="77">
        <f t="shared" ref="N40:O40" si="57">ABS(H$2-$F40)/1</f>
        <v>0.5</v>
      </c>
      <c r="O40" s="78">
        <f t="shared" si="57"/>
        <v>0</v>
      </c>
      <c r="P40" s="8"/>
      <c r="Q40" s="81">
        <v>1.0</v>
      </c>
      <c r="R40" s="87">
        <f t="shared" ref="R40:T40" si="58">($J40/$J$41) * (G$41/$J$41)</f>
        <v>0.75</v>
      </c>
      <c r="S40" s="88">
        <f t="shared" si="58"/>
        <v>0</v>
      </c>
      <c r="T40" s="89">
        <f t="shared" si="58"/>
        <v>0</v>
      </c>
      <c r="U40" s="8"/>
      <c r="V40" s="54" t="s">
        <v>110</v>
      </c>
      <c r="W40" s="57">
        <f>1-W38/W39</f>
        <v>0</v>
      </c>
      <c r="X40" s="59" t="s">
        <v>144</v>
      </c>
    </row>
    <row r="41" ht="15.75" customHeight="1">
      <c r="A41" s="43" t="str">
        <f>'Printer Human-Based Grading'!A41</f>
        <v>Guard</v>
      </c>
      <c r="B41" s="44" t="str">
        <f>'Printer Human-Based Grading'!B41</f>
        <v>additional elements</v>
      </c>
      <c r="C41" s="10">
        <f>'Printer Human-Based Grading'!C41</f>
        <v>0</v>
      </c>
      <c r="D41" s="10">
        <f>'Printer LLM-Based Grading'!C41</f>
        <v>0</v>
      </c>
      <c r="E41" s="39"/>
      <c r="F41" s="60" t="s">
        <v>124</v>
      </c>
      <c r="G41" s="8">
        <f t="shared" ref="G41:I41" si="59">SUM(G38:G40)</f>
        <v>4</v>
      </c>
      <c r="H41" s="8">
        <f t="shared" si="59"/>
        <v>0</v>
      </c>
      <c r="I41" s="8">
        <f t="shared" si="59"/>
        <v>0</v>
      </c>
      <c r="J41" s="8">
        <f>SUM(G38:I40)</f>
        <v>4</v>
      </c>
    </row>
    <row r="42" ht="15.75" customHeight="1">
      <c r="A42" s="43" t="str">
        <f>'Printer Human-Based Grading'!A42</f>
        <v>Action</v>
      </c>
      <c r="B42" s="44" t="str">
        <f>'Printer Human-Based Grading'!B42</f>
        <v>additional elements</v>
      </c>
      <c r="C42" s="10">
        <f>'Printer Human-Based Grading'!C42</f>
        <v>0</v>
      </c>
      <c r="D42" s="10">
        <f>'Printer LLM-Based Grading'!C42</f>
        <v>0</v>
      </c>
      <c r="E42" s="39"/>
    </row>
    <row r="43" ht="15.75" customHeight="1">
      <c r="A43" s="43" t="str">
        <f>'Printer Human-Based Grading'!A43</f>
        <v>Composite State</v>
      </c>
      <c r="B43" s="44" t="str">
        <f>'Printer Human-Based Grading'!B43</f>
        <v>additional elements</v>
      </c>
      <c r="C43" s="10">
        <f>'Printer Human-Based Grading'!C43</f>
        <v>1</v>
      </c>
      <c r="D43" s="10">
        <f>'Printer LLM-Based Grading'!C43</f>
        <v>0</v>
      </c>
      <c r="E43" s="39"/>
      <c r="F43" s="40" t="s">
        <v>135</v>
      </c>
    </row>
    <row r="44" ht="15.75" customHeight="1">
      <c r="A44" s="43" t="str">
        <f>'Printer Human-Based Grading'!A44</f>
        <v>Region</v>
      </c>
      <c r="B44" s="44" t="str">
        <f>'Printer Human-Based Grading'!B44</f>
        <v>additional elements</v>
      </c>
      <c r="C44" s="10">
        <f>'Printer Human-Based Grading'!C44</f>
        <v>0</v>
      </c>
      <c r="D44" s="10">
        <f>'Printer LLM-Based Grading'!C44</f>
        <v>0</v>
      </c>
      <c r="E44" s="39"/>
      <c r="F44" s="8" t="s">
        <v>34</v>
      </c>
      <c r="G44" s="62" t="s">
        <v>112</v>
      </c>
      <c r="H44" s="62" t="s">
        <v>113</v>
      </c>
      <c r="I44" s="62" t="s">
        <v>114</v>
      </c>
      <c r="J44" s="63" t="s">
        <v>115</v>
      </c>
      <c r="K44" s="8"/>
      <c r="L44" s="8" t="s">
        <v>111</v>
      </c>
      <c r="M44" s="62" t="s">
        <v>112</v>
      </c>
      <c r="N44" s="62" t="s">
        <v>113</v>
      </c>
      <c r="O44" s="62" t="s">
        <v>114</v>
      </c>
      <c r="P44" s="8"/>
      <c r="Q44" s="8" t="s">
        <v>111</v>
      </c>
      <c r="R44" s="62" t="s">
        <v>112</v>
      </c>
      <c r="S44" s="62" t="s">
        <v>113</v>
      </c>
      <c r="T44" s="62" t="s">
        <v>114</v>
      </c>
      <c r="V44" s="49" t="str">
        <f>"Metrics" &amp; " " &amp; F44
</f>
        <v>Metrics History State</v>
      </c>
      <c r="W44" s="49" t="s">
        <v>117</v>
      </c>
      <c r="X44" s="49" t="s">
        <v>118</v>
      </c>
    </row>
    <row r="45" ht="15.75" customHeight="1">
      <c r="A45" s="43" t="str">
        <f>'Printer Human-Based Grading'!A45</f>
        <v>History State</v>
      </c>
      <c r="B45" s="44" t="str">
        <f>'Printer Human-Based Grading'!B45</f>
        <v>additional elements</v>
      </c>
      <c r="C45" s="10">
        <f>'Printer Human-Based Grading'!C45</f>
        <v>0</v>
      </c>
      <c r="D45" s="10">
        <f>'Printer LLM-Based Grading'!C45</f>
        <v>0</v>
      </c>
      <c r="E45" s="39"/>
      <c r="F45" s="50">
        <v>0.0</v>
      </c>
      <c r="G45" s="51">
        <f t="shared" ref="G45:H45" si="60">COUNTIFS($A$2:$A$90,$F$44,$C$2:$C$90,$F45,$D$2:$D$90,G$44)</f>
        <v>1</v>
      </c>
      <c r="H45" s="52">
        <f t="shared" si="60"/>
        <v>0</v>
      </c>
      <c r="I45" s="53">
        <f>COUNTIFS($A$2:$A$38,$F$44,$C$2:$C$38,$F45,$D$2:$D$38,I$44) + MAX(D45-C45,0)</f>
        <v>0</v>
      </c>
      <c r="J45" s="8">
        <f t="shared" ref="J45:J47" si="64">SUM(G45:I45)</f>
        <v>1</v>
      </c>
      <c r="K45" s="8"/>
      <c r="L45" s="50">
        <v>0.0</v>
      </c>
      <c r="M45" s="70">
        <f t="shared" ref="M45:O45" si="61">ABS(G$2-$F45)/1</f>
        <v>0</v>
      </c>
      <c r="N45" s="71">
        <f t="shared" si="61"/>
        <v>0.5</v>
      </c>
      <c r="O45" s="72">
        <f t="shared" si="61"/>
        <v>1</v>
      </c>
      <c r="P45" s="8"/>
      <c r="Q45" s="50">
        <v>0.0</v>
      </c>
      <c r="R45" s="51">
        <f t="shared" ref="R45:T45" si="62">($J45/$J$48) * (G$48/$J$48)</f>
        <v>0.25</v>
      </c>
      <c r="S45" s="52">
        <f t="shared" si="62"/>
        <v>0.25</v>
      </c>
      <c r="T45" s="53">
        <f t="shared" si="62"/>
        <v>0</v>
      </c>
      <c r="U45" s="8"/>
      <c r="V45" s="54" t="s">
        <v>140</v>
      </c>
      <c r="W45" s="51">
        <f>SUMPRODUCT(G45:I47, M45:O47) /$J$48</f>
        <v>0.25</v>
      </c>
      <c r="X45" s="53" t="s">
        <v>141</v>
      </c>
    </row>
    <row r="46" ht="15.75" customHeight="1">
      <c r="A46" s="40"/>
      <c r="B46" s="68"/>
      <c r="C46" s="39"/>
      <c r="D46" s="39"/>
      <c r="E46" s="39"/>
      <c r="F46" s="50">
        <v>0.5</v>
      </c>
      <c r="G46" s="55">
        <f t="shared" ref="G46:I46" si="63">COUNTIFS($A$2:$A$90,$F$44,$C$2:$C$90,$F46,$D$2:$D$90,G$44)</f>
        <v>0</v>
      </c>
      <c r="H46" s="8">
        <f t="shared" si="63"/>
        <v>0</v>
      </c>
      <c r="I46" s="56">
        <f t="shared" si="63"/>
        <v>0</v>
      </c>
      <c r="J46" s="8">
        <f t="shared" si="64"/>
        <v>0</v>
      </c>
      <c r="K46" s="8"/>
      <c r="L46" s="50">
        <v>0.5</v>
      </c>
      <c r="M46" s="73">
        <f t="shared" ref="M46:M47" si="66">ABS(G$2-$F46)/1</f>
        <v>0.5</v>
      </c>
      <c r="N46" s="74">
        <f>ABS(H$2-$F46)/3</f>
        <v>0</v>
      </c>
      <c r="O46" s="75">
        <f>ABS(I$2-$F46)/1</f>
        <v>0.5</v>
      </c>
      <c r="P46" s="8"/>
      <c r="Q46" s="50">
        <v>0.5</v>
      </c>
      <c r="R46" s="55">
        <f t="shared" ref="R46:T46" si="65">($J46/$J$48) * (G$48/$J$48)</f>
        <v>0</v>
      </c>
      <c r="S46" s="8">
        <f t="shared" si="65"/>
        <v>0</v>
      </c>
      <c r="T46" s="56">
        <f t="shared" si="65"/>
        <v>0</v>
      </c>
      <c r="U46" s="8"/>
      <c r="V46" s="54" t="s">
        <v>142</v>
      </c>
      <c r="W46" s="55">
        <f>SUMPRODUCT(R45:T47, M45:O47)</f>
        <v>0.5</v>
      </c>
      <c r="X46" s="56" t="s">
        <v>143</v>
      </c>
    </row>
    <row r="47" ht="15.75" customHeight="1">
      <c r="A47" s="40"/>
      <c r="B47" s="68"/>
      <c r="C47" s="39"/>
      <c r="D47" s="39"/>
      <c r="E47" s="39"/>
      <c r="F47" s="50">
        <v>1.0</v>
      </c>
      <c r="G47" s="57">
        <f>COUNTIFS($A$2:$A$38,$F$44,$C$2:$C$38,$F47,$D$2:$D$38,G$44) + MAX(C45-D45,0)</f>
        <v>0</v>
      </c>
      <c r="H47" s="58">
        <f>COUNTIFS($A$2:$A$90,$F$44,$C$2:$C$90,$F47,$D$2:$D$90,H$44)</f>
        <v>1</v>
      </c>
      <c r="I47" s="59">
        <f>COUNTIFS($A$2:$A$38,$F$44,$C$2:$C$38,$F47,$D$2:$D$38,I$44) + MIN(C45,D45)</f>
        <v>0</v>
      </c>
      <c r="J47" s="8">
        <f t="shared" si="64"/>
        <v>1</v>
      </c>
      <c r="K47" s="8"/>
      <c r="L47" s="50">
        <v>1.0</v>
      </c>
      <c r="M47" s="76">
        <f t="shared" si="66"/>
        <v>1</v>
      </c>
      <c r="N47" s="77">
        <f t="shared" ref="N47:O47" si="67">ABS(H$2-$F47)/1</f>
        <v>0.5</v>
      </c>
      <c r="O47" s="78">
        <f t="shared" si="67"/>
        <v>0</v>
      </c>
      <c r="P47" s="8"/>
      <c r="Q47" s="50">
        <v>1.0</v>
      </c>
      <c r="R47" s="57">
        <f t="shared" ref="R47:T47" si="68">($J47/$J$48) * (G$48/$J$48)</f>
        <v>0.25</v>
      </c>
      <c r="S47" s="58">
        <f t="shared" si="68"/>
        <v>0.25</v>
      </c>
      <c r="T47" s="59">
        <f t="shared" si="68"/>
        <v>0</v>
      </c>
      <c r="U47" s="8"/>
      <c r="V47" s="54" t="s">
        <v>110</v>
      </c>
      <c r="W47" s="57">
        <f>1-W45/W46</f>
        <v>0.5</v>
      </c>
      <c r="X47" s="59" t="s">
        <v>144</v>
      </c>
    </row>
    <row r="48" ht="15.75" customHeight="1">
      <c r="A48" s="40"/>
      <c r="B48" s="68"/>
      <c r="C48" s="39"/>
      <c r="D48" s="39"/>
      <c r="E48" s="39"/>
      <c r="F48" s="60" t="s">
        <v>124</v>
      </c>
      <c r="G48" s="8">
        <f t="shared" ref="G48:I48" si="69">SUM(G45:G47)</f>
        <v>1</v>
      </c>
      <c r="H48" s="8">
        <f t="shared" si="69"/>
        <v>1</v>
      </c>
      <c r="I48" s="8">
        <f t="shared" si="69"/>
        <v>0</v>
      </c>
      <c r="J48" s="8">
        <f>SUM(G45:I47)</f>
        <v>2</v>
      </c>
    </row>
    <row r="49" ht="15.75" customHeight="1">
      <c r="A49" s="40"/>
      <c r="B49" s="68"/>
      <c r="C49" s="39"/>
      <c r="D49" s="39"/>
      <c r="E49" s="39"/>
    </row>
    <row r="50" ht="15.75" customHeight="1">
      <c r="A50" s="40"/>
      <c r="B50" s="68"/>
      <c r="C50" s="39"/>
      <c r="D50" s="39"/>
      <c r="E50" s="39"/>
      <c r="F50" s="40" t="s">
        <v>137</v>
      </c>
    </row>
    <row r="51" ht="15.75" customHeight="1">
      <c r="A51" s="40"/>
      <c r="B51" s="68"/>
      <c r="C51" s="39"/>
      <c r="D51" s="39"/>
      <c r="E51" s="39"/>
      <c r="F51" s="8" t="s">
        <v>45</v>
      </c>
      <c r="G51" s="62" t="s">
        <v>112</v>
      </c>
      <c r="H51" s="62" t="s">
        <v>113</v>
      </c>
      <c r="I51" s="62" t="s">
        <v>114</v>
      </c>
      <c r="J51" s="63" t="s">
        <v>115</v>
      </c>
      <c r="K51" s="8"/>
      <c r="L51" s="8" t="s">
        <v>111</v>
      </c>
      <c r="M51" s="62" t="s">
        <v>112</v>
      </c>
      <c r="N51" s="62" t="s">
        <v>113</v>
      </c>
      <c r="O51" s="62" t="s">
        <v>114</v>
      </c>
      <c r="P51" s="8"/>
      <c r="Q51" s="8" t="s">
        <v>111</v>
      </c>
      <c r="R51" s="62" t="s">
        <v>112</v>
      </c>
      <c r="S51" s="62" t="s">
        <v>113</v>
      </c>
      <c r="T51" s="62" t="s">
        <v>114</v>
      </c>
      <c r="V51" s="49" t="str">
        <f>"Metrics" &amp; " " &amp; F51
</f>
        <v>Metrics Region</v>
      </c>
      <c r="W51" s="49" t="s">
        <v>117</v>
      </c>
      <c r="X51" s="49" t="s">
        <v>118</v>
      </c>
    </row>
    <row r="52" ht="15.75" customHeight="1">
      <c r="A52" s="40"/>
      <c r="B52" s="68"/>
      <c r="C52" s="39"/>
      <c r="D52" s="39"/>
      <c r="E52" s="39"/>
      <c r="F52" s="50">
        <v>0.0</v>
      </c>
      <c r="G52" s="51">
        <f t="shared" ref="G52:H52" si="70">COUNTIFS($A$2:$A$90,$F$51,$C$2:$C$90,$F52,$D$2:$D$90,G$51)</f>
        <v>1</v>
      </c>
      <c r="H52" s="52">
        <f t="shared" si="70"/>
        <v>0</v>
      </c>
      <c r="I52" s="53">
        <f>COUNTIFS($A$2:$A$38,$F$51,$C$2:$C$38,$F52,$D$2:$D$38,I$51)+MAX(D44-C44,0)</f>
        <v>0</v>
      </c>
      <c r="J52" s="8">
        <f t="shared" ref="J52:J54" si="74">SUM(G52:I52)</f>
        <v>1</v>
      </c>
      <c r="K52" s="8"/>
      <c r="L52" s="50">
        <v>0.0</v>
      </c>
      <c r="M52" s="70">
        <f t="shared" ref="M52:O52" si="71">ABS(G$2-$F52)/1</f>
        <v>0</v>
      </c>
      <c r="N52" s="71">
        <f t="shared" si="71"/>
        <v>0.5</v>
      </c>
      <c r="O52" s="72">
        <f t="shared" si="71"/>
        <v>1</v>
      </c>
      <c r="P52" s="8"/>
      <c r="Q52" s="50">
        <v>0.0</v>
      </c>
      <c r="R52" s="51">
        <f t="shared" ref="R52:T52" si="72">($J52/$J$55) * (G$55/$J$55)</f>
        <v>1</v>
      </c>
      <c r="S52" s="52">
        <f t="shared" si="72"/>
        <v>0</v>
      </c>
      <c r="T52" s="53">
        <f t="shared" si="72"/>
        <v>0</v>
      </c>
      <c r="U52" s="8"/>
      <c r="V52" s="54" t="s">
        <v>140</v>
      </c>
      <c r="W52" s="51">
        <f>SUMPRODUCT(G52:I54, M52:O54) /$J$55</f>
        <v>0</v>
      </c>
      <c r="X52" s="53" t="s">
        <v>141</v>
      </c>
    </row>
    <row r="53" ht="15.75" customHeight="1">
      <c r="A53" s="40"/>
      <c r="B53" s="68"/>
      <c r="C53" s="39"/>
      <c r="D53" s="39"/>
      <c r="E53" s="39"/>
      <c r="F53" s="50">
        <v>0.5</v>
      </c>
      <c r="G53" s="55">
        <f t="shared" ref="G53:I53" si="73">COUNTIFS($A$2:$A$90,$F$51,$C$2:$C$90,$F53,$D$2:$D$90,G$51)</f>
        <v>0</v>
      </c>
      <c r="H53" s="8">
        <f t="shared" si="73"/>
        <v>0</v>
      </c>
      <c r="I53" s="56">
        <f t="shared" si="73"/>
        <v>0</v>
      </c>
      <c r="J53" s="8">
        <f t="shared" si="74"/>
        <v>0</v>
      </c>
      <c r="K53" s="8"/>
      <c r="L53" s="50">
        <v>0.5</v>
      </c>
      <c r="M53" s="73">
        <f t="shared" ref="M53:M54" si="76">ABS(G$2-$F53)/1</f>
        <v>0.5</v>
      </c>
      <c r="N53" s="74">
        <f>ABS(H$2-$F53)/3</f>
        <v>0</v>
      </c>
      <c r="O53" s="75">
        <f>ABS(I$2-$F53)/1</f>
        <v>0.5</v>
      </c>
      <c r="P53" s="8"/>
      <c r="Q53" s="50">
        <v>0.5</v>
      </c>
      <c r="R53" s="55">
        <f t="shared" ref="R53:T53" si="75">($J53/$J$55) * (G$55/$J$55)</f>
        <v>0</v>
      </c>
      <c r="S53" s="8">
        <f t="shared" si="75"/>
        <v>0</v>
      </c>
      <c r="T53" s="56">
        <f t="shared" si="75"/>
        <v>0</v>
      </c>
      <c r="U53" s="8"/>
      <c r="V53" s="54" t="s">
        <v>142</v>
      </c>
      <c r="W53" s="55">
        <f>SUMPRODUCT(R52:T54, M52:O54)</f>
        <v>0</v>
      </c>
      <c r="X53" s="56" t="s">
        <v>143</v>
      </c>
    </row>
    <row r="54" ht="15.75" customHeight="1">
      <c r="A54" s="40"/>
      <c r="B54" s="68"/>
      <c r="C54" s="39"/>
      <c r="D54" s="39"/>
      <c r="E54" s="39"/>
      <c r="F54" s="50">
        <v>1.0</v>
      </c>
      <c r="G54" s="57">
        <f>COUNTIFS($A$2:$A$38,$F$51,$C$2:$C$38,$F54,$D$2:$D$38,G$51) + MAX(C44-D44,0)</f>
        <v>0</v>
      </c>
      <c r="H54" s="58">
        <f>COUNTIFS($A$2:$A$90,$F$51,$C$2:$C$90,$F54,$D$2:$D$90,H$51)</f>
        <v>0</v>
      </c>
      <c r="I54" s="59">
        <f>COUNTIFS($A$2:$A$38,$F$51,$C$2:$C$38,$F54,$D$2:$D$38,I$51)+MIN(C44,D44)</f>
        <v>0</v>
      </c>
      <c r="J54" s="8">
        <f t="shared" si="74"/>
        <v>0</v>
      </c>
      <c r="K54" s="8"/>
      <c r="L54" s="50">
        <v>1.0</v>
      </c>
      <c r="M54" s="76">
        <f t="shared" si="76"/>
        <v>1</v>
      </c>
      <c r="N54" s="77">
        <f t="shared" ref="N54:O54" si="77">ABS(H$2-$F54)/1</f>
        <v>0.5</v>
      </c>
      <c r="O54" s="78">
        <f t="shared" si="77"/>
        <v>0</v>
      </c>
      <c r="P54" s="8"/>
      <c r="Q54" s="50">
        <v>1.0</v>
      </c>
      <c r="R54" s="57">
        <f t="shared" ref="R54:T54" si="78">($J54/$J$55) * (G$55/$J$55)</f>
        <v>0</v>
      </c>
      <c r="S54" s="58">
        <f t="shared" si="78"/>
        <v>0</v>
      </c>
      <c r="T54" s="59">
        <f t="shared" si="78"/>
        <v>0</v>
      </c>
      <c r="U54" s="8"/>
      <c r="V54" s="54" t="s">
        <v>110</v>
      </c>
      <c r="W54" s="57" t="str">
        <f>1-W52/W53</f>
        <v>#DIV/0!</v>
      </c>
      <c r="X54" s="59" t="s">
        <v>144</v>
      </c>
    </row>
    <row r="55" ht="15.75" customHeight="1">
      <c r="A55" s="40"/>
      <c r="B55" s="68"/>
      <c r="C55" s="39"/>
      <c r="D55" s="39"/>
      <c r="E55" s="39"/>
      <c r="F55" s="60" t="s">
        <v>124</v>
      </c>
      <c r="G55" s="8">
        <f t="shared" ref="G55:I55" si="79">SUM(G52:G54)</f>
        <v>1</v>
      </c>
      <c r="H55" s="8">
        <f t="shared" si="79"/>
        <v>0</v>
      </c>
      <c r="I55" s="8">
        <f t="shared" si="79"/>
        <v>0</v>
      </c>
      <c r="J55" s="8">
        <f>SUM(G52:I54)</f>
        <v>1</v>
      </c>
      <c r="L55" s="8"/>
      <c r="M55" s="61"/>
    </row>
    <row r="56" ht="15.75" customHeight="1">
      <c r="A56" s="40"/>
      <c r="B56" s="68"/>
      <c r="C56" s="39"/>
      <c r="D56" s="39"/>
      <c r="E56" s="39"/>
    </row>
    <row r="57" ht="15.75" customHeight="1">
      <c r="A57" s="40"/>
      <c r="B57" s="68"/>
      <c r="C57" s="39"/>
      <c r="D57" s="39"/>
      <c r="E57" s="39"/>
    </row>
    <row r="58" ht="15.75" customHeight="1">
      <c r="A58" s="40"/>
      <c r="B58" s="68"/>
      <c r="C58" s="39"/>
      <c r="D58" s="39"/>
      <c r="E58" s="39"/>
    </row>
    <row r="59" ht="15.75" customHeight="1">
      <c r="A59" s="40"/>
      <c r="B59" s="68"/>
      <c r="C59" s="39"/>
      <c r="D59" s="39"/>
      <c r="E59" s="39"/>
    </row>
    <row r="60" ht="15.75" customHeight="1">
      <c r="A60" s="40"/>
      <c r="B60" s="68"/>
      <c r="C60" s="39"/>
      <c r="D60" s="39"/>
      <c r="E60" s="39"/>
    </row>
    <row r="61" ht="15.75" customHeight="1">
      <c r="A61" s="40"/>
      <c r="B61" s="68"/>
      <c r="C61" s="39"/>
      <c r="D61" s="39"/>
      <c r="E61" s="39"/>
    </row>
    <row r="62" ht="15.75" customHeight="1">
      <c r="A62" s="40"/>
      <c r="B62" s="68"/>
      <c r="C62" s="39"/>
      <c r="D62" s="39"/>
      <c r="E62" s="39"/>
    </row>
    <row r="63" ht="15.75" customHeight="1">
      <c r="A63" s="40"/>
      <c r="B63" s="68"/>
      <c r="C63" s="39"/>
      <c r="D63" s="39"/>
      <c r="E63" s="39"/>
    </row>
    <row r="64" ht="15.75" customHeight="1">
      <c r="A64" s="40"/>
      <c r="B64" s="68"/>
      <c r="C64" s="39"/>
      <c r="D64" s="39"/>
      <c r="E64" s="39"/>
    </row>
    <row r="65" ht="15.75" customHeight="1">
      <c r="A65" s="40"/>
      <c r="B65" s="68"/>
      <c r="C65" s="39"/>
      <c r="D65" s="39"/>
      <c r="E65" s="39"/>
    </row>
    <row r="66" ht="15.75" customHeight="1">
      <c r="A66" s="40"/>
      <c r="B66" s="68"/>
      <c r="C66" s="39"/>
      <c r="D66" s="39"/>
      <c r="E66" s="39"/>
    </row>
    <row r="67" ht="15.75" customHeight="1">
      <c r="A67" s="40"/>
      <c r="B67" s="68"/>
      <c r="C67" s="39"/>
      <c r="D67" s="39"/>
      <c r="E67" s="39"/>
    </row>
    <row r="68" ht="15.75" customHeight="1">
      <c r="A68" s="40"/>
      <c r="B68" s="68"/>
      <c r="C68" s="39"/>
      <c r="D68" s="39"/>
      <c r="E68" s="39"/>
    </row>
    <row r="69" ht="15.75" customHeight="1">
      <c r="A69" s="40"/>
      <c r="B69" s="68"/>
      <c r="C69" s="39"/>
      <c r="D69" s="39"/>
      <c r="E69" s="39"/>
    </row>
    <row r="70" ht="15.75" customHeight="1">
      <c r="A70" s="40"/>
      <c r="B70" s="68"/>
      <c r="C70" s="39"/>
      <c r="D70" s="39"/>
      <c r="E70" s="39"/>
    </row>
    <row r="71" ht="15.75" customHeight="1">
      <c r="B71" s="68"/>
      <c r="D71" s="39"/>
      <c r="E71" s="39"/>
    </row>
    <row r="72" ht="15.75" customHeight="1">
      <c r="B72" s="68"/>
      <c r="D72" s="39"/>
    </row>
    <row r="73" ht="15.75" customHeight="1">
      <c r="D73" s="39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