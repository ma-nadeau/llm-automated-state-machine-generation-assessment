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Printer/Grading/2 stage/6-examples/"/>
    </mc:Choice>
  </mc:AlternateContent>
  <xr:revisionPtr revIDLastSave="0" documentId="8_{F13CA5A9-871C-2E43-8F46-BFB2CA45B718}" xr6:coauthVersionLast="47" xr6:coauthVersionMax="47" xr10:uidLastSave="{00000000-0000-0000-0000-000000000000}"/>
  <bookViews>
    <workbookView xWindow="20840" yWindow="-18760" windowWidth="30240" windowHeight="17300" activeTab="2" xr2:uid="{00000000-000D-0000-FFFF-FFFF00000000}"/>
  </bookViews>
  <sheets>
    <sheet name="print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F6" i="3" s="1"/>
  <c r="B6" i="3"/>
  <c r="E5" i="3"/>
  <c r="D5" i="3"/>
  <c r="C5" i="3"/>
  <c r="B5" i="3"/>
  <c r="E4" i="3"/>
  <c r="D4" i="3"/>
  <c r="C4" i="3"/>
  <c r="F4" i="3" s="1"/>
  <c r="B4" i="3"/>
  <c r="E3" i="3"/>
  <c r="D3" i="3"/>
  <c r="C3" i="3"/>
  <c r="B3" i="3"/>
  <c r="G9" i="3" l="1"/>
  <c r="G8" i="3"/>
  <c r="B10" i="3"/>
  <c r="G5" i="3"/>
  <c r="G3" i="3"/>
  <c r="G7" i="3"/>
  <c r="D10" i="3"/>
  <c r="E10" i="3"/>
  <c r="G6" i="3"/>
  <c r="H6" i="3" s="1"/>
  <c r="F9" i="3"/>
  <c r="H9" i="3" s="1"/>
  <c r="F5" i="3"/>
  <c r="F8" i="3"/>
  <c r="H8" i="3" s="1"/>
  <c r="C10" i="3"/>
  <c r="G4" i="3"/>
  <c r="H4" i="3" s="1"/>
  <c r="F3" i="3"/>
  <c r="H3" i="3" s="1"/>
  <c r="F7" i="3"/>
  <c r="H7" i="3" s="1"/>
  <c r="H5" i="3" l="1"/>
  <c r="G10" i="3"/>
  <c r="F10" i="3"/>
  <c r="H10" i="3" s="1"/>
</calcChain>
</file>

<file path=xl/sharedStrings.xml><?xml version="1.0" encoding="utf-8"?>
<sst xmlns="http://schemas.openxmlformats.org/spreadsheetml/2006/main" count="249" uniqueCount="106">
  <si>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</si>
  <si>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</si>
  <si>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</si>
  <si>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</si>
  <si>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</si>
  <si>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</si>
  <si>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</si>
  <si>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</si>
  <si>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</si>
  <si>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</si>
  <si>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</si>
  <si>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</si>
  <si>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</si>
  <si>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</si>
  <si>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</si>
  <si>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</si>
  <si>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</si>
  <si>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</si>
  <si>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</si>
  <si>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</si>
  <si>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</si>
  <si>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</si>
  <si>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</si>
  <si>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</si>
  <si>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</si>
  <si>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</si>
  <si>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</si>
  <si>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</si>
  <si>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</si>
  <si>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</si>
  <si>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</si>
  <si>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</si>
  <si>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</si>
  <si>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</si>
  <si>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</si>
  <si>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</si>
  <si>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</si>
  <si>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</si>
  <si>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</si>
  <si>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</si>
  <si>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</si>
  <si>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</si>
  <si>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</si>
  <si>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</si>
  <si>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</si>
  <si>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</si>
  <si>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GPT-5 Generation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</si>
  <si>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</si>
  <si>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</si>
  <si>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</si>
  <si>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</si>
  <si>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</si>
  <si>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</si>
  <si>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</si>
  <si>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</si>
  <si>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</si>
  <si>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</si>
  <si>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</si>
  <si>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</si>
  <si>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</si>
  <si>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</si>
  <si>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Initial pseudostate leads to Off.</t>
  </si>
  <si>
    <t>Off state is explicitly modeled.</t>
  </si>
  <si>
    <t>Off transitions to On on masterOn.</t>
  </si>
  <si>
    <t>On is modeled as a composite state.</t>
  </si>
  <si>
    <t>On transitions to Off on masterOff.</t>
  </si>
  <si>
    <t>Initial state inside On leads to LoggedOut which is equivalent to Idle.</t>
  </si>
  <si>
    <t>LoggedOut represents the unauthenticated idle state.</t>
  </si>
  <si>
    <t>Unauthorized card tap stays in LoggedOut and shows error.</t>
  </si>
  <si>
    <t>Unauthorized guard is represented as !authorized(cardId).</t>
  </si>
  <si>
    <t>Authorized card tap enters UserSession.</t>
  </si>
  <si>
    <t>Authorized guard is represented as authorized(cardId).</t>
  </si>
  <si>
    <t>Entering TaskSelection AwaitingOption after login leaves no print or scan option selected.</t>
  </si>
  <si>
    <t>UserSession with TaskSelection represents the logged in ready condition.</t>
  </si>
  <si>
    <t>Logoff from TaskSelection returns to LoggedOut.</t>
  </si>
  <si>
    <t>Starting scan without original stays in ScanChosen and shows an error.</t>
  </si>
  <si>
    <t>Being in ScanChosen with !originalDetected captures this condition.</t>
  </si>
  <si>
    <t>Starting print without queued document stays in PrintChosen and shows an error.</t>
  </si>
  <si>
    <t>Being in PrintChosen with !hasQueuedDocument captures this condition.</t>
  </si>
  <si>
    <t>Choosing scan moves to ScanChosen while remaining in task selection.</t>
  </si>
  <si>
    <t>ScanChosen state records the selected scan option.</t>
  </si>
  <si>
    <t>Choosing print moves to PrintChosen while remaining in task selection.</t>
  </si>
  <si>
    <t>PrintChosen state records the selected print option.</t>
  </si>
  <si>
    <t>Pressing start from ScanChosen with original detected enters Scanning.</t>
  </si>
  <si>
    <t>ScanChosen plus originalDetected captures the required guard.</t>
  </si>
  <si>
    <t>ActiveTask composite represents the busy printing or scanning behavior.</t>
  </si>
  <si>
    <t>pressStop from ActiveTask returns to TaskSelection.</t>
  </si>
  <si>
    <t>Printing and Scanning completion both return to TaskSelection.</t>
  </si>
  <si>
    <t>paperJam from ActiveTask enters recovery suspension.</t>
  </si>
  <si>
    <t>H inside ActiveTask is used as the resume target for suspended tasks.</t>
  </si>
  <si>
    <t>Printing state is explicitly modeled.</t>
  </si>
  <si>
    <t>Pressing start from PrintChosen with a queued document enters Printing.</t>
  </si>
  <si>
    <t>PrintChosen plus hasQueuedDocument captures the required guard.</t>
  </si>
  <si>
    <t>outOfPaper from Printing enters OutOfPaperRecovery.</t>
  </si>
  <si>
    <t>Scanning state models scan and later sends scan to email on completion.</t>
  </si>
  <si>
    <t>PaperJamRecovery and OutOfPaperRecovery model suspended recovery conditions.</t>
  </si>
  <si>
    <t>Recovery states resume to H after the problem is cleared.</t>
  </si>
  <si>
    <t>Recovery states cancel back to TaskSelection.</t>
  </si>
  <si>
    <t>Extra selection and recovery substates are reasonable refinements.</t>
  </si>
  <si>
    <t>Extra choice and recovery transitions preserve the specified behavior.</t>
  </si>
  <si>
    <t>Extra guards are consistent with authorization and resource checks.</t>
  </si>
  <si>
    <t>Extra actions such as showing errors and suspending tasks are appropriate.</t>
  </si>
  <si>
    <t>Extra composite organization is a reasonable modeling choice.</t>
  </si>
  <si>
    <t>No incorrect parallel regions are introduced.</t>
  </si>
  <si>
    <t>No incorrect extra history behavior is introduced.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</si>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</sst>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6"/>
  </cellStyleXfs>
  <cellXfs count="24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2" fillId="0" borderId="0" xfId="0" applyFont="1" applyBorder="1"/>
    <xf numFmtId="0" fontId="1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right"/>
    </xf>
    <xf numFmtId="0" fontId="2" fillId="0" borderId="4" xfId="0" applyFont="1" applyBorder="1"/>
    <xf numFmtId="0" fontId="1" fillId="0" borderId="4" xfId="0" applyFont="1" applyBorder="1"/>
    <xf numFmtId="0" fontId="5" fillId="7" borderId="0" xfId="0" applyFont="1" applyFill="1" applyBorder="1"/>
    <xf numFmtId="0" fontId="3" fillId="3" borderId="0" xfId="0" applyFont="1" applyFill="1" applyBorder="1"/>
    <xf numFmtId="0" fontId="6" fillId="0" borderId="0" xfId="0" applyFont="1" applyBorder="1"/>
    <xf numFmtId="0" fontId="1" fillId="5" borderId="5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45">
  <tableColumns count="2">
    <tableColumn id="1" xr3:uid="{00000000-0010-0000-0000-000001000000}" name="Type"/>
    <tableColumn id="2" xr3:uid="{00000000-0010-0000-0000-000002000000}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45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 Grading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2" t="s">
        <v>3</v>
      </c>
    </row>
    <row r="3" spans="1:2" ht="12.75" customHeight="1" x14ac:dyDescent="0.15">
      <c r="A3" s="3" t="s">
        <v>2</v>
      </c>
      <c r="B3" s="2" t="s">
        <v>4</v>
      </c>
    </row>
    <row r="4" spans="1:2" ht="12.75" customHeight="1" x14ac:dyDescent="0.15">
      <c r="A4" s="3" t="s">
        <v>5</v>
      </c>
      <c r="B4" s="2" t="s">
        <v>6</v>
      </c>
    </row>
    <row r="5" spans="1:2" ht="12.75" customHeight="1" x14ac:dyDescent="0.15">
      <c r="A5" s="3" t="s">
        <v>7</v>
      </c>
      <c r="B5" s="2" t="s">
        <v>8</v>
      </c>
    </row>
    <row r="6" spans="1:2" ht="12.75" customHeight="1" x14ac:dyDescent="0.15">
      <c r="A6" s="3" t="s">
        <v>5</v>
      </c>
      <c r="B6" s="2" t="s">
        <v>9</v>
      </c>
    </row>
    <row r="7" spans="1:2" ht="12.75" customHeight="1" x14ac:dyDescent="0.15">
      <c r="A7" s="3" t="s">
        <v>2</v>
      </c>
      <c r="B7" s="2" t="s">
        <v>10</v>
      </c>
    </row>
    <row r="8" spans="1:2" ht="12.75" customHeight="1" x14ac:dyDescent="0.15">
      <c r="A8" s="3" t="s">
        <v>2</v>
      </c>
      <c r="B8" s="2" t="s">
        <v>11</v>
      </c>
    </row>
    <row r="9" spans="1:2" ht="12.75" customHeight="1" x14ac:dyDescent="0.15">
      <c r="A9" s="3" t="s">
        <v>5</v>
      </c>
      <c r="B9" s="2" t="s">
        <v>12</v>
      </c>
    </row>
    <row r="10" spans="1:2" ht="12.75" customHeight="1" x14ac:dyDescent="0.15">
      <c r="A10" s="3" t="s">
        <v>13</v>
      </c>
      <c r="B10" s="2" t="s">
        <v>14</v>
      </c>
    </row>
    <row r="11" spans="1:2" ht="12.75" customHeight="1" x14ac:dyDescent="0.15">
      <c r="A11" s="3" t="s">
        <v>5</v>
      </c>
      <c r="B11" s="2" t="s">
        <v>15</v>
      </c>
    </row>
    <row r="12" spans="1:2" ht="12.75" customHeight="1" x14ac:dyDescent="0.15">
      <c r="A12" s="3" t="s">
        <v>13</v>
      </c>
      <c r="B12" s="2" t="s">
        <v>16</v>
      </c>
    </row>
    <row r="13" spans="1:2" ht="12.75" customHeight="1" x14ac:dyDescent="0.15">
      <c r="A13" s="3" t="s">
        <v>17</v>
      </c>
      <c r="B13" s="2" t="s">
        <v>18</v>
      </c>
    </row>
    <row r="14" spans="1:2" ht="12.75" customHeight="1" x14ac:dyDescent="0.15">
      <c r="A14" s="3" t="s">
        <v>2</v>
      </c>
      <c r="B14" s="2" t="s">
        <v>19</v>
      </c>
    </row>
    <row r="15" spans="1:2" ht="12.75" customHeight="1" x14ac:dyDescent="0.15">
      <c r="A15" s="3" t="s">
        <v>5</v>
      </c>
      <c r="B15" s="2" t="s">
        <v>20</v>
      </c>
    </row>
    <row r="16" spans="1:2" ht="12.75" customHeight="1" x14ac:dyDescent="0.15">
      <c r="A16" s="3" t="s">
        <v>5</v>
      </c>
      <c r="B16" s="2" t="s">
        <v>21</v>
      </c>
    </row>
    <row r="17" spans="1:22" ht="15" customHeight="1" x14ac:dyDescent="0.15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</row>
    <row r="19" spans="1:22" ht="12.75" customHeight="1" x14ac:dyDescent="0.15">
      <c r="A19" s="3" t="s">
        <v>13</v>
      </c>
      <c r="B19" s="2" t="s">
        <v>23</v>
      </c>
    </row>
    <row r="20" spans="1:22" ht="12.75" customHeight="1" x14ac:dyDescent="0.15">
      <c r="A20" s="3" t="s">
        <v>5</v>
      </c>
      <c r="B20" s="2" t="s">
        <v>24</v>
      </c>
    </row>
    <row r="21" spans="1:22" ht="12.75" customHeight="1" x14ac:dyDescent="0.15">
      <c r="A21" s="3" t="s">
        <v>17</v>
      </c>
      <c r="B21" s="2" t="s">
        <v>25</v>
      </c>
    </row>
    <row r="22" spans="1:22" ht="12.75" customHeight="1" x14ac:dyDescent="0.15">
      <c r="A22" s="3" t="s">
        <v>5</v>
      </c>
      <c r="B22" s="2" t="s">
        <v>26</v>
      </c>
    </row>
    <row r="23" spans="1:22" ht="12.75" customHeight="1" x14ac:dyDescent="0.15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</row>
    <row r="25" spans="1:22" ht="12.75" customHeight="1" x14ac:dyDescent="0.15">
      <c r="A25" s="3" t="s">
        <v>13</v>
      </c>
      <c r="B25" s="2" t="s">
        <v>29</v>
      </c>
    </row>
    <row r="26" spans="1:22" ht="15" customHeight="1" x14ac:dyDescent="0.15">
      <c r="A26" s="3" t="s">
        <v>7</v>
      </c>
      <c r="B26" s="2" t="s">
        <v>30</v>
      </c>
    </row>
    <row r="27" spans="1:22" ht="12.75" customHeight="1" x14ac:dyDescent="0.15">
      <c r="A27" s="3" t="s">
        <v>5</v>
      </c>
      <c r="B27" s="2" t="s">
        <v>31</v>
      </c>
    </row>
    <row r="28" spans="1:22" ht="12.75" customHeight="1" x14ac:dyDescent="0.15">
      <c r="A28" s="3" t="s">
        <v>5</v>
      </c>
      <c r="B28" s="2" t="s">
        <v>32</v>
      </c>
    </row>
    <row r="29" spans="1:22" ht="12.75" customHeight="1" x14ac:dyDescent="0.15">
      <c r="A29" s="3" t="s">
        <v>5</v>
      </c>
      <c r="B29" s="2" t="s">
        <v>33</v>
      </c>
    </row>
    <row r="30" spans="1:22" ht="12.75" customHeight="1" x14ac:dyDescent="0.15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</row>
    <row r="33" spans="1:22" ht="12.75" customHeight="1" x14ac:dyDescent="0.15">
      <c r="A33" s="3" t="s">
        <v>13</v>
      </c>
      <c r="B33" s="2" t="s">
        <v>38</v>
      </c>
    </row>
    <row r="34" spans="1:22" ht="12.75" customHeight="1" x14ac:dyDescent="0.15">
      <c r="A34" s="3" t="s">
        <v>5</v>
      </c>
      <c r="B34" s="2" t="s">
        <v>39</v>
      </c>
    </row>
    <row r="35" spans="1:22" ht="12.75" customHeight="1" x14ac:dyDescent="0.15">
      <c r="A35" s="3" t="s">
        <v>2</v>
      </c>
      <c r="B35" s="2" t="s">
        <v>40</v>
      </c>
    </row>
    <row r="36" spans="1:22" ht="12.75" customHeight="1" x14ac:dyDescent="0.15">
      <c r="A36" s="3" t="s">
        <v>2</v>
      </c>
      <c r="B36" s="2" t="s">
        <v>41</v>
      </c>
    </row>
    <row r="37" spans="1:22" ht="12.75" customHeight="1" x14ac:dyDescent="0.15">
      <c r="A37" s="3" t="s">
        <v>5</v>
      </c>
      <c r="B37" s="2" t="s">
        <v>42</v>
      </c>
    </row>
    <row r="38" spans="1:22" ht="12.75" customHeight="1" x14ac:dyDescent="0.15">
      <c r="A38" s="3" t="s">
        <v>5</v>
      </c>
      <c r="B38" s="2" t="s">
        <v>43</v>
      </c>
    </row>
    <row r="39" spans="1:22" ht="15" customHeight="1" x14ac:dyDescent="0.15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D18" sqref="D18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5.33203125" bestFit="1" customWidth="1"/>
    <col min="4" max="4" width="71.8320312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46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 t="s">
        <v>61</v>
      </c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 t="s">
        <v>62</v>
      </c>
    </row>
    <row r="4" spans="1:4" ht="12.75" customHeight="1" x14ac:dyDescent="0.15">
      <c r="A4" s="3" t="s">
        <v>5</v>
      </c>
      <c r="B4" s="2" t="s">
        <v>6</v>
      </c>
      <c r="C4" s="8">
        <v>1</v>
      </c>
      <c r="D4" s="9" t="s">
        <v>63</v>
      </c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 t="s">
        <v>64</v>
      </c>
    </row>
    <row r="6" spans="1:4" ht="12.75" customHeight="1" x14ac:dyDescent="0.15">
      <c r="A6" s="3" t="s">
        <v>5</v>
      </c>
      <c r="B6" s="2" t="s">
        <v>9</v>
      </c>
      <c r="C6" s="8">
        <v>1</v>
      </c>
      <c r="D6" s="9" t="s">
        <v>65</v>
      </c>
    </row>
    <row r="7" spans="1:4" ht="12.75" customHeight="1" x14ac:dyDescent="0.15">
      <c r="A7" s="3" t="s">
        <v>2</v>
      </c>
      <c r="B7" s="2" t="s">
        <v>10</v>
      </c>
      <c r="C7" s="10">
        <v>1</v>
      </c>
      <c r="D7" s="11" t="s">
        <v>66</v>
      </c>
    </row>
    <row r="8" spans="1:4" ht="12.75" customHeight="1" x14ac:dyDescent="0.15">
      <c r="A8" s="3" t="s">
        <v>2</v>
      </c>
      <c r="B8" s="2" t="s">
        <v>11</v>
      </c>
      <c r="C8" s="8">
        <v>1</v>
      </c>
      <c r="D8" s="9" t="s">
        <v>67</v>
      </c>
    </row>
    <row r="9" spans="1:4" ht="12.75" customHeight="1" x14ac:dyDescent="0.15">
      <c r="A9" s="3" t="s">
        <v>5</v>
      </c>
      <c r="B9" s="2" t="s">
        <v>12</v>
      </c>
      <c r="C9" s="10">
        <v>1</v>
      </c>
      <c r="D9" s="11" t="s">
        <v>68</v>
      </c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 t="s">
        <v>69</v>
      </c>
    </row>
    <row r="11" spans="1:4" ht="12.75" customHeight="1" x14ac:dyDescent="0.15">
      <c r="A11" s="3" t="s">
        <v>5</v>
      </c>
      <c r="B11" s="2" t="s">
        <v>15</v>
      </c>
      <c r="C11" s="10">
        <v>1</v>
      </c>
      <c r="D11" s="11" t="s">
        <v>70</v>
      </c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 t="s">
        <v>71</v>
      </c>
    </row>
    <row r="13" spans="1:4" ht="12.75" customHeight="1" x14ac:dyDescent="0.15">
      <c r="A13" s="3" t="s">
        <v>17</v>
      </c>
      <c r="B13" s="2" t="s">
        <v>18</v>
      </c>
      <c r="C13" s="10">
        <v>1</v>
      </c>
      <c r="D13" s="11" t="s">
        <v>72</v>
      </c>
    </row>
    <row r="14" spans="1:4" ht="12.75" customHeight="1" x14ac:dyDescent="0.15">
      <c r="A14" s="3" t="s">
        <v>2</v>
      </c>
      <c r="B14" s="2" t="s">
        <v>19</v>
      </c>
      <c r="C14" s="8">
        <v>1</v>
      </c>
      <c r="D14" s="9" t="s">
        <v>73</v>
      </c>
    </row>
    <row r="15" spans="1:4" ht="12.75" customHeight="1" x14ac:dyDescent="0.15">
      <c r="A15" s="3" t="s">
        <v>5</v>
      </c>
      <c r="B15" s="2" t="s">
        <v>20</v>
      </c>
      <c r="C15" s="10">
        <v>1</v>
      </c>
      <c r="D15" s="11" t="s">
        <v>74</v>
      </c>
    </row>
    <row r="16" spans="1:4" ht="12.75" customHeight="1" x14ac:dyDescent="0.15">
      <c r="A16" s="3" t="s">
        <v>5</v>
      </c>
      <c r="B16" s="2" t="s">
        <v>21</v>
      </c>
      <c r="C16" s="8">
        <v>1</v>
      </c>
      <c r="D16" s="9" t="s">
        <v>75</v>
      </c>
    </row>
    <row r="17" spans="1:22" ht="15" customHeight="1" x14ac:dyDescent="0.15">
      <c r="A17" s="3" t="s">
        <v>13</v>
      </c>
      <c r="B17" s="2" t="s">
        <v>22</v>
      </c>
      <c r="C17" s="10">
        <v>1</v>
      </c>
      <c r="D17" s="11" t="s">
        <v>76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1</v>
      </c>
      <c r="D18" s="9" t="s">
        <v>77</v>
      </c>
    </row>
    <row r="19" spans="1:22" ht="12.75" customHeight="1" x14ac:dyDescent="0.15">
      <c r="A19" s="3" t="s">
        <v>13</v>
      </c>
      <c r="B19" s="2" t="s">
        <v>23</v>
      </c>
      <c r="C19" s="10">
        <v>1</v>
      </c>
      <c r="D19" s="11" t="s">
        <v>78</v>
      </c>
    </row>
    <row r="20" spans="1:22" ht="12.75" customHeight="1" x14ac:dyDescent="0.15">
      <c r="A20" s="3" t="s">
        <v>5</v>
      </c>
      <c r="B20" s="2" t="s">
        <v>24</v>
      </c>
      <c r="C20" s="8">
        <v>1</v>
      </c>
      <c r="D20" s="9" t="s">
        <v>79</v>
      </c>
    </row>
    <row r="21" spans="1:22" ht="12.75" customHeight="1" x14ac:dyDescent="0.15">
      <c r="A21" s="3" t="s">
        <v>17</v>
      </c>
      <c r="B21" s="2" t="s">
        <v>25</v>
      </c>
      <c r="C21" s="10">
        <v>1</v>
      </c>
      <c r="D21" s="11" t="s">
        <v>80</v>
      </c>
    </row>
    <row r="22" spans="1:22" ht="12.75" customHeight="1" x14ac:dyDescent="0.15">
      <c r="A22" s="3" t="s">
        <v>5</v>
      </c>
      <c r="B22" s="2" t="s">
        <v>26</v>
      </c>
      <c r="C22" s="8">
        <v>1</v>
      </c>
      <c r="D22" s="9" t="s">
        <v>81</v>
      </c>
    </row>
    <row r="23" spans="1:22" ht="12.75" customHeight="1" x14ac:dyDescent="0.15">
      <c r="A23" s="3" t="s">
        <v>17</v>
      </c>
      <c r="B23" s="2" t="s">
        <v>27</v>
      </c>
      <c r="C23" s="10">
        <v>1</v>
      </c>
      <c r="D23" s="11" t="s">
        <v>82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1</v>
      </c>
      <c r="D24" s="9" t="s">
        <v>83</v>
      </c>
    </row>
    <row r="25" spans="1:22" ht="12.75" customHeight="1" x14ac:dyDescent="0.15">
      <c r="A25" s="3" t="s">
        <v>13</v>
      </c>
      <c r="B25" s="2" t="s">
        <v>29</v>
      </c>
      <c r="C25" s="10">
        <v>1</v>
      </c>
      <c r="D25" s="11" t="s">
        <v>84</v>
      </c>
    </row>
    <row r="26" spans="1:22" ht="15" customHeight="1" x14ac:dyDescent="0.15">
      <c r="A26" s="3" t="s">
        <v>7</v>
      </c>
      <c r="B26" s="2" t="s">
        <v>30</v>
      </c>
      <c r="C26" s="8">
        <v>1</v>
      </c>
      <c r="D26" s="9" t="s">
        <v>85</v>
      </c>
    </row>
    <row r="27" spans="1:22" ht="12.75" customHeight="1" x14ac:dyDescent="0.15">
      <c r="A27" s="3" t="s">
        <v>5</v>
      </c>
      <c r="B27" s="2" t="s">
        <v>31</v>
      </c>
      <c r="C27" s="10">
        <v>1</v>
      </c>
      <c r="D27" s="11" t="s">
        <v>86</v>
      </c>
    </row>
    <row r="28" spans="1:22" ht="12.75" customHeight="1" x14ac:dyDescent="0.15">
      <c r="A28" s="3" t="s">
        <v>5</v>
      </c>
      <c r="B28" s="2" t="s">
        <v>32</v>
      </c>
      <c r="C28" s="8">
        <v>1</v>
      </c>
      <c r="D28" s="9" t="s">
        <v>87</v>
      </c>
    </row>
    <row r="29" spans="1:22" ht="12.75" customHeight="1" x14ac:dyDescent="0.15">
      <c r="A29" s="3" t="s">
        <v>5</v>
      </c>
      <c r="B29" s="2" t="s">
        <v>33</v>
      </c>
      <c r="C29" s="10">
        <v>1</v>
      </c>
      <c r="D29" s="11" t="s">
        <v>88</v>
      </c>
    </row>
    <row r="30" spans="1:22" ht="12.75" customHeight="1" x14ac:dyDescent="0.15">
      <c r="A30" s="3" t="s">
        <v>34</v>
      </c>
      <c r="B30" s="2" t="s">
        <v>35</v>
      </c>
      <c r="C30" s="8">
        <v>1</v>
      </c>
      <c r="D30" s="9" t="s">
        <v>89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 t="s">
        <v>90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1</v>
      </c>
      <c r="D32" s="9" t="s">
        <v>91</v>
      </c>
    </row>
    <row r="33" spans="1:22" ht="12.75" customHeight="1" x14ac:dyDescent="0.15">
      <c r="A33" s="3" t="s">
        <v>13</v>
      </c>
      <c r="B33" s="2" t="s">
        <v>38</v>
      </c>
      <c r="C33" s="10">
        <v>1</v>
      </c>
      <c r="D33" s="11" t="s">
        <v>92</v>
      </c>
    </row>
    <row r="34" spans="1:22" ht="12.75" customHeight="1" x14ac:dyDescent="0.15">
      <c r="A34" s="3" t="s">
        <v>5</v>
      </c>
      <c r="B34" s="2" t="s">
        <v>39</v>
      </c>
      <c r="C34" s="8">
        <v>1</v>
      </c>
      <c r="D34" s="9" t="s">
        <v>93</v>
      </c>
    </row>
    <row r="35" spans="1:22" ht="12.75" customHeight="1" x14ac:dyDescent="0.15">
      <c r="A35" s="3" t="s">
        <v>2</v>
      </c>
      <c r="B35" s="2" t="s">
        <v>40</v>
      </c>
      <c r="C35" s="10">
        <v>1</v>
      </c>
      <c r="D35" s="11" t="s">
        <v>94</v>
      </c>
    </row>
    <row r="36" spans="1:22" ht="12.75" customHeight="1" x14ac:dyDescent="0.15">
      <c r="A36" s="3" t="s">
        <v>2</v>
      </c>
      <c r="B36" s="2" t="s">
        <v>41</v>
      </c>
      <c r="C36" s="8">
        <v>1</v>
      </c>
      <c r="D36" s="9" t="s">
        <v>95</v>
      </c>
    </row>
    <row r="37" spans="1:22" ht="12.75" customHeight="1" x14ac:dyDescent="0.15">
      <c r="A37" s="3" t="s">
        <v>5</v>
      </c>
      <c r="B37" s="2" t="s">
        <v>42</v>
      </c>
      <c r="C37" s="10">
        <v>1</v>
      </c>
      <c r="D37" s="11" t="s">
        <v>96</v>
      </c>
    </row>
    <row r="38" spans="1:22" ht="12.75" customHeight="1" x14ac:dyDescent="0.15">
      <c r="A38" s="3" t="s">
        <v>5</v>
      </c>
      <c r="B38" s="2" t="s">
        <v>43</v>
      </c>
      <c r="C38" s="8">
        <v>1</v>
      </c>
      <c r="D38" s="9" t="s">
        <v>97</v>
      </c>
    </row>
    <row r="39" spans="1:22" ht="15" customHeight="1" x14ac:dyDescent="0.15">
      <c r="A39" s="5" t="s">
        <v>2</v>
      </c>
      <c r="B39" s="6" t="s">
        <v>44</v>
      </c>
      <c r="C39" s="12">
        <v>0</v>
      </c>
      <c r="D39" s="13" t="s">
        <v>98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 t="s">
        <v>99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 t="s">
        <v>100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 t="s">
        <v>101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 t="s">
        <v>102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 t="s">
        <v>103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 t="s">
        <v>104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E10" sqref="E10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23" t="s">
        <v>48</v>
      </c>
      <c r="B1" s="23"/>
      <c r="C1" s="23"/>
      <c r="D1" s="23"/>
      <c r="E1" s="23"/>
      <c r="F1" s="23"/>
      <c r="G1" s="23"/>
      <c r="H1" s="23"/>
      <c r="J1" s="14" t="s">
        <v>49</v>
      </c>
    </row>
    <row r="2" spans="1:10" ht="15.75" customHeight="1" x14ac:dyDescent="0.15">
      <c r="A2" s="15" t="s">
        <v>0</v>
      </c>
      <c r="B2" s="15" t="s">
        <v>50</v>
      </c>
      <c r="C2" s="15" t="s">
        <v>51</v>
      </c>
      <c r="D2" s="15" t="s">
        <v>52</v>
      </c>
      <c r="E2" s="15" t="s">
        <v>53</v>
      </c>
      <c r="F2" s="15" t="s">
        <v>54</v>
      </c>
      <c r="G2" s="15" t="s">
        <v>55</v>
      </c>
      <c r="H2" s="15" t="s">
        <v>56</v>
      </c>
      <c r="J2" s="4" t="s">
        <v>57</v>
      </c>
    </row>
    <row r="3" spans="1:10" ht="15.75" customHeight="1" x14ac:dyDescent="0.15">
      <c r="A3" s="16" t="s">
        <v>7</v>
      </c>
      <c r="B3" s="17">
        <f>COUNTIF(printer!$A$2:$A$38, A3)</f>
        <v>2</v>
      </c>
      <c r="C3" s="17">
        <f>SUMIF('GPT-5 Generation'!$A$2:$A$38, $A3, 'GPT-5 Generation'!$C$2:$C$38)</f>
        <v>2</v>
      </c>
      <c r="D3" s="17">
        <f>SUMIF('GPT-5 Generation'!$A$39:$A$45, $A3, 'GPT-5 Generation'!$C$39:$C$45)</f>
        <v>0</v>
      </c>
      <c r="E3" s="18">
        <f>COUNTIFS('GPT-5 Generation'!$A$2:$A$38, $A3, 'GPT-5 Generation'!$C$2:$C$38,0)</f>
        <v>0</v>
      </c>
      <c r="F3" s="18">
        <f t="shared" ref="F3:F10" si="0">IFERROR(C3 / (C3 + D3), "Not Available")</f>
        <v>1</v>
      </c>
      <c r="G3" s="18">
        <f t="shared" ref="G3:G10" si="1">IFERROR(C3 / B3, "Not Available")</f>
        <v>1</v>
      </c>
      <c r="H3" s="18">
        <f t="shared" ref="H3:H10" si="2">IFERROR(2*((F3*G3)/(F3+G3)),"Not Available")</f>
        <v>1</v>
      </c>
    </row>
    <row r="4" spans="1:10" ht="15.75" customHeight="1" x14ac:dyDescent="0.15">
      <c r="A4" s="19" t="s">
        <v>2</v>
      </c>
      <c r="B4" s="17">
        <f>COUNTIF(printer!$A$2:$A$38, A4)</f>
        <v>8</v>
      </c>
      <c r="C4" s="17">
        <f>SUMIF('GPT-5 Generation'!$A$2:$A$38, $A4, 'GPT-5 Generation'!$C$2:$C$38)</f>
        <v>8</v>
      </c>
      <c r="D4" s="17">
        <f>SUMIF('GPT-5 Generation'!$A$39:$A$45, $A4, 'GPT-5 Generation'!$C$39:$C$45)</f>
        <v>0</v>
      </c>
      <c r="E4" s="18">
        <f>COUNTIFS('GPT-5 Generation'!$A$2:$A$38, $A4, 'GPT-5 Generation'!$C$2:$C$38,0)</f>
        <v>0</v>
      </c>
      <c r="F4" s="18">
        <f t="shared" si="0"/>
        <v>1</v>
      </c>
      <c r="G4" s="18">
        <f t="shared" si="1"/>
        <v>1</v>
      </c>
      <c r="H4" s="18">
        <f t="shared" si="2"/>
        <v>1</v>
      </c>
      <c r="J4" s="20" t="s">
        <v>58</v>
      </c>
    </row>
    <row r="5" spans="1:10" ht="15.75" customHeight="1" x14ac:dyDescent="0.15">
      <c r="A5" s="19" t="s">
        <v>5</v>
      </c>
      <c r="B5" s="17">
        <f>COUNTIF(printer!$A$2:$A$38, A5)</f>
        <v>17</v>
      </c>
      <c r="C5" s="17">
        <f>SUMIF('GPT-5 Generation'!$A$2:$A$38, $A5, 'GPT-5 Generation'!$C$2:$C$38)</f>
        <v>17</v>
      </c>
      <c r="D5" s="17">
        <f>SUMIF('GPT-5 Generation'!$A$39:$A$45, $A5, 'GPT-5 Generation'!$C$39:$C$45)</f>
        <v>0</v>
      </c>
      <c r="E5" s="18">
        <f>COUNTIFS('GPT-5 Generation'!$A$2:$A$38, $A5, 'GPT-5 Generation'!$C$2:$C$38,0)</f>
        <v>0</v>
      </c>
      <c r="F5" s="18">
        <f t="shared" si="0"/>
        <v>1</v>
      </c>
      <c r="G5" s="18">
        <f t="shared" si="1"/>
        <v>1</v>
      </c>
      <c r="H5" s="18">
        <f t="shared" si="2"/>
        <v>1</v>
      </c>
      <c r="J5" s="21" t="s">
        <v>105</v>
      </c>
    </row>
    <row r="6" spans="1:10" ht="15.75" customHeight="1" x14ac:dyDescent="0.15">
      <c r="A6" s="19" t="s">
        <v>17</v>
      </c>
      <c r="B6" s="17">
        <f>COUNTIF(printer!$A$2:$A$38, A6)</f>
        <v>3</v>
      </c>
      <c r="C6" s="17">
        <f>SUMIF('GPT-5 Generation'!$A$2:$A$38, $A6, 'GPT-5 Generation'!$C$2:$C$38)</f>
        <v>3</v>
      </c>
      <c r="D6" s="17">
        <f>SUMIF('GPT-5 Generation'!$A$39:$A$45, $A6, 'GPT-5 Generation'!$C$39:$C$45)</f>
        <v>0</v>
      </c>
      <c r="E6" s="18">
        <f>COUNTIFS('GPT-5 Generation'!$A$2:$A$38, $A6, 'GPT-5 Generation'!$C$2:$C$38,0)</f>
        <v>0</v>
      </c>
      <c r="F6" s="18">
        <f t="shared" si="0"/>
        <v>1</v>
      </c>
      <c r="G6" s="18">
        <f t="shared" si="1"/>
        <v>1</v>
      </c>
      <c r="H6" s="18">
        <f t="shared" si="2"/>
        <v>1</v>
      </c>
    </row>
    <row r="7" spans="1:10" ht="15.75" customHeight="1" x14ac:dyDescent="0.15">
      <c r="A7" s="19" t="s">
        <v>45</v>
      </c>
      <c r="B7" s="17">
        <f>COUNTIF(printer!$A$2:$A$38, A7)</f>
        <v>0</v>
      </c>
      <c r="C7" s="17">
        <f>SUMIF('GPT-5 Generation'!$A$2:$A$38, $A7, 'GPT-5 Generation'!$C$2:$C$38)</f>
        <v>0</v>
      </c>
      <c r="D7" s="17">
        <f>SUMIF('GPT-5 Generation'!$A$39:$A$45, $A7, 'GPT-5 Generation'!$C$39:$C$45)</f>
        <v>0</v>
      </c>
      <c r="E7" s="18">
        <f>COUNTIFS('GPT-5 Generation'!$A$2:$A$38, $A7, 'GPT-5 Generation'!$C$2:$C$38,0)</f>
        <v>0</v>
      </c>
      <c r="F7" s="18" t="str">
        <f t="shared" si="0"/>
        <v>Not Available</v>
      </c>
      <c r="G7" s="18" t="str">
        <f t="shared" si="1"/>
        <v>Not Available</v>
      </c>
      <c r="H7" s="18" t="str">
        <f t="shared" si="2"/>
        <v>Not Available</v>
      </c>
      <c r="J7" s="22" t="s">
        <v>59</v>
      </c>
    </row>
    <row r="8" spans="1:10" ht="15.75" customHeight="1" x14ac:dyDescent="0.15">
      <c r="A8" s="19" t="s">
        <v>34</v>
      </c>
      <c r="B8" s="17">
        <f>COUNTIF(printer!$A$2:$A$38, A8)</f>
        <v>1</v>
      </c>
      <c r="C8" s="17">
        <f>SUMIF('GPT-5 Generation'!$A$2:$A$38, $A8, 'GPT-5 Generation'!$C$2:$C$38)</f>
        <v>1</v>
      </c>
      <c r="D8" s="17">
        <f>SUMIF('GPT-5 Generation'!$A$39:$A$45, $A8, 'GPT-5 Generation'!$C$39:$C$45)</f>
        <v>0</v>
      </c>
      <c r="E8" s="18">
        <f>COUNTIFS('GPT-5 Generation'!$A$2:$A$38, $A8, 'GPT-5 Generation'!$C$2:$C$38,0)</f>
        <v>0</v>
      </c>
      <c r="F8" s="18">
        <f t="shared" si="0"/>
        <v>1</v>
      </c>
      <c r="G8" s="18">
        <f t="shared" si="1"/>
        <v>1</v>
      </c>
      <c r="H8" s="18">
        <f t="shared" si="2"/>
        <v>1</v>
      </c>
      <c r="J8" s="21" t="s">
        <v>105</v>
      </c>
    </row>
    <row r="9" spans="1:10" ht="15.75" customHeight="1" x14ac:dyDescent="0.15">
      <c r="A9" s="19" t="s">
        <v>13</v>
      </c>
      <c r="B9" s="17">
        <f>COUNTIF(printer!$A$2:$A$38, A9)</f>
        <v>6</v>
      </c>
      <c r="C9" s="17">
        <f>SUMIF('GPT-5 Generation'!$A$2:$A$38, $A9, 'GPT-5 Generation'!$C$2:$C$38)</f>
        <v>6</v>
      </c>
      <c r="D9" s="17">
        <f>SUMIF('GPT-5 Generation'!$A$39:$A$45, $A9, 'GPT-5 Generation'!$C$39:$C$45)</f>
        <v>0</v>
      </c>
      <c r="E9" s="18">
        <f>COUNTIFS('GPT-5 Generation'!$A$2:$A$38, $A9, 'GPT-5 Generation'!$C$2:$C$38,0)</f>
        <v>0</v>
      </c>
      <c r="F9" s="18">
        <f t="shared" si="0"/>
        <v>1</v>
      </c>
      <c r="G9" s="18">
        <f t="shared" si="1"/>
        <v>1</v>
      </c>
      <c r="H9" s="18">
        <f t="shared" si="2"/>
        <v>1</v>
      </c>
    </row>
    <row r="10" spans="1:10" ht="15.75" customHeight="1" x14ac:dyDescent="0.15">
      <c r="A10" s="19" t="s">
        <v>60</v>
      </c>
      <c r="B10" s="18">
        <f>SUM(B3:B9)</f>
        <v>37</v>
      </c>
      <c r="C10" s="18">
        <f>SUM(C3:C9)</f>
        <v>37</v>
      </c>
      <c r="D10" s="18">
        <f>SUM(D3:D9)</f>
        <v>0</v>
      </c>
      <c r="E10" s="18">
        <f>SUM(E3:E9)</f>
        <v>0</v>
      </c>
      <c r="F10" s="18">
        <f t="shared" si="0"/>
        <v>1</v>
      </c>
      <c r="G10" s="18">
        <f t="shared" si="1"/>
        <v>1</v>
      </c>
      <c r="H10" s="18">
        <f t="shared" si="2"/>
        <v>1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2026-05-13T16:43:20Z</dcterms:modified>
</cp:coreProperties>
</file>