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Printer/Grading/2 stage/6-examples/"/>
    </mc:Choice>
  </mc:AlternateContent>
  <xr:revisionPtr revIDLastSave="0" documentId="8_{FE64297B-276D-BA4F-8DC1-CABEAEEF0386}" xr6:coauthVersionLast="47" xr6:coauthVersionMax="47" xr10:uidLastSave="{00000000-0000-0000-0000-000000000000}"/>
  <bookViews>
    <workbookView xWindow="20840" yWindow="-18760" windowWidth="30240" windowHeight="17300" activeTab="2" xr2:uid="{00000000-000D-0000-FFFF-FFFF00000000}"/>
  </bookViews>
  <sheets>
    <sheet name="print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G8" i="3" l="1"/>
  <c r="G5" i="3"/>
  <c r="G3" i="3"/>
  <c r="B10" i="3"/>
  <c r="G9" i="3"/>
  <c r="G4" i="3"/>
  <c r="D10" i="3"/>
  <c r="E10" i="3"/>
  <c r="F3" i="3"/>
  <c r="H3" i="3" s="1"/>
  <c r="F6" i="3"/>
  <c r="G6" i="3"/>
  <c r="G7" i="3"/>
  <c r="F7" i="3"/>
  <c r="F9" i="3"/>
  <c r="F5" i="3"/>
  <c r="H5" i="3" s="1"/>
  <c r="F8" i="3"/>
  <c r="H8" i="3" s="1"/>
  <c r="F4" i="3"/>
  <c r="H4" i="3" s="1"/>
  <c r="C10" i="3"/>
  <c r="H6" i="3" l="1"/>
  <c r="H9" i="3"/>
  <c r="H7" i="3"/>
  <c r="G10" i="3"/>
  <c r="F10" i="3"/>
  <c r="H10" i="3" s="1"/>
</calcChain>
</file>

<file path=xl/sharedStrings.xml><?xml version="1.0" encoding="utf-8"?>
<sst xmlns="http://schemas.openxmlformats.org/spreadsheetml/2006/main" count="249" uniqueCount="107">
  <si>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</si>
  <si>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</si>
  <si>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</si>
  <si>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</si>
  <si>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</si>
  <si>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</si>
  <si>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</si>
  <si>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</si>
  <si>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</si>
  <si>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</si>
  <si>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</si>
  <si>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</si>
  <si>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</si>
  <si>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</si>
  <si>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</si>
  <si>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</si>
  <si>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</si>
  <si>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</si>
  <si>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</si>
  <si>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</si>
  <si>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</si>
  <si>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</si>
  <si>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</si>
  <si>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</si>
  <si>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</si>
  <si>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</si>
  <si>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</si>
  <si>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</si>
  <si>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</si>
  <si>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</si>
  <si>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</si>
  <si>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</si>
  <si>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</si>
  <si>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</si>
  <si>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</si>
  <si>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</si>
  <si>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</si>
  <si>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</si>
  <si>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</si>
  <si>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</si>
  <si>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</si>
  <si>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</si>
  <si>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</si>
  <si>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</si>
  <si>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</si>
  <si>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</si>
  <si>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GPT-5 Generation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</si>
  <si>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</si>
  <si>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</si>
  <si>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</si>
  <si>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</si>
  <si>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</si>
  <si>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</si>
  <si>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</si>
  <si>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</si>
  <si>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</si>
  <si>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</si>
  <si>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</si>
  <si>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</si>
  <si>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</si>
  <si>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</si>
  <si>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Correctly represented by initial transition to Off</t>
  </si>
  <si>
    <t>Correctly represented as Off</t>
  </si>
  <si>
    <t>Correctly represented by masterOn transition</t>
  </si>
  <si>
    <t>Correctly represented as composite state On</t>
  </si>
  <si>
    <t>Correctly represented by masterOff transition</t>
  </si>
  <si>
    <t>Correctly represented by initial transition to LoggedOut</t>
  </si>
  <si>
    <t>Correctly represented as LoggedOut</t>
  </si>
  <si>
    <t>Correctly represented by tapCard transition to LoggedOut</t>
  </si>
  <si>
    <t>Correctly represented by [!authorized(cardId)]</t>
  </si>
  <si>
    <t>Correctly represented by tapCard transition to UserSession</t>
  </si>
  <si>
    <t>Correctly represented by [authorized(cardId)]</t>
  </si>
  <si>
    <t>Correctly modeled by defaulting to AwaitingOption state</t>
  </si>
  <si>
    <t>Correctly represented as TaskSelection and its substates</t>
  </si>
  <si>
    <t>Correctly represented by logoff transition from TaskSelection to LoggedOut</t>
  </si>
  <si>
    <t>Correctly represented by pressStart transition on ScanChosen</t>
  </si>
  <si>
    <t>Correctly represented by [!originalDetected()]</t>
  </si>
  <si>
    <t>Correctly represented by pressStart transition on PrintChosen</t>
  </si>
  <si>
    <t>Correctly represented by [!hasQueuedDocument()]</t>
  </si>
  <si>
    <t>Correctly represented by chooseScan transitions</t>
  </si>
  <si>
    <t>Correctly modeled by transitioning to ScanChosen state</t>
  </si>
  <si>
    <t>Correctly represented by choosePrint transitions</t>
  </si>
  <si>
    <t>Correctly modeled by transitioning to PrintChosen state</t>
  </si>
  <si>
    <t>Correctly represented by pressStart transition to Scanning</t>
  </si>
  <si>
    <t>Correctly represented by [originalDetected()]</t>
  </si>
  <si>
    <t>Correctly represented as ActiveTask composite state</t>
  </si>
  <si>
    <t>Correctly represented by pressStop transition from ActiveTask to TaskSelection</t>
  </si>
  <si>
    <t>Correctly represented by printDone and scanDone transitions to TaskSelection</t>
  </si>
  <si>
    <t>Correctly represented by paperJam transition to PaperJamRecovery</t>
  </si>
  <si>
    <t>Correctly represented by H state in ActiveTask</t>
  </si>
  <si>
    <t>Correctly represented as Printing</t>
  </si>
  <si>
    <t>Correctly represented by pressStart transition to Printing</t>
  </si>
  <si>
    <t>Correctly represented by [hasQueuedDocument()]</t>
  </si>
  <si>
    <t>Correctly represented by outOfPaper transition to OutOfPaperRecovery</t>
  </si>
  <si>
    <t>Correctly represented as Scanning</t>
  </si>
  <si>
    <t>Correctly represented by PaperJamRecovery and OutOfPaperRecovery states</t>
  </si>
  <si>
    <t>Correctly represented by resume transitions to H</t>
  </si>
  <si>
    <t>Correctly represented by cancel transitions to TaskSelection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</si>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</sst>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6"/>
  </cellStyleXfs>
  <cellXfs count="24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2" fillId="0" borderId="0" xfId="0" applyFont="1" applyBorder="1"/>
    <xf numFmtId="0" fontId="1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/>
    </xf>
    <xf numFmtId="0" fontId="2" fillId="0" borderId="4" xfId="0" applyFont="1" applyBorder="1"/>
    <xf numFmtId="0" fontId="1" fillId="0" borderId="4" xfId="0" applyFont="1" applyBorder="1"/>
    <xf numFmtId="0" fontId="5" fillId="7" borderId="0" xfId="0" applyFont="1" applyFill="1" applyBorder="1"/>
    <xf numFmtId="0" fontId="3" fillId="3" borderId="0" xfId="0" applyFont="1" applyFill="1" applyBorder="1"/>
    <xf numFmtId="0" fontId="6" fillId="0" borderId="0" xfId="0" applyFont="1" applyBorder="1"/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D11" sqref="D11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5.33203125" bestFit="1" customWidth="1"/>
    <col min="4" max="4" width="71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61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62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63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64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65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66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67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68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69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70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71</v>
      </c>
    </row>
    <row r="13" spans="1:4" ht="12.75" customHeight="1" x14ac:dyDescent="0.15">
      <c r="A13" s="3" t="s">
        <v>17</v>
      </c>
      <c r="B13" s="2" t="s">
        <v>18</v>
      </c>
      <c r="C13" s="10">
        <v>1</v>
      </c>
      <c r="D13" s="11" t="s">
        <v>72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73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74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75</v>
      </c>
    </row>
    <row r="17" spans="1:22" ht="15" customHeight="1" x14ac:dyDescent="0.15">
      <c r="A17" s="3" t="s">
        <v>13</v>
      </c>
      <c r="B17" s="2" t="s">
        <v>22</v>
      </c>
      <c r="C17" s="10">
        <v>1</v>
      </c>
      <c r="D17" s="11" t="s">
        <v>76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77</v>
      </c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 t="s">
        <v>78</v>
      </c>
    </row>
    <row r="20" spans="1:22" ht="12.75" customHeight="1" x14ac:dyDescent="0.15">
      <c r="A20" s="3" t="s">
        <v>5</v>
      </c>
      <c r="B20" s="2" t="s">
        <v>24</v>
      </c>
      <c r="C20" s="8">
        <v>1</v>
      </c>
      <c r="D20" s="9" t="s">
        <v>79</v>
      </c>
    </row>
    <row r="21" spans="1:22" ht="12.75" customHeight="1" x14ac:dyDescent="0.15">
      <c r="A21" s="3" t="s">
        <v>17</v>
      </c>
      <c r="B21" s="2" t="s">
        <v>25</v>
      </c>
      <c r="C21" s="10">
        <v>1</v>
      </c>
      <c r="D21" s="11" t="s">
        <v>80</v>
      </c>
    </row>
    <row r="22" spans="1:22" ht="12.75" customHeight="1" x14ac:dyDescent="0.15">
      <c r="A22" s="3" t="s">
        <v>5</v>
      </c>
      <c r="B22" s="2" t="s">
        <v>26</v>
      </c>
      <c r="C22" s="8">
        <v>1</v>
      </c>
      <c r="D22" s="9" t="s">
        <v>81</v>
      </c>
    </row>
    <row r="23" spans="1:22" ht="12.75" customHeight="1" x14ac:dyDescent="0.15">
      <c r="A23" s="3" t="s">
        <v>17</v>
      </c>
      <c r="B23" s="2" t="s">
        <v>27</v>
      </c>
      <c r="C23" s="10">
        <v>1</v>
      </c>
      <c r="D23" s="11" t="s">
        <v>82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83</v>
      </c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 t="s">
        <v>84</v>
      </c>
    </row>
    <row r="26" spans="1:22" ht="15" customHeight="1" x14ac:dyDescent="0.15">
      <c r="A26" s="3" t="s">
        <v>7</v>
      </c>
      <c r="B26" s="2" t="s">
        <v>30</v>
      </c>
      <c r="C26" s="8">
        <v>1</v>
      </c>
      <c r="D26" s="9" t="s">
        <v>85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86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87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88</v>
      </c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 t="s">
        <v>89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91</v>
      </c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 t="s">
        <v>92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93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94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95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96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97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98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100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101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102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103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104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F16" sqref="F16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23" t="s">
        <v>48</v>
      </c>
      <c r="B1" s="23"/>
      <c r="C1" s="23"/>
      <c r="D1" s="23"/>
      <c r="E1" s="23"/>
      <c r="F1" s="23"/>
      <c r="G1" s="23"/>
      <c r="H1" s="23"/>
      <c r="J1" s="14" t="s">
        <v>49</v>
      </c>
    </row>
    <row r="2" spans="1:10" ht="15.75" customHeight="1" x14ac:dyDescent="0.15">
      <c r="A2" s="15" t="s">
        <v>0</v>
      </c>
      <c r="B2" s="15" t="s">
        <v>50</v>
      </c>
      <c r="C2" s="15" t="s">
        <v>51</v>
      </c>
      <c r="D2" s="15" t="s">
        <v>52</v>
      </c>
      <c r="E2" s="15" t="s">
        <v>53</v>
      </c>
      <c r="F2" s="15" t="s">
        <v>54</v>
      </c>
      <c r="G2" s="15" t="s">
        <v>55</v>
      </c>
      <c r="H2" s="15" t="s">
        <v>56</v>
      </c>
      <c r="J2" s="4" t="s">
        <v>57</v>
      </c>
    </row>
    <row r="3" spans="1:10" ht="15.75" customHeight="1" x14ac:dyDescent="0.15">
      <c r="A3" s="16" t="s">
        <v>7</v>
      </c>
      <c r="B3" s="17">
        <f>COUNTIF(printer!$A$2:$A$38, A3)</f>
        <v>2</v>
      </c>
      <c r="C3" s="17">
        <f>SUMIF('GPT-5 Generation'!$A$2:$A$38, $A3, 'GPT-5 Generation'!$C$2:$C$38)</f>
        <v>2</v>
      </c>
      <c r="D3" s="17">
        <f>SUMIF('GPT-5 Generation'!$A$39:$A$45, $A3, 'GPT-5 Generation'!$C$39:$C$45)</f>
        <v>0</v>
      </c>
      <c r="E3" s="18">
        <f>COUNTIFS('GPT-5 Generation'!$A$2:$A$38, $A3, 'GPT-5 Generation'!$C$2:$C$38,0)</f>
        <v>0</v>
      </c>
      <c r="F3" s="18">
        <f t="shared" ref="F3:F10" si="0">IFERROR(C3 / (C3 + D3), "Not Available")</f>
        <v>1</v>
      </c>
      <c r="G3" s="18">
        <f t="shared" ref="G3:G10" si="1">IFERROR(C3 / B3, "Not Available")</f>
        <v>1</v>
      </c>
      <c r="H3" s="18">
        <f t="shared" ref="H3:H10" si="2">IFERROR(2*((F3*G3)/(F3+G3)),"Not Available")</f>
        <v>1</v>
      </c>
    </row>
    <row r="4" spans="1:10" ht="15.75" customHeight="1" x14ac:dyDescent="0.15">
      <c r="A4" s="19" t="s">
        <v>2</v>
      </c>
      <c r="B4" s="17">
        <f>COUNTIF(printer!$A$2:$A$38, A4)</f>
        <v>8</v>
      </c>
      <c r="C4" s="17">
        <f>SUMIF('GPT-5 Generation'!$A$2:$A$38, $A4, 'GPT-5 Generation'!$C$2:$C$38)</f>
        <v>8</v>
      </c>
      <c r="D4" s="17">
        <f>SUMIF('GPT-5 Generation'!$A$39:$A$45, $A4, 'GPT-5 Generation'!$C$39:$C$45)</f>
        <v>0</v>
      </c>
      <c r="E4" s="18">
        <f>COUNTIFS('GPT-5 Generation'!$A$2:$A$38, $A4, 'GPT-5 Generation'!$C$2:$C$38,0)</f>
        <v>0</v>
      </c>
      <c r="F4" s="18">
        <f t="shared" si="0"/>
        <v>1</v>
      </c>
      <c r="G4" s="18">
        <f t="shared" si="1"/>
        <v>1</v>
      </c>
      <c r="H4" s="18">
        <f t="shared" si="2"/>
        <v>1</v>
      </c>
      <c r="J4" s="20" t="s">
        <v>58</v>
      </c>
    </row>
    <row r="5" spans="1:10" ht="15.75" customHeight="1" x14ac:dyDescent="0.15">
      <c r="A5" s="19" t="s">
        <v>5</v>
      </c>
      <c r="B5" s="17">
        <f>COUNTIF(printer!$A$2:$A$38, A5)</f>
        <v>17</v>
      </c>
      <c r="C5" s="17">
        <f>SUMIF('GPT-5 Generation'!$A$2:$A$38, $A5, 'GPT-5 Generation'!$C$2:$C$38)</f>
        <v>17</v>
      </c>
      <c r="D5" s="17">
        <f>SUMIF('GPT-5 Generation'!$A$39:$A$45, $A5, 'GPT-5 Generation'!$C$39:$C$45)</f>
        <v>0</v>
      </c>
      <c r="E5" s="18">
        <f>COUNTIFS('GPT-5 Generation'!$A$2:$A$38, $A5, 'GPT-5 Generation'!$C$2:$C$38,0)</f>
        <v>0</v>
      </c>
      <c r="F5" s="18">
        <f t="shared" si="0"/>
        <v>1</v>
      </c>
      <c r="G5" s="18">
        <f t="shared" si="1"/>
        <v>1</v>
      </c>
      <c r="H5" s="18">
        <f t="shared" si="2"/>
        <v>1</v>
      </c>
      <c r="J5" s="21" t="s">
        <v>106</v>
      </c>
    </row>
    <row r="6" spans="1:10" ht="15.75" customHeight="1" x14ac:dyDescent="0.15">
      <c r="A6" s="19" t="s">
        <v>17</v>
      </c>
      <c r="B6" s="17">
        <f>COUNTIF(printer!$A$2:$A$38, A6)</f>
        <v>3</v>
      </c>
      <c r="C6" s="17">
        <f>SUMIF('GPT-5 Generation'!$A$2:$A$38, $A6, 'GPT-5 Generation'!$C$2:$C$38)</f>
        <v>3</v>
      </c>
      <c r="D6" s="17">
        <f>SUMIF('GPT-5 Generation'!$A$39:$A$45, $A6, 'GPT-5 Generation'!$C$39:$C$45)</f>
        <v>0</v>
      </c>
      <c r="E6" s="18">
        <f>COUNTIFS('GPT-5 Generation'!$A$2:$A$38, $A6, 'GPT-5 Generation'!$C$2:$C$38,0)</f>
        <v>0</v>
      </c>
      <c r="F6" s="18">
        <f t="shared" si="0"/>
        <v>1</v>
      </c>
      <c r="G6" s="18">
        <f t="shared" si="1"/>
        <v>1</v>
      </c>
      <c r="H6" s="18">
        <f t="shared" si="2"/>
        <v>1</v>
      </c>
    </row>
    <row r="7" spans="1:10" ht="15.75" customHeight="1" x14ac:dyDescent="0.15">
      <c r="A7" s="19" t="s">
        <v>45</v>
      </c>
      <c r="B7" s="17">
        <f>COUNTIF(printer!$A$2:$A$38, A7)</f>
        <v>0</v>
      </c>
      <c r="C7" s="17">
        <f>SUMIF('GPT-5 Generation'!$A$2:$A$38, $A7, 'GPT-5 Generation'!$C$2:$C$38)</f>
        <v>0</v>
      </c>
      <c r="D7" s="17">
        <f>SUMIF('GPT-5 Generation'!$A$39:$A$45, $A7, 'GPT-5 Generation'!$C$39:$C$45)</f>
        <v>0</v>
      </c>
      <c r="E7" s="18">
        <f>COUNTIFS('GPT-5 Generation'!$A$2:$A$38, $A7, 'GPT-5 Generation'!$C$2:$C$38,0)</f>
        <v>0</v>
      </c>
      <c r="F7" s="18" t="str">
        <f t="shared" si="0"/>
        <v>Not Available</v>
      </c>
      <c r="G7" s="18" t="str">
        <f t="shared" si="1"/>
        <v>Not Available</v>
      </c>
      <c r="H7" s="18" t="str">
        <f t="shared" si="2"/>
        <v>Not Available</v>
      </c>
      <c r="J7" s="22" t="s">
        <v>59</v>
      </c>
    </row>
    <row r="8" spans="1:10" ht="15.75" customHeight="1" x14ac:dyDescent="0.15">
      <c r="A8" s="19" t="s">
        <v>34</v>
      </c>
      <c r="B8" s="17">
        <f>COUNTIF(printer!$A$2:$A$38, A8)</f>
        <v>1</v>
      </c>
      <c r="C8" s="17">
        <f>SUMIF('GPT-5 Generation'!$A$2:$A$38, $A8, 'GPT-5 Generation'!$C$2:$C$38)</f>
        <v>1</v>
      </c>
      <c r="D8" s="17">
        <f>SUMIF('GPT-5 Generation'!$A$39:$A$45, $A8, 'GPT-5 Generation'!$C$39:$C$45)</f>
        <v>0</v>
      </c>
      <c r="E8" s="18">
        <f>COUNTIFS('GPT-5 Generation'!$A$2:$A$38, $A8, 'GPT-5 Generation'!$C$2:$C$38,0)</f>
        <v>0</v>
      </c>
      <c r="F8" s="18">
        <f t="shared" si="0"/>
        <v>1</v>
      </c>
      <c r="G8" s="18">
        <f t="shared" si="1"/>
        <v>1</v>
      </c>
      <c r="H8" s="18">
        <f t="shared" si="2"/>
        <v>1</v>
      </c>
      <c r="J8" s="21" t="s">
        <v>105</v>
      </c>
    </row>
    <row r="9" spans="1:10" ht="15.75" customHeight="1" x14ac:dyDescent="0.15">
      <c r="A9" s="19" t="s">
        <v>13</v>
      </c>
      <c r="B9" s="17">
        <f>COUNTIF(printer!$A$2:$A$38, A9)</f>
        <v>6</v>
      </c>
      <c r="C9" s="17">
        <f>SUMIF('GPT-5 Generation'!$A$2:$A$38, $A9, 'GPT-5 Generation'!$C$2:$C$38)</f>
        <v>6</v>
      </c>
      <c r="D9" s="17">
        <f>SUMIF('GPT-5 Generation'!$A$39:$A$45, $A9, 'GPT-5 Generation'!$C$39:$C$45)</f>
        <v>0</v>
      </c>
      <c r="E9" s="18">
        <f>COUNTIFS('GPT-5 Generation'!$A$2:$A$38, $A9, 'GPT-5 Generation'!$C$2:$C$38,0)</f>
        <v>0</v>
      </c>
      <c r="F9" s="18">
        <f t="shared" si="0"/>
        <v>1</v>
      </c>
      <c r="G9" s="18">
        <f t="shared" si="1"/>
        <v>1</v>
      </c>
      <c r="H9" s="18">
        <f t="shared" si="2"/>
        <v>1</v>
      </c>
    </row>
    <row r="10" spans="1:10" ht="15.75" customHeight="1" x14ac:dyDescent="0.15">
      <c r="A10" s="19" t="s">
        <v>60</v>
      </c>
      <c r="B10" s="18">
        <f>SUM(B3:B9)</f>
        <v>37</v>
      </c>
      <c r="C10" s="18">
        <f>SUM(C3:C9)</f>
        <v>37</v>
      </c>
      <c r="D10" s="18">
        <f>SUM(D3:D9)</f>
        <v>0</v>
      </c>
      <c r="E10" s="18">
        <f>SUM(E3:E9)</f>
        <v>0</v>
      </c>
      <c r="F10" s="18">
        <f t="shared" si="0"/>
        <v>1</v>
      </c>
      <c r="G10" s="18">
        <f t="shared" si="1"/>
        <v>1</v>
      </c>
      <c r="H10" s="18">
        <f t="shared" si="2"/>
        <v>1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2026-05-13T16:42:35Z</dcterms:modified>
</cp:coreProperties>
</file>