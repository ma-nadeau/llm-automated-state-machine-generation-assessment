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80" yWindow="-21000" windowWidth="30240" windowHeight="17300" tabRatio="600" firstSheet="0" activeTab="0" autoFilterDateGrouping="1"/>
  </bookViews>
  <sheets>
    <sheet xmlns:r="http://schemas.openxmlformats.org/officeDocument/2006/relationships" name="print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5" borderId="4" applyAlignment="1" pivotButton="0" quotePrefix="0" xfId="0">
      <alignment horizontal="center"/>
    </xf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D40" sqref="D40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20.5" bestFit="1" customWidth="1" style="62" min="3" max="3"/>
    <col width="108.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Gemini 3 Pro Generation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correctly transitions to Off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switchOn from Off to On is present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 containing substates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switchOff from On to Off is present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0.5</v>
      </c>
      <c r="D7" s="11" t="inlineStr">
        <is>
          <t>Initial state transitions to LoggedOut instead of Idle; LoggedOut serves as the idle/logged-out state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0.5</v>
      </c>
      <c r="D8" s="9" t="inlineStr">
        <is>
          <t>Student uses LoggedOut as the logged-out state and Idle as a substate of LoggedIn; semantically similar but structurally different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tapCard with guard [!authorized] from LoggedOut to LoggedOut with showLoginError action is present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[!authorized] is present on the self-transition for unauthorized card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tapCard with guard [authorized] from LoggedOut to LoggedIn is present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[authorized] is present on the transition to LoggedIn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0</v>
      </c>
      <c r="D13" s="11" t="inlineStr">
        <is>
          <t>No explicit action setting action to none is present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0.5</v>
      </c>
      <c r="D14" s="9" t="inlineStr">
        <is>
          <t>Student uses Idle within LoggedIn as the ready state; semantically captures readiness but named differently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Logoff transitions from Idle/PrintReady/ScanReady to LoggedOut are present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Self-transitions on PrintReady and ScanReady with error conditions are present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[!documentDetected] on ScanReady self-transition is present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Self-transition on PrintReady with guard [queueEmpty] is present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[queueEmpty] on PrintReady self-transition is present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 chooseScan between Idle and ScanReady is present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0</v>
      </c>
      <c r="D21" s="11" t="inlineStr">
        <is>
          <t>No explicit action variable assignment is present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 choosePrint between Idle and PrintReady is present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0</v>
      </c>
      <c r="D23" s="11" t="inlineStr">
        <is>
          <t>No explicit action variable assignment is present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start with guard [documentDetected] from ScanReady to Scanning is present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[documentDetected] on transition to Scanning is present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0</v>
      </c>
      <c r="D26" s="9" t="inlineStr">
        <is>
          <t>No Busy composite state; Print and Scan states are separate within LoggedIn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Stop transitions from Printing and Scanning to PrintReady and ScanReady are present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Done transitions from Printing and Scanning to PrintReady and ScanReady are present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PaperJam transitions from Printing and Scanning to suspended states are present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0</v>
      </c>
      <c r="D30" s="9" t="inlineStr">
        <is>
          <t>No history state is present; resume transitions go directly to the active state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start with guard [queueNotEmpty] from PrintReady to Printing is present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[queueNotEmpty] on transition to Printing is present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Transition outOfPaper from Printing to PrintSuspendedPaper is present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is present; sendToEmail action on done transition captures email functionality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Multiple suspended states (PrintSuspendedJam PrintSuspendedPaper ScanSuspendedJam) are present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0.5</v>
      </c>
      <c r="D37" s="11" t="inlineStr">
        <is>
          <t>Resume transitions go directly to Printing/Scanning instead of through history state; behaviorally similar but not using history mechanism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Cancel transitions from suspended states to PrintReady/ScanReady are present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No incorrect additional states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No incorrect additional transitions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incorrect additional guards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No incorrect additional actions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LoggedIn composite state is a reasonable modeling choice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incorrect additional regions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incorrect additional history states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5.83203125" bestFit="1" customWidth="1" style="62" min="10" max="10"/>
  </cols>
  <sheetData>
    <row r="1" ht="15.75" customHeight="1" s="62">
      <c r="A1" s="67" t="inlineStr">
        <is>
          <t>Generated by Gemini 3 Pro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SUMIF('Gemini 3 Pro Generation'!$A$2:$A$38, $A3, 'Gemini 3 Pro Generation'!$C$2:$C$38)</f>
        <v/>
      </c>
      <c r="D3" s="17">
        <f>SUMIF('Gemini 3 Pro Generation'!$A$39:$A$45, $A3, 'Gemini 3 Pro Generation'!$C$39:$C$45)</f>
        <v/>
      </c>
      <c r="E3" s="18">
        <f>COUNTIFS('Gemini 3 Pro Generation'!$A$2:$A$38, $A3, 'Gemini 3 Pro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SUMIF('Gemini 3 Pro Generation'!$A$2:$A$38, $A4, 'Gemini 3 Pro Generation'!$C$2:$C$38)</f>
        <v/>
      </c>
      <c r="D4" s="17">
        <f>SUMIF('Gemini 3 Pro Generation'!$A$39:$A$45, $A4, 'Gemini 3 Pro Generation'!$C$39:$C$45)</f>
        <v/>
      </c>
      <c r="E4" s="18">
        <f>COUNTIFS('Gemini 3 Pro Generation'!$A$2:$A$38, $A4, 'Gemini 3 Pro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SUMIF('Gemini 3 Pro Generation'!$A$2:$A$38, $A5, 'Gemini 3 Pro Generation'!$C$2:$C$38)</f>
        <v/>
      </c>
      <c r="D5" s="17">
        <f>SUMIF('Gemini 3 Pro Generation'!$A$39:$A$45, $A5, 'Gemini 3 Pro Generation'!$C$39:$C$45)</f>
        <v/>
      </c>
      <c r="E5" s="18">
        <f>COUNTIFS('Gemini 3 Pro Generation'!$A$2:$A$38, $A5, 'Gemini 3 Pro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Claude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SUMIF('Gemini 3 Pro Generation'!$A$2:$A$38, $A6, 'Gemini 3 Pro Generation'!$C$2:$C$38)</f>
        <v/>
      </c>
      <c r="D6" s="17">
        <f>SUMIF('Gemini 3 Pro Generation'!$A$39:$A$45, $A6, 'Gemini 3 Pro Generation'!$C$39:$C$45)</f>
        <v/>
      </c>
      <c r="E6" s="18">
        <f>COUNTIFS('Gemini 3 Pro Generation'!$A$2:$A$38, $A6, 'Gemini 3 Pro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SUMIF('Gemini 3 Pro Generation'!$A$2:$A$38, $A7, 'Gemini 3 Pro Generation'!$C$2:$C$38)</f>
        <v/>
      </c>
      <c r="D7" s="17">
        <f>SUMIF('Gemini 3 Pro Generation'!$A$39:$A$45, $A7, 'Gemini 3 Pro Generation'!$C$39:$C$45)</f>
        <v/>
      </c>
      <c r="E7" s="18">
        <f>COUNTIFS('Gemini 3 Pro Generation'!$A$2:$A$38, $A7, 'Gemini 3 Pro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SUMIF('Gemini 3 Pro Generation'!$A$2:$A$38, $A8, 'Gemini 3 Pro Generation'!$C$2:$C$38)</f>
        <v/>
      </c>
      <c r="D8" s="17">
        <f>SUMIF('Gemini 3 Pro Generation'!$A$39:$A$45, $A8, 'Gemini 3 Pro Generation'!$C$39:$C$45)</f>
        <v/>
      </c>
      <c r="E8" s="18">
        <f>COUNTIFS('Gemini 3 Pro Generation'!$A$2:$A$38, $A8, 'Gemini 3 Pro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Gemini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SUMIF('Gemini 3 Pro Generation'!$A$2:$A$38, $A9, 'Gemini 3 Pro Generation'!$C$2:$C$38)</f>
        <v/>
      </c>
      <c r="D9" s="17">
        <f>SUMIF('Gemini 3 Pro Generation'!$A$39:$A$45, $A9, 'Gemini 3 Pro Generation'!$C$39:$C$45)</f>
        <v/>
      </c>
      <c r="E9" s="18">
        <f>COUNTIFS('Gemini 3 Pro Generation'!$A$2:$A$38, $A9, 'Gemini 3 Pro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  <c r="J9" s="21" t="n"/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