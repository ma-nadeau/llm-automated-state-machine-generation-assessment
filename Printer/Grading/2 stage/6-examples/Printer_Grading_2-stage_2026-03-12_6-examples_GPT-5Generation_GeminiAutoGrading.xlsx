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40" yWindow="-18760" windowWidth="30240" windowHeight="17300" tabRatio="600" firstSheet="0" activeTab="0" autoFilterDateGrouping="1"/>
  </bookViews>
  <sheets>
    <sheet xmlns:r="http://schemas.openxmlformats.org/officeDocument/2006/relationships" name="print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3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2" fillId="0" borderId="0" pivotButton="0" quotePrefix="0" xfId="0"/>
    <xf numFmtId="0" fontId="1" fillId="5" borderId="5" applyAlignment="1" pivotButton="0" quotePrefix="0" xfId="0">
      <alignment horizontal="center"/>
    </xf>
    <xf numFmtId="0" fontId="4" fillId="6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right"/>
    </xf>
    <xf numFmtId="0" fontId="2" fillId="0" borderId="5" pivotButton="0" quotePrefix="0" xfId="0"/>
    <xf numFmtId="0" fontId="1" fillId="0" borderId="5" pivotButton="0" quotePrefix="0" xfId="0"/>
    <xf numFmtId="0" fontId="5" fillId="7" borderId="0" pivotButton="0" quotePrefix="0" xfId="0"/>
    <xf numFmtId="0" fontId="5" fillId="3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0" applyAlignment="1" pivotButton="0" quotePrefix="0" xfId="0">
      <alignment horizontal="center" vertical="center"/>
    </xf>
    <xf numFmtId="0" fontId="2" fillId="8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3" applyAlignment="1" pivotButton="0" quotePrefix="0" xfId="0">
      <alignment horizontal="center"/>
    </xf>
    <xf numFmtId="0" fontId="5" fillId="0" borderId="0" pivotButton="0" quotePrefix="0" xfId="0"/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8" borderId="20" applyAlignment="1" pivotButton="0" quotePrefix="0" xfId="0">
      <alignment horizontal="center"/>
    </xf>
    <xf numFmtId="0" fontId="5" fillId="8" borderId="11" applyAlignment="1" pivotButton="0" quotePrefix="0" xfId="0">
      <alignment horizontal="center"/>
    </xf>
    <xf numFmtId="0" fontId="3" fillId="3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5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6" pivotButton="0" quotePrefix="0" xfId="0"/>
    <xf numFmtId="0" fontId="8" fillId="0" borderId="0" pivotButton="0" quotePrefix="0" xfId="0"/>
    <xf numFmtId="0" fontId="1" fillId="5" borderId="23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0.6640625" customWidth="1" style="62" min="3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:C1048576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5.33203125" bestFit="1" customWidth="1" style="62" min="3" max="3"/>
    <col width="71.83203125" bestFit="1" customWidth="1" style="62" min="4" max="4"/>
    <col width="10.6640625" customWidth="1" style="62" min="5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  <c r="C1" s="7" t="inlineStr">
        <is>
          <t>GPT-5 Generation</t>
        </is>
      </c>
      <c r="D1" s="7" t="inlineStr">
        <is>
          <t>Notes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  <c r="C2" s="8" t="n">
        <v>1</v>
      </c>
      <c r="D2" s="9" t="inlineStr">
        <is>
          <t>Initial state correctly transitions to Off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  <c r="C3" s="10" t="n">
        <v>1</v>
      </c>
      <c r="D3" s="11" t="inlineStr">
        <is>
          <t>Off state is present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  <c r="C4" s="8" t="n">
        <v>1</v>
      </c>
      <c r="D4" s="9" t="inlineStr">
        <is>
          <t>Transition masterOn from Off to On is present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  <c r="C5" s="10" t="n">
        <v>1</v>
      </c>
      <c r="D5" s="11" t="inlineStr">
        <is>
          <t>On is a composite state containing substates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  <c r="C6" s="8" t="n">
        <v>1</v>
      </c>
      <c r="D6" s="9" t="inlineStr">
        <is>
          <t>Transition masterOff from On to Off is present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  <c r="C7" s="10" t="n">
        <v>1</v>
      </c>
      <c r="D7" s="11" t="inlineStr">
        <is>
          <t>Initial state in On correctly transitions to LoggedOut (equivalent to 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  <c r="C8" s="8" t="n">
        <v>1</v>
      </c>
      <c r="D8" s="9" t="inlineStr">
        <is>
          <t>LoggedOut state represents the idle/logged-out state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  <c r="C9" s="10" t="n">
        <v>1</v>
      </c>
      <c r="D9" s="11" t="inlineStr">
        <is>
          <t>Transition tapCard with unauthorized guard loops back to LoggedOut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  <c r="C10" s="8" t="n">
        <v>1</v>
      </c>
      <c r="D10" s="9" t="inlineStr">
        <is>
          <t>Guard !authorized(cardId) is semantically equivalent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  <c r="C11" s="10" t="n">
        <v>1</v>
      </c>
      <c r="D11" s="11" t="inlineStr">
        <is>
          <t>Transition tapCard with authorized guard goes to UserSession (Ready equivalent)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  <c r="C12" s="8" t="n">
        <v>1</v>
      </c>
      <c r="D12" s="9" t="inlineStr">
        <is>
          <t>Guard authorized(cardId) is present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  <c r="C13" s="10" t="n">
        <v>0</v>
      </c>
      <c r="D13" s="11" t="inlineStr">
        <is>
          <t>No action setting a variable to track mode is present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  <c r="C14" s="8" t="n">
        <v>1</v>
      </c>
      <c r="D14" s="9" t="inlineStr">
        <is>
          <t>UserSession with TaskSelection represents the ready state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  <c r="C15" s="10" t="n">
        <v>1</v>
      </c>
      <c r="D15" s="11" t="inlineStr">
        <is>
          <t>Transition logoff from TaskSelection to LoggedOut is present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  <c r="C16" s="8" t="n">
        <v>1</v>
      </c>
      <c r="D16" s="9" t="inlineStr">
        <is>
          <t>Self-transition on PrintChosen with !hasQueuedDocument guard shows error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10" t="n">
        <v>1</v>
      </c>
      <c r="D17" s="11" t="inlineStr">
        <is>
          <t>Guard !originalDetected() on ScanChosen self-transition is equivalent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  <c r="C18" s="8" t="n">
        <v>1</v>
      </c>
      <c r="D18" s="9" t="inlineStr">
        <is>
          <t>Self-transition on PrintChosen with !hasQueuedDocument guard is present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  <c r="C19" s="10" t="n">
        <v>1</v>
      </c>
      <c r="D19" s="11" t="inlineStr">
        <is>
          <t>Guard !hasQueuedDocument() is semantically equivalent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  <c r="C20" s="8" t="n">
        <v>1</v>
      </c>
      <c r="D20" s="9" t="inlineStr">
        <is>
          <t>Transition chooseScan within TaskSelection changes option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  <c r="C21" s="10" t="n">
        <v>0</v>
      </c>
      <c r="D21" s="11" t="inlineStr">
        <is>
          <t>No explicit action variable assignment for scan mode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  <c r="C22" s="8" t="n">
        <v>1</v>
      </c>
      <c r="D22" s="9" t="inlineStr">
        <is>
          <t>Transition choosePrint within TaskSelection changes option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10" t="n">
        <v>0</v>
      </c>
      <c r="D23" s="11" t="inlineStr">
        <is>
          <t>No explicit action variable assignment for print mode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  <c r="C24" s="8" t="n">
        <v>1</v>
      </c>
      <c r="D24" s="9" t="inlineStr">
        <is>
          <t>Transition from ScanChosen to Scanning with originalDetected guard is present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  <c r="C25" s="10" t="n">
        <v>1</v>
      </c>
      <c r="D25" s="11" t="inlineStr">
        <is>
          <t>Guard originalDetected() on ScanChosen to Scanning transition is equivalent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  <c r="C26" s="8" t="n">
        <v>1</v>
      </c>
      <c r="D26" s="9" t="inlineStr">
        <is>
          <t>ActiveTask composite state represents the busy state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  <c r="C27" s="10" t="n">
        <v>1</v>
      </c>
      <c r="D27" s="11" t="inlineStr">
        <is>
          <t>Transition pressStop from ActiveTask to TaskSelection is present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  <c r="C28" s="8" t="n">
        <v>1</v>
      </c>
      <c r="D28" s="9" t="inlineStr">
        <is>
          <t>Transitions printDone and scanDone from Printing/Scanning to TaskSelection are present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  <c r="C29" s="10" t="n">
        <v>1</v>
      </c>
      <c r="D29" s="11" t="inlineStr">
        <is>
          <t>Transition paperJam from ActiveTask to PaperJamRecovery is present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8" t="n">
        <v>1</v>
      </c>
      <c r="D30" s="9" t="inlineStr">
        <is>
          <t>History state H is present in ActiveTask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10" t="n">
        <v>1</v>
      </c>
      <c r="D31" s="11" t="inlineStr">
        <is>
          <t>Printing state is present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  <c r="C32" s="8" t="n">
        <v>1</v>
      </c>
      <c r="D32" s="9" t="inlineStr">
        <is>
          <t>Transition from PrintChosen to Printing with hasQueuedDocument guard is present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  <c r="C33" s="10" t="n">
        <v>1</v>
      </c>
      <c r="D33" s="11" t="inlineStr">
        <is>
          <t>Guard hasQueuedDocument() is semantically equivalent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  <c r="C34" s="8" t="n">
        <v>1</v>
      </c>
      <c r="D34" s="9" t="inlineStr">
        <is>
          <t>Transition outOfPaper from Printing to OutOfPaperRecovery is present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  <c r="C35" s="10" t="n">
        <v>1</v>
      </c>
      <c r="D35" s="11" t="inlineStr">
        <is>
          <t>Scanning state represents scan and email functionality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  <c r="C36" s="8" t="n">
        <v>1</v>
      </c>
      <c r="D36" s="9" t="inlineStr">
        <is>
          <t>PaperJamRecovery and OutOfPaperRecovery represent suspended states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  <c r="C37" s="10" t="n">
        <v>1</v>
      </c>
      <c r="D37" s="11" t="inlineStr">
        <is>
          <t>Transitions resume from recovery states to history state H are present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  <c r="C38" s="8" t="n">
        <v>1</v>
      </c>
      <c r="D38" s="9" t="inlineStr">
        <is>
          <t>Transitions cancel from recovery states to TaskSelection are present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12" t="n">
        <v>0</v>
      </c>
      <c r="D39" s="13" t="inlineStr">
        <is>
          <t>No fundamentally incorrect states present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8" t="n">
        <v>0</v>
      </c>
      <c r="D40" s="9" t="inlineStr">
        <is>
          <t>No fundamentally incorrect transitions present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10" t="n">
        <v>0</v>
      </c>
      <c r="D41" s="11" t="inlineStr">
        <is>
          <t>No fundamentally incorrect guards present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8" t="n">
        <v>0</v>
      </c>
      <c r="D42" s="9" t="inlineStr">
        <is>
          <t>No fundamentally incorrect actions present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10" t="n">
        <v>0</v>
      </c>
      <c r="D43" s="11" t="inlineStr">
        <is>
          <t>Additional composite states are reasonable modeling choices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8" t="n">
        <v>0</v>
      </c>
      <c r="D44" s="9" t="inlineStr">
        <is>
          <t>No incorrect regions present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10" t="n">
        <v>0</v>
      </c>
      <c r="D45" s="11" t="inlineStr">
        <is>
          <t>No incorrect history states present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62" min="1" max="1"/>
    <col width="17.6640625" customWidth="1" style="62" min="2" max="6"/>
    <col width="14.6640625" customWidth="1" style="62" min="10" max="10"/>
  </cols>
  <sheetData>
    <row r="1" ht="15.75" customHeight="1" s="62">
      <c r="A1" s="67" t="inlineStr">
        <is>
          <t>Generated by GPT-5</t>
        </is>
      </c>
      <c r="J1" s="14" t="inlineStr">
        <is>
          <t>Date</t>
        </is>
      </c>
    </row>
    <row r="2" ht="15.75" customHeight="1" s="62">
      <c r="A2" s="15" t="inlineStr">
        <is>
          <t>Type</t>
        </is>
      </c>
      <c r="B2" s="15" t="inlineStr">
        <is>
          <t>Ground Truth Count</t>
        </is>
      </c>
      <c r="C2" s="15" t="inlineStr">
        <is>
          <t>True Positive</t>
        </is>
      </c>
      <c r="D2" s="15" t="inlineStr">
        <is>
          <t>False Positive</t>
        </is>
      </c>
      <c r="E2" s="15" t="inlineStr">
        <is>
          <t>False Negative</t>
        </is>
      </c>
      <c r="F2" s="15" t="inlineStr">
        <is>
          <t>Precision</t>
        </is>
      </c>
      <c r="G2" s="15" t="inlineStr">
        <is>
          <t>Recall</t>
        </is>
      </c>
      <c r="H2" s="15" t="inlineStr">
        <is>
          <t>F1 Score</t>
        </is>
      </c>
      <c r="J2" s="4" t="inlineStr">
        <is>
          <t>March 16th, 2026</t>
        </is>
      </c>
    </row>
    <row r="3" ht="15.75" customHeight="1" s="62">
      <c r="A3" s="16" t="inlineStr">
        <is>
          <t>Composite State</t>
        </is>
      </c>
      <c r="B3" s="17">
        <f>COUNTIF(printer!$A$2:$A$38, A3)</f>
        <v/>
      </c>
      <c r="C3" s="17">
        <f>SUMIF('GPT-5 Generation'!$A$2:$A$38, $A3, 'GPT-5 Generation'!$C$2:$C$38)</f>
        <v/>
      </c>
      <c r="D3" s="17">
        <f>SUMIF('GPT-5 Generation'!$A$39:$A$45, $A3, 'GPT-5 Generation'!$C$39:$C$45)</f>
        <v/>
      </c>
      <c r="E3" s="18">
        <f>COUNTIFS('GPT-5 Generation'!$A$2:$A$38, $A3, 'GPT-5 Generation'!$C$2:$C$38,0)</f>
        <v/>
      </c>
      <c r="F3" s="18">
        <f>IFERROR(C3 / (C3 + D3), "Not Available")</f>
        <v/>
      </c>
      <c r="G3" s="18">
        <f>IFERROR(C3 / B3, "Not Available")</f>
        <v/>
      </c>
      <c r="H3" s="18">
        <f>IFERROR(2*((F3*G3)/(F3+G3)),"Not Available")</f>
        <v/>
      </c>
    </row>
    <row r="4" ht="15.75" customHeight="1" s="62">
      <c r="A4" s="19" t="inlineStr">
        <is>
          <t>State</t>
        </is>
      </c>
      <c r="B4" s="17">
        <f>COUNTIF(printer!$A$2:$A$38, A4)</f>
        <v/>
      </c>
      <c r="C4" s="17">
        <f>SUMIF('GPT-5 Generation'!$A$2:$A$38, $A4, 'GPT-5 Generation'!$C$2:$C$38)</f>
        <v/>
      </c>
      <c r="D4" s="17">
        <f>SUMIF('GPT-5 Generation'!$A$39:$A$45, $A4, 'GPT-5 Generation'!$C$39:$C$45)</f>
        <v/>
      </c>
      <c r="E4" s="18">
        <f>COUNTIFS('GPT-5 Generation'!$A$2:$A$38, $A4, 'GPT-5 Generation'!$C$2:$C$38,0)</f>
        <v/>
      </c>
      <c r="F4" s="18">
        <f>IFERROR(C4 / (C4 + D4), "Not Available")</f>
        <v/>
      </c>
      <c r="G4" s="18">
        <f>IFERROR(C4 / B4, "Not Available")</f>
        <v/>
      </c>
      <c r="H4" s="18">
        <f>IFERROR(2*((F4*G4)/(F4+G4)),"Not Available")</f>
        <v/>
      </c>
      <c r="J4" s="20" t="inlineStr">
        <is>
          <t>Grading LLM</t>
        </is>
      </c>
    </row>
    <row r="5" ht="15.75" customHeight="1" s="62">
      <c r="A5" s="19" t="inlineStr">
        <is>
          <t>Transition</t>
        </is>
      </c>
      <c r="B5" s="17">
        <f>COUNTIF(printer!$A$2:$A$38, A5)</f>
        <v/>
      </c>
      <c r="C5" s="17">
        <f>SUMIF('GPT-5 Generation'!$A$2:$A$38, $A5, 'GPT-5 Generation'!$C$2:$C$38)</f>
        <v/>
      </c>
      <c r="D5" s="17">
        <f>SUMIF('GPT-5 Generation'!$A$39:$A$45, $A5, 'GPT-5 Generation'!$C$39:$C$45)</f>
        <v/>
      </c>
      <c r="E5" s="18">
        <f>COUNTIFS('GPT-5 Generation'!$A$2:$A$38, $A5, 'GPT-5 Generation'!$C$2:$C$38,0)</f>
        <v/>
      </c>
      <c r="F5" s="18">
        <f>IFERROR(C5 / (C5 + D5), "Not Available")</f>
        <v/>
      </c>
      <c r="G5" s="18">
        <f>IFERROR(C5 / B5, "Not Available")</f>
        <v/>
      </c>
      <c r="H5" s="18">
        <f>IFERROR(2*((F5*G5)/(F5+G5)),"Not Available")</f>
        <v/>
      </c>
      <c r="J5" s="21" t="inlineStr">
        <is>
          <t>Gemini</t>
        </is>
      </c>
    </row>
    <row r="6" ht="15.75" customHeight="1" s="62">
      <c r="A6" s="19" t="inlineStr">
        <is>
          <t>Action</t>
        </is>
      </c>
      <c r="B6" s="17">
        <f>COUNTIF(printer!$A$2:$A$38, A6)</f>
        <v/>
      </c>
      <c r="C6" s="17">
        <f>SUMIF('GPT-5 Generation'!$A$2:$A$38, $A6, 'GPT-5 Generation'!$C$2:$C$38)</f>
        <v/>
      </c>
      <c r="D6" s="17">
        <f>SUMIF('GPT-5 Generation'!$A$39:$A$45, $A6, 'GPT-5 Generation'!$C$39:$C$45)</f>
        <v/>
      </c>
      <c r="E6" s="18">
        <f>COUNTIFS('GPT-5 Generation'!$A$2:$A$38, $A6, 'GPT-5 Generation'!$C$2:$C$38,0)</f>
        <v/>
      </c>
      <c r="F6" s="18">
        <f>IFERROR(C6 / (C6 + D6), "Not Available")</f>
        <v/>
      </c>
      <c r="G6" s="18">
        <f>IFERROR(C6 / B6, "Not Available")</f>
        <v/>
      </c>
      <c r="H6" s="18">
        <f>IFERROR(2*((F6*G6)/(F6+G6)),"Not Available")</f>
        <v/>
      </c>
    </row>
    <row r="7" ht="15.75" customHeight="1" s="62">
      <c r="A7" s="19" t="inlineStr">
        <is>
          <t>Region</t>
        </is>
      </c>
      <c r="B7" s="17">
        <f>COUNTIF(printer!$A$2:$A$38, A7)</f>
        <v/>
      </c>
      <c r="C7" s="17">
        <f>SUMIF('GPT-5 Generation'!$A$2:$A$38, $A7, 'GPT-5 Generation'!$C$2:$C$38)</f>
        <v/>
      </c>
      <c r="D7" s="17">
        <f>SUMIF('GPT-5 Generation'!$A$39:$A$45, $A7, 'GPT-5 Generation'!$C$39:$C$45)</f>
        <v/>
      </c>
      <c r="E7" s="18">
        <f>COUNTIFS('GPT-5 Generation'!$A$2:$A$38, $A7, 'GPT-5 Generation'!$C$2:$C$38,0)</f>
        <v/>
      </c>
      <c r="F7" s="18">
        <f>IFERROR(C7 / (C7 + D7), "Not Available")</f>
        <v/>
      </c>
      <c r="G7" s="18">
        <f>IFERROR(C7 / B7, "Not Available")</f>
        <v/>
      </c>
      <c r="H7" s="18">
        <f>IFERROR(2*((F7*G7)/(F7+G7)),"Not Available")</f>
        <v/>
      </c>
      <c r="J7" s="66" t="inlineStr">
        <is>
          <t>Generation LLMs</t>
        </is>
      </c>
    </row>
    <row r="8" ht="15.75" customHeight="1" s="62">
      <c r="A8" s="19" t="inlineStr">
        <is>
          <t>History State</t>
        </is>
      </c>
      <c r="B8" s="17">
        <f>COUNTIF(printer!$A$2:$A$38, A8)</f>
        <v/>
      </c>
      <c r="C8" s="17">
        <f>SUMIF('GPT-5 Generation'!$A$2:$A$38, $A8, 'GPT-5 Generation'!$C$2:$C$38)</f>
        <v/>
      </c>
      <c r="D8" s="17">
        <f>SUMIF('GPT-5 Generation'!$A$39:$A$45, $A8, 'GPT-5 Generation'!$C$39:$C$45)</f>
        <v/>
      </c>
      <c r="E8" s="18">
        <f>COUNTIFS('GPT-5 Generation'!$A$2:$A$38, $A8, 'GPT-5 Generation'!$C$2:$C$38,0)</f>
        <v/>
      </c>
      <c r="F8" s="18">
        <f>IFERROR(C8 / (C8 + D8), "Not Available")</f>
        <v/>
      </c>
      <c r="G8" s="18">
        <f>IFERROR(C8 / B8, "Not Available")</f>
        <v/>
      </c>
      <c r="H8" s="18">
        <f>IFERROR(2*((F8*G8)/(F8+G8)),"Not Available")</f>
        <v/>
      </c>
      <c r="J8" s="60" t="inlineStr">
        <is>
          <t>GPT-5</t>
        </is>
      </c>
    </row>
    <row r="9" ht="15.75" customHeight="1" s="62">
      <c r="A9" s="19" t="inlineStr">
        <is>
          <t>Guard</t>
        </is>
      </c>
      <c r="B9" s="17">
        <f>COUNTIF(printer!$A$2:$A$38, A9)</f>
        <v/>
      </c>
      <c r="C9" s="17">
        <f>SUMIF('GPT-5 Generation'!$A$2:$A$38, $A9, 'GPT-5 Generation'!$C$2:$C$38)</f>
        <v/>
      </c>
      <c r="D9" s="17">
        <f>SUMIF('GPT-5 Generation'!$A$39:$A$45, $A9, 'GPT-5 Generation'!$C$39:$C$45)</f>
        <v/>
      </c>
      <c r="E9" s="18">
        <f>COUNTIFS('GPT-5 Generation'!$A$2:$A$38, $A9, 'GPT-5 Generation'!$C$2:$C$38,0)</f>
        <v/>
      </c>
      <c r="F9" s="18">
        <f>IFERROR(C9 / (C9 + D9), "Not Available")</f>
        <v/>
      </c>
      <c r="G9" s="18">
        <f>IFERROR(C9 / B9, "Not Available")</f>
        <v/>
      </c>
      <c r="H9" s="18">
        <f>IFERROR(2*((F9*G9)/(F9+G9)),"Not Available")</f>
        <v/>
      </c>
    </row>
    <row r="10" ht="15.75" customHeight="1" s="62">
      <c r="A10" s="19" t="inlineStr">
        <is>
          <t>Overall Score</t>
        </is>
      </c>
      <c r="B10" s="18">
        <f>SUM(B3:B9)</f>
        <v/>
      </c>
      <c r="C10" s="18">
        <f>SUM(C3:C9)</f>
        <v/>
      </c>
      <c r="D10" s="18">
        <f>SUM(D3:D9)</f>
        <v/>
      </c>
      <c r="E10" s="18">
        <f>SUM(E3:E9)</f>
        <v/>
      </c>
      <c r="F10" s="18">
        <f>IFERROR(C10 / (C10 + D10), "Not Available")</f>
        <v/>
      </c>
      <c r="G10" s="18">
        <f>IFERROR(C10 / B10, "Not Available")</f>
        <v/>
      </c>
      <c r="H10" s="18">
        <f>IFERROR(2*((F10*G10)/(F10+G10)),"Not Available")</f>
        <v/>
      </c>
    </row>
    <row r="11" ht="15.75" customHeight="1" s="62"/>
    <row r="12" ht="15.75" customHeight="1" s="62">
      <c r="A12" s="67" t="n"/>
    </row>
    <row r="13" ht="15.75" customHeight="1" s="62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15.75" customHeight="1" s="62">
      <c r="A14" s="16" t="n"/>
      <c r="B14" s="17" t="n"/>
      <c r="C14" s="17" t="n"/>
      <c r="D14" s="17" t="n"/>
      <c r="E14" s="17" t="n"/>
      <c r="F14" s="18" t="n"/>
      <c r="G14" s="18" t="n"/>
      <c r="H14" s="18" t="n"/>
    </row>
    <row r="15" ht="15.75" customHeight="1" s="62">
      <c r="A15" s="19" t="n"/>
      <c r="B15" s="17" t="n"/>
      <c r="C15" s="17" t="n"/>
      <c r="D15" s="17" t="n"/>
      <c r="E15" s="17" t="n"/>
      <c r="F15" s="18" t="n"/>
      <c r="G15" s="18" t="n"/>
      <c r="H15" s="18" t="n"/>
    </row>
    <row r="16" ht="15.75" customHeight="1" s="62">
      <c r="A16" s="19" t="n"/>
      <c r="B16" s="17" t="n"/>
      <c r="C16" s="17" t="n"/>
      <c r="D16" s="17" t="n"/>
      <c r="E16" s="17" t="n"/>
      <c r="F16" s="18" t="n"/>
      <c r="G16" s="18" t="n"/>
      <c r="H16" s="18" t="n"/>
    </row>
    <row r="17" ht="15.75" customHeight="1" s="62">
      <c r="A17" s="19" t="n"/>
      <c r="B17" s="17" t="n"/>
      <c r="C17" s="17" t="n"/>
      <c r="D17" s="17" t="n"/>
      <c r="E17" s="17" t="n"/>
      <c r="F17" s="18" t="n"/>
      <c r="G17" s="18" t="n"/>
      <c r="H17" s="18" t="n"/>
    </row>
    <row r="18" ht="15.75" customHeight="1" s="62">
      <c r="A18" s="19" t="n"/>
      <c r="B18" s="17" t="n"/>
      <c r="C18" s="17" t="n"/>
      <c r="D18" s="17" t="n"/>
      <c r="E18" s="17" t="n"/>
      <c r="F18" s="18" t="n"/>
      <c r="G18" s="18" t="n"/>
      <c r="H18" s="18" t="n"/>
    </row>
    <row r="19" ht="15.75" customHeight="1" s="62">
      <c r="A19" s="19" t="n"/>
      <c r="B19" s="17" t="n"/>
      <c r="C19" s="17" t="n"/>
      <c r="D19" s="17" t="n"/>
      <c r="E19" s="17" t="n"/>
      <c r="F19" s="18" t="n"/>
      <c r="G19" s="18" t="n"/>
      <c r="H19" s="18" t="n"/>
    </row>
    <row r="20" ht="15.75" customHeight="1" s="62">
      <c r="A20" s="19" t="n"/>
      <c r="B20" s="17" t="n"/>
      <c r="C20" s="17" t="n"/>
      <c r="D20" s="17" t="n"/>
      <c r="E20" s="17" t="n"/>
      <c r="F20" s="18" t="n"/>
      <c r="G20" s="18" t="n"/>
      <c r="H20" s="18" t="n"/>
    </row>
    <row r="21" ht="15.75" customHeight="1" s="62">
      <c r="A21" s="19" t="n"/>
      <c r="B21" s="18" t="n"/>
      <c r="C21" s="18" t="n"/>
      <c r="D21" s="18" t="n"/>
      <c r="E21" s="18" t="n"/>
      <c r="F21" s="18" t="n"/>
      <c r="G21" s="18" t="n"/>
      <c r="H21" s="18" t="n"/>
    </row>
    <row r="22" ht="15.75" customHeight="1" s="62">
      <c r="H22" s="22" t="n"/>
    </row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2026-05-12T19:41:06Z</dcterms:modified>
  <cp:lastModifiedBy>Marc-Antoine Nadeau</cp:lastModifiedBy>
</cp:coreProperties>
</file>