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shwasher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  <sz val="10"/>
    </font>
    <font/>
    <font>
      <name val="Arial"/>
      <color theme="1"/>
    </font>
    <font>
      <name val="Open Sans"/>
      <b val="1"/>
      <color theme="1"/>
      <sz val="10"/>
    </font>
    <font>
      <name val="Arial"/>
      <b val="1"/>
      <color theme="1"/>
      <sz val="10"/>
    </font>
  </fonts>
  <fills count="10">
    <fill>
      <patternFill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numFmtId="0" fontId="0" fillId="0" borderId="0"/>
  </cellStyleXfs>
  <cellXfs count="8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3" borderId="2" pivotButton="0" quotePrefix="0" xfId="0"/>
    <xf numFmtId="0" fontId="3" fillId="3" borderId="0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0" pivotButton="0" quotePrefix="0" xfId="0"/>
    <xf numFmtId="0" fontId="3" fillId="5" borderId="2" pivotButton="0" quotePrefix="0" xfId="0"/>
    <xf numFmtId="0" fontId="3" fillId="5" borderId="0" pivotButton="0" quotePrefix="0" xfId="0"/>
    <xf numFmtId="0" fontId="3" fillId="4" borderId="2" applyAlignment="1" pivotButton="0" quotePrefix="0" xfId="0">
      <alignment horizontal="center"/>
    </xf>
    <xf numFmtId="0" fontId="3" fillId="0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3" fillId="3" borderId="2" pivotButton="0" quotePrefix="0" xfId="0"/>
    <xf numFmtId="0" fontId="3" fillId="4" borderId="2" pivotButton="0" quotePrefix="0" xfId="0"/>
    <xf numFmtId="0" fontId="3" fillId="5" borderId="2" pivotButton="0" quotePrefix="0" xfId="0"/>
    <xf numFmtId="0" fontId="3" fillId="0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1" fillId="6" borderId="5" applyAlignment="1" pivotButton="0" quotePrefix="0" xfId="0">
      <alignment horizontal="center"/>
    </xf>
    <xf numFmtId="0" fontId="4" fillId="0" borderId="6" pivotButton="0" quotePrefix="0" xfId="0"/>
    <xf numFmtId="0" fontId="5" fillId="7" borderId="0" applyAlignment="1" pivotButton="0" quotePrefix="0" xfId="0">
      <alignment vertical="bottom"/>
    </xf>
    <xf numFmtId="0" fontId="1" fillId="6" borderId="7" applyAlignment="1" pivotButton="0" quotePrefix="0" xfId="0">
      <alignment horizontal="center"/>
    </xf>
    <xf numFmtId="0" fontId="5" fillId="4" borderId="0" applyAlignment="1" pivotButton="0" quotePrefix="0" xfId="0">
      <alignment vertical="bottom"/>
    </xf>
    <xf numFmtId="0" fontId="6" fillId="8" borderId="7" applyAlignment="1" pivotButton="0" quotePrefix="0" xfId="0">
      <alignment vertical="center" wrapText="1"/>
    </xf>
    <xf numFmtId="0" fontId="3" fillId="0" borderId="7" pivotButton="0" quotePrefix="0" xfId="0"/>
    <xf numFmtId="0" fontId="2" fillId="0" borderId="7" pivotButton="0" quotePrefix="0" xfId="0"/>
    <xf numFmtId="0" fontId="5" fillId="0" borderId="0" applyAlignment="1" pivotButton="0" quotePrefix="0" xfId="0">
      <alignment vertical="bottom"/>
    </xf>
    <xf numFmtId="0" fontId="1" fillId="0" borderId="7" pivotButton="0" quotePrefix="0" xfId="0"/>
    <xf numFmtId="0" fontId="5" fillId="0" borderId="0" applyAlignment="1" pivotButton="0" quotePrefix="0" xfId="0">
      <alignment vertical="bottom"/>
    </xf>
    <xf numFmtId="0" fontId="2" fillId="0" borderId="8" pivotButton="0" quotePrefix="0" xfId="0"/>
    <xf numFmtId="0" fontId="2" fillId="0" borderId="9" pivotButton="0" quotePrefix="0" xfId="0"/>
    <xf numFmtId="0" fontId="5" fillId="3" borderId="2" applyAlignment="1" pivotButton="0" quotePrefix="0" xfId="0">
      <alignment vertical="bottom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4" fillId="0" borderId="10" pivotButton="0" quotePrefix="0" xfId="0"/>
    <xf numFmtId="0" fontId="2" fillId="9" borderId="11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9" borderId="13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2" fillId="9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9" borderId="24" applyAlignment="1" pivotButton="0" quotePrefix="0" xfId="0">
      <alignment horizontal="center" vertical="center"/>
    </xf>
    <xf numFmtId="0" fontId="2" fillId="9" borderId="25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bottom"/>
    </xf>
    <xf numFmtId="0" fontId="5" fillId="9" borderId="24" applyAlignment="1" pivotButton="0" quotePrefix="0" xfId="0">
      <alignment horizontal="center" vertical="bottom"/>
    </xf>
    <xf numFmtId="0" fontId="5" fillId="9" borderId="15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0" fontId="5" fillId="0" borderId="23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Dishwasher-style" pivot="0" count="3">
      <tableStyleElement type="headerRow" dxfId="1"/>
      <tableStyleElement type="firstRowStripe" dxfId="2"/>
      <tableStyleElement type="secondRowStripe" dxfId="3"/>
    </tableStyle>
    <tableStyle name="Human grading-style" pivot="0" count="3">
      <tableStyleElement type="headerRow" dxfId="1"/>
      <tableStyleElement type="firstRowStripe" dxfId="2"/>
      <tableStyleElement type="secondRowStripe" dxfId="3"/>
    </tableStyle>
    <tableStyle name="LLM Grading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5" headerRowCount="1">
  <tableColumns count="2">
    <tableColumn id="1" name="Type"/>
    <tableColumn id="2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5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5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5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5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</row>
    <row r="3" ht="12.75" customHeight="1" s="81">
      <c r="A3" s="46" t="inlineStr">
        <is>
          <t>Region</t>
        </is>
      </c>
      <c r="B3" s="69" t="inlineStr">
        <is>
          <t>Door</t>
        </is>
      </c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</row>
    <row r="5" ht="12.75" customHeight="1" s="81">
      <c r="A5" s="46" t="inlineStr">
        <is>
          <t>State</t>
        </is>
      </c>
      <c r="B5" s="69" t="inlineStr">
        <is>
          <t>Closed</t>
        </is>
      </c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</row>
    <row r="8" ht="12.75" customHeight="1" s="81">
      <c r="A8" s="46" t="inlineStr">
        <is>
          <t>State</t>
        </is>
      </c>
      <c r="B8" s="69" t="inlineStr">
        <is>
          <t>Open</t>
        </is>
      </c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</row>
    <row r="10" ht="12.75" customHeight="1" s="81">
      <c r="A10" s="46" t="inlineStr">
        <is>
          <t>State</t>
        </is>
      </c>
      <c r="B10" s="69" t="inlineStr">
        <is>
          <t>Locked</t>
        </is>
      </c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</row>
    <row r="12" ht="12.75" customHeight="1" s="81">
      <c r="A12" s="46" t="inlineStr">
        <is>
          <t>Region</t>
        </is>
      </c>
      <c r="B12" s="69" t="inlineStr">
        <is>
          <t>Washer</t>
        </is>
      </c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</row>
    <row r="15" ht="12.75" customHeight="1" s="81">
      <c r="A15" s="46" t="inlineStr">
        <is>
          <t>State</t>
        </is>
      </c>
      <c r="B15" s="69" t="inlineStr">
        <is>
          <t>Idle</t>
        </is>
      </c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</row>
    <row r="26" ht="15" customHeight="1" s="81">
      <c r="A26" s="46" t="inlineStr">
        <is>
          <t>State</t>
        </is>
      </c>
      <c r="B26" s="69" t="inlineStr">
        <is>
          <t>Intake</t>
        </is>
      </c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</row>
    <row r="28" ht="12.75" customHeight="1" s="81">
      <c r="A28" s="46" t="inlineStr">
        <is>
          <t>State</t>
        </is>
      </c>
      <c r="B28" s="69" t="inlineStr">
        <is>
          <t>Washing</t>
        </is>
      </c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</row>
    <row r="33" ht="12.75" customHeight="1" s="81">
      <c r="A33" s="46" t="inlineStr">
        <is>
          <t>Action</t>
        </is>
      </c>
      <c r="B33" s="69" t="inlineStr">
        <is>
          <t>c++</t>
        </is>
      </c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</row>
    <row r="35" ht="12.75" customHeight="1" s="81">
      <c r="A35" s="46" t="inlineStr">
        <is>
          <t>Guard</t>
        </is>
      </c>
      <c r="B35" s="69" t="inlineStr">
        <is>
          <t>[c ≥ r]</t>
        </is>
      </c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3"/>
    <col width="28.5" customWidth="1" style="81" min="4" max="4"/>
    <col width="10.63" customWidth="1" style="81" min="5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  <c r="C1" s="24" t="inlineStr">
        <is>
          <t>Claude</t>
        </is>
      </c>
      <c r="D1" s="24" t="inlineStr">
        <is>
          <t>Notes</t>
        </is>
      </c>
      <c r="E1" s="13" t="n"/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  <c r="C2" s="19" t="n"/>
      <c r="D2" s="25" t="n"/>
      <c r="E2" s="16" t="n"/>
    </row>
    <row r="3" ht="12.75" customHeight="1" s="81">
      <c r="A3" s="46" t="inlineStr">
        <is>
          <t>Region</t>
        </is>
      </c>
      <c r="B3" s="69" t="inlineStr">
        <is>
          <t>Door</t>
        </is>
      </c>
      <c r="C3" s="19" t="n"/>
      <c r="D3" s="26" t="n"/>
      <c r="E3" s="18" t="n"/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  <c r="C4" s="19" t="n"/>
      <c r="D4" s="25" t="n"/>
      <c r="E4" s="16" t="n"/>
    </row>
    <row r="5" ht="12.75" customHeight="1" s="81">
      <c r="A5" s="46" t="inlineStr">
        <is>
          <t>State</t>
        </is>
      </c>
      <c r="B5" s="69" t="inlineStr">
        <is>
          <t>Closed</t>
        </is>
      </c>
      <c r="C5" s="19" t="n"/>
      <c r="D5" s="26" t="n"/>
      <c r="E5" s="18" t="n"/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  <c r="C6" s="19" t="n"/>
      <c r="D6" s="25" t="n"/>
      <c r="E6" s="16" t="n"/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  <c r="C7" s="19" t="n"/>
      <c r="D7" s="26" t="n"/>
      <c r="E7" s="18" t="n"/>
    </row>
    <row r="8" ht="12.75" customHeight="1" s="81">
      <c r="A8" s="46" t="inlineStr">
        <is>
          <t>State</t>
        </is>
      </c>
      <c r="B8" s="69" t="inlineStr">
        <is>
          <t>Open</t>
        </is>
      </c>
      <c r="C8" s="19" t="n"/>
      <c r="D8" s="25" t="n"/>
      <c r="E8" s="16" t="n"/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  <c r="C9" s="19" t="n"/>
      <c r="D9" s="26" t="n"/>
      <c r="E9" s="18" t="n"/>
    </row>
    <row r="10" ht="12.75" customHeight="1" s="81">
      <c r="A10" s="46" t="inlineStr">
        <is>
          <t>State</t>
        </is>
      </c>
      <c r="B10" s="69" t="inlineStr">
        <is>
          <t>Locked</t>
        </is>
      </c>
      <c r="C10" s="19" t="n"/>
      <c r="D10" s="25" t="n"/>
      <c r="E10" s="16" t="n"/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  <c r="C11" s="19" t="n"/>
      <c r="D11" s="26" t="n"/>
      <c r="E11" s="18" t="n"/>
    </row>
    <row r="12" ht="12.75" customHeight="1" s="81">
      <c r="A12" s="46" t="inlineStr">
        <is>
          <t>Region</t>
        </is>
      </c>
      <c r="B12" s="69" t="inlineStr">
        <is>
          <t>Washer</t>
        </is>
      </c>
      <c r="C12" s="19" t="n"/>
      <c r="D12" s="25" t="n"/>
      <c r="E12" s="16" t="n"/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  <c r="C13" s="19" t="n"/>
      <c r="D13" s="26" t="n"/>
      <c r="E13" s="18" t="n"/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  <c r="C14" s="19" t="n"/>
      <c r="D14" s="25" t="n"/>
      <c r="E14" s="16" t="n"/>
    </row>
    <row r="15" ht="12.75" customHeight="1" s="81">
      <c r="A15" s="46" t="inlineStr">
        <is>
          <t>State</t>
        </is>
      </c>
      <c r="B15" s="69" t="inlineStr">
        <is>
          <t>Idle</t>
        </is>
      </c>
      <c r="C15" s="19" t="n"/>
      <c r="D15" s="26" t="n"/>
      <c r="E15" s="18" t="n"/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  <c r="C16" s="19" t="n"/>
      <c r="D16" s="25" t="n"/>
      <c r="E16" s="16" t="n"/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19" t="n"/>
      <c r="D17" s="26" t="n"/>
      <c r="E17" s="18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  <c r="C18" s="19" t="n"/>
      <c r="D18" s="25" t="n"/>
      <c r="E18" s="16" t="n"/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  <c r="C19" s="19" t="n"/>
      <c r="D19" s="26" t="n"/>
      <c r="E19" s="18" t="n"/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  <c r="C20" s="19" t="n"/>
      <c r="D20" s="25" t="n"/>
      <c r="E20" s="16" t="n"/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  <c r="C21" s="19" t="n"/>
      <c r="D21" s="26" t="n"/>
      <c r="E21" s="18" t="n"/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  <c r="C22" s="19" t="n"/>
      <c r="D22" s="25" t="n"/>
      <c r="E22" s="16" t="n"/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19" t="n"/>
      <c r="D23" s="25" t="n"/>
      <c r="E23" s="18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  <c r="C24" s="19" t="n"/>
      <c r="D24" s="25" t="n"/>
      <c r="E24" s="16" t="n"/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  <c r="C25" s="19" t="n"/>
      <c r="D25" s="26" t="n"/>
      <c r="E25" s="18" t="n"/>
    </row>
    <row r="26" ht="15" customHeight="1" s="81">
      <c r="A26" s="46" t="inlineStr">
        <is>
          <t>State</t>
        </is>
      </c>
      <c r="B26" s="69" t="inlineStr">
        <is>
          <t>Intake</t>
        </is>
      </c>
      <c r="C26" s="19" t="n"/>
      <c r="D26" s="25" t="n"/>
      <c r="E26" s="16" t="n"/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  <c r="C27" s="19" t="n"/>
      <c r="D27" s="26" t="n"/>
      <c r="E27" s="18" t="n"/>
    </row>
    <row r="28" ht="12.75" customHeight="1" s="81">
      <c r="A28" s="46" t="inlineStr">
        <is>
          <t>State</t>
        </is>
      </c>
      <c r="B28" s="69" t="inlineStr">
        <is>
          <t>Washing</t>
        </is>
      </c>
      <c r="C28" s="19" t="n"/>
      <c r="D28" s="25" t="n"/>
      <c r="E28" s="16" t="n"/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  <c r="C29" s="19" t="n"/>
      <c r="D29" s="26" t="n"/>
      <c r="E29" s="18" t="n"/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19" t="n"/>
      <c r="D30" s="25" t="n"/>
      <c r="E30" s="16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19" t="n"/>
      <c r="D31" s="26" t="n"/>
      <c r="E31" s="18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  <c r="C32" s="19" t="n"/>
      <c r="D32" s="25" t="n"/>
      <c r="E32" s="16" t="n"/>
    </row>
    <row r="33" ht="12.75" customHeight="1" s="81">
      <c r="A33" s="46" t="inlineStr">
        <is>
          <t>Action</t>
        </is>
      </c>
      <c r="B33" s="69" t="inlineStr">
        <is>
          <t>c++</t>
        </is>
      </c>
      <c r="C33" s="19" t="n"/>
      <c r="D33" s="26" t="n"/>
      <c r="E33" s="18" t="n"/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  <c r="C34" s="19" t="n"/>
      <c r="D34" s="25" t="n"/>
      <c r="E34" s="16" t="n"/>
    </row>
    <row r="35" ht="12.75" customHeight="1" s="81">
      <c r="A35" s="46" t="inlineStr">
        <is>
          <t>Guard</t>
        </is>
      </c>
      <c r="B35" s="69" t="inlineStr">
        <is>
          <t>[c ≥ r]</t>
        </is>
      </c>
      <c r="C35" s="19" t="n"/>
      <c r="D35" s="26" t="n"/>
      <c r="E35" s="18" t="n"/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  <c r="C36" s="19" t="n"/>
      <c r="D36" s="25" t="n"/>
      <c r="E36" s="16" t="n"/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  <c r="C37" s="19" t="n"/>
      <c r="D37" s="26" t="n"/>
      <c r="E37" s="18" t="n"/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  <c r="C38" s="19" t="n"/>
      <c r="D38" s="25" t="n"/>
      <c r="E38" s="16" t="n"/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19" t="n"/>
      <c r="D39" s="26" t="n"/>
      <c r="E39" s="18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19" t="n"/>
      <c r="D40" s="25" t="n"/>
      <c r="E40" s="16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19" t="n"/>
      <c r="D41" s="26" t="n"/>
      <c r="E41" s="18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19" t="n"/>
      <c r="D42" s="25" t="n"/>
      <c r="E42" s="16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19" t="n"/>
      <c r="D43" s="26" t="n"/>
      <c r="E43" s="18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19" t="n"/>
      <c r="D44" s="25" t="n"/>
      <c r="E44" s="16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19" t="n"/>
      <c r="D45" s="26" t="n"/>
      <c r="E45" s="18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19" t="n"/>
      <c r="D46" s="25" t="n"/>
      <c r="E46" s="16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19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8" t="n"/>
      <c r="D48" s="29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  <c r="C49" s="30" t="n"/>
      <c r="D49" s="27" t="n"/>
      <c r="E49" s="27" t="n"/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  <c r="C50" s="30" t="n"/>
      <c r="D50" s="27" t="n"/>
      <c r="E50" s="27" t="n"/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  <c r="C51" s="30" t="n"/>
      <c r="D51" s="27" t="n"/>
      <c r="E51" s="27" t="n"/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  <c r="C52" s="30" t="n"/>
      <c r="D52" s="27" t="n"/>
      <c r="E52" s="27" t="n"/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  <c r="C53" s="30" t="n"/>
      <c r="D53" s="27" t="n"/>
      <c r="E53" s="27" t="n"/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  <c r="C54" s="30" t="n"/>
      <c r="D54" s="27" t="n"/>
      <c r="E54" s="27" t="n"/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  <c r="C55" s="30" t="n"/>
      <c r="D55" s="27" t="n"/>
      <c r="E55" s="27" t="n"/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3"/>
    <col width="76" customWidth="1" style="81" min="4" max="4"/>
    <col width="10.63" customWidth="1" style="81" min="5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  <c r="C1" s="24" t="inlineStr">
        <is>
          <t>Claude Sonnet 4.5 Generation</t>
        </is>
      </c>
      <c r="D1" s="24" t="inlineStr">
        <is>
          <t>Notes</t>
        </is>
      </c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  <c r="C2" s="19" t="n">
        <v>0</v>
      </c>
      <c r="D2" s="25" t="inlineStr">
        <is>
          <t>No top-level composite state encompassing the entire system; student model starts directly with Idle</t>
        </is>
      </c>
    </row>
    <row r="3" ht="12.75" customHeight="1" s="81">
      <c r="A3" s="46" t="inlineStr">
        <is>
          <t>Region</t>
        </is>
      </c>
      <c r="B3" s="69" t="inlineStr">
        <is>
          <t>Door</t>
        </is>
      </c>
      <c r="C3" s="19" t="n">
        <v>0</v>
      </c>
      <c r="D3" s="26" t="inlineStr">
        <is>
          <t>No separate Door region modeling door states (Closed/Open/Locked)</t>
        </is>
      </c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  <c r="C4" s="19" t="n">
        <v>0</v>
      </c>
      <c r="D4" s="25" t="inlineStr">
        <is>
          <t>No Door region or Closed state</t>
        </is>
      </c>
    </row>
    <row r="5" ht="12.75" customHeight="1" s="81">
      <c r="A5" s="46" t="inlineStr">
        <is>
          <t>State</t>
        </is>
      </c>
      <c r="B5" s="69" t="inlineStr">
        <is>
          <t>Closed</t>
        </is>
      </c>
      <c r="C5" s="19" t="n">
        <v>0</v>
      </c>
      <c r="D5" s="26" t="inlineStr">
        <is>
          <t>No Door region or Closed state</t>
        </is>
      </c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  <c r="C6" s="19" t="n">
        <v>0</v>
      </c>
      <c r="D6" s="25" t="inlineStr">
        <is>
          <t>No Door region or open transition between door states</t>
        </is>
      </c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  <c r="C7" s="19" t="n">
        <v>0</v>
      </c>
      <c r="D7" s="26" t="inlineStr">
        <is>
          <t>No Door region or lock transition</t>
        </is>
      </c>
    </row>
    <row r="8" ht="12.75" customHeight="1" s="81">
      <c r="A8" s="46" t="inlineStr">
        <is>
          <t>State</t>
        </is>
      </c>
      <c r="B8" s="69" t="inlineStr">
        <is>
          <t>Open</t>
        </is>
      </c>
      <c r="C8" s="19" t="n">
        <v>0</v>
      </c>
      <c r="D8" s="25" t="inlineStr">
        <is>
          <t>No Door region; DoorOpen state exists but in different context</t>
        </is>
      </c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  <c r="C9" s="19" t="n">
        <v>0</v>
      </c>
      <c r="D9" s="26" t="inlineStr">
        <is>
          <t>No Door region or close transition between door states</t>
        </is>
      </c>
    </row>
    <row r="10" ht="12.75" customHeight="1" s="81">
      <c r="A10" s="46" t="inlineStr">
        <is>
          <t>State</t>
        </is>
      </c>
      <c r="B10" s="69" t="inlineStr">
        <is>
          <t>Locked</t>
        </is>
      </c>
      <c r="C10" s="19" t="n">
        <v>0</v>
      </c>
      <c r="D10" s="25" t="inlineStr">
        <is>
          <t>No Door region or Locked state</t>
        </is>
      </c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  <c r="C11" s="19" t="n">
        <v>0</v>
      </c>
      <c r="D11" s="26" t="inlineStr">
        <is>
          <t>No Door region or unlock transition</t>
        </is>
      </c>
    </row>
    <row r="12" ht="12.75" customHeight="1" s="81">
      <c r="A12" s="46" t="inlineStr">
        <is>
          <t>Region</t>
        </is>
      </c>
      <c r="B12" s="69" t="inlineStr">
        <is>
          <t>Washer</t>
        </is>
      </c>
      <c r="C12" s="19" t="n">
        <v>0</v>
      </c>
      <c r="D12" s="25" t="inlineStr">
        <is>
          <t>No separate Washer region; functionality exists but not as a parallel region</t>
        </is>
      </c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  <c r="C13" s="19" t="n">
        <v>1</v>
      </c>
      <c r="D13" s="26" t="inlineStr">
        <is>
          <t>Initial state correctly transitions to Idle</t>
        </is>
      </c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  <c r="C14" s="19" t="n">
        <v>0</v>
      </c>
      <c r="D14" s="25" t="inlineStr">
        <is>
          <t>No initialization of variables r and dT on initial transition</t>
        </is>
      </c>
    </row>
    <row r="15" ht="12.75" customHeight="1" s="81">
      <c r="A15" s="46" t="inlineStr">
        <is>
          <t>State</t>
        </is>
      </c>
      <c r="B15" s="69" t="inlineStr">
        <is>
          <t>Idle</t>
        </is>
      </c>
      <c r="C15" s="19" t="n">
        <v>1</v>
      </c>
      <c r="D15" s="26" t="inlineStr">
        <is>
          <t>Idle state present and correctly positioned</t>
        </is>
      </c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  <c r="C16" s="19" t="n">
        <v>0</v>
      </c>
      <c r="D16" s="25" t="inlineStr">
        <is>
          <t>No selectProgram transition in Idle</t>
        </is>
      </c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19" t="n">
        <v>0</v>
      </c>
      <c r="D17" s="26" t="inlineStr">
        <is>
          <t>No selectProgram transition with guard</t>
        </is>
      </c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  <c r="C18" s="19" t="n">
        <v>0</v>
      </c>
      <c r="D18" s="25" t="inlineStr">
        <is>
          <t>No action setting number of cycles based on program selection</t>
        </is>
      </c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  <c r="C19" s="19" t="n">
        <v>0.5</v>
      </c>
      <c r="D19" s="26" t="inlineStr">
        <is>
          <t>extendDrying and reduceDrying transitions exist but do not toggle; they set fixed values</t>
        </is>
      </c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  <c r="C20" s="19" t="n">
        <v>0.5</v>
      </c>
      <c r="D20" s="25" t="inlineStr">
        <is>
          <t>setDryingTime actions exist but are not conditional toggles</t>
        </is>
      </c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  <c r="C21" s="19" t="n">
        <v>1</v>
      </c>
      <c r="D21" s="26" t="inlineStr">
        <is>
          <t>start transition from Idle to ProgramActive (which contains cleaning) present</t>
        </is>
      </c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  <c r="C22" s="19" t="n">
        <v>0</v>
      </c>
      <c r="D22" s="25" t="inlineStr">
        <is>
          <t>No guard checking door state on start transition</t>
        </is>
      </c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19" t="n">
        <v>0.5</v>
      </c>
      <c r="D23" s="26" t="inlineStr">
        <is>
          <t>lockDoor() action present but no cycle counter initialization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  <c r="C24" s="19" t="n">
        <v>1</v>
      </c>
      <c r="D24" s="25" t="inlineStr">
        <is>
          <t>WashCycle composite state represents the cleaning phase</t>
        </is>
      </c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  <c r="C25" s="19" t="n">
        <v>1</v>
      </c>
      <c r="D25" s="26" t="inlineStr">
        <is>
          <t>Initial state in WashCycle transitions to WaterIntake</t>
        </is>
      </c>
    </row>
    <row r="26" ht="15" customHeight="1" s="81">
      <c r="A26" s="46" t="inlineStr">
        <is>
          <t>State</t>
        </is>
      </c>
      <c r="B26" s="69" t="inlineStr">
        <is>
          <t>Intake</t>
        </is>
      </c>
      <c r="C26" s="19" t="n">
        <v>1</v>
      </c>
      <c r="D26" s="25" t="inlineStr">
        <is>
          <t>WaterIntake state represents intake phase</t>
        </is>
      </c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  <c r="C27" s="19" t="n">
        <v>1</v>
      </c>
      <c r="D27" s="26" t="inlineStr">
        <is>
          <t>Transition from WaterIntake to Washing present</t>
        </is>
      </c>
    </row>
    <row r="28" ht="12.75" customHeight="1" s="81">
      <c r="A28" s="46" t="inlineStr">
        <is>
          <t>State</t>
        </is>
      </c>
      <c r="B28" s="69" t="inlineStr">
        <is>
          <t>Washing</t>
        </is>
      </c>
      <c r="C28" s="19" t="n">
        <v>1</v>
      </c>
      <c r="D28" s="25" t="inlineStr">
        <is>
          <t>Washing state present</t>
        </is>
      </c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  <c r="C29" s="19" t="n">
        <v>1</v>
      </c>
      <c r="D29" s="26" t="inlineStr">
        <is>
          <t>Transition after10min from Washing to Draining present</t>
        </is>
      </c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19" t="n">
        <v>1</v>
      </c>
      <c r="D30" s="25" t="inlineStr">
        <is>
          <t>Draining state present</t>
        </is>
      </c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19" t="n">
        <v>1</v>
      </c>
      <c r="D31" s="26" t="inlineStr">
        <is>
          <t>Guard [cyclesRemaining &gt; 0] semantically equivalent to [c &lt; r]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  <c r="C32" s="19" t="n">
        <v>1</v>
      </c>
      <c r="D32" s="25" t="inlineStr">
        <is>
          <t>Transition from Draining back to WaterIntake with guard present</t>
        </is>
      </c>
    </row>
    <row r="33" ht="12.75" customHeight="1" s="81">
      <c r="A33" s="46" t="inlineStr">
        <is>
          <t>Action</t>
        </is>
      </c>
      <c r="B33" s="69" t="inlineStr">
        <is>
          <t>c++</t>
        </is>
      </c>
      <c r="C33" s="19" t="n">
        <v>1</v>
      </c>
      <c r="D33" s="26" t="inlineStr">
        <is>
          <t>decrementCycles() action semantically represents cycle progression</t>
        </is>
      </c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  <c r="C34" s="19" t="n">
        <v>0.5</v>
      </c>
      <c r="D34" s="25" t="inlineStr">
        <is>
          <t>Transition from Draining to Drying exists but not to explicit end state within Cleaning</t>
        </is>
      </c>
    </row>
    <row r="35" ht="12.75" customHeight="1" s="81">
      <c r="A35" s="46" t="inlineStr">
        <is>
          <t>Guard</t>
        </is>
      </c>
      <c r="B35" s="69" t="inlineStr">
        <is>
          <t>[c ≥ r]</t>
        </is>
      </c>
      <c r="C35" s="19" t="n">
        <v>1</v>
      </c>
      <c r="D35" s="26" t="inlineStr">
        <is>
          <t>Guard [cyclesRemaining == 0] semantically equivalent to [c &gt;= r]</t>
        </is>
      </c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  <c r="C36" s="19" t="n">
        <v>0</v>
      </c>
      <c r="D36" s="25" t="inlineStr">
        <is>
          <t>No history state in Cleaning composite</t>
        </is>
      </c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  <c r="C37" s="19" t="n">
        <v>0.5</v>
      </c>
      <c r="D37" s="26" t="inlineStr">
        <is>
          <t>extendDrying/reduceDrying transitions exist in WashCycle but do not use history state</t>
        </is>
      </c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  <c r="C38" s="19" t="n">
        <v>0.5</v>
      </c>
      <c r="D38" s="25" t="inlineStr">
        <is>
          <t>setDryingTime actions exist but are not conditional toggles</t>
        </is>
      </c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19" t="n">
        <v>1</v>
      </c>
      <c r="D39" s="26" t="inlineStr">
        <is>
          <t>Transition from Draining (end of WashCycle) to Drying present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19" t="n">
        <v>1</v>
      </c>
      <c r="D40" s="25" t="inlineStr">
        <is>
          <t>unlockDoor() action present on transition to Drying</t>
        </is>
      </c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19" t="n">
        <v>1</v>
      </c>
      <c r="D41" s="26" t="inlineStr">
        <is>
          <t>Drying state present</t>
        </is>
      </c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19" t="n">
        <v>1</v>
      </c>
      <c r="D42" s="25" t="inlineStr">
        <is>
          <t>dryingComplete transition from Drying to Idle represents timed completion</t>
        </is>
      </c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19" t="n">
        <v>1</v>
      </c>
      <c r="D43" s="26" t="inlineStr">
        <is>
          <t>extendDrying self-transition on Drying present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19" t="n">
        <v>1</v>
      </c>
      <c r="D44" s="25" t="inlineStr">
        <is>
          <t>setDryingTime(40) action present on extendDrying transition</t>
        </is>
      </c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19" t="n">
        <v>1</v>
      </c>
      <c r="D45" s="26" t="inlineStr">
        <is>
          <t>openDoor transition from Drying to DoorOpen present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19" t="n">
        <v>1</v>
      </c>
      <c r="D46" s="25" t="inlineStr">
        <is>
          <t>DoorOpen state represents suspended drying</t>
        </is>
      </c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19" t="n">
        <v>1</v>
      </c>
      <c r="D47" s="27" t="inlineStr">
        <is>
          <t>closeDoor transition from DoorOpen to Drying present</t>
        </is>
      </c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8" t="n">
        <v>1</v>
      </c>
      <c r="D48" s="29" t="inlineStr">
        <is>
          <t>after5min transition from DoorOpen to Idle present</t>
        </is>
      </c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  <c r="C49" s="30" t="n">
        <v>0</v>
      </c>
      <c r="D49" s="27" t="inlineStr">
        <is>
          <t>No incorrect additional states</t>
        </is>
      </c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  <c r="C50" s="30" t="n">
        <v>0</v>
      </c>
      <c r="D50" s="27" t="inlineStr">
        <is>
          <t>No incorrect additional transitions</t>
        </is>
      </c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  <c r="C51" s="30" t="n">
        <v>0</v>
      </c>
      <c r="D51" s="27" t="inlineStr">
        <is>
          <t>No incorrect additional guards</t>
        </is>
      </c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  <c r="C52" s="30" t="n">
        <v>0</v>
      </c>
      <c r="D52" s="27" t="inlineStr">
        <is>
          <t>No incorrect additional actions</t>
        </is>
      </c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  <c r="C53" s="30" t="n">
        <v>0</v>
      </c>
      <c r="D53" s="27" t="inlineStr">
        <is>
          <t>ProgramActive is a reasonable composite state grouping</t>
        </is>
      </c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  <c r="C54" s="30" t="n">
        <v>0</v>
      </c>
      <c r="D54" s="27" t="inlineStr">
        <is>
          <t>No incorrect additional regions</t>
        </is>
      </c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  <c r="C55" s="30" t="n">
        <v>0</v>
      </c>
      <c r="D55" s="27" t="inlineStr">
        <is>
          <t>No incorrect additional history states</t>
        </is>
      </c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17.63" customWidth="1" style="81" min="2" max="6"/>
  </cols>
  <sheetData>
    <row r="1" ht="15.75" customHeight="1" s="81">
      <c r="A1" s="31" t="inlineStr">
        <is>
          <t>Generated by Gemini 3 Pro</t>
        </is>
      </c>
      <c r="J1" s="33" t="inlineStr">
        <is>
          <t>Date</t>
        </is>
      </c>
    </row>
    <row r="2" ht="15.75" customHeight="1" s="81">
      <c r="A2" s="34" t="inlineStr">
        <is>
          <t>Type</t>
        </is>
      </c>
      <c r="B2" s="34" t="inlineStr">
        <is>
          <t>Ground Truth Count</t>
        </is>
      </c>
      <c r="C2" s="34" t="inlineStr">
        <is>
          <t>True Positive</t>
        </is>
      </c>
      <c r="D2" s="34" t="inlineStr">
        <is>
          <t>False Positive</t>
        </is>
      </c>
      <c r="E2" s="34" t="inlineStr">
        <is>
          <t>False Negative</t>
        </is>
      </c>
      <c r="F2" s="34" t="inlineStr">
        <is>
          <t>Precision</t>
        </is>
      </c>
      <c r="G2" s="34" t="inlineStr">
        <is>
          <t>Recall</t>
        </is>
      </c>
      <c r="H2" s="34" t="inlineStr">
        <is>
          <t>F1 Score</t>
        </is>
      </c>
      <c r="J2" s="35" t="inlineStr">
        <is>
          <t>March 16th, 2026</t>
        </is>
      </c>
    </row>
    <row r="3" ht="15.75" customHeight="1" s="81">
      <c r="A3" s="36" t="inlineStr">
        <is>
          <t>Composite State</t>
        </is>
      </c>
      <c r="B3" s="37">
        <f>COUNTIF(Dishwasher!$A$2:$A$48, A3)</f>
        <v/>
      </c>
      <c r="C3" s="38">
        <f>SUMIF('Gemini 3 Pro Generation'!$A$2:$A$48, $A3, 'Gemini 3 Pro Generation'!$C$2:$C$48)</f>
        <v/>
      </c>
      <c r="D3" s="38">
        <f>SUMIF('Gemini 3 Pro Generation'!$A$49:$A$55, $A3, 'Gemini 3 Pro Generation'!$C$49:$C$55)</f>
        <v/>
      </c>
      <c r="E3" s="38">
        <f>COUNTIFS('Gemini 3 Pro Generation'!$A$2:$A$48, $A3, 'Gemini 3 Pro Generation'!$C$2:$C$48,0)</f>
        <v/>
      </c>
      <c r="F3" s="38">
        <f>IFERROR(C3 / (C3 + D3), "Not Available")</f>
        <v/>
      </c>
      <c r="G3" s="38">
        <f>IFERROR(C3 / B3, "Not Available")</f>
        <v/>
      </c>
      <c r="H3" s="38">
        <f>IFERROR(2*((F3*G3)/(F3+G3)),"Not Available")</f>
        <v/>
      </c>
      <c r="J3" s="41" t="n"/>
    </row>
    <row r="4" ht="15.75" customHeight="1" s="81">
      <c r="A4" s="40" t="inlineStr">
        <is>
          <t>State</t>
        </is>
      </c>
      <c r="B4" s="37">
        <f>COUNTIF(Dishwasher!$A$2:$A$48, A4)</f>
        <v/>
      </c>
      <c r="C4" s="38">
        <f>SUMIF('Gemini 3 Pro Generation'!$A$2:$A$48, $A4, 'Gemini 3 Pro Generation'!$C$2:$C$48)</f>
        <v/>
      </c>
      <c r="D4" s="38">
        <f>SUMIF('Gemini 3 Pro Generation'!$A$49:$A$55, $A4, 'Gemini 3 Pro Generation'!$C$49:$C$55)</f>
        <v/>
      </c>
      <c r="E4" s="38">
        <f>COUNTIFS('Gemini 3 Pro Generation'!$A$2:$A$48, $A4, 'Gemini 3 Pro Generation'!$C$2:$C$48,0)</f>
        <v/>
      </c>
      <c r="F4" s="38">
        <f>IFERROR(C4 / (C4 + D4), "Not Available")</f>
        <v/>
      </c>
      <c r="G4" s="38">
        <f>IFERROR(C4 / B4, "Not Available")</f>
        <v/>
      </c>
      <c r="H4" s="38">
        <f>IFERROR(2*((F4*G4)/(F4+G4)),"Not Available")</f>
        <v/>
      </c>
      <c r="J4" s="33" t="inlineStr">
        <is>
          <t>Grading LLM</t>
        </is>
      </c>
    </row>
    <row r="5" ht="15.75" customHeight="1" s="81">
      <c r="A5" s="40" t="inlineStr">
        <is>
          <t>Transition</t>
        </is>
      </c>
      <c r="B5" s="37">
        <f>COUNTIF(Dishwasher!$A$2:$A$48, A5)</f>
        <v/>
      </c>
      <c r="C5" s="38">
        <f>SUMIF('Gemini 3 Pro Generation'!$A$2:$A$48, $A5, 'Gemini 3 Pro Generation'!$C$2:$C$48)</f>
        <v/>
      </c>
      <c r="D5" s="38">
        <f>SUMIF('Gemini 3 Pro Generation'!$A$49:$A$55, $A5, 'Gemini 3 Pro Generation'!$C$49:$C$55)</f>
        <v/>
      </c>
      <c r="E5" s="38">
        <f>COUNTIFS('Gemini 3 Pro Generation'!$A$2:$A$48, $A5, 'Gemini 3 Pro Generation'!$C$2:$C$48,0)</f>
        <v/>
      </c>
      <c r="F5" s="38">
        <f>IFERROR(C5 / (C5 + D5), "Not Available")</f>
        <v/>
      </c>
      <c r="G5" s="38">
        <f>IFERROR(C5 / B5, "Not Available")</f>
        <v/>
      </c>
      <c r="H5" s="38">
        <f>IFERROR(2*((F5*G5)/(F5+G5)),"Not Available")</f>
        <v/>
      </c>
      <c r="J5" s="35" t="inlineStr">
        <is>
          <t>Claude Sonnet 4.5</t>
        </is>
      </c>
    </row>
    <row r="6" ht="15.75" customHeight="1" s="81">
      <c r="A6" s="40" t="inlineStr">
        <is>
          <t>Action</t>
        </is>
      </c>
      <c r="B6" s="37">
        <f>COUNTIF(Dishwasher!$A$2:$A$48, A6)</f>
        <v/>
      </c>
      <c r="C6" s="38">
        <f>SUMIF('Gemini 3 Pro Generation'!$A$2:$A$48, $A6, 'Gemini 3 Pro Generation'!$C$2:$C$48)</f>
        <v/>
      </c>
      <c r="D6" s="38">
        <f>SUMIF('Gemini 3 Pro Generation'!$A$49:$A$55, $A6, 'Gemini 3 Pro Generation'!$C$49:$C$55)</f>
        <v/>
      </c>
      <c r="E6" s="38">
        <f>COUNTIFS('Gemini 3 Pro Generation'!$A$2:$A$48, $A6, 'Gemini 3 Pro Generation'!$C$2:$C$48,0)</f>
        <v/>
      </c>
      <c r="F6" s="38">
        <f>IFERROR(C6 / (C6 + D6), "Not Available")</f>
        <v/>
      </c>
      <c r="G6" s="38">
        <f>IFERROR(C6 / B6, "Not Available")</f>
        <v/>
      </c>
      <c r="H6" s="38">
        <f>IFERROR(2*((F6*G6)/(F6+G6)),"Not Available")</f>
        <v/>
      </c>
    </row>
    <row r="7" ht="15.75" customHeight="1" s="81">
      <c r="A7" s="40" t="inlineStr">
        <is>
          <t>Region</t>
        </is>
      </c>
      <c r="B7" s="37">
        <f>COUNTIF(Dishwasher!$A$2:$A$48, A7)</f>
        <v/>
      </c>
      <c r="C7" s="38">
        <f>SUMIF('Gemini 3 Pro Generation'!$A$2:$A$48, $A7, 'Gemini 3 Pro Generation'!$C$2:$C$48)</f>
        <v/>
      </c>
      <c r="D7" s="38">
        <f>SUMIF('Gemini 3 Pro Generation'!$A$49:$A$55, $A7, 'Gemini 3 Pro Generation'!$C$49:$C$55)</f>
        <v/>
      </c>
      <c r="E7" s="38">
        <f>COUNTIFS('Gemini 3 Pro Generation'!$A$2:$A$48, $A7, 'Gemini 3 Pro Generation'!$C$2:$C$48,0)</f>
        <v/>
      </c>
      <c r="F7" s="38">
        <f>IFERROR(C7 / (C7 + D7), "Not Available")</f>
        <v/>
      </c>
      <c r="G7" s="38">
        <f>IFERROR(C7 / B7, "Not Available")</f>
        <v/>
      </c>
      <c r="H7" s="38">
        <f>IFERROR(2*((F7*G7)/(F7+G7)),"Not Available")</f>
        <v/>
      </c>
      <c r="J7" s="0" t="inlineStr">
        <is>
          <t>Generation LLMs</t>
        </is>
      </c>
    </row>
    <row r="8" ht="15.75" customHeight="1" s="81">
      <c r="A8" s="40" t="inlineStr">
        <is>
          <t>History State</t>
        </is>
      </c>
      <c r="B8" s="37">
        <f>COUNTIF(Dishwasher!$A$2:$A$48, A8)</f>
        <v/>
      </c>
      <c r="C8" s="38">
        <f>SUMIF('Gemini 3 Pro Generation'!$A$2:$A$48, $A8, 'Gemini 3 Pro Generation'!$C$2:$C$48)</f>
        <v/>
      </c>
      <c r="D8" s="38">
        <f>SUMIF('Gemini 3 Pro Generation'!$A$49:$A$55, $A8, 'Gemini 3 Pro Generation'!$C$49:$C$55)</f>
        <v/>
      </c>
      <c r="E8" s="38">
        <f>COUNTIFS('Gemini 3 Pro Generation'!$A$2:$A$48, $A8, 'Gemini 3 Pro Generation'!$C$2:$C$48,0)</f>
        <v/>
      </c>
      <c r="F8" s="38">
        <f>IFERROR(C8 / (C8 + D8), "Not Available")</f>
        <v/>
      </c>
      <c r="G8" s="38">
        <f>IFERROR(C8 / B8, "Not Available")</f>
        <v/>
      </c>
      <c r="H8" s="38">
        <f>IFERROR(2*((F8*G8)/(F8+G8)),"Not Available")</f>
        <v/>
      </c>
      <c r="J8" s="0" t="inlineStr">
        <is>
          <t>Gemini 3 Pro</t>
        </is>
      </c>
    </row>
    <row r="9" ht="15.75" customHeight="1" s="81">
      <c r="A9" s="40" t="inlineStr">
        <is>
          <t>Guard</t>
        </is>
      </c>
      <c r="B9" s="37">
        <f>COUNTIF(Dishwasher!$A$2:$A$48, A9)</f>
        <v/>
      </c>
      <c r="C9" s="38">
        <f>SUMIF('Gemini 3 Pro Generation'!$A$2:$A$48, $A9, 'Gemini 3 Pro Generation'!$C$2:$C$48)</f>
        <v/>
      </c>
      <c r="D9" s="38">
        <f>SUMIF('Gemini 3 Pro Generation'!$A$49:$A$55, $A9, 'Gemini 3 Pro Generation'!$C$49:$C$55)</f>
        <v/>
      </c>
      <c r="E9" s="38">
        <f>COUNTIFS('Gemini 3 Pro Generation'!$A$2:$A$48, $A9, 'Gemini 3 Pro Generation'!$C$2:$C$48,0)</f>
        <v/>
      </c>
      <c r="F9" s="38">
        <f>IFERROR(C9 / (C9 + D9), "Not Available")</f>
        <v/>
      </c>
      <c r="G9" s="38">
        <f>IFERROR(C9 / B9, "Not Available")</f>
        <v/>
      </c>
      <c r="H9" s="38">
        <f>IFERROR(2*((F9*G9)/(F9+G9)),"Not Available")</f>
        <v/>
      </c>
      <c r="J9" s="0" t="inlineStr">
        <is>
          <t>Claude Sonnet 4.5</t>
        </is>
      </c>
    </row>
    <row r="10" ht="15.75" customHeight="1" s="81">
      <c r="A10" s="40" t="inlineStr">
        <is>
          <t>Overall Score</t>
        </is>
      </c>
      <c r="B10" s="38">
        <f>SUM(B3:B9)</f>
        <v/>
      </c>
      <c r="C10" s="38">
        <f>SUM(C3:C9)</f>
        <v/>
      </c>
      <c r="D10" s="38">
        <f>SUM(D3:D9)</f>
        <v/>
      </c>
      <c r="E10" s="38">
        <f>SUM(E3:E9)</f>
        <v/>
      </c>
      <c r="F10" s="38">
        <f>IFERROR(C10 / (C10 + D10), "Not Available")</f>
        <v/>
      </c>
      <c r="G10" s="38">
        <f>IFERROR(C10 / B10, "Not Available")</f>
        <v/>
      </c>
      <c r="H10" s="38">
        <f>IFERROR(2*((F10*G10)/(F10+G10)),"Not Available")</f>
        <v/>
      </c>
    </row>
    <row r="11" ht="15.75" customHeight="1" s="81"/>
    <row r="12" ht="15.75" customHeight="1" s="81">
      <c r="A12" s="31" t="inlineStr">
        <is>
          <t>Generated by Claude Sonnet 4.5</t>
        </is>
      </c>
      <c r="J12" s="41" t="n"/>
    </row>
    <row r="13" ht="15.75" customHeight="1" s="81">
      <c r="A13" s="34" t="inlineStr">
        <is>
          <t>Type</t>
        </is>
      </c>
      <c r="B13" s="34" t="inlineStr">
        <is>
          <t>Ground Truth Count</t>
        </is>
      </c>
      <c r="C13" s="34" t="inlineStr">
        <is>
          <t>True Positive</t>
        </is>
      </c>
      <c r="D13" s="34" t="inlineStr">
        <is>
          <t>False Positive</t>
        </is>
      </c>
      <c r="E13" s="34" t="inlineStr">
        <is>
          <t>False Negative</t>
        </is>
      </c>
      <c r="F13" s="34" t="inlineStr">
        <is>
          <t>Precision</t>
        </is>
      </c>
      <c r="G13" s="34" t="inlineStr">
        <is>
          <t>Recall</t>
        </is>
      </c>
      <c r="H13" s="34" t="inlineStr">
        <is>
          <t>F1 Score</t>
        </is>
      </c>
    </row>
    <row r="14" ht="15.75" customHeight="1" s="81">
      <c r="A14" s="36" t="inlineStr">
        <is>
          <t>Composite state</t>
        </is>
      </c>
      <c r="B14" s="37">
        <f>COUNTIF(Dishwasher!$A$2:$A$48, A14)</f>
        <v/>
      </c>
      <c r="C14" s="38">
        <f>SUMIF('Claude Sonnet 4.5 Gen'!$A$2:$A$48, $A14, 'Claude Sonnet 4.5 Gen'!$C$2:$C$48)</f>
        <v/>
      </c>
      <c r="D14" s="38">
        <f>SUMIF('Claude Sonnet 4.5 Gen'!$A$49:$A$55, $A14, 'Claude Sonnet 4.5 Gen'!$C$49:$C$55)</f>
        <v/>
      </c>
      <c r="E14" s="38">
        <f>COUNTIFS('Claude Sonnet 4.5 Gen'!$A$2:$A$48, $A3, 'Claude Sonnet 4.5 Gen'!$C$2:$C$48,0)</f>
        <v/>
      </c>
      <c r="F14" s="38">
        <f>IFERROR(C14 / (C14 + D14), "Not Available")</f>
        <v/>
      </c>
      <c r="G14" s="38">
        <f>IFERROR(C14 / B14, "Not Available")</f>
        <v/>
      </c>
      <c r="H14" s="38">
        <f>IFERROR(2*((F14*G14)/(F14+G14)),"Not Available")</f>
        <v/>
      </c>
    </row>
    <row r="15" ht="15.75" customHeight="1" s="81">
      <c r="A15" s="40" t="inlineStr">
        <is>
          <t>State</t>
        </is>
      </c>
      <c r="B15" s="37">
        <f>COUNTIF(Dishwasher!$A$2:$A$48, A15)</f>
        <v/>
      </c>
      <c r="C15" s="38">
        <f>SUMIF('Claude Sonnet 4.5 Gen'!$A$2:$A$48, $A15, 'Claude Sonnet 4.5 Gen'!$C$2:$C$48)</f>
        <v/>
      </c>
      <c r="D15" s="38">
        <f>SUMIF('Claude Sonnet 4.5 Gen'!$A$49:$A$55, $A15, 'Claude Sonnet 4.5 Gen'!$C$49:$C$55)</f>
        <v/>
      </c>
      <c r="E15" s="38">
        <f>COUNTIFS('Claude Sonnet 4.5 Gen'!$A$2:$A$48, $A4, 'Claude Sonnet 4.5 Gen'!$C$2:$C$48,0)</f>
        <v/>
      </c>
      <c r="F15" s="38">
        <f>IFERROR(C15 / (C15 + D15), "Not Available")</f>
        <v/>
      </c>
      <c r="G15" s="38">
        <f>IFERROR(C15 / B15, "Not Available")</f>
        <v/>
      </c>
      <c r="H15" s="38">
        <f>IFERROR(2*((F15*G15)/(F15+G15)),"Not Available")</f>
        <v/>
      </c>
    </row>
    <row r="16" ht="15.75" customHeight="1" s="81">
      <c r="A16" s="40" t="inlineStr">
        <is>
          <t>Transition</t>
        </is>
      </c>
      <c r="B16" s="37">
        <f>COUNTIF(Dishwasher!$A$2:$A$48, A16)</f>
        <v/>
      </c>
      <c r="C16" s="38">
        <f>SUMIF('Claude Sonnet 4.5 Gen'!$A$2:$A$48, $A16, 'Claude Sonnet 4.5 Gen'!$C$2:$C$48)</f>
        <v/>
      </c>
      <c r="D16" s="38">
        <f>SUMIF('Claude Sonnet 4.5 Gen'!$A$49:$A$55, $A16, 'Claude Sonnet 4.5 Gen'!$C$49:$C$55)</f>
        <v/>
      </c>
      <c r="E16" s="38">
        <f>COUNTIFS('Claude Sonnet 4.5 Gen'!$A$2:$A$48, $A5, 'Claude Sonnet 4.5 Gen'!$C$2:$C$48,0)</f>
        <v/>
      </c>
      <c r="F16" s="38">
        <f>IFERROR(C16 / (C16 + D16), "Not Available")</f>
        <v/>
      </c>
      <c r="G16" s="38">
        <f>IFERROR(C16 / B16, "Not Available")</f>
        <v/>
      </c>
      <c r="H16" s="38">
        <f>IFERROR(2*((F16*G16)/(F16+G16)),"Not Available")</f>
        <v/>
      </c>
    </row>
    <row r="17" ht="15.75" customHeight="1" s="81">
      <c r="A17" s="40" t="inlineStr">
        <is>
          <t>Action</t>
        </is>
      </c>
      <c r="B17" s="37">
        <f>COUNTIF(Dishwasher!$A$2:$A$48, A17)</f>
        <v/>
      </c>
      <c r="C17" s="38">
        <f>SUMIF('Claude Sonnet 4.5 Gen'!$A$2:$A$48, $A17, 'Claude Sonnet 4.5 Gen'!$C$2:$C$48)</f>
        <v/>
      </c>
      <c r="D17" s="38">
        <f>SUMIF('Claude Sonnet 4.5 Gen'!$A$49:$A$55, $A17, 'Claude Sonnet 4.5 Gen'!$C$49:$C$55)</f>
        <v/>
      </c>
      <c r="E17" s="38">
        <f>COUNTIFS('Claude Sonnet 4.5 Gen'!$A$2:$A$48, $A6, 'Claude Sonnet 4.5 Gen'!$C$2:$C$48,0)</f>
        <v/>
      </c>
      <c r="F17" s="38">
        <f>IFERROR(C17 / (C17 + D17), "Not Available")</f>
        <v/>
      </c>
      <c r="G17" s="38">
        <f>IFERROR(C17 / B17, "Not Available")</f>
        <v/>
      </c>
      <c r="H17" s="38">
        <f>IFERROR(2*((F17*G17)/(F17+G17)),"Not Available")</f>
        <v/>
      </c>
    </row>
    <row r="18" ht="15.75" customHeight="1" s="81">
      <c r="A18" s="40" t="inlineStr">
        <is>
          <t>Region</t>
        </is>
      </c>
      <c r="B18" s="37">
        <f>COUNTIF(Dishwasher!$A$2:$A$48, A18)</f>
        <v/>
      </c>
      <c r="C18" s="38">
        <f>SUMIF('Claude Sonnet 4.5 Gen'!$A$2:$A$48, $A18, 'Claude Sonnet 4.5 Gen'!$C$2:$C$48)</f>
        <v/>
      </c>
      <c r="D18" s="38">
        <f>SUMIF('Claude Sonnet 4.5 Gen'!$A$49:$A$55, $A18, 'Claude Sonnet 4.5 Gen'!$C$49:$C$55)</f>
        <v/>
      </c>
      <c r="E18" s="38">
        <f>COUNTIFS('Claude Sonnet 4.5 Gen'!$A$2:$A$48, $A7, 'Claude Sonnet 4.5 Gen'!$C$2:$C$48,0)</f>
        <v/>
      </c>
      <c r="F18" s="38">
        <f>IFERROR(C18 / (C18 + D18), "Not Available")</f>
        <v/>
      </c>
      <c r="G18" s="38">
        <f>IFERROR(C18 / B18, "Not Available")</f>
        <v/>
      </c>
      <c r="H18" s="38">
        <f>IFERROR(2*((F18*G18)/(F18+G18)),"Not Available")</f>
        <v/>
      </c>
    </row>
    <row r="19" ht="15.75" customHeight="1" s="81">
      <c r="A19" s="40" t="inlineStr">
        <is>
          <t>History State</t>
        </is>
      </c>
      <c r="B19" s="37">
        <f>COUNTIF(Dishwasher!$A$2:$A$48, A19)</f>
        <v/>
      </c>
      <c r="C19" s="38">
        <f>SUMIF('Claude Sonnet 4.5 Gen'!$A$2:$A$48, $A19, 'Claude Sonnet 4.5 Gen'!$C$2:$C$48)</f>
        <v/>
      </c>
      <c r="D19" s="38">
        <f>SUMIF('Claude Sonnet 4.5 Gen'!$A$49:$A$55, $A19, 'Claude Sonnet 4.5 Gen'!$C$49:$C$55)</f>
        <v/>
      </c>
      <c r="E19" s="38">
        <f>COUNTIFS('Claude Sonnet 4.5 Gen'!$A$2:$A$48, $A8, 'Claude Sonnet 4.5 Gen'!$C$2:$C$48,0)</f>
        <v/>
      </c>
      <c r="F19" s="38">
        <f>IFERROR(C19 / (C19 + D19), "Not Available")</f>
        <v/>
      </c>
      <c r="G19" s="38">
        <f>IFERROR(C19 / B19, "Not Available")</f>
        <v/>
      </c>
      <c r="H19" s="38">
        <f>IFERROR(2*((F19*G19)/(F19+G19)),"Not Available")</f>
        <v/>
      </c>
    </row>
    <row r="20" ht="15.75" customHeight="1" s="81">
      <c r="A20" s="40" t="inlineStr">
        <is>
          <t>Guard</t>
        </is>
      </c>
      <c r="B20" s="37">
        <f>COUNTIF(Dishwasher!$A$2:$A$48, A20)</f>
        <v/>
      </c>
      <c r="C20" s="38">
        <f>SUMIF('Claude Sonnet 4.5 Gen'!$A$2:$A$48, $A20, 'Claude Sonnet 4.5 Gen'!$C$2:$C$48)</f>
        <v/>
      </c>
      <c r="D20" s="38">
        <f>SUMIF('Claude Sonnet 4.5 Gen'!$A$49:$A$55, $A20, 'Claude Sonnet 4.5 Gen'!$C$49:$C$55)</f>
        <v/>
      </c>
      <c r="E20" s="38">
        <f>COUNTIFS('Claude Sonnet 4.5 Gen'!$A$2:$A$48, $A9, 'Claude Sonnet 4.5 Gen'!$C$2:$C$48,0)</f>
        <v/>
      </c>
      <c r="F20" s="38">
        <f>IFERROR(C20 / (C20 + D20), "Not Available")</f>
        <v/>
      </c>
      <c r="G20" s="38">
        <f>IFERROR(C20 / B20, "Not Available")</f>
        <v/>
      </c>
      <c r="H20" s="38">
        <f>IFERROR(2*((F20*G20)/(F20+G20)),"Not Available")</f>
        <v/>
      </c>
    </row>
    <row r="21" ht="15.75" customHeight="1" s="81">
      <c r="A21" s="40" t="inlineStr">
        <is>
          <t>Overall Score</t>
        </is>
      </c>
      <c r="B21" s="38">
        <f>SUM(B14:B20)</f>
        <v/>
      </c>
      <c r="C21" s="38">
        <f>SUM(C14:C20)</f>
        <v/>
      </c>
      <c r="D21" s="38">
        <f>SUM(D14:D20)</f>
        <v/>
      </c>
      <c r="E21" s="38">
        <f>SUM(E14:E20)</f>
        <v/>
      </c>
      <c r="F21" s="38">
        <f>IFERROR(C21 / (C21 + D21), "Not Available")</f>
        <v/>
      </c>
      <c r="G21" s="38">
        <f>IFERROR(C21 / B21, "Not Available")</f>
        <v/>
      </c>
      <c r="H21" s="42">
        <f>IFERROR(2*((F21*G21)/(F21+G21)),"Not Available")</f>
        <v/>
      </c>
    </row>
    <row r="22" ht="15.75" customHeight="1" s="81">
      <c r="H22" s="43" t="n"/>
    </row>
    <row r="23" ht="15.75" customHeight="1" s="81"/>
    <row r="24" ht="15.75" customHeight="1" s="81"/>
    <row r="25" ht="15.75" customHeight="1" s="81"/>
    <row r="26" ht="15.75" customHeight="1" s="81"/>
    <row r="27" ht="15.75" customHeight="1" s="81"/>
    <row r="28" ht="15.75" customHeight="1" s="81"/>
    <row r="29" ht="15.75" customHeight="1" s="81"/>
    <row r="30" ht="15.75" customHeight="1" s="81"/>
    <row r="31" ht="15.75" customHeight="1" s="81"/>
    <row r="32" ht="15.75" customHeight="1" s="81"/>
    <row r="33" ht="15.75" customHeight="1" s="81"/>
    <row r="34" ht="15.75" customHeight="1" s="81"/>
    <row r="35" ht="15.75" customHeight="1" s="81"/>
    <row r="36" ht="15.75" customHeight="1" s="81"/>
    <row r="37" ht="15.75" customHeight="1" s="81"/>
    <row r="38" ht="15.75" customHeight="1" s="81"/>
    <row r="39" ht="15.75" customHeight="1" s="81"/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V8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34.13" customWidth="1" style="81" min="2" max="2"/>
    <col width="22.63" customWidth="1" style="81" min="3" max="3"/>
    <col width="23" customWidth="1" style="81" min="4" max="4"/>
    <col width="17.63" customWidth="1" style="81" min="5" max="6"/>
    <col width="23.38" customWidth="1" style="81" min="12" max="12"/>
    <col width="7.5" customWidth="1" style="81" min="13" max="13"/>
    <col width="56.13" customWidth="1" style="81" min="14" max="14"/>
  </cols>
  <sheetData>
    <row r="1" ht="15.75" customHeight="1" s="81">
      <c r="A1" s="10" t="inlineStr">
        <is>
          <t>Type</t>
        </is>
      </c>
      <c r="B1" s="11" t="inlineStr">
        <is>
          <t>Element</t>
        </is>
      </c>
      <c r="C1" s="44" t="inlineStr">
        <is>
          <t>Gemini 3 Pro</t>
        </is>
      </c>
      <c r="D1" s="44" t="inlineStr">
        <is>
          <t>Claude Sonnet 4.5</t>
        </is>
      </c>
      <c r="E1" s="45" t="n"/>
      <c r="F1" s="46" t="inlineStr">
        <is>
          <t>Confusion Matrix</t>
        </is>
      </c>
      <c r="L1" s="47" t="inlineStr">
        <is>
          <t>Cohen's Kappa</t>
        </is>
      </c>
      <c r="M1" s="82" t="n"/>
      <c r="N1" s="82" t="n"/>
      <c r="P1" s="46" t="n"/>
    </row>
    <row r="2" ht="15.75" customHeight="1" s="81">
      <c r="A2" s="46">
        <f>'Gemini 3 Pro Generation'!A2</f>
        <v/>
      </c>
      <c r="B2" s="69">
        <f>'Gemini 3 Pro Generation'!B2</f>
        <v/>
      </c>
      <c r="C2" s="19">
        <f>'Gemini 3 Pro Generation'!C2</f>
        <v/>
      </c>
      <c r="D2" s="19">
        <f>'Claude Sonnet 4.5 Gen'!C2</f>
        <v/>
      </c>
      <c r="E2" s="45" t="n"/>
      <c r="F2" s="11" t="inlineStr">
        <is>
          <t>Global</t>
        </is>
      </c>
      <c r="G2" s="49" t="inlineStr">
        <is>
          <t>0</t>
        </is>
      </c>
      <c r="H2" s="50" t="inlineStr">
        <is>
          <t>0.5</t>
        </is>
      </c>
      <c r="I2" s="51" t="inlineStr">
        <is>
          <t>1</t>
        </is>
      </c>
      <c r="J2" s="52" t="inlineStr">
        <is>
          <t>Row Totals</t>
        </is>
      </c>
      <c r="K2" s="11" t="n"/>
      <c r="L2" s="53" t="inlineStr">
        <is>
          <t>Metric</t>
        </is>
      </c>
      <c r="M2" s="53" t="inlineStr">
        <is>
          <t>Value</t>
        </is>
      </c>
      <c r="N2" s="53" t="inlineStr">
        <is>
          <t>Note</t>
        </is>
      </c>
      <c r="P2" s="27" t="n"/>
      <c r="Q2" s="27" t="n"/>
      <c r="R2" s="27" t="n"/>
      <c r="S2" s="27" t="n"/>
      <c r="T2" s="27" t="n"/>
      <c r="U2" s="27" t="n"/>
      <c r="V2" s="27" t="n"/>
    </row>
    <row r="3" ht="15.75" customHeight="1" s="81">
      <c r="A3" s="46">
        <f>'Gemini 3 Pro Generation'!A3</f>
        <v/>
      </c>
      <c r="B3" s="69">
        <f>'Gemini 3 Pro Generation'!B3</f>
        <v/>
      </c>
      <c r="C3" s="19">
        <f>'Gemini 3 Pro Generation'!C3</f>
        <v/>
      </c>
      <c r="D3" s="19">
        <f>'Claude Sonnet 4.5 Gen'!C3</f>
        <v/>
      </c>
      <c r="E3" s="45" t="n"/>
      <c r="F3" s="54" t="n">
        <v>0</v>
      </c>
      <c r="G3" s="55">
        <f>COUNTIFS($C$2:$C$92, $F3, $D$2:$D$92, G$2)</f>
        <v/>
      </c>
      <c r="H3" s="56">
        <f>COUNTIFS($C$2:$C$48, $F3, $D$2:$D$48, H$2)</f>
        <v/>
      </c>
      <c r="I3" s="57">
        <f>COUNTIFS($C$2:$C$48, $F3, $D$2:$D$48, I$2)+MAX(D49-C49,0)+MAX(D50-C50,0)+MAX(D51-C51,0)+MAX(D52-C52,0)+MAX(D53-C53,0)+MAX(D54-C54,0)+MAX(D55-C55,0)</f>
        <v/>
      </c>
      <c r="J3" s="11">
        <f>SUM(G3:I3)</f>
        <v/>
      </c>
      <c r="K3" s="11" t="n"/>
      <c r="L3" s="58" t="inlineStr">
        <is>
          <t>Observed Agreement (Po)</t>
        </is>
      </c>
      <c r="M3" s="55">
        <f>(G3+H4+I5)/COUNTA($C$2:$C$102)</f>
        <v/>
      </c>
      <c r="N3" s="57" t="inlineStr">
        <is>
          <t>This sums the diagonal of your matrix divided by total rows.</t>
        </is>
      </c>
      <c r="P3" s="27" t="n"/>
      <c r="Q3" s="27" t="n"/>
      <c r="R3" s="27" t="n"/>
      <c r="S3" s="27" t="n"/>
      <c r="T3" s="27" t="n"/>
      <c r="U3" s="27" t="n"/>
      <c r="V3" s="27" t="n"/>
    </row>
    <row r="4" ht="15.75" customHeight="1" s="81">
      <c r="A4" s="46">
        <f>'Gemini 3 Pro Generation'!A4</f>
        <v/>
      </c>
      <c r="B4" s="69">
        <f>'Gemini 3 Pro Generation'!B4</f>
        <v/>
      </c>
      <c r="C4" s="19">
        <f>'Gemini 3 Pro Generation'!C4</f>
        <v/>
      </c>
      <c r="D4" s="19">
        <f>'Claude Sonnet 4.5 Gen'!C4</f>
        <v/>
      </c>
      <c r="E4" s="45" t="n"/>
      <c r="F4" s="54" t="n">
        <v>0.5</v>
      </c>
      <c r="G4" s="59">
        <f>COUNTIFS($C$2:$C$48, $F4, $D$2:$D$48, G$2)</f>
        <v/>
      </c>
      <c r="H4" s="11">
        <f>COUNTIFS($C$2:$C$48, $F4, $D$2:$D$48, H$2)</f>
        <v/>
      </c>
      <c r="I4" s="60">
        <f>COUNTIFS($C$2:$C$48, $F4, $D$2:$D$48, I$2)</f>
        <v/>
      </c>
      <c r="J4" s="11">
        <f>SUM(G4:I4)</f>
        <v/>
      </c>
      <c r="K4" s="11" t="n"/>
      <c r="L4" s="58" t="inlineStr">
        <is>
          <t>Expected Agreement (Pe)</t>
        </is>
      </c>
      <c r="M4" s="59">
        <f t="array" ref="M4">SUMPRODUCT(J3:J5/COUNTA($C$2:$C$102), TRANSPOSE(G6:I6)/COUNTA($C$2:$C$102))</f>
        <v/>
      </c>
      <c r="N4" s="60" t="inlineStr">
        <is>
          <t>This computes the sum of row proportion times column proportion.</t>
        </is>
      </c>
      <c r="P4" s="27" t="n"/>
      <c r="Q4" s="27" t="n"/>
      <c r="R4" s="27" t="n"/>
      <c r="S4" s="27" t="n"/>
      <c r="T4" s="27" t="n"/>
      <c r="U4" s="27" t="n"/>
      <c r="V4" s="27" t="n"/>
    </row>
    <row r="5" ht="15.75" customHeight="1" s="81">
      <c r="A5" s="46">
        <f>'Gemini 3 Pro Generation'!A5</f>
        <v/>
      </c>
      <c r="B5" s="69">
        <f>'Gemini 3 Pro Generation'!B5</f>
        <v/>
      </c>
      <c r="C5" s="19">
        <f>'Gemini 3 Pro Generation'!C5</f>
        <v/>
      </c>
      <c r="D5" s="19">
        <f>'Claude Sonnet 4.5 Gen'!C5</f>
        <v/>
      </c>
      <c r="E5" s="45" t="n"/>
      <c r="F5" s="54" t="n">
        <v>1</v>
      </c>
      <c r="G5" s="61">
        <f>COUNTIFS($C$2:$C$48, $F5, $D$2:$D$48, G$2)+MAX(C49-D49,0)+MAX(C50-D50,0)+MAX(C51-D51,0)+MAX(C52-D52,0)+MAX(C53-D53,0)+MAX(C54-D54,0)+MAX(C55-D55,0)</f>
        <v/>
      </c>
      <c r="H5" s="62">
        <f>COUNTIFS($C$2:$C$48, $F5, $D$2:$D$48, H$2)</f>
        <v/>
      </c>
      <c r="I5" s="63">
        <f>COUNTIFS($C$2:$C$48, $F5, $D$2:$D$48, I$2)+ SUM(MIN(C49,D49), MIN(C50,D50), MIN(C51,D51), MIN(C52,D52), MIN(C53,D53), MIN(C54,D54), MIN(C55,D55))</f>
        <v/>
      </c>
      <c r="J5" s="11">
        <f>SUM(G5:I5)</f>
        <v/>
      </c>
      <c r="K5" s="11" t="n"/>
      <c r="L5" s="58" t="inlineStr">
        <is>
          <t>Cohen's Kappa</t>
        </is>
      </c>
      <c r="M5" s="61">
        <f>(M3-M4)/(1-M4)</f>
        <v/>
      </c>
      <c r="N5" s="63" t="inlineStr">
        <is>
          <t>(Po - Pe) / (1 - Pe)</t>
        </is>
      </c>
      <c r="P5" s="27" t="n"/>
      <c r="Q5" s="27" t="n"/>
      <c r="R5" s="27" t="n"/>
      <c r="S5" s="27" t="n"/>
      <c r="T5" s="27" t="n"/>
      <c r="U5" s="27" t="n"/>
      <c r="V5" s="27" t="n"/>
    </row>
    <row r="6" ht="15.75" customHeight="1" s="81">
      <c r="A6" s="46">
        <f>'Gemini 3 Pro Generation'!A6</f>
        <v/>
      </c>
      <c r="B6" s="69">
        <f>'Gemini 3 Pro Generation'!B6</f>
        <v/>
      </c>
      <c r="C6" s="19">
        <f>'Gemini 3 Pro Generation'!C6</f>
        <v/>
      </c>
      <c r="D6" s="19">
        <f>'Claude Sonnet 4.5 Gen'!C6</f>
        <v/>
      </c>
      <c r="E6" s="45" t="n"/>
      <c r="F6" s="64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 t="n"/>
      <c r="L6" s="11" t="n"/>
      <c r="M6" s="65" t="n"/>
      <c r="P6" s="27" t="n"/>
      <c r="Q6" s="27" t="n"/>
      <c r="R6" s="27" t="n"/>
      <c r="S6" s="27" t="n"/>
      <c r="T6" s="27" t="n"/>
      <c r="U6" s="27" t="n"/>
      <c r="V6" s="27" t="n"/>
    </row>
    <row r="7" ht="15.75" customHeight="1" s="81">
      <c r="A7" s="46">
        <f>'Gemini 3 Pro Generation'!A7</f>
        <v/>
      </c>
      <c r="B7" s="69">
        <f>'Gemini 3 Pro Generation'!B7</f>
        <v/>
      </c>
      <c r="C7" s="19">
        <f>'Gemini 3 Pro Generation'!C7</f>
        <v/>
      </c>
      <c r="D7" s="19">
        <f>'Claude Sonnet 4.5 Gen'!C7</f>
        <v/>
      </c>
      <c r="E7" s="45" t="n"/>
      <c r="L7" s="11" t="n"/>
      <c r="M7" s="11" t="n"/>
      <c r="N7" s="11" t="n"/>
      <c r="P7" s="27" t="n"/>
      <c r="Q7" s="27" t="n"/>
      <c r="R7" s="27" t="n"/>
      <c r="S7" s="27" t="n"/>
      <c r="T7" s="27" t="n"/>
      <c r="U7" s="27" t="n"/>
      <c r="V7" s="27" t="n"/>
    </row>
    <row r="8" ht="15.75" customHeight="1" s="81">
      <c r="A8" s="46">
        <f>'Gemini 3 Pro Generation'!A8</f>
        <v/>
      </c>
      <c r="B8" s="69">
        <f>'Gemini 3 Pro Generation'!B8</f>
        <v/>
      </c>
      <c r="C8" s="19">
        <f>'Gemini 3 Pro Generation'!C8</f>
        <v/>
      </c>
      <c r="D8" s="19">
        <f>'Claude Sonnet 4.5 Gen'!C8</f>
        <v/>
      </c>
      <c r="E8" s="45" t="n"/>
      <c r="F8" s="46" t="inlineStr">
        <is>
          <t>Confusion Matrix (State)</t>
        </is>
      </c>
      <c r="L8" s="47" t="inlineStr">
        <is>
          <t>Cohen's Kappa (State)</t>
        </is>
      </c>
      <c r="M8" s="82" t="n"/>
      <c r="N8" s="82" t="n"/>
      <c r="P8" s="27" t="n"/>
      <c r="Q8" s="27" t="n"/>
      <c r="R8" s="27" t="n"/>
      <c r="S8" s="27" t="n"/>
      <c r="T8" s="27" t="n"/>
      <c r="U8" s="27" t="n"/>
      <c r="V8" s="27" t="n"/>
    </row>
    <row r="9" ht="15.75" customHeight="1" s="81">
      <c r="A9" s="46">
        <f>'Gemini 3 Pro Generation'!A9</f>
        <v/>
      </c>
      <c r="B9" s="69">
        <f>'Gemini 3 Pro Generation'!B9</f>
        <v/>
      </c>
      <c r="C9" s="19">
        <f>'Gemini 3 Pro Generation'!C9</f>
        <v/>
      </c>
      <c r="D9" s="19">
        <f>'Claude Sonnet 4.5 Gen'!C9</f>
        <v/>
      </c>
      <c r="E9" s="45" t="n"/>
      <c r="F9" s="11" t="inlineStr">
        <is>
          <t>State</t>
        </is>
      </c>
      <c r="G9" s="66" t="inlineStr">
        <is>
          <t>0</t>
        </is>
      </c>
      <c r="H9" s="66" t="inlineStr">
        <is>
          <t>0.5</t>
        </is>
      </c>
      <c r="I9" s="66" t="inlineStr">
        <is>
          <t>1</t>
        </is>
      </c>
      <c r="J9" s="67" t="inlineStr">
        <is>
          <t>Row Totals</t>
        </is>
      </c>
      <c r="K9" s="11" t="n"/>
      <c r="L9" s="53" t="inlineStr">
        <is>
          <t>Metric</t>
        </is>
      </c>
      <c r="M9" s="53" t="inlineStr">
        <is>
          <t>Value</t>
        </is>
      </c>
      <c r="N9" s="53" t="inlineStr">
        <is>
          <t>Note</t>
        </is>
      </c>
    </row>
    <row r="10" ht="15.75" customHeight="1" s="81">
      <c r="A10" s="46">
        <f>'Gemini 3 Pro Generation'!A10</f>
        <v/>
      </c>
      <c r="B10" s="69">
        <f>'Gemini 3 Pro Generation'!B10</f>
        <v/>
      </c>
      <c r="C10" s="19">
        <f>'Gemini 3 Pro Generation'!C10</f>
        <v/>
      </c>
      <c r="D10" s="19">
        <f>'Claude Sonnet 4.5 Gen'!C10</f>
        <v/>
      </c>
      <c r="E10" s="45" t="n"/>
      <c r="F10" s="54" t="n">
        <v>0</v>
      </c>
      <c r="G10" s="55">
        <f>COUNTIFS($A$2:$A$92,$F$9,$C$2:$C$92,$F10,$D$2:$D$92,G$9)</f>
        <v/>
      </c>
      <c r="H10" s="56">
        <f>COUNTIFS($A$2:$A$92,$F$9,$C$2:$C$92,$F10,$D$2:$D$92,H$9)</f>
        <v/>
      </c>
      <c r="I10" s="57">
        <f>COUNTIFS($A$2:$A$48,$F$9,$C$2:$C$48,$F10,$D$2:$D$48,I$9)+MAX(D49-C49,0)</f>
        <v/>
      </c>
      <c r="J10" s="11">
        <f>SUM(G10:I10)</f>
        <v/>
      </c>
      <c r="K10" s="11" t="n"/>
      <c r="L10" s="58" t="inlineStr">
        <is>
          <t>Observed Agreement (Po)</t>
        </is>
      </c>
      <c r="M10" s="55">
        <f>(G10+H11+I12)/COUNTIF($A$2:$A$102,F9)</f>
        <v/>
      </c>
      <c r="N10" s="57" t="inlineStr">
        <is>
          <t>This sums the diagonal of your matrix divided by total rows.</t>
        </is>
      </c>
    </row>
    <row r="11" ht="15.75" customHeight="1" s="81">
      <c r="A11" s="46">
        <f>'Gemini 3 Pro Generation'!A11</f>
        <v/>
      </c>
      <c r="B11" s="69">
        <f>'Gemini 3 Pro Generation'!B11</f>
        <v/>
      </c>
      <c r="C11" s="19">
        <f>'Gemini 3 Pro Generation'!C11</f>
        <v/>
      </c>
      <c r="D11" s="19">
        <f>'Claude Sonnet 4.5 Gen'!C11</f>
        <v/>
      </c>
      <c r="E11" s="45" t="n"/>
      <c r="F11" s="54" t="n">
        <v>0.5</v>
      </c>
      <c r="G11" s="59">
        <f>COUNTIFS($A$2:$A$92,$F$9,$C$2:$C$92,$F11,$D$2:$D$92,G$9)</f>
        <v/>
      </c>
      <c r="H11" s="11">
        <f>COUNTIFS($A$2:$A$92,$F$9,$C$2:$C$92,$F11,$D$2:$D$92,H$9)</f>
        <v/>
      </c>
      <c r="I11" s="60">
        <f>COUNTIFS($A$2:$A$92,$F$9,$C$2:$C$92,$F11,$D$2:$D$92,I$9)</f>
        <v/>
      </c>
      <c r="J11" s="11">
        <f>SUM(G11:I11)</f>
        <v/>
      </c>
      <c r="K11" s="11" t="n"/>
      <c r="L11" s="58" t="inlineStr">
        <is>
          <t>Expected Agreement (Pe)</t>
        </is>
      </c>
      <c r="M11" s="59">
        <f t="array" ref="M11">SUMPRODUCT(J10:J12/COUNTIF($A$2:$A$102,F9), TRANSPOSE(G13:I13)/COUNTIF($A$2:$A$102,F9))</f>
        <v/>
      </c>
      <c r="N11" s="60" t="inlineStr">
        <is>
          <t>This computes the sum of row proportion times column proportion.</t>
        </is>
      </c>
    </row>
    <row r="12" ht="15.75" customHeight="1" s="81">
      <c r="A12" s="46">
        <f>'Gemini 3 Pro Generation'!A12</f>
        <v/>
      </c>
      <c r="B12" s="69">
        <f>'Gemini 3 Pro Generation'!B12</f>
        <v/>
      </c>
      <c r="C12" s="19">
        <f>'Gemini 3 Pro Generation'!C12</f>
        <v/>
      </c>
      <c r="D12" s="19">
        <f>'Claude Sonnet 4.5 Gen'!C12</f>
        <v/>
      </c>
      <c r="E12" s="45" t="n"/>
      <c r="F12" s="54" t="n">
        <v>1</v>
      </c>
      <c r="G12" s="61">
        <f>COUNTIFS($A$2:$A$48,$F$9,$C$2:$C$48,$F12,$D$2:$D$48,G$9)+MAX(C49-D49,0)</f>
        <v/>
      </c>
      <c r="H12" s="62">
        <f>COUNTIFS($A$2:$A$92,$F$9,$C$2:$C$92,$F12,$D$2:$D$92,H$9)</f>
        <v/>
      </c>
      <c r="I12" s="63">
        <f>COUNTIFS($A$2:$A$48,$F$9,$C$2:$C$48,$F12,$D$2:$D$48,I$9)+MIN(C49-D49)</f>
        <v/>
      </c>
      <c r="J12" s="11">
        <f>SUM(G12:I12)</f>
        <v/>
      </c>
      <c r="K12" s="11" t="n"/>
      <c r="L12" s="58" t="inlineStr">
        <is>
          <t>Cohen's Kappa</t>
        </is>
      </c>
      <c r="M12" s="61">
        <f>(M10-M11)/(1-M11)</f>
        <v/>
      </c>
      <c r="N12" s="63" t="inlineStr">
        <is>
          <t>(Po - Pe) / (1 - Pe)</t>
        </is>
      </c>
    </row>
    <row r="13" ht="15.75" customHeight="1" s="81">
      <c r="A13" s="46">
        <f>'Gemini 3 Pro Generation'!A13</f>
        <v/>
      </c>
      <c r="B13" s="69">
        <f>'Gemini 3 Pro Generation'!B13</f>
        <v/>
      </c>
      <c r="C13" s="19">
        <f>'Gemini 3 Pro Generation'!C13</f>
        <v/>
      </c>
      <c r="D13" s="19">
        <f>'Claude Sonnet 4.5 Gen'!C13</f>
        <v/>
      </c>
      <c r="E13" s="45" t="n"/>
      <c r="F13" s="64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 t="n"/>
      <c r="L13" s="11" t="n"/>
      <c r="M13" s="65" t="n"/>
    </row>
    <row r="14" ht="15.75" customHeight="1" s="81">
      <c r="A14" s="46">
        <f>'Gemini 3 Pro Generation'!A14</f>
        <v/>
      </c>
      <c r="B14" s="69">
        <f>'Gemini 3 Pro Generation'!B14</f>
        <v/>
      </c>
      <c r="C14" s="19">
        <f>'Gemini 3 Pro Generation'!C14</f>
        <v/>
      </c>
      <c r="D14" s="19">
        <f>'Claude Sonnet 4.5 Gen'!C14</f>
        <v/>
      </c>
      <c r="E14" s="45" t="n"/>
    </row>
    <row r="15" ht="15.75" customHeight="1" s="81">
      <c r="A15" s="46">
        <f>'Gemini 3 Pro Generation'!A15</f>
        <v/>
      </c>
      <c r="B15" s="69">
        <f>'Gemini 3 Pro Generation'!B15</f>
        <v/>
      </c>
      <c r="C15" s="19">
        <f>'Gemini 3 Pro Generation'!C15</f>
        <v/>
      </c>
      <c r="D15" s="19">
        <f>'Claude Sonnet 4.5 Gen'!C15</f>
        <v/>
      </c>
      <c r="E15" s="45" t="n"/>
      <c r="F15" s="46" t="inlineStr">
        <is>
          <t>Confusion Matrix (Transition)</t>
        </is>
      </c>
      <c r="L15" s="47" t="inlineStr">
        <is>
          <t>Cohen's Kappa (Transition)</t>
        </is>
      </c>
      <c r="M15" s="82" t="n"/>
      <c r="N15" s="82" t="n"/>
    </row>
    <row r="16" ht="15.75" customHeight="1" s="81">
      <c r="A16" s="46">
        <f>'Gemini 3 Pro Generation'!A16</f>
        <v/>
      </c>
      <c r="B16" s="69">
        <f>'Gemini 3 Pro Generation'!B16</f>
        <v/>
      </c>
      <c r="C16" s="19">
        <f>'Gemini 3 Pro Generation'!C16</f>
        <v/>
      </c>
      <c r="D16" s="19">
        <f>'Claude Sonnet 4.5 Gen'!C16</f>
        <v/>
      </c>
      <c r="E16" s="45" t="n"/>
      <c r="F16" s="11" t="inlineStr">
        <is>
          <t>Transition</t>
        </is>
      </c>
      <c r="G16" s="66" t="inlineStr">
        <is>
          <t>0</t>
        </is>
      </c>
      <c r="H16" s="66" t="inlineStr">
        <is>
          <t>0.5</t>
        </is>
      </c>
      <c r="I16" s="66" t="inlineStr">
        <is>
          <t>1</t>
        </is>
      </c>
      <c r="J16" s="67" t="inlineStr">
        <is>
          <t>Row Totals</t>
        </is>
      </c>
      <c r="K16" s="11" t="n"/>
      <c r="L16" s="53" t="inlineStr">
        <is>
          <t>Metric</t>
        </is>
      </c>
      <c r="M16" s="53" t="inlineStr">
        <is>
          <t>Value</t>
        </is>
      </c>
      <c r="N16" s="53" t="inlineStr">
        <is>
          <t>Note</t>
        </is>
      </c>
    </row>
    <row r="17" ht="15.75" customHeight="1" s="81">
      <c r="A17" s="46">
        <f>'Gemini 3 Pro Generation'!A17</f>
        <v/>
      </c>
      <c r="B17" s="69">
        <f>'Gemini 3 Pro Generation'!B17</f>
        <v/>
      </c>
      <c r="C17" s="19">
        <f>'Gemini 3 Pro Generation'!C17</f>
        <v/>
      </c>
      <c r="D17" s="19">
        <f>'Claude Sonnet 4.5 Gen'!C17</f>
        <v/>
      </c>
      <c r="E17" s="45" t="n"/>
      <c r="F17" s="54" t="n">
        <v>0</v>
      </c>
      <c r="G17" s="55">
        <f>COUNTIFS($A$2:$A$92,$F$16,$C$2:$C$92,$F17,$D$2:$D$92,G$16)</f>
        <v/>
      </c>
      <c r="H17" s="56">
        <f>COUNTIFS($A$2:$A$92,$F$16,$C$2:$C$92,$F17,$D$2:$D$92,H$16)</f>
        <v/>
      </c>
      <c r="I17" s="57">
        <f>COUNTIFS($A$2:$A$48,$F$16,$C$2:$C$48,$F17,$D$2:$D$48,I$16) + MAX(D50-C50,0)</f>
        <v/>
      </c>
      <c r="J17" s="11">
        <f>SUM(G17:I17)</f>
        <v/>
      </c>
      <c r="K17" s="11" t="n"/>
      <c r="L17" s="58" t="inlineStr">
        <is>
          <t>Observed Agreement (Po)</t>
        </is>
      </c>
      <c r="M17" s="55">
        <f>(G17+H18+I19)/COUNTIF($A$2:$A$102,F16)</f>
        <v/>
      </c>
      <c r="N17" s="57" t="inlineStr">
        <is>
          <t>This sums the diagonal of your matrix divided by total rows.</t>
        </is>
      </c>
    </row>
    <row r="18" ht="15.75" customHeight="1" s="81">
      <c r="A18" s="46">
        <f>'Gemini 3 Pro Generation'!A18</f>
        <v/>
      </c>
      <c r="B18" s="69">
        <f>'Gemini 3 Pro Generation'!B18</f>
        <v/>
      </c>
      <c r="C18" s="19">
        <f>'Gemini 3 Pro Generation'!C18</f>
        <v/>
      </c>
      <c r="D18" s="19">
        <f>'Claude Sonnet 4.5 Gen'!C18</f>
        <v/>
      </c>
      <c r="E18" s="45" t="n"/>
      <c r="F18" s="54" t="n">
        <v>0.5</v>
      </c>
      <c r="G18" s="59">
        <f>COUNTIFS($A$2:$A$92,$F$16,$C$2:$C$92,$F18,$D$2:$D$92,G$16)</f>
        <v/>
      </c>
      <c r="H18" s="11">
        <f>COUNTIFS($A$2:$A$92,$F$16,$C$2:$C$92,$F18,$D$2:$D$92,H$16)</f>
        <v/>
      </c>
      <c r="I18" s="60">
        <f>COUNTIFS($A$2:$A$92,$F$16,$C$2:$C$92,$F18,$D$2:$D$92,I$16)</f>
        <v/>
      </c>
      <c r="J18" s="11">
        <f>SUM(G18:I18)</f>
        <v/>
      </c>
      <c r="K18" s="11" t="n"/>
      <c r="L18" s="58" t="inlineStr">
        <is>
          <t>Expected Agreement (Pe)</t>
        </is>
      </c>
      <c r="M18" s="59">
        <f t="array" ref="M18">SUMPRODUCT(J17:J19/COUNTIF($A$2:$A$102,F16), TRANSPOSE(G20:I20)/COUNTIF($A$2:$A$102,F16))</f>
        <v/>
      </c>
      <c r="N18" s="60" t="inlineStr">
        <is>
          <t>This computes the sum of row proportion times column proportion.</t>
        </is>
      </c>
    </row>
    <row r="19" ht="15.75" customHeight="1" s="81">
      <c r="A19" s="46">
        <f>'Gemini 3 Pro Generation'!A19</f>
        <v/>
      </c>
      <c r="B19" s="69">
        <f>'Gemini 3 Pro Generation'!B19</f>
        <v/>
      </c>
      <c r="C19" s="19">
        <f>'Gemini 3 Pro Generation'!C19</f>
        <v/>
      </c>
      <c r="D19" s="19">
        <f>'Claude Sonnet 4.5 Gen'!C19</f>
        <v/>
      </c>
      <c r="E19" s="45" t="n"/>
      <c r="F19" s="54" t="n">
        <v>1</v>
      </c>
      <c r="G19" s="61">
        <f>COUNTIFS($A$2:$A$48,$F$16,$C$2:$C$48,$F19,$D$2:$D$48,G$16)+MAX(C50-D50,0)</f>
        <v/>
      </c>
      <c r="H19" s="62">
        <f>COUNTIFS($A$2:$A$92,$F$16,$C$2:$C$92,$F19,$D$2:$D$92,H$16)</f>
        <v/>
      </c>
      <c r="I19" s="63">
        <f>COUNTIFS($A$2:$A$48,$F$16,$C$2:$C$48,$F19,$D$2:$D$48,I$16) + MIN(C50,D50)</f>
        <v/>
      </c>
      <c r="J19" s="11">
        <f>SUM(G19:I19)</f>
        <v/>
      </c>
      <c r="K19" s="11" t="n"/>
      <c r="L19" s="58" t="inlineStr">
        <is>
          <t>Cohen's Kappa</t>
        </is>
      </c>
      <c r="M19" s="61">
        <f>(M17-M18)/(1-M18)</f>
        <v/>
      </c>
      <c r="N19" s="63" t="inlineStr">
        <is>
          <t>(Po - Pe) / (1 - Pe)</t>
        </is>
      </c>
    </row>
    <row r="20" ht="15.75" customHeight="1" s="81">
      <c r="A20" s="46">
        <f>'Gemini 3 Pro Generation'!A20</f>
        <v/>
      </c>
      <c r="B20" s="69">
        <f>'Gemini 3 Pro Generation'!B20</f>
        <v/>
      </c>
      <c r="C20" s="19">
        <f>'Gemini 3 Pro Generation'!C20</f>
        <v/>
      </c>
      <c r="D20" s="19">
        <f>'Claude Sonnet 4.5 Gen'!C20</f>
        <v/>
      </c>
      <c r="E20" s="45" t="n"/>
      <c r="F20" s="64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 t="n"/>
      <c r="L20" s="11" t="n"/>
      <c r="M20" s="65" t="n"/>
    </row>
    <row r="21" ht="15.75" customHeight="1" s="81">
      <c r="A21" s="46">
        <f>'Gemini 3 Pro Generation'!A21</f>
        <v/>
      </c>
      <c r="B21" s="69">
        <f>'Gemini 3 Pro Generation'!B21</f>
        <v/>
      </c>
      <c r="C21" s="19">
        <f>'Gemini 3 Pro Generation'!C21</f>
        <v/>
      </c>
      <c r="D21" s="19">
        <f>'Claude Sonnet 4.5 Gen'!C21</f>
        <v/>
      </c>
      <c r="E21" s="45" t="n"/>
    </row>
    <row r="22" ht="15.75" customHeight="1" s="81">
      <c r="A22" s="46">
        <f>'Gemini 3 Pro Generation'!A22</f>
        <v/>
      </c>
      <c r="B22" s="69">
        <f>'Gemini 3 Pro Generation'!B22</f>
        <v/>
      </c>
      <c r="C22" s="19">
        <f>'Gemini 3 Pro Generation'!C22</f>
        <v/>
      </c>
      <c r="D22" s="19">
        <f>'Claude Sonnet 4.5 Gen'!C22</f>
        <v/>
      </c>
      <c r="E22" s="45" t="n"/>
      <c r="F22" s="46" t="inlineStr">
        <is>
          <t>Confusion Matrix (Composite State)</t>
        </is>
      </c>
      <c r="L22" s="47" t="inlineStr">
        <is>
          <t>Cohen's Kappa (Composite State)</t>
        </is>
      </c>
      <c r="M22" s="82" t="n"/>
      <c r="N22" s="82" t="n"/>
    </row>
    <row r="23" ht="15.75" customHeight="1" s="81">
      <c r="A23" s="46">
        <f>'Gemini 3 Pro Generation'!A23</f>
        <v/>
      </c>
      <c r="B23" s="69">
        <f>'Gemini 3 Pro Generation'!B23</f>
        <v/>
      </c>
      <c r="C23" s="19">
        <f>'Gemini 3 Pro Generation'!C23</f>
        <v/>
      </c>
      <c r="D23" s="19">
        <f>'Claude Sonnet 4.5 Gen'!C23</f>
        <v/>
      </c>
      <c r="E23" s="45" t="n"/>
      <c r="F23" s="11" t="inlineStr">
        <is>
          <t>Composite State</t>
        </is>
      </c>
      <c r="G23" s="66" t="inlineStr">
        <is>
          <t>0</t>
        </is>
      </c>
      <c r="H23" s="66" t="inlineStr">
        <is>
          <t>0.5</t>
        </is>
      </c>
      <c r="I23" s="66" t="inlineStr">
        <is>
          <t>1</t>
        </is>
      </c>
      <c r="J23" s="67" t="inlineStr">
        <is>
          <t>Row Totals</t>
        </is>
      </c>
      <c r="K23" s="11" t="n"/>
      <c r="L23" s="53" t="inlineStr">
        <is>
          <t>Metric</t>
        </is>
      </c>
      <c r="M23" s="53" t="inlineStr">
        <is>
          <t>Value</t>
        </is>
      </c>
      <c r="N23" s="53" t="inlineStr">
        <is>
          <t>Note</t>
        </is>
      </c>
    </row>
    <row r="24" ht="15.75" customHeight="1" s="81">
      <c r="A24" s="46">
        <f>'Gemini 3 Pro Generation'!A24</f>
        <v/>
      </c>
      <c r="B24" s="69">
        <f>'Gemini 3 Pro Generation'!B24</f>
        <v/>
      </c>
      <c r="C24" s="19">
        <f>'Gemini 3 Pro Generation'!C24</f>
        <v/>
      </c>
      <c r="D24" s="19">
        <f>'Claude Sonnet 4.5 Gen'!C24</f>
        <v/>
      </c>
      <c r="E24" s="45" t="n"/>
      <c r="F24" s="54" t="n">
        <v>0</v>
      </c>
      <c r="G24" s="55">
        <f>COUNTIFS($A$2:$A$92,$F$23,$C$2:$C$92,$F24,$D$2:$D$92,G$23)</f>
        <v/>
      </c>
      <c r="H24" s="56">
        <f>COUNTIFS($A$2:$A$92,$F$23,$C$2:$C$92,$F24,$D$2:$D$92,H$23)</f>
        <v/>
      </c>
      <c r="I24" s="57">
        <f>COUNTIFS($A$2:$A$48,$F$23,$C$2:$C$48,$F24,$D$2:$D$48,I$23) + MAX(D53-C53,0)</f>
        <v/>
      </c>
      <c r="J24" s="11">
        <f>SUM(G24:I24)</f>
        <v/>
      </c>
      <c r="K24" s="11" t="n"/>
      <c r="L24" s="58" t="inlineStr">
        <is>
          <t>Observed Agreement (Po)</t>
        </is>
      </c>
      <c r="M24" s="55">
        <f>(G24+H25+I26)/COUNTIF($A$2:$A$102,F23)</f>
        <v/>
      </c>
      <c r="N24" s="57" t="inlineStr">
        <is>
          <t>This sums the diagonal of your matrix divided by total rows.</t>
        </is>
      </c>
    </row>
    <row r="25" ht="15.75" customHeight="1" s="81">
      <c r="A25" s="46">
        <f>'Gemini 3 Pro Generation'!A25</f>
        <v/>
      </c>
      <c r="B25" s="69">
        <f>'Gemini 3 Pro Generation'!B25</f>
        <v/>
      </c>
      <c r="C25" s="19">
        <f>'Gemini 3 Pro Generation'!C25</f>
        <v/>
      </c>
      <c r="D25" s="19">
        <f>'Claude Sonnet 4.5 Gen'!C25</f>
        <v/>
      </c>
      <c r="E25" s="45" t="n"/>
      <c r="F25" s="54" t="n">
        <v>0.5</v>
      </c>
      <c r="G25" s="59">
        <f>COUNTIFS($A$2:$A$92,$F$23,$C$2:$C$92,$F25,$D$2:$D$92,G$23)</f>
        <v/>
      </c>
      <c r="H25" s="11">
        <f>COUNTIFS($A$2:$A$92,$F$23,$C$2:$C$92,$F25,$D$2:$D$92,H$23)</f>
        <v/>
      </c>
      <c r="I25" s="60">
        <f>COUNTIFS($A$2:$A$92,$F$23,$C$2:$C$92,$F25,$D$2:$D$92,I$23)</f>
        <v/>
      </c>
      <c r="J25" s="11">
        <f>SUM(G25:I25)</f>
        <v/>
      </c>
      <c r="K25" s="11" t="n"/>
      <c r="L25" s="58" t="inlineStr">
        <is>
          <t>Expected Agreement (Pe)</t>
        </is>
      </c>
      <c r="M25" s="59">
        <f t="array" ref="M25">SUMPRODUCT(J24:J26/COUNTIF($A$2:$A$102,F23), TRANSPOSE(G27:I27)/COUNTIF($A$2:$A$102,F23))</f>
        <v/>
      </c>
      <c r="N25" s="60" t="inlineStr">
        <is>
          <t>This computes the sum of row proportion times column proportion.</t>
        </is>
      </c>
    </row>
    <row r="26" ht="15.75" customHeight="1" s="81">
      <c r="A26" s="46">
        <f>'Gemini 3 Pro Generation'!A26</f>
        <v/>
      </c>
      <c r="B26" s="69">
        <f>'Gemini 3 Pro Generation'!B26</f>
        <v/>
      </c>
      <c r="C26" s="19">
        <f>'Gemini 3 Pro Generation'!C26</f>
        <v/>
      </c>
      <c r="D26" s="19">
        <f>'Claude Sonnet 4.5 Gen'!C26</f>
        <v/>
      </c>
      <c r="E26" s="45" t="n"/>
      <c r="F26" s="54" t="n">
        <v>1</v>
      </c>
      <c r="G26" s="61">
        <f>COUNTIFS($A$2:$A$48,$F$23,$C$2:$C$48,$F26,$D$2:$D$48,G$23) + MAX(C53-D53,0)</f>
        <v/>
      </c>
      <c r="H26" s="62">
        <f>COUNTIFS($A$2:$A$92,$F$23,$C$2:$C$92,$F26,$D$2:$D$92,H$23)</f>
        <v/>
      </c>
      <c r="I26" s="63">
        <f>COUNTIFS($A$2:$A$48,$F$23,$C$2:$C$48,$F26,$D$2:$D$48,I$23) + MIN(C53,D53)</f>
        <v/>
      </c>
      <c r="J26" s="11">
        <f>SUM(G26:I26)</f>
        <v/>
      </c>
      <c r="K26" s="11" t="n"/>
      <c r="L26" s="58" t="inlineStr">
        <is>
          <t>Cohen's Kappa</t>
        </is>
      </c>
      <c r="M26" s="61">
        <f>(M24-M25)/(1-M25)</f>
        <v/>
      </c>
      <c r="N26" s="63" t="inlineStr">
        <is>
          <t>(Po - Pe) / (1 - Pe)</t>
        </is>
      </c>
    </row>
    <row r="27" ht="15.75" customHeight="1" s="81">
      <c r="A27" s="46">
        <f>'Gemini 3 Pro Generation'!A27</f>
        <v/>
      </c>
      <c r="B27" s="69">
        <f>'Gemini 3 Pro Generation'!B27</f>
        <v/>
      </c>
      <c r="C27" s="19">
        <f>'Gemini 3 Pro Generation'!C27</f>
        <v/>
      </c>
      <c r="D27" s="19">
        <f>'Claude Sonnet 4.5 Gen'!C27</f>
        <v/>
      </c>
      <c r="E27" s="45" t="n"/>
      <c r="F27" s="64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 t="n"/>
      <c r="L27" s="11" t="n"/>
      <c r="M27" s="65" t="n"/>
    </row>
    <row r="28" ht="15.75" customHeight="1" s="81">
      <c r="A28" s="46">
        <f>'Gemini 3 Pro Generation'!A28</f>
        <v/>
      </c>
      <c r="B28" s="69">
        <f>'Gemini 3 Pro Generation'!B28</f>
        <v/>
      </c>
      <c r="C28" s="19">
        <f>'Gemini 3 Pro Generation'!C28</f>
        <v/>
      </c>
      <c r="D28" s="19">
        <f>'Claude Sonnet 4.5 Gen'!C28</f>
        <v/>
      </c>
      <c r="E28" s="45" t="n"/>
    </row>
    <row r="29" ht="15.75" customHeight="1" s="81">
      <c r="A29" s="46">
        <f>'Gemini 3 Pro Generation'!A29</f>
        <v/>
      </c>
      <c r="B29" s="69">
        <f>'Gemini 3 Pro Generation'!B29</f>
        <v/>
      </c>
      <c r="C29" s="19">
        <f>'Gemini 3 Pro Generation'!C29</f>
        <v/>
      </c>
      <c r="D29" s="19">
        <f>'Claude Sonnet 4.5 Gen'!C29</f>
        <v/>
      </c>
      <c r="E29" s="45" t="n"/>
      <c r="F29" s="46" t="inlineStr">
        <is>
          <t>Confusion Matrix (Guard)</t>
        </is>
      </c>
      <c r="L29" s="47" t="inlineStr">
        <is>
          <t>Cohen's Kappa (Guard)</t>
        </is>
      </c>
      <c r="M29" s="82" t="n"/>
      <c r="N29" s="82" t="n"/>
    </row>
    <row r="30" ht="15.75" customHeight="1" s="81">
      <c r="A30" s="46">
        <f>'Gemini 3 Pro Generation'!A30</f>
        <v/>
      </c>
      <c r="B30" s="69">
        <f>'Gemini 3 Pro Generation'!B30</f>
        <v/>
      </c>
      <c r="C30" s="19">
        <f>'Gemini 3 Pro Generation'!C30</f>
        <v/>
      </c>
      <c r="D30" s="19">
        <f>'Claude Sonnet 4.5 Gen'!C30</f>
        <v/>
      </c>
      <c r="E30" s="45" t="n"/>
      <c r="F30" s="11" t="inlineStr">
        <is>
          <t>Guard</t>
        </is>
      </c>
      <c r="G30" s="66" t="inlineStr">
        <is>
          <t>0</t>
        </is>
      </c>
      <c r="H30" s="66" t="inlineStr">
        <is>
          <t>0.5</t>
        </is>
      </c>
      <c r="I30" s="66" t="inlineStr">
        <is>
          <t>1</t>
        </is>
      </c>
      <c r="J30" s="67" t="inlineStr">
        <is>
          <t>Row Totals</t>
        </is>
      </c>
      <c r="K30" s="11" t="n"/>
      <c r="L30" s="53" t="inlineStr">
        <is>
          <t>Metric</t>
        </is>
      </c>
      <c r="M30" s="53" t="inlineStr">
        <is>
          <t>Value</t>
        </is>
      </c>
      <c r="N30" s="53" t="inlineStr">
        <is>
          <t>Note</t>
        </is>
      </c>
    </row>
    <row r="31" ht="15.75" customHeight="1" s="81">
      <c r="A31" s="46">
        <f>'Gemini 3 Pro Generation'!A31</f>
        <v/>
      </c>
      <c r="B31" s="69">
        <f>'Gemini 3 Pro Generation'!B31</f>
        <v/>
      </c>
      <c r="C31" s="19">
        <f>'Gemini 3 Pro Generation'!C31</f>
        <v/>
      </c>
      <c r="D31" s="19">
        <f>'Claude Sonnet 4.5 Gen'!C31</f>
        <v/>
      </c>
      <c r="E31" s="45" t="n"/>
      <c r="F31" s="54" t="n">
        <v>0</v>
      </c>
      <c r="G31" s="55">
        <f>COUNTIFS($A$2:$A$92,$F$30,$C$2:$C$92,$F31,$D$2:$D$92,G$30)</f>
        <v/>
      </c>
      <c r="H31" s="56">
        <f>COUNTIFS($A$2:$A$92,$F$30,$C$2:$C$92,$F31,$D$2:$D$92,H$30)</f>
        <v/>
      </c>
      <c r="I31" s="57">
        <f>COUNTIFS($A$2:$A$48,$F$30,$C$2:$C$48,$F31,$D$2:$D$48,I$30) + MAX(D51-C51,0)</f>
        <v/>
      </c>
      <c r="J31" s="11">
        <f>SUM(G31:I31)</f>
        <v/>
      </c>
      <c r="K31" s="11" t="n"/>
      <c r="L31" s="58" t="inlineStr">
        <is>
          <t>Observed Agreement (Po)</t>
        </is>
      </c>
      <c r="M31" s="55">
        <f>(G31+H32+I33)/COUNTIF($A$2:$A$102,F30)</f>
        <v/>
      </c>
      <c r="N31" s="57" t="inlineStr">
        <is>
          <t>This sums the diagonal of your matrix divided by total rows.</t>
        </is>
      </c>
    </row>
    <row r="32" ht="15.75" customHeight="1" s="81">
      <c r="A32" s="46">
        <f>'Gemini 3 Pro Generation'!A32</f>
        <v/>
      </c>
      <c r="B32" s="69">
        <f>'Gemini 3 Pro Generation'!B32</f>
        <v/>
      </c>
      <c r="C32" s="19">
        <f>'Gemini 3 Pro Generation'!C32</f>
        <v/>
      </c>
      <c r="D32" s="19">
        <f>'Claude Sonnet 4.5 Gen'!C32</f>
        <v/>
      </c>
      <c r="E32" s="45" t="n"/>
      <c r="F32" s="54" t="n">
        <v>0.5</v>
      </c>
      <c r="G32" s="59">
        <f>COUNTIFS($A$2:$A$92,$F$30,$C$2:$C$92,$F32,$D$2:$D$92,G$30)</f>
        <v/>
      </c>
      <c r="H32" s="11">
        <f>COUNTIFS($A$2:$A$92,$F$30,$C$2:$C$92,$F32,$D$2:$D$92,H$30)</f>
        <v/>
      </c>
      <c r="I32" s="60">
        <f>COUNTIFS($A$2:$A$92,$F$30,$C$2:$C$92,$F32,$D$2:$D$92,I$30)</f>
        <v/>
      </c>
      <c r="J32" s="11">
        <f>SUM(G32:I32)</f>
        <v/>
      </c>
      <c r="K32" s="11" t="n"/>
      <c r="L32" s="58" t="inlineStr">
        <is>
          <t>Expected Agreement (Pe)</t>
        </is>
      </c>
      <c r="M32" s="59">
        <f t="array" ref="M32">SUMPRODUCT(J31:J33/COUNTIF($A$2:$A$102,F30), TRANSPOSE(G34:I34)/COUNTIF($A$2:$A$102,F30))</f>
        <v/>
      </c>
      <c r="N32" s="60" t="inlineStr">
        <is>
          <t>This computes the sum of row proportion times column proportion.</t>
        </is>
      </c>
    </row>
    <row r="33" ht="15.75" customHeight="1" s="81">
      <c r="A33" s="46">
        <f>'Gemini 3 Pro Generation'!A33</f>
        <v/>
      </c>
      <c r="B33" s="69">
        <f>'Gemini 3 Pro Generation'!B33</f>
        <v/>
      </c>
      <c r="C33" s="19">
        <f>'Gemini 3 Pro Generation'!C33</f>
        <v/>
      </c>
      <c r="D33" s="19">
        <f>'Claude Sonnet 4.5 Gen'!C33</f>
        <v/>
      </c>
      <c r="E33" s="45" t="n"/>
      <c r="F33" s="54" t="n">
        <v>1</v>
      </c>
      <c r="G33" s="61">
        <f>COUNTIFS($A$2:$A$48,$F$30,$C$2:$C$48,$F33,$D$2:$D$48,G$30) + MAX(C51-D51,0)</f>
        <v/>
      </c>
      <c r="H33" s="62">
        <f>COUNTIFS($A$2:$A$92,$F$30,$C$2:$C$92,$F33,$D$2:$D$92,H$30)</f>
        <v/>
      </c>
      <c r="I33" s="63">
        <f>COUNTIFS($A$2:$A$48,$F$30,$C$2:$C$48,$F33,$D$2:$D$48,I$30) + MIN(C51,D51)</f>
        <v/>
      </c>
      <c r="J33" s="11">
        <f>SUM(G33:I33)</f>
        <v/>
      </c>
      <c r="K33" s="11" t="n"/>
      <c r="L33" s="58" t="inlineStr">
        <is>
          <t>Cohen's Kappa</t>
        </is>
      </c>
      <c r="M33" s="61">
        <f>(M31-M32)/(1-M32)</f>
        <v/>
      </c>
      <c r="N33" s="63" t="inlineStr">
        <is>
          <t>(Po - Pe) / (1 - Pe)</t>
        </is>
      </c>
    </row>
    <row r="34" ht="15.75" customHeight="1" s="81">
      <c r="A34" s="46">
        <f>'Gemini 3 Pro Generation'!A34</f>
        <v/>
      </c>
      <c r="B34" s="69">
        <f>'Gemini 3 Pro Generation'!B34</f>
        <v/>
      </c>
      <c r="C34" s="19">
        <f>'Gemini 3 Pro Generation'!C34</f>
        <v/>
      </c>
      <c r="D34" s="19">
        <f>'Claude Sonnet 4.5 Gen'!C34</f>
        <v/>
      </c>
      <c r="E34" s="45" t="n"/>
      <c r="F34" s="64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 t="n"/>
      <c r="L34" s="11" t="n"/>
      <c r="M34" s="65" t="n"/>
    </row>
    <row r="35" ht="15.75" customHeight="1" s="81">
      <c r="A35" s="46">
        <f>'Gemini 3 Pro Generation'!A35</f>
        <v/>
      </c>
      <c r="B35" s="69">
        <f>'Gemini 3 Pro Generation'!B35</f>
        <v/>
      </c>
      <c r="C35" s="19">
        <f>'Gemini 3 Pro Generation'!C35</f>
        <v/>
      </c>
      <c r="D35" s="19">
        <f>'Claude Sonnet 4.5 Gen'!C35</f>
        <v/>
      </c>
      <c r="E35" s="45" t="n"/>
    </row>
    <row r="36" ht="15.75" customHeight="1" s="81">
      <c r="A36" s="46">
        <f>'Gemini 3 Pro Generation'!A36</f>
        <v/>
      </c>
      <c r="B36" s="69">
        <f>'Gemini 3 Pro Generation'!B36</f>
        <v/>
      </c>
      <c r="C36" s="19">
        <f>'Gemini 3 Pro Generation'!C36</f>
        <v/>
      </c>
      <c r="D36" s="19">
        <f>'Claude Sonnet 4.5 Gen'!C36</f>
        <v/>
      </c>
      <c r="E36" s="45" t="n"/>
      <c r="F36" s="46" t="inlineStr">
        <is>
          <t>Confusion Matrix (Action)</t>
        </is>
      </c>
      <c r="L36" s="47" t="inlineStr">
        <is>
          <t>Cohen's Kappa (Action)</t>
        </is>
      </c>
      <c r="M36" s="82" t="n"/>
      <c r="N36" s="82" t="n"/>
    </row>
    <row r="37" ht="15.75" customHeight="1" s="81">
      <c r="A37" s="46">
        <f>'Gemini 3 Pro Generation'!A37</f>
        <v/>
      </c>
      <c r="B37" s="69">
        <f>'Gemini 3 Pro Generation'!B37</f>
        <v/>
      </c>
      <c r="C37" s="19">
        <f>'Gemini 3 Pro Generation'!C37</f>
        <v/>
      </c>
      <c r="D37" s="19">
        <f>'Claude Sonnet 4.5 Gen'!C37</f>
        <v/>
      </c>
      <c r="E37" s="45" t="n"/>
      <c r="F37" s="11" t="inlineStr">
        <is>
          <t>Action</t>
        </is>
      </c>
      <c r="G37" s="66" t="inlineStr">
        <is>
          <t>0</t>
        </is>
      </c>
      <c r="H37" s="66" t="inlineStr">
        <is>
          <t>0.5</t>
        </is>
      </c>
      <c r="I37" s="66" t="inlineStr">
        <is>
          <t>1</t>
        </is>
      </c>
      <c r="J37" s="67" t="inlineStr">
        <is>
          <t>Row Totals</t>
        </is>
      </c>
      <c r="K37" s="11" t="n"/>
      <c r="L37" s="53" t="inlineStr">
        <is>
          <t>Metric</t>
        </is>
      </c>
      <c r="M37" s="53" t="inlineStr">
        <is>
          <t>Value</t>
        </is>
      </c>
      <c r="N37" s="53" t="inlineStr">
        <is>
          <t>Note</t>
        </is>
      </c>
    </row>
    <row r="38" ht="15.75" customHeight="1" s="81">
      <c r="A38" s="46">
        <f>'Gemini 3 Pro Generation'!A38</f>
        <v/>
      </c>
      <c r="B38" s="69">
        <f>'Gemini 3 Pro Generation'!B38</f>
        <v/>
      </c>
      <c r="C38" s="19">
        <f>'Gemini 3 Pro Generation'!C38</f>
        <v/>
      </c>
      <c r="D38" s="19">
        <f>'Claude Sonnet 4.5 Gen'!C38</f>
        <v/>
      </c>
      <c r="E38" s="45" t="n"/>
      <c r="F38" s="54" t="n">
        <v>0</v>
      </c>
      <c r="G38" s="55">
        <f>COUNTIFS($A$2:$A$92,$F$37,$C$2:$C$92,$F38,$D$2:$D$92,G$37)</f>
        <v/>
      </c>
      <c r="H38" s="56">
        <f>COUNTIFS($A$2:$A$92,$F$37,$C$2:$C$92,$F38,$D$2:$D$92,H$37)</f>
        <v/>
      </c>
      <c r="I38" s="57">
        <f>COUNTIFS($A$2:$A$48,$F$37,$C$2:$C$48,$F38,$D$2:$D$48,I$37)+MAX(D52-C52,0)</f>
        <v/>
      </c>
      <c r="J38" s="11">
        <f>SUM(G38:I38)</f>
        <v/>
      </c>
      <c r="K38" s="11" t="n"/>
      <c r="L38" s="58" t="inlineStr">
        <is>
          <t>Observed Agreement (Po)</t>
        </is>
      </c>
      <c r="M38" s="55">
        <f>(G38+H39+I40)/COUNTIF($A$2:$A$102,F37)</f>
        <v/>
      </c>
      <c r="N38" s="57" t="inlineStr">
        <is>
          <t>This sums the diagonal of your matrix divided by total rows.</t>
        </is>
      </c>
    </row>
    <row r="39" ht="15.75" customHeight="1" s="81">
      <c r="A39" s="46">
        <f>'Gemini 3 Pro Generation'!A39</f>
        <v/>
      </c>
      <c r="B39" s="69">
        <f>'Gemini 3 Pro Generation'!B39</f>
        <v/>
      </c>
      <c r="C39" s="19">
        <f>'Gemini 3 Pro Generation'!C39</f>
        <v/>
      </c>
      <c r="D39" s="19">
        <f>'Claude Sonnet 4.5 Gen'!C39</f>
        <v/>
      </c>
      <c r="E39" s="45" t="n"/>
      <c r="F39" s="54" t="n">
        <v>0.5</v>
      </c>
      <c r="G39" s="59">
        <f>COUNTIFS($A$2:$A$92,$F$37,$C$2:$C$92,$F39,$D$2:$D$92,G$37)</f>
        <v/>
      </c>
      <c r="H39" s="11">
        <f>COUNTIFS($A$2:$A$92,$F$37,$C$2:$C$92,$F39,$D$2:$D$92,H$37)</f>
        <v/>
      </c>
      <c r="I39" s="60">
        <f>COUNTIFS($A$2:$A$92,$F$37,$C$2:$C$92,$F39,$D$2:$D$92,I$37)</f>
        <v/>
      </c>
      <c r="J39" s="11">
        <f>SUM(G39:I39)</f>
        <v/>
      </c>
      <c r="K39" s="11" t="n"/>
      <c r="L39" s="58" t="inlineStr">
        <is>
          <t>Expected Agreement (Pe)</t>
        </is>
      </c>
      <c r="M39" s="59">
        <f t="array" ref="M39">SUMPRODUCT(J38:J40/COUNTIF($A$2:$A$102,F37), TRANSPOSE(G41:I41)/COUNTIF($A$2:$A$102,F37))</f>
        <v/>
      </c>
      <c r="N39" s="60" t="inlineStr">
        <is>
          <t>This computes the sum of row proportion times column proportion.</t>
        </is>
      </c>
    </row>
    <row r="40" ht="15.75" customHeight="1" s="81">
      <c r="A40" s="46">
        <f>'Gemini 3 Pro Generation'!A40</f>
        <v/>
      </c>
      <c r="B40" s="69">
        <f>'Gemini 3 Pro Generation'!B40</f>
        <v/>
      </c>
      <c r="C40" s="19">
        <f>'Gemini 3 Pro Generation'!C40</f>
        <v/>
      </c>
      <c r="D40" s="19">
        <f>'Claude Sonnet 4.5 Gen'!C40</f>
        <v/>
      </c>
      <c r="E40" s="45" t="n"/>
      <c r="F40" s="54" t="n">
        <v>1</v>
      </c>
      <c r="G40" s="61">
        <f>COUNTIFS($A$2:$A$48,$F$37,$C$2:$C$48,$F40,$D$2:$D$48,G$37)+MAX(C52-D52,0)</f>
        <v/>
      </c>
      <c r="H40" s="62">
        <f>COUNTIFS($A$2:$A$92,$F$37,$C$2:$C$92,$F40,$D$2:$D$92,H$37)</f>
        <v/>
      </c>
      <c r="I40" s="63">
        <f>COUNTIFS($A$2:$A$48,$F$37,$C$2:$C$48,$F40,$D$2:$D$48,I$37) + MIN(C52,D52)</f>
        <v/>
      </c>
      <c r="J40" s="11">
        <f>SUM(G40:I40)</f>
        <v/>
      </c>
      <c r="K40" s="11" t="n"/>
      <c r="L40" s="58" t="inlineStr">
        <is>
          <t>Cohen's Kappa</t>
        </is>
      </c>
      <c r="M40" s="61">
        <f>(M38-M39)/(1-M39)</f>
        <v/>
      </c>
      <c r="N40" s="63" t="inlineStr">
        <is>
          <t>(Po - Pe) / (1 - Pe)</t>
        </is>
      </c>
    </row>
    <row r="41" ht="15.75" customHeight="1" s="81">
      <c r="A41" s="46">
        <f>'Gemini 3 Pro Generation'!A41</f>
        <v/>
      </c>
      <c r="B41" s="69">
        <f>'Gemini 3 Pro Generation'!B41</f>
        <v/>
      </c>
      <c r="C41" s="19">
        <f>'Gemini 3 Pro Generation'!C41</f>
        <v/>
      </c>
      <c r="D41" s="19">
        <f>'Claude Sonnet 4.5 Gen'!C41</f>
        <v/>
      </c>
      <c r="E41" s="45" t="n"/>
      <c r="F41" s="64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 t="n"/>
      <c r="L41" s="11" t="n"/>
      <c r="M41" s="65" t="n"/>
    </row>
    <row r="42" ht="15.75" customHeight="1" s="81">
      <c r="A42" s="46">
        <f>'Gemini 3 Pro Generation'!A42</f>
        <v/>
      </c>
      <c r="B42" s="69">
        <f>'Gemini 3 Pro Generation'!B42</f>
        <v/>
      </c>
      <c r="C42" s="19">
        <f>'Gemini 3 Pro Generation'!C42</f>
        <v/>
      </c>
      <c r="D42" s="19">
        <f>'Claude Sonnet 4.5 Gen'!C42</f>
        <v/>
      </c>
      <c r="E42" s="45" t="n"/>
    </row>
    <row r="43" ht="15.75" customHeight="1" s="81">
      <c r="A43" s="46">
        <f>'Gemini 3 Pro Generation'!A43</f>
        <v/>
      </c>
      <c r="B43" s="69">
        <f>'Gemini 3 Pro Generation'!B43</f>
        <v/>
      </c>
      <c r="C43" s="19">
        <f>'Gemini 3 Pro Generation'!C43</f>
        <v/>
      </c>
      <c r="D43" s="19">
        <f>'Claude Sonnet 4.5 Gen'!C43</f>
        <v/>
      </c>
      <c r="E43" s="45" t="n"/>
      <c r="F43" s="46" t="inlineStr">
        <is>
          <t>Confusion Matrix (History State)</t>
        </is>
      </c>
      <c r="L43" s="47" t="inlineStr">
        <is>
          <t xml:space="preserve">Cohen's Kappa (History State)		</t>
        </is>
      </c>
      <c r="M43" s="82" t="n"/>
      <c r="N43" s="82" t="n"/>
    </row>
    <row r="44" ht="15.75" customHeight="1" s="81">
      <c r="A44" s="46">
        <f>'Gemini 3 Pro Generation'!A44</f>
        <v/>
      </c>
      <c r="B44" s="69">
        <f>'Gemini 3 Pro Generation'!B44</f>
        <v/>
      </c>
      <c r="C44" s="19">
        <f>'Gemini 3 Pro Generation'!C44</f>
        <v/>
      </c>
      <c r="D44" s="19">
        <f>'Claude Sonnet 4.5 Gen'!C44</f>
        <v/>
      </c>
      <c r="E44" s="45" t="n"/>
      <c r="F44" s="11" t="inlineStr">
        <is>
          <t>History State</t>
        </is>
      </c>
      <c r="G44" s="66" t="inlineStr">
        <is>
          <t>0</t>
        </is>
      </c>
      <c r="H44" s="66" t="inlineStr">
        <is>
          <t>0.5</t>
        </is>
      </c>
      <c r="I44" s="66" t="inlineStr">
        <is>
          <t>1</t>
        </is>
      </c>
      <c r="J44" s="67" t="inlineStr">
        <is>
          <t>Row Totals</t>
        </is>
      </c>
      <c r="K44" s="11" t="n"/>
      <c r="L44" s="53" t="inlineStr">
        <is>
          <t>Metric</t>
        </is>
      </c>
      <c r="M44" s="53" t="inlineStr">
        <is>
          <t>Value</t>
        </is>
      </c>
      <c r="N44" s="53" t="inlineStr">
        <is>
          <t>Note</t>
        </is>
      </c>
    </row>
    <row r="45" ht="15.75" customHeight="1" s="81">
      <c r="A45" s="46">
        <f>'Gemini 3 Pro Generation'!A45</f>
        <v/>
      </c>
      <c r="B45" s="69">
        <f>'Gemini 3 Pro Generation'!B45</f>
        <v/>
      </c>
      <c r="C45" s="19">
        <f>'Gemini 3 Pro Generation'!C45</f>
        <v/>
      </c>
      <c r="D45" s="19">
        <f>'Claude Sonnet 4.5 Gen'!C45</f>
        <v/>
      </c>
      <c r="E45" s="45" t="n"/>
      <c r="F45" s="54" t="n">
        <v>0</v>
      </c>
      <c r="G45" s="55">
        <f>COUNTIFS($A$2:$A$92,$F$44,$C$2:$C$92,$F45,$D$2:$D$92,G$44)</f>
        <v/>
      </c>
      <c r="H45" s="56">
        <f>COUNTIFS($A$2:$A$92,$F$44,$C$2:$C$92,$F45,$D$2:$D$92,H$44)</f>
        <v/>
      </c>
      <c r="I45" s="57">
        <f>COUNTIFS($A$2:$A$48,$F$44,$C$2:$C$48,$F45,$D$2:$D$48,I$44) + MAX(D55-C55,0)</f>
        <v/>
      </c>
      <c r="J45" s="11">
        <f>SUM(G45:I45)</f>
        <v/>
      </c>
      <c r="K45" s="11" t="n"/>
      <c r="L45" s="58" t="inlineStr">
        <is>
          <t>Observed Agreement (Po)</t>
        </is>
      </c>
      <c r="M45" s="55">
        <f>(G45+H46+I47)/COUNTIF($A$2:$A$102,F44)</f>
        <v/>
      </c>
      <c r="N45" s="57" t="inlineStr">
        <is>
          <t>This sums the diagonal of your matrix divided by total rows.</t>
        </is>
      </c>
    </row>
    <row r="46" ht="15.75" customHeight="1" s="81">
      <c r="A46" s="46">
        <f>'Gemini 3 Pro Generation'!A46</f>
        <v/>
      </c>
      <c r="B46" s="69">
        <f>'Gemini 3 Pro Generation'!B46</f>
        <v/>
      </c>
      <c r="C46" s="19">
        <f>'Gemini 3 Pro Generation'!C46</f>
        <v/>
      </c>
      <c r="D46" s="19">
        <f>'Claude Sonnet 4.5 Gen'!C46</f>
        <v/>
      </c>
      <c r="E46" s="45" t="n"/>
      <c r="F46" s="54" t="n">
        <v>0.5</v>
      </c>
      <c r="G46" s="59">
        <f>COUNTIFS($A$2:$A$92,$F$44,$C$2:$C$92,$F46,$D$2:$D$92,G$44)</f>
        <v/>
      </c>
      <c r="H46" s="11">
        <f>COUNTIFS($A$2:$A$92,$F$44,$C$2:$C$92,$F46,$D$2:$D$92,H$44)</f>
        <v/>
      </c>
      <c r="I46" s="60">
        <f>COUNTIFS($A$2:$A$92,$F$44,$C$2:$C$92,$F46,$D$2:$D$92,I$44)</f>
        <v/>
      </c>
      <c r="J46" s="11">
        <f>SUM(G46:I46)</f>
        <v/>
      </c>
      <c r="K46" s="11" t="n"/>
      <c r="L46" s="58" t="inlineStr">
        <is>
          <t>Expected Agreement (Pe)</t>
        </is>
      </c>
      <c r="M46" s="59">
        <f t="array" ref="M46">SUMPRODUCT(J45:J47/COUNTIF($A$2:$A$102,F44), TRANSPOSE(G48:I48)/COUNTIF($A$2:$A$102,F44))</f>
        <v/>
      </c>
      <c r="N46" s="60" t="inlineStr">
        <is>
          <t>This computes the sum of row proportion times column proportion.</t>
        </is>
      </c>
    </row>
    <row r="47" ht="15.75" customHeight="1" s="81">
      <c r="A47" s="46">
        <f>'Gemini 3 Pro Generation'!A47</f>
        <v/>
      </c>
      <c r="B47" s="69">
        <f>'Gemini 3 Pro Generation'!B47</f>
        <v/>
      </c>
      <c r="C47" s="19">
        <f>'Gemini 3 Pro Generation'!C47</f>
        <v/>
      </c>
      <c r="D47" s="19">
        <f>'Claude Sonnet 4.5 Gen'!C47</f>
        <v/>
      </c>
      <c r="E47" s="45" t="n"/>
      <c r="F47" s="54" t="n">
        <v>1</v>
      </c>
      <c r="G47" s="61">
        <f>COUNTIFS($A$2:$A$48,$F$44,$C$2:$C$48,$F47,$D$2:$D$48,G$44) + MAX(C55-D55,0)</f>
        <v/>
      </c>
      <c r="H47" s="62">
        <f>COUNTIFS($A$2:$A$92,$F$44,$C$2:$C$92,$F47,$D$2:$D$92,H$44)</f>
        <v/>
      </c>
      <c r="I47" s="63">
        <f>COUNTIFS($A$2:$A$48,$F$44,$C$2:$C$48,$F47,$D$2:$D$48,I$44) + MIN(C55,D55)</f>
        <v/>
      </c>
      <c r="J47" s="11">
        <f>SUM(G47:I47)</f>
        <v/>
      </c>
      <c r="K47" s="11" t="n"/>
      <c r="L47" s="58" t="inlineStr">
        <is>
          <t>Cohen's Kappa</t>
        </is>
      </c>
      <c r="M47" s="61">
        <f>(M45-M46)/(1-M46)</f>
        <v/>
      </c>
      <c r="N47" s="63" t="inlineStr">
        <is>
          <t>(Po - Pe) / (1 - Pe)</t>
        </is>
      </c>
    </row>
    <row r="48" ht="15.75" customHeight="1" s="81">
      <c r="A48" s="6">
        <f>'Gemini 3 Pro Generation'!A48</f>
        <v/>
      </c>
      <c r="B48" s="7">
        <f>'Gemini 3 Pro Generation'!B48</f>
        <v/>
      </c>
      <c r="C48" s="19">
        <f>'Gemini 3 Pro Generation'!C48</f>
        <v/>
      </c>
      <c r="D48" s="19">
        <f>'Claude Sonnet 4.5 Gen'!C48</f>
        <v/>
      </c>
      <c r="E48" s="45" t="n"/>
      <c r="F48" s="64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 t="n"/>
      <c r="L48" s="11" t="n"/>
      <c r="M48" s="65" t="n"/>
    </row>
    <row r="49" ht="15.75" customHeight="1" s="81">
      <c r="A49" s="46">
        <f>'Gemini 3 Pro Generation'!A49</f>
        <v/>
      </c>
      <c r="B49" s="69">
        <f>'Gemini 3 Pro Generation'!B49</f>
        <v/>
      </c>
      <c r="C49" s="68">
        <f>'Gemini 3 Pro Generation'!C49</f>
        <v/>
      </c>
      <c r="D49" s="68">
        <f>'Claude Sonnet 4.5 Gen'!C49</f>
        <v/>
      </c>
      <c r="E49" s="45" t="n"/>
    </row>
    <row r="50" ht="15.75" customHeight="1" s="81">
      <c r="A50" s="46">
        <f>'Gemini 3 Pro Generation'!A50</f>
        <v/>
      </c>
      <c r="B50" s="69">
        <f>'Gemini 3 Pro Generation'!B50</f>
        <v/>
      </c>
      <c r="C50" s="19">
        <f>'Gemini 3 Pro Generation'!C50</f>
        <v/>
      </c>
      <c r="D50" s="19">
        <f>'Claude Sonnet 4.5 Gen'!C50</f>
        <v/>
      </c>
      <c r="E50" s="45" t="n"/>
      <c r="F50" s="46" t="inlineStr">
        <is>
          <t>Confusion Matrix (Region)</t>
        </is>
      </c>
      <c r="L50" s="47" t="inlineStr">
        <is>
          <t>Cohen's Kappa (Region)</t>
        </is>
      </c>
      <c r="M50" s="82" t="n"/>
      <c r="N50" s="82" t="n"/>
    </row>
    <row r="51" ht="15.75" customHeight="1" s="81">
      <c r="A51" s="46">
        <f>'Gemini 3 Pro Generation'!A51</f>
        <v/>
      </c>
      <c r="B51" s="69">
        <f>'Gemini 3 Pro Generation'!B51</f>
        <v/>
      </c>
      <c r="C51" s="19">
        <f>'Gemini 3 Pro Generation'!C51</f>
        <v/>
      </c>
      <c r="D51" s="19">
        <f>'Claude Sonnet 4.5 Gen'!C51</f>
        <v/>
      </c>
      <c r="E51" s="45" t="n"/>
      <c r="F51" s="11" t="inlineStr">
        <is>
          <t>Region</t>
        </is>
      </c>
      <c r="G51" s="66" t="inlineStr">
        <is>
          <t>0</t>
        </is>
      </c>
      <c r="H51" s="66" t="inlineStr">
        <is>
          <t>0.5</t>
        </is>
      </c>
      <c r="I51" s="66" t="inlineStr">
        <is>
          <t>1</t>
        </is>
      </c>
      <c r="J51" s="67" t="inlineStr">
        <is>
          <t>Row Totals</t>
        </is>
      </c>
      <c r="K51" s="11" t="n"/>
      <c r="L51" s="53" t="inlineStr">
        <is>
          <t>Metric</t>
        </is>
      </c>
      <c r="M51" s="53" t="inlineStr">
        <is>
          <t>Value</t>
        </is>
      </c>
      <c r="N51" s="53" t="inlineStr">
        <is>
          <t>Note</t>
        </is>
      </c>
    </row>
    <row r="52" ht="15.75" customHeight="1" s="81">
      <c r="A52" s="46">
        <f>'Gemini 3 Pro Generation'!A52</f>
        <v/>
      </c>
      <c r="B52" s="69">
        <f>'Gemini 3 Pro Generation'!B52</f>
        <v/>
      </c>
      <c r="C52" s="19">
        <f>'Gemini 3 Pro Generation'!C52</f>
        <v/>
      </c>
      <c r="D52" s="19">
        <f>'Claude Sonnet 4.5 Gen'!C52</f>
        <v/>
      </c>
      <c r="E52" s="45" t="n"/>
      <c r="F52" s="54" t="n">
        <v>0</v>
      </c>
      <c r="G52" s="55">
        <f>COUNTIFS($A$2:$A$92,$F$51,$C$2:$C$92,$F52,$D$2:$D$92,G$51)</f>
        <v/>
      </c>
      <c r="H52" s="56">
        <f>COUNTIFS($A$2:$A$92,$F$51,$C$2:$C$92,$F52,$D$2:$D$92,H$51)</f>
        <v/>
      </c>
      <c r="I52" s="57">
        <f>COUNTIFS($A$2:$A$48,$F$51,$C$2:$C$48,$F52,$D$2:$D$48,I$51)+MAX(D54-C54,0)</f>
        <v/>
      </c>
      <c r="J52" s="11">
        <f>SUM(G52:I52)</f>
        <v/>
      </c>
      <c r="K52" s="11" t="n"/>
      <c r="L52" s="58" t="inlineStr">
        <is>
          <t>Observed Agreement (Po)</t>
        </is>
      </c>
      <c r="M52" s="55">
        <f>(G52+H53+I54)/COUNTIF($A$2:$A$102,F51)</f>
        <v/>
      </c>
      <c r="N52" s="57" t="inlineStr">
        <is>
          <t>This sums the diagonal of your matrix divided by total rows.</t>
        </is>
      </c>
    </row>
    <row r="53" ht="15.75" customHeight="1" s="81">
      <c r="A53" s="46">
        <f>'Gemini 3 Pro Generation'!A53</f>
        <v/>
      </c>
      <c r="B53" s="69">
        <f>'Gemini 3 Pro Generation'!B53</f>
        <v/>
      </c>
      <c r="C53" s="19">
        <f>'Gemini 3 Pro Generation'!C53</f>
        <v/>
      </c>
      <c r="D53" s="19">
        <f>'Claude Sonnet 4.5 Gen'!C53</f>
        <v/>
      </c>
      <c r="E53" s="45" t="n"/>
      <c r="F53" s="54" t="n">
        <v>0.5</v>
      </c>
      <c r="G53" s="59">
        <f>COUNTIFS($A$2:$A$92,$F$51,$C$2:$C$92,$F53,$D$2:$D$92,G$51)</f>
        <v/>
      </c>
      <c r="H53" s="11">
        <f>COUNTIFS($A$2:$A$92,$F$51,$C$2:$C$92,$F53,$D$2:$D$92,H$51)</f>
        <v/>
      </c>
      <c r="I53" s="60">
        <f>COUNTIFS($A$2:$A$92,$F$51,$C$2:$C$92,$F53,$D$2:$D$92,I$51)</f>
        <v/>
      </c>
      <c r="J53" s="11">
        <f>SUM(G53:I53)</f>
        <v/>
      </c>
      <c r="K53" s="11" t="n"/>
      <c r="L53" s="58" t="inlineStr">
        <is>
          <t>Expected Agreement (Pe)</t>
        </is>
      </c>
      <c r="M53" s="59">
        <f t="array" ref="M53">SUMPRODUCT(J52:J54/COUNTIF($A$2:$A$102,F51), TRANSPOSE(G55:I55)/COUNTIF($A$2:$A$102,F51))</f>
        <v/>
      </c>
      <c r="N53" s="60" t="inlineStr">
        <is>
          <t>This computes the sum of row proportion times column proportion.</t>
        </is>
      </c>
    </row>
    <row r="54" ht="15.75" customHeight="1" s="81">
      <c r="A54" s="46">
        <f>'Gemini 3 Pro Generation'!A54</f>
        <v/>
      </c>
      <c r="B54" s="69">
        <f>'Gemini 3 Pro Generation'!B54</f>
        <v/>
      </c>
      <c r="C54" s="19">
        <f>'Gemini 3 Pro Generation'!C54</f>
        <v/>
      </c>
      <c r="D54" s="19">
        <f>'Claude Sonnet 4.5 Gen'!C54</f>
        <v/>
      </c>
      <c r="E54" s="45" t="n"/>
      <c r="F54" s="54" t="n">
        <v>1</v>
      </c>
      <c r="G54" s="61">
        <f>COUNTIFS($A$2:$A$48,$F$51,$C$2:$C$48,$F54,$D$2:$D$48,G$51) + MAX(C54-D54,0)</f>
        <v/>
      </c>
      <c r="H54" s="62">
        <f>COUNTIFS($A$2:$A$92,$F$51,$C$2:$C$92,$F54,$D$2:$D$92,H$51)</f>
        <v/>
      </c>
      <c r="I54" s="63">
        <f>COUNTIFS($A$2:$A$48,$F$51,$C$2:$C$48,$F54,$D$2:$D$48,I$51)+MIN(C54,D54)</f>
        <v/>
      </c>
      <c r="J54" s="11">
        <f>SUM(G54:I54)</f>
        <v/>
      </c>
      <c r="K54" s="11" t="n"/>
      <c r="L54" s="58" t="inlineStr">
        <is>
          <t>Cohen's Kappa</t>
        </is>
      </c>
      <c r="M54" s="61">
        <f>(M52-M53)/(1-M53)</f>
        <v/>
      </c>
      <c r="N54" s="63" t="inlineStr">
        <is>
          <t>(Po - Pe) / (1 - Pe)</t>
        </is>
      </c>
    </row>
    <row r="55" ht="15.75" customHeight="1" s="81">
      <c r="A55" s="46">
        <f>'Gemini 3 Pro Generation'!A55</f>
        <v/>
      </c>
      <c r="B55" s="69">
        <f>'Gemini 3 Pro Generation'!B55</f>
        <v/>
      </c>
      <c r="C55" s="19">
        <f>'Gemini 3 Pro Generation'!C55</f>
        <v/>
      </c>
      <c r="D55" s="19">
        <f>'Claude Sonnet 4.5 Gen'!C55</f>
        <v/>
      </c>
      <c r="E55" s="45" t="n"/>
      <c r="F55" s="64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 t="n"/>
      <c r="L55" s="11" t="n"/>
      <c r="M55" s="65" t="n"/>
    </row>
    <row r="56" ht="15.75" customHeight="1" s="81">
      <c r="A56" s="46" t="n"/>
      <c r="B56" s="69" t="n"/>
      <c r="C56" s="45" t="n"/>
      <c r="D56" s="45" t="n"/>
      <c r="E56" s="45" t="n"/>
    </row>
    <row r="57" ht="15.75" customHeight="1" s="81">
      <c r="A57" s="46" t="n"/>
      <c r="B57" s="69" t="n"/>
      <c r="C57" s="45" t="n"/>
      <c r="D57" s="45" t="n"/>
      <c r="E57" s="45" t="n"/>
    </row>
    <row r="58" ht="15.75" customHeight="1" s="81">
      <c r="A58" s="46" t="n"/>
      <c r="B58" s="69" t="n"/>
      <c r="C58" s="45" t="n"/>
      <c r="D58" s="45" t="n"/>
      <c r="E58" s="45" t="n"/>
    </row>
    <row r="59" ht="15.75" customHeight="1" s="81">
      <c r="A59" s="46" t="n"/>
      <c r="B59" s="69" t="n"/>
      <c r="C59" s="45" t="n"/>
      <c r="D59" s="45" t="n"/>
      <c r="E59" s="45" t="n"/>
    </row>
    <row r="60" ht="15.75" customHeight="1" s="81">
      <c r="A60" s="46" t="n"/>
      <c r="B60" s="69" t="n"/>
      <c r="C60" s="45" t="n"/>
      <c r="D60" s="45" t="n"/>
      <c r="E60" s="45" t="n"/>
    </row>
    <row r="61" ht="15.75" customHeight="1" s="81">
      <c r="A61" s="46" t="n"/>
      <c r="B61" s="69" t="n"/>
      <c r="C61" s="45" t="n"/>
      <c r="D61" s="45" t="n"/>
      <c r="E61" s="45" t="n"/>
    </row>
    <row r="62" ht="15.75" customHeight="1" s="81">
      <c r="A62" s="46" t="n"/>
      <c r="B62" s="69" t="n"/>
      <c r="C62" s="45" t="n"/>
      <c r="D62" s="45" t="n"/>
      <c r="E62" s="45" t="n"/>
    </row>
    <row r="63" ht="15.75" customHeight="1" s="81">
      <c r="A63" s="46" t="n"/>
      <c r="B63" s="69" t="n"/>
      <c r="C63" s="45" t="n"/>
      <c r="D63" s="45" t="n"/>
      <c r="E63" s="45" t="n"/>
    </row>
    <row r="64" ht="15.75" customHeight="1" s="81">
      <c r="A64" s="46" t="n"/>
      <c r="B64" s="69" t="n"/>
      <c r="C64" s="45" t="n"/>
      <c r="D64" s="45" t="n"/>
      <c r="E64" s="45" t="n"/>
    </row>
    <row r="65" ht="15.75" customHeight="1" s="81">
      <c r="A65" s="46" t="n"/>
      <c r="B65" s="69" t="n"/>
      <c r="C65" s="45" t="n"/>
      <c r="D65" s="45" t="n"/>
      <c r="E65" s="45" t="n"/>
    </row>
    <row r="66" ht="15.75" customHeight="1" s="81">
      <c r="A66" s="46" t="n"/>
      <c r="B66" s="69" t="n"/>
      <c r="C66" s="45" t="n"/>
      <c r="D66" s="45" t="n"/>
      <c r="E66" s="45" t="n"/>
    </row>
    <row r="67" ht="15.75" customHeight="1" s="81">
      <c r="A67" s="46" t="n"/>
      <c r="B67" s="69" t="n"/>
      <c r="C67" s="45" t="n"/>
      <c r="D67" s="45" t="n"/>
      <c r="E67" s="45" t="n"/>
    </row>
    <row r="68" ht="15.75" customHeight="1" s="81">
      <c r="A68" s="46" t="n"/>
      <c r="B68" s="69" t="n"/>
      <c r="C68" s="45" t="n"/>
      <c r="D68" s="45" t="n"/>
      <c r="E68" s="45" t="n"/>
    </row>
    <row r="69" ht="15.75" customHeight="1" s="81">
      <c r="A69" s="46" t="n"/>
      <c r="B69" s="69" t="n"/>
      <c r="C69" s="45" t="n"/>
      <c r="D69" s="45" t="n"/>
      <c r="E69" s="45" t="n"/>
    </row>
    <row r="70" ht="15.75" customHeight="1" s="81">
      <c r="A70" s="46" t="n"/>
      <c r="B70" s="69" t="n"/>
      <c r="C70" s="45" t="n"/>
      <c r="D70" s="45" t="n"/>
      <c r="E70" s="45" t="n"/>
    </row>
    <row r="71" ht="15.75" customHeight="1" s="81">
      <c r="A71" s="46" t="n"/>
      <c r="B71" s="69" t="n"/>
      <c r="C71" s="45" t="n"/>
      <c r="D71" s="45" t="n"/>
      <c r="E71" s="45" t="n"/>
    </row>
    <row r="72" ht="15.75" customHeight="1" s="81">
      <c r="A72" s="46" t="n"/>
      <c r="B72" s="69" t="n"/>
      <c r="C72" s="45" t="n"/>
      <c r="D72" s="45" t="n"/>
    </row>
    <row r="73" ht="15.75" customHeight="1" s="81">
      <c r="A73" s="46" t="n"/>
      <c r="B73" s="69" t="n"/>
      <c r="C73" s="45" t="n"/>
      <c r="D73" s="45" t="n"/>
    </row>
    <row r="74" ht="15.75" customHeight="1" s="81">
      <c r="A74" s="46" t="n"/>
      <c r="B74" s="69" t="n"/>
      <c r="C74" s="45" t="n"/>
      <c r="D74" s="45" t="n"/>
    </row>
    <row r="75" ht="15.75" customHeight="1" s="81">
      <c r="A75" s="46" t="n"/>
      <c r="B75" s="69" t="n"/>
      <c r="C75" s="45" t="n"/>
      <c r="D75" s="45" t="n"/>
    </row>
    <row r="76" ht="15.75" customHeight="1" s="81">
      <c r="A76" s="46" t="n"/>
      <c r="B76" s="69" t="n"/>
      <c r="C76" s="45" t="n"/>
      <c r="D76" s="45" t="n"/>
    </row>
    <row r="77" ht="15.75" customHeight="1" s="81">
      <c r="A77" s="46" t="n"/>
      <c r="B77" s="69" t="n"/>
      <c r="C77" s="45" t="n"/>
      <c r="D77" s="45" t="n"/>
    </row>
    <row r="78" ht="15.75" customHeight="1" s="81">
      <c r="A78" s="46" t="n"/>
      <c r="B78" s="69" t="n"/>
      <c r="C78" s="45" t="n"/>
      <c r="D78" s="45" t="n"/>
    </row>
    <row r="79" ht="15.75" customHeight="1" s="81">
      <c r="A79" s="46" t="n"/>
      <c r="B79" s="69" t="n"/>
      <c r="C79" s="45" t="n"/>
      <c r="D79" s="45" t="n"/>
    </row>
    <row r="80" ht="15.75" customHeight="1" s="81">
      <c r="A80" s="46" t="n"/>
      <c r="B80" s="69" t="n"/>
      <c r="C80" s="45" t="n"/>
      <c r="D80" s="45" t="n"/>
    </row>
    <row r="81" ht="15.75" customHeight="1" s="81">
      <c r="B81" s="69" t="n"/>
      <c r="D81" s="45" t="n"/>
    </row>
    <row r="82" ht="15.75" customHeight="1" s="81">
      <c r="B82" s="69" t="n"/>
      <c r="D82" s="45" t="n"/>
    </row>
    <row r="83" ht="15.75" customHeight="1" s="81">
      <c r="D83" s="45" t="n"/>
    </row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17">
    <mergeCell ref="L1:N1"/>
    <mergeCell ref="F50:I50"/>
    <mergeCell ref="L15:N15"/>
    <mergeCell ref="F1:I1"/>
    <mergeCell ref="P1:U1"/>
    <mergeCell ref="F8:I8"/>
    <mergeCell ref="F43:I43"/>
    <mergeCell ref="L50:N50"/>
    <mergeCell ref="L36:N36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34.13" customWidth="1" style="81" min="2" max="2"/>
    <col width="22.63" customWidth="1" style="81" min="3" max="3"/>
    <col width="23" customWidth="1" style="81" min="4" max="4"/>
    <col width="17.63" customWidth="1" style="81" min="5" max="6"/>
    <col width="12.38" customWidth="1" style="81" min="14" max="14"/>
    <col width="12.13" customWidth="1" style="81" min="15" max="15"/>
    <col width="15.5" customWidth="1" style="81" min="16" max="16"/>
    <col width="12.13" customWidth="1" style="81" min="17" max="17"/>
    <col width="36.38" customWidth="1" style="81" min="22" max="22"/>
    <col width="12.13" customWidth="1" style="81" min="23" max="23"/>
    <col width="54.88" customWidth="1" style="81" min="24" max="24"/>
    <col width="36.38" customWidth="1" style="81" min="28" max="28"/>
    <col width="21.13" customWidth="1" style="81" min="29" max="29"/>
    <col width="56.63" customWidth="1" style="81" min="30" max="30"/>
  </cols>
  <sheetData>
    <row r="1" ht="15.75" customHeight="1" s="81">
      <c r="A1" s="10" t="inlineStr">
        <is>
          <t>Type</t>
        </is>
      </c>
      <c r="B1" s="11" t="inlineStr">
        <is>
          <t>Element</t>
        </is>
      </c>
      <c r="C1" s="44" t="inlineStr">
        <is>
          <t>Gemini 3 Pro</t>
        </is>
      </c>
      <c r="D1" s="44" t="inlineStr">
        <is>
          <t>Claude Sonnet 4.5</t>
        </is>
      </c>
      <c r="E1" s="45" t="n"/>
      <c r="F1" s="46" t="inlineStr">
        <is>
          <t>Confusion Matrix</t>
        </is>
      </c>
      <c r="L1" s="46" t="inlineStr">
        <is>
          <t>Weight Matrix</t>
        </is>
      </c>
    </row>
    <row r="2" ht="15.75" customHeight="1" s="81">
      <c r="A2" s="46">
        <f>'Gemini 3 Pro Generation'!A2</f>
        <v/>
      </c>
      <c r="B2" s="69">
        <f>'Gemini 3 Pro Generation'!B2</f>
        <v/>
      </c>
      <c r="C2" s="19">
        <f>'Gemini 3 Pro Generation'!C2</f>
        <v/>
      </c>
      <c r="D2" s="19">
        <f>'Claude Sonnet 4.5 Gen'!C2</f>
        <v/>
      </c>
      <c r="E2" s="45" t="n"/>
      <c r="F2" s="11" t="inlineStr">
        <is>
          <t>Global</t>
        </is>
      </c>
      <c r="G2" s="49" t="inlineStr">
        <is>
          <t>0</t>
        </is>
      </c>
      <c r="H2" s="50" t="inlineStr">
        <is>
          <t>0.5</t>
        </is>
      </c>
      <c r="I2" s="51" t="inlineStr">
        <is>
          <t>1</t>
        </is>
      </c>
      <c r="J2" s="67" t="inlineStr">
        <is>
          <t>Row Totals</t>
        </is>
      </c>
      <c r="K2" s="11" t="n"/>
      <c r="L2" s="11" t="inlineStr">
        <is>
          <t>Global</t>
        </is>
      </c>
      <c r="M2" s="66" t="inlineStr">
        <is>
          <t>0</t>
        </is>
      </c>
      <c r="N2" s="66" t="inlineStr">
        <is>
          <t>0.5</t>
        </is>
      </c>
      <c r="O2" s="66" t="inlineStr">
        <is>
          <t>1</t>
        </is>
      </c>
      <c r="P2" s="11" t="n"/>
      <c r="Q2" s="11" t="inlineStr">
        <is>
          <t>Global</t>
        </is>
      </c>
      <c r="R2" s="66" t="inlineStr">
        <is>
          <t>0</t>
        </is>
      </c>
      <c r="S2" s="66" t="inlineStr">
        <is>
          <t>0.5</t>
        </is>
      </c>
      <c r="T2" s="66" t="inlineStr">
        <is>
          <t>1</t>
        </is>
      </c>
      <c r="V2" s="53">
        <f>"Metrics" &amp; " " &amp; F2
</f>
        <v/>
      </c>
      <c r="W2" s="53" t="inlineStr">
        <is>
          <t>Value</t>
        </is>
      </c>
      <c r="X2" s="53" t="inlineStr">
        <is>
          <t>Note</t>
        </is>
      </c>
    </row>
    <row r="3" ht="15.75" customHeight="1" s="81">
      <c r="A3" s="46">
        <f>'Gemini 3 Pro Generation'!A3</f>
        <v/>
      </c>
      <c r="B3" s="69">
        <f>'Gemini 3 Pro Generation'!B3</f>
        <v/>
      </c>
      <c r="C3" s="19">
        <f>'Gemini 3 Pro Generation'!C3</f>
        <v/>
      </c>
      <c r="D3" s="19">
        <f>'Claude Sonnet 4.5 Gen'!C3</f>
        <v/>
      </c>
      <c r="E3" s="45" t="n"/>
      <c r="F3" s="54" t="n">
        <v>0</v>
      </c>
      <c r="G3" s="55">
        <f>COUNTIFS($C$2:$C$92, $F3, $D$2:$D$92, G$2)</f>
        <v/>
      </c>
      <c r="H3" s="56">
        <f>COUNTIFS($C$2:$C$48, $F3, $D$2:$D$48, H$2)</f>
        <v/>
      </c>
      <c r="I3" s="57">
        <f>COUNTIFS($C$2:$C$48, $F3, $D$2:$D$48, I$2)+MAX(D49-C49,0)+MAX(D50-C50,0)+MAX(D51-C51,0)+MAX(D52-C52,0)+MAX(D53-C53,0)+MAX(D54-C54,0)+MAX(D55-C55,0)</f>
        <v/>
      </c>
      <c r="J3" s="11">
        <f>SUM(G3:I3)</f>
        <v/>
      </c>
      <c r="K3" s="11" t="n"/>
      <c r="L3" s="54" t="n">
        <v>0</v>
      </c>
      <c r="M3" s="55">
        <f>ABS(G$2-$F3)/1</f>
        <v/>
      </c>
      <c r="N3" s="56">
        <f>ABS(H$2-$F3)/1</f>
        <v/>
      </c>
      <c r="O3" s="57">
        <f>ABS(I$2-$F3)/1</f>
        <v/>
      </c>
      <c r="P3" s="11" t="n"/>
      <c r="Q3" s="54" t="n">
        <v>0</v>
      </c>
      <c r="R3" s="55">
        <f>($J3/$J$6) * (G$6/$J$6)</f>
        <v/>
      </c>
      <c r="S3" s="56">
        <f>($J3/$J$6) * (H$6/$J$6)</f>
        <v/>
      </c>
      <c r="T3" s="57">
        <f>($J3/$J$6) * (I$6/$J$6)</f>
        <v/>
      </c>
      <c r="U3" s="11" t="n"/>
      <c r="V3" s="58" t="inlineStr">
        <is>
          <t>Observed Weighted Disagreement (D_obs)</t>
        </is>
      </c>
      <c r="W3" s="55">
        <f>SUMPRODUCT(G3:I5, M3:O5) /$J$6</f>
        <v/>
      </c>
      <c r="X3" s="57" t="inlineStr">
        <is>
          <t>Sum of (confusion-matrix counts × weights) divided by total items.</t>
        </is>
      </c>
    </row>
    <row r="4" ht="15.75" customHeight="1" s="81">
      <c r="A4" s="46">
        <f>'Gemini 3 Pro Generation'!A4</f>
        <v/>
      </c>
      <c r="B4" s="69">
        <f>'Gemini 3 Pro Generation'!B4</f>
        <v/>
      </c>
      <c r="C4" s="19">
        <f>'Gemini 3 Pro Generation'!C4</f>
        <v/>
      </c>
      <c r="D4" s="19">
        <f>'Claude Sonnet 4.5 Gen'!C4</f>
        <v/>
      </c>
      <c r="E4" s="45" t="n"/>
      <c r="F4" s="54" t="n">
        <v>0.5</v>
      </c>
      <c r="G4" s="59">
        <f>COUNTIFS($C$2:$C$48, $F4, $D$2:$D$48, G$2)</f>
        <v/>
      </c>
      <c r="H4" s="11">
        <f>COUNTIFS($C$2:$C$48, $F4, $D$2:$D$48, H$2)</f>
        <v/>
      </c>
      <c r="I4" s="60">
        <f>COUNTIFS($C$2:$C$48, $F4, $D$2:$D$48, I$2)</f>
        <v/>
      </c>
      <c r="J4" s="11">
        <f>SUM(G4:I4)</f>
        <v/>
      </c>
      <c r="K4" s="11" t="n"/>
      <c r="L4" s="54" t="n">
        <v>0.5</v>
      </c>
      <c r="M4" s="59">
        <f>ABS(G$2-$F4)/1</f>
        <v/>
      </c>
      <c r="N4" s="11">
        <f>ABS(H$2-$F4)/3</f>
        <v/>
      </c>
      <c r="O4" s="60">
        <f>ABS(I$2-$F4)/1</f>
        <v/>
      </c>
      <c r="P4" s="11" t="n"/>
      <c r="Q4" s="54" t="n">
        <v>0.5</v>
      </c>
      <c r="R4" s="59">
        <f>($J4/$J$6) * (G$6/$J$6)</f>
        <v/>
      </c>
      <c r="S4" s="11">
        <f>($J4/$J$6) * (H$6/$J$6)</f>
        <v/>
      </c>
      <c r="T4" s="60">
        <f>($J4/$J$6) * (I$6/$J$6)</f>
        <v/>
      </c>
      <c r="U4" s="11" t="n"/>
      <c r="V4" s="58" t="inlineStr">
        <is>
          <t>Expected Weighted Disagreement (D_exp)</t>
        </is>
      </c>
      <c r="W4" s="59">
        <f>SUMPRODUCT(R3:T5, M3:O5)</f>
        <v/>
      </c>
      <c r="X4" s="60" t="inlineStr">
        <is>
          <t>Sum of (expected cell proportions × weights) under chance agreement.</t>
        </is>
      </c>
    </row>
    <row r="5" ht="15.75" customHeight="1" s="81">
      <c r="A5" s="46">
        <f>'Gemini 3 Pro Generation'!A5</f>
        <v/>
      </c>
      <c r="B5" s="69">
        <f>'Gemini 3 Pro Generation'!B5</f>
        <v/>
      </c>
      <c r="C5" s="19">
        <f>'Gemini 3 Pro Generation'!C5</f>
        <v/>
      </c>
      <c r="D5" s="19">
        <f>'Claude Sonnet 4.5 Gen'!C5</f>
        <v/>
      </c>
      <c r="E5" s="45" t="n"/>
      <c r="F5" s="54" t="n">
        <v>1</v>
      </c>
      <c r="G5" s="61">
        <f>COUNTIFS($C$2:$C$48, $F5, $D$2:$D$48, G$2)+MAX(C49-D49,0)+MAX(C50-D50,0)+MAX(C51-D51,0)+MAX(C52-D52,0)+MAX(C53-D53,0)+MAX(C54-D54,0)+MAX(C55-D55,0)</f>
        <v/>
      </c>
      <c r="H5" s="62">
        <f>COUNTIFS($C$2:$C$48, $F5, $D$2:$D$48, H$2)</f>
        <v/>
      </c>
      <c r="I5" s="63">
        <f>COUNTIFS($C$2:$C$48, $F5, $D$2:$D$48, I$2)+ SUM(MIN(C49,D49), MIN(C50,D50), MIN(C51,D51), MIN(C52,D52), MIN(C53,D53), MIN(C54,D54), MIN(C55,D55))</f>
        <v/>
      </c>
      <c r="J5" s="11">
        <f>SUM(G5:I5)</f>
        <v/>
      </c>
      <c r="K5" s="11" t="n"/>
      <c r="L5" s="54" t="n">
        <v>1</v>
      </c>
      <c r="M5" s="61">
        <f>ABS(G$2-$F5)/1</f>
        <v/>
      </c>
      <c r="N5" s="62">
        <f>ABS(H$2-$F5)/1</f>
        <v/>
      </c>
      <c r="O5" s="63">
        <f>ABS(I$2-$F5)/1</f>
        <v/>
      </c>
      <c r="P5" s="11" t="n"/>
      <c r="Q5" s="54" t="n">
        <v>1</v>
      </c>
      <c r="R5" s="61">
        <f>($J5/$J$6) * (G$6/$J$6)</f>
        <v/>
      </c>
      <c r="S5" s="62">
        <f>($J5/$J$6) * (H$6/$J$6)</f>
        <v/>
      </c>
      <c r="T5" s="63">
        <f>($J5/$J$6) * (I$6/$J$6)</f>
        <v/>
      </c>
      <c r="U5" s="11" t="n"/>
      <c r="V5" s="58" t="inlineStr">
        <is>
          <t>Cohen's Kappa</t>
        </is>
      </c>
      <c r="W5" s="61">
        <f>1-W3/W4</f>
        <v/>
      </c>
      <c r="X5" s="63" t="inlineStr">
        <is>
          <t>1 - (D_obs / D_exp)</t>
        </is>
      </c>
    </row>
    <row r="6" ht="15.75" customHeight="1" s="81">
      <c r="A6" s="46">
        <f>'Gemini 3 Pro Generation'!A6</f>
        <v/>
      </c>
      <c r="B6" s="69">
        <f>'Gemini 3 Pro Generation'!B6</f>
        <v/>
      </c>
      <c r="C6" s="19">
        <f>'Gemini 3 Pro Generation'!C6</f>
        <v/>
      </c>
      <c r="D6" s="19">
        <f>'Claude Sonnet 4.5 Gen'!C6</f>
        <v/>
      </c>
      <c r="E6" s="45" t="n"/>
      <c r="F6" s="64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>
        <f>SUM(G3:I5)</f>
        <v/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V6" s="11" t="n"/>
      <c r="W6" s="65" t="n"/>
    </row>
    <row r="7" ht="15.75" customHeight="1" s="81">
      <c r="A7" s="46">
        <f>'Gemini 3 Pro Generation'!A7</f>
        <v/>
      </c>
      <c r="B7" s="69">
        <f>'Gemini 3 Pro Generation'!B7</f>
        <v/>
      </c>
      <c r="C7" s="19">
        <f>'Gemini 3 Pro Generation'!C7</f>
        <v/>
      </c>
      <c r="D7" s="19">
        <f>'Claude Sonnet 4.5 Gen'!C7</f>
        <v/>
      </c>
      <c r="E7" s="45" t="n"/>
      <c r="L7" s="11" t="n"/>
      <c r="M7" s="11" t="n"/>
      <c r="N7" s="11" t="n"/>
    </row>
    <row r="8" ht="15.75" customHeight="1" s="81">
      <c r="A8" s="46">
        <f>'Gemini 3 Pro Generation'!A8</f>
        <v/>
      </c>
      <c r="B8" s="69">
        <f>'Gemini 3 Pro Generation'!B8</f>
        <v/>
      </c>
      <c r="C8" s="19">
        <f>'Gemini 3 Pro Generation'!C8</f>
        <v/>
      </c>
      <c r="D8" s="19">
        <f>'Claude Sonnet 4.5 Gen'!C8</f>
        <v/>
      </c>
      <c r="E8" s="45" t="n"/>
      <c r="F8" s="46" t="inlineStr">
        <is>
          <t>Confusion Matrix (State)</t>
        </is>
      </c>
    </row>
    <row r="9" ht="15.75" customHeight="1" s="81">
      <c r="A9" s="46">
        <f>'Gemini 3 Pro Generation'!A9</f>
        <v/>
      </c>
      <c r="B9" s="69">
        <f>'Gemini 3 Pro Generation'!B9</f>
        <v/>
      </c>
      <c r="C9" s="19">
        <f>'Gemini 3 Pro Generation'!C9</f>
        <v/>
      </c>
      <c r="D9" s="19">
        <f>'Claude Sonnet 4.5 Gen'!C9</f>
        <v/>
      </c>
      <c r="E9" s="45" t="n"/>
      <c r="F9" s="11" t="inlineStr">
        <is>
          <t>State</t>
        </is>
      </c>
      <c r="G9" s="66" t="inlineStr">
        <is>
          <t>0</t>
        </is>
      </c>
      <c r="H9" s="66" t="inlineStr">
        <is>
          <t>0.5</t>
        </is>
      </c>
      <c r="I9" s="66" t="inlineStr">
        <is>
          <t>1</t>
        </is>
      </c>
      <c r="J9" s="67" t="inlineStr">
        <is>
          <t>Row Totals</t>
        </is>
      </c>
      <c r="K9" s="11" t="n"/>
      <c r="L9" s="11" t="inlineStr">
        <is>
          <t>Global</t>
        </is>
      </c>
      <c r="M9" s="66" t="inlineStr">
        <is>
          <t>0</t>
        </is>
      </c>
      <c r="N9" s="66" t="inlineStr">
        <is>
          <t>0.5</t>
        </is>
      </c>
      <c r="O9" s="66" t="inlineStr">
        <is>
          <t>1</t>
        </is>
      </c>
      <c r="P9" s="11" t="n"/>
      <c r="Q9" s="11" t="inlineStr">
        <is>
          <t>Global</t>
        </is>
      </c>
      <c r="R9" s="66" t="inlineStr">
        <is>
          <t>0</t>
        </is>
      </c>
      <c r="S9" s="66" t="inlineStr">
        <is>
          <t>0.5</t>
        </is>
      </c>
      <c r="T9" s="66" t="inlineStr">
        <is>
          <t>1</t>
        </is>
      </c>
      <c r="V9" s="53">
        <f>"Metrics" &amp; " " &amp; F9
</f>
        <v/>
      </c>
      <c r="W9" s="53" t="inlineStr">
        <is>
          <t>Value</t>
        </is>
      </c>
      <c r="X9" s="53" t="inlineStr">
        <is>
          <t>Note</t>
        </is>
      </c>
    </row>
    <row r="10" ht="15.75" customHeight="1" s="81">
      <c r="A10" s="46">
        <f>'Gemini 3 Pro Generation'!A10</f>
        <v/>
      </c>
      <c r="B10" s="69">
        <f>'Gemini 3 Pro Generation'!B10</f>
        <v/>
      </c>
      <c r="C10" s="19">
        <f>'Gemini 3 Pro Generation'!C10</f>
        <v/>
      </c>
      <c r="D10" s="19">
        <f>'Claude Sonnet 4.5 Gen'!C10</f>
        <v/>
      </c>
      <c r="E10" s="45" t="n"/>
      <c r="F10" s="54" t="n">
        <v>0</v>
      </c>
      <c r="G10" s="55">
        <f>COUNTIFS($A$2:$A$92,$F$9,$C$2:$C$92,$F10,$D$2:$D$92,G$9)</f>
        <v/>
      </c>
      <c r="H10" s="56">
        <f>COUNTIFS($A$2:$A$92,$F$9,$C$2:$C$92,$F10,$D$2:$D$92,H$9)</f>
        <v/>
      </c>
      <c r="I10" s="57">
        <f>COUNTIFS($A$2:$A$48,$F$9,$C$2:$C$48,$F10,$D$2:$D$48,I$9)+MAX(D49-C49,0)</f>
        <v/>
      </c>
      <c r="J10" s="11">
        <f>SUM(G10:I10)</f>
        <v/>
      </c>
      <c r="K10" s="11" t="n"/>
      <c r="L10" s="54" t="n">
        <v>0</v>
      </c>
      <c r="M10" s="55">
        <f>ABS(G$2-$F10)/1</f>
        <v/>
      </c>
      <c r="N10" s="56">
        <f>ABS(H$2-$F10)/1</f>
        <v/>
      </c>
      <c r="O10" s="57">
        <f>ABS(I$2-$F10)/1</f>
        <v/>
      </c>
      <c r="P10" s="11" t="n"/>
      <c r="Q10" s="54" t="n">
        <v>0</v>
      </c>
      <c r="R10" s="55">
        <f>($J10/$J$13) * (G$13/$J$13)</f>
        <v/>
      </c>
      <c r="S10" s="56">
        <f>($J10/$J$13) * (H$13/$J$13)</f>
        <v/>
      </c>
      <c r="T10" s="57">
        <f>($J10/$J$13) * (I$13/$J$13)</f>
        <v/>
      </c>
      <c r="U10" s="11" t="n"/>
      <c r="V10" s="58" t="inlineStr">
        <is>
          <t>Observed Weighted Disagreement (D_obs)</t>
        </is>
      </c>
      <c r="W10" s="55">
        <f>SUMPRODUCT(G10:I12, M10:O12) /$J$13</f>
        <v/>
      </c>
      <c r="X10" s="57" t="inlineStr">
        <is>
          <t>Sum of (confusion-matrix counts × weights) divided by total items.</t>
        </is>
      </c>
    </row>
    <row r="11" ht="15.75" customHeight="1" s="81">
      <c r="A11" s="46">
        <f>'Gemini 3 Pro Generation'!A11</f>
        <v/>
      </c>
      <c r="B11" s="69">
        <f>'Gemini 3 Pro Generation'!B11</f>
        <v/>
      </c>
      <c r="C11" s="19">
        <f>'Gemini 3 Pro Generation'!C11</f>
        <v/>
      </c>
      <c r="D11" s="19">
        <f>'Claude Sonnet 4.5 Gen'!C11</f>
        <v/>
      </c>
      <c r="E11" s="45" t="n"/>
      <c r="F11" s="54" t="n">
        <v>0.5</v>
      </c>
      <c r="G11" s="59">
        <f>COUNTIFS($A$2:$A$92,$F$9,$C$2:$C$92,$F11,$D$2:$D$92,G$9)</f>
        <v/>
      </c>
      <c r="H11" s="11">
        <f>COUNTIFS($A$2:$A$92,$F$9,$C$2:$C$92,$F11,$D$2:$D$92,H$9)</f>
        <v/>
      </c>
      <c r="I11" s="60">
        <f>COUNTIFS($A$2:$A$92,$F$9,$C$2:$C$92,$F11,$D$2:$D$92,I$9)</f>
        <v/>
      </c>
      <c r="J11" s="11">
        <f>SUM(G11:I11)</f>
        <v/>
      </c>
      <c r="K11" s="11" t="n"/>
      <c r="L11" s="54" t="n">
        <v>0.5</v>
      </c>
      <c r="M11" s="59">
        <f>ABS(G$2-$F11)/1</f>
        <v/>
      </c>
      <c r="N11" s="11">
        <f>ABS(H$2-$F11)/3</f>
        <v/>
      </c>
      <c r="O11" s="60">
        <f>ABS(I$2-$F11)/1</f>
        <v/>
      </c>
      <c r="P11" s="11" t="n"/>
      <c r="Q11" s="54" t="n">
        <v>0.5</v>
      </c>
      <c r="R11" s="59">
        <f>($J11/$J$13) * (G$13/$J$13)</f>
        <v/>
      </c>
      <c r="S11" s="11">
        <f>($J11/$J$13) * (H$13/$J$13)</f>
        <v/>
      </c>
      <c r="T11" s="60">
        <f>($J11/$J$13) * (I$13/$J$13)</f>
        <v/>
      </c>
      <c r="U11" s="11" t="n"/>
      <c r="V11" s="58" t="inlineStr">
        <is>
          <t>Expected Weighted Disagreement (D_exp)</t>
        </is>
      </c>
      <c r="W11" s="59">
        <f>SUMPRODUCT(R10:T12, M10:O12)</f>
        <v/>
      </c>
      <c r="X11" s="60" t="inlineStr">
        <is>
          <t>Sum of (expected cell proportions × weights) under chance agreement.</t>
        </is>
      </c>
    </row>
    <row r="12" ht="15.75" customHeight="1" s="81">
      <c r="A12" s="46">
        <f>'Gemini 3 Pro Generation'!A12</f>
        <v/>
      </c>
      <c r="B12" s="69">
        <f>'Gemini 3 Pro Generation'!B12</f>
        <v/>
      </c>
      <c r="C12" s="19">
        <f>'Gemini 3 Pro Generation'!C12</f>
        <v/>
      </c>
      <c r="D12" s="19">
        <f>'Claude Sonnet 4.5 Gen'!C12</f>
        <v/>
      </c>
      <c r="E12" s="45" t="n"/>
      <c r="F12" s="54" t="n">
        <v>1</v>
      </c>
      <c r="G12" s="61">
        <f>COUNTIFS($A$2:$A$48,$F$9,$C$2:$C$48,$F12,$D$2:$D$48,G$9)+MAX(C49-D49,0)</f>
        <v/>
      </c>
      <c r="H12" s="62">
        <f>COUNTIFS($A$2:$A$92,$F$9,$C$2:$C$92,$F12,$D$2:$D$92,H$9)</f>
        <v/>
      </c>
      <c r="I12" s="63">
        <f>COUNTIFS($A$2:$A$48,$F$9,$C$2:$C$48,$F12,$D$2:$D$48,I$9)+MIN(C49-D49)</f>
        <v/>
      </c>
      <c r="J12" s="11">
        <f>SUM(G12:I12)</f>
        <v/>
      </c>
      <c r="K12" s="11" t="n"/>
      <c r="L12" s="54" t="n">
        <v>1</v>
      </c>
      <c r="M12" s="61">
        <f>ABS(G$2-$F12)/1</f>
        <v/>
      </c>
      <c r="N12" s="62">
        <f>ABS(H$2-$F12)/1</f>
        <v/>
      </c>
      <c r="O12" s="63">
        <f>ABS(I$2-$F12)/1</f>
        <v/>
      </c>
      <c r="P12" s="11" t="n"/>
      <c r="Q12" s="54" t="n">
        <v>1</v>
      </c>
      <c r="R12" s="61">
        <f>($J12/$J$13) * (G$13/$J$13)</f>
        <v/>
      </c>
      <c r="S12" s="62">
        <f>($J12/$J$13) * (H$13/$J$13)</f>
        <v/>
      </c>
      <c r="T12" s="63">
        <f>($J12/$J$13) * (I$13/$J$13)</f>
        <v/>
      </c>
      <c r="U12" s="11" t="n"/>
      <c r="V12" s="58" t="inlineStr">
        <is>
          <t>Cohen's Kappa</t>
        </is>
      </c>
      <c r="W12" s="61">
        <f>1-W10/W11</f>
        <v/>
      </c>
      <c r="X12" s="63" t="inlineStr">
        <is>
          <t>1 - (D_obs / D_exp)</t>
        </is>
      </c>
    </row>
    <row r="13" ht="15.75" customHeight="1" s="81">
      <c r="A13" s="46">
        <f>'Gemini 3 Pro Generation'!A13</f>
        <v/>
      </c>
      <c r="B13" s="69">
        <f>'Gemini 3 Pro Generation'!B13</f>
        <v/>
      </c>
      <c r="C13" s="19">
        <f>'Gemini 3 Pro Generation'!C13</f>
        <v/>
      </c>
      <c r="D13" s="19">
        <f>'Claude Sonnet 4.5 Gen'!C13</f>
        <v/>
      </c>
      <c r="E13" s="45" t="n"/>
      <c r="F13" s="64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>
        <f>SUM(G10:I12)</f>
        <v/>
      </c>
    </row>
    <row r="14" ht="15.75" customHeight="1" s="81">
      <c r="A14" s="46">
        <f>'Gemini 3 Pro Generation'!A14</f>
        <v/>
      </c>
      <c r="B14" s="69">
        <f>'Gemini 3 Pro Generation'!B14</f>
        <v/>
      </c>
      <c r="C14" s="19">
        <f>'Gemini 3 Pro Generation'!C14</f>
        <v/>
      </c>
      <c r="D14" s="19">
        <f>'Claude Sonnet 4.5 Gen'!C14</f>
        <v/>
      </c>
      <c r="E14" s="45" t="n"/>
    </row>
    <row r="15" ht="15.75" customHeight="1" s="81">
      <c r="A15" s="46">
        <f>'Gemini 3 Pro Generation'!A15</f>
        <v/>
      </c>
      <c r="B15" s="69">
        <f>'Gemini 3 Pro Generation'!B15</f>
        <v/>
      </c>
      <c r="C15" s="19">
        <f>'Gemini 3 Pro Generation'!C15</f>
        <v/>
      </c>
      <c r="D15" s="19">
        <f>'Claude Sonnet 4.5 Gen'!C15</f>
        <v/>
      </c>
      <c r="E15" s="45" t="n"/>
      <c r="F15" s="46" t="inlineStr">
        <is>
          <t>Confusion Matrix (Transition)</t>
        </is>
      </c>
    </row>
    <row r="16" ht="15.75" customHeight="1" s="81">
      <c r="A16" s="46">
        <f>'Gemini 3 Pro Generation'!A16</f>
        <v/>
      </c>
      <c r="B16" s="69">
        <f>'Gemini 3 Pro Generation'!B16</f>
        <v/>
      </c>
      <c r="C16" s="19">
        <f>'Gemini 3 Pro Generation'!C16</f>
        <v/>
      </c>
      <c r="D16" s="19">
        <f>'Claude Sonnet 4.5 Gen'!C16</f>
        <v/>
      </c>
      <c r="E16" s="45" t="n"/>
      <c r="F16" s="11" t="inlineStr">
        <is>
          <t>Transition</t>
        </is>
      </c>
      <c r="G16" s="66" t="inlineStr">
        <is>
          <t>0</t>
        </is>
      </c>
      <c r="H16" s="66" t="inlineStr">
        <is>
          <t>0.5</t>
        </is>
      </c>
      <c r="I16" s="66" t="inlineStr">
        <is>
          <t>1</t>
        </is>
      </c>
      <c r="J16" s="67" t="inlineStr">
        <is>
          <t>Row Totals</t>
        </is>
      </c>
      <c r="K16" s="11" t="n"/>
      <c r="L16" s="11" t="inlineStr">
        <is>
          <t>Global</t>
        </is>
      </c>
      <c r="M16" s="66" t="inlineStr">
        <is>
          <t>0</t>
        </is>
      </c>
      <c r="N16" s="66" t="inlineStr">
        <is>
          <t>0.5</t>
        </is>
      </c>
      <c r="O16" s="66" t="inlineStr">
        <is>
          <t>1</t>
        </is>
      </c>
      <c r="P16" s="11" t="n"/>
      <c r="Q16" s="11" t="inlineStr">
        <is>
          <t>Global</t>
        </is>
      </c>
      <c r="R16" s="66" t="inlineStr">
        <is>
          <t>0</t>
        </is>
      </c>
      <c r="S16" s="66" t="inlineStr">
        <is>
          <t>0.5</t>
        </is>
      </c>
      <c r="T16" s="66" t="inlineStr">
        <is>
          <t>1</t>
        </is>
      </c>
      <c r="V16" s="53">
        <f>"Metrics" &amp; " " &amp; F16
</f>
        <v/>
      </c>
      <c r="W16" s="53" t="inlineStr">
        <is>
          <t>Value</t>
        </is>
      </c>
      <c r="X16" s="53" t="inlineStr">
        <is>
          <t>Note</t>
        </is>
      </c>
    </row>
    <row r="17" ht="15.75" customHeight="1" s="81">
      <c r="A17" s="46">
        <f>'Gemini 3 Pro Generation'!A17</f>
        <v/>
      </c>
      <c r="B17" s="69">
        <f>'Gemini 3 Pro Generation'!B17</f>
        <v/>
      </c>
      <c r="C17" s="19">
        <f>'Gemini 3 Pro Generation'!C17</f>
        <v/>
      </c>
      <c r="D17" s="19">
        <f>'Claude Sonnet 4.5 Gen'!C17</f>
        <v/>
      </c>
      <c r="E17" s="45" t="n"/>
      <c r="F17" s="54" t="n">
        <v>0</v>
      </c>
      <c r="G17" s="55">
        <f>COUNTIFS($A$2:$A$92,$F$16,$C$2:$C$92,$F17,$D$2:$D$92,G$16)</f>
        <v/>
      </c>
      <c r="H17" s="56">
        <f>COUNTIFS($A$2:$A$92,$F$16,$C$2:$C$92,$F17,$D$2:$D$92,H$16)</f>
        <v/>
      </c>
      <c r="I17" s="57">
        <f>COUNTIFS($A$2:$A$48,$F$16,$C$2:$C$48,$F17,$D$2:$D$48,I$16) + MAX(D50-C50,0)</f>
        <v/>
      </c>
      <c r="J17" s="11">
        <f>SUM(G17:I17)</f>
        <v/>
      </c>
      <c r="K17" s="11" t="n"/>
      <c r="L17" s="54" t="n">
        <v>0</v>
      </c>
      <c r="M17" s="55">
        <f>ABS(G$2-$F17)/1</f>
        <v/>
      </c>
      <c r="N17" s="56">
        <f>ABS(H$2-$F17)/1</f>
        <v/>
      </c>
      <c r="O17" s="57">
        <f>ABS(I$2-$F17)/1</f>
        <v/>
      </c>
      <c r="P17" s="11" t="n"/>
      <c r="Q17" s="54" t="n">
        <v>0</v>
      </c>
      <c r="R17" s="55">
        <f>($J17/$J$20) * (G$20/$J$20)</f>
        <v/>
      </c>
      <c r="S17" s="56">
        <f>($J17/$J$20) * (H$20/$J$20)</f>
        <v/>
      </c>
      <c r="T17" s="57">
        <f>($J17/$J$20) * (I$20/$J$20)</f>
        <v/>
      </c>
      <c r="U17" s="11" t="n"/>
      <c r="V17" s="58" t="inlineStr">
        <is>
          <t>Observed Weighted Disagreement (D_obs)</t>
        </is>
      </c>
      <c r="W17" s="55">
        <f>SUMPRODUCT(G17:I19, M17:O19) /$J$20</f>
        <v/>
      </c>
      <c r="X17" s="57" t="inlineStr">
        <is>
          <t>Sum of (confusion-matrix counts × weights) divided by total items.</t>
        </is>
      </c>
    </row>
    <row r="18" ht="15.75" customHeight="1" s="81">
      <c r="A18" s="46">
        <f>'Gemini 3 Pro Generation'!A18</f>
        <v/>
      </c>
      <c r="B18" s="69">
        <f>'Gemini 3 Pro Generation'!B18</f>
        <v/>
      </c>
      <c r="C18" s="19">
        <f>'Gemini 3 Pro Generation'!C18</f>
        <v/>
      </c>
      <c r="D18" s="19">
        <f>'Claude Sonnet 4.5 Gen'!C18</f>
        <v/>
      </c>
      <c r="E18" s="45" t="n"/>
      <c r="F18" s="54" t="n">
        <v>0.5</v>
      </c>
      <c r="G18" s="59">
        <f>COUNTIFS($A$2:$A$92,$F$16,$C$2:$C$92,$F18,$D$2:$D$92,G$16)</f>
        <v/>
      </c>
      <c r="H18" s="11">
        <f>COUNTIFS($A$2:$A$92,$F$16,$C$2:$C$92,$F18,$D$2:$D$92,H$16)</f>
        <v/>
      </c>
      <c r="I18" s="60">
        <f>COUNTIFS($A$2:$A$92,$F$16,$C$2:$C$92,$F18,$D$2:$D$92,I$16)</f>
        <v/>
      </c>
      <c r="J18" s="11">
        <f>SUM(G18:I18)</f>
        <v/>
      </c>
      <c r="K18" s="11" t="n"/>
      <c r="L18" s="54" t="n">
        <v>0.5</v>
      </c>
      <c r="M18" s="59">
        <f>ABS(G$2-$F18)/1</f>
        <v/>
      </c>
      <c r="N18" s="11">
        <f>ABS(H$2-$F18)/3</f>
        <v/>
      </c>
      <c r="O18" s="60">
        <f>ABS(I$2-$F18)/1</f>
        <v/>
      </c>
      <c r="P18" s="11" t="n"/>
      <c r="Q18" s="54" t="n">
        <v>0.5</v>
      </c>
      <c r="R18" s="59">
        <f>($J18/$J$20) * (G$20/$J$20)</f>
        <v/>
      </c>
      <c r="S18" s="11">
        <f>($J18/$J$20) * (H$20/$J$20)</f>
        <v/>
      </c>
      <c r="T18" s="60">
        <f>($J18/$J$20) * (I$20/$J$20)</f>
        <v/>
      </c>
      <c r="U18" s="11" t="n"/>
      <c r="V18" s="58" t="inlineStr">
        <is>
          <t>Expected Weighted Disagreement (D_exp)</t>
        </is>
      </c>
      <c r="W18" s="59">
        <f>SUMPRODUCT(R17:T19, M17:O19)</f>
        <v/>
      </c>
      <c r="X18" s="60" t="inlineStr">
        <is>
          <t>Sum of (expected cell proportions × weights) under chance agreement.</t>
        </is>
      </c>
    </row>
    <row r="19" ht="15.75" customHeight="1" s="81">
      <c r="A19" s="46">
        <f>'Gemini 3 Pro Generation'!A19</f>
        <v/>
      </c>
      <c r="B19" s="69">
        <f>'Gemini 3 Pro Generation'!B19</f>
        <v/>
      </c>
      <c r="C19" s="19">
        <f>'Gemini 3 Pro Generation'!C19</f>
        <v/>
      </c>
      <c r="D19" s="19">
        <f>'Claude Sonnet 4.5 Gen'!C19</f>
        <v/>
      </c>
      <c r="E19" s="45" t="n"/>
      <c r="F19" s="54" t="n">
        <v>1</v>
      </c>
      <c r="G19" s="61">
        <f>COUNTIFS($A$2:$A$48,$F$16,$C$2:$C$48,$F19,$D$2:$D$48,G$16)+MAX(C50-D50,0)</f>
        <v/>
      </c>
      <c r="H19" s="62">
        <f>COUNTIFS($A$2:$A$92,$F$16,$C$2:$C$92,$F19,$D$2:$D$92,H$16)</f>
        <v/>
      </c>
      <c r="I19" s="63">
        <f>COUNTIFS($A$2:$A$48,$F$16,$C$2:$C$48,$F19,$D$2:$D$48,I$16) + MIN(C50,D50)</f>
        <v/>
      </c>
      <c r="J19" s="11">
        <f>SUM(G19:I19)</f>
        <v/>
      </c>
      <c r="K19" s="11" t="n"/>
      <c r="L19" s="54" t="n">
        <v>1</v>
      </c>
      <c r="M19" s="61">
        <f>ABS(G$2-$F19)/1</f>
        <v/>
      </c>
      <c r="N19" s="62">
        <f>ABS(H$2-$F19)/1</f>
        <v/>
      </c>
      <c r="O19" s="63">
        <f>ABS(I$2-$F19)/1</f>
        <v/>
      </c>
      <c r="P19" s="11" t="n"/>
      <c r="Q19" s="54" t="n">
        <v>1</v>
      </c>
      <c r="R19" s="61">
        <f>($J19/$J$20) * (G$20/$J$20)</f>
        <v/>
      </c>
      <c r="S19" s="62">
        <f>($J19/$J$20) * (H$20/$J$20)</f>
        <v/>
      </c>
      <c r="T19" s="63">
        <f>($J19/$J$20) * (I$20/$J$20)</f>
        <v/>
      </c>
      <c r="U19" s="11" t="n"/>
      <c r="V19" s="58" t="inlineStr">
        <is>
          <t>Cohen's Kappa</t>
        </is>
      </c>
      <c r="W19" s="61">
        <f>1-W17/W18</f>
        <v/>
      </c>
      <c r="X19" s="63" t="inlineStr">
        <is>
          <t>1 - (D_obs / D_exp)</t>
        </is>
      </c>
    </row>
    <row r="20" ht="15.75" customHeight="1" s="81">
      <c r="A20" s="46">
        <f>'Gemini 3 Pro Generation'!A20</f>
        <v/>
      </c>
      <c r="B20" s="69">
        <f>'Gemini 3 Pro Generation'!B20</f>
        <v/>
      </c>
      <c r="C20" s="19">
        <f>'Gemini 3 Pro Generation'!C20</f>
        <v/>
      </c>
      <c r="D20" s="19">
        <f>'Claude Sonnet 4.5 Gen'!C20</f>
        <v/>
      </c>
      <c r="E20" s="45" t="n"/>
      <c r="F20" s="64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>
        <f>SUM(G17:I19)</f>
        <v/>
      </c>
    </row>
    <row r="21" ht="15.75" customHeight="1" s="81">
      <c r="A21" s="46">
        <f>'Gemini 3 Pro Generation'!A21</f>
        <v/>
      </c>
      <c r="B21" s="69">
        <f>'Gemini 3 Pro Generation'!B21</f>
        <v/>
      </c>
      <c r="C21" s="19">
        <f>'Gemini 3 Pro Generation'!C21</f>
        <v/>
      </c>
      <c r="D21" s="19">
        <f>'Claude Sonnet 4.5 Gen'!C21</f>
        <v/>
      </c>
      <c r="E21" s="45" t="n"/>
    </row>
    <row r="22" ht="15.75" customHeight="1" s="81">
      <c r="A22" s="46">
        <f>'Gemini 3 Pro Generation'!A22</f>
        <v/>
      </c>
      <c r="B22" s="69">
        <f>'Gemini 3 Pro Generation'!B22</f>
        <v/>
      </c>
      <c r="C22" s="19">
        <f>'Gemini 3 Pro Generation'!C22</f>
        <v/>
      </c>
      <c r="D22" s="19">
        <f>'Claude Sonnet 4.5 Gen'!C22</f>
        <v/>
      </c>
      <c r="E22" s="45" t="n"/>
      <c r="F22" s="46" t="inlineStr">
        <is>
          <t>Confusion Matrix (Composite State)</t>
        </is>
      </c>
    </row>
    <row r="23" ht="15.75" customHeight="1" s="81">
      <c r="A23" s="46">
        <f>'Gemini 3 Pro Generation'!A23</f>
        <v/>
      </c>
      <c r="B23" s="69">
        <f>'Gemini 3 Pro Generation'!B23</f>
        <v/>
      </c>
      <c r="C23" s="19">
        <f>'Gemini 3 Pro Generation'!C23</f>
        <v/>
      </c>
      <c r="D23" s="19">
        <f>'Claude Sonnet 4.5 Gen'!C23</f>
        <v/>
      </c>
      <c r="E23" s="45" t="n"/>
      <c r="F23" s="11" t="inlineStr">
        <is>
          <t>Composite State</t>
        </is>
      </c>
      <c r="G23" s="66" t="inlineStr">
        <is>
          <t>0</t>
        </is>
      </c>
      <c r="H23" s="66" t="inlineStr">
        <is>
          <t>0.5</t>
        </is>
      </c>
      <c r="I23" s="66" t="inlineStr">
        <is>
          <t>1</t>
        </is>
      </c>
      <c r="J23" s="67" t="inlineStr">
        <is>
          <t>Row Totals</t>
        </is>
      </c>
      <c r="K23" s="11" t="n"/>
      <c r="L23" s="11" t="inlineStr">
        <is>
          <t>Global</t>
        </is>
      </c>
      <c r="M23" s="66" t="inlineStr">
        <is>
          <t>0</t>
        </is>
      </c>
      <c r="N23" s="66" t="inlineStr">
        <is>
          <t>0.5</t>
        </is>
      </c>
      <c r="O23" s="66" t="inlineStr">
        <is>
          <t>1</t>
        </is>
      </c>
      <c r="P23" s="11" t="n"/>
      <c r="Q23" s="11" t="inlineStr">
        <is>
          <t>Global</t>
        </is>
      </c>
      <c r="R23" s="66" t="inlineStr">
        <is>
          <t>0</t>
        </is>
      </c>
      <c r="S23" s="66" t="inlineStr">
        <is>
          <t>0.5</t>
        </is>
      </c>
      <c r="T23" s="66" t="inlineStr">
        <is>
          <t>1</t>
        </is>
      </c>
      <c r="V23" s="53">
        <f>"Metrics" &amp; " " &amp; F23
</f>
        <v/>
      </c>
      <c r="W23" s="53" t="inlineStr">
        <is>
          <t>Value</t>
        </is>
      </c>
      <c r="X23" s="53" t="inlineStr">
        <is>
          <t>Note</t>
        </is>
      </c>
    </row>
    <row r="24" ht="15.75" customHeight="1" s="81">
      <c r="A24" s="46">
        <f>'Gemini 3 Pro Generation'!A24</f>
        <v/>
      </c>
      <c r="B24" s="69">
        <f>'Gemini 3 Pro Generation'!B24</f>
        <v/>
      </c>
      <c r="C24" s="19">
        <f>'Gemini 3 Pro Generation'!C24</f>
        <v/>
      </c>
      <c r="D24" s="19">
        <f>'Claude Sonnet 4.5 Gen'!C24</f>
        <v/>
      </c>
      <c r="E24" s="45" t="n"/>
      <c r="F24" s="54" t="n">
        <v>0</v>
      </c>
      <c r="G24" s="55">
        <f>COUNTIFS($A$2:$A$92,$F$23,$C$2:$C$92,$F24,$D$2:$D$92,G$23)</f>
        <v/>
      </c>
      <c r="H24" s="56">
        <f>COUNTIFS($A$2:$A$92,$F$23,$C$2:$C$92,$F24,$D$2:$D$92,H$23)</f>
        <v/>
      </c>
      <c r="I24" s="57">
        <f>COUNTIFS($A$2:$A$48,$F$23,$C$2:$C$48,$F24,$D$2:$D$48,I$23) + MAX(D53-C53,0)</f>
        <v/>
      </c>
      <c r="J24" s="11">
        <f>SUM(G24:I24)</f>
        <v/>
      </c>
      <c r="K24" s="11" t="n"/>
      <c r="L24" s="54" t="n">
        <v>0</v>
      </c>
      <c r="M24" s="55">
        <f>ABS(G$2-$F24)/1</f>
        <v/>
      </c>
      <c r="N24" s="56">
        <f>ABS(H$2-$F24)/1</f>
        <v/>
      </c>
      <c r="O24" s="57">
        <f>ABS(I$2-$F24)/1</f>
        <v/>
      </c>
      <c r="P24" s="11" t="n"/>
      <c r="Q24" s="54" t="n">
        <v>0</v>
      </c>
      <c r="R24" s="55">
        <f>($J24/$J$27) * (G$27/$J$27)</f>
        <v/>
      </c>
      <c r="S24" s="56">
        <f>($J24/$J$27) * (H$27/$J$27)</f>
        <v/>
      </c>
      <c r="T24" s="57">
        <f>($J24/$J$27) * (I$27/$J$27)</f>
        <v/>
      </c>
      <c r="U24" s="11" t="n"/>
      <c r="V24" s="58" t="inlineStr">
        <is>
          <t>Observed Weighted Disagreement (D_obs)</t>
        </is>
      </c>
      <c r="W24" s="55">
        <f>SUMPRODUCT(G24:I26, M24:O26) /$J$27</f>
        <v/>
      </c>
      <c r="X24" s="57" t="inlineStr">
        <is>
          <t>Sum of (confusion-matrix counts × weights) divided by total items.</t>
        </is>
      </c>
    </row>
    <row r="25" ht="15.75" customHeight="1" s="81">
      <c r="A25" s="46">
        <f>'Gemini 3 Pro Generation'!A25</f>
        <v/>
      </c>
      <c r="B25" s="69">
        <f>'Gemini 3 Pro Generation'!B25</f>
        <v/>
      </c>
      <c r="C25" s="19">
        <f>'Gemini 3 Pro Generation'!C25</f>
        <v/>
      </c>
      <c r="D25" s="19">
        <f>'Claude Sonnet 4.5 Gen'!C25</f>
        <v/>
      </c>
      <c r="E25" s="45" t="n"/>
      <c r="F25" s="54" t="n">
        <v>0.5</v>
      </c>
      <c r="G25" s="59">
        <f>COUNTIFS($A$2:$A$92,$F$23,$C$2:$C$92,$F25,$D$2:$D$92,G$23)</f>
        <v/>
      </c>
      <c r="H25" s="11">
        <f>COUNTIFS($A$2:$A$92,$F$23,$C$2:$C$92,$F25,$D$2:$D$92,H$23)</f>
        <v/>
      </c>
      <c r="I25" s="60">
        <f>COUNTIFS($A$2:$A$92,$F$23,$C$2:$C$92,$F25,$D$2:$D$92,I$23)</f>
        <v/>
      </c>
      <c r="J25" s="11">
        <f>SUM(G25:I25)</f>
        <v/>
      </c>
      <c r="K25" s="11" t="n"/>
      <c r="L25" s="54" t="n">
        <v>0.5</v>
      </c>
      <c r="M25" s="59">
        <f>ABS(G$2-$F25)/1</f>
        <v/>
      </c>
      <c r="N25" s="11">
        <f>ABS(H$2-$F25)/3</f>
        <v/>
      </c>
      <c r="O25" s="60">
        <f>ABS(I$2-$F25)/1</f>
        <v/>
      </c>
      <c r="P25" s="11" t="n"/>
      <c r="Q25" s="54" t="n">
        <v>0.5</v>
      </c>
      <c r="R25" s="59">
        <f>($J25/$J$27) * (G$27/$J$27)</f>
        <v/>
      </c>
      <c r="S25" s="11">
        <f>($J25/$J$27) * (H$27/$J$27)</f>
        <v/>
      </c>
      <c r="T25" s="60">
        <f>($J25/$J$27) * (I$27/$J$27)</f>
        <v/>
      </c>
      <c r="U25" s="11" t="n"/>
      <c r="V25" s="58" t="inlineStr">
        <is>
          <t>Expected Weighted Disagreement (D_exp)</t>
        </is>
      </c>
      <c r="W25" s="59">
        <f>SUMPRODUCT(R24:T26, M24:O26)</f>
        <v/>
      </c>
      <c r="X25" s="60" t="inlineStr">
        <is>
          <t>Sum of (expected cell proportions × weights) under chance agreement.</t>
        </is>
      </c>
    </row>
    <row r="26" ht="15.75" customHeight="1" s="81">
      <c r="A26" s="46">
        <f>'Gemini 3 Pro Generation'!A26</f>
        <v/>
      </c>
      <c r="B26" s="69">
        <f>'Gemini 3 Pro Generation'!B26</f>
        <v/>
      </c>
      <c r="C26" s="19">
        <f>'Gemini 3 Pro Generation'!C26</f>
        <v/>
      </c>
      <c r="D26" s="19">
        <f>'Claude Sonnet 4.5 Gen'!C26</f>
        <v/>
      </c>
      <c r="E26" s="45" t="n"/>
      <c r="F26" s="54" t="n">
        <v>1</v>
      </c>
      <c r="G26" s="61">
        <f>COUNTIFS($A$2:$A$48,$F$23,$C$2:$C$48,$F26,$D$2:$D$48,G$23) + MAX(C53-D53,0)</f>
        <v/>
      </c>
      <c r="H26" s="62">
        <f>COUNTIFS($A$2:$A$92,$F$23,$C$2:$C$92,$F26,$D$2:$D$92,H$23)</f>
        <v/>
      </c>
      <c r="I26" s="63">
        <f>COUNTIFS($A$2:$A$48,$F$23,$C$2:$C$48,$F26,$D$2:$D$48,I$23) + MIN(C53,D53)</f>
        <v/>
      </c>
      <c r="J26" s="11">
        <f>SUM(G26:I26)</f>
        <v/>
      </c>
      <c r="K26" s="11" t="n"/>
      <c r="L26" s="54" t="n">
        <v>1</v>
      </c>
      <c r="M26" s="61">
        <f>ABS(G$2-$F26)/1</f>
        <v/>
      </c>
      <c r="N26" s="62">
        <f>ABS(H$2-$F26)/1</f>
        <v/>
      </c>
      <c r="O26" s="63">
        <f>ABS(I$2-$F26)/1</f>
        <v/>
      </c>
      <c r="P26" s="11" t="n"/>
      <c r="Q26" s="54" t="n">
        <v>1</v>
      </c>
      <c r="R26" s="61">
        <f>($J26/$J$27) * (G$27/$J$27)</f>
        <v/>
      </c>
      <c r="S26" s="62">
        <f>($J26/$J$27) * (H$27/$J$27)</f>
        <v/>
      </c>
      <c r="T26" s="63">
        <f>($J26/$J$27) * (I$27/$J$27)</f>
        <v/>
      </c>
      <c r="U26" s="11" t="n"/>
      <c r="V26" s="58" t="inlineStr">
        <is>
          <t>Cohen's Kappa</t>
        </is>
      </c>
      <c r="W26" s="61">
        <f>1-W24/W25</f>
        <v/>
      </c>
      <c r="X26" s="63" t="inlineStr">
        <is>
          <t>1 - (D_obs / D_exp)</t>
        </is>
      </c>
    </row>
    <row r="27" ht="15.75" customHeight="1" s="81">
      <c r="A27" s="46">
        <f>'Gemini 3 Pro Generation'!A27</f>
        <v/>
      </c>
      <c r="B27" s="69">
        <f>'Gemini 3 Pro Generation'!B27</f>
        <v/>
      </c>
      <c r="C27" s="19">
        <f>'Gemini 3 Pro Generation'!C27</f>
        <v/>
      </c>
      <c r="D27" s="19">
        <f>'Claude Sonnet 4.5 Gen'!C27</f>
        <v/>
      </c>
      <c r="E27" s="45" t="n"/>
      <c r="F27" s="64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>
        <f>SUM(G24:I26)</f>
        <v/>
      </c>
    </row>
    <row r="28" ht="15.75" customHeight="1" s="81">
      <c r="A28" s="46">
        <f>'Gemini 3 Pro Generation'!A28</f>
        <v/>
      </c>
      <c r="B28" s="69">
        <f>'Gemini 3 Pro Generation'!B28</f>
        <v/>
      </c>
      <c r="C28" s="19">
        <f>'Gemini 3 Pro Generation'!C28</f>
        <v/>
      </c>
      <c r="D28" s="19">
        <f>'Claude Sonnet 4.5 Gen'!C28</f>
        <v/>
      </c>
      <c r="E28" s="45" t="n"/>
    </row>
    <row r="29" ht="15.75" customHeight="1" s="81">
      <c r="A29" s="46">
        <f>'Gemini 3 Pro Generation'!A29</f>
        <v/>
      </c>
      <c r="B29" s="69">
        <f>'Gemini 3 Pro Generation'!B29</f>
        <v/>
      </c>
      <c r="C29" s="19">
        <f>'Gemini 3 Pro Generation'!C29</f>
        <v/>
      </c>
      <c r="D29" s="19">
        <f>'Claude Sonnet 4.5 Gen'!C29</f>
        <v/>
      </c>
      <c r="E29" s="45" t="n"/>
      <c r="F29" s="46" t="inlineStr">
        <is>
          <t>Confusion Matrix (Guard)</t>
        </is>
      </c>
    </row>
    <row r="30" ht="15.75" customHeight="1" s="81">
      <c r="A30" s="46">
        <f>'Gemini 3 Pro Generation'!A30</f>
        <v/>
      </c>
      <c r="B30" s="69">
        <f>'Gemini 3 Pro Generation'!B30</f>
        <v/>
      </c>
      <c r="C30" s="19">
        <f>'Gemini 3 Pro Generation'!C30</f>
        <v/>
      </c>
      <c r="D30" s="19">
        <f>'Claude Sonnet 4.5 Gen'!C30</f>
        <v/>
      </c>
      <c r="E30" s="45" t="n"/>
      <c r="F30" s="11" t="inlineStr">
        <is>
          <t>Guard</t>
        </is>
      </c>
      <c r="G30" s="66" t="inlineStr">
        <is>
          <t>0</t>
        </is>
      </c>
      <c r="H30" s="66" t="inlineStr">
        <is>
          <t>0.5</t>
        </is>
      </c>
      <c r="I30" s="66" t="inlineStr">
        <is>
          <t>1</t>
        </is>
      </c>
      <c r="J30" s="67" t="inlineStr">
        <is>
          <t>Row Totals</t>
        </is>
      </c>
      <c r="K30" s="11" t="n"/>
      <c r="L30" s="11" t="inlineStr">
        <is>
          <t>Global</t>
        </is>
      </c>
      <c r="M30" s="66" t="n">
        <v>0</v>
      </c>
      <c r="N30" s="66" t="inlineStr">
        <is>
          <t>0.5</t>
        </is>
      </c>
      <c r="O30" s="66" t="inlineStr">
        <is>
          <t>1</t>
        </is>
      </c>
      <c r="P30" s="11" t="n"/>
      <c r="Q30" s="11" t="inlineStr">
        <is>
          <t>Global</t>
        </is>
      </c>
      <c r="R30" s="66" t="inlineStr">
        <is>
          <t>0</t>
        </is>
      </c>
      <c r="S30" s="66" t="inlineStr">
        <is>
          <t>0.5</t>
        </is>
      </c>
      <c r="T30" s="66" t="inlineStr">
        <is>
          <t>1</t>
        </is>
      </c>
      <c r="V30" s="53">
        <f>"Metrics" &amp; " " &amp; F30
</f>
        <v/>
      </c>
      <c r="W30" s="53" t="inlineStr">
        <is>
          <t>Value</t>
        </is>
      </c>
      <c r="X30" s="53" t="inlineStr">
        <is>
          <t>Note</t>
        </is>
      </c>
    </row>
    <row r="31" ht="15.75" customHeight="1" s="81">
      <c r="A31" s="46">
        <f>'Gemini 3 Pro Generation'!A31</f>
        <v/>
      </c>
      <c r="B31" s="69">
        <f>'Gemini 3 Pro Generation'!B31</f>
        <v/>
      </c>
      <c r="C31" s="19">
        <f>'Gemini 3 Pro Generation'!C31</f>
        <v/>
      </c>
      <c r="D31" s="19">
        <f>'Claude Sonnet 4.5 Gen'!C31</f>
        <v/>
      </c>
      <c r="E31" s="45" t="n"/>
      <c r="F31" s="54" t="n">
        <v>0</v>
      </c>
      <c r="G31" s="55">
        <f>COUNTIFS($A$2:$A$92,$F$30,$C$2:$C$92,$F31,$D$2:$D$92,G$30)</f>
        <v/>
      </c>
      <c r="H31" s="56">
        <f>COUNTIFS($A$2:$A$92,$F$30,$C$2:$C$92,$F31,$D$2:$D$92,H$30)</f>
        <v/>
      </c>
      <c r="I31" s="57">
        <f>COUNTIFS($A$2:$A$48,$F$30,$C$2:$C$48,$F31,$D$2:$D$48,I$30) + MAX(D51-C51,0)</f>
        <v/>
      </c>
      <c r="J31" s="11">
        <f>SUM(G31:I31)</f>
        <v/>
      </c>
      <c r="K31" s="11" t="n"/>
      <c r="L31" s="54" t="n">
        <v>0</v>
      </c>
      <c r="M31" s="55">
        <f>ABS(G$2-$F31)/1</f>
        <v/>
      </c>
      <c r="N31" s="56">
        <f>ABS(H$2-$F31)/1</f>
        <v/>
      </c>
      <c r="O31" s="57">
        <f>ABS(I$2-$F31)/1</f>
        <v/>
      </c>
      <c r="P31" s="11" t="n"/>
      <c r="Q31" s="54" t="n">
        <v>0</v>
      </c>
      <c r="R31" s="55">
        <f>($J31/$J$34) * (G$34/$J$34)</f>
        <v/>
      </c>
      <c r="S31" s="56">
        <f>($J31/$J$34) * (H$34/$J$34)</f>
        <v/>
      </c>
      <c r="T31" s="57">
        <f>($J31/$J$34) * (I$34/$J$34)</f>
        <v/>
      </c>
      <c r="U31" s="11" t="n"/>
      <c r="V31" s="58" t="inlineStr">
        <is>
          <t>Observed Weighted Disagreement (D_obs)</t>
        </is>
      </c>
      <c r="W31" s="55">
        <f>SUMPRODUCT(G31:I33, M31:O33) /$J$34</f>
        <v/>
      </c>
      <c r="X31" s="57" t="inlineStr">
        <is>
          <t>Sum of (confusion-matrix counts × weights) divided by total items.</t>
        </is>
      </c>
    </row>
    <row r="32" ht="15.75" customHeight="1" s="81">
      <c r="A32" s="46">
        <f>'Gemini 3 Pro Generation'!A32</f>
        <v/>
      </c>
      <c r="B32" s="69">
        <f>'Gemini 3 Pro Generation'!B32</f>
        <v/>
      </c>
      <c r="C32" s="19">
        <f>'Gemini 3 Pro Generation'!C32</f>
        <v/>
      </c>
      <c r="D32" s="19">
        <f>'Claude Sonnet 4.5 Gen'!C32</f>
        <v/>
      </c>
      <c r="E32" s="45" t="n"/>
      <c r="F32" s="54" t="n">
        <v>0.5</v>
      </c>
      <c r="G32" s="59">
        <f>COUNTIFS($A$2:$A$92,$F$30,$C$2:$C$92,$F32,$D$2:$D$92,G$30)</f>
        <v/>
      </c>
      <c r="H32" s="11">
        <f>COUNTIFS($A$2:$A$92,$F$30,$C$2:$C$92,$F32,$D$2:$D$92,H$30)</f>
        <v/>
      </c>
      <c r="I32" s="60">
        <f>COUNTIFS($A$2:$A$92,$F$30,$C$2:$C$92,$F32,$D$2:$D$92,I$30)</f>
        <v/>
      </c>
      <c r="J32" s="11">
        <f>SUM(G32:I32)</f>
        <v/>
      </c>
      <c r="K32" s="11" t="n"/>
      <c r="L32" s="54" t="n">
        <v>0.5</v>
      </c>
      <c r="M32" s="59">
        <f>ABS(G$2-$F32)/1</f>
        <v/>
      </c>
      <c r="N32" s="11">
        <f>ABS(H$2-$F32)/3</f>
        <v/>
      </c>
      <c r="O32" s="60">
        <f>ABS(I$2-$F32)/1</f>
        <v/>
      </c>
      <c r="P32" s="11" t="n"/>
      <c r="Q32" s="54" t="n">
        <v>0.5</v>
      </c>
      <c r="R32" s="59">
        <f>($J32/$J$34) * (G$34/$J$34)</f>
        <v/>
      </c>
      <c r="S32" s="11">
        <f>($J32/$J$34) * (H$34/$J$34)</f>
        <v/>
      </c>
      <c r="T32" s="60">
        <f>($J32/$J$34) * (I$34/$J$34)</f>
        <v/>
      </c>
      <c r="U32" s="11" t="n"/>
      <c r="V32" s="58" t="inlineStr">
        <is>
          <t>Expected Weighted Disagreement (D_exp)</t>
        </is>
      </c>
      <c r="W32" s="59">
        <f>SUMPRODUCT(R31:T33, M31:O33)</f>
        <v/>
      </c>
      <c r="X32" s="60" t="inlineStr">
        <is>
          <t>Sum of (expected cell proportions × weights) under chance agreement.</t>
        </is>
      </c>
    </row>
    <row r="33" ht="15.75" customHeight="1" s="81">
      <c r="A33" s="46">
        <f>'Gemini 3 Pro Generation'!A33</f>
        <v/>
      </c>
      <c r="B33" s="69">
        <f>'Gemini 3 Pro Generation'!B33</f>
        <v/>
      </c>
      <c r="C33" s="19">
        <f>'Gemini 3 Pro Generation'!C33</f>
        <v/>
      </c>
      <c r="D33" s="19">
        <f>'Claude Sonnet 4.5 Gen'!C33</f>
        <v/>
      </c>
      <c r="E33" s="45" t="n"/>
      <c r="F33" s="54" t="n">
        <v>1</v>
      </c>
      <c r="G33" s="61">
        <f>COUNTIFS($A$2:$A$48,$F$30,$C$2:$C$48,$F33,$D$2:$D$48,G$30) + MAX(C51-D51,0)</f>
        <v/>
      </c>
      <c r="H33" s="62">
        <f>COUNTIFS($A$2:$A$92,$F$30,$C$2:$C$92,$F33,$D$2:$D$92,H$30)</f>
        <v/>
      </c>
      <c r="I33" s="63">
        <f>COUNTIFS($A$2:$A$48,$F$30,$C$2:$C$48,$F33,$D$2:$D$48,I$30) + MIN(C51,D51)</f>
        <v/>
      </c>
      <c r="J33" s="11">
        <f>SUM(G33:I33)</f>
        <v/>
      </c>
      <c r="K33" s="11" t="n"/>
      <c r="L33" s="54" t="n">
        <v>1</v>
      </c>
      <c r="M33" s="61">
        <f>ABS(G$2-$F33)/1</f>
        <v/>
      </c>
      <c r="N33" s="62">
        <f>ABS(H$2-$F33)/1</f>
        <v/>
      </c>
      <c r="O33" s="63">
        <f>ABS(I$2-$F33)/1</f>
        <v/>
      </c>
      <c r="P33" s="11" t="n"/>
      <c r="Q33" s="54" t="n">
        <v>1</v>
      </c>
      <c r="R33" s="61">
        <f>($J33/$J$34) * (G$34/$J$34)</f>
        <v/>
      </c>
      <c r="S33" s="62">
        <f>($J33/$J$34) * (H$34/$J$34)</f>
        <v/>
      </c>
      <c r="T33" s="63">
        <f>($J33/$J$34) * (I$34/$J$34)</f>
        <v/>
      </c>
      <c r="U33" s="11" t="n"/>
      <c r="V33" s="58" t="inlineStr">
        <is>
          <t>Cohen's Kappa</t>
        </is>
      </c>
      <c r="W33" s="61">
        <f>1-W31/W32</f>
        <v/>
      </c>
      <c r="X33" s="63" t="inlineStr">
        <is>
          <t>1 - (D_obs / D_exp)</t>
        </is>
      </c>
    </row>
    <row r="34" ht="15.75" customHeight="1" s="81">
      <c r="A34" s="46">
        <f>'Gemini 3 Pro Generation'!A34</f>
        <v/>
      </c>
      <c r="B34" s="69">
        <f>'Gemini 3 Pro Generation'!B34</f>
        <v/>
      </c>
      <c r="C34" s="19">
        <f>'Gemini 3 Pro Generation'!C34</f>
        <v/>
      </c>
      <c r="D34" s="19">
        <f>'Claude Sonnet 4.5 Gen'!C34</f>
        <v/>
      </c>
      <c r="E34" s="45" t="n"/>
      <c r="F34" s="64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>
        <f>SUM(G31:I33)</f>
        <v/>
      </c>
    </row>
    <row r="35" ht="15.75" customHeight="1" s="81">
      <c r="A35" s="46">
        <f>'Gemini 3 Pro Generation'!A35</f>
        <v/>
      </c>
      <c r="B35" s="69">
        <f>'Gemini 3 Pro Generation'!B35</f>
        <v/>
      </c>
      <c r="C35" s="19">
        <f>'Gemini 3 Pro Generation'!C35</f>
        <v/>
      </c>
      <c r="D35" s="19">
        <f>'Claude Sonnet 4.5 Gen'!C35</f>
        <v/>
      </c>
      <c r="E35" s="45" t="n"/>
    </row>
    <row r="36" ht="15.75" customHeight="1" s="81">
      <c r="A36" s="46">
        <f>'Gemini 3 Pro Generation'!A36</f>
        <v/>
      </c>
      <c r="B36" s="69">
        <f>'Gemini 3 Pro Generation'!B36</f>
        <v/>
      </c>
      <c r="C36" s="19">
        <f>'Gemini 3 Pro Generation'!C36</f>
        <v/>
      </c>
      <c r="D36" s="19">
        <f>'Claude Sonnet 4.5 Gen'!C36</f>
        <v/>
      </c>
      <c r="E36" s="45" t="n"/>
      <c r="F36" s="46" t="inlineStr">
        <is>
          <t>Confusion Matrix (Action)</t>
        </is>
      </c>
    </row>
    <row r="37" ht="15.75" customHeight="1" s="81">
      <c r="A37" s="46">
        <f>'Gemini 3 Pro Generation'!A37</f>
        <v/>
      </c>
      <c r="B37" s="69">
        <f>'Gemini 3 Pro Generation'!B37</f>
        <v/>
      </c>
      <c r="C37" s="19">
        <f>'Gemini 3 Pro Generation'!C37</f>
        <v/>
      </c>
      <c r="D37" s="19">
        <f>'Claude Sonnet 4.5 Gen'!C37</f>
        <v/>
      </c>
      <c r="E37" s="45" t="n"/>
      <c r="F37" s="11" t="inlineStr">
        <is>
          <t>Action</t>
        </is>
      </c>
      <c r="G37" s="66" t="inlineStr">
        <is>
          <t>0</t>
        </is>
      </c>
      <c r="H37" s="66" t="inlineStr">
        <is>
          <t>0.5</t>
        </is>
      </c>
      <c r="I37" s="66" t="inlineStr">
        <is>
          <t>1</t>
        </is>
      </c>
      <c r="J37" s="67" t="inlineStr">
        <is>
          <t>Row Totals</t>
        </is>
      </c>
      <c r="K37" s="11" t="n"/>
      <c r="L37" s="11" t="inlineStr">
        <is>
          <t>Global</t>
        </is>
      </c>
      <c r="M37" s="66" t="inlineStr">
        <is>
          <t>0</t>
        </is>
      </c>
      <c r="N37" s="66" t="inlineStr">
        <is>
          <t>0.5</t>
        </is>
      </c>
      <c r="O37" s="66" t="inlineStr">
        <is>
          <t>1</t>
        </is>
      </c>
      <c r="P37" s="11" t="n"/>
      <c r="Q37" s="70" t="inlineStr">
        <is>
          <t>Global</t>
        </is>
      </c>
      <c r="R37" s="71" t="inlineStr">
        <is>
          <t>0</t>
        </is>
      </c>
      <c r="S37" s="71" t="inlineStr">
        <is>
          <t>0.5</t>
        </is>
      </c>
      <c r="T37" s="71" t="inlineStr">
        <is>
          <t>1</t>
        </is>
      </c>
      <c r="V37" s="53">
        <f>"Metrics" &amp; " " &amp; F37
</f>
        <v/>
      </c>
      <c r="W37" s="53" t="inlineStr">
        <is>
          <t>Value</t>
        </is>
      </c>
      <c r="X37" s="53" t="inlineStr">
        <is>
          <t>Note</t>
        </is>
      </c>
    </row>
    <row r="38" ht="15.75" customHeight="1" s="81">
      <c r="A38" s="46">
        <f>'Gemini 3 Pro Generation'!A38</f>
        <v/>
      </c>
      <c r="B38" s="69">
        <f>'Gemini 3 Pro Generation'!B38</f>
        <v/>
      </c>
      <c r="C38" s="19">
        <f>'Gemini 3 Pro Generation'!C38</f>
        <v/>
      </c>
      <c r="D38" s="19">
        <f>'Claude Sonnet 4.5 Gen'!C38</f>
        <v/>
      </c>
      <c r="E38" s="45" t="n"/>
      <c r="F38" s="54" t="n">
        <v>0</v>
      </c>
      <c r="G38" s="55">
        <f>COUNTIFS($A$2:$A$92,$F$37,$C$2:$C$92,$F38,$D$2:$D$92,G$37)</f>
        <v/>
      </c>
      <c r="H38" s="56">
        <f>COUNTIFS($A$2:$A$92,$F$37,$C$2:$C$92,$F38,$D$2:$D$92,H$37)</f>
        <v/>
      </c>
      <c r="I38" s="57">
        <f>COUNTIFS($A$2:$A$48,$F$37,$C$2:$C$48,$F38,$D$2:$D$48,I$37)+MAX(D52-C52,0)</f>
        <v/>
      </c>
      <c r="J38" s="11">
        <f>SUM(G38:I38)</f>
        <v/>
      </c>
      <c r="K38" s="11" t="n"/>
      <c r="L38" s="54" t="n">
        <v>0</v>
      </c>
      <c r="M38" s="55">
        <f>ABS(G$2-$F38)/1</f>
        <v/>
      </c>
      <c r="N38" s="56">
        <f>ABS(H$2-$F38)/1</f>
        <v/>
      </c>
      <c r="O38" s="57">
        <f>ABS(I$2-$F38)/1</f>
        <v/>
      </c>
      <c r="P38" s="11" t="n"/>
      <c r="Q38" s="72" t="n">
        <v>0</v>
      </c>
      <c r="R38" s="73">
        <f>($J38/$J$41) * (G$41/$J$41)</f>
        <v/>
      </c>
      <c r="S38" s="74">
        <f>($J38/$J$41) * (H$41/$J$41)</f>
        <v/>
      </c>
      <c r="T38" s="75">
        <f>($J38/$J$41) * (I$41/$J$41)</f>
        <v/>
      </c>
      <c r="U38" s="11" t="n"/>
      <c r="V38" s="58" t="inlineStr">
        <is>
          <t>Observed Weighted Disagreement (D_obs)</t>
        </is>
      </c>
      <c r="W38" s="55">
        <f>SUMPRODUCT(G38:I40, M38:O40) /$J$41</f>
        <v/>
      </c>
      <c r="X38" s="57" t="inlineStr">
        <is>
          <t>Sum of (confusion-matrix counts × weights) divided by total items.</t>
        </is>
      </c>
    </row>
    <row r="39" ht="15.75" customHeight="1" s="81">
      <c r="A39" s="46">
        <f>'Gemini 3 Pro Generation'!A39</f>
        <v/>
      </c>
      <c r="B39" s="69">
        <f>'Gemini 3 Pro Generation'!B39</f>
        <v/>
      </c>
      <c r="C39" s="19">
        <f>'Gemini 3 Pro Generation'!C39</f>
        <v/>
      </c>
      <c r="D39" s="19">
        <f>'Claude Sonnet 4.5 Gen'!C39</f>
        <v/>
      </c>
      <c r="E39" s="45" t="n"/>
      <c r="F39" s="54" t="n">
        <v>0.5</v>
      </c>
      <c r="G39" s="59">
        <f>COUNTIFS($A$2:$A$92,$F$37,$C$2:$C$92,$F39,$D$2:$D$92,G$37)</f>
        <v/>
      </c>
      <c r="H39" s="11">
        <f>COUNTIFS($A$2:$A$92,$F$37,$C$2:$C$92,$F39,$D$2:$D$92,H$37)</f>
        <v/>
      </c>
      <c r="I39" s="60">
        <f>COUNTIFS($A$2:$A$92,$F$37,$C$2:$C$92,$F39,$D$2:$D$92,I$37)</f>
        <v/>
      </c>
      <c r="J39" s="11">
        <f>SUM(G39:I39)</f>
        <v/>
      </c>
      <c r="K39" s="11" t="n"/>
      <c r="L39" s="54" t="n">
        <v>0.5</v>
      </c>
      <c r="M39" s="59">
        <f>ABS(G$2-$F39)/1</f>
        <v/>
      </c>
      <c r="N39" s="11">
        <f>ABS(H$2-$F39)/3</f>
        <v/>
      </c>
      <c r="O39" s="60">
        <f>ABS(I$2-$F39)/1</f>
        <v/>
      </c>
      <c r="P39" s="11" t="n"/>
      <c r="Q39" s="72" t="n">
        <v>0.5</v>
      </c>
      <c r="R39" s="76">
        <f>($J39/$J$41) * (G$41/$J$41)</f>
        <v/>
      </c>
      <c r="S39" s="70">
        <f>($J39/$J$41) * (H$41/$J$41)</f>
        <v/>
      </c>
      <c r="T39" s="77">
        <f>($J39/$J$41) * (I$41/$J$41)</f>
        <v/>
      </c>
      <c r="U39" s="11" t="n"/>
      <c r="V39" s="58" t="inlineStr">
        <is>
          <t>Expected Weighted Disagreement (D_exp)</t>
        </is>
      </c>
      <c r="W39" s="59">
        <f>SUMPRODUCT(R38:T40, M38:O40)</f>
        <v/>
      </c>
      <c r="X39" s="60" t="inlineStr">
        <is>
          <t>Sum of (expected cell proportions × weights) under chance agreement.</t>
        </is>
      </c>
    </row>
    <row r="40" ht="15.75" customHeight="1" s="81">
      <c r="A40" s="46">
        <f>'Gemini 3 Pro Generation'!A40</f>
        <v/>
      </c>
      <c r="B40" s="69">
        <f>'Gemini 3 Pro Generation'!B40</f>
        <v/>
      </c>
      <c r="C40" s="19">
        <f>'Gemini 3 Pro Generation'!C40</f>
        <v/>
      </c>
      <c r="D40" s="19">
        <f>'Claude Sonnet 4.5 Gen'!C40</f>
        <v/>
      </c>
      <c r="E40" s="45" t="n"/>
      <c r="F40" s="54" t="n">
        <v>1</v>
      </c>
      <c r="G40" s="61">
        <f>COUNTIFS($A$2:$A$48,$F$37,$C$2:$C$48,$F40,$D$2:$D$48,G$37)+MAX(C52-D52,0)</f>
        <v/>
      </c>
      <c r="H40" s="62">
        <f>COUNTIFS($A$2:$A$92,$F$37,$C$2:$C$92,$F40,$D$2:$D$92,H$37)</f>
        <v/>
      </c>
      <c r="I40" s="63">
        <f>COUNTIFS($A$2:$A$48,$F$37,$C$2:$C$48,$F40,$D$2:$D$48,I$37) + MIN(C52,D52)</f>
        <v/>
      </c>
      <c r="J40" s="11">
        <f>SUM(G40:I40)</f>
        <v/>
      </c>
      <c r="K40" s="11" t="n"/>
      <c r="L40" s="54" t="n">
        <v>1</v>
      </c>
      <c r="M40" s="61">
        <f>ABS(G$2-$F40)/1</f>
        <v/>
      </c>
      <c r="N40" s="62">
        <f>ABS(H$2-$F40)/1</f>
        <v/>
      </c>
      <c r="O40" s="63">
        <f>ABS(I$2-$F40)/1</f>
        <v/>
      </c>
      <c r="P40" s="11" t="n"/>
      <c r="Q40" s="72" t="n">
        <v>1</v>
      </c>
      <c r="R40" s="78">
        <f>($J40/$J$41) * (G$41/$J$41)</f>
        <v/>
      </c>
      <c r="S40" s="79">
        <f>($J40/$J$41) * (H$41/$J$41)</f>
        <v/>
      </c>
      <c r="T40" s="80">
        <f>($J40/$J$41) * (I$41/$J$41)</f>
        <v/>
      </c>
      <c r="U40" s="11" t="n"/>
      <c r="V40" s="58" t="inlineStr">
        <is>
          <t>Cohen's Kappa</t>
        </is>
      </c>
      <c r="W40" s="61">
        <f>1-W38/W39</f>
        <v/>
      </c>
      <c r="X40" s="63" t="inlineStr">
        <is>
          <t>1 - (D_obs / D_exp)</t>
        </is>
      </c>
    </row>
    <row r="41" ht="15.75" customHeight="1" s="81">
      <c r="A41" s="46">
        <f>'Gemini 3 Pro Generation'!A41</f>
        <v/>
      </c>
      <c r="B41" s="69">
        <f>'Gemini 3 Pro Generation'!B41</f>
        <v/>
      </c>
      <c r="C41" s="19">
        <f>'Gemini 3 Pro Generation'!C41</f>
        <v/>
      </c>
      <c r="D41" s="19">
        <f>'Claude Sonnet 4.5 Gen'!C41</f>
        <v/>
      </c>
      <c r="E41" s="45" t="n"/>
      <c r="F41" s="64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>
        <f>SUM(G38:I40)</f>
        <v/>
      </c>
    </row>
    <row r="42" ht="15.75" customHeight="1" s="81">
      <c r="A42" s="46">
        <f>'Gemini 3 Pro Generation'!A42</f>
        <v/>
      </c>
      <c r="B42" s="69">
        <f>'Gemini 3 Pro Generation'!B42</f>
        <v/>
      </c>
      <c r="C42" s="19">
        <f>'Gemini 3 Pro Generation'!C42</f>
        <v/>
      </c>
      <c r="D42" s="19">
        <f>'Claude Sonnet 4.5 Gen'!C42</f>
        <v/>
      </c>
      <c r="E42" s="45" t="n"/>
    </row>
    <row r="43" ht="15.75" customHeight="1" s="81">
      <c r="A43" s="46">
        <f>'Gemini 3 Pro Generation'!A43</f>
        <v/>
      </c>
      <c r="B43" s="69">
        <f>'Gemini 3 Pro Generation'!B43</f>
        <v/>
      </c>
      <c r="C43" s="19">
        <f>'Gemini 3 Pro Generation'!C43</f>
        <v/>
      </c>
      <c r="D43" s="19">
        <f>'Claude Sonnet 4.5 Gen'!C43</f>
        <v/>
      </c>
      <c r="E43" s="45" t="n"/>
      <c r="F43" s="46" t="inlineStr">
        <is>
          <t>Confusion Matrix (History State)</t>
        </is>
      </c>
    </row>
    <row r="44" ht="15.75" customHeight="1" s="81">
      <c r="A44" s="46">
        <f>'Gemini 3 Pro Generation'!A44</f>
        <v/>
      </c>
      <c r="B44" s="69">
        <f>'Gemini 3 Pro Generation'!B44</f>
        <v/>
      </c>
      <c r="C44" s="19">
        <f>'Gemini 3 Pro Generation'!C44</f>
        <v/>
      </c>
      <c r="D44" s="19">
        <f>'Claude Sonnet 4.5 Gen'!C44</f>
        <v/>
      </c>
      <c r="E44" s="45" t="n"/>
      <c r="F44" s="11" t="inlineStr">
        <is>
          <t>History State</t>
        </is>
      </c>
      <c r="G44" s="66" t="inlineStr">
        <is>
          <t>0</t>
        </is>
      </c>
      <c r="H44" s="66" t="inlineStr">
        <is>
          <t>0.5</t>
        </is>
      </c>
      <c r="I44" s="66" t="inlineStr">
        <is>
          <t>1</t>
        </is>
      </c>
      <c r="J44" s="67" t="inlineStr">
        <is>
          <t>Row Totals</t>
        </is>
      </c>
      <c r="K44" s="11" t="n"/>
      <c r="L44" s="11" t="inlineStr">
        <is>
          <t>Global</t>
        </is>
      </c>
      <c r="M44" s="66" t="inlineStr">
        <is>
          <t>0</t>
        </is>
      </c>
      <c r="N44" s="66" t="inlineStr">
        <is>
          <t>0.5</t>
        </is>
      </c>
      <c r="O44" s="66" t="inlineStr">
        <is>
          <t>1</t>
        </is>
      </c>
      <c r="P44" s="11" t="n"/>
      <c r="Q44" s="11" t="inlineStr">
        <is>
          <t>Global</t>
        </is>
      </c>
      <c r="R44" s="66" t="inlineStr">
        <is>
          <t>0</t>
        </is>
      </c>
      <c r="S44" s="66" t="inlineStr">
        <is>
          <t>0.5</t>
        </is>
      </c>
      <c r="T44" s="66" t="inlineStr">
        <is>
          <t>1</t>
        </is>
      </c>
      <c r="V44" s="53">
        <f>"Metrics" &amp; " " &amp; F44
</f>
        <v/>
      </c>
      <c r="W44" s="53" t="inlineStr">
        <is>
          <t>Value</t>
        </is>
      </c>
      <c r="X44" s="53" t="inlineStr">
        <is>
          <t>Note</t>
        </is>
      </c>
    </row>
    <row r="45" ht="15.75" customHeight="1" s="81">
      <c r="A45" s="46">
        <f>'Gemini 3 Pro Generation'!A45</f>
        <v/>
      </c>
      <c r="B45" s="69">
        <f>'Gemini 3 Pro Generation'!B45</f>
        <v/>
      </c>
      <c r="C45" s="19">
        <f>'Gemini 3 Pro Generation'!C45</f>
        <v/>
      </c>
      <c r="D45" s="19">
        <f>'Claude Sonnet 4.5 Gen'!C45</f>
        <v/>
      </c>
      <c r="E45" s="45" t="n"/>
      <c r="F45" s="54" t="n">
        <v>0</v>
      </c>
      <c r="G45" s="55">
        <f>COUNTIFS($A$2:$A$92,$F$44,$C$2:$C$92,$F45,$D$2:$D$92,G$44)</f>
        <v/>
      </c>
      <c r="H45" s="56">
        <f>COUNTIFS($A$2:$A$92,$F$44,$C$2:$C$92,$F45,$D$2:$D$92,H$44)</f>
        <v/>
      </c>
      <c r="I45" s="57">
        <f>COUNTIFS($A$2:$A$48,$F$44,$C$2:$C$48,$F45,$D$2:$D$48,I$44) + MAX(D55-C55,0)</f>
        <v/>
      </c>
      <c r="J45" s="11">
        <f>SUM(G45:I45)</f>
        <v/>
      </c>
      <c r="K45" s="11" t="n"/>
      <c r="L45" s="54" t="n">
        <v>0</v>
      </c>
      <c r="M45" s="55">
        <f>ABS(G$2-$F45)/1</f>
        <v/>
      </c>
      <c r="N45" s="56">
        <f>ABS(H$2-$F45)/1</f>
        <v/>
      </c>
      <c r="O45" s="57">
        <f>ABS(I$2-$F45)/1</f>
        <v/>
      </c>
      <c r="P45" s="11" t="n"/>
      <c r="Q45" s="54" t="n">
        <v>0</v>
      </c>
      <c r="R45" s="55">
        <f>($J45/$J$48) * (G$48/$J$48)</f>
        <v/>
      </c>
      <c r="S45" s="56">
        <f>($J45/$J$48) * (H$48/$J$48)</f>
        <v/>
      </c>
      <c r="T45" s="57">
        <f>($J45/$J$48) * (I$48/$J$48)</f>
        <v/>
      </c>
      <c r="U45" s="11" t="n"/>
      <c r="V45" s="58" t="inlineStr">
        <is>
          <t>Observed Weighted Disagreement (D_obs)</t>
        </is>
      </c>
      <c r="W45" s="55">
        <f>SUMPRODUCT(G45:I47, M45:O47) /$J$48</f>
        <v/>
      </c>
      <c r="X45" s="57" t="inlineStr">
        <is>
          <t>Sum of (confusion-matrix counts × weights) divided by total items.</t>
        </is>
      </c>
    </row>
    <row r="46" ht="15.75" customHeight="1" s="81">
      <c r="A46" s="46">
        <f>'Gemini 3 Pro Generation'!A46</f>
        <v/>
      </c>
      <c r="B46" s="69">
        <f>'Gemini 3 Pro Generation'!B46</f>
        <v/>
      </c>
      <c r="C46" s="19">
        <f>'Gemini 3 Pro Generation'!C46</f>
        <v/>
      </c>
      <c r="D46" s="19">
        <f>'Claude Sonnet 4.5 Gen'!C46</f>
        <v/>
      </c>
      <c r="E46" s="45" t="n"/>
      <c r="F46" s="54" t="n">
        <v>0.5</v>
      </c>
      <c r="G46" s="59">
        <f>COUNTIFS($A$2:$A$92,$F$44,$C$2:$C$92,$F46,$D$2:$D$92,G$44)</f>
        <v/>
      </c>
      <c r="H46" s="11">
        <f>COUNTIFS($A$2:$A$92,$F$44,$C$2:$C$92,$F46,$D$2:$D$92,H$44)</f>
        <v/>
      </c>
      <c r="I46" s="60">
        <f>COUNTIFS($A$2:$A$92,$F$44,$C$2:$C$92,$F46,$D$2:$D$92,I$44)</f>
        <v/>
      </c>
      <c r="J46" s="11">
        <f>SUM(G46:I46)</f>
        <v/>
      </c>
      <c r="K46" s="11" t="n"/>
      <c r="L46" s="54" t="n">
        <v>0.5</v>
      </c>
      <c r="M46" s="59">
        <f>ABS(G$2-$F46)/1</f>
        <v/>
      </c>
      <c r="N46" s="11">
        <f>ABS(H$2-$F46)/3</f>
        <v/>
      </c>
      <c r="O46" s="60">
        <f>ABS(I$2-$F46)/1</f>
        <v/>
      </c>
      <c r="P46" s="11" t="n"/>
      <c r="Q46" s="54" t="n">
        <v>0.5</v>
      </c>
      <c r="R46" s="59">
        <f>($J46/$J$48) * (G$48/$J$48)</f>
        <v/>
      </c>
      <c r="S46" s="11">
        <f>($J46/$J$48) * (H$48/$J$48)</f>
        <v/>
      </c>
      <c r="T46" s="60">
        <f>($J46/$J$48) * (I$48/$J$48)</f>
        <v/>
      </c>
      <c r="U46" s="11" t="n"/>
      <c r="V46" s="58" t="inlineStr">
        <is>
          <t>Expected Weighted Disagreement (D_exp)</t>
        </is>
      </c>
      <c r="W46" s="59">
        <f>SUMPRODUCT(R45:T47, M45:O47)</f>
        <v/>
      </c>
      <c r="X46" s="60" t="inlineStr">
        <is>
          <t>Sum of (expected cell proportions × weights) under chance agreement.</t>
        </is>
      </c>
    </row>
    <row r="47" ht="15.75" customHeight="1" s="81">
      <c r="A47" s="46">
        <f>'Gemini 3 Pro Generation'!A47</f>
        <v/>
      </c>
      <c r="B47" s="69">
        <f>'Gemini 3 Pro Generation'!B47</f>
        <v/>
      </c>
      <c r="C47" s="19">
        <f>'Gemini 3 Pro Generation'!C47</f>
        <v/>
      </c>
      <c r="D47" s="19">
        <f>'Claude Sonnet 4.5 Gen'!C47</f>
        <v/>
      </c>
      <c r="E47" s="45" t="n"/>
      <c r="F47" s="54" t="n">
        <v>1</v>
      </c>
      <c r="G47" s="61">
        <f>COUNTIFS($A$2:$A$48,$F$44,$C$2:$C$48,$F47,$D$2:$D$48,G$44) + MAX(C55-D55,0)</f>
        <v/>
      </c>
      <c r="H47" s="62">
        <f>COUNTIFS($A$2:$A$92,$F$44,$C$2:$C$92,$F47,$D$2:$D$92,H$44)</f>
        <v/>
      </c>
      <c r="I47" s="63">
        <f>COUNTIFS($A$2:$A$48,$F$44,$C$2:$C$48,$F47,$D$2:$D$48,I$44) + MIN(C55,D55)</f>
        <v/>
      </c>
      <c r="J47" s="11">
        <f>SUM(G47:I47)</f>
        <v/>
      </c>
      <c r="K47" s="11" t="n"/>
      <c r="L47" s="54" t="n">
        <v>1</v>
      </c>
      <c r="M47" s="61">
        <f>ABS(G$2-$F47)/1</f>
        <v/>
      </c>
      <c r="N47" s="62">
        <f>ABS(H$2-$F47)/1</f>
        <v/>
      </c>
      <c r="O47" s="63">
        <f>ABS(I$2-$F47)/1</f>
        <v/>
      </c>
      <c r="P47" s="11" t="n"/>
      <c r="Q47" s="54" t="n">
        <v>1</v>
      </c>
      <c r="R47" s="61">
        <f>($J47/$J$48) * (G$48/$J$48)</f>
        <v/>
      </c>
      <c r="S47" s="62">
        <f>($J47/$J$48) * (H$48/$J$48)</f>
        <v/>
      </c>
      <c r="T47" s="63">
        <f>($J47/$J$48) * (I$48/$J$48)</f>
        <v/>
      </c>
      <c r="U47" s="11" t="n"/>
      <c r="V47" s="58" t="inlineStr">
        <is>
          <t>Cohen's Kappa</t>
        </is>
      </c>
      <c r="W47" s="61">
        <f>1-W45/W46</f>
        <v/>
      </c>
      <c r="X47" s="63" t="inlineStr">
        <is>
          <t>1 - (D_obs / D_exp)</t>
        </is>
      </c>
    </row>
    <row r="48" ht="15.75" customHeight="1" s="81">
      <c r="A48" s="6">
        <f>'Gemini 3 Pro Generation'!A48</f>
        <v/>
      </c>
      <c r="B48" s="7">
        <f>'Gemini 3 Pro Generation'!B48</f>
        <v/>
      </c>
      <c r="C48" s="19">
        <f>'Gemini 3 Pro Generation'!C48</f>
        <v/>
      </c>
      <c r="D48" s="19">
        <f>'Claude Sonnet 4.5 Gen'!C48</f>
        <v/>
      </c>
      <c r="E48" s="45" t="n"/>
      <c r="F48" s="64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>
        <f>SUM(G45:I47)</f>
        <v/>
      </c>
    </row>
    <row r="49" ht="15.75" customHeight="1" s="81">
      <c r="A49" s="46">
        <f>'Gemini 3 Pro Generation'!A49</f>
        <v/>
      </c>
      <c r="B49" s="69">
        <f>'Gemini 3 Pro Generation'!B49</f>
        <v/>
      </c>
      <c r="C49" s="68">
        <f>'Gemini 3 Pro Generation'!C49</f>
        <v/>
      </c>
      <c r="D49" s="68">
        <f>'Claude Sonnet 4.5 Gen'!C49</f>
        <v/>
      </c>
      <c r="E49" s="45" t="n"/>
    </row>
    <row r="50" ht="15.75" customHeight="1" s="81">
      <c r="A50" s="46">
        <f>'Gemini 3 Pro Generation'!A50</f>
        <v/>
      </c>
      <c r="B50" s="69">
        <f>'Gemini 3 Pro Generation'!B50</f>
        <v/>
      </c>
      <c r="C50" s="19">
        <f>'Gemini 3 Pro Generation'!C50</f>
        <v/>
      </c>
      <c r="D50" s="19">
        <f>'Claude Sonnet 4.5 Gen'!C50</f>
        <v/>
      </c>
      <c r="E50" s="45" t="n"/>
      <c r="F50" s="46" t="inlineStr">
        <is>
          <t>Confusion Matrix (Region)</t>
        </is>
      </c>
    </row>
    <row r="51" ht="15.75" customHeight="1" s="81">
      <c r="A51" s="46">
        <f>'Gemini 3 Pro Generation'!A51</f>
        <v/>
      </c>
      <c r="B51" s="69">
        <f>'Gemini 3 Pro Generation'!B51</f>
        <v/>
      </c>
      <c r="C51" s="19">
        <f>'Gemini 3 Pro Generation'!C51</f>
        <v/>
      </c>
      <c r="D51" s="19">
        <f>'Claude Sonnet 4.5 Gen'!C51</f>
        <v/>
      </c>
      <c r="E51" s="45" t="n"/>
      <c r="F51" s="11" t="inlineStr">
        <is>
          <t>Region</t>
        </is>
      </c>
      <c r="G51" s="66" t="inlineStr">
        <is>
          <t>0</t>
        </is>
      </c>
      <c r="H51" s="66" t="inlineStr">
        <is>
          <t>0.5</t>
        </is>
      </c>
      <c r="I51" s="66" t="inlineStr">
        <is>
          <t>1</t>
        </is>
      </c>
      <c r="J51" s="67" t="inlineStr">
        <is>
          <t>Row Totals</t>
        </is>
      </c>
      <c r="K51" s="11" t="n"/>
      <c r="L51" s="11" t="inlineStr">
        <is>
          <t>Global</t>
        </is>
      </c>
      <c r="M51" s="66" t="inlineStr">
        <is>
          <t>0</t>
        </is>
      </c>
      <c r="N51" s="66" t="inlineStr">
        <is>
          <t>0.5</t>
        </is>
      </c>
      <c r="O51" s="66" t="inlineStr">
        <is>
          <t>1</t>
        </is>
      </c>
      <c r="P51" s="11" t="n"/>
      <c r="Q51" s="11" t="inlineStr">
        <is>
          <t>Global</t>
        </is>
      </c>
      <c r="R51" s="66" t="inlineStr">
        <is>
          <t>0</t>
        </is>
      </c>
      <c r="S51" s="66" t="inlineStr">
        <is>
          <t>0.5</t>
        </is>
      </c>
      <c r="T51" s="66" t="inlineStr">
        <is>
          <t>1</t>
        </is>
      </c>
      <c r="V51" s="53">
        <f>"Metrics" &amp; " " &amp; F51
</f>
        <v/>
      </c>
      <c r="W51" s="53" t="inlineStr">
        <is>
          <t>Value</t>
        </is>
      </c>
      <c r="X51" s="53" t="inlineStr">
        <is>
          <t>Note</t>
        </is>
      </c>
    </row>
    <row r="52" ht="15.75" customHeight="1" s="81">
      <c r="A52" s="46">
        <f>'Gemini 3 Pro Generation'!A52</f>
        <v/>
      </c>
      <c r="B52" s="69">
        <f>'Gemini 3 Pro Generation'!B52</f>
        <v/>
      </c>
      <c r="C52" s="19">
        <f>'Gemini 3 Pro Generation'!C52</f>
        <v/>
      </c>
      <c r="D52" s="19">
        <f>'Claude Sonnet 4.5 Gen'!C52</f>
        <v/>
      </c>
      <c r="E52" s="45" t="n"/>
      <c r="F52" s="54" t="n">
        <v>0</v>
      </c>
      <c r="G52" s="55">
        <f>COUNTIFS($A$2:$A$92,$F$51,$C$2:$C$92,$F52,$D$2:$D$92,G$51)</f>
        <v/>
      </c>
      <c r="H52" s="56">
        <f>COUNTIFS($A$2:$A$92,$F$51,$C$2:$C$92,$F52,$D$2:$D$92,H$51)</f>
        <v/>
      </c>
      <c r="I52" s="57">
        <f>COUNTIFS($A$2:$A$48,$F$51,$C$2:$C$48,$F52,$D$2:$D$48,I$51)+MAX(D54-C54,0)</f>
        <v/>
      </c>
      <c r="J52" s="11">
        <f>SUM(G52:I52)</f>
        <v/>
      </c>
      <c r="K52" s="11" t="n"/>
      <c r="L52" s="54" t="n">
        <v>0</v>
      </c>
      <c r="M52" s="55">
        <f>ABS(G$2-$F52)/1</f>
        <v/>
      </c>
      <c r="N52" s="56">
        <f>ABS(H$2-$F52)/1</f>
        <v/>
      </c>
      <c r="O52" s="57">
        <f>ABS(I$2-$F52)/1</f>
        <v/>
      </c>
      <c r="P52" s="11" t="n"/>
      <c r="Q52" s="54" t="n">
        <v>0</v>
      </c>
      <c r="R52" s="55">
        <f>($J52/$J$55) * (G$55/$J$55)</f>
        <v/>
      </c>
      <c r="S52" s="56">
        <f>($J52/$J$55) * (H$55/$J$55)</f>
        <v/>
      </c>
      <c r="T52" s="57">
        <f>($J52/$J$55) * (I$55/$J$55)</f>
        <v/>
      </c>
      <c r="U52" s="11" t="n"/>
      <c r="V52" s="58" t="inlineStr">
        <is>
          <t>Observed Weighted Disagreement (D_obs)</t>
        </is>
      </c>
      <c r="W52" s="55">
        <f>SUMPRODUCT(G52:I54, M52:O54) /$J$55</f>
        <v/>
      </c>
      <c r="X52" s="57" t="inlineStr">
        <is>
          <t>Sum of (confusion-matrix counts × weights) divided by total items.</t>
        </is>
      </c>
    </row>
    <row r="53" ht="15.75" customHeight="1" s="81">
      <c r="A53" s="46">
        <f>'Gemini 3 Pro Generation'!A53</f>
        <v/>
      </c>
      <c r="B53" s="69">
        <f>'Gemini 3 Pro Generation'!B53</f>
        <v/>
      </c>
      <c r="C53" s="19">
        <f>'Gemini 3 Pro Generation'!C53</f>
        <v/>
      </c>
      <c r="D53" s="19">
        <f>'Claude Sonnet 4.5 Gen'!C53</f>
        <v/>
      </c>
      <c r="E53" s="45" t="n"/>
      <c r="F53" s="54" t="n">
        <v>0.5</v>
      </c>
      <c r="G53" s="59">
        <f>COUNTIFS($A$2:$A$92,$F$51,$C$2:$C$92,$F53,$D$2:$D$92,G$51)</f>
        <v/>
      </c>
      <c r="H53" s="11">
        <f>COUNTIFS($A$2:$A$92,$F$51,$C$2:$C$92,$F53,$D$2:$D$92,H$51)</f>
        <v/>
      </c>
      <c r="I53" s="60">
        <f>COUNTIFS($A$2:$A$92,$F$51,$C$2:$C$92,$F53,$D$2:$D$92,I$51)</f>
        <v/>
      </c>
      <c r="J53" s="11">
        <f>SUM(G53:I53)</f>
        <v/>
      </c>
      <c r="K53" s="11" t="n"/>
      <c r="L53" s="54" t="n">
        <v>0.5</v>
      </c>
      <c r="M53" s="59">
        <f>ABS(G$2-$F53)/1</f>
        <v/>
      </c>
      <c r="N53" s="11">
        <f>ABS(H$2-$F53)/3</f>
        <v/>
      </c>
      <c r="O53" s="60">
        <f>ABS(I$2-$F53)/1</f>
        <v/>
      </c>
      <c r="P53" s="11" t="n"/>
      <c r="Q53" s="54" t="n">
        <v>0.5</v>
      </c>
      <c r="R53" s="59">
        <f>($J53/$J$55) * (G$55/$J$55)</f>
        <v/>
      </c>
      <c r="S53" s="11">
        <f>($J53/$J$55) * (H$55/$J$55)</f>
        <v/>
      </c>
      <c r="T53" s="60">
        <f>($J53/$J$55) * (I$55/$J$55)</f>
        <v/>
      </c>
      <c r="U53" s="11" t="n"/>
      <c r="V53" s="58" t="inlineStr">
        <is>
          <t>Expected Weighted Disagreement (D_exp)</t>
        </is>
      </c>
      <c r="W53" s="59">
        <f>SUMPRODUCT(R52:T54, M52:O54)</f>
        <v/>
      </c>
      <c r="X53" s="60" t="inlineStr">
        <is>
          <t>Sum of (expected cell proportions × weights) under chance agreement.</t>
        </is>
      </c>
    </row>
    <row r="54" ht="15.75" customHeight="1" s="81">
      <c r="A54" s="46">
        <f>'Gemini 3 Pro Generation'!A54</f>
        <v/>
      </c>
      <c r="B54" s="69">
        <f>'Gemini 3 Pro Generation'!B54</f>
        <v/>
      </c>
      <c r="C54" s="19">
        <f>'Gemini 3 Pro Generation'!C54</f>
        <v/>
      </c>
      <c r="D54" s="19">
        <f>'Claude Sonnet 4.5 Gen'!C54</f>
        <v/>
      </c>
      <c r="E54" s="45" t="n"/>
      <c r="F54" s="54" t="n">
        <v>1</v>
      </c>
      <c r="G54" s="61">
        <f>COUNTIFS($A$2:$A$48,$F$51,$C$2:$C$48,$F54,$D$2:$D$48,G$51) + MAX(C54-D54,0)</f>
        <v/>
      </c>
      <c r="H54" s="62">
        <f>COUNTIFS($A$2:$A$92,$F$51,$C$2:$C$92,$F54,$D$2:$D$92,H$51)</f>
        <v/>
      </c>
      <c r="I54" s="63">
        <f>COUNTIFS($A$2:$A$48,$F$51,$C$2:$C$48,$F54,$D$2:$D$48,I$51)+MIN(C54,D54)</f>
        <v/>
      </c>
      <c r="J54" s="11">
        <f>SUM(G54:I54)</f>
        <v/>
      </c>
      <c r="K54" s="11" t="n"/>
      <c r="L54" s="54" t="n">
        <v>1</v>
      </c>
      <c r="M54" s="61">
        <f>ABS(G$2-$F54)/1</f>
        <v/>
      </c>
      <c r="N54" s="62">
        <f>ABS(H$2-$F54)/1</f>
        <v/>
      </c>
      <c r="O54" s="63">
        <f>ABS(I$2-$F54)/1</f>
        <v/>
      </c>
      <c r="P54" s="11" t="n"/>
      <c r="Q54" s="54" t="n">
        <v>1</v>
      </c>
      <c r="R54" s="61">
        <f>($J54/$J$55) * (G$55/$J$55)</f>
        <v/>
      </c>
      <c r="S54" s="62">
        <f>($J54/$J$55) * (H$55/$J$55)</f>
        <v/>
      </c>
      <c r="T54" s="63">
        <f>($J54/$J$55) * (I$55/$J$55)</f>
        <v/>
      </c>
      <c r="U54" s="11" t="n"/>
      <c r="V54" s="58" t="inlineStr">
        <is>
          <t>Cohen's Kappa</t>
        </is>
      </c>
      <c r="W54" s="61">
        <f>1-W52/W53</f>
        <v/>
      </c>
      <c r="X54" s="63" t="inlineStr">
        <is>
          <t>1 - (D_obs / D_exp)</t>
        </is>
      </c>
    </row>
    <row r="55" ht="15.75" customHeight="1" s="81">
      <c r="A55" s="46">
        <f>'Gemini 3 Pro Generation'!A55</f>
        <v/>
      </c>
      <c r="B55" s="69">
        <f>'Gemini 3 Pro Generation'!B55</f>
        <v/>
      </c>
      <c r="C55" s="19">
        <f>'Gemini 3 Pro Generation'!C55</f>
        <v/>
      </c>
      <c r="D55" s="19">
        <f>'Claude Sonnet 4.5 Gen'!C55</f>
        <v/>
      </c>
      <c r="E55" s="45" t="n"/>
      <c r="F55" s="64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>
        <f>SUM(G52:I54)</f>
        <v/>
      </c>
      <c r="L55" s="11" t="n"/>
      <c r="M55" s="65" t="n"/>
    </row>
    <row r="56" ht="15.75" customHeight="1" s="81">
      <c r="A56" s="46" t="n"/>
      <c r="B56" s="69" t="n"/>
      <c r="C56" s="45" t="n"/>
      <c r="D56" s="45" t="n"/>
      <c r="E56" s="45" t="n"/>
    </row>
    <row r="57" ht="15.75" customHeight="1" s="81">
      <c r="A57" s="46" t="n"/>
      <c r="B57" s="69" t="n"/>
      <c r="C57" s="45" t="n"/>
      <c r="D57" s="45" t="n"/>
      <c r="E57" s="45" t="n"/>
    </row>
    <row r="58" ht="15.75" customHeight="1" s="81">
      <c r="A58" s="46" t="n"/>
      <c r="B58" s="69" t="n"/>
      <c r="C58" s="45" t="n"/>
      <c r="D58" s="45" t="n"/>
      <c r="E58" s="45" t="n"/>
    </row>
    <row r="59" ht="15.75" customHeight="1" s="81">
      <c r="A59" s="46" t="n"/>
      <c r="B59" s="69" t="n"/>
      <c r="C59" s="45" t="n"/>
      <c r="D59" s="45" t="n"/>
      <c r="E59" s="45" t="n"/>
    </row>
    <row r="60" ht="15.75" customHeight="1" s="81">
      <c r="A60" s="46" t="n"/>
      <c r="B60" s="69" t="n"/>
      <c r="C60" s="45" t="n"/>
      <c r="D60" s="45" t="n"/>
      <c r="E60" s="45" t="n"/>
    </row>
    <row r="61" ht="15.75" customHeight="1" s="81">
      <c r="A61" s="46" t="n"/>
      <c r="B61" s="69" t="n"/>
      <c r="C61" s="45" t="n"/>
      <c r="D61" s="45" t="n"/>
      <c r="E61" s="45" t="n"/>
    </row>
    <row r="62" ht="15.75" customHeight="1" s="81">
      <c r="A62" s="46" t="n"/>
      <c r="B62" s="69" t="n"/>
      <c r="C62" s="45" t="n"/>
      <c r="D62" s="45" t="n"/>
      <c r="E62" s="45" t="n"/>
    </row>
    <row r="63" ht="15.75" customHeight="1" s="81">
      <c r="A63" s="46" t="n"/>
      <c r="B63" s="69" t="n"/>
      <c r="C63" s="45" t="n"/>
      <c r="D63" s="45" t="n"/>
      <c r="E63" s="45" t="n"/>
    </row>
    <row r="64" ht="15.75" customHeight="1" s="81">
      <c r="A64" s="46" t="n"/>
      <c r="B64" s="69" t="n"/>
      <c r="C64" s="45" t="n"/>
      <c r="D64" s="45" t="n"/>
      <c r="E64" s="45" t="n"/>
    </row>
    <row r="65" ht="15.75" customHeight="1" s="81">
      <c r="A65" s="46" t="n"/>
      <c r="B65" s="69" t="n"/>
      <c r="C65" s="45" t="n"/>
      <c r="D65" s="45" t="n"/>
      <c r="E65" s="45" t="n"/>
    </row>
    <row r="66" ht="15.75" customHeight="1" s="81">
      <c r="A66" s="46" t="n"/>
      <c r="B66" s="69" t="n"/>
      <c r="C66" s="45" t="n"/>
      <c r="D66" s="45" t="n"/>
      <c r="E66" s="45" t="n"/>
    </row>
    <row r="67" ht="15.75" customHeight="1" s="81">
      <c r="A67" s="46" t="n"/>
      <c r="B67" s="69" t="n"/>
      <c r="C67" s="45" t="n"/>
      <c r="D67" s="45" t="n"/>
      <c r="E67" s="45" t="n"/>
    </row>
    <row r="68" ht="15.75" customHeight="1" s="81">
      <c r="A68" s="46" t="n"/>
      <c r="B68" s="69" t="n"/>
      <c r="C68" s="45" t="n"/>
      <c r="D68" s="45" t="n"/>
      <c r="E68" s="45" t="n"/>
    </row>
    <row r="69" ht="15.75" customHeight="1" s="81">
      <c r="A69" s="46" t="n"/>
      <c r="B69" s="69" t="n"/>
      <c r="C69" s="45" t="n"/>
      <c r="D69" s="45" t="n"/>
      <c r="E69" s="45" t="n"/>
    </row>
    <row r="70" ht="15.75" customHeight="1" s="81">
      <c r="A70" s="46" t="n"/>
      <c r="B70" s="69" t="n"/>
      <c r="C70" s="45" t="n"/>
      <c r="D70" s="45" t="n"/>
      <c r="E70" s="45" t="n"/>
    </row>
    <row r="71" ht="15.75" customHeight="1" s="81">
      <c r="A71" s="46" t="n"/>
      <c r="B71" s="69" t="n"/>
      <c r="C71" s="45" t="n"/>
      <c r="D71" s="45" t="n"/>
      <c r="E71" s="45" t="n"/>
    </row>
    <row r="72" ht="15.75" customHeight="1" s="81">
      <c r="A72" s="46" t="n"/>
      <c r="B72" s="69" t="n"/>
      <c r="C72" s="45" t="n"/>
      <c r="D72" s="45" t="n"/>
    </row>
    <row r="73" ht="15.75" customHeight="1" s="81">
      <c r="A73" s="46" t="n"/>
      <c r="B73" s="69" t="n"/>
      <c r="C73" s="45" t="n"/>
      <c r="D73" s="45" t="n"/>
    </row>
    <row r="74" ht="15.75" customHeight="1" s="81">
      <c r="A74" s="46" t="n"/>
      <c r="B74" s="69" t="n"/>
      <c r="C74" s="45" t="n"/>
      <c r="D74" s="45" t="n"/>
    </row>
    <row r="75" ht="15.75" customHeight="1" s="81">
      <c r="A75" s="46" t="n"/>
      <c r="B75" s="69" t="n"/>
      <c r="C75" s="45" t="n"/>
      <c r="D75" s="45" t="n"/>
    </row>
    <row r="76" ht="15.75" customHeight="1" s="81">
      <c r="A76" s="46" t="n"/>
      <c r="B76" s="69" t="n"/>
      <c r="C76" s="45" t="n"/>
      <c r="D76" s="45" t="n"/>
    </row>
    <row r="77" ht="15.75" customHeight="1" s="81">
      <c r="A77" s="46" t="n"/>
      <c r="B77" s="69" t="n"/>
      <c r="C77" s="45" t="n"/>
      <c r="D77" s="45" t="n"/>
    </row>
    <row r="78" ht="15.75" customHeight="1" s="81">
      <c r="A78" s="46" t="n"/>
      <c r="B78" s="69" t="n"/>
      <c r="C78" s="45" t="n"/>
      <c r="D78" s="45" t="n"/>
    </row>
    <row r="79" ht="15.75" customHeight="1" s="81">
      <c r="A79" s="46" t="n"/>
      <c r="B79" s="69" t="n"/>
      <c r="C79" s="45" t="n"/>
      <c r="D79" s="45" t="n"/>
    </row>
    <row r="80" ht="15.75" customHeight="1" s="81">
      <c r="A80" s="46" t="n"/>
      <c r="B80" s="69" t="n"/>
      <c r="C80" s="45" t="n"/>
      <c r="D80" s="45" t="n"/>
    </row>
    <row r="81" ht="15.75" customHeight="1" s="81">
      <c r="B81" s="69" t="n"/>
      <c r="D81" s="45" t="n"/>
    </row>
    <row r="82" ht="15.75" customHeight="1" s="81">
      <c r="B82" s="69" t="n"/>
      <c r="D82" s="45" t="n"/>
    </row>
    <row r="83" ht="15.75" customHeight="1" s="81">
      <c r="D83" s="45" t="n"/>
    </row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2026-05-04T23:31:25Z</dcterms:modified>
</cp:coreProperties>
</file>