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CombinedHumanGrading" sheetId="2" r:id="rId5"/>
    <sheet state="visible" name="Gemini 3.1 Pro Preview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euiyHuSeYSt7PqyFrWJTuuEWJyh/84H9R/WoCnY+57k="/>
    </ext>
  </extLst>
</workbook>
</file>

<file path=xl/sharedStrings.xml><?xml version="1.0" encoding="utf-8"?>
<sst xmlns="http://schemas.openxmlformats.org/spreadsheetml/2006/main" count="763" uniqueCount="174">
  <si>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</si>
  <si>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</si>
  <si>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</si>
  <si>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</si>
  <si>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</si>
  <si>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</si>
  <si>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</si>
  <si>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</si>
  <si>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</si>
  <si>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</si>
  <si>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</si>
  <si>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</si>
  <si>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</si>
  <si>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</si>
  <si>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</si>
  <si>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</si>
  <si>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</si>
  <si>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</si>
  <si>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</si>
  <si>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</si>
  <si>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</si>
  <si>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</si>
  <si>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</si>
  <si>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</si>
  <si>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</si>
  <si>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</si>
  <si>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</si>
  <si>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</si>
  <si>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</si>
  <si>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</si>
  <si>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</si>
  <si>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</si>
  <si>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</si>
  <si>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</si>
  <si>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</si>
  <si>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</si>
  <si>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</si>
  <si>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</si>
  <si>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</si>
  <si>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</si>
  <si>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</si>
  <si>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</si>
  <si>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</si>
  <si>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</si>
  <si>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</si>
  <si>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</si>
  <si>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</si>
  <si>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</si>
  <si>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</si>
  <si>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</si>
  <si>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</si>
  <si>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</si>
  <si>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</si>
  <si>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</si>
  <si>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</si>
  <si>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</si>
  <si>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</si>
  <si>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</si>
  <si>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represented as whats modelled</t>
  </si>
  <si>
    <t>transition but no values</t>
  </si>
  <si>
    <t>it says decrement cycle? should be increment</t>
  </si>
  <si>
    <t>equivalent</t>
  </si>
  <si>
    <t>same logic but missing history state, ours does a self loop</t>
  </si>
  <si>
    <t>same logic since ours doesnt have a end state</t>
  </si>
  <si>
    <t>same logic</t>
  </si>
  <si>
    <t>Gemini 3.1 Pro Preview Grading</t>
  </si>
  <si>
    <t>No overall composite state for the dishwasher</t>
  </si>
  <si>
    <t>No parallel region for the door</t>
  </si>
  <si>
    <t>No initial state for door</t>
  </si>
  <si>
    <t>No explicit Closed state</t>
  </si>
  <si>
    <t>No explicit open transition from Closed</t>
  </si>
  <si>
    <t>Handled as an action rather than a state transition</t>
  </si>
  <si>
    <t>DoorOpen state exists but only during the drying phase</t>
  </si>
  <si>
    <t>Close transition exists but goes directly to Drying</t>
  </si>
  <si>
    <t>No explicit Locked state</t>
  </si>
  <si>
    <t>No parallel region for washer</t>
  </si>
  <si>
    <t>initial state</t>
  </si>
  <si>
    <t>Initial state to Idle is present</t>
  </si>
  <si>
    <t>Missing initialization actions</t>
  </si>
  <si>
    <t>Idle state is present</t>
  </si>
  <si>
    <t>Missing selectProgram transition</t>
  </si>
  <si>
    <t>Missing guard for selectProgram</t>
  </si>
  <si>
    <t>Missing action for selectProgram</t>
  </si>
  <si>
    <t>Represented by extendDrying and reduceDrying transitions</t>
  </si>
  <si>
    <t>Represented by explicit setDryingTime actions</t>
  </si>
  <si>
    <t>Start transition to ProgramActive is present</t>
  </si>
  <si>
    <t>Missing door.isClosed guard on start transition</t>
  </si>
  <si>
    <t>lockDoor action is present but missing cycle initialization</t>
  </si>
  <si>
    <t>Represented by WashCycle composite state</t>
  </si>
  <si>
    <t>Initial state to WaterIntake is present</t>
  </si>
  <si>
    <t>WaterIntake state is present</t>
  </si>
  <si>
    <t>Transition to Washing is present</t>
  </si>
  <si>
    <t>Washing state is present</t>
  </si>
  <si>
    <t>Transition to Draining after 10 min is present</t>
  </si>
  <si>
    <t>Draining state is present</t>
  </si>
  <si>
    <t>[c &lt; r]</t>
  </si>
  <si>
    <t>Guard for remaining cycles is present</t>
  </si>
  <si>
    <t>Transition back to WaterIntake is present</t>
  </si>
  <si>
    <t>Represented by decrementCycles action</t>
  </si>
  <si>
    <t>Transition to Drying when cycles are complete is present</t>
  </si>
  <si>
    <t>Guard for zero remaining cycles is present</t>
  </si>
  <si>
    <t>Missing history state</t>
  </si>
  <si>
    <t>Transitions exist on WashCycle but do not use a history state</t>
  </si>
  <si>
    <t>Transition from Draining to Drying is present</t>
  </si>
  <si>
    <t>unlockDoor action is present</t>
  </si>
  <si>
    <t>Drying state is present</t>
  </si>
  <si>
    <t>Transition to Idle exists but lacks the specific time condition</t>
  </si>
  <si>
    <t>extendDrying transition is present</t>
  </si>
  <si>
    <t>setDryingTime(40) action is present</t>
  </si>
  <si>
    <t>Transition to DoorOpen is present</t>
  </si>
  <si>
    <t>Represented by DoorOpen state</t>
  </si>
  <si>
    <t>Transition back to Drying is present</t>
  </si>
  <si>
    <t>Transition to Idle after 5 min is present</t>
  </si>
  <si>
    <t>No incorrect additional states</t>
  </si>
  <si>
    <t>No incorrect additional transitions</t>
  </si>
  <si>
    <t>No incorrect additional guards</t>
  </si>
  <si>
    <t>No incorrect additional actions</t>
  </si>
  <si>
    <t>No incorrect additional composite states</t>
  </si>
  <si>
    <t>No incorrect additional regions</t>
  </si>
  <si>
    <t>No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</si>
  <si>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</si>
  <si>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</si>
  <si>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</si>
  <si>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</si>
  <si>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</si>
  <si>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</si>
  <si>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</si>
  <si>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</si>
  <si>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</si>
  <si>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</si>
  <si>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</si>
  <si>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</si>
  <si>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</si>
  <si>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Gemini 3.1 Pro Preview</t>
  </si>
  <si>
    <t>Overall Score</t>
  </si>
  <si>
    <t>Graded by Gemini 3.1 Pro Preview</t>
  </si>
  <si>
    <t>Composite state</t>
  </si>
  <si>
    <t>CombinedHumanGrading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</si>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</sst>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  <scheme val="minor"/>
    </font>
    <font>
      <b/>
      <sz val="10.0"/>
      <color theme="1"/>
      <name val="Open Sans"/>
    </font>
    <font>
      <color theme="1"/>
      <name val="Arial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0" fillId="3" fontId="3" numFmtId="0" xfId="0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0" fillId="4" fontId="3" numFmtId="0" xfId="0" applyFont="1"/>
    <xf borderId="2" fillId="5" fontId="3" numFmtId="0" xfId="0" applyBorder="1" applyFill="1" applyFont="1"/>
    <xf borderId="0" fillId="5" fontId="3" numFmtId="0" xfId="0" applyFont="1"/>
    <xf borderId="0" fillId="0" fontId="3" numFmtId="0" xfId="0" applyFont="1"/>
    <xf borderId="3" fillId="4" fontId="3" numFmtId="0" xfId="0" applyAlignment="1" applyBorder="1" applyFont="1">
      <alignment horizontal="center"/>
    </xf>
    <xf borderId="1" fillId="0" fontId="3" numFmtId="0" xfId="0" applyBorder="1" applyFont="1"/>
    <xf borderId="4" fillId="4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2" fillId="4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left" readingOrder="0"/>
    </xf>
    <xf borderId="4" fillId="4" fontId="3" numFmtId="0" xfId="0" applyAlignment="1" applyBorder="1" applyFont="1">
      <alignment horizontal="center" readingOrder="0"/>
    </xf>
    <xf borderId="5" fillId="6" fontId="1" numFmtId="0" xfId="0" applyAlignment="1" applyBorder="1" applyFill="1" applyFont="1">
      <alignment horizontal="center"/>
    </xf>
    <xf borderId="6" fillId="0" fontId="4" numFmtId="0" xfId="0" applyBorder="1" applyFont="1"/>
    <xf borderId="0" fillId="0" fontId="5" numFmtId="0" xfId="0" applyFont="1"/>
    <xf borderId="7" fillId="6" fontId="1" numFmtId="0" xfId="0" applyAlignment="1" applyBorder="1" applyFont="1">
      <alignment horizontal="center"/>
    </xf>
    <xf borderId="7" fillId="7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7" numFmtId="0" xfId="0" applyAlignment="1" applyFont="1">
      <alignment vertical="bottom"/>
    </xf>
    <xf borderId="7" fillId="0" fontId="1" numFmtId="0" xfId="0" applyBorder="1" applyFont="1"/>
    <xf borderId="0" fillId="8" fontId="7" numFmtId="0" xfId="0" applyAlignment="1" applyFill="1" applyFont="1">
      <alignment vertical="bottom"/>
    </xf>
    <xf borderId="0" fillId="4" fontId="7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2" fillId="3" fontId="7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0" fillId="0" fontId="4" numFmtId="0" xfId="0" applyBorder="1" applyFont="1"/>
    <xf borderId="11" fillId="9" fontId="2" numFmtId="0" xfId="0" applyAlignment="1" applyBorder="1" applyFill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9" fontId="2" numFmtId="0" xfId="0" applyAlignment="1" applyBorder="1" applyFont="1">
      <alignment horizontal="center" vertical="center"/>
    </xf>
    <xf borderId="2" fillId="9" fontId="8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4" fillId="9" fontId="2" numFmtId="0" xfId="0" applyAlignment="1" applyBorder="1" applyFont="1">
      <alignment horizontal="center" vertical="center"/>
    </xf>
    <xf borderId="25" fillId="9" fontId="2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center" vertical="bottom"/>
    </xf>
    <xf borderId="24" fillId="9" fontId="7" numFmtId="0" xfId="0" applyAlignment="1" applyBorder="1" applyFont="1">
      <alignment horizontal="center" vertical="bottom"/>
    </xf>
    <xf borderId="15" fillId="9" fontId="7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19" fillId="0" fontId="7" numFmtId="0" xfId="0" applyAlignment="1" applyBorder="1" applyFont="1">
      <alignment horizontal="center" vertical="bottom"/>
    </xf>
    <xf borderId="20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Dishwasher-style">
      <tableStyleElement dxfId="1" type="headerRow"/>
      <tableStyleElement dxfId="2" type="firstRowStripe"/>
      <tableStyleElement dxfId="3" type="secondRowStripe"/>
    </tableStyle>
    <tableStyle count="2" pivot="0" name="CombinedHumanGrading-style">
      <tableStyleElement dxfId="2" type="firstRowStripe"/>
      <tableStyleElement dxfId="3" type="secondRowStripe"/>
    </tableStyle>
    <tableStyle count="3" pivot="0" name="Gemini 3.1 Pro Preview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5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Gemini 3.1 Pro Preview Grading" id="3"/>
    <tableColumn name="Notes" id="4"/>
  </tableColumns>
  <tableStyleInfo name="Gemini 3.1 Pro Preview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55" displayName="Table_7" name="Table_7" id="7">
  <tableColumns count="4">
    <tableColumn name="Type" id="1"/>
    <tableColumn name="Element" id="2"/>
    <tableColumn name="CombinedHumanGrading" id="3"/>
    <tableColumn name="Gemini 3.1 Pro Preview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55" displayName="Table_8" name="Table_8" id="8">
  <tableColumns count="4">
    <tableColumn name="Type" id="1"/>
    <tableColumn name="Element" id="2"/>
    <tableColumn name="CombinedHumanGrading" id="3"/>
    <tableColumn name="Gemini 3.1 Pro Preview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6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9</v>
      </c>
      <c r="B7" s="5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6</v>
      </c>
      <c r="B8" s="5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9</v>
      </c>
      <c r="B9" s="5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6</v>
      </c>
      <c r="B10" s="5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9</v>
      </c>
      <c r="B11" s="5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4</v>
      </c>
      <c r="B12" s="5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6</v>
      </c>
      <c r="B13" s="5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9</v>
      </c>
      <c r="B14" s="5" t="s">
        <v>18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6</v>
      </c>
      <c r="B15" s="5" t="s">
        <v>19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9</v>
      </c>
      <c r="B16" s="5" t="s">
        <v>20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4" t="s">
        <v>21</v>
      </c>
      <c r="B17" s="5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23</v>
      </c>
      <c r="B18" s="5" t="s">
        <v>24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4" t="s">
        <v>9</v>
      </c>
      <c r="B19" s="5" t="s">
        <v>25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23</v>
      </c>
      <c r="B20" s="5" t="s">
        <v>26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9</v>
      </c>
      <c r="B21" s="5" t="s">
        <v>27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21</v>
      </c>
      <c r="B22" s="5" t="s">
        <v>28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4" t="s">
        <v>23</v>
      </c>
      <c r="B23" s="5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2</v>
      </c>
      <c r="B24" s="5" t="s">
        <v>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6</v>
      </c>
      <c r="B25" s="5" t="s">
        <v>31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6</v>
      </c>
      <c r="B26" s="5" t="s">
        <v>32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9</v>
      </c>
      <c r="B27" s="5" t="s">
        <v>33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6</v>
      </c>
      <c r="B28" s="5" t="s">
        <v>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9</v>
      </c>
      <c r="B29" s="5" t="s">
        <v>35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6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4" t="s">
        <v>21</v>
      </c>
      <c r="B31" s="5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9</v>
      </c>
      <c r="B32" s="5" t="s">
        <v>38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4" t="s">
        <v>23</v>
      </c>
      <c r="B33" s="5" t="s">
        <v>39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9</v>
      </c>
      <c r="B34" s="5" t="s">
        <v>40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4" t="s">
        <v>21</v>
      </c>
      <c r="B35" s="5" t="s">
        <v>41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42</v>
      </c>
      <c r="B36" s="5" t="s">
        <v>43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4" t="s">
        <v>9</v>
      </c>
      <c r="B37" s="5" t="s">
        <v>44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23</v>
      </c>
      <c r="B38" s="5" t="s">
        <v>26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4" t="s">
        <v>9</v>
      </c>
      <c r="B39" s="5" t="s">
        <v>45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23</v>
      </c>
      <c r="B40" s="5" t="s">
        <v>46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6</v>
      </c>
      <c r="B41" s="5" t="s">
        <v>47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9</v>
      </c>
      <c r="B42" s="5" t="s">
        <v>48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9</v>
      </c>
      <c r="B43" s="5" t="s">
        <v>49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23</v>
      </c>
      <c r="B44" s="5" t="s">
        <v>50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9</v>
      </c>
      <c r="B45" s="5" t="s">
        <v>51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6</v>
      </c>
      <c r="B46" s="5" t="s">
        <v>52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9</v>
      </c>
      <c r="B47" s="5" t="s">
        <v>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9</v>
      </c>
      <c r="B48" s="8" t="s">
        <v>54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9" t="s">
        <v>6</v>
      </c>
      <c r="B49" s="10" t="s">
        <v>55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9" t="s">
        <v>9</v>
      </c>
      <c r="B50" s="10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4" t="s">
        <v>21</v>
      </c>
      <c r="B51" s="5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9" t="s">
        <v>23</v>
      </c>
      <c r="B52" s="10" t="s">
        <v>55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4" t="s">
        <v>2</v>
      </c>
      <c r="B53" s="5" t="s">
        <v>55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9" t="s">
        <v>4</v>
      </c>
      <c r="B54" s="10" t="s">
        <v>55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4" t="s">
        <v>42</v>
      </c>
      <c r="B55" s="5" t="s">
        <v>55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2.75" customHeight="1">
      <c r="A254" s="11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2.75" customHeight="1">
      <c r="A255" s="11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3" t="s">
        <v>56</v>
      </c>
      <c r="D1" s="13" t="s">
        <v>57</v>
      </c>
      <c r="E1" s="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15">
        <v>1.0</v>
      </c>
      <c r="D2" s="16"/>
      <c r="E2" s="1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4</v>
      </c>
      <c r="B3" s="5" t="s">
        <v>5</v>
      </c>
      <c r="C3" s="15">
        <v>0.0</v>
      </c>
      <c r="D3" s="18"/>
      <c r="E3" s="1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6</v>
      </c>
      <c r="B4" s="5" t="s">
        <v>7</v>
      </c>
      <c r="C4" s="15">
        <v>0.0</v>
      </c>
      <c r="D4" s="16"/>
      <c r="E4" s="1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6</v>
      </c>
      <c r="B5" s="5" t="s">
        <v>8</v>
      </c>
      <c r="C5" s="15">
        <v>0.0</v>
      </c>
      <c r="D5" s="18"/>
      <c r="E5" s="1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9</v>
      </c>
      <c r="B6" s="5" t="s">
        <v>10</v>
      </c>
      <c r="C6" s="15">
        <v>0.0</v>
      </c>
      <c r="D6" s="16"/>
      <c r="E6" s="1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9</v>
      </c>
      <c r="B7" s="5" t="s">
        <v>11</v>
      </c>
      <c r="C7" s="15">
        <v>0.0</v>
      </c>
      <c r="D7" s="18"/>
      <c r="E7" s="1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6</v>
      </c>
      <c r="B8" s="5" t="s">
        <v>12</v>
      </c>
      <c r="C8" s="15">
        <v>1.0</v>
      </c>
      <c r="D8" s="16"/>
      <c r="E8" s="1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9</v>
      </c>
      <c r="B9" s="5" t="s">
        <v>13</v>
      </c>
      <c r="C9" s="15">
        <v>0.0</v>
      </c>
      <c r="D9" s="18"/>
      <c r="E9" s="19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6</v>
      </c>
      <c r="B10" s="5" t="s">
        <v>14</v>
      </c>
      <c r="C10" s="15">
        <v>0.0</v>
      </c>
      <c r="D10" s="16"/>
      <c r="E10" s="1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9</v>
      </c>
      <c r="B11" s="5" t="s">
        <v>15</v>
      </c>
      <c r="C11" s="15">
        <v>0.0</v>
      </c>
      <c r="D11" s="18"/>
      <c r="E11" s="19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4</v>
      </c>
      <c r="B12" s="5" t="s">
        <v>16</v>
      </c>
      <c r="C12" s="15">
        <v>1.0</v>
      </c>
      <c r="D12" s="16" t="s">
        <v>58</v>
      </c>
      <c r="E12" s="1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6</v>
      </c>
      <c r="B13" s="5" t="s">
        <v>17</v>
      </c>
      <c r="C13" s="15">
        <v>1.0</v>
      </c>
      <c r="D13" s="18"/>
      <c r="E13" s="19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9</v>
      </c>
      <c r="B14" s="5" t="s">
        <v>18</v>
      </c>
      <c r="C14" s="15">
        <v>0.5</v>
      </c>
      <c r="D14" s="16" t="s">
        <v>59</v>
      </c>
      <c r="E14" s="1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6</v>
      </c>
      <c r="B15" s="5" t="s">
        <v>19</v>
      </c>
      <c r="C15" s="15">
        <v>1.0</v>
      </c>
      <c r="D15" s="18"/>
      <c r="E15" s="19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9</v>
      </c>
      <c r="B16" s="5" t="s">
        <v>20</v>
      </c>
      <c r="C16" s="15">
        <v>0.0</v>
      </c>
      <c r="D16" s="16"/>
      <c r="E16" s="1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4" t="s">
        <v>21</v>
      </c>
      <c r="B17" s="5" t="s">
        <v>22</v>
      </c>
      <c r="C17" s="15">
        <v>0.0</v>
      </c>
      <c r="D17" s="18"/>
      <c r="E17" s="1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23</v>
      </c>
      <c r="B18" s="5" t="s">
        <v>24</v>
      </c>
      <c r="C18" s="15">
        <v>0.0</v>
      </c>
      <c r="D18" s="16"/>
      <c r="E18" s="1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4" t="s">
        <v>9</v>
      </c>
      <c r="B19" s="5" t="s">
        <v>25</v>
      </c>
      <c r="C19" s="15">
        <v>1.0</v>
      </c>
      <c r="D19" s="18"/>
      <c r="E19" s="1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23</v>
      </c>
      <c r="B20" s="5" t="s">
        <v>26</v>
      </c>
      <c r="C20" s="15">
        <v>1.0</v>
      </c>
      <c r="D20" s="16"/>
      <c r="E20" s="1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9</v>
      </c>
      <c r="B21" s="5" t="s">
        <v>27</v>
      </c>
      <c r="C21" s="15">
        <v>1.0</v>
      </c>
      <c r="D21" s="18"/>
      <c r="E21" s="19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21</v>
      </c>
      <c r="B22" s="5" t="s">
        <v>28</v>
      </c>
      <c r="C22" s="15">
        <v>1.0</v>
      </c>
      <c r="D22" s="16"/>
      <c r="E22" s="1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4" t="s">
        <v>23</v>
      </c>
      <c r="B23" s="5" t="s">
        <v>29</v>
      </c>
      <c r="C23" s="15">
        <v>1.0</v>
      </c>
      <c r="D23" s="16"/>
      <c r="E23" s="1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2</v>
      </c>
      <c r="B24" s="5" t="s">
        <v>30</v>
      </c>
      <c r="C24" s="15">
        <v>1.0</v>
      </c>
      <c r="D24" s="16"/>
      <c r="E24" s="1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6</v>
      </c>
      <c r="B25" s="5" t="s">
        <v>31</v>
      </c>
      <c r="C25" s="15">
        <v>1.0</v>
      </c>
      <c r="D25" s="18"/>
      <c r="E25" s="19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6</v>
      </c>
      <c r="B26" s="5" t="s">
        <v>32</v>
      </c>
      <c r="C26" s="15">
        <v>1.0</v>
      </c>
      <c r="D26" s="16"/>
      <c r="E26" s="1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9</v>
      </c>
      <c r="B27" s="5" t="s">
        <v>33</v>
      </c>
      <c r="C27" s="15">
        <v>1.0</v>
      </c>
      <c r="D27" s="18"/>
      <c r="E27" s="1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6</v>
      </c>
      <c r="B28" s="5" t="s">
        <v>34</v>
      </c>
      <c r="C28" s="15">
        <v>1.0</v>
      </c>
      <c r="D28" s="16"/>
      <c r="E28" s="1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9</v>
      </c>
      <c r="B29" s="5" t="s">
        <v>35</v>
      </c>
      <c r="C29" s="15">
        <v>1.0</v>
      </c>
      <c r="D29" s="18"/>
      <c r="E29" s="1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6</v>
      </c>
      <c r="B30" s="5" t="s">
        <v>36</v>
      </c>
      <c r="C30" s="15">
        <v>1.0</v>
      </c>
      <c r="D30" s="16"/>
      <c r="E30" s="1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4" t="s">
        <v>21</v>
      </c>
      <c r="B31" s="5" t="s">
        <v>37</v>
      </c>
      <c r="C31" s="15">
        <v>1.0</v>
      </c>
      <c r="D31" s="18"/>
      <c r="E31" s="1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9</v>
      </c>
      <c r="B32" s="5" t="s">
        <v>38</v>
      </c>
      <c r="C32" s="15">
        <v>1.0</v>
      </c>
      <c r="D32" s="16"/>
      <c r="E32" s="1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4" t="s">
        <v>23</v>
      </c>
      <c r="B33" s="5" t="s">
        <v>39</v>
      </c>
      <c r="C33" s="15">
        <v>0.5</v>
      </c>
      <c r="D33" s="18" t="s">
        <v>60</v>
      </c>
      <c r="E33" s="1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9</v>
      </c>
      <c r="B34" s="5" t="s">
        <v>40</v>
      </c>
      <c r="C34" s="15">
        <v>1.0</v>
      </c>
      <c r="D34" s="16" t="s">
        <v>61</v>
      </c>
      <c r="E34" s="1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4" t="s">
        <v>21</v>
      </c>
      <c r="B35" s="5" t="s">
        <v>41</v>
      </c>
      <c r="C35" s="15">
        <v>1.0</v>
      </c>
      <c r="D35" s="18"/>
      <c r="E35" s="1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42</v>
      </c>
      <c r="B36" s="5" t="s">
        <v>43</v>
      </c>
      <c r="C36" s="15">
        <v>0.0</v>
      </c>
      <c r="D36" s="16" t="s">
        <v>62</v>
      </c>
      <c r="E36" s="1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4" t="s">
        <v>9</v>
      </c>
      <c r="B37" s="5" t="s">
        <v>44</v>
      </c>
      <c r="C37" s="15">
        <v>1.0</v>
      </c>
      <c r="D37" s="18"/>
      <c r="E37" s="1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23</v>
      </c>
      <c r="B38" s="5" t="s">
        <v>26</v>
      </c>
      <c r="C38" s="15">
        <v>1.0</v>
      </c>
      <c r="D38" s="16"/>
      <c r="E38" s="1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4" t="s">
        <v>9</v>
      </c>
      <c r="B39" s="5" t="s">
        <v>45</v>
      </c>
      <c r="C39" s="15">
        <v>1.0</v>
      </c>
      <c r="D39" s="18" t="s">
        <v>63</v>
      </c>
      <c r="E39" s="1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23</v>
      </c>
      <c r="B40" s="5" t="s">
        <v>46</v>
      </c>
      <c r="C40" s="15">
        <v>1.0</v>
      </c>
      <c r="D40" s="16"/>
      <c r="E40" s="1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6</v>
      </c>
      <c r="B41" s="5" t="s">
        <v>47</v>
      </c>
      <c r="C41" s="15">
        <v>1.0</v>
      </c>
      <c r="D41" s="18"/>
      <c r="E41" s="1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9</v>
      </c>
      <c r="B42" s="5" t="s">
        <v>48</v>
      </c>
      <c r="C42" s="15">
        <v>1.0</v>
      </c>
      <c r="D42" s="16"/>
      <c r="E42" s="1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9</v>
      </c>
      <c r="B43" s="5" t="s">
        <v>49</v>
      </c>
      <c r="C43" s="15">
        <v>1.0</v>
      </c>
      <c r="D43" s="18"/>
      <c r="E43" s="19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23</v>
      </c>
      <c r="B44" s="5" t="s">
        <v>50</v>
      </c>
      <c r="C44" s="15">
        <v>1.0</v>
      </c>
      <c r="D44" s="16"/>
      <c r="E44" s="1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9</v>
      </c>
      <c r="B45" s="5" t="s">
        <v>51</v>
      </c>
      <c r="C45" s="15">
        <v>1.0</v>
      </c>
      <c r="D45" s="18" t="s">
        <v>64</v>
      </c>
      <c r="E45" s="1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6</v>
      </c>
      <c r="B46" s="5" t="s">
        <v>52</v>
      </c>
      <c r="C46" s="15">
        <v>1.0</v>
      </c>
      <c r="D46" s="16"/>
      <c r="E46" s="1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9</v>
      </c>
      <c r="B47" s="5" t="s">
        <v>53</v>
      </c>
      <c r="C47" s="15">
        <v>1.0</v>
      </c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9</v>
      </c>
      <c r="B48" s="8" t="s">
        <v>54</v>
      </c>
      <c r="C48" s="21">
        <v>1.0</v>
      </c>
      <c r="D48" s="22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9" t="s">
        <v>6</v>
      </c>
      <c r="B49" s="10" t="s">
        <v>55</v>
      </c>
      <c r="C49" s="23">
        <v>0.0</v>
      </c>
      <c r="D49" s="20"/>
      <c r="E49" s="2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9" t="s">
        <v>9</v>
      </c>
      <c r="B50" s="10" t="s">
        <v>55</v>
      </c>
      <c r="C50" s="23">
        <v>0.0</v>
      </c>
      <c r="D50" s="20"/>
      <c r="E50" s="2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4" t="s">
        <v>21</v>
      </c>
      <c r="B51" s="5" t="s">
        <v>55</v>
      </c>
      <c r="C51" s="23">
        <v>0.0</v>
      </c>
      <c r="D51" s="20"/>
      <c r="E51" s="2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9" t="s">
        <v>23</v>
      </c>
      <c r="B52" s="10" t="s">
        <v>55</v>
      </c>
      <c r="C52" s="23">
        <v>0.0</v>
      </c>
      <c r="D52" s="20"/>
      <c r="E52" s="2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4" t="s">
        <v>2</v>
      </c>
      <c r="B53" s="5" t="s">
        <v>55</v>
      </c>
      <c r="C53" s="23">
        <v>0.0</v>
      </c>
      <c r="D53" s="20"/>
      <c r="E53" s="2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9" t="s">
        <v>4</v>
      </c>
      <c r="B54" s="10" t="s">
        <v>55</v>
      </c>
      <c r="C54" s="23">
        <v>0.0</v>
      </c>
      <c r="D54" s="20"/>
      <c r="E54" s="2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4" t="s">
        <v>42</v>
      </c>
      <c r="B55" s="5" t="s">
        <v>55</v>
      </c>
      <c r="C55" s="23">
        <v>0.0</v>
      </c>
      <c r="D55" s="20"/>
      <c r="E55" s="2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2.75" customHeight="1">
      <c r="A254" s="11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2.75" customHeight="1">
      <c r="A255" s="11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76.0"/>
    <col customWidth="1" min="5" max="22" width="10.63"/>
  </cols>
  <sheetData>
    <row r="1" ht="13.5" customHeight="1">
      <c r="A1" s="1" t="s">
        <v>0</v>
      </c>
      <c r="B1" s="2" t="s">
        <v>1</v>
      </c>
      <c r="C1" s="13" t="s">
        <v>65</v>
      </c>
      <c r="D1" s="13" t="s">
        <v>57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24" t="s">
        <v>2</v>
      </c>
      <c r="B2" s="25" t="s">
        <v>3</v>
      </c>
      <c r="C2" s="26">
        <v>0.0</v>
      </c>
      <c r="D2" s="27" t="s">
        <v>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24" t="s">
        <v>4</v>
      </c>
      <c r="B3" s="25" t="s">
        <v>5</v>
      </c>
      <c r="C3" s="26">
        <v>0.0</v>
      </c>
      <c r="D3" s="28" t="s">
        <v>67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24" t="s">
        <v>6</v>
      </c>
      <c r="B4" s="25" t="s">
        <v>7</v>
      </c>
      <c r="C4" s="26">
        <v>0.0</v>
      </c>
      <c r="D4" s="27" t="s">
        <v>68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24" t="s">
        <v>6</v>
      </c>
      <c r="B5" s="25" t="s">
        <v>8</v>
      </c>
      <c r="C5" s="26">
        <v>0.0</v>
      </c>
      <c r="D5" s="28" t="s">
        <v>69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24" t="s">
        <v>9</v>
      </c>
      <c r="B6" s="25" t="s">
        <v>10</v>
      </c>
      <c r="C6" s="26">
        <v>0.0</v>
      </c>
      <c r="D6" s="27" t="s">
        <v>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24" t="s">
        <v>9</v>
      </c>
      <c r="B7" s="25" t="s">
        <v>11</v>
      </c>
      <c r="C7" s="26">
        <v>0.0</v>
      </c>
      <c r="D7" s="28" t="s">
        <v>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24" t="s">
        <v>6</v>
      </c>
      <c r="B8" s="25" t="s">
        <v>12</v>
      </c>
      <c r="C8" s="26">
        <v>0.5</v>
      </c>
      <c r="D8" s="27" t="s">
        <v>72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24" t="s">
        <v>9</v>
      </c>
      <c r="B9" s="25" t="s">
        <v>13</v>
      </c>
      <c r="C9" s="26">
        <v>0.5</v>
      </c>
      <c r="D9" s="28" t="s">
        <v>73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24" t="s">
        <v>6</v>
      </c>
      <c r="B10" s="25" t="s">
        <v>14</v>
      </c>
      <c r="C10" s="26">
        <v>0.0</v>
      </c>
      <c r="D10" s="27" t="s">
        <v>74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24" t="s">
        <v>9</v>
      </c>
      <c r="B11" s="25" t="s">
        <v>15</v>
      </c>
      <c r="C11" s="26">
        <v>0.0</v>
      </c>
      <c r="D11" s="28" t="s">
        <v>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24" t="s">
        <v>4</v>
      </c>
      <c r="B12" s="25" t="s">
        <v>16</v>
      </c>
      <c r="C12" s="26">
        <v>0.0</v>
      </c>
      <c r="D12" s="27" t="s">
        <v>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24" t="s">
        <v>6</v>
      </c>
      <c r="B13" s="25" t="s">
        <v>76</v>
      </c>
      <c r="C13" s="26">
        <v>1.0</v>
      </c>
      <c r="D13" s="28" t="s">
        <v>77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24" t="s">
        <v>9</v>
      </c>
      <c r="B14" s="25" t="s">
        <v>18</v>
      </c>
      <c r="C14" s="26">
        <v>0.0</v>
      </c>
      <c r="D14" s="27" t="s">
        <v>78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24" t="s">
        <v>6</v>
      </c>
      <c r="B15" s="25" t="s">
        <v>19</v>
      </c>
      <c r="C15" s="26">
        <v>1.0</v>
      </c>
      <c r="D15" s="28" t="s">
        <v>79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24" t="s">
        <v>9</v>
      </c>
      <c r="B16" s="25" t="s">
        <v>20</v>
      </c>
      <c r="C16" s="26">
        <v>0.0</v>
      </c>
      <c r="D16" s="27" t="s">
        <v>80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24" t="s">
        <v>21</v>
      </c>
      <c r="B17" s="25" t="s">
        <v>22</v>
      </c>
      <c r="C17" s="26">
        <v>0.0</v>
      </c>
      <c r="D17" s="28" t="s">
        <v>81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24" t="s">
        <v>23</v>
      </c>
      <c r="B18" s="25" t="s">
        <v>24</v>
      </c>
      <c r="C18" s="26">
        <v>0.0</v>
      </c>
      <c r="D18" s="27" t="s">
        <v>82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24" t="s">
        <v>9</v>
      </c>
      <c r="B19" s="25" t="s">
        <v>25</v>
      </c>
      <c r="C19" s="26">
        <v>1.0</v>
      </c>
      <c r="D19" s="28" t="s">
        <v>83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24" t="s">
        <v>23</v>
      </c>
      <c r="B20" s="25" t="s">
        <v>26</v>
      </c>
      <c r="C20" s="26">
        <v>1.0</v>
      </c>
      <c r="D20" s="27" t="s">
        <v>84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24" t="s">
        <v>9</v>
      </c>
      <c r="B21" s="25" t="s">
        <v>27</v>
      </c>
      <c r="C21" s="26">
        <v>1.0</v>
      </c>
      <c r="D21" s="28" t="s">
        <v>85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24" t="s">
        <v>21</v>
      </c>
      <c r="B22" s="25" t="s">
        <v>28</v>
      </c>
      <c r="C22" s="26">
        <v>0.0</v>
      </c>
      <c r="D22" s="27" t="s">
        <v>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24" t="s">
        <v>23</v>
      </c>
      <c r="B23" s="25" t="s">
        <v>29</v>
      </c>
      <c r="C23" s="26">
        <v>0.5</v>
      </c>
      <c r="D23" s="28" t="s">
        <v>87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24" t="s">
        <v>2</v>
      </c>
      <c r="B24" s="25" t="s">
        <v>30</v>
      </c>
      <c r="C24" s="26">
        <v>1.0</v>
      </c>
      <c r="D24" s="27" t="s">
        <v>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24" t="s">
        <v>6</v>
      </c>
      <c r="B25" s="25" t="s">
        <v>31</v>
      </c>
      <c r="C25" s="26">
        <v>1.0</v>
      </c>
      <c r="D25" s="28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24" t="s">
        <v>6</v>
      </c>
      <c r="B26" s="25" t="s">
        <v>32</v>
      </c>
      <c r="C26" s="26">
        <v>1.0</v>
      </c>
      <c r="D26" s="27" t="s">
        <v>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24" t="s">
        <v>9</v>
      </c>
      <c r="B27" s="25" t="s">
        <v>33</v>
      </c>
      <c r="C27" s="26">
        <v>1.0</v>
      </c>
      <c r="D27" s="28" t="s">
        <v>91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24" t="s">
        <v>6</v>
      </c>
      <c r="B28" s="25" t="s">
        <v>34</v>
      </c>
      <c r="C28" s="26">
        <v>1.0</v>
      </c>
      <c r="D28" s="27" t="s">
        <v>92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24" t="s">
        <v>9</v>
      </c>
      <c r="B29" s="25" t="s">
        <v>35</v>
      </c>
      <c r="C29" s="26">
        <v>1.0</v>
      </c>
      <c r="D29" s="28" t="s">
        <v>93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24" t="s">
        <v>6</v>
      </c>
      <c r="B30" s="25" t="s">
        <v>36</v>
      </c>
      <c r="C30" s="26">
        <v>1.0</v>
      </c>
      <c r="D30" s="27" t="s">
        <v>94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24" t="s">
        <v>21</v>
      </c>
      <c r="B31" s="25" t="s">
        <v>95</v>
      </c>
      <c r="C31" s="26">
        <v>1.0</v>
      </c>
      <c r="D31" s="28" t="s">
        <v>96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24" t="s">
        <v>9</v>
      </c>
      <c r="B32" s="25" t="s">
        <v>38</v>
      </c>
      <c r="C32" s="26">
        <v>1.0</v>
      </c>
      <c r="D32" s="27" t="s">
        <v>97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24" t="s">
        <v>23</v>
      </c>
      <c r="B33" s="25" t="s">
        <v>39</v>
      </c>
      <c r="C33" s="26">
        <v>1.0</v>
      </c>
      <c r="D33" s="28" t="s">
        <v>98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24" t="s">
        <v>9</v>
      </c>
      <c r="B34" s="25" t="s">
        <v>40</v>
      </c>
      <c r="C34" s="26">
        <v>1.0</v>
      </c>
      <c r="D34" s="27" t="s">
        <v>99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24" t="s">
        <v>21</v>
      </c>
      <c r="B35" s="25" t="s">
        <v>41</v>
      </c>
      <c r="C35" s="26">
        <v>1.0</v>
      </c>
      <c r="D35" s="28" t="s">
        <v>100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24" t="s">
        <v>42</v>
      </c>
      <c r="B36" s="25" t="s">
        <v>43</v>
      </c>
      <c r="C36" s="26">
        <v>0.0</v>
      </c>
      <c r="D36" s="27" t="s">
        <v>101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24" t="s">
        <v>9</v>
      </c>
      <c r="B37" s="25" t="s">
        <v>44</v>
      </c>
      <c r="C37" s="26">
        <v>0.5</v>
      </c>
      <c r="D37" s="28" t="s">
        <v>102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24" t="s">
        <v>23</v>
      </c>
      <c r="B38" s="25" t="s">
        <v>26</v>
      </c>
      <c r="C38" s="26">
        <v>1.0</v>
      </c>
      <c r="D38" s="27" t="s">
        <v>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24" t="s">
        <v>9</v>
      </c>
      <c r="B39" s="25" t="s">
        <v>45</v>
      </c>
      <c r="C39" s="26">
        <v>1.0</v>
      </c>
      <c r="D39" s="28" t="s">
        <v>103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24" t="s">
        <v>23</v>
      </c>
      <c r="B40" s="25" t="s">
        <v>46</v>
      </c>
      <c r="C40" s="26">
        <v>1.0</v>
      </c>
      <c r="D40" s="27" t="s">
        <v>104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24" t="s">
        <v>6</v>
      </c>
      <c r="B41" s="25" t="s">
        <v>47</v>
      </c>
      <c r="C41" s="26">
        <v>1.0</v>
      </c>
      <c r="D41" s="28" t="s">
        <v>105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24" t="s">
        <v>9</v>
      </c>
      <c r="B42" s="25" t="s">
        <v>48</v>
      </c>
      <c r="C42" s="26">
        <v>0.5</v>
      </c>
      <c r="D42" s="27" t="s">
        <v>106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24" t="s">
        <v>9</v>
      </c>
      <c r="B43" s="25" t="s">
        <v>49</v>
      </c>
      <c r="C43" s="26">
        <v>1.0</v>
      </c>
      <c r="D43" s="28" t="s">
        <v>107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24" t="s">
        <v>23</v>
      </c>
      <c r="B44" s="25" t="s">
        <v>50</v>
      </c>
      <c r="C44" s="26">
        <v>1.0</v>
      </c>
      <c r="D44" s="27" t="s">
        <v>108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24" t="s">
        <v>9</v>
      </c>
      <c r="B45" s="25" t="s">
        <v>51</v>
      </c>
      <c r="C45" s="26">
        <v>1.0</v>
      </c>
      <c r="D45" s="28" t="s">
        <v>109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24" t="s">
        <v>6</v>
      </c>
      <c r="B46" s="25" t="s">
        <v>52</v>
      </c>
      <c r="C46" s="26">
        <v>1.0</v>
      </c>
      <c r="D46" s="27" t="s">
        <v>110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24" t="s">
        <v>9</v>
      </c>
      <c r="B47" s="25" t="s">
        <v>53</v>
      </c>
      <c r="C47" s="26">
        <v>1.0</v>
      </c>
      <c r="D47" s="29" t="s">
        <v>111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30" t="s">
        <v>9</v>
      </c>
      <c r="B48" s="31" t="s">
        <v>54</v>
      </c>
      <c r="C48" s="32">
        <v>1.0</v>
      </c>
      <c r="D48" s="33" t="s">
        <v>112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34" t="s">
        <v>6</v>
      </c>
      <c r="B49" s="35" t="s">
        <v>55</v>
      </c>
      <c r="C49" s="36">
        <v>0.0</v>
      </c>
      <c r="D49" s="29" t="s">
        <v>113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34" t="s">
        <v>9</v>
      </c>
      <c r="B50" s="35" t="s">
        <v>55</v>
      </c>
      <c r="C50" s="36">
        <v>0.0</v>
      </c>
      <c r="D50" s="29" t="s">
        <v>114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24" t="s">
        <v>21</v>
      </c>
      <c r="B51" s="25" t="s">
        <v>55</v>
      </c>
      <c r="C51" s="36">
        <v>0.0</v>
      </c>
      <c r="D51" s="29" t="s">
        <v>115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34" t="s">
        <v>23</v>
      </c>
      <c r="B52" s="35" t="s">
        <v>55</v>
      </c>
      <c r="C52" s="36">
        <v>0.0</v>
      </c>
      <c r="D52" s="29" t="s">
        <v>116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24" t="s">
        <v>2</v>
      </c>
      <c r="B53" s="25" t="s">
        <v>55</v>
      </c>
      <c r="C53" s="36">
        <v>0.0</v>
      </c>
      <c r="D53" s="29" t="s">
        <v>117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34" t="s">
        <v>4</v>
      </c>
      <c r="B54" s="35" t="s">
        <v>55</v>
      </c>
      <c r="C54" s="36">
        <v>0.0</v>
      </c>
      <c r="D54" s="29" t="s">
        <v>118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24" t="s">
        <v>42</v>
      </c>
      <c r="B55" s="25" t="s">
        <v>55</v>
      </c>
      <c r="C55" s="36">
        <v>0.0</v>
      </c>
      <c r="D55" s="29" t="s">
        <v>119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2.75" customHeight="1">
      <c r="A254" s="11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2.75" customHeight="1">
      <c r="A255" s="11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6.5"/>
  </cols>
  <sheetData>
    <row r="1" ht="15.75" customHeight="1">
      <c r="A1" s="37" t="s">
        <v>120</v>
      </c>
      <c r="B1" s="38"/>
      <c r="C1" s="38"/>
      <c r="D1" s="38"/>
      <c r="E1" s="38"/>
      <c r="F1" s="38"/>
      <c r="G1" s="38"/>
      <c r="H1" s="38"/>
      <c r="J1" s="39" t="s">
        <v>121</v>
      </c>
    </row>
    <row r="2" ht="15.75" customHeight="1">
      <c r="A2" s="40" t="s">
        <v>0</v>
      </c>
      <c r="B2" s="40" t="s">
        <v>122</v>
      </c>
      <c r="C2" s="40" t="s">
        <v>123</v>
      </c>
      <c r="D2" s="40" t="s">
        <v>124</v>
      </c>
      <c r="E2" s="40" t="s">
        <v>125</v>
      </c>
      <c r="F2" s="40" t="s">
        <v>126</v>
      </c>
      <c r="G2" s="40" t="s">
        <v>127</v>
      </c>
      <c r="H2" s="40" t="s">
        <v>128</v>
      </c>
      <c r="J2" s="39" t="s">
        <v>129</v>
      </c>
    </row>
    <row r="3" ht="15.75" customHeight="1">
      <c r="A3" s="41" t="s">
        <v>2</v>
      </c>
      <c r="B3" s="42">
        <f>COUNTIF(Dishwasher!$A$2:$A$48, A3)</f>
        <v>2</v>
      </c>
      <c r="C3" s="43">
        <f>SUMIF(CombinedHumanGrading!$A$2:$A$48, $A3, CombinedHumanGrading!$C$2:$C$48)</f>
        <v>2</v>
      </c>
      <c r="D3" s="43">
        <f>SUMIF(CombinedHumanGrading!$A$49:$A$55, $A3, CombinedHumanGrading!$C$49:$C$55)</f>
        <v>0</v>
      </c>
      <c r="E3" s="43">
        <f>COUNTIFS(CombinedHumanGrading!$A$2:$A$48, $A3, CombinedHumanGrading!$C$2:$C$48,0)</f>
        <v>0</v>
      </c>
      <c r="F3" s="43">
        <f t="shared" ref="F3:F10" si="1">IFERROR(C3 / (C3 + D3), "Not Available")</f>
        <v>1</v>
      </c>
      <c r="G3" s="43">
        <f t="shared" ref="G3:G10" si="2">IFERROR(C3 / B3, "Not Available")</f>
        <v>1</v>
      </c>
      <c r="H3" s="43">
        <f t="shared" ref="H3:H10" si="3">IFERROR(2*((F3*G3)/(F3+G3)),"Not Available")</f>
        <v>1</v>
      </c>
      <c r="J3" s="44"/>
    </row>
    <row r="4" ht="15.75" customHeight="1">
      <c r="A4" s="45" t="s">
        <v>6</v>
      </c>
      <c r="B4" s="42">
        <f>COUNTIF(Dishwasher!$A$2:$A$48, A4)</f>
        <v>12</v>
      </c>
      <c r="C4" s="43">
        <f>SUMIF(CombinedHumanGrading!$A$2:$A$48, $A4, CombinedHumanGrading!$C$2:$C$48)</f>
        <v>9</v>
      </c>
      <c r="D4" s="43">
        <f>SUMIF(CombinedHumanGrading!$A$49:$A$55, $A4, CombinedHumanGrading!$C$49:$C$55)</f>
        <v>0</v>
      </c>
      <c r="E4" s="43">
        <f>COUNTIFS(CombinedHumanGrading!$A$2:$A$48, $A4, CombinedHumanGrading!$C$2:$C$48,0)</f>
        <v>3</v>
      </c>
      <c r="F4" s="43">
        <f t="shared" si="1"/>
        <v>1</v>
      </c>
      <c r="G4" s="43">
        <f t="shared" si="2"/>
        <v>0.75</v>
      </c>
      <c r="H4" s="43">
        <f t="shared" si="3"/>
        <v>0.8571428571</v>
      </c>
      <c r="J4" s="46" t="s">
        <v>130</v>
      </c>
    </row>
    <row r="5" ht="15.75" customHeight="1">
      <c r="A5" s="45" t="s">
        <v>9</v>
      </c>
      <c r="B5" s="42">
        <f>COUNTIF(Dishwasher!$A$2:$A$48, A5)</f>
        <v>19</v>
      </c>
      <c r="C5" s="43">
        <f>SUMIF(CombinedHumanGrading!$A$2:$A$48, $A5, CombinedHumanGrading!$C$2:$C$48)</f>
        <v>13.5</v>
      </c>
      <c r="D5" s="43">
        <f>SUMIF(CombinedHumanGrading!$A$49:$A$55, $A5, CombinedHumanGrading!$C$49:$C$55)</f>
        <v>0</v>
      </c>
      <c r="E5" s="43">
        <f>COUNTIFS(CombinedHumanGrading!$A$2:$A$48, $A5, CombinedHumanGrading!$C$2:$C$48,0)</f>
        <v>5</v>
      </c>
      <c r="F5" s="43">
        <f t="shared" si="1"/>
        <v>1</v>
      </c>
      <c r="G5" s="43">
        <f t="shared" si="2"/>
        <v>0.7105263158</v>
      </c>
      <c r="H5" s="43">
        <f t="shared" si="3"/>
        <v>0.8307692308</v>
      </c>
      <c r="J5" s="47" t="s">
        <v>131</v>
      </c>
    </row>
    <row r="6" ht="15.75" customHeight="1">
      <c r="A6" s="45" t="s">
        <v>23</v>
      </c>
      <c r="B6" s="42">
        <f>COUNTIF(Dishwasher!$A$2:$A$48, A6)</f>
        <v>7</v>
      </c>
      <c r="C6" s="43">
        <f>SUMIF(CombinedHumanGrading!$A$2:$A$48, $A6, CombinedHumanGrading!$C$2:$C$48)</f>
        <v>5.5</v>
      </c>
      <c r="D6" s="43">
        <f>SUMIF(CombinedHumanGrading!$A$49:$A$55, $A6, CombinedHumanGrading!$C$49:$C$55)</f>
        <v>0</v>
      </c>
      <c r="E6" s="43">
        <f>COUNTIFS(CombinedHumanGrading!$A$2:$A$48, $A6, CombinedHumanGrading!$C$2:$C$48,0)</f>
        <v>1</v>
      </c>
      <c r="F6" s="43">
        <f t="shared" si="1"/>
        <v>1</v>
      </c>
      <c r="G6" s="43">
        <f t="shared" si="2"/>
        <v>0.7857142857</v>
      </c>
      <c r="H6" s="43">
        <f t="shared" si="3"/>
        <v>0.88</v>
      </c>
    </row>
    <row r="7" ht="15.75" customHeight="1">
      <c r="A7" s="45" t="s">
        <v>4</v>
      </c>
      <c r="B7" s="42">
        <f>COUNTIF(Dishwasher!$A$2:$A$48, A7)</f>
        <v>2</v>
      </c>
      <c r="C7" s="43">
        <f>SUMIF(CombinedHumanGrading!$A$2:$A$48, $A7, CombinedHumanGrading!$C$2:$C$48)</f>
        <v>1</v>
      </c>
      <c r="D7" s="43">
        <f>SUMIF(CombinedHumanGrading!$A$49:$A$55, $A7, CombinedHumanGrading!$C$49:$C$55)</f>
        <v>0</v>
      </c>
      <c r="E7" s="43">
        <f>COUNTIFS(CombinedHumanGrading!$A$2:$A$48, $A7, CombinedHumanGrading!$C$2:$C$48,0)</f>
        <v>1</v>
      </c>
      <c r="F7" s="43">
        <f t="shared" si="1"/>
        <v>1</v>
      </c>
      <c r="G7" s="43">
        <f t="shared" si="2"/>
        <v>0.5</v>
      </c>
      <c r="H7" s="43">
        <f t="shared" si="3"/>
        <v>0.6666666667</v>
      </c>
      <c r="J7" s="39" t="s">
        <v>132</v>
      </c>
    </row>
    <row r="8" ht="15.75" customHeight="1">
      <c r="A8" s="45" t="s">
        <v>42</v>
      </c>
      <c r="B8" s="42">
        <f>COUNTIF(Dishwasher!$A$2:$A$48, A8)</f>
        <v>1</v>
      </c>
      <c r="C8" s="43">
        <f>SUMIF(CombinedHumanGrading!$A$2:$A$48, $A8, CombinedHumanGrading!$C$2:$C$48)</f>
        <v>0</v>
      </c>
      <c r="D8" s="43">
        <f>SUMIF(CombinedHumanGrading!$A$49:$A$55, $A8, CombinedHumanGrading!$C$49:$C$55)</f>
        <v>0</v>
      </c>
      <c r="E8" s="43">
        <f>COUNTIFS(CombinedHumanGrading!$A$2:$A$48, $A8, CombinedHumanGrading!$C$2:$C$48,0)</f>
        <v>1</v>
      </c>
      <c r="F8" s="43" t="str">
        <f t="shared" si="1"/>
        <v>Not Available</v>
      </c>
      <c r="G8" s="43">
        <f t="shared" si="2"/>
        <v>0</v>
      </c>
      <c r="H8" s="43" t="str">
        <f t="shared" si="3"/>
        <v>Not Available</v>
      </c>
      <c r="J8" s="39" t="s">
        <v>133</v>
      </c>
    </row>
    <row r="9" ht="15.75" customHeight="1">
      <c r="A9" s="45" t="s">
        <v>21</v>
      </c>
      <c r="B9" s="42">
        <f>COUNTIF(Dishwasher!$A$2:$A$48, A9)</f>
        <v>4</v>
      </c>
      <c r="C9" s="43">
        <f>SUMIF(CombinedHumanGrading!$A$2:$A$48, $A9, CombinedHumanGrading!$C$2:$C$48)</f>
        <v>3</v>
      </c>
      <c r="D9" s="43">
        <f>SUMIF(CombinedHumanGrading!$A$49:$A$55, $A9, CombinedHumanGrading!$C$49:$C$55)</f>
        <v>0</v>
      </c>
      <c r="E9" s="43">
        <f>COUNTIFS(CombinedHumanGrading!$A$2:$A$48, $A9, CombinedHumanGrading!$C$2:$C$48,0)</f>
        <v>1</v>
      </c>
      <c r="F9" s="43">
        <f t="shared" si="1"/>
        <v>1</v>
      </c>
      <c r="G9" s="43">
        <f t="shared" si="2"/>
        <v>0.75</v>
      </c>
      <c r="H9" s="43">
        <f t="shared" si="3"/>
        <v>0.8571428571</v>
      </c>
    </row>
    <row r="10" ht="15.75" customHeight="1">
      <c r="A10" s="45" t="s">
        <v>134</v>
      </c>
      <c r="B10" s="43">
        <f t="shared" ref="B10:E10" si="4">SUM(B3:B9)</f>
        <v>47</v>
      </c>
      <c r="C10" s="43">
        <f t="shared" si="4"/>
        <v>34</v>
      </c>
      <c r="D10" s="43">
        <f t="shared" si="4"/>
        <v>0</v>
      </c>
      <c r="E10" s="43">
        <f t="shared" si="4"/>
        <v>12</v>
      </c>
      <c r="F10" s="43">
        <f t="shared" si="1"/>
        <v>1</v>
      </c>
      <c r="G10" s="43">
        <f t="shared" si="2"/>
        <v>0.7234042553</v>
      </c>
      <c r="H10" s="43">
        <f t="shared" si="3"/>
        <v>0.8395061728</v>
      </c>
    </row>
    <row r="11" ht="15.75" customHeight="1">
      <c r="A11" s="3"/>
      <c r="B11" s="3"/>
      <c r="C11" s="3"/>
      <c r="D11" s="3"/>
      <c r="E11" s="3"/>
      <c r="F11" s="3"/>
    </row>
    <row r="12" ht="15.75" customHeight="1">
      <c r="A12" s="37" t="s">
        <v>135</v>
      </c>
      <c r="B12" s="38"/>
      <c r="C12" s="38"/>
      <c r="D12" s="38"/>
      <c r="E12" s="38"/>
      <c r="F12" s="38"/>
      <c r="G12" s="38"/>
      <c r="H12" s="38"/>
      <c r="J12" s="44"/>
    </row>
    <row r="13" ht="15.75" customHeight="1">
      <c r="A13" s="40" t="s">
        <v>0</v>
      </c>
      <c r="B13" s="40" t="s">
        <v>122</v>
      </c>
      <c r="C13" s="40" t="s">
        <v>123</v>
      </c>
      <c r="D13" s="40" t="s">
        <v>124</v>
      </c>
      <c r="E13" s="40" t="s">
        <v>125</v>
      </c>
      <c r="F13" s="40" t="s">
        <v>126</v>
      </c>
      <c r="G13" s="40" t="s">
        <v>127</v>
      </c>
      <c r="H13" s="40" t="s">
        <v>128</v>
      </c>
    </row>
    <row r="14" ht="15.75" customHeight="1">
      <c r="A14" s="41" t="s">
        <v>136</v>
      </c>
      <c r="B14" s="42">
        <f>COUNTIF(Dishwasher!$A$2:$A$48, A14)</f>
        <v>2</v>
      </c>
      <c r="C14" s="43">
        <f>SUMIF('Gemini 3.1 Pro Preview Grading'!$A$2:$A$48, $A14, 'Gemini 3.1 Pro Preview Grading'!$C$2:$C$48)</f>
        <v>1</v>
      </c>
      <c r="D14" s="43">
        <f>SUMIF('Gemini 3.1 Pro Preview Grading'!$A$49:$A$55, $A14, 'Gemini 3.1 Pro Preview Grading'!$C$49:$C$55)</f>
        <v>0</v>
      </c>
      <c r="E14" s="43">
        <f>COUNTIFS('Gemini 3.1 Pro Preview Grading'!$A$2:$A$48, $A3, 'Gemini 3.1 Pro Preview Grading'!$C$2:$C$48,0)</f>
        <v>1</v>
      </c>
      <c r="F14" s="43">
        <f t="shared" ref="F14:F21" si="5">IFERROR(C14 / (C14 + D14), "Not Available")</f>
        <v>1</v>
      </c>
      <c r="G14" s="43">
        <f t="shared" ref="G14:G21" si="6">IFERROR(C14 / B14, "Not Available")</f>
        <v>0.5</v>
      </c>
      <c r="H14" s="43">
        <f t="shared" ref="H14:H21" si="7">IFERROR(2*((F14*G14)/(F14+G14)),"Not Available")</f>
        <v>0.6666666667</v>
      </c>
    </row>
    <row r="15" ht="15.75" customHeight="1">
      <c r="A15" s="45" t="s">
        <v>6</v>
      </c>
      <c r="B15" s="42">
        <f>COUNTIF(Dishwasher!$A$2:$A$48, A15)</f>
        <v>12</v>
      </c>
      <c r="C15" s="43">
        <f>SUMIF('Gemini 3.1 Pro Preview Grading'!$A$2:$A$48, $A15, 'Gemini 3.1 Pro Preview Grading'!$C$2:$C$48)</f>
        <v>8.5</v>
      </c>
      <c r="D15" s="43">
        <f>SUMIF('Gemini 3.1 Pro Preview Grading'!$A$49:$A$55, $A15, 'Gemini 3.1 Pro Preview Grading'!$C$49:$C$55)</f>
        <v>0</v>
      </c>
      <c r="E15" s="43">
        <f>COUNTIFS('Gemini 3.1 Pro Preview Grading'!$A$2:$A$48, $A4, 'Gemini 3.1 Pro Preview Grading'!$C$2:$C$48,0)</f>
        <v>3</v>
      </c>
      <c r="F15" s="43">
        <f t="shared" si="5"/>
        <v>1</v>
      </c>
      <c r="G15" s="43">
        <f t="shared" si="6"/>
        <v>0.7083333333</v>
      </c>
      <c r="H15" s="43">
        <f t="shared" si="7"/>
        <v>0.8292682927</v>
      </c>
    </row>
    <row r="16" ht="15.75" customHeight="1">
      <c r="A16" s="45" t="s">
        <v>9</v>
      </c>
      <c r="B16" s="42">
        <f>COUNTIF(Dishwasher!$A$2:$A$48, A16)</f>
        <v>19</v>
      </c>
      <c r="C16" s="43">
        <f>SUMIF('Gemini 3.1 Pro Preview Grading'!$A$2:$A$48, $A16, 'Gemini 3.1 Pro Preview Grading'!$C$2:$C$48)</f>
        <v>12.5</v>
      </c>
      <c r="D16" s="43">
        <f>SUMIF('Gemini 3.1 Pro Preview Grading'!$A$49:$A$55, $A16, 'Gemini 3.1 Pro Preview Grading'!$C$49:$C$55)</f>
        <v>0</v>
      </c>
      <c r="E16" s="43">
        <f>COUNTIFS('Gemini 3.1 Pro Preview Grading'!$A$2:$A$48, $A5, 'Gemini 3.1 Pro Preview Grading'!$C$2:$C$48,0)</f>
        <v>5</v>
      </c>
      <c r="F16" s="43">
        <f t="shared" si="5"/>
        <v>1</v>
      </c>
      <c r="G16" s="43">
        <f t="shared" si="6"/>
        <v>0.6578947368</v>
      </c>
      <c r="H16" s="43">
        <f t="shared" si="7"/>
        <v>0.7936507937</v>
      </c>
    </row>
    <row r="17" ht="15.75" customHeight="1">
      <c r="A17" s="45" t="s">
        <v>23</v>
      </c>
      <c r="B17" s="42">
        <f>COUNTIF(Dishwasher!$A$2:$A$48, A17)</f>
        <v>7</v>
      </c>
      <c r="C17" s="43">
        <f>SUMIF('Gemini 3.1 Pro Preview Grading'!$A$2:$A$48, $A17, 'Gemini 3.1 Pro Preview Grading'!$C$2:$C$48)</f>
        <v>5.5</v>
      </c>
      <c r="D17" s="43">
        <f>SUMIF('Gemini 3.1 Pro Preview Grading'!$A$49:$A$55, $A17, 'Gemini 3.1 Pro Preview Grading'!$C$49:$C$55)</f>
        <v>0</v>
      </c>
      <c r="E17" s="43">
        <f>COUNTIFS('Gemini 3.1 Pro Preview Grading'!$A$2:$A$48, $A6, 'Gemini 3.1 Pro Preview Grading'!$C$2:$C$48,0)</f>
        <v>1</v>
      </c>
      <c r="F17" s="43">
        <f t="shared" si="5"/>
        <v>1</v>
      </c>
      <c r="G17" s="43">
        <f t="shared" si="6"/>
        <v>0.7857142857</v>
      </c>
      <c r="H17" s="43">
        <f t="shared" si="7"/>
        <v>0.88</v>
      </c>
    </row>
    <row r="18" ht="15.75" customHeight="1">
      <c r="A18" s="45" t="s">
        <v>4</v>
      </c>
      <c r="B18" s="42">
        <f>COUNTIF(Dishwasher!$A$2:$A$48, A18)</f>
        <v>2</v>
      </c>
      <c r="C18" s="43">
        <f>SUMIF('Gemini 3.1 Pro Preview Grading'!$A$2:$A$48, $A18, 'Gemini 3.1 Pro Preview Grading'!$C$2:$C$48)</f>
        <v>0</v>
      </c>
      <c r="D18" s="43">
        <f>SUMIF('Gemini 3.1 Pro Preview Grading'!$A$49:$A$55, $A18, 'Gemini 3.1 Pro Preview Grading'!$C$49:$C$55)</f>
        <v>0</v>
      </c>
      <c r="E18" s="43">
        <f>COUNTIFS('Gemini 3.1 Pro Preview Grading'!$A$2:$A$48, $A7, 'Gemini 3.1 Pro Preview Grading'!$C$2:$C$48,0)</f>
        <v>2</v>
      </c>
      <c r="F18" s="43" t="str">
        <f t="shared" si="5"/>
        <v>Not Available</v>
      </c>
      <c r="G18" s="43">
        <f t="shared" si="6"/>
        <v>0</v>
      </c>
      <c r="H18" s="43" t="str">
        <f t="shared" si="7"/>
        <v>Not Available</v>
      </c>
    </row>
    <row r="19" ht="15.75" customHeight="1">
      <c r="A19" s="45" t="s">
        <v>42</v>
      </c>
      <c r="B19" s="42">
        <f>COUNTIF(Dishwasher!$A$2:$A$48, A19)</f>
        <v>1</v>
      </c>
      <c r="C19" s="43">
        <f>SUMIF('Gemini 3.1 Pro Preview Grading'!$A$2:$A$48, $A19, 'Gemini 3.1 Pro Preview Grading'!$C$2:$C$48)</f>
        <v>0</v>
      </c>
      <c r="D19" s="43">
        <f>SUMIF('Gemini 3.1 Pro Preview Grading'!$A$49:$A$55, $A19, 'Gemini 3.1 Pro Preview Grading'!$C$49:$C$55)</f>
        <v>0</v>
      </c>
      <c r="E19" s="43">
        <f>COUNTIFS('Gemini 3.1 Pro Preview Grading'!$A$2:$A$48, $A8, 'Gemini 3.1 Pro Preview Grading'!$C$2:$C$48,0)</f>
        <v>1</v>
      </c>
      <c r="F19" s="43" t="str">
        <f t="shared" si="5"/>
        <v>Not Available</v>
      </c>
      <c r="G19" s="43">
        <f t="shared" si="6"/>
        <v>0</v>
      </c>
      <c r="H19" s="43" t="str">
        <f t="shared" si="7"/>
        <v>Not Available</v>
      </c>
    </row>
    <row r="20" ht="15.75" customHeight="1">
      <c r="A20" s="45" t="s">
        <v>21</v>
      </c>
      <c r="B20" s="42">
        <f>COUNTIF(Dishwasher!$A$2:$A$48, A20)</f>
        <v>4</v>
      </c>
      <c r="C20" s="43">
        <f>SUMIF('Gemini 3.1 Pro Preview Grading'!$A$2:$A$48, $A20, 'Gemini 3.1 Pro Preview Grading'!$C$2:$C$48)</f>
        <v>2</v>
      </c>
      <c r="D20" s="43">
        <f>SUMIF('Gemini 3.1 Pro Preview Grading'!$A$49:$A$55, $A20, 'Gemini 3.1 Pro Preview Grading'!$C$49:$C$55)</f>
        <v>0</v>
      </c>
      <c r="E20" s="43">
        <f>COUNTIFS('Gemini 3.1 Pro Preview Grading'!$A$2:$A$48, $A9, 'Gemini 3.1 Pro Preview Grading'!$C$2:$C$48,0)</f>
        <v>2</v>
      </c>
      <c r="F20" s="43">
        <f t="shared" si="5"/>
        <v>1</v>
      </c>
      <c r="G20" s="43">
        <f t="shared" si="6"/>
        <v>0.5</v>
      </c>
      <c r="H20" s="43">
        <f t="shared" si="7"/>
        <v>0.6666666667</v>
      </c>
    </row>
    <row r="21" ht="15.75" customHeight="1">
      <c r="A21" s="45" t="s">
        <v>134</v>
      </c>
      <c r="B21" s="43">
        <f t="shared" ref="B21:E21" si="8">SUM(B14:B20)</f>
        <v>47</v>
      </c>
      <c r="C21" s="43">
        <f t="shared" si="8"/>
        <v>29.5</v>
      </c>
      <c r="D21" s="43">
        <f t="shared" si="8"/>
        <v>0</v>
      </c>
      <c r="E21" s="43">
        <f t="shared" si="8"/>
        <v>15</v>
      </c>
      <c r="F21" s="43">
        <f t="shared" si="5"/>
        <v>1</v>
      </c>
      <c r="G21" s="43">
        <f t="shared" si="6"/>
        <v>0.6276595745</v>
      </c>
      <c r="H21" s="48">
        <f t="shared" si="7"/>
        <v>0.7712418301</v>
      </c>
    </row>
    <row r="22" ht="15.75" customHeight="1">
      <c r="A22" s="3"/>
      <c r="B22" s="3"/>
      <c r="C22" s="3"/>
      <c r="D22" s="3"/>
      <c r="E22" s="3"/>
      <c r="F22" s="3"/>
      <c r="H22" s="49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7.5"/>
    <col customWidth="1" min="14" max="14" width="56.13"/>
  </cols>
  <sheetData>
    <row r="1" ht="15.75" customHeight="1">
      <c r="A1" s="1" t="s">
        <v>0</v>
      </c>
      <c r="B1" s="2" t="s">
        <v>1</v>
      </c>
      <c r="C1" s="50" t="s">
        <v>137</v>
      </c>
      <c r="D1" s="50" t="s">
        <v>133</v>
      </c>
      <c r="E1" s="3"/>
      <c r="F1" s="51" t="s">
        <v>138</v>
      </c>
      <c r="L1" s="52" t="s">
        <v>139</v>
      </c>
      <c r="M1" s="53"/>
      <c r="N1" s="53"/>
      <c r="P1" s="51"/>
    </row>
    <row r="2" ht="15.75" customHeight="1">
      <c r="A2" s="4" t="str">
        <f>CombinedHumanGrading!A2</f>
        <v>Composite State</v>
      </c>
      <c r="B2" s="5" t="str">
        <f>CombinedHumanGrading!B2</f>
        <v>DishwasherOn</v>
      </c>
      <c r="C2" s="15">
        <f>CombinedHumanGrading!C2</f>
        <v>1</v>
      </c>
      <c r="D2" s="15">
        <f>'Gemini 3.1 Pro Preview Grading'!C2</f>
        <v>0</v>
      </c>
      <c r="E2" s="3"/>
      <c r="F2" s="12" t="s">
        <v>140</v>
      </c>
      <c r="G2" s="54" t="s">
        <v>141</v>
      </c>
      <c r="H2" s="55" t="s">
        <v>142</v>
      </c>
      <c r="I2" s="56" t="s">
        <v>143</v>
      </c>
      <c r="J2" s="57" t="s">
        <v>144</v>
      </c>
      <c r="K2" s="12"/>
      <c r="L2" s="58" t="s">
        <v>145</v>
      </c>
      <c r="M2" s="58" t="s">
        <v>146</v>
      </c>
      <c r="N2" s="58" t="s">
        <v>147</v>
      </c>
      <c r="P2" s="6"/>
      <c r="Q2" s="6"/>
      <c r="R2" s="6"/>
      <c r="S2" s="6"/>
      <c r="T2" s="6"/>
      <c r="U2" s="6"/>
      <c r="V2" s="6"/>
    </row>
    <row r="3" ht="15.75" customHeight="1">
      <c r="A3" s="4" t="str">
        <f>CombinedHumanGrading!A3</f>
        <v>Region</v>
      </c>
      <c r="B3" s="5" t="str">
        <f>CombinedHumanGrading!B3</f>
        <v>Door</v>
      </c>
      <c r="C3" s="15">
        <f>CombinedHumanGrading!C3</f>
        <v>0</v>
      </c>
      <c r="D3" s="15">
        <f>'Gemini 3.1 Pro Preview Grading'!C3</f>
        <v>0</v>
      </c>
      <c r="E3" s="3"/>
      <c r="F3" s="59">
        <v>0.0</v>
      </c>
      <c r="G3" s="60">
        <f>COUNTIFS($C$2:$C$92, $F3, $D$2:$D$92, G$2)</f>
        <v>18</v>
      </c>
      <c r="H3" s="61">
        <f>COUNTIFS($C$2:$C$48, $F3, $D$2:$D$48, H$2)</f>
        <v>1</v>
      </c>
      <c r="I3" s="62">
        <f>COUNTIFS($C$2:$C$48, $F3, $D$2:$D$48, I$2)+MAX(D49-C49,0)+MAX(D50-C50,0)+MAX(D51-C51,0)+MAX(D52-C52,0)+MAX(D53-C53,0)+MAX(D54-C54,0)+MAX(D55-C55,0)</f>
        <v>0</v>
      </c>
      <c r="J3" s="12">
        <f t="shared" ref="J3:J5" si="2">SUM(G3:I3)</f>
        <v>19</v>
      </c>
      <c r="K3" s="12"/>
      <c r="L3" s="63" t="s">
        <v>148</v>
      </c>
      <c r="M3" s="60">
        <f>(G3+H4+I5)/COUNTA($C$2:$C$102)</f>
        <v>0.8148148148</v>
      </c>
      <c r="N3" s="62" t="s">
        <v>149</v>
      </c>
      <c r="P3" s="6"/>
      <c r="Q3" s="6"/>
      <c r="R3" s="6"/>
      <c r="S3" s="6"/>
      <c r="T3" s="6"/>
      <c r="U3" s="6"/>
      <c r="V3" s="6"/>
    </row>
    <row r="4" ht="15.75" customHeight="1">
      <c r="A4" s="4" t="str">
        <f>CombinedHumanGrading!A4</f>
        <v>State</v>
      </c>
      <c r="B4" s="5" t="str">
        <f>CombinedHumanGrading!B4</f>
        <v>initial state (⇒ Closed)</v>
      </c>
      <c r="C4" s="15">
        <f>CombinedHumanGrading!C4</f>
        <v>0</v>
      </c>
      <c r="D4" s="15">
        <f>'Gemini 3.1 Pro Preview Grading'!C4</f>
        <v>0</v>
      </c>
      <c r="E4" s="3"/>
      <c r="F4" s="59">
        <v>0.5</v>
      </c>
      <c r="G4" s="64">
        <f t="shared" ref="G4:I4" si="1">COUNTIFS($C$2:$C$48, $F4, $D$2:$D$48, G$2)</f>
        <v>1</v>
      </c>
      <c r="H4" s="12">
        <f t="shared" si="1"/>
        <v>0</v>
      </c>
      <c r="I4" s="65">
        <f t="shared" si="1"/>
        <v>1</v>
      </c>
      <c r="J4" s="12">
        <f t="shared" si="2"/>
        <v>2</v>
      </c>
      <c r="K4" s="12"/>
      <c r="L4" s="63" t="s">
        <v>150</v>
      </c>
      <c r="M4" s="64">
        <f t="array" ref="M4">SUMPRODUCT(J3:J5/COUNTA($C$2:$C$102), TRANSPOSE(G6:I6)/COUNTA($C$2:$C$102))</f>
        <v>0.4523319616</v>
      </c>
      <c r="N4" s="65" t="s">
        <v>151</v>
      </c>
      <c r="P4" s="6"/>
      <c r="Q4" s="6"/>
      <c r="R4" s="6"/>
      <c r="S4" s="6"/>
      <c r="T4" s="6"/>
      <c r="U4" s="6"/>
      <c r="V4" s="6"/>
    </row>
    <row r="5" ht="15.75" customHeight="1">
      <c r="A5" s="4" t="str">
        <f>CombinedHumanGrading!A5</f>
        <v>State</v>
      </c>
      <c r="B5" s="5" t="str">
        <f>CombinedHumanGrading!B5</f>
        <v>Closed</v>
      </c>
      <c r="C5" s="15">
        <f>CombinedHumanGrading!C5</f>
        <v>0</v>
      </c>
      <c r="D5" s="15">
        <f>'Gemini 3.1 Pro Preview Grading'!C5</f>
        <v>0</v>
      </c>
      <c r="E5" s="3"/>
      <c r="F5" s="59">
        <v>1.0</v>
      </c>
      <c r="G5" s="66">
        <f>COUNTIFS($C$2:$C$48, $F5, $D$2:$D$48, G$2)+MAX(C49-D49,0)+MAX(C50-D50,0)+MAX(C51-D51,0)+MAX(C52-D52,0)+MAX(C53-D53,0)+MAX(C54-D54,0)+MAX(C55-D55,0)</f>
        <v>3</v>
      </c>
      <c r="H5" s="67">
        <f>COUNTIFS($C$2:$C$48, $F5, $D$2:$D$48, H$2)</f>
        <v>4</v>
      </c>
      <c r="I5" s="68">
        <f>COUNTIFS($C$2:$C$48, $F5, $D$2:$D$48, I$2)+ SUM(MIN(C49,D49), MIN(C50,D50), MIN(C51,D51), MIN(C52,D52), MIN(C53,D53), MIN(C54,D54), MIN(C55,D55))</f>
        <v>26</v>
      </c>
      <c r="J5" s="12">
        <f t="shared" si="2"/>
        <v>33</v>
      </c>
      <c r="K5" s="12"/>
      <c r="L5" s="63" t="s">
        <v>139</v>
      </c>
      <c r="M5" s="66">
        <f>(M3-M4)/(1-M4)</f>
        <v>0.6618659987</v>
      </c>
      <c r="N5" s="68" t="s">
        <v>152</v>
      </c>
      <c r="P5" s="6"/>
      <c r="Q5" s="6"/>
      <c r="R5" s="6"/>
      <c r="S5" s="6"/>
      <c r="T5" s="6"/>
      <c r="U5" s="6"/>
      <c r="V5" s="6"/>
    </row>
    <row r="6" ht="15.75" customHeight="1">
      <c r="A6" s="4" t="str">
        <f>CombinedHumanGrading!A6</f>
        <v>Transition</v>
      </c>
      <c r="B6" s="5" t="str">
        <f>CombinedHumanGrading!B6</f>
        <v>open (Closed ⇒ Open)</v>
      </c>
      <c r="C6" s="15">
        <f>CombinedHumanGrading!C6</f>
        <v>0</v>
      </c>
      <c r="D6" s="15">
        <f>'Gemini 3.1 Pro Preview Grading'!C6</f>
        <v>0</v>
      </c>
      <c r="E6" s="3"/>
      <c r="F6" s="69" t="s">
        <v>153</v>
      </c>
      <c r="G6" s="12">
        <f t="shared" ref="G6:I6" si="3">SUM(G3:G5)</f>
        <v>22</v>
      </c>
      <c r="H6" s="12">
        <f t="shared" si="3"/>
        <v>5</v>
      </c>
      <c r="I6" s="12">
        <f t="shared" si="3"/>
        <v>27</v>
      </c>
      <c r="J6" s="12"/>
      <c r="L6" s="12"/>
      <c r="M6" s="70"/>
      <c r="N6" s="3"/>
      <c r="P6" s="6"/>
      <c r="Q6" s="6"/>
      <c r="R6" s="6"/>
      <c r="S6" s="6"/>
      <c r="T6" s="6"/>
      <c r="U6" s="6"/>
      <c r="V6" s="6"/>
    </row>
    <row r="7" ht="15.75" customHeight="1">
      <c r="A7" s="4" t="str">
        <f>CombinedHumanGrading!A7</f>
        <v>Transition</v>
      </c>
      <c r="B7" s="5" t="str">
        <f>CombinedHumanGrading!B7</f>
        <v>lock (Closed ⇒ Locked)</v>
      </c>
      <c r="C7" s="15">
        <f>CombinedHumanGrading!C7</f>
        <v>0</v>
      </c>
      <c r="D7" s="15">
        <f>'Gemini 3.1 Pro Preview Grading'!C7</f>
        <v>0</v>
      </c>
      <c r="E7" s="3"/>
      <c r="F7" s="3"/>
      <c r="L7" s="12"/>
      <c r="M7" s="12"/>
      <c r="N7" s="12"/>
      <c r="P7" s="6"/>
      <c r="Q7" s="6"/>
      <c r="R7" s="6"/>
      <c r="S7" s="6"/>
      <c r="T7" s="6"/>
      <c r="U7" s="6"/>
      <c r="V7" s="6"/>
    </row>
    <row r="8" ht="15.75" customHeight="1">
      <c r="A8" s="4" t="str">
        <f>CombinedHumanGrading!A8</f>
        <v>State</v>
      </c>
      <c r="B8" s="5" t="str">
        <f>CombinedHumanGrading!B8</f>
        <v>Open</v>
      </c>
      <c r="C8" s="15">
        <f>CombinedHumanGrading!C8</f>
        <v>1</v>
      </c>
      <c r="D8" s="15">
        <f>'Gemini 3.1 Pro Preview Grading'!C8</f>
        <v>0.5</v>
      </c>
      <c r="E8" s="3"/>
      <c r="F8" s="51" t="s">
        <v>154</v>
      </c>
      <c r="L8" s="52" t="s">
        <v>155</v>
      </c>
      <c r="M8" s="53"/>
      <c r="N8" s="53"/>
      <c r="P8" s="6"/>
      <c r="Q8" s="6"/>
      <c r="R8" s="6"/>
      <c r="S8" s="6"/>
      <c r="T8" s="6"/>
      <c r="U8" s="6"/>
      <c r="V8" s="6"/>
    </row>
    <row r="9" ht="15.75" customHeight="1">
      <c r="A9" s="4" t="str">
        <f>CombinedHumanGrading!A9</f>
        <v>Transition</v>
      </c>
      <c r="B9" s="5" t="str">
        <f>CombinedHumanGrading!B9</f>
        <v>close (Open ⇒ Closed)</v>
      </c>
      <c r="C9" s="15">
        <f>CombinedHumanGrading!C9</f>
        <v>0</v>
      </c>
      <c r="D9" s="15">
        <f>'Gemini 3.1 Pro Preview Grading'!C9</f>
        <v>0.5</v>
      </c>
      <c r="E9" s="3"/>
      <c r="F9" s="12" t="s">
        <v>6</v>
      </c>
      <c r="G9" s="71" t="s">
        <v>141</v>
      </c>
      <c r="H9" s="71" t="s">
        <v>142</v>
      </c>
      <c r="I9" s="71" t="s">
        <v>143</v>
      </c>
      <c r="J9" s="72" t="s">
        <v>144</v>
      </c>
      <c r="K9" s="12"/>
      <c r="L9" s="58" t="s">
        <v>145</v>
      </c>
      <c r="M9" s="58" t="s">
        <v>146</v>
      </c>
      <c r="N9" s="58" t="s">
        <v>147</v>
      </c>
    </row>
    <row r="10" ht="15.75" customHeight="1">
      <c r="A10" s="4" t="str">
        <f>CombinedHumanGrading!A10</f>
        <v>State</v>
      </c>
      <c r="B10" s="5" t="str">
        <f>CombinedHumanGrading!B10</f>
        <v>Locked</v>
      </c>
      <c r="C10" s="15">
        <f>CombinedHumanGrading!C10</f>
        <v>0</v>
      </c>
      <c r="D10" s="15">
        <f>'Gemini 3.1 Pro Preview Grading'!C10</f>
        <v>0</v>
      </c>
      <c r="E10" s="3"/>
      <c r="F10" s="59">
        <v>0.0</v>
      </c>
      <c r="G10" s="60">
        <f t="shared" ref="G10:H10" si="4">COUNTIFS($A$2:$A$92,$F$9,$C$2:$C$92,$F10,$D$2:$D$92,G$9)</f>
        <v>4</v>
      </c>
      <c r="H10" s="61">
        <f t="shared" si="4"/>
        <v>0</v>
      </c>
      <c r="I10" s="62">
        <f>COUNTIFS($A$2:$A$48,$F$9,$C$2:$C$48,$F10,$D$2:$D$48,I$9)+MAX(D49-C49,0)</f>
        <v>0</v>
      </c>
      <c r="J10" s="12">
        <f t="shared" ref="J10:J12" si="6">SUM(G10:I10)</f>
        <v>4</v>
      </c>
      <c r="K10" s="12"/>
      <c r="L10" s="63" t="s">
        <v>148</v>
      </c>
      <c r="M10" s="60">
        <f>(G10+H11+I12)/COUNTIF($A$2:$A$102,F9)</f>
        <v>0.9230769231</v>
      </c>
      <c r="N10" s="62" t="s">
        <v>149</v>
      </c>
    </row>
    <row r="11" ht="15.75" customHeight="1">
      <c r="A11" s="4" t="str">
        <f>CombinedHumanGrading!A11</f>
        <v>Transition</v>
      </c>
      <c r="B11" s="5" t="str">
        <f>CombinedHumanGrading!B11</f>
        <v>unlock (Locked ⇒ Closed)</v>
      </c>
      <c r="C11" s="15">
        <f>CombinedHumanGrading!C11</f>
        <v>0</v>
      </c>
      <c r="D11" s="15">
        <f>'Gemini 3.1 Pro Preview Grading'!C11</f>
        <v>0</v>
      </c>
      <c r="E11" s="3"/>
      <c r="F11" s="59">
        <v>0.5</v>
      </c>
      <c r="G11" s="64">
        <f t="shared" ref="G11:I11" si="5">COUNTIFS($A$2:$A$92,$F$9,$C$2:$C$92,$F11,$D$2:$D$92,G$9)</f>
        <v>0</v>
      </c>
      <c r="H11" s="12">
        <f t="shared" si="5"/>
        <v>0</v>
      </c>
      <c r="I11" s="65">
        <f t="shared" si="5"/>
        <v>0</v>
      </c>
      <c r="J11" s="12">
        <f t="shared" si="6"/>
        <v>0</v>
      </c>
      <c r="K11" s="12"/>
      <c r="L11" s="63" t="s">
        <v>150</v>
      </c>
      <c r="M11" s="64">
        <f t="array" ref="M11">SUMPRODUCT(J10:J12/COUNTIF($A$2:$A$102,F9), TRANSPOSE(G13:I13)/COUNTIF($A$2:$A$102,F9))</f>
        <v>0.5207100592</v>
      </c>
      <c r="N11" s="65" t="s">
        <v>151</v>
      </c>
    </row>
    <row r="12" ht="15.75" customHeight="1">
      <c r="A12" s="4" t="str">
        <f>CombinedHumanGrading!A12</f>
        <v>Region</v>
      </c>
      <c r="B12" s="5" t="str">
        <f>CombinedHumanGrading!B12</f>
        <v>Washer</v>
      </c>
      <c r="C12" s="15">
        <f>CombinedHumanGrading!C12</f>
        <v>1</v>
      </c>
      <c r="D12" s="15">
        <f>'Gemini 3.1 Pro Preview Grading'!C12</f>
        <v>0</v>
      </c>
      <c r="E12" s="3"/>
      <c r="F12" s="59">
        <v>1.0</v>
      </c>
      <c r="G12" s="66">
        <f>COUNTIFS($A$2:$A$48,$F$9,$C$2:$C$48,$F12,$D$2:$D$48,G$9)+MAX(C49-D49,0)</f>
        <v>0</v>
      </c>
      <c r="H12" s="67">
        <f>COUNTIFS($A$2:$A$92,$F$9,$C$2:$C$92,$F12,$D$2:$D$92,H$9)</f>
        <v>1</v>
      </c>
      <c r="I12" s="68">
        <f>COUNTIFS($A$2:$A$48,$F$9,$C$2:$C$48,$F12,$D$2:$D$48,I$9)+MIN(C49-D49)</f>
        <v>8</v>
      </c>
      <c r="J12" s="12">
        <f t="shared" si="6"/>
        <v>9</v>
      </c>
      <c r="K12" s="12"/>
      <c r="L12" s="63" t="s">
        <v>139</v>
      </c>
      <c r="M12" s="66">
        <f>(M10-M11)/(1-M11)</f>
        <v>0.8395061728</v>
      </c>
      <c r="N12" s="68" t="s">
        <v>152</v>
      </c>
    </row>
    <row r="13" ht="15.75" customHeight="1">
      <c r="A13" s="4" t="str">
        <f>CombinedHumanGrading!A13</f>
        <v>State</v>
      </c>
      <c r="B13" s="5" t="str">
        <f>CombinedHumanGrading!B13</f>
        <v>initial state </v>
      </c>
      <c r="C13" s="15">
        <f>CombinedHumanGrading!C13</f>
        <v>1</v>
      </c>
      <c r="D13" s="15">
        <f>'Gemini 3.1 Pro Preview Grading'!C13</f>
        <v>1</v>
      </c>
      <c r="E13" s="3"/>
      <c r="F13" s="69" t="s">
        <v>153</v>
      </c>
      <c r="G13" s="12">
        <f t="shared" ref="G13:I13" si="7">SUM(G10:G12)</f>
        <v>4</v>
      </c>
      <c r="H13" s="12">
        <f t="shared" si="7"/>
        <v>1</v>
      </c>
      <c r="I13" s="12">
        <f t="shared" si="7"/>
        <v>8</v>
      </c>
      <c r="J13" s="12"/>
      <c r="L13" s="12"/>
      <c r="M13" s="70"/>
      <c r="N13" s="3"/>
    </row>
    <row r="14" ht="15.75" customHeight="1">
      <c r="A14" s="4" t="str">
        <f>CombinedHumanGrading!A14</f>
        <v>Transition</v>
      </c>
      <c r="B14" s="5" t="str">
        <f>CombinedHumanGrading!B14</f>
        <v>r =1; dT=20; (initial state ⇒ Idle)</v>
      </c>
      <c r="C14" s="15">
        <f>CombinedHumanGrading!C14</f>
        <v>0.5</v>
      </c>
      <c r="D14" s="15">
        <f>'Gemini 3.1 Pro Preview Grading'!C14</f>
        <v>0</v>
      </c>
      <c r="E14" s="3"/>
      <c r="F14" s="3"/>
      <c r="L14" s="3"/>
      <c r="M14" s="3"/>
      <c r="N14" s="3"/>
    </row>
    <row r="15" ht="15.75" customHeight="1">
      <c r="A15" s="4" t="str">
        <f>CombinedHumanGrading!A15</f>
        <v>State</v>
      </c>
      <c r="B15" s="5" t="str">
        <f>CombinedHumanGrading!B15</f>
        <v>Idle</v>
      </c>
      <c r="C15" s="15">
        <f>CombinedHumanGrading!C15</f>
        <v>1</v>
      </c>
      <c r="D15" s="15">
        <f>'Gemini 3.1 Pro Preview Grading'!C15</f>
        <v>1</v>
      </c>
      <c r="E15" s="3"/>
      <c r="F15" s="51" t="s">
        <v>156</v>
      </c>
      <c r="L15" s="52" t="s">
        <v>157</v>
      </c>
      <c r="M15" s="53"/>
      <c r="N15" s="53"/>
    </row>
    <row r="16" ht="15.75" customHeight="1">
      <c r="A16" s="4" t="str">
        <f>CombinedHumanGrading!A16</f>
        <v>Transition</v>
      </c>
      <c r="B16" s="5" t="str">
        <f>CombinedHumanGrading!B16</f>
        <v>selectProgram(n) (Idle ⇒ Idle)</v>
      </c>
      <c r="C16" s="15">
        <f>CombinedHumanGrading!C16</f>
        <v>0</v>
      </c>
      <c r="D16" s="15">
        <f>'Gemini 3.1 Pro Preview Grading'!C16</f>
        <v>0</v>
      </c>
      <c r="E16" s="3"/>
      <c r="F16" s="12" t="s">
        <v>9</v>
      </c>
      <c r="G16" s="71" t="s">
        <v>141</v>
      </c>
      <c r="H16" s="71" t="s">
        <v>142</v>
      </c>
      <c r="I16" s="71" t="s">
        <v>143</v>
      </c>
      <c r="J16" s="72" t="s">
        <v>144</v>
      </c>
      <c r="K16" s="12"/>
      <c r="L16" s="58" t="s">
        <v>145</v>
      </c>
      <c r="M16" s="58" t="s">
        <v>146</v>
      </c>
      <c r="N16" s="58" t="s">
        <v>147</v>
      </c>
    </row>
    <row r="17" ht="15.75" customHeight="1">
      <c r="A17" s="4" t="str">
        <f>CombinedHumanGrading!A17</f>
        <v>Guard</v>
      </c>
      <c r="B17" s="5" t="str">
        <f>CombinedHumanGrading!B17</f>
        <v>[n ≥ 1]</v>
      </c>
      <c r="C17" s="15">
        <f>CombinedHumanGrading!C17</f>
        <v>0</v>
      </c>
      <c r="D17" s="15">
        <f>'Gemini 3.1 Pro Preview Grading'!C17</f>
        <v>0</v>
      </c>
      <c r="E17" s="3"/>
      <c r="F17" s="59">
        <v>0.0</v>
      </c>
      <c r="G17" s="60">
        <f t="shared" ref="G17:H17" si="8">COUNTIFS($A$2:$A$92,$F$16,$C$2:$C$92,$F17,$D$2:$D$92,G$16)</f>
        <v>5</v>
      </c>
      <c r="H17" s="61">
        <f t="shared" si="8"/>
        <v>1</v>
      </c>
      <c r="I17" s="62">
        <f>COUNTIFS($A$2:$A$48,$F$16,$C$2:$C$48,$F17,$D$2:$D$48,I$16) + MAX(D50-C50,0)</f>
        <v>0</v>
      </c>
      <c r="J17" s="12">
        <f t="shared" ref="J17:J19" si="10">SUM(G17:I17)</f>
        <v>6</v>
      </c>
      <c r="K17" s="12"/>
      <c r="L17" s="63" t="s">
        <v>148</v>
      </c>
      <c r="M17" s="60">
        <f>(G17+H18+I19)/COUNTIF($A$2:$A$102,F16)</f>
        <v>0.8</v>
      </c>
      <c r="N17" s="62" t="s">
        <v>149</v>
      </c>
    </row>
    <row r="18" ht="15.75" customHeight="1">
      <c r="A18" s="4" t="str">
        <f>CombinedHumanGrading!A18</f>
        <v>Action</v>
      </c>
      <c r="B18" s="5" t="str">
        <f>CombinedHumanGrading!B18</f>
        <v>r = n;</v>
      </c>
      <c r="C18" s="15">
        <f>CombinedHumanGrading!C18</f>
        <v>0</v>
      </c>
      <c r="D18" s="15">
        <f>'Gemini 3.1 Pro Preview Grading'!C18</f>
        <v>0</v>
      </c>
      <c r="E18" s="3"/>
      <c r="F18" s="59">
        <v>0.5</v>
      </c>
      <c r="G18" s="64">
        <f t="shared" ref="G18:I18" si="9">COUNTIFS($A$2:$A$92,$F$16,$C$2:$C$92,$F18,$D$2:$D$92,G$16)</f>
        <v>1</v>
      </c>
      <c r="H18" s="12">
        <f t="shared" si="9"/>
        <v>0</v>
      </c>
      <c r="I18" s="65">
        <f t="shared" si="9"/>
        <v>0</v>
      </c>
      <c r="J18" s="12">
        <f t="shared" si="10"/>
        <v>1</v>
      </c>
      <c r="K18" s="12"/>
      <c r="L18" s="63" t="s">
        <v>150</v>
      </c>
      <c r="M18" s="64">
        <f t="array" ref="M18">SUMPRODUCT(J17:J19/COUNTIF($A$2:$A$102,F16), TRANSPOSE(G20:I20)/COUNTIF($A$2:$A$102,F16))</f>
        <v>0.455</v>
      </c>
      <c r="N18" s="65" t="s">
        <v>151</v>
      </c>
    </row>
    <row r="19" ht="15.75" customHeight="1">
      <c r="A19" s="4" t="str">
        <f>CombinedHumanGrading!A19</f>
        <v>Transition</v>
      </c>
      <c r="B19" s="5" t="str">
        <f>CombinedHumanGrading!B19</f>
        <v>toggleDryingTime (Idle ⇒ Idle)</v>
      </c>
      <c r="C19" s="15">
        <f>CombinedHumanGrading!C19</f>
        <v>1</v>
      </c>
      <c r="D19" s="15">
        <f>'Gemini 3.1 Pro Preview Grading'!C19</f>
        <v>1</v>
      </c>
      <c r="E19" s="3"/>
      <c r="F19" s="59">
        <v>1.0</v>
      </c>
      <c r="G19" s="66">
        <f>COUNTIFS($A$2:$A$48,$F$16,$C$2:$C$48,$F19,$D$2:$D$48,G$16)+MAX(C50-D50,0)</f>
        <v>0</v>
      </c>
      <c r="H19" s="67">
        <f>COUNTIFS($A$2:$A$92,$F$16,$C$2:$C$92,$F19,$D$2:$D$92,H$16)</f>
        <v>2</v>
      </c>
      <c r="I19" s="68">
        <f>COUNTIFS($A$2:$A$48,$F$16,$C$2:$C$48,$F19,$D$2:$D$48,I$16) + MIN(C50,D50)</f>
        <v>11</v>
      </c>
      <c r="J19" s="12">
        <f t="shared" si="10"/>
        <v>13</v>
      </c>
      <c r="K19" s="12"/>
      <c r="L19" s="63" t="s">
        <v>139</v>
      </c>
      <c r="M19" s="66">
        <f>(M17-M18)/(1-M18)</f>
        <v>0.6330275229</v>
      </c>
      <c r="N19" s="68" t="s">
        <v>152</v>
      </c>
    </row>
    <row r="20" ht="15.75" customHeight="1">
      <c r="A20" s="4" t="str">
        <f>CombinedHumanGrading!A20</f>
        <v>Action</v>
      </c>
      <c r="B20" s="5" t="str">
        <f>CombinedHumanGrading!B20</f>
        <v>if dT = 20 then dT = 40 else dT = 20;</v>
      </c>
      <c r="C20" s="15">
        <f>CombinedHumanGrading!C20</f>
        <v>1</v>
      </c>
      <c r="D20" s="15">
        <f>'Gemini 3.1 Pro Preview Grading'!C20</f>
        <v>1</v>
      </c>
      <c r="E20" s="3"/>
      <c r="F20" s="69" t="s">
        <v>153</v>
      </c>
      <c r="G20" s="12">
        <f t="shared" ref="G20:I20" si="11">SUM(G17:G19)</f>
        <v>6</v>
      </c>
      <c r="H20" s="12">
        <f t="shared" si="11"/>
        <v>3</v>
      </c>
      <c r="I20" s="12">
        <f t="shared" si="11"/>
        <v>11</v>
      </c>
      <c r="J20" s="12"/>
      <c r="L20" s="12"/>
      <c r="M20" s="70"/>
      <c r="N20" s="3"/>
    </row>
    <row r="21" ht="15.75" customHeight="1">
      <c r="A21" s="4" t="str">
        <f>CombinedHumanGrading!A21</f>
        <v>Transition</v>
      </c>
      <c r="B21" s="5" t="str">
        <f>CombinedHumanGrading!B21</f>
        <v>start (Idle ⇒ Cleaning)</v>
      </c>
      <c r="C21" s="15">
        <f>CombinedHumanGrading!C21</f>
        <v>1</v>
      </c>
      <c r="D21" s="15">
        <f>'Gemini 3.1 Pro Preview Grading'!C21</f>
        <v>1</v>
      </c>
      <c r="E21" s="3"/>
      <c r="F21" s="3"/>
      <c r="L21" s="3"/>
      <c r="M21" s="3"/>
      <c r="N21" s="3"/>
    </row>
    <row r="22" ht="15.75" customHeight="1">
      <c r="A22" s="4" t="str">
        <f>CombinedHumanGrading!A22</f>
        <v>Guard</v>
      </c>
      <c r="B22" s="5" t="str">
        <f>CombinedHumanGrading!B22</f>
        <v>[door.isClosed()]</v>
      </c>
      <c r="C22" s="15">
        <f>CombinedHumanGrading!C22</f>
        <v>1</v>
      </c>
      <c r="D22" s="15">
        <f>'Gemini 3.1 Pro Preview Grading'!C22</f>
        <v>0</v>
      </c>
      <c r="E22" s="3"/>
      <c r="F22" s="51" t="s">
        <v>158</v>
      </c>
      <c r="L22" s="52" t="s">
        <v>159</v>
      </c>
      <c r="M22" s="53"/>
      <c r="N22" s="53"/>
    </row>
    <row r="23" ht="15.75" customHeight="1">
      <c r="A23" s="4" t="str">
        <f>CombinedHumanGrading!A23</f>
        <v>Action</v>
      </c>
      <c r="B23" s="5" t="str">
        <f>CombinedHumanGrading!B23</f>
        <v>door.lock(); c = 1;</v>
      </c>
      <c r="C23" s="15">
        <f>CombinedHumanGrading!C23</f>
        <v>1</v>
      </c>
      <c r="D23" s="15">
        <f>'Gemini 3.1 Pro Preview Grading'!C23</f>
        <v>0.5</v>
      </c>
      <c r="E23" s="3"/>
      <c r="F23" s="12" t="s">
        <v>2</v>
      </c>
      <c r="G23" s="71" t="s">
        <v>141</v>
      </c>
      <c r="H23" s="71" t="s">
        <v>142</v>
      </c>
      <c r="I23" s="71" t="s">
        <v>143</v>
      </c>
      <c r="J23" s="72" t="s">
        <v>144</v>
      </c>
      <c r="K23" s="12"/>
      <c r="L23" s="58" t="s">
        <v>145</v>
      </c>
      <c r="M23" s="58" t="s">
        <v>146</v>
      </c>
      <c r="N23" s="58" t="s">
        <v>147</v>
      </c>
    </row>
    <row r="24" ht="15.75" customHeight="1">
      <c r="A24" s="4" t="str">
        <f>CombinedHumanGrading!A24</f>
        <v>Composite State</v>
      </c>
      <c r="B24" s="5" t="str">
        <f>CombinedHumanGrading!B24</f>
        <v>Cleaning</v>
      </c>
      <c r="C24" s="15">
        <f>CombinedHumanGrading!C24</f>
        <v>1</v>
      </c>
      <c r="D24" s="15">
        <f>'Gemini 3.1 Pro Preview Grading'!C24</f>
        <v>1</v>
      </c>
      <c r="E24" s="3"/>
      <c r="F24" s="59">
        <v>0.0</v>
      </c>
      <c r="G24" s="60">
        <f t="shared" ref="G24:H24" si="12">COUNTIFS($A$2:$A$92,$F$23,$C$2:$C$92,$F24,$D$2:$D$92,G$23)</f>
        <v>1</v>
      </c>
      <c r="H24" s="61">
        <f t="shared" si="12"/>
        <v>0</v>
      </c>
      <c r="I24" s="62">
        <f>COUNTIFS($A$2:$A$48,$F$23,$C$2:$C$48,$F24,$D$2:$D$48,I$23) + MAX(D53-C53,0)</f>
        <v>0</v>
      </c>
      <c r="J24" s="12">
        <f t="shared" ref="J24:J26" si="14">SUM(G24:I24)</f>
        <v>1</v>
      </c>
      <c r="K24" s="12"/>
      <c r="L24" s="63" t="s">
        <v>148</v>
      </c>
      <c r="M24" s="60">
        <f>(G24+H25+I26)/COUNTIF($A$2:$A$102,F23)</f>
        <v>0.6666666667</v>
      </c>
      <c r="N24" s="62" t="s">
        <v>149</v>
      </c>
    </row>
    <row r="25" ht="15.75" customHeight="1">
      <c r="A25" s="4" t="str">
        <f>CombinedHumanGrading!A25</f>
        <v>State</v>
      </c>
      <c r="B25" s="5" t="str">
        <f>CombinedHumanGrading!B25</f>
        <v>initial state (⇒ Intake)</v>
      </c>
      <c r="C25" s="15">
        <f>CombinedHumanGrading!C25</f>
        <v>1</v>
      </c>
      <c r="D25" s="15">
        <f>'Gemini 3.1 Pro Preview Grading'!C25</f>
        <v>1</v>
      </c>
      <c r="E25" s="3"/>
      <c r="F25" s="59">
        <v>0.5</v>
      </c>
      <c r="G25" s="64">
        <f t="shared" ref="G25:I25" si="13">COUNTIFS($A$2:$A$92,$F$23,$C$2:$C$92,$F25,$D$2:$D$92,G$23)</f>
        <v>0</v>
      </c>
      <c r="H25" s="12">
        <f t="shared" si="13"/>
        <v>0</v>
      </c>
      <c r="I25" s="65">
        <f t="shared" si="13"/>
        <v>0</v>
      </c>
      <c r="J25" s="12">
        <f t="shared" si="14"/>
        <v>0</v>
      </c>
      <c r="K25" s="12"/>
      <c r="L25" s="63" t="s">
        <v>150</v>
      </c>
      <c r="M25" s="64">
        <f t="array" ref="M25">SUMPRODUCT(J24:J26/COUNTIF($A$2:$A$102,F23), TRANSPOSE(G27:I27)/COUNTIF($A$2:$A$102,F23))</f>
        <v>0.4444444444</v>
      </c>
      <c r="N25" s="65" t="s">
        <v>151</v>
      </c>
    </row>
    <row r="26" ht="15.75" customHeight="1">
      <c r="A26" s="4" t="str">
        <f>CombinedHumanGrading!A26</f>
        <v>State</v>
      </c>
      <c r="B26" s="5" t="str">
        <f>CombinedHumanGrading!B26</f>
        <v>Intake</v>
      </c>
      <c r="C26" s="15">
        <f>CombinedHumanGrading!C26</f>
        <v>1</v>
      </c>
      <c r="D26" s="15">
        <f>'Gemini 3.1 Pro Preview Grading'!C26</f>
        <v>1</v>
      </c>
      <c r="E26" s="3"/>
      <c r="F26" s="59">
        <v>1.0</v>
      </c>
      <c r="G26" s="66">
        <f>COUNTIFS($A$2:$A$48,$F$23,$C$2:$C$48,$F26,$D$2:$D$48,G$23) + MAX(C53-D53,0)</f>
        <v>1</v>
      </c>
      <c r="H26" s="67">
        <f>COUNTIFS($A$2:$A$92,$F$23,$C$2:$C$92,$F26,$D$2:$D$92,H$23)</f>
        <v>0</v>
      </c>
      <c r="I26" s="68">
        <f>COUNTIFS($A$2:$A$48,$F$23,$C$2:$C$48,$F26,$D$2:$D$48,I$23) + MIN(C53,D53)</f>
        <v>1</v>
      </c>
      <c r="J26" s="12">
        <f t="shared" si="14"/>
        <v>2</v>
      </c>
      <c r="K26" s="12"/>
      <c r="L26" s="63" t="s">
        <v>139</v>
      </c>
      <c r="M26" s="66">
        <f>(M24-M25)/(1-M25)</f>
        <v>0.4</v>
      </c>
      <c r="N26" s="68" t="s">
        <v>152</v>
      </c>
    </row>
    <row r="27" ht="15.75" customHeight="1">
      <c r="A27" s="4" t="str">
        <f>CombinedHumanGrading!A27</f>
        <v>Transition</v>
      </c>
      <c r="B27" s="5" t="str">
        <f>CombinedHumanGrading!B27</f>
        <v>Intake ⇒ Washing</v>
      </c>
      <c r="C27" s="15">
        <f>CombinedHumanGrading!C27</f>
        <v>1</v>
      </c>
      <c r="D27" s="15">
        <f>'Gemini 3.1 Pro Preview Grading'!C27</f>
        <v>1</v>
      </c>
      <c r="E27" s="3"/>
      <c r="F27" s="69" t="s">
        <v>153</v>
      </c>
      <c r="G27" s="12">
        <f t="shared" ref="G27:I27" si="15">SUM(G24:G26)</f>
        <v>2</v>
      </c>
      <c r="H27" s="12">
        <f t="shared" si="15"/>
        <v>0</v>
      </c>
      <c r="I27" s="12">
        <f t="shared" si="15"/>
        <v>1</v>
      </c>
      <c r="J27" s="12"/>
      <c r="L27" s="12"/>
      <c r="M27" s="70"/>
      <c r="N27" s="3"/>
    </row>
    <row r="28" ht="15.75" customHeight="1">
      <c r="A28" s="4" t="str">
        <f>CombinedHumanGrading!A28</f>
        <v>State</v>
      </c>
      <c r="B28" s="5" t="str">
        <f>CombinedHumanGrading!B28</f>
        <v>Washing</v>
      </c>
      <c r="C28" s="15">
        <f>CombinedHumanGrading!C28</f>
        <v>1</v>
      </c>
      <c r="D28" s="15">
        <f>'Gemini 3.1 Pro Preview Grading'!C28</f>
        <v>1</v>
      </c>
      <c r="E28" s="3"/>
      <c r="F28" s="3"/>
      <c r="L28" s="3"/>
      <c r="M28" s="3"/>
      <c r="N28" s="3"/>
    </row>
    <row r="29" ht="15.75" customHeight="1">
      <c r="A29" s="4" t="str">
        <f>CombinedHumanGrading!A29</f>
        <v>Transition</v>
      </c>
      <c r="B29" s="5" t="str">
        <f>CombinedHumanGrading!B29</f>
        <v>after 10 min (Washing ⇒ Drain)</v>
      </c>
      <c r="C29" s="15">
        <f>CombinedHumanGrading!C29</f>
        <v>1</v>
      </c>
      <c r="D29" s="15">
        <f>'Gemini 3.1 Pro Preview Grading'!C29</f>
        <v>1</v>
      </c>
      <c r="E29" s="3"/>
      <c r="F29" s="51" t="s">
        <v>160</v>
      </c>
      <c r="L29" s="52" t="s">
        <v>161</v>
      </c>
      <c r="M29" s="53"/>
      <c r="N29" s="53"/>
    </row>
    <row r="30" ht="15.75" customHeight="1">
      <c r="A30" s="4" t="str">
        <f>CombinedHumanGrading!A30</f>
        <v>State</v>
      </c>
      <c r="B30" s="5" t="str">
        <f>CombinedHumanGrading!B30</f>
        <v>Drain</v>
      </c>
      <c r="C30" s="15">
        <f>CombinedHumanGrading!C30</f>
        <v>1</v>
      </c>
      <c r="D30" s="15">
        <f>'Gemini 3.1 Pro Preview Grading'!C30</f>
        <v>1</v>
      </c>
      <c r="E30" s="3"/>
      <c r="F30" s="12" t="s">
        <v>21</v>
      </c>
      <c r="G30" s="71" t="s">
        <v>141</v>
      </c>
      <c r="H30" s="71" t="s">
        <v>142</v>
      </c>
      <c r="I30" s="71" t="s">
        <v>143</v>
      </c>
      <c r="J30" s="72" t="s">
        <v>144</v>
      </c>
      <c r="K30" s="12"/>
      <c r="L30" s="58" t="s">
        <v>145</v>
      </c>
      <c r="M30" s="58" t="s">
        <v>146</v>
      </c>
      <c r="N30" s="58" t="s">
        <v>147</v>
      </c>
    </row>
    <row r="31" ht="15.75" customHeight="1">
      <c r="A31" s="4" t="str">
        <f>CombinedHumanGrading!A31</f>
        <v>Guard</v>
      </c>
      <c r="B31" s="5" t="str">
        <f>CombinedHumanGrading!B31</f>
        <v>[c &lt; r] </v>
      </c>
      <c r="C31" s="15">
        <f>CombinedHumanGrading!C31</f>
        <v>1</v>
      </c>
      <c r="D31" s="15">
        <f>'Gemini 3.1 Pro Preview Grading'!C31</f>
        <v>1</v>
      </c>
      <c r="E31" s="3"/>
      <c r="F31" s="59">
        <v>0.0</v>
      </c>
      <c r="G31" s="60">
        <f t="shared" ref="G31:H31" si="16">COUNTIFS($A$2:$A$92,$F$30,$C$2:$C$92,$F31,$D$2:$D$92,G$30)</f>
        <v>2</v>
      </c>
      <c r="H31" s="61">
        <f t="shared" si="16"/>
        <v>0</v>
      </c>
      <c r="I31" s="62">
        <f>COUNTIFS($A$2:$A$48,$F$30,$C$2:$C$48,$F31,$D$2:$D$48,I$30) + MAX(D51-C51,0)</f>
        <v>0</v>
      </c>
      <c r="J31" s="12">
        <f t="shared" ref="J31:J33" si="18">SUM(G31:I31)</f>
        <v>2</v>
      </c>
      <c r="K31" s="12"/>
      <c r="L31" s="63" t="s">
        <v>148</v>
      </c>
      <c r="M31" s="60">
        <f>(G31+H32+I33)/COUNTIF($A$2:$A$102,F30)</f>
        <v>0.8</v>
      </c>
      <c r="N31" s="62" t="s">
        <v>149</v>
      </c>
    </row>
    <row r="32" ht="15.75" customHeight="1">
      <c r="A32" s="4" t="str">
        <f>CombinedHumanGrading!A32</f>
        <v>Transition</v>
      </c>
      <c r="B32" s="5" t="str">
        <f>CombinedHumanGrading!B32</f>
        <v>Drain ⇒ Intake</v>
      </c>
      <c r="C32" s="15">
        <f>CombinedHumanGrading!C32</f>
        <v>1</v>
      </c>
      <c r="D32" s="15">
        <f>'Gemini 3.1 Pro Preview Grading'!C32</f>
        <v>1</v>
      </c>
      <c r="E32" s="3"/>
      <c r="F32" s="59">
        <v>0.5</v>
      </c>
      <c r="G32" s="64">
        <f t="shared" ref="G32:I32" si="17">COUNTIFS($A$2:$A$92,$F$30,$C$2:$C$92,$F32,$D$2:$D$92,G$30)</f>
        <v>0</v>
      </c>
      <c r="H32" s="12">
        <f t="shared" si="17"/>
        <v>0</v>
      </c>
      <c r="I32" s="65">
        <f t="shared" si="17"/>
        <v>0</v>
      </c>
      <c r="J32" s="12">
        <f t="shared" si="18"/>
        <v>0</v>
      </c>
      <c r="K32" s="12"/>
      <c r="L32" s="63" t="s">
        <v>150</v>
      </c>
      <c r="M32" s="64">
        <f t="array" ref="M32">SUMPRODUCT(J31:J33/COUNTIF($A$2:$A$102,F30), TRANSPOSE(G34:I34)/COUNTIF($A$2:$A$102,F30))</f>
        <v>0.48</v>
      </c>
      <c r="N32" s="65" t="s">
        <v>151</v>
      </c>
    </row>
    <row r="33" ht="15.75" customHeight="1">
      <c r="A33" s="4" t="str">
        <f>CombinedHumanGrading!A33</f>
        <v>Action</v>
      </c>
      <c r="B33" s="5" t="str">
        <f>CombinedHumanGrading!B33</f>
        <v>c++</v>
      </c>
      <c r="C33" s="15">
        <f>CombinedHumanGrading!C33</f>
        <v>0.5</v>
      </c>
      <c r="D33" s="15">
        <f>'Gemini 3.1 Pro Preview Grading'!C33</f>
        <v>1</v>
      </c>
      <c r="E33" s="3"/>
      <c r="F33" s="59">
        <v>1.0</v>
      </c>
      <c r="G33" s="66">
        <f>COUNTIFS($A$2:$A$48,$F$30,$C$2:$C$48,$F33,$D$2:$D$48,G$30) + MAX(C51-D51,0)</f>
        <v>1</v>
      </c>
      <c r="H33" s="67">
        <f>COUNTIFS($A$2:$A$92,$F$30,$C$2:$C$92,$F33,$D$2:$D$92,H$30)</f>
        <v>0</v>
      </c>
      <c r="I33" s="68">
        <f>COUNTIFS($A$2:$A$48,$F$30,$C$2:$C$48,$F33,$D$2:$D$48,I$30) + MIN(C51,D51)</f>
        <v>2</v>
      </c>
      <c r="J33" s="12">
        <f t="shared" si="18"/>
        <v>3</v>
      </c>
      <c r="K33" s="12"/>
      <c r="L33" s="63" t="s">
        <v>139</v>
      </c>
      <c r="M33" s="66">
        <f>(M31-M32)/(1-M32)</f>
        <v>0.6153846154</v>
      </c>
      <c r="N33" s="68" t="s">
        <v>152</v>
      </c>
    </row>
    <row r="34" ht="15.75" customHeight="1">
      <c r="A34" s="4" t="str">
        <f>CombinedHumanGrading!A34</f>
        <v>Transition</v>
      </c>
      <c r="B34" s="5" t="str">
        <f>CombinedHumanGrading!B34</f>
        <v>(Drain ⇒ end state)</v>
      </c>
      <c r="C34" s="15">
        <f>CombinedHumanGrading!C34</f>
        <v>1</v>
      </c>
      <c r="D34" s="15">
        <f>'Gemini 3.1 Pro Preview Grading'!C34</f>
        <v>1</v>
      </c>
      <c r="E34" s="3"/>
      <c r="F34" s="69" t="s">
        <v>153</v>
      </c>
      <c r="G34" s="12">
        <f t="shared" ref="G34:I34" si="19">SUM(G31:G33)</f>
        <v>3</v>
      </c>
      <c r="H34" s="12">
        <f t="shared" si="19"/>
        <v>0</v>
      </c>
      <c r="I34" s="12">
        <f t="shared" si="19"/>
        <v>2</v>
      </c>
      <c r="J34" s="12"/>
      <c r="L34" s="12"/>
      <c r="M34" s="70"/>
      <c r="N34" s="3"/>
    </row>
    <row r="35" ht="15.75" customHeight="1">
      <c r="A35" s="4" t="str">
        <f>CombinedHumanGrading!A35</f>
        <v>Guard</v>
      </c>
      <c r="B35" s="5" t="str">
        <f>CombinedHumanGrading!B35</f>
        <v>[c ≥ r]</v>
      </c>
      <c r="C35" s="15">
        <f>CombinedHumanGrading!C35</f>
        <v>1</v>
      </c>
      <c r="D35" s="15">
        <f>'Gemini 3.1 Pro Preview Grading'!C35</f>
        <v>1</v>
      </c>
      <c r="E35" s="3"/>
      <c r="F35" s="3"/>
      <c r="L35" s="3"/>
      <c r="M35" s="3"/>
      <c r="N35" s="3"/>
    </row>
    <row r="36" ht="15.75" customHeight="1">
      <c r="A36" s="4" t="str">
        <f>CombinedHumanGrading!A36</f>
        <v>History State</v>
      </c>
      <c r="B36" s="5" t="str">
        <f>CombinedHumanGrading!B36</f>
        <v>History State for Cleaning</v>
      </c>
      <c r="C36" s="15">
        <f>CombinedHumanGrading!C36</f>
        <v>0</v>
      </c>
      <c r="D36" s="15">
        <f>'Gemini 3.1 Pro Preview Grading'!C36</f>
        <v>0</v>
      </c>
      <c r="E36" s="3"/>
      <c r="F36" s="51" t="s">
        <v>162</v>
      </c>
      <c r="L36" s="52" t="s">
        <v>163</v>
      </c>
      <c r="M36" s="53"/>
      <c r="N36" s="53"/>
    </row>
    <row r="37" ht="15.75" customHeight="1">
      <c r="A37" s="4" t="str">
        <f>CombinedHumanGrading!A37</f>
        <v>Transition</v>
      </c>
      <c r="B37" s="5" t="str">
        <f>CombinedHumanGrading!B37</f>
        <v>toggleDryingTime (Cleaning ⇒ History State)</v>
      </c>
      <c r="C37" s="15">
        <f>CombinedHumanGrading!C37</f>
        <v>1</v>
      </c>
      <c r="D37" s="15">
        <f>'Gemini 3.1 Pro Preview Grading'!C37</f>
        <v>0.5</v>
      </c>
      <c r="E37" s="3"/>
      <c r="F37" s="12" t="s">
        <v>23</v>
      </c>
      <c r="G37" s="71" t="s">
        <v>141</v>
      </c>
      <c r="H37" s="71" t="s">
        <v>142</v>
      </c>
      <c r="I37" s="71" t="s">
        <v>143</v>
      </c>
      <c r="J37" s="72" t="s">
        <v>144</v>
      </c>
      <c r="K37" s="12"/>
      <c r="L37" s="58" t="s">
        <v>145</v>
      </c>
      <c r="M37" s="58" t="s">
        <v>146</v>
      </c>
      <c r="N37" s="58" t="s">
        <v>147</v>
      </c>
    </row>
    <row r="38" ht="15.75" customHeight="1">
      <c r="A38" s="4" t="str">
        <f>CombinedHumanGrading!A38</f>
        <v>Action</v>
      </c>
      <c r="B38" s="5" t="str">
        <f>CombinedHumanGrading!B38</f>
        <v>if dT = 20 then dT = 40 else dT = 20;</v>
      </c>
      <c r="C38" s="15">
        <f>CombinedHumanGrading!C38</f>
        <v>1</v>
      </c>
      <c r="D38" s="15">
        <f>'Gemini 3.1 Pro Preview Grading'!C38</f>
        <v>1</v>
      </c>
      <c r="E38" s="3"/>
      <c r="F38" s="59">
        <v>0.0</v>
      </c>
      <c r="G38" s="60">
        <f t="shared" ref="G38:H38" si="20">COUNTIFS($A$2:$A$92,$F$37,$C$2:$C$92,$F38,$D$2:$D$92,G$37)</f>
        <v>2</v>
      </c>
      <c r="H38" s="61">
        <f t="shared" si="20"/>
        <v>0</v>
      </c>
      <c r="I38" s="62">
        <f>COUNTIFS($A$2:$A$48,$F$37,$C$2:$C$48,$F38,$D$2:$D$48,I$37)+MAX(D52-C52,0)</f>
        <v>0</v>
      </c>
      <c r="J38" s="12">
        <f t="shared" ref="J38:J40" si="22">SUM(G38:I38)</f>
        <v>2</v>
      </c>
      <c r="K38" s="12"/>
      <c r="L38" s="63" t="s">
        <v>148</v>
      </c>
      <c r="M38" s="60">
        <f>(G38+H39+I40)/COUNTIF($A$2:$A$102,F37)</f>
        <v>0.75</v>
      </c>
      <c r="N38" s="62" t="s">
        <v>149</v>
      </c>
    </row>
    <row r="39" ht="15.75" customHeight="1">
      <c r="A39" s="4" t="str">
        <f>CombinedHumanGrading!A39</f>
        <v>Transition</v>
      </c>
      <c r="B39" s="5" t="str">
        <f>CombinedHumanGrading!B39</f>
        <v>Cleaning ⇒ Drying</v>
      </c>
      <c r="C39" s="15">
        <f>CombinedHumanGrading!C39</f>
        <v>1</v>
      </c>
      <c r="D39" s="15">
        <f>'Gemini 3.1 Pro Preview Grading'!C39</f>
        <v>1</v>
      </c>
      <c r="E39" s="3"/>
      <c r="F39" s="59">
        <v>0.5</v>
      </c>
      <c r="G39" s="64">
        <f t="shared" ref="G39:I39" si="21">COUNTIFS($A$2:$A$92,$F$37,$C$2:$C$92,$F39,$D$2:$D$92,G$37)</f>
        <v>0</v>
      </c>
      <c r="H39" s="12">
        <f t="shared" si="21"/>
        <v>0</v>
      </c>
      <c r="I39" s="65">
        <f t="shared" si="21"/>
        <v>1</v>
      </c>
      <c r="J39" s="12">
        <f t="shared" si="22"/>
        <v>1</v>
      </c>
      <c r="K39" s="12"/>
      <c r="L39" s="63" t="s">
        <v>150</v>
      </c>
      <c r="M39" s="64">
        <f t="array" ref="M39">SUMPRODUCT(J38:J40/COUNTIF($A$2:$A$102,F37), TRANSPOSE(G41:I41)/COUNTIF($A$2:$A$102,F37))</f>
        <v>0.46875</v>
      </c>
      <c r="N39" s="65" t="s">
        <v>151</v>
      </c>
    </row>
    <row r="40" ht="15.75" customHeight="1">
      <c r="A40" s="4" t="str">
        <f>CombinedHumanGrading!A40</f>
        <v>Action</v>
      </c>
      <c r="B40" s="5" t="str">
        <f>CombinedHumanGrading!B40</f>
        <v>door.unlock();</v>
      </c>
      <c r="C40" s="15">
        <f>CombinedHumanGrading!C40</f>
        <v>1</v>
      </c>
      <c r="D40" s="15">
        <f>'Gemini 3.1 Pro Preview Grading'!C40</f>
        <v>1</v>
      </c>
      <c r="E40" s="3"/>
      <c r="F40" s="59">
        <v>1.0</v>
      </c>
      <c r="G40" s="66">
        <f>COUNTIFS($A$2:$A$48,$F$37,$C$2:$C$48,$F40,$D$2:$D$48,G$37)+MAX(C52-D52,0)</f>
        <v>0</v>
      </c>
      <c r="H40" s="67">
        <f>COUNTIFS($A$2:$A$92,$F$37,$C$2:$C$92,$F40,$D$2:$D$92,H$37)</f>
        <v>1</v>
      </c>
      <c r="I40" s="68">
        <f>COUNTIFS($A$2:$A$48,$F$37,$C$2:$C$48,$F40,$D$2:$D$48,I$37) + MIN(C52,D52)</f>
        <v>4</v>
      </c>
      <c r="J40" s="12">
        <f t="shared" si="22"/>
        <v>5</v>
      </c>
      <c r="K40" s="12"/>
      <c r="L40" s="63" t="s">
        <v>139</v>
      </c>
      <c r="M40" s="66">
        <f>(M38-M39)/(1-M39)</f>
        <v>0.5294117647</v>
      </c>
      <c r="N40" s="68" t="s">
        <v>152</v>
      </c>
    </row>
    <row r="41" ht="15.75" customHeight="1">
      <c r="A41" s="4" t="str">
        <f>CombinedHumanGrading!A41</f>
        <v>State</v>
      </c>
      <c r="B41" s="5" t="str">
        <f>CombinedHumanGrading!B41</f>
        <v>Drying</v>
      </c>
      <c r="C41" s="15">
        <f>CombinedHumanGrading!C41</f>
        <v>1</v>
      </c>
      <c r="D41" s="15">
        <f>'Gemini 3.1 Pro Preview Grading'!C41</f>
        <v>1</v>
      </c>
      <c r="E41" s="3"/>
      <c r="F41" s="69" t="s">
        <v>153</v>
      </c>
      <c r="G41" s="12">
        <f t="shared" ref="G41:I41" si="23">SUM(G38:G40)</f>
        <v>2</v>
      </c>
      <c r="H41" s="12">
        <f t="shared" si="23"/>
        <v>1</v>
      </c>
      <c r="I41" s="12">
        <f t="shared" si="23"/>
        <v>5</v>
      </c>
      <c r="J41" s="12"/>
      <c r="L41" s="12"/>
      <c r="M41" s="70"/>
      <c r="N41" s="3"/>
    </row>
    <row r="42" ht="15.75" customHeight="1">
      <c r="A42" s="4" t="str">
        <f>CombinedHumanGrading!A42</f>
        <v>Transition</v>
      </c>
      <c r="B42" s="5" t="str">
        <f>CombinedHumanGrading!B42</f>
        <v>after dT min (Drying ⇒ Idle)</v>
      </c>
      <c r="C42" s="15">
        <f>CombinedHumanGrading!C42</f>
        <v>1</v>
      </c>
      <c r="D42" s="15">
        <f>'Gemini 3.1 Pro Preview Grading'!C42</f>
        <v>0.5</v>
      </c>
      <c r="E42" s="3"/>
      <c r="F42" s="3"/>
      <c r="L42" s="3"/>
      <c r="M42" s="3"/>
      <c r="N42" s="3"/>
    </row>
    <row r="43" ht="15.75" customHeight="1">
      <c r="A43" s="4" t="str">
        <f>CombinedHumanGrading!A43</f>
        <v>Transition</v>
      </c>
      <c r="B43" s="5" t="str">
        <f>CombinedHumanGrading!B43</f>
        <v>extend DryingTime (Drying ⇒ Drying)</v>
      </c>
      <c r="C43" s="15">
        <f>CombinedHumanGrading!C43</f>
        <v>1</v>
      </c>
      <c r="D43" s="15">
        <f>'Gemini 3.1 Pro Preview Grading'!C43</f>
        <v>1</v>
      </c>
      <c r="E43" s="3"/>
      <c r="F43" s="51" t="s">
        <v>164</v>
      </c>
      <c r="L43" s="52" t="s">
        <v>165</v>
      </c>
      <c r="M43" s="53"/>
      <c r="N43" s="53"/>
    </row>
    <row r="44" ht="15.75" customHeight="1">
      <c r="A44" s="4" t="str">
        <f>CombinedHumanGrading!A44</f>
        <v>Action</v>
      </c>
      <c r="B44" s="5" t="str">
        <f>CombinedHumanGrading!B44</f>
        <v>dT = 40;</v>
      </c>
      <c r="C44" s="15">
        <f>CombinedHumanGrading!C44</f>
        <v>1</v>
      </c>
      <c r="D44" s="15">
        <f>'Gemini 3.1 Pro Preview Grading'!C44</f>
        <v>1</v>
      </c>
      <c r="E44" s="3"/>
      <c r="F44" s="12" t="s">
        <v>42</v>
      </c>
      <c r="G44" s="71" t="s">
        <v>141</v>
      </c>
      <c r="H44" s="71" t="s">
        <v>142</v>
      </c>
      <c r="I44" s="71" t="s">
        <v>143</v>
      </c>
      <c r="J44" s="72" t="s">
        <v>144</v>
      </c>
      <c r="K44" s="12"/>
      <c r="L44" s="58" t="s">
        <v>145</v>
      </c>
      <c r="M44" s="58" t="s">
        <v>146</v>
      </c>
      <c r="N44" s="58" t="s">
        <v>147</v>
      </c>
    </row>
    <row r="45" ht="15.75" customHeight="1">
      <c r="A45" s="4" t="str">
        <f>CombinedHumanGrading!A45</f>
        <v>Transition</v>
      </c>
      <c r="B45" s="5" t="str">
        <f>CombinedHumanGrading!B45</f>
        <v>open (Drying ⇒ Suspended)</v>
      </c>
      <c r="C45" s="15">
        <f>CombinedHumanGrading!C45</f>
        <v>1</v>
      </c>
      <c r="D45" s="15">
        <f>'Gemini 3.1 Pro Preview Grading'!C45</f>
        <v>1</v>
      </c>
      <c r="E45" s="3"/>
      <c r="F45" s="59">
        <v>0.0</v>
      </c>
      <c r="G45" s="60">
        <f t="shared" ref="G45:H45" si="24">COUNTIFS($A$2:$A$92,$F$44,$C$2:$C$92,$F45,$D$2:$D$92,G$44)</f>
        <v>2</v>
      </c>
      <c r="H45" s="61">
        <f t="shared" si="24"/>
        <v>0</v>
      </c>
      <c r="I45" s="62">
        <f>COUNTIFS($A$2:$A$48,$F$44,$C$2:$C$48,$F45,$D$2:$D$48,I$44) + MAX(D55-C55,0)</f>
        <v>0</v>
      </c>
      <c r="J45" s="12">
        <f t="shared" ref="J45:J47" si="26">SUM(G45:I45)</f>
        <v>2</v>
      </c>
      <c r="K45" s="12"/>
      <c r="L45" s="63" t="s">
        <v>148</v>
      </c>
      <c r="M45" s="60">
        <f>(G45+H46+I47)/COUNTIF($A$2:$A$102,F44)</f>
        <v>1</v>
      </c>
      <c r="N45" s="62" t="s">
        <v>149</v>
      </c>
    </row>
    <row r="46" ht="15.75" customHeight="1">
      <c r="A46" s="4" t="str">
        <f>CombinedHumanGrading!A46</f>
        <v>State</v>
      </c>
      <c r="B46" s="5" t="str">
        <f>CombinedHumanGrading!B46</f>
        <v>Suspended</v>
      </c>
      <c r="C46" s="15">
        <f>CombinedHumanGrading!C46</f>
        <v>1</v>
      </c>
      <c r="D46" s="15">
        <f>'Gemini 3.1 Pro Preview Grading'!C46</f>
        <v>1</v>
      </c>
      <c r="E46" s="3"/>
      <c r="F46" s="59">
        <v>0.5</v>
      </c>
      <c r="G46" s="64">
        <f t="shared" ref="G46:I46" si="25">COUNTIFS($A$2:$A$92,$F$44,$C$2:$C$92,$F46,$D$2:$D$92,G$44)</f>
        <v>0</v>
      </c>
      <c r="H46" s="12">
        <f t="shared" si="25"/>
        <v>0</v>
      </c>
      <c r="I46" s="65">
        <f t="shared" si="25"/>
        <v>0</v>
      </c>
      <c r="J46" s="12">
        <f t="shared" si="26"/>
        <v>0</v>
      </c>
      <c r="K46" s="12"/>
      <c r="L46" s="63" t="s">
        <v>150</v>
      </c>
      <c r="M46" s="64">
        <f t="array" ref="M46">SUMPRODUCT(J45:J47/COUNTIF($A$2:$A$102,F44), TRANSPOSE(G48:I48)/COUNTIF($A$2:$A$102,F44))</f>
        <v>1</v>
      </c>
      <c r="N46" s="65" t="s">
        <v>151</v>
      </c>
    </row>
    <row r="47" ht="15.75" customHeight="1">
      <c r="A47" s="4" t="str">
        <f>CombinedHumanGrading!A47</f>
        <v>Transition</v>
      </c>
      <c r="B47" s="5" t="str">
        <f>CombinedHumanGrading!B47</f>
        <v>close (Suspended ⇒ Drying)</v>
      </c>
      <c r="C47" s="15">
        <f>CombinedHumanGrading!C47</f>
        <v>1</v>
      </c>
      <c r="D47" s="15">
        <f>'Gemini 3.1 Pro Preview Grading'!C47</f>
        <v>1</v>
      </c>
      <c r="E47" s="3"/>
      <c r="F47" s="59">
        <v>1.0</v>
      </c>
      <c r="G47" s="66">
        <f>COUNTIFS($A$2:$A$48,$F$44,$C$2:$C$48,$F47,$D$2:$D$48,G$44) + MAX(C55-D55,0)</f>
        <v>0</v>
      </c>
      <c r="H47" s="67">
        <f>COUNTIFS($A$2:$A$92,$F$44,$C$2:$C$92,$F47,$D$2:$D$92,H$44)</f>
        <v>0</v>
      </c>
      <c r="I47" s="68">
        <f>COUNTIFS($A$2:$A$48,$F$44,$C$2:$C$48,$F47,$D$2:$D$48,I$44) + MIN(C55,D55)</f>
        <v>0</v>
      </c>
      <c r="J47" s="12">
        <f t="shared" si="26"/>
        <v>0</v>
      </c>
      <c r="K47" s="12"/>
      <c r="L47" s="63" t="s">
        <v>139</v>
      </c>
      <c r="M47" s="66" t="str">
        <f>(M45-M46)/(1-M46)</f>
        <v>#DIV/0!</v>
      </c>
      <c r="N47" s="68" t="s">
        <v>152</v>
      </c>
    </row>
    <row r="48" ht="15.75" customHeight="1">
      <c r="A48" s="7" t="str">
        <f>CombinedHumanGrading!A48</f>
        <v>Transition</v>
      </c>
      <c r="B48" s="8" t="str">
        <f>CombinedHumanGrading!B48</f>
        <v>after 5 min (Suspended ⇒ Idle)</v>
      </c>
      <c r="C48" s="15">
        <f>CombinedHumanGrading!C48</f>
        <v>1</v>
      </c>
      <c r="D48" s="15">
        <f>'Gemini 3.1 Pro Preview Grading'!C48</f>
        <v>1</v>
      </c>
      <c r="E48" s="3"/>
      <c r="F48" s="69" t="s">
        <v>153</v>
      </c>
      <c r="G48" s="12">
        <f t="shared" ref="G48:I48" si="27">SUM(G45:G47)</f>
        <v>2</v>
      </c>
      <c r="H48" s="12">
        <f t="shared" si="27"/>
        <v>0</v>
      </c>
      <c r="I48" s="12">
        <f t="shared" si="27"/>
        <v>0</v>
      </c>
      <c r="J48" s="12"/>
      <c r="L48" s="12"/>
      <c r="M48" s="70"/>
      <c r="N48" s="3"/>
    </row>
    <row r="49" ht="15.75" customHeight="1">
      <c r="A49" s="4" t="str">
        <f>CombinedHumanGrading!A49</f>
        <v>State</v>
      </c>
      <c r="B49" s="5" t="str">
        <f>CombinedHumanGrading!B49</f>
        <v>additional elements</v>
      </c>
      <c r="C49" s="73">
        <f>CombinedHumanGrading!C49</f>
        <v>0</v>
      </c>
      <c r="D49" s="73">
        <f>'Gemini 3.1 Pro Preview Grading'!C49</f>
        <v>0</v>
      </c>
      <c r="E49" s="3"/>
      <c r="F49" s="3"/>
      <c r="L49" s="3"/>
      <c r="M49" s="3"/>
      <c r="N49" s="3"/>
    </row>
    <row r="50" ht="15.75" customHeight="1">
      <c r="A50" s="4" t="str">
        <f>CombinedHumanGrading!A50</f>
        <v>Transition</v>
      </c>
      <c r="B50" s="5" t="str">
        <f>CombinedHumanGrading!B50</f>
        <v>additional elements</v>
      </c>
      <c r="C50" s="15">
        <f>CombinedHumanGrading!C50</f>
        <v>0</v>
      </c>
      <c r="D50" s="15">
        <f>'Gemini 3.1 Pro Preview Grading'!C50</f>
        <v>0</v>
      </c>
      <c r="E50" s="3"/>
      <c r="F50" s="51" t="s">
        <v>166</v>
      </c>
      <c r="L50" s="52" t="s">
        <v>167</v>
      </c>
      <c r="M50" s="53"/>
      <c r="N50" s="53"/>
    </row>
    <row r="51" ht="15.75" customHeight="1">
      <c r="A51" s="4" t="str">
        <f>CombinedHumanGrading!A51</f>
        <v>Guard</v>
      </c>
      <c r="B51" s="5" t="str">
        <f>CombinedHumanGrading!B51</f>
        <v>additional elements</v>
      </c>
      <c r="C51" s="15">
        <f>CombinedHumanGrading!C51</f>
        <v>0</v>
      </c>
      <c r="D51" s="15">
        <f>'Gemini 3.1 Pro Preview Grading'!C51</f>
        <v>0</v>
      </c>
      <c r="E51" s="3"/>
      <c r="F51" s="12" t="s">
        <v>4</v>
      </c>
      <c r="G51" s="71" t="s">
        <v>141</v>
      </c>
      <c r="H51" s="71" t="s">
        <v>142</v>
      </c>
      <c r="I51" s="71" t="s">
        <v>143</v>
      </c>
      <c r="J51" s="72" t="s">
        <v>144</v>
      </c>
      <c r="K51" s="12"/>
      <c r="L51" s="58" t="s">
        <v>145</v>
      </c>
      <c r="M51" s="58" t="s">
        <v>146</v>
      </c>
      <c r="N51" s="58" t="s">
        <v>147</v>
      </c>
    </row>
    <row r="52" ht="15.75" customHeight="1">
      <c r="A52" s="4" t="str">
        <f>CombinedHumanGrading!A52</f>
        <v>Action</v>
      </c>
      <c r="B52" s="5" t="str">
        <f>CombinedHumanGrading!B52</f>
        <v>additional elements</v>
      </c>
      <c r="C52" s="15">
        <f>CombinedHumanGrading!C52</f>
        <v>0</v>
      </c>
      <c r="D52" s="15">
        <f>'Gemini 3.1 Pro Preview Grading'!C52</f>
        <v>0</v>
      </c>
      <c r="E52" s="3"/>
      <c r="F52" s="59">
        <v>0.0</v>
      </c>
      <c r="G52" s="60">
        <f t="shared" ref="G52:H52" si="28">COUNTIFS($A$2:$A$92,$F$51,$C$2:$C$92,$F52,$D$2:$D$92,G$51)</f>
        <v>2</v>
      </c>
      <c r="H52" s="61">
        <f t="shared" si="28"/>
        <v>0</v>
      </c>
      <c r="I52" s="62">
        <f>COUNTIFS($A$2:$A$48,$F$51,$C$2:$C$48,$F52,$D$2:$D$48,I$51)+MAX(D54-C54,0)</f>
        <v>0</v>
      </c>
      <c r="J52" s="12">
        <f t="shared" ref="J52:J54" si="30">SUM(G52:I52)</f>
        <v>2</v>
      </c>
      <c r="K52" s="12"/>
      <c r="L52" s="63" t="s">
        <v>148</v>
      </c>
      <c r="M52" s="60">
        <f>(G52+H53+I54)/COUNTIF($A$2:$A$102,F51)</f>
        <v>0.6666666667</v>
      </c>
      <c r="N52" s="62" t="s">
        <v>149</v>
      </c>
    </row>
    <row r="53" ht="15.75" customHeight="1">
      <c r="A53" s="4" t="str">
        <f>CombinedHumanGrading!A53</f>
        <v>Composite State</v>
      </c>
      <c r="B53" s="5" t="str">
        <f>CombinedHumanGrading!B53</f>
        <v>additional elements</v>
      </c>
      <c r="C53" s="15">
        <f>CombinedHumanGrading!C53</f>
        <v>0</v>
      </c>
      <c r="D53" s="15">
        <f>'Gemini 3.1 Pro Preview Grading'!C53</f>
        <v>0</v>
      </c>
      <c r="E53" s="3"/>
      <c r="F53" s="59">
        <v>0.5</v>
      </c>
      <c r="G53" s="64">
        <f t="shared" ref="G53:I53" si="29">COUNTIFS($A$2:$A$92,$F$51,$C$2:$C$92,$F53,$D$2:$D$92,G$51)</f>
        <v>0</v>
      </c>
      <c r="H53" s="12">
        <f t="shared" si="29"/>
        <v>0</v>
      </c>
      <c r="I53" s="65">
        <f t="shared" si="29"/>
        <v>0</v>
      </c>
      <c r="J53" s="12">
        <f t="shared" si="30"/>
        <v>0</v>
      </c>
      <c r="K53" s="12"/>
      <c r="L53" s="63" t="s">
        <v>150</v>
      </c>
      <c r="M53" s="64">
        <f t="array" ref="M53">SUMPRODUCT(J52:J54/COUNTIF($A$2:$A$102,F51), TRANSPOSE(G55:I55)/COUNTIF($A$2:$A$102,F51))</f>
        <v>0.6666666667</v>
      </c>
      <c r="N53" s="65" t="s">
        <v>151</v>
      </c>
    </row>
    <row r="54" ht="15.75" customHeight="1">
      <c r="A54" s="4" t="str">
        <f>CombinedHumanGrading!A54</f>
        <v>Region</v>
      </c>
      <c r="B54" s="5" t="str">
        <f>CombinedHumanGrading!B54</f>
        <v>additional elements</v>
      </c>
      <c r="C54" s="15">
        <f>CombinedHumanGrading!C54</f>
        <v>0</v>
      </c>
      <c r="D54" s="15">
        <f>'Gemini 3.1 Pro Preview Grading'!C54</f>
        <v>0</v>
      </c>
      <c r="E54" s="3"/>
      <c r="F54" s="59">
        <v>1.0</v>
      </c>
      <c r="G54" s="66">
        <f>COUNTIFS($A$2:$A$48,$F$51,$C$2:$C$48,$F54,$D$2:$D$48,G$51) + MAX(C54-D54,0)</f>
        <v>1</v>
      </c>
      <c r="H54" s="67">
        <f>COUNTIFS($A$2:$A$92,$F$51,$C$2:$C$92,$F54,$D$2:$D$92,H$51)</f>
        <v>0</v>
      </c>
      <c r="I54" s="68">
        <f>COUNTIFS($A$2:$A$48,$F$51,$C$2:$C$48,$F54,$D$2:$D$48,I$51)+MIN(C54,D54)</f>
        <v>0</v>
      </c>
      <c r="J54" s="12">
        <f t="shared" si="30"/>
        <v>1</v>
      </c>
      <c r="K54" s="12"/>
      <c r="L54" s="63" t="s">
        <v>139</v>
      </c>
      <c r="M54" s="66">
        <f>(M52-M53)/(1-M53)</f>
        <v>0</v>
      </c>
      <c r="N54" s="68" t="s">
        <v>152</v>
      </c>
    </row>
    <row r="55" ht="15.75" customHeight="1">
      <c r="A55" s="4" t="str">
        <f>CombinedHumanGrading!A55</f>
        <v>History State</v>
      </c>
      <c r="B55" s="5" t="str">
        <f>CombinedHumanGrading!B55</f>
        <v>additional elements</v>
      </c>
      <c r="C55" s="15">
        <f>CombinedHumanGrading!C55</f>
        <v>0</v>
      </c>
      <c r="D55" s="15">
        <f>'Gemini 3.1 Pro Preview Grading'!C55</f>
        <v>0</v>
      </c>
      <c r="E55" s="3"/>
      <c r="F55" s="69" t="s">
        <v>153</v>
      </c>
      <c r="G55" s="12">
        <f t="shared" ref="G55:I55" si="31">SUM(G52:G54)</f>
        <v>3</v>
      </c>
      <c r="H55" s="12">
        <f t="shared" si="31"/>
        <v>0</v>
      </c>
      <c r="I55" s="12">
        <f t="shared" si="31"/>
        <v>0</v>
      </c>
      <c r="J55" s="12"/>
      <c r="L55" s="12"/>
      <c r="M55" s="70"/>
      <c r="N55" s="3"/>
    </row>
    <row r="56" ht="15.75" customHeight="1">
      <c r="A56" s="51"/>
      <c r="B56" s="74"/>
      <c r="C56" s="3"/>
      <c r="D56" s="3"/>
      <c r="E56" s="3"/>
      <c r="F56" s="3"/>
      <c r="L56" s="3"/>
      <c r="M56" s="3"/>
      <c r="N56" s="3"/>
    </row>
    <row r="57" ht="15.75" customHeight="1">
      <c r="A57" s="51"/>
      <c r="B57" s="74"/>
      <c r="C57" s="3"/>
      <c r="D57" s="3"/>
      <c r="E57" s="3"/>
      <c r="F57" s="3"/>
      <c r="L57" s="3"/>
      <c r="M57" s="3"/>
      <c r="N57" s="3"/>
    </row>
    <row r="58" ht="15.75" customHeight="1">
      <c r="A58" s="51"/>
      <c r="B58" s="74"/>
      <c r="C58" s="3"/>
      <c r="D58" s="3"/>
      <c r="E58" s="3"/>
      <c r="F58" s="3"/>
      <c r="L58" s="3"/>
      <c r="M58" s="3"/>
      <c r="N58" s="3"/>
    </row>
    <row r="59" ht="15.75" customHeight="1">
      <c r="A59" s="51"/>
      <c r="B59" s="74"/>
      <c r="C59" s="3"/>
      <c r="D59" s="3"/>
      <c r="E59" s="3"/>
      <c r="F59" s="3"/>
      <c r="L59" s="3"/>
      <c r="M59" s="3"/>
      <c r="N59" s="3"/>
    </row>
    <row r="60" ht="15.75" customHeight="1">
      <c r="A60" s="51"/>
      <c r="B60" s="74"/>
      <c r="C60" s="3"/>
      <c r="D60" s="3"/>
      <c r="E60" s="3"/>
      <c r="F60" s="3"/>
      <c r="L60" s="3"/>
      <c r="M60" s="3"/>
      <c r="N60" s="3"/>
    </row>
    <row r="61" ht="15.75" customHeight="1">
      <c r="A61" s="51"/>
      <c r="B61" s="74"/>
      <c r="C61" s="3"/>
      <c r="D61" s="3"/>
      <c r="E61" s="3"/>
      <c r="F61" s="3"/>
      <c r="L61" s="3"/>
      <c r="M61" s="3"/>
      <c r="N61" s="3"/>
    </row>
    <row r="62" ht="15.75" customHeight="1">
      <c r="A62" s="51"/>
      <c r="B62" s="74"/>
      <c r="C62" s="3"/>
      <c r="D62" s="3"/>
      <c r="E62" s="3"/>
      <c r="F62" s="3"/>
      <c r="L62" s="3"/>
      <c r="M62" s="3"/>
      <c r="N62" s="3"/>
    </row>
    <row r="63" ht="15.75" customHeight="1">
      <c r="A63" s="51"/>
      <c r="B63" s="74"/>
      <c r="C63" s="3"/>
      <c r="D63" s="3"/>
      <c r="E63" s="3"/>
      <c r="F63" s="3"/>
      <c r="L63" s="3"/>
      <c r="M63" s="3"/>
      <c r="N63" s="3"/>
    </row>
    <row r="64" ht="15.75" customHeight="1">
      <c r="A64" s="51"/>
      <c r="B64" s="74"/>
      <c r="C64" s="3"/>
      <c r="D64" s="3"/>
      <c r="E64" s="3"/>
      <c r="F64" s="3"/>
      <c r="L64" s="3"/>
      <c r="M64" s="3"/>
      <c r="N64" s="3"/>
    </row>
    <row r="65" ht="15.75" customHeight="1">
      <c r="A65" s="51"/>
      <c r="B65" s="74"/>
      <c r="C65" s="3"/>
      <c r="D65" s="3"/>
      <c r="E65" s="3"/>
      <c r="F65" s="3"/>
      <c r="L65" s="3"/>
      <c r="M65" s="3"/>
      <c r="N65" s="3"/>
    </row>
    <row r="66" ht="15.75" customHeight="1">
      <c r="A66" s="51"/>
      <c r="B66" s="74"/>
      <c r="C66" s="3"/>
      <c r="D66" s="3"/>
      <c r="E66" s="3"/>
      <c r="F66" s="3"/>
      <c r="L66" s="3"/>
      <c r="M66" s="3"/>
      <c r="N66" s="3"/>
    </row>
    <row r="67" ht="15.75" customHeight="1">
      <c r="A67" s="51"/>
      <c r="B67" s="74"/>
      <c r="C67" s="3"/>
      <c r="D67" s="3"/>
      <c r="E67" s="3"/>
      <c r="F67" s="3"/>
      <c r="L67" s="3"/>
      <c r="M67" s="3"/>
      <c r="N67" s="3"/>
    </row>
    <row r="68" ht="15.75" customHeight="1">
      <c r="A68" s="51"/>
      <c r="B68" s="74"/>
      <c r="C68" s="3"/>
      <c r="D68" s="3"/>
      <c r="E68" s="3"/>
      <c r="F68" s="3"/>
      <c r="L68" s="3"/>
      <c r="M68" s="3"/>
      <c r="N68" s="3"/>
    </row>
    <row r="69" ht="15.75" customHeight="1">
      <c r="A69" s="51"/>
      <c r="B69" s="74"/>
      <c r="C69" s="3"/>
      <c r="D69" s="3"/>
      <c r="E69" s="3"/>
      <c r="F69" s="3"/>
      <c r="L69" s="3"/>
      <c r="M69" s="3"/>
      <c r="N69" s="3"/>
    </row>
    <row r="70" ht="15.75" customHeight="1">
      <c r="A70" s="51"/>
      <c r="B70" s="74"/>
      <c r="C70" s="3"/>
      <c r="D70" s="3"/>
      <c r="E70" s="3"/>
      <c r="F70" s="3"/>
      <c r="L70" s="3"/>
      <c r="M70" s="3"/>
      <c r="N70" s="3"/>
    </row>
    <row r="71" ht="15.75" customHeight="1">
      <c r="A71" s="51"/>
      <c r="B71" s="74"/>
      <c r="C71" s="3"/>
      <c r="D71" s="3"/>
      <c r="E71" s="3"/>
      <c r="F71" s="3"/>
      <c r="L71" s="3"/>
      <c r="M71" s="3"/>
      <c r="N71" s="3"/>
    </row>
    <row r="72" ht="15.75" customHeight="1">
      <c r="A72" s="51"/>
      <c r="B72" s="74"/>
      <c r="C72" s="3"/>
      <c r="D72" s="3"/>
      <c r="E72" s="3"/>
      <c r="F72" s="3"/>
      <c r="L72" s="3"/>
      <c r="M72" s="3"/>
      <c r="N72" s="3"/>
    </row>
    <row r="73" ht="15.75" customHeight="1">
      <c r="A73" s="51"/>
      <c r="B73" s="74"/>
      <c r="C73" s="3"/>
      <c r="D73" s="3"/>
      <c r="E73" s="3"/>
      <c r="F73" s="3"/>
      <c r="L73" s="3"/>
      <c r="M73" s="3"/>
      <c r="N73" s="3"/>
    </row>
    <row r="74" ht="15.75" customHeight="1">
      <c r="A74" s="51"/>
      <c r="B74" s="74"/>
      <c r="C74" s="3"/>
      <c r="D74" s="3"/>
      <c r="E74" s="3"/>
      <c r="F74" s="3"/>
      <c r="L74" s="3"/>
      <c r="M74" s="3"/>
      <c r="N74" s="3"/>
    </row>
    <row r="75" ht="15.75" customHeight="1">
      <c r="A75" s="51"/>
      <c r="B75" s="74"/>
      <c r="C75" s="3"/>
      <c r="D75" s="3"/>
      <c r="E75" s="3"/>
      <c r="F75" s="3"/>
      <c r="L75" s="3"/>
      <c r="M75" s="3"/>
      <c r="N75" s="3"/>
    </row>
    <row r="76" ht="15.75" customHeight="1">
      <c r="A76" s="51"/>
      <c r="B76" s="74"/>
      <c r="C76" s="3"/>
      <c r="D76" s="3"/>
      <c r="E76" s="3"/>
      <c r="F76" s="3"/>
      <c r="L76" s="3"/>
      <c r="M76" s="3"/>
      <c r="N76" s="3"/>
    </row>
    <row r="77" ht="15.75" customHeight="1">
      <c r="A77" s="51"/>
      <c r="B77" s="74"/>
      <c r="C77" s="3"/>
      <c r="D77" s="3"/>
      <c r="E77" s="3"/>
      <c r="F77" s="3"/>
      <c r="L77" s="3"/>
      <c r="M77" s="3"/>
      <c r="N77" s="3"/>
    </row>
    <row r="78" ht="15.75" customHeight="1">
      <c r="A78" s="51"/>
      <c r="B78" s="74"/>
      <c r="C78" s="3"/>
      <c r="D78" s="3"/>
      <c r="E78" s="3"/>
      <c r="F78" s="3"/>
      <c r="L78" s="3"/>
      <c r="M78" s="3"/>
      <c r="N78" s="3"/>
    </row>
    <row r="79" ht="15.75" customHeight="1">
      <c r="A79" s="51"/>
      <c r="B79" s="74"/>
      <c r="C79" s="3"/>
      <c r="D79" s="3"/>
      <c r="E79" s="3"/>
      <c r="F79" s="3"/>
      <c r="L79" s="3"/>
      <c r="M79" s="3"/>
      <c r="N79" s="3"/>
    </row>
    <row r="80" ht="15.75" customHeight="1">
      <c r="A80" s="51"/>
      <c r="B80" s="74"/>
      <c r="C80" s="3"/>
      <c r="D80" s="3"/>
      <c r="E80" s="3"/>
      <c r="F80" s="3"/>
      <c r="L80" s="3"/>
      <c r="M80" s="3"/>
      <c r="N80" s="3"/>
    </row>
    <row r="81" ht="15.75" customHeight="1">
      <c r="A81" s="3"/>
      <c r="B81" s="74"/>
      <c r="C81" s="3"/>
      <c r="D81" s="3"/>
      <c r="E81" s="3"/>
      <c r="F81" s="3"/>
      <c r="L81" s="3"/>
      <c r="M81" s="3"/>
      <c r="N81" s="3"/>
    </row>
    <row r="82" ht="15.75" customHeight="1">
      <c r="A82" s="3"/>
      <c r="B82" s="74"/>
      <c r="C82" s="3"/>
      <c r="D82" s="3"/>
      <c r="E82" s="3"/>
      <c r="F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L1000" s="3"/>
      <c r="M1000" s="3"/>
      <c r="N1000" s="3"/>
    </row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</cols>
  <sheetData>
    <row r="1" ht="15.75" customHeight="1">
      <c r="A1" s="1" t="s">
        <v>0</v>
      </c>
      <c r="B1" s="2" t="s">
        <v>1</v>
      </c>
      <c r="C1" s="50" t="s">
        <v>137</v>
      </c>
      <c r="D1" s="50" t="s">
        <v>133</v>
      </c>
      <c r="E1" s="3"/>
      <c r="F1" s="51" t="s">
        <v>138</v>
      </c>
      <c r="L1" s="51" t="s">
        <v>168</v>
      </c>
      <c r="P1" s="3"/>
      <c r="Q1" s="3"/>
      <c r="V1" s="3"/>
      <c r="W1" s="3"/>
      <c r="X1" s="3"/>
    </row>
    <row r="2" ht="15.75" customHeight="1">
      <c r="A2" s="4" t="str">
        <f>CombinedHumanGrading!A2</f>
        <v>Composite State</v>
      </c>
      <c r="B2" s="5" t="str">
        <f>CombinedHumanGrading!B2</f>
        <v>DishwasherOn</v>
      </c>
      <c r="C2" s="15">
        <f>CombinedHumanGrading!C2</f>
        <v>1</v>
      </c>
      <c r="D2" s="15">
        <f>'Gemini 3.1 Pro Preview Grading'!C2</f>
        <v>0</v>
      </c>
      <c r="E2" s="3"/>
      <c r="F2" s="12" t="s">
        <v>140</v>
      </c>
      <c r="G2" s="54" t="s">
        <v>141</v>
      </c>
      <c r="H2" s="55" t="s">
        <v>142</v>
      </c>
      <c r="I2" s="56" t="s">
        <v>143</v>
      </c>
      <c r="J2" s="72" t="s">
        <v>144</v>
      </c>
      <c r="K2" s="12"/>
      <c r="L2" s="12" t="s">
        <v>140</v>
      </c>
      <c r="M2" s="71" t="s">
        <v>141</v>
      </c>
      <c r="N2" s="71" t="s">
        <v>142</v>
      </c>
      <c r="O2" s="71" t="s">
        <v>143</v>
      </c>
      <c r="P2" s="12"/>
      <c r="Q2" s="12" t="s">
        <v>140</v>
      </c>
      <c r="R2" s="71" t="s">
        <v>141</v>
      </c>
      <c r="S2" s="71" t="s">
        <v>142</v>
      </c>
      <c r="T2" s="71" t="s">
        <v>143</v>
      </c>
      <c r="V2" s="58" t="str">
        <f>"Metrics" &amp; " " &amp; F2
</f>
        <v>Metrics Global</v>
      </c>
      <c r="W2" s="58" t="s">
        <v>146</v>
      </c>
      <c r="X2" s="58" t="s">
        <v>147</v>
      </c>
    </row>
    <row r="3" ht="15.75" customHeight="1">
      <c r="A3" s="4" t="str">
        <f>CombinedHumanGrading!A3</f>
        <v>Region</v>
      </c>
      <c r="B3" s="5" t="str">
        <f>CombinedHumanGrading!B3</f>
        <v>Door</v>
      </c>
      <c r="C3" s="15">
        <f>CombinedHumanGrading!C3</f>
        <v>0</v>
      </c>
      <c r="D3" s="15">
        <f>'Gemini 3.1 Pro Preview Grading'!C3</f>
        <v>0</v>
      </c>
      <c r="E3" s="3"/>
      <c r="F3" s="59">
        <v>0.0</v>
      </c>
      <c r="G3" s="60">
        <f>COUNTIFS($C$2:$C$92, $F3, $D$2:$D$92, G$2)</f>
        <v>18</v>
      </c>
      <c r="H3" s="61">
        <f>COUNTIFS($C$2:$C$48, $F3, $D$2:$D$48, H$2)</f>
        <v>1</v>
      </c>
      <c r="I3" s="62">
        <f>COUNTIFS($C$2:$C$48, $F3, $D$2:$D$48, I$2)+MAX(D49-C49,0)+MAX(D50-C50,0)+MAX(D51-C51,0)+MAX(D52-C52,0)+MAX(D53-C53,0)+MAX(D54-C54,0)+MAX(D55-C55,0)</f>
        <v>0</v>
      </c>
      <c r="J3" s="12">
        <f t="shared" ref="J3:J5" si="4">SUM(G3:I3)</f>
        <v>19</v>
      </c>
      <c r="K3" s="12"/>
      <c r="L3" s="59">
        <v>0.0</v>
      </c>
      <c r="M3" s="60">
        <f t="shared" ref="M3:O3" si="1">ABS(G$2-$F3)/1</f>
        <v>0</v>
      </c>
      <c r="N3" s="61">
        <f t="shared" si="1"/>
        <v>0.5</v>
      </c>
      <c r="O3" s="62">
        <f t="shared" si="1"/>
        <v>1</v>
      </c>
      <c r="P3" s="12"/>
      <c r="Q3" s="59">
        <v>0.0</v>
      </c>
      <c r="R3" s="60">
        <f t="shared" ref="R3:T3" si="2">($J3/$J$6) * (G$6/$J$6)</f>
        <v>0.1433470508</v>
      </c>
      <c r="S3" s="61">
        <f t="shared" si="2"/>
        <v>0.03257887517</v>
      </c>
      <c r="T3" s="62">
        <f t="shared" si="2"/>
        <v>0.1759259259</v>
      </c>
      <c r="U3" s="12"/>
      <c r="V3" s="63" t="s">
        <v>169</v>
      </c>
      <c r="W3" s="60">
        <f>SUMPRODUCT(G3:I5, M3:O5) /$J$6</f>
        <v>0.1203703704</v>
      </c>
      <c r="X3" s="62" t="s">
        <v>170</v>
      </c>
    </row>
    <row r="4" ht="15.75" customHeight="1">
      <c r="A4" s="4" t="str">
        <f>CombinedHumanGrading!A4</f>
        <v>State</v>
      </c>
      <c r="B4" s="5" t="str">
        <f>CombinedHumanGrading!B4</f>
        <v>initial state (⇒ Closed)</v>
      </c>
      <c r="C4" s="15">
        <f>CombinedHumanGrading!C4</f>
        <v>0</v>
      </c>
      <c r="D4" s="15">
        <f>'Gemini 3.1 Pro Preview Grading'!C4</f>
        <v>0</v>
      </c>
      <c r="E4" s="3"/>
      <c r="F4" s="59">
        <v>0.5</v>
      </c>
      <c r="G4" s="64">
        <f t="shared" ref="G4:I4" si="3">COUNTIFS($C$2:$C$48, $F4, $D$2:$D$48, G$2)</f>
        <v>1</v>
      </c>
      <c r="H4" s="12">
        <f t="shared" si="3"/>
        <v>0</v>
      </c>
      <c r="I4" s="65">
        <f t="shared" si="3"/>
        <v>1</v>
      </c>
      <c r="J4" s="12">
        <f t="shared" si="4"/>
        <v>2</v>
      </c>
      <c r="K4" s="12"/>
      <c r="L4" s="59">
        <v>0.5</v>
      </c>
      <c r="M4" s="64">
        <f t="shared" ref="M4:M5" si="6">ABS(G$2-$F4)/1</f>
        <v>0.5</v>
      </c>
      <c r="N4" s="12">
        <f>ABS(H$2-$F4)/3</f>
        <v>0</v>
      </c>
      <c r="O4" s="65">
        <f>ABS(I$2-$F4)/1</f>
        <v>0.5</v>
      </c>
      <c r="P4" s="12"/>
      <c r="Q4" s="59">
        <v>0.5</v>
      </c>
      <c r="R4" s="64">
        <f t="shared" ref="R4:T4" si="5">($J4/$J$6) * (G$6/$J$6)</f>
        <v>0.01508916324</v>
      </c>
      <c r="S4" s="12">
        <f t="shared" si="5"/>
        <v>0.003429355281</v>
      </c>
      <c r="T4" s="65">
        <f t="shared" si="5"/>
        <v>0.01851851852</v>
      </c>
      <c r="U4" s="12"/>
      <c r="V4" s="63" t="s">
        <v>171</v>
      </c>
      <c r="W4" s="64">
        <f>SUMPRODUCT(R3:T5, M3:O5)</f>
        <v>0.4862825789</v>
      </c>
      <c r="X4" s="65" t="s">
        <v>172</v>
      </c>
    </row>
    <row r="5" ht="15.75" customHeight="1">
      <c r="A5" s="4" t="str">
        <f>CombinedHumanGrading!A5</f>
        <v>State</v>
      </c>
      <c r="B5" s="5" t="str">
        <f>CombinedHumanGrading!B5</f>
        <v>Closed</v>
      </c>
      <c r="C5" s="15">
        <f>CombinedHumanGrading!C5</f>
        <v>0</v>
      </c>
      <c r="D5" s="15">
        <f>'Gemini 3.1 Pro Preview Grading'!C5</f>
        <v>0</v>
      </c>
      <c r="E5" s="3"/>
      <c r="F5" s="59">
        <v>1.0</v>
      </c>
      <c r="G5" s="66">
        <f>COUNTIFS($C$2:$C$48, $F5, $D$2:$D$48, G$2)+MAX(C49-D49,0)+MAX(C50-D50,0)+MAX(C51-D51,0)+MAX(C52-D52,0)+MAX(C53-D53,0)+MAX(C54-D54,0)+MAX(C55-D55,0)</f>
        <v>3</v>
      </c>
      <c r="H5" s="67">
        <f>COUNTIFS($C$2:$C$48, $F5, $D$2:$D$48, H$2)</f>
        <v>4</v>
      </c>
      <c r="I5" s="68">
        <f>COUNTIFS($C$2:$C$48, $F5, $D$2:$D$48, I$2)+ SUM(MIN(C49,D49), MIN(C50,D50), MIN(C51,D51), MIN(C52,D52), MIN(C53,D53), MIN(C54,D54), MIN(C55,D55))</f>
        <v>26</v>
      </c>
      <c r="J5" s="12">
        <f t="shared" si="4"/>
        <v>33</v>
      </c>
      <c r="K5" s="12"/>
      <c r="L5" s="59">
        <v>1.0</v>
      </c>
      <c r="M5" s="66">
        <f t="shared" si="6"/>
        <v>1</v>
      </c>
      <c r="N5" s="67">
        <f t="shared" ref="N5:O5" si="7">ABS(H$2-$F5)/1</f>
        <v>0.5</v>
      </c>
      <c r="O5" s="68">
        <f t="shared" si="7"/>
        <v>0</v>
      </c>
      <c r="P5" s="12"/>
      <c r="Q5" s="59">
        <v>1.0</v>
      </c>
      <c r="R5" s="66">
        <f t="shared" ref="R5:T5" si="8">($J5/$J$6) * (G$6/$J$6)</f>
        <v>0.2489711934</v>
      </c>
      <c r="S5" s="67">
        <f t="shared" si="8"/>
        <v>0.05658436214</v>
      </c>
      <c r="T5" s="68">
        <f t="shared" si="8"/>
        <v>0.3055555556</v>
      </c>
      <c r="U5" s="12"/>
      <c r="V5" s="63" t="s">
        <v>139</v>
      </c>
      <c r="W5" s="66">
        <f>1-W3/W4</f>
        <v>0.7524682652</v>
      </c>
      <c r="X5" s="68" t="s">
        <v>173</v>
      </c>
    </row>
    <row r="6" ht="15.75" customHeight="1">
      <c r="A6" s="4" t="str">
        <f>CombinedHumanGrading!A6</f>
        <v>Transition</v>
      </c>
      <c r="B6" s="5" t="str">
        <f>CombinedHumanGrading!B6</f>
        <v>open (Closed ⇒ Open)</v>
      </c>
      <c r="C6" s="15">
        <f>CombinedHumanGrading!C6</f>
        <v>0</v>
      </c>
      <c r="D6" s="15">
        <f>'Gemini 3.1 Pro Preview Grading'!C6</f>
        <v>0</v>
      </c>
      <c r="E6" s="3"/>
      <c r="F6" s="69" t="s">
        <v>153</v>
      </c>
      <c r="G6" s="12">
        <f t="shared" ref="G6:I6" si="9">SUM(G3:G5)</f>
        <v>22</v>
      </c>
      <c r="H6" s="12">
        <f t="shared" si="9"/>
        <v>5</v>
      </c>
      <c r="I6" s="12">
        <f t="shared" si="9"/>
        <v>27</v>
      </c>
      <c r="J6" s="12">
        <f>SUM(G3:I5)</f>
        <v>54</v>
      </c>
      <c r="L6" s="12"/>
      <c r="M6" s="12"/>
      <c r="N6" s="12"/>
      <c r="O6" s="12"/>
      <c r="P6" s="12"/>
      <c r="Q6" s="12"/>
      <c r="R6" s="12"/>
      <c r="S6" s="12"/>
      <c r="T6" s="12"/>
      <c r="V6" s="12"/>
      <c r="W6" s="70"/>
      <c r="X6" s="3"/>
    </row>
    <row r="7" ht="15.75" customHeight="1">
      <c r="A7" s="4" t="str">
        <f>CombinedHumanGrading!A7</f>
        <v>Transition</v>
      </c>
      <c r="B7" s="5" t="str">
        <f>CombinedHumanGrading!B7</f>
        <v>lock (Closed ⇒ Locked)</v>
      </c>
      <c r="C7" s="15">
        <f>CombinedHumanGrading!C7</f>
        <v>0</v>
      </c>
      <c r="D7" s="15">
        <f>'Gemini 3.1 Pro Preview Grading'!C7</f>
        <v>0</v>
      </c>
      <c r="E7" s="3"/>
      <c r="F7" s="3"/>
      <c r="L7" s="12"/>
      <c r="M7" s="12"/>
      <c r="N7" s="12"/>
      <c r="O7" s="3"/>
      <c r="P7" s="3"/>
      <c r="Q7" s="3"/>
      <c r="V7" s="3"/>
      <c r="W7" s="3"/>
      <c r="X7" s="3"/>
    </row>
    <row r="8" ht="15.75" customHeight="1">
      <c r="A8" s="4" t="str">
        <f>CombinedHumanGrading!A8</f>
        <v>State</v>
      </c>
      <c r="B8" s="5" t="str">
        <f>CombinedHumanGrading!B8</f>
        <v>Open</v>
      </c>
      <c r="C8" s="15">
        <f>CombinedHumanGrading!C8</f>
        <v>1</v>
      </c>
      <c r="D8" s="15">
        <f>'Gemini 3.1 Pro Preview Grading'!C8</f>
        <v>0.5</v>
      </c>
      <c r="E8" s="3"/>
      <c r="F8" s="51" t="s">
        <v>154</v>
      </c>
      <c r="N8" s="3"/>
      <c r="O8" s="3"/>
      <c r="P8" s="3"/>
      <c r="Q8" s="3"/>
      <c r="V8" s="3"/>
      <c r="W8" s="3"/>
      <c r="X8" s="3"/>
    </row>
    <row r="9" ht="15.75" customHeight="1">
      <c r="A9" s="4" t="str">
        <f>CombinedHumanGrading!A9</f>
        <v>Transition</v>
      </c>
      <c r="B9" s="5" t="str">
        <f>CombinedHumanGrading!B9</f>
        <v>close (Open ⇒ Closed)</v>
      </c>
      <c r="C9" s="15">
        <f>CombinedHumanGrading!C9</f>
        <v>0</v>
      </c>
      <c r="D9" s="15">
        <f>'Gemini 3.1 Pro Preview Grading'!C9</f>
        <v>0.5</v>
      </c>
      <c r="E9" s="3"/>
      <c r="F9" s="12" t="s">
        <v>6</v>
      </c>
      <c r="G9" s="71" t="s">
        <v>141</v>
      </c>
      <c r="H9" s="71" t="s">
        <v>142</v>
      </c>
      <c r="I9" s="71" t="s">
        <v>143</v>
      </c>
      <c r="J9" s="72" t="s">
        <v>144</v>
      </c>
      <c r="K9" s="12"/>
      <c r="L9" s="12" t="s">
        <v>140</v>
      </c>
      <c r="M9" s="71" t="s">
        <v>141</v>
      </c>
      <c r="N9" s="71" t="s">
        <v>142</v>
      </c>
      <c r="O9" s="71" t="s">
        <v>143</v>
      </c>
      <c r="P9" s="12"/>
      <c r="Q9" s="12" t="s">
        <v>140</v>
      </c>
      <c r="R9" s="71" t="s">
        <v>141</v>
      </c>
      <c r="S9" s="71" t="s">
        <v>142</v>
      </c>
      <c r="T9" s="71" t="s">
        <v>143</v>
      </c>
      <c r="V9" s="58" t="str">
        <f>"Metrics" &amp; " " &amp; F9
</f>
        <v>Metrics State</v>
      </c>
      <c r="W9" s="58" t="s">
        <v>146</v>
      </c>
      <c r="X9" s="58" t="s">
        <v>147</v>
      </c>
    </row>
    <row r="10" ht="15.75" customHeight="1">
      <c r="A10" s="4" t="str">
        <f>CombinedHumanGrading!A10</f>
        <v>State</v>
      </c>
      <c r="B10" s="5" t="str">
        <f>CombinedHumanGrading!B10</f>
        <v>Locked</v>
      </c>
      <c r="C10" s="15">
        <f>CombinedHumanGrading!C10</f>
        <v>0</v>
      </c>
      <c r="D10" s="15">
        <f>'Gemini 3.1 Pro Preview Grading'!C10</f>
        <v>0</v>
      </c>
      <c r="E10" s="3"/>
      <c r="F10" s="59">
        <v>0.0</v>
      </c>
      <c r="G10" s="60">
        <f t="shared" ref="G10:H10" si="10">COUNTIFS($A$2:$A$92,$F$9,$C$2:$C$92,$F10,$D$2:$D$92,G$9)</f>
        <v>4</v>
      </c>
      <c r="H10" s="61">
        <f t="shared" si="10"/>
        <v>0</v>
      </c>
      <c r="I10" s="62">
        <f>COUNTIFS($A$2:$A$48,$F$9,$C$2:$C$48,$F10,$D$2:$D$48,I$9)+MAX(D49-C49,0)</f>
        <v>0</v>
      </c>
      <c r="J10" s="12">
        <f t="shared" ref="J10:J12" si="14">SUM(G10:I10)</f>
        <v>4</v>
      </c>
      <c r="K10" s="12"/>
      <c r="L10" s="59">
        <v>0.0</v>
      </c>
      <c r="M10" s="60">
        <f t="shared" ref="M10:O10" si="11">ABS(G$2-$F10)/1</f>
        <v>0</v>
      </c>
      <c r="N10" s="61">
        <f t="shared" si="11"/>
        <v>0.5</v>
      </c>
      <c r="O10" s="62">
        <f t="shared" si="11"/>
        <v>1</v>
      </c>
      <c r="P10" s="12"/>
      <c r="Q10" s="59">
        <v>0.0</v>
      </c>
      <c r="R10" s="60">
        <f t="shared" ref="R10:T10" si="12">($J10/$J$13) * (G$13/$J$13)</f>
        <v>0.09467455621</v>
      </c>
      <c r="S10" s="61">
        <f t="shared" si="12"/>
        <v>0.02366863905</v>
      </c>
      <c r="T10" s="62">
        <f t="shared" si="12"/>
        <v>0.1893491124</v>
      </c>
      <c r="U10" s="12"/>
      <c r="V10" s="63" t="s">
        <v>169</v>
      </c>
      <c r="W10" s="60">
        <f>SUMPRODUCT(G10:I12, M10:O12) /$J$13</f>
        <v>0.03846153846</v>
      </c>
      <c r="X10" s="62" t="s">
        <v>170</v>
      </c>
    </row>
    <row r="11" ht="15.75" customHeight="1">
      <c r="A11" s="4" t="str">
        <f>CombinedHumanGrading!A11</f>
        <v>Transition</v>
      </c>
      <c r="B11" s="5" t="str">
        <f>CombinedHumanGrading!B11</f>
        <v>unlock (Locked ⇒ Closed)</v>
      </c>
      <c r="C11" s="15">
        <f>CombinedHumanGrading!C11</f>
        <v>0</v>
      </c>
      <c r="D11" s="15">
        <f>'Gemini 3.1 Pro Preview Grading'!C11</f>
        <v>0</v>
      </c>
      <c r="E11" s="3"/>
      <c r="F11" s="59">
        <v>0.5</v>
      </c>
      <c r="G11" s="64">
        <f t="shared" ref="G11:I11" si="13">COUNTIFS($A$2:$A$92,$F$9,$C$2:$C$92,$F11,$D$2:$D$92,G$9)</f>
        <v>0</v>
      </c>
      <c r="H11" s="12">
        <f t="shared" si="13"/>
        <v>0</v>
      </c>
      <c r="I11" s="65">
        <f t="shared" si="13"/>
        <v>0</v>
      </c>
      <c r="J11" s="12">
        <f t="shared" si="14"/>
        <v>0</v>
      </c>
      <c r="K11" s="12"/>
      <c r="L11" s="59">
        <v>0.5</v>
      </c>
      <c r="M11" s="64">
        <f t="shared" ref="M11:M12" si="16">ABS(G$2-$F11)/1</f>
        <v>0.5</v>
      </c>
      <c r="N11" s="12">
        <f>ABS(H$2-$F11)/3</f>
        <v>0</v>
      </c>
      <c r="O11" s="65">
        <f>ABS(I$2-$F11)/1</f>
        <v>0.5</v>
      </c>
      <c r="P11" s="12"/>
      <c r="Q11" s="59">
        <v>0.5</v>
      </c>
      <c r="R11" s="64">
        <f t="shared" ref="R11:T11" si="15">($J11/$J$13) * (G$13/$J$13)</f>
        <v>0</v>
      </c>
      <c r="S11" s="12">
        <f t="shared" si="15"/>
        <v>0</v>
      </c>
      <c r="T11" s="65">
        <f t="shared" si="15"/>
        <v>0</v>
      </c>
      <c r="U11" s="12"/>
      <c r="V11" s="63" t="s">
        <v>171</v>
      </c>
      <c r="W11" s="64">
        <f>SUMPRODUCT(R10:T12, M10:O12)</f>
        <v>0.4408284024</v>
      </c>
      <c r="X11" s="65" t="s">
        <v>172</v>
      </c>
    </row>
    <row r="12" ht="15.75" customHeight="1">
      <c r="A12" s="4" t="str">
        <f>CombinedHumanGrading!A12</f>
        <v>Region</v>
      </c>
      <c r="B12" s="5" t="str">
        <f>CombinedHumanGrading!B12</f>
        <v>Washer</v>
      </c>
      <c r="C12" s="15">
        <f>CombinedHumanGrading!C12</f>
        <v>1</v>
      </c>
      <c r="D12" s="15">
        <f>'Gemini 3.1 Pro Preview Grading'!C12</f>
        <v>0</v>
      </c>
      <c r="E12" s="3"/>
      <c r="F12" s="59">
        <v>1.0</v>
      </c>
      <c r="G12" s="66">
        <f>COUNTIFS($A$2:$A$48,$F$9,$C$2:$C$48,$F12,$D$2:$D$48,G$9)+MAX(C49-D49,0)</f>
        <v>0</v>
      </c>
      <c r="H12" s="67">
        <f>COUNTIFS($A$2:$A$92,$F$9,$C$2:$C$92,$F12,$D$2:$D$92,H$9)</f>
        <v>1</v>
      </c>
      <c r="I12" s="68">
        <f>COUNTIFS($A$2:$A$48,$F$9,$C$2:$C$48,$F12,$D$2:$D$48,I$9)+MIN(C49-D49)</f>
        <v>8</v>
      </c>
      <c r="J12" s="12">
        <f t="shared" si="14"/>
        <v>9</v>
      </c>
      <c r="K12" s="12"/>
      <c r="L12" s="59">
        <v>1.0</v>
      </c>
      <c r="M12" s="66">
        <f t="shared" si="16"/>
        <v>1</v>
      </c>
      <c r="N12" s="67">
        <f t="shared" ref="N12:O12" si="17">ABS(H$2-$F12)/1</f>
        <v>0.5</v>
      </c>
      <c r="O12" s="68">
        <f t="shared" si="17"/>
        <v>0</v>
      </c>
      <c r="P12" s="12"/>
      <c r="Q12" s="59">
        <v>1.0</v>
      </c>
      <c r="R12" s="66">
        <f t="shared" ref="R12:T12" si="18">($J12/$J$13) * (G$13/$J$13)</f>
        <v>0.2130177515</v>
      </c>
      <c r="S12" s="67">
        <f t="shared" si="18"/>
        <v>0.05325443787</v>
      </c>
      <c r="T12" s="68">
        <f t="shared" si="18"/>
        <v>0.426035503</v>
      </c>
      <c r="U12" s="12"/>
      <c r="V12" s="63" t="s">
        <v>139</v>
      </c>
      <c r="W12" s="66">
        <f>1-W10/W11</f>
        <v>0.9127516779</v>
      </c>
      <c r="X12" s="68" t="s">
        <v>173</v>
      </c>
    </row>
    <row r="13" ht="15.75" customHeight="1">
      <c r="A13" s="4" t="str">
        <f>CombinedHumanGrading!A13</f>
        <v>State</v>
      </c>
      <c r="B13" s="5" t="str">
        <f>CombinedHumanGrading!B13</f>
        <v>initial state </v>
      </c>
      <c r="C13" s="15">
        <f>CombinedHumanGrading!C13</f>
        <v>1</v>
      </c>
      <c r="D13" s="15">
        <f>'Gemini 3.1 Pro Preview Grading'!C13</f>
        <v>1</v>
      </c>
      <c r="E13" s="3"/>
      <c r="F13" s="69" t="s">
        <v>153</v>
      </c>
      <c r="G13" s="12">
        <f t="shared" ref="G13:I13" si="19">SUM(G10:G12)</f>
        <v>4</v>
      </c>
      <c r="H13" s="12">
        <f t="shared" si="19"/>
        <v>1</v>
      </c>
      <c r="I13" s="12">
        <f t="shared" si="19"/>
        <v>8</v>
      </c>
      <c r="J13" s="12">
        <f>SUM(G10:I12)</f>
        <v>13</v>
      </c>
      <c r="N13" s="3"/>
      <c r="O13" s="3"/>
      <c r="P13" s="3"/>
      <c r="Q13" s="3"/>
      <c r="V13" s="3"/>
      <c r="W13" s="3"/>
      <c r="X13" s="3"/>
    </row>
    <row r="14" ht="15.75" customHeight="1">
      <c r="A14" s="4" t="str">
        <f>CombinedHumanGrading!A14</f>
        <v>Transition</v>
      </c>
      <c r="B14" s="5" t="str">
        <f>CombinedHumanGrading!B14</f>
        <v>r =1; dT=20; (initial state ⇒ Idle)</v>
      </c>
      <c r="C14" s="15">
        <f>CombinedHumanGrading!C14</f>
        <v>0.5</v>
      </c>
      <c r="D14" s="15">
        <f>'Gemini 3.1 Pro Preview Grading'!C14</f>
        <v>0</v>
      </c>
      <c r="E14" s="3"/>
      <c r="F14" s="3"/>
      <c r="N14" s="3"/>
      <c r="O14" s="3"/>
      <c r="P14" s="3"/>
      <c r="Q14" s="3"/>
      <c r="V14" s="3"/>
      <c r="W14" s="3"/>
      <c r="X14" s="3"/>
    </row>
    <row r="15" ht="15.75" customHeight="1">
      <c r="A15" s="4" t="str">
        <f>CombinedHumanGrading!A15</f>
        <v>State</v>
      </c>
      <c r="B15" s="5" t="str">
        <f>CombinedHumanGrading!B15</f>
        <v>Idle</v>
      </c>
      <c r="C15" s="15">
        <f>CombinedHumanGrading!C15</f>
        <v>1</v>
      </c>
      <c r="D15" s="15">
        <f>'Gemini 3.1 Pro Preview Grading'!C15</f>
        <v>1</v>
      </c>
      <c r="E15" s="3"/>
      <c r="F15" s="51" t="s">
        <v>156</v>
      </c>
      <c r="N15" s="3"/>
      <c r="O15" s="3"/>
      <c r="P15" s="3"/>
      <c r="Q15" s="3"/>
      <c r="V15" s="3"/>
      <c r="W15" s="3"/>
      <c r="X15" s="3"/>
    </row>
    <row r="16" ht="15.75" customHeight="1">
      <c r="A16" s="4" t="str">
        <f>CombinedHumanGrading!A16</f>
        <v>Transition</v>
      </c>
      <c r="B16" s="5" t="str">
        <f>CombinedHumanGrading!B16</f>
        <v>selectProgram(n) (Idle ⇒ Idle)</v>
      </c>
      <c r="C16" s="15">
        <f>CombinedHumanGrading!C16</f>
        <v>0</v>
      </c>
      <c r="D16" s="15">
        <f>'Gemini 3.1 Pro Preview Grading'!C16</f>
        <v>0</v>
      </c>
      <c r="E16" s="3"/>
      <c r="F16" s="12" t="s">
        <v>9</v>
      </c>
      <c r="G16" s="71" t="s">
        <v>141</v>
      </c>
      <c r="H16" s="71" t="s">
        <v>142</v>
      </c>
      <c r="I16" s="71" t="s">
        <v>143</v>
      </c>
      <c r="J16" s="72" t="s">
        <v>144</v>
      </c>
      <c r="K16" s="12"/>
      <c r="L16" s="12" t="s">
        <v>140</v>
      </c>
      <c r="M16" s="71" t="s">
        <v>141</v>
      </c>
      <c r="N16" s="71" t="s">
        <v>142</v>
      </c>
      <c r="O16" s="71" t="s">
        <v>143</v>
      </c>
      <c r="P16" s="12"/>
      <c r="Q16" s="12" t="s">
        <v>140</v>
      </c>
      <c r="R16" s="71" t="s">
        <v>141</v>
      </c>
      <c r="S16" s="71" t="s">
        <v>142</v>
      </c>
      <c r="T16" s="71" t="s">
        <v>143</v>
      </c>
      <c r="V16" s="58" t="str">
        <f>"Metrics" &amp; " " &amp; F16
</f>
        <v>Metrics Transition</v>
      </c>
      <c r="W16" s="58" t="s">
        <v>146</v>
      </c>
      <c r="X16" s="58" t="s">
        <v>147</v>
      </c>
    </row>
    <row r="17" ht="15.75" customHeight="1">
      <c r="A17" s="4" t="str">
        <f>CombinedHumanGrading!A17</f>
        <v>Guard</v>
      </c>
      <c r="B17" s="5" t="str">
        <f>CombinedHumanGrading!B17</f>
        <v>[n ≥ 1]</v>
      </c>
      <c r="C17" s="15">
        <f>CombinedHumanGrading!C17</f>
        <v>0</v>
      </c>
      <c r="D17" s="15">
        <f>'Gemini 3.1 Pro Preview Grading'!C17</f>
        <v>0</v>
      </c>
      <c r="E17" s="3"/>
      <c r="F17" s="59">
        <v>0.0</v>
      </c>
      <c r="G17" s="60">
        <f t="shared" ref="G17:H17" si="20">COUNTIFS($A$2:$A$92,$F$16,$C$2:$C$92,$F17,$D$2:$D$92,G$16)</f>
        <v>5</v>
      </c>
      <c r="H17" s="61">
        <f t="shared" si="20"/>
        <v>1</v>
      </c>
      <c r="I17" s="62">
        <f>COUNTIFS($A$2:$A$48,$F$16,$C$2:$C$48,$F17,$D$2:$D$48,I$16) + MAX(D50-C50,0)</f>
        <v>0</v>
      </c>
      <c r="J17" s="12">
        <f t="shared" ref="J17:J19" si="24">SUM(G17:I17)</f>
        <v>6</v>
      </c>
      <c r="K17" s="12"/>
      <c r="L17" s="59">
        <v>0.0</v>
      </c>
      <c r="M17" s="60">
        <f t="shared" ref="M17:O17" si="21">ABS(G$2-$F17)/1</f>
        <v>0</v>
      </c>
      <c r="N17" s="61">
        <f t="shared" si="21"/>
        <v>0.5</v>
      </c>
      <c r="O17" s="62">
        <f t="shared" si="21"/>
        <v>1</v>
      </c>
      <c r="P17" s="12"/>
      <c r="Q17" s="59">
        <v>0.0</v>
      </c>
      <c r="R17" s="60">
        <f t="shared" ref="R17:T17" si="22">($J17/$J$20) * (G$20/$J$20)</f>
        <v>0.09</v>
      </c>
      <c r="S17" s="61">
        <f t="shared" si="22"/>
        <v>0.045</v>
      </c>
      <c r="T17" s="62">
        <f t="shared" si="22"/>
        <v>0.165</v>
      </c>
      <c r="U17" s="12"/>
      <c r="V17" s="63" t="s">
        <v>169</v>
      </c>
      <c r="W17" s="60">
        <f>SUMPRODUCT(G17:I19, M17:O19) /$J$20</f>
        <v>0.1</v>
      </c>
      <c r="X17" s="62" t="s">
        <v>170</v>
      </c>
    </row>
    <row r="18" ht="15.75" customHeight="1">
      <c r="A18" s="4" t="str">
        <f>CombinedHumanGrading!A18</f>
        <v>Action</v>
      </c>
      <c r="B18" s="5" t="str">
        <f>CombinedHumanGrading!B18</f>
        <v>r = n;</v>
      </c>
      <c r="C18" s="15">
        <f>CombinedHumanGrading!C18</f>
        <v>0</v>
      </c>
      <c r="D18" s="15">
        <f>'Gemini 3.1 Pro Preview Grading'!C18</f>
        <v>0</v>
      </c>
      <c r="E18" s="3"/>
      <c r="F18" s="59">
        <v>0.5</v>
      </c>
      <c r="G18" s="64">
        <f t="shared" ref="G18:I18" si="23">COUNTIFS($A$2:$A$92,$F$16,$C$2:$C$92,$F18,$D$2:$D$92,G$16)</f>
        <v>1</v>
      </c>
      <c r="H18" s="12">
        <f t="shared" si="23"/>
        <v>0</v>
      </c>
      <c r="I18" s="65">
        <f t="shared" si="23"/>
        <v>0</v>
      </c>
      <c r="J18" s="12">
        <f t="shared" si="24"/>
        <v>1</v>
      </c>
      <c r="K18" s="12"/>
      <c r="L18" s="59">
        <v>0.5</v>
      </c>
      <c r="M18" s="64">
        <f t="shared" ref="M18:M19" si="26">ABS(G$2-$F18)/1</f>
        <v>0.5</v>
      </c>
      <c r="N18" s="12">
        <f>ABS(H$2-$F18)/3</f>
        <v>0</v>
      </c>
      <c r="O18" s="65">
        <f>ABS(I$2-$F18)/1</f>
        <v>0.5</v>
      </c>
      <c r="P18" s="12"/>
      <c r="Q18" s="59">
        <v>0.5</v>
      </c>
      <c r="R18" s="64">
        <f t="shared" ref="R18:T18" si="25">($J18/$J$20) * (G$20/$J$20)</f>
        <v>0.015</v>
      </c>
      <c r="S18" s="12">
        <f t="shared" si="25"/>
        <v>0.0075</v>
      </c>
      <c r="T18" s="65">
        <f t="shared" si="25"/>
        <v>0.0275</v>
      </c>
      <c r="U18" s="12"/>
      <c r="V18" s="63" t="s">
        <v>171</v>
      </c>
      <c r="W18" s="64">
        <f>SUMPRODUCT(R17:T19, M17:O19)</f>
        <v>0.4525</v>
      </c>
      <c r="X18" s="65" t="s">
        <v>172</v>
      </c>
    </row>
    <row r="19" ht="15.75" customHeight="1">
      <c r="A19" s="4" t="str">
        <f>CombinedHumanGrading!A19</f>
        <v>Transition</v>
      </c>
      <c r="B19" s="5" t="str">
        <f>CombinedHumanGrading!B19</f>
        <v>toggleDryingTime (Idle ⇒ Idle)</v>
      </c>
      <c r="C19" s="15">
        <f>CombinedHumanGrading!C19</f>
        <v>1</v>
      </c>
      <c r="D19" s="15">
        <f>'Gemini 3.1 Pro Preview Grading'!C19</f>
        <v>1</v>
      </c>
      <c r="E19" s="3"/>
      <c r="F19" s="59">
        <v>1.0</v>
      </c>
      <c r="G19" s="66">
        <f>COUNTIFS($A$2:$A$48,$F$16,$C$2:$C$48,$F19,$D$2:$D$48,G$16)+MAX(C50-D50,0)</f>
        <v>0</v>
      </c>
      <c r="H19" s="67">
        <f>COUNTIFS($A$2:$A$92,$F$16,$C$2:$C$92,$F19,$D$2:$D$92,H$16)</f>
        <v>2</v>
      </c>
      <c r="I19" s="68">
        <f>COUNTIFS($A$2:$A$48,$F$16,$C$2:$C$48,$F19,$D$2:$D$48,I$16) + MIN(C50,D50)</f>
        <v>11</v>
      </c>
      <c r="J19" s="12">
        <f t="shared" si="24"/>
        <v>13</v>
      </c>
      <c r="K19" s="12"/>
      <c r="L19" s="59">
        <v>1.0</v>
      </c>
      <c r="M19" s="66">
        <f t="shared" si="26"/>
        <v>1</v>
      </c>
      <c r="N19" s="67">
        <f t="shared" ref="N19:O19" si="27">ABS(H$2-$F19)/1</f>
        <v>0.5</v>
      </c>
      <c r="O19" s="68">
        <f t="shared" si="27"/>
        <v>0</v>
      </c>
      <c r="P19" s="12"/>
      <c r="Q19" s="59">
        <v>1.0</v>
      </c>
      <c r="R19" s="66">
        <f t="shared" ref="R19:T19" si="28">($J19/$J$20) * (G$20/$J$20)</f>
        <v>0.195</v>
      </c>
      <c r="S19" s="67">
        <f t="shared" si="28"/>
        <v>0.0975</v>
      </c>
      <c r="T19" s="68">
        <f t="shared" si="28"/>
        <v>0.3575</v>
      </c>
      <c r="U19" s="12"/>
      <c r="V19" s="63" t="s">
        <v>139</v>
      </c>
      <c r="W19" s="66">
        <f>1-W17/W18</f>
        <v>0.7790055249</v>
      </c>
      <c r="X19" s="68" t="s">
        <v>173</v>
      </c>
    </row>
    <row r="20" ht="15.75" customHeight="1">
      <c r="A20" s="4" t="str">
        <f>CombinedHumanGrading!A20</f>
        <v>Action</v>
      </c>
      <c r="B20" s="5" t="str">
        <f>CombinedHumanGrading!B20</f>
        <v>if dT = 20 then dT = 40 else dT = 20;</v>
      </c>
      <c r="C20" s="15">
        <f>CombinedHumanGrading!C20</f>
        <v>1</v>
      </c>
      <c r="D20" s="15">
        <f>'Gemini 3.1 Pro Preview Grading'!C20</f>
        <v>1</v>
      </c>
      <c r="E20" s="3"/>
      <c r="F20" s="69" t="s">
        <v>153</v>
      </c>
      <c r="G20" s="12">
        <f t="shared" ref="G20:I20" si="29">SUM(G17:G19)</f>
        <v>6</v>
      </c>
      <c r="H20" s="12">
        <f t="shared" si="29"/>
        <v>3</v>
      </c>
      <c r="I20" s="12">
        <f t="shared" si="29"/>
        <v>11</v>
      </c>
      <c r="J20" s="12">
        <f>SUM(G17:I19)</f>
        <v>20</v>
      </c>
      <c r="N20" s="3"/>
      <c r="O20" s="3"/>
      <c r="P20" s="3"/>
      <c r="Q20" s="3"/>
      <c r="V20" s="3"/>
      <c r="W20" s="3"/>
      <c r="X20" s="3"/>
    </row>
    <row r="21" ht="15.75" customHeight="1">
      <c r="A21" s="4" t="str">
        <f>CombinedHumanGrading!A21</f>
        <v>Transition</v>
      </c>
      <c r="B21" s="5" t="str">
        <f>CombinedHumanGrading!B21</f>
        <v>start (Idle ⇒ Cleaning)</v>
      </c>
      <c r="C21" s="15">
        <f>CombinedHumanGrading!C21</f>
        <v>1</v>
      </c>
      <c r="D21" s="15">
        <f>'Gemini 3.1 Pro Preview Grading'!C21</f>
        <v>1</v>
      </c>
      <c r="E21" s="3"/>
      <c r="F21" s="3"/>
      <c r="N21" s="3"/>
      <c r="O21" s="3"/>
      <c r="P21" s="3"/>
      <c r="Q21" s="3"/>
      <c r="V21" s="3"/>
      <c r="W21" s="3"/>
      <c r="X21" s="3"/>
    </row>
    <row r="22" ht="15.75" customHeight="1">
      <c r="A22" s="4" t="str">
        <f>CombinedHumanGrading!A22</f>
        <v>Guard</v>
      </c>
      <c r="B22" s="5" t="str">
        <f>CombinedHumanGrading!B22</f>
        <v>[door.isClosed()]</v>
      </c>
      <c r="C22" s="15">
        <f>CombinedHumanGrading!C22</f>
        <v>1</v>
      </c>
      <c r="D22" s="15">
        <f>'Gemini 3.1 Pro Preview Grading'!C22</f>
        <v>0</v>
      </c>
      <c r="E22" s="3"/>
      <c r="F22" s="51" t="s">
        <v>158</v>
      </c>
      <c r="N22" s="3"/>
      <c r="O22" s="3"/>
      <c r="P22" s="3"/>
      <c r="Q22" s="3"/>
      <c r="V22" s="3"/>
      <c r="W22" s="3"/>
      <c r="X22" s="3"/>
    </row>
    <row r="23" ht="15.75" customHeight="1">
      <c r="A23" s="4" t="str">
        <f>CombinedHumanGrading!A23</f>
        <v>Action</v>
      </c>
      <c r="B23" s="5" t="str">
        <f>CombinedHumanGrading!B23</f>
        <v>door.lock(); c = 1;</v>
      </c>
      <c r="C23" s="15">
        <f>CombinedHumanGrading!C23</f>
        <v>1</v>
      </c>
      <c r="D23" s="15">
        <f>'Gemini 3.1 Pro Preview Grading'!C23</f>
        <v>0.5</v>
      </c>
      <c r="E23" s="3"/>
      <c r="F23" s="12" t="s">
        <v>2</v>
      </c>
      <c r="G23" s="71" t="s">
        <v>141</v>
      </c>
      <c r="H23" s="71" t="s">
        <v>142</v>
      </c>
      <c r="I23" s="71" t="s">
        <v>143</v>
      </c>
      <c r="J23" s="72" t="s">
        <v>144</v>
      </c>
      <c r="K23" s="12"/>
      <c r="L23" s="12" t="s">
        <v>140</v>
      </c>
      <c r="M23" s="71" t="s">
        <v>141</v>
      </c>
      <c r="N23" s="71" t="s">
        <v>142</v>
      </c>
      <c r="O23" s="71" t="s">
        <v>143</v>
      </c>
      <c r="P23" s="12"/>
      <c r="Q23" s="12" t="s">
        <v>140</v>
      </c>
      <c r="R23" s="71" t="s">
        <v>141</v>
      </c>
      <c r="S23" s="71" t="s">
        <v>142</v>
      </c>
      <c r="T23" s="71" t="s">
        <v>143</v>
      </c>
      <c r="V23" s="58" t="str">
        <f>"Metrics" &amp; " " &amp; F23
</f>
        <v>Metrics Composite State</v>
      </c>
      <c r="W23" s="58" t="s">
        <v>146</v>
      </c>
      <c r="X23" s="58" t="s">
        <v>147</v>
      </c>
    </row>
    <row r="24" ht="15.75" customHeight="1">
      <c r="A24" s="4" t="str">
        <f>CombinedHumanGrading!A24</f>
        <v>Composite State</v>
      </c>
      <c r="B24" s="5" t="str">
        <f>CombinedHumanGrading!B24</f>
        <v>Cleaning</v>
      </c>
      <c r="C24" s="15">
        <f>CombinedHumanGrading!C24</f>
        <v>1</v>
      </c>
      <c r="D24" s="15">
        <f>'Gemini 3.1 Pro Preview Grading'!C24</f>
        <v>1</v>
      </c>
      <c r="E24" s="3"/>
      <c r="F24" s="59">
        <v>0.0</v>
      </c>
      <c r="G24" s="60">
        <f t="shared" ref="G24:H24" si="30">COUNTIFS($A$2:$A$92,$F$23,$C$2:$C$92,$F24,$D$2:$D$92,G$23)</f>
        <v>1</v>
      </c>
      <c r="H24" s="61">
        <f t="shared" si="30"/>
        <v>0</v>
      </c>
      <c r="I24" s="62">
        <f>COUNTIFS($A$2:$A$48,$F$23,$C$2:$C$48,$F24,$D$2:$D$48,I$23) + MAX(D53-C53,0)</f>
        <v>0</v>
      </c>
      <c r="J24" s="12">
        <f t="shared" ref="J24:J26" si="34">SUM(G24:I24)</f>
        <v>1</v>
      </c>
      <c r="K24" s="12"/>
      <c r="L24" s="59">
        <v>0.0</v>
      </c>
      <c r="M24" s="60">
        <f t="shared" ref="M24:O24" si="31">ABS(G$2-$F24)/1</f>
        <v>0</v>
      </c>
      <c r="N24" s="61">
        <f t="shared" si="31"/>
        <v>0.5</v>
      </c>
      <c r="O24" s="62">
        <f t="shared" si="31"/>
        <v>1</v>
      </c>
      <c r="P24" s="12"/>
      <c r="Q24" s="59">
        <v>0.0</v>
      </c>
      <c r="R24" s="60">
        <f t="shared" ref="R24:T24" si="32">($J24/$J$27) * (G$27/$J$27)</f>
        <v>0.2222222222</v>
      </c>
      <c r="S24" s="61">
        <f t="shared" si="32"/>
        <v>0</v>
      </c>
      <c r="T24" s="62">
        <f t="shared" si="32"/>
        <v>0.1111111111</v>
      </c>
      <c r="U24" s="12"/>
      <c r="V24" s="63" t="s">
        <v>169</v>
      </c>
      <c r="W24" s="60">
        <f>SUMPRODUCT(G24:I26, M24:O26) /$J$27</f>
        <v>0.3333333333</v>
      </c>
      <c r="X24" s="62" t="s">
        <v>170</v>
      </c>
    </row>
    <row r="25" ht="15.75" customHeight="1">
      <c r="A25" s="4" t="str">
        <f>CombinedHumanGrading!A25</f>
        <v>State</v>
      </c>
      <c r="B25" s="5" t="str">
        <f>CombinedHumanGrading!B25</f>
        <v>initial state (⇒ Intake)</v>
      </c>
      <c r="C25" s="15">
        <f>CombinedHumanGrading!C25</f>
        <v>1</v>
      </c>
      <c r="D25" s="15">
        <f>'Gemini 3.1 Pro Preview Grading'!C25</f>
        <v>1</v>
      </c>
      <c r="E25" s="3"/>
      <c r="F25" s="59">
        <v>0.5</v>
      </c>
      <c r="G25" s="64">
        <f t="shared" ref="G25:I25" si="33">COUNTIFS($A$2:$A$92,$F$23,$C$2:$C$92,$F25,$D$2:$D$92,G$23)</f>
        <v>0</v>
      </c>
      <c r="H25" s="12">
        <f t="shared" si="33"/>
        <v>0</v>
      </c>
      <c r="I25" s="65">
        <f t="shared" si="33"/>
        <v>0</v>
      </c>
      <c r="J25" s="12">
        <f t="shared" si="34"/>
        <v>0</v>
      </c>
      <c r="K25" s="12"/>
      <c r="L25" s="59">
        <v>0.5</v>
      </c>
      <c r="M25" s="64">
        <f t="shared" ref="M25:M26" si="36">ABS(G$2-$F25)/1</f>
        <v>0.5</v>
      </c>
      <c r="N25" s="12">
        <f>ABS(H$2-$F25)/3</f>
        <v>0</v>
      </c>
      <c r="O25" s="65">
        <f>ABS(I$2-$F25)/1</f>
        <v>0.5</v>
      </c>
      <c r="P25" s="12"/>
      <c r="Q25" s="59">
        <v>0.5</v>
      </c>
      <c r="R25" s="64">
        <f t="shared" ref="R25:T25" si="35">($J25/$J$27) * (G$27/$J$27)</f>
        <v>0</v>
      </c>
      <c r="S25" s="12">
        <f t="shared" si="35"/>
        <v>0</v>
      </c>
      <c r="T25" s="65">
        <f t="shared" si="35"/>
        <v>0</v>
      </c>
      <c r="U25" s="12"/>
      <c r="V25" s="63" t="s">
        <v>171</v>
      </c>
      <c r="W25" s="64">
        <f>SUMPRODUCT(R24:T26, M24:O26)</f>
        <v>0.5555555556</v>
      </c>
      <c r="X25" s="65" t="s">
        <v>172</v>
      </c>
    </row>
    <row r="26" ht="15.75" customHeight="1">
      <c r="A26" s="4" t="str">
        <f>CombinedHumanGrading!A26</f>
        <v>State</v>
      </c>
      <c r="B26" s="5" t="str">
        <f>CombinedHumanGrading!B26</f>
        <v>Intake</v>
      </c>
      <c r="C26" s="15">
        <f>CombinedHumanGrading!C26</f>
        <v>1</v>
      </c>
      <c r="D26" s="15">
        <f>'Gemini 3.1 Pro Preview Grading'!C26</f>
        <v>1</v>
      </c>
      <c r="E26" s="3"/>
      <c r="F26" s="59">
        <v>1.0</v>
      </c>
      <c r="G26" s="66">
        <f>COUNTIFS($A$2:$A$48,$F$23,$C$2:$C$48,$F26,$D$2:$D$48,G$23) + MAX(C53-D53,0)</f>
        <v>1</v>
      </c>
      <c r="H26" s="67">
        <f>COUNTIFS($A$2:$A$92,$F$23,$C$2:$C$92,$F26,$D$2:$D$92,H$23)</f>
        <v>0</v>
      </c>
      <c r="I26" s="68">
        <f>COUNTIFS($A$2:$A$48,$F$23,$C$2:$C$48,$F26,$D$2:$D$48,I$23) + MIN(C53,D53)</f>
        <v>1</v>
      </c>
      <c r="J26" s="12">
        <f t="shared" si="34"/>
        <v>2</v>
      </c>
      <c r="K26" s="12"/>
      <c r="L26" s="59">
        <v>1.0</v>
      </c>
      <c r="M26" s="66">
        <f t="shared" si="36"/>
        <v>1</v>
      </c>
      <c r="N26" s="67">
        <f t="shared" ref="N26:O26" si="37">ABS(H$2-$F26)/1</f>
        <v>0.5</v>
      </c>
      <c r="O26" s="68">
        <f t="shared" si="37"/>
        <v>0</v>
      </c>
      <c r="P26" s="12"/>
      <c r="Q26" s="59">
        <v>1.0</v>
      </c>
      <c r="R26" s="66">
        <f t="shared" ref="R26:T26" si="38">($J26/$J$27) * (G$27/$J$27)</f>
        <v>0.4444444444</v>
      </c>
      <c r="S26" s="67">
        <f t="shared" si="38"/>
        <v>0</v>
      </c>
      <c r="T26" s="68">
        <f t="shared" si="38"/>
        <v>0.2222222222</v>
      </c>
      <c r="U26" s="12"/>
      <c r="V26" s="63" t="s">
        <v>139</v>
      </c>
      <c r="W26" s="66">
        <f>1-W24/W25</f>
        <v>0.4</v>
      </c>
      <c r="X26" s="68" t="s">
        <v>173</v>
      </c>
    </row>
    <row r="27" ht="15.75" customHeight="1">
      <c r="A27" s="4" t="str">
        <f>CombinedHumanGrading!A27</f>
        <v>Transition</v>
      </c>
      <c r="B27" s="5" t="str">
        <f>CombinedHumanGrading!B27</f>
        <v>Intake ⇒ Washing</v>
      </c>
      <c r="C27" s="15">
        <f>CombinedHumanGrading!C27</f>
        <v>1</v>
      </c>
      <c r="D27" s="15">
        <f>'Gemini 3.1 Pro Preview Grading'!C27</f>
        <v>1</v>
      </c>
      <c r="E27" s="3"/>
      <c r="F27" s="69" t="s">
        <v>153</v>
      </c>
      <c r="G27" s="12">
        <f t="shared" ref="G27:I27" si="39">SUM(G24:G26)</f>
        <v>2</v>
      </c>
      <c r="H27" s="12">
        <f t="shared" si="39"/>
        <v>0</v>
      </c>
      <c r="I27" s="12">
        <f t="shared" si="39"/>
        <v>1</v>
      </c>
      <c r="J27" s="12">
        <f>SUM(G24:I26)</f>
        <v>3</v>
      </c>
      <c r="N27" s="3"/>
      <c r="O27" s="3"/>
      <c r="P27" s="3"/>
      <c r="Q27" s="3"/>
      <c r="V27" s="3"/>
      <c r="W27" s="3"/>
      <c r="X27" s="3"/>
    </row>
    <row r="28" ht="15.75" customHeight="1">
      <c r="A28" s="4" t="str">
        <f>CombinedHumanGrading!A28</f>
        <v>State</v>
      </c>
      <c r="B28" s="5" t="str">
        <f>CombinedHumanGrading!B28</f>
        <v>Washing</v>
      </c>
      <c r="C28" s="15">
        <f>CombinedHumanGrading!C28</f>
        <v>1</v>
      </c>
      <c r="D28" s="15">
        <f>'Gemini 3.1 Pro Preview Grading'!C28</f>
        <v>1</v>
      </c>
      <c r="E28" s="3"/>
      <c r="F28" s="3"/>
      <c r="N28" s="3"/>
      <c r="O28" s="3"/>
      <c r="P28" s="3"/>
      <c r="Q28" s="3"/>
      <c r="V28" s="3"/>
      <c r="W28" s="3"/>
      <c r="X28" s="3"/>
    </row>
    <row r="29" ht="15.75" customHeight="1">
      <c r="A29" s="4" t="str">
        <f>CombinedHumanGrading!A29</f>
        <v>Transition</v>
      </c>
      <c r="B29" s="5" t="str">
        <f>CombinedHumanGrading!B29</f>
        <v>after 10 min (Washing ⇒ Drain)</v>
      </c>
      <c r="C29" s="15">
        <f>CombinedHumanGrading!C29</f>
        <v>1</v>
      </c>
      <c r="D29" s="15">
        <f>'Gemini 3.1 Pro Preview Grading'!C29</f>
        <v>1</v>
      </c>
      <c r="E29" s="3"/>
      <c r="F29" s="51" t="s">
        <v>160</v>
      </c>
      <c r="N29" s="3"/>
      <c r="O29" s="3"/>
      <c r="P29" s="3"/>
      <c r="Q29" s="3"/>
      <c r="V29" s="3"/>
      <c r="W29" s="3"/>
      <c r="X29" s="3"/>
    </row>
    <row r="30" ht="15.75" customHeight="1">
      <c r="A30" s="4" t="str">
        <f>CombinedHumanGrading!A30</f>
        <v>State</v>
      </c>
      <c r="B30" s="5" t="str">
        <f>CombinedHumanGrading!B30</f>
        <v>Drain</v>
      </c>
      <c r="C30" s="15">
        <f>CombinedHumanGrading!C30</f>
        <v>1</v>
      </c>
      <c r="D30" s="15">
        <f>'Gemini 3.1 Pro Preview Grading'!C30</f>
        <v>1</v>
      </c>
      <c r="E30" s="3"/>
      <c r="F30" s="12" t="s">
        <v>21</v>
      </c>
      <c r="G30" s="71" t="s">
        <v>141</v>
      </c>
      <c r="H30" s="71" t="s">
        <v>142</v>
      </c>
      <c r="I30" s="71" t="s">
        <v>143</v>
      </c>
      <c r="J30" s="72" t="s">
        <v>144</v>
      </c>
      <c r="K30" s="12"/>
      <c r="L30" s="12" t="s">
        <v>140</v>
      </c>
      <c r="M30" s="71">
        <v>0.0</v>
      </c>
      <c r="N30" s="71" t="s">
        <v>142</v>
      </c>
      <c r="O30" s="71" t="s">
        <v>143</v>
      </c>
      <c r="P30" s="12"/>
      <c r="Q30" s="12" t="s">
        <v>140</v>
      </c>
      <c r="R30" s="71" t="s">
        <v>141</v>
      </c>
      <c r="S30" s="71" t="s">
        <v>142</v>
      </c>
      <c r="T30" s="71" t="s">
        <v>143</v>
      </c>
      <c r="V30" s="58" t="str">
        <f>"Metrics" &amp; " " &amp; F30
</f>
        <v>Metrics Guard</v>
      </c>
      <c r="W30" s="58" t="s">
        <v>146</v>
      </c>
      <c r="X30" s="58" t="s">
        <v>147</v>
      </c>
    </row>
    <row r="31" ht="15.75" customHeight="1">
      <c r="A31" s="4" t="str">
        <f>CombinedHumanGrading!A31</f>
        <v>Guard</v>
      </c>
      <c r="B31" s="5" t="str">
        <f>CombinedHumanGrading!B31</f>
        <v>[c &lt; r] </v>
      </c>
      <c r="C31" s="15">
        <f>CombinedHumanGrading!C31</f>
        <v>1</v>
      </c>
      <c r="D31" s="15">
        <f>'Gemini 3.1 Pro Preview Grading'!C31</f>
        <v>1</v>
      </c>
      <c r="E31" s="3"/>
      <c r="F31" s="59">
        <v>0.0</v>
      </c>
      <c r="G31" s="60">
        <f t="shared" ref="G31:H31" si="40">COUNTIFS($A$2:$A$92,$F$30,$C$2:$C$92,$F31,$D$2:$D$92,G$30)</f>
        <v>2</v>
      </c>
      <c r="H31" s="61">
        <f t="shared" si="40"/>
        <v>0</v>
      </c>
      <c r="I31" s="62">
        <f>COUNTIFS($A$2:$A$48,$F$30,$C$2:$C$48,$F31,$D$2:$D$48,I$30) + MAX(D51-C51,0)</f>
        <v>0</v>
      </c>
      <c r="J31" s="12">
        <f t="shared" ref="J31:J33" si="44">SUM(G31:I31)</f>
        <v>2</v>
      </c>
      <c r="K31" s="12"/>
      <c r="L31" s="59">
        <v>0.0</v>
      </c>
      <c r="M31" s="60">
        <f t="shared" ref="M31:O31" si="41">ABS(G$2-$F31)/1</f>
        <v>0</v>
      </c>
      <c r="N31" s="61">
        <f t="shared" si="41"/>
        <v>0.5</v>
      </c>
      <c r="O31" s="62">
        <f t="shared" si="41"/>
        <v>1</v>
      </c>
      <c r="P31" s="12"/>
      <c r="Q31" s="59">
        <v>0.0</v>
      </c>
      <c r="R31" s="60">
        <f t="shared" ref="R31:T31" si="42">($J31/$J$34) * (G$34/$J$34)</f>
        <v>0.24</v>
      </c>
      <c r="S31" s="61">
        <f t="shared" si="42"/>
        <v>0</v>
      </c>
      <c r="T31" s="62">
        <f t="shared" si="42"/>
        <v>0.16</v>
      </c>
      <c r="U31" s="12"/>
      <c r="V31" s="63" t="s">
        <v>169</v>
      </c>
      <c r="W31" s="60">
        <f>SUMPRODUCT(G31:I33, M31:O33) /$J$34</f>
        <v>0.2</v>
      </c>
      <c r="X31" s="62" t="s">
        <v>170</v>
      </c>
    </row>
    <row r="32" ht="15.75" customHeight="1">
      <c r="A32" s="4" t="str">
        <f>CombinedHumanGrading!A32</f>
        <v>Transition</v>
      </c>
      <c r="B32" s="5" t="str">
        <f>CombinedHumanGrading!B32</f>
        <v>Drain ⇒ Intake</v>
      </c>
      <c r="C32" s="15">
        <f>CombinedHumanGrading!C32</f>
        <v>1</v>
      </c>
      <c r="D32" s="15">
        <f>'Gemini 3.1 Pro Preview Grading'!C32</f>
        <v>1</v>
      </c>
      <c r="E32" s="3"/>
      <c r="F32" s="59">
        <v>0.5</v>
      </c>
      <c r="G32" s="64">
        <f t="shared" ref="G32:I32" si="43">COUNTIFS($A$2:$A$92,$F$30,$C$2:$C$92,$F32,$D$2:$D$92,G$30)</f>
        <v>0</v>
      </c>
      <c r="H32" s="12">
        <f t="shared" si="43"/>
        <v>0</v>
      </c>
      <c r="I32" s="65">
        <f t="shared" si="43"/>
        <v>0</v>
      </c>
      <c r="J32" s="12">
        <f t="shared" si="44"/>
        <v>0</v>
      </c>
      <c r="K32" s="12"/>
      <c r="L32" s="59">
        <v>0.5</v>
      </c>
      <c r="M32" s="64">
        <f t="shared" ref="M32:M33" si="46">ABS(G$2-$F32)/1</f>
        <v>0.5</v>
      </c>
      <c r="N32" s="12">
        <f>ABS(H$2-$F32)/3</f>
        <v>0</v>
      </c>
      <c r="O32" s="65">
        <f>ABS(I$2-$F32)/1</f>
        <v>0.5</v>
      </c>
      <c r="P32" s="12"/>
      <c r="Q32" s="59">
        <v>0.5</v>
      </c>
      <c r="R32" s="64">
        <f t="shared" ref="R32:T32" si="45">($J32/$J$34) * (G$34/$J$34)</f>
        <v>0</v>
      </c>
      <c r="S32" s="12">
        <f t="shared" si="45"/>
        <v>0</v>
      </c>
      <c r="T32" s="65">
        <f t="shared" si="45"/>
        <v>0</v>
      </c>
      <c r="U32" s="12"/>
      <c r="V32" s="63" t="s">
        <v>171</v>
      </c>
      <c r="W32" s="64">
        <f>SUMPRODUCT(R31:T33, M31:O33)</f>
        <v>0.52</v>
      </c>
      <c r="X32" s="65" t="s">
        <v>172</v>
      </c>
    </row>
    <row r="33" ht="15.75" customHeight="1">
      <c r="A33" s="4" t="str">
        <f>CombinedHumanGrading!A33</f>
        <v>Action</v>
      </c>
      <c r="B33" s="5" t="str">
        <f>CombinedHumanGrading!B33</f>
        <v>c++</v>
      </c>
      <c r="C33" s="15">
        <f>CombinedHumanGrading!C33</f>
        <v>0.5</v>
      </c>
      <c r="D33" s="15">
        <f>'Gemini 3.1 Pro Preview Grading'!C33</f>
        <v>1</v>
      </c>
      <c r="E33" s="3"/>
      <c r="F33" s="59">
        <v>1.0</v>
      </c>
      <c r="G33" s="66">
        <f>COUNTIFS($A$2:$A$48,$F$30,$C$2:$C$48,$F33,$D$2:$D$48,G$30) + MAX(C51-D51,0)</f>
        <v>1</v>
      </c>
      <c r="H33" s="67">
        <f>COUNTIFS($A$2:$A$92,$F$30,$C$2:$C$92,$F33,$D$2:$D$92,H$30)</f>
        <v>0</v>
      </c>
      <c r="I33" s="68">
        <f>COUNTIFS($A$2:$A$48,$F$30,$C$2:$C$48,$F33,$D$2:$D$48,I$30) + MIN(C51,D51)</f>
        <v>2</v>
      </c>
      <c r="J33" s="12">
        <f t="shared" si="44"/>
        <v>3</v>
      </c>
      <c r="K33" s="12"/>
      <c r="L33" s="59">
        <v>1.0</v>
      </c>
      <c r="M33" s="66">
        <f t="shared" si="46"/>
        <v>1</v>
      </c>
      <c r="N33" s="67">
        <f t="shared" ref="N33:O33" si="47">ABS(H$2-$F33)/1</f>
        <v>0.5</v>
      </c>
      <c r="O33" s="68">
        <f t="shared" si="47"/>
        <v>0</v>
      </c>
      <c r="P33" s="12"/>
      <c r="Q33" s="59">
        <v>1.0</v>
      </c>
      <c r="R33" s="66">
        <f t="shared" ref="R33:T33" si="48">($J33/$J$34) * (G$34/$J$34)</f>
        <v>0.36</v>
      </c>
      <c r="S33" s="67">
        <f t="shared" si="48"/>
        <v>0</v>
      </c>
      <c r="T33" s="68">
        <f t="shared" si="48"/>
        <v>0.24</v>
      </c>
      <c r="U33" s="12"/>
      <c r="V33" s="63" t="s">
        <v>139</v>
      </c>
      <c r="W33" s="66">
        <f>1-W31/W32</f>
        <v>0.6153846154</v>
      </c>
      <c r="X33" s="68" t="s">
        <v>173</v>
      </c>
    </row>
    <row r="34" ht="15.75" customHeight="1">
      <c r="A34" s="4" t="str">
        <f>CombinedHumanGrading!A34</f>
        <v>Transition</v>
      </c>
      <c r="B34" s="5" t="str">
        <f>CombinedHumanGrading!B34</f>
        <v>(Drain ⇒ end state)</v>
      </c>
      <c r="C34" s="15">
        <f>CombinedHumanGrading!C34</f>
        <v>1</v>
      </c>
      <c r="D34" s="15">
        <f>'Gemini 3.1 Pro Preview Grading'!C34</f>
        <v>1</v>
      </c>
      <c r="E34" s="3"/>
      <c r="F34" s="69" t="s">
        <v>153</v>
      </c>
      <c r="G34" s="12">
        <f t="shared" ref="G34:I34" si="49">SUM(G31:G33)</f>
        <v>3</v>
      </c>
      <c r="H34" s="12">
        <f t="shared" si="49"/>
        <v>0</v>
      </c>
      <c r="I34" s="12">
        <f t="shared" si="49"/>
        <v>2</v>
      </c>
      <c r="J34" s="12">
        <f>SUM(G31:I33)</f>
        <v>5</v>
      </c>
      <c r="N34" s="3"/>
      <c r="O34" s="3"/>
      <c r="P34" s="3"/>
      <c r="Q34" s="3"/>
      <c r="V34" s="3"/>
      <c r="W34" s="3"/>
      <c r="X34" s="3"/>
    </row>
    <row r="35" ht="15.75" customHeight="1">
      <c r="A35" s="4" t="str">
        <f>CombinedHumanGrading!A35</f>
        <v>Guard</v>
      </c>
      <c r="B35" s="5" t="str">
        <f>CombinedHumanGrading!B35</f>
        <v>[c ≥ r]</v>
      </c>
      <c r="C35" s="15">
        <f>CombinedHumanGrading!C35</f>
        <v>1</v>
      </c>
      <c r="D35" s="15">
        <f>'Gemini 3.1 Pro Preview Grading'!C35</f>
        <v>1</v>
      </c>
      <c r="E35" s="3"/>
      <c r="F35" s="3"/>
      <c r="N35" s="3"/>
      <c r="O35" s="3"/>
      <c r="P35" s="3"/>
      <c r="Q35" s="3"/>
      <c r="V35" s="3"/>
      <c r="W35" s="3"/>
      <c r="X35" s="3"/>
    </row>
    <row r="36" ht="15.75" customHeight="1">
      <c r="A36" s="4" t="str">
        <f>CombinedHumanGrading!A36</f>
        <v>History State</v>
      </c>
      <c r="B36" s="5" t="str">
        <f>CombinedHumanGrading!B36</f>
        <v>History State for Cleaning</v>
      </c>
      <c r="C36" s="15">
        <f>CombinedHumanGrading!C36</f>
        <v>0</v>
      </c>
      <c r="D36" s="15">
        <f>'Gemini 3.1 Pro Preview Grading'!C36</f>
        <v>0</v>
      </c>
      <c r="E36" s="3"/>
      <c r="F36" s="51" t="s">
        <v>162</v>
      </c>
      <c r="N36" s="3"/>
      <c r="O36" s="3"/>
      <c r="P36" s="3"/>
      <c r="Q36" s="3"/>
      <c r="V36" s="3"/>
      <c r="W36" s="3"/>
      <c r="X36" s="3"/>
    </row>
    <row r="37" ht="15.75" customHeight="1">
      <c r="A37" s="4" t="str">
        <f>CombinedHumanGrading!A37</f>
        <v>Transition</v>
      </c>
      <c r="B37" s="5" t="str">
        <f>CombinedHumanGrading!B37</f>
        <v>toggleDryingTime (Cleaning ⇒ History State)</v>
      </c>
      <c r="C37" s="15">
        <f>CombinedHumanGrading!C37</f>
        <v>1</v>
      </c>
      <c r="D37" s="15">
        <f>'Gemini 3.1 Pro Preview Grading'!C37</f>
        <v>0.5</v>
      </c>
      <c r="E37" s="3"/>
      <c r="F37" s="12" t="s">
        <v>23</v>
      </c>
      <c r="G37" s="71" t="s">
        <v>141</v>
      </c>
      <c r="H37" s="71" t="s">
        <v>142</v>
      </c>
      <c r="I37" s="71" t="s">
        <v>143</v>
      </c>
      <c r="J37" s="72" t="s">
        <v>144</v>
      </c>
      <c r="K37" s="12"/>
      <c r="L37" s="12" t="s">
        <v>140</v>
      </c>
      <c r="M37" s="71" t="s">
        <v>141</v>
      </c>
      <c r="N37" s="71" t="s">
        <v>142</v>
      </c>
      <c r="O37" s="71" t="s">
        <v>143</v>
      </c>
      <c r="P37" s="12"/>
      <c r="Q37" s="75" t="s">
        <v>140</v>
      </c>
      <c r="R37" s="76" t="s">
        <v>141</v>
      </c>
      <c r="S37" s="76" t="s">
        <v>142</v>
      </c>
      <c r="T37" s="76" t="s">
        <v>143</v>
      </c>
      <c r="V37" s="58" t="str">
        <f>"Metrics" &amp; " " &amp; F37
</f>
        <v>Metrics Action</v>
      </c>
      <c r="W37" s="58" t="s">
        <v>146</v>
      </c>
      <c r="X37" s="58" t="s">
        <v>147</v>
      </c>
    </row>
    <row r="38" ht="15.75" customHeight="1">
      <c r="A38" s="4" t="str">
        <f>CombinedHumanGrading!A38</f>
        <v>Action</v>
      </c>
      <c r="B38" s="5" t="str">
        <f>CombinedHumanGrading!B38</f>
        <v>if dT = 20 then dT = 40 else dT = 20;</v>
      </c>
      <c r="C38" s="15">
        <f>CombinedHumanGrading!C38</f>
        <v>1</v>
      </c>
      <c r="D38" s="15">
        <f>'Gemini 3.1 Pro Preview Grading'!C38</f>
        <v>1</v>
      </c>
      <c r="E38" s="3"/>
      <c r="F38" s="59">
        <v>0.0</v>
      </c>
      <c r="G38" s="60">
        <f t="shared" ref="G38:H38" si="50">COUNTIFS($A$2:$A$92,$F$37,$C$2:$C$92,$F38,$D$2:$D$92,G$37)</f>
        <v>2</v>
      </c>
      <c r="H38" s="61">
        <f t="shared" si="50"/>
        <v>0</v>
      </c>
      <c r="I38" s="62">
        <f>COUNTIFS($A$2:$A$48,$F$37,$C$2:$C$48,$F38,$D$2:$D$48,I$37)+MAX(D52-C52,0)</f>
        <v>0</v>
      </c>
      <c r="J38" s="12">
        <f t="shared" ref="J38:J40" si="54">SUM(G38:I38)</f>
        <v>2</v>
      </c>
      <c r="K38" s="12"/>
      <c r="L38" s="59">
        <v>0.0</v>
      </c>
      <c r="M38" s="60">
        <f t="shared" ref="M38:O38" si="51">ABS(G$2-$F38)/1</f>
        <v>0</v>
      </c>
      <c r="N38" s="61">
        <f t="shared" si="51"/>
        <v>0.5</v>
      </c>
      <c r="O38" s="62">
        <f t="shared" si="51"/>
        <v>1</v>
      </c>
      <c r="P38" s="12"/>
      <c r="Q38" s="77">
        <v>0.0</v>
      </c>
      <c r="R38" s="78">
        <f t="shared" ref="R38:T38" si="52">($J38/$J$41) * (G$41/$J$41)</f>
        <v>0.0625</v>
      </c>
      <c r="S38" s="79">
        <f t="shared" si="52"/>
        <v>0.03125</v>
      </c>
      <c r="T38" s="80">
        <f t="shared" si="52"/>
        <v>0.15625</v>
      </c>
      <c r="U38" s="12"/>
      <c r="V38" s="63" t="s">
        <v>169</v>
      </c>
      <c r="W38" s="60">
        <f>SUMPRODUCT(G38:I40, M38:O40) /$J$41</f>
        <v>0.125</v>
      </c>
      <c r="X38" s="62" t="s">
        <v>170</v>
      </c>
    </row>
    <row r="39" ht="15.75" customHeight="1">
      <c r="A39" s="4" t="str">
        <f>CombinedHumanGrading!A39</f>
        <v>Transition</v>
      </c>
      <c r="B39" s="5" t="str">
        <f>CombinedHumanGrading!B39</f>
        <v>Cleaning ⇒ Drying</v>
      </c>
      <c r="C39" s="15">
        <f>CombinedHumanGrading!C39</f>
        <v>1</v>
      </c>
      <c r="D39" s="15">
        <f>'Gemini 3.1 Pro Preview Grading'!C39</f>
        <v>1</v>
      </c>
      <c r="E39" s="3"/>
      <c r="F39" s="59">
        <v>0.5</v>
      </c>
      <c r="G39" s="64">
        <f t="shared" ref="G39:I39" si="53">COUNTIFS($A$2:$A$92,$F$37,$C$2:$C$92,$F39,$D$2:$D$92,G$37)</f>
        <v>0</v>
      </c>
      <c r="H39" s="12">
        <f t="shared" si="53"/>
        <v>0</v>
      </c>
      <c r="I39" s="65">
        <f t="shared" si="53"/>
        <v>1</v>
      </c>
      <c r="J39" s="12">
        <f t="shared" si="54"/>
        <v>1</v>
      </c>
      <c r="K39" s="12"/>
      <c r="L39" s="59">
        <v>0.5</v>
      </c>
      <c r="M39" s="64">
        <f t="shared" ref="M39:M40" si="56">ABS(G$2-$F39)/1</f>
        <v>0.5</v>
      </c>
      <c r="N39" s="12">
        <f>ABS(H$2-$F39)/3</f>
        <v>0</v>
      </c>
      <c r="O39" s="65">
        <f>ABS(I$2-$F39)/1</f>
        <v>0.5</v>
      </c>
      <c r="P39" s="12"/>
      <c r="Q39" s="77">
        <v>0.5</v>
      </c>
      <c r="R39" s="81">
        <f t="shared" ref="R39:T39" si="55">($J39/$J$41) * (G$41/$J$41)</f>
        <v>0.03125</v>
      </c>
      <c r="S39" s="75">
        <f t="shared" si="55"/>
        <v>0.015625</v>
      </c>
      <c r="T39" s="82">
        <f t="shared" si="55"/>
        <v>0.078125</v>
      </c>
      <c r="U39" s="12"/>
      <c r="V39" s="63" t="s">
        <v>171</v>
      </c>
      <c r="W39" s="64">
        <f>SUMPRODUCT(R38:T40, M38:O40)</f>
        <v>0.421875</v>
      </c>
      <c r="X39" s="65" t="s">
        <v>172</v>
      </c>
    </row>
    <row r="40" ht="15.75" customHeight="1">
      <c r="A40" s="4" t="str">
        <f>CombinedHumanGrading!A40</f>
        <v>Action</v>
      </c>
      <c r="B40" s="5" t="str">
        <f>CombinedHumanGrading!B40</f>
        <v>door.unlock();</v>
      </c>
      <c r="C40" s="15">
        <f>CombinedHumanGrading!C40</f>
        <v>1</v>
      </c>
      <c r="D40" s="15">
        <f>'Gemini 3.1 Pro Preview Grading'!C40</f>
        <v>1</v>
      </c>
      <c r="E40" s="3"/>
      <c r="F40" s="59">
        <v>1.0</v>
      </c>
      <c r="G40" s="66">
        <f>COUNTIFS($A$2:$A$48,$F$37,$C$2:$C$48,$F40,$D$2:$D$48,G$37)+MAX(C52-D52,0)</f>
        <v>0</v>
      </c>
      <c r="H40" s="67">
        <f>COUNTIFS($A$2:$A$92,$F$37,$C$2:$C$92,$F40,$D$2:$D$92,H$37)</f>
        <v>1</v>
      </c>
      <c r="I40" s="68">
        <f>COUNTIFS($A$2:$A$48,$F$37,$C$2:$C$48,$F40,$D$2:$D$48,I$37) + MIN(C52,D52)</f>
        <v>4</v>
      </c>
      <c r="J40" s="12">
        <f t="shared" si="54"/>
        <v>5</v>
      </c>
      <c r="K40" s="12"/>
      <c r="L40" s="59">
        <v>1.0</v>
      </c>
      <c r="M40" s="66">
        <f t="shared" si="56"/>
        <v>1</v>
      </c>
      <c r="N40" s="67">
        <f t="shared" ref="N40:O40" si="57">ABS(H$2-$F40)/1</f>
        <v>0.5</v>
      </c>
      <c r="O40" s="68">
        <f t="shared" si="57"/>
        <v>0</v>
      </c>
      <c r="P40" s="12"/>
      <c r="Q40" s="77">
        <v>1.0</v>
      </c>
      <c r="R40" s="83">
        <f t="shared" ref="R40:T40" si="58">($J40/$J$41) * (G$41/$J$41)</f>
        <v>0.15625</v>
      </c>
      <c r="S40" s="84">
        <f t="shared" si="58"/>
        <v>0.078125</v>
      </c>
      <c r="T40" s="85">
        <f t="shared" si="58"/>
        <v>0.390625</v>
      </c>
      <c r="U40" s="12"/>
      <c r="V40" s="63" t="s">
        <v>139</v>
      </c>
      <c r="W40" s="66">
        <f>1-W38/W39</f>
        <v>0.7037037037</v>
      </c>
      <c r="X40" s="68" t="s">
        <v>173</v>
      </c>
    </row>
    <row r="41" ht="15.75" customHeight="1">
      <c r="A41" s="4" t="str">
        <f>CombinedHumanGrading!A41</f>
        <v>State</v>
      </c>
      <c r="B41" s="5" t="str">
        <f>CombinedHumanGrading!B41</f>
        <v>Drying</v>
      </c>
      <c r="C41" s="15">
        <f>CombinedHumanGrading!C41</f>
        <v>1</v>
      </c>
      <c r="D41" s="15">
        <f>'Gemini 3.1 Pro Preview Grading'!C41</f>
        <v>1</v>
      </c>
      <c r="E41" s="3"/>
      <c r="F41" s="69" t="s">
        <v>153</v>
      </c>
      <c r="G41" s="12">
        <f t="shared" ref="G41:I41" si="59">SUM(G38:G40)</f>
        <v>2</v>
      </c>
      <c r="H41" s="12">
        <f t="shared" si="59"/>
        <v>1</v>
      </c>
      <c r="I41" s="12">
        <f t="shared" si="59"/>
        <v>5</v>
      </c>
      <c r="J41" s="12">
        <f>SUM(G38:I40)</f>
        <v>8</v>
      </c>
      <c r="N41" s="3"/>
      <c r="O41" s="3"/>
      <c r="P41" s="3"/>
      <c r="Q41" s="3"/>
      <c r="V41" s="3"/>
      <c r="W41" s="3"/>
      <c r="X41" s="3"/>
    </row>
    <row r="42" ht="15.75" customHeight="1">
      <c r="A42" s="4" t="str">
        <f>CombinedHumanGrading!A42</f>
        <v>Transition</v>
      </c>
      <c r="B42" s="5" t="str">
        <f>CombinedHumanGrading!B42</f>
        <v>after dT min (Drying ⇒ Idle)</v>
      </c>
      <c r="C42" s="15">
        <f>CombinedHumanGrading!C42</f>
        <v>1</v>
      </c>
      <c r="D42" s="15">
        <f>'Gemini 3.1 Pro Preview Grading'!C42</f>
        <v>0.5</v>
      </c>
      <c r="E42" s="3"/>
      <c r="F42" s="3"/>
      <c r="N42" s="3"/>
      <c r="O42" s="3"/>
      <c r="P42" s="3"/>
      <c r="Q42" s="3"/>
      <c r="V42" s="3"/>
      <c r="W42" s="3"/>
      <c r="X42" s="3"/>
    </row>
    <row r="43" ht="15.75" customHeight="1">
      <c r="A43" s="4" t="str">
        <f>CombinedHumanGrading!A43</f>
        <v>Transition</v>
      </c>
      <c r="B43" s="5" t="str">
        <f>CombinedHumanGrading!B43</f>
        <v>extend DryingTime (Drying ⇒ Drying)</v>
      </c>
      <c r="C43" s="15">
        <f>CombinedHumanGrading!C43</f>
        <v>1</v>
      </c>
      <c r="D43" s="15">
        <f>'Gemini 3.1 Pro Preview Grading'!C43</f>
        <v>1</v>
      </c>
      <c r="E43" s="3"/>
      <c r="F43" s="51" t="s">
        <v>164</v>
      </c>
      <c r="N43" s="3"/>
      <c r="O43" s="3"/>
      <c r="P43" s="3"/>
      <c r="Q43" s="3"/>
      <c r="V43" s="3"/>
      <c r="W43" s="3"/>
      <c r="X43" s="3"/>
    </row>
    <row r="44" ht="15.75" customHeight="1">
      <c r="A44" s="4" t="str">
        <f>CombinedHumanGrading!A44</f>
        <v>Action</v>
      </c>
      <c r="B44" s="5" t="str">
        <f>CombinedHumanGrading!B44</f>
        <v>dT = 40;</v>
      </c>
      <c r="C44" s="15">
        <f>CombinedHumanGrading!C44</f>
        <v>1</v>
      </c>
      <c r="D44" s="15">
        <f>'Gemini 3.1 Pro Preview Grading'!C44</f>
        <v>1</v>
      </c>
      <c r="E44" s="3"/>
      <c r="F44" s="12" t="s">
        <v>42</v>
      </c>
      <c r="G44" s="71" t="s">
        <v>141</v>
      </c>
      <c r="H44" s="71" t="s">
        <v>142</v>
      </c>
      <c r="I44" s="71" t="s">
        <v>143</v>
      </c>
      <c r="J44" s="72" t="s">
        <v>144</v>
      </c>
      <c r="K44" s="12"/>
      <c r="L44" s="12" t="s">
        <v>140</v>
      </c>
      <c r="M44" s="71" t="s">
        <v>141</v>
      </c>
      <c r="N44" s="71" t="s">
        <v>142</v>
      </c>
      <c r="O44" s="71" t="s">
        <v>143</v>
      </c>
      <c r="P44" s="12"/>
      <c r="Q44" s="12" t="s">
        <v>140</v>
      </c>
      <c r="R44" s="71" t="s">
        <v>141</v>
      </c>
      <c r="S44" s="71" t="s">
        <v>142</v>
      </c>
      <c r="T44" s="71" t="s">
        <v>143</v>
      </c>
      <c r="V44" s="58" t="str">
        <f>"Metrics" &amp; " " &amp; F44
</f>
        <v>Metrics History State</v>
      </c>
      <c r="W44" s="58" t="s">
        <v>146</v>
      </c>
      <c r="X44" s="58" t="s">
        <v>147</v>
      </c>
    </row>
    <row r="45" ht="15.75" customHeight="1">
      <c r="A45" s="4" t="str">
        <f>CombinedHumanGrading!A45</f>
        <v>Transition</v>
      </c>
      <c r="B45" s="5" t="str">
        <f>CombinedHumanGrading!B45</f>
        <v>open (Drying ⇒ Suspended)</v>
      </c>
      <c r="C45" s="15">
        <f>CombinedHumanGrading!C45</f>
        <v>1</v>
      </c>
      <c r="D45" s="15">
        <f>'Gemini 3.1 Pro Preview Grading'!C45</f>
        <v>1</v>
      </c>
      <c r="E45" s="3"/>
      <c r="F45" s="59">
        <v>0.0</v>
      </c>
      <c r="G45" s="60">
        <f t="shared" ref="G45:H45" si="60">COUNTIFS($A$2:$A$92,$F$44,$C$2:$C$92,$F45,$D$2:$D$92,G$44)</f>
        <v>2</v>
      </c>
      <c r="H45" s="61">
        <f t="shared" si="60"/>
        <v>0</v>
      </c>
      <c r="I45" s="62">
        <f>COUNTIFS($A$2:$A$48,$F$44,$C$2:$C$48,$F45,$D$2:$D$48,I$44) + MAX(D55-C55,0)</f>
        <v>0</v>
      </c>
      <c r="J45" s="12">
        <f t="shared" ref="J45:J47" si="64">SUM(G45:I45)</f>
        <v>2</v>
      </c>
      <c r="K45" s="12"/>
      <c r="L45" s="59">
        <v>0.0</v>
      </c>
      <c r="M45" s="60">
        <f t="shared" ref="M45:O45" si="61">ABS(G$2-$F45)/1</f>
        <v>0</v>
      </c>
      <c r="N45" s="61">
        <f t="shared" si="61"/>
        <v>0.5</v>
      </c>
      <c r="O45" s="62">
        <f t="shared" si="61"/>
        <v>1</v>
      </c>
      <c r="P45" s="12"/>
      <c r="Q45" s="59">
        <v>0.0</v>
      </c>
      <c r="R45" s="60">
        <f t="shared" ref="R45:T45" si="62">($J45/$J$48) * (G$48/$J$48)</f>
        <v>1</v>
      </c>
      <c r="S45" s="61">
        <f t="shared" si="62"/>
        <v>0</v>
      </c>
      <c r="T45" s="62">
        <f t="shared" si="62"/>
        <v>0</v>
      </c>
      <c r="U45" s="12"/>
      <c r="V45" s="63" t="s">
        <v>169</v>
      </c>
      <c r="W45" s="60">
        <f>SUMPRODUCT(G45:I47, M45:O47) /$J$48</f>
        <v>0</v>
      </c>
      <c r="X45" s="62" t="s">
        <v>170</v>
      </c>
    </row>
    <row r="46" ht="15.75" customHeight="1">
      <c r="A46" s="4" t="str">
        <f>CombinedHumanGrading!A46</f>
        <v>State</v>
      </c>
      <c r="B46" s="5" t="str">
        <f>CombinedHumanGrading!B46</f>
        <v>Suspended</v>
      </c>
      <c r="C46" s="15">
        <f>CombinedHumanGrading!C46</f>
        <v>1</v>
      </c>
      <c r="D46" s="15">
        <f>'Gemini 3.1 Pro Preview Grading'!C46</f>
        <v>1</v>
      </c>
      <c r="E46" s="3"/>
      <c r="F46" s="59">
        <v>0.5</v>
      </c>
      <c r="G46" s="64">
        <f t="shared" ref="G46:I46" si="63">COUNTIFS($A$2:$A$92,$F$44,$C$2:$C$92,$F46,$D$2:$D$92,G$44)</f>
        <v>0</v>
      </c>
      <c r="H46" s="12">
        <f t="shared" si="63"/>
        <v>0</v>
      </c>
      <c r="I46" s="65">
        <f t="shared" si="63"/>
        <v>0</v>
      </c>
      <c r="J46" s="12">
        <f t="shared" si="64"/>
        <v>0</v>
      </c>
      <c r="K46" s="12"/>
      <c r="L46" s="59">
        <v>0.5</v>
      </c>
      <c r="M46" s="64">
        <f t="shared" ref="M46:M47" si="66">ABS(G$2-$F46)/1</f>
        <v>0.5</v>
      </c>
      <c r="N46" s="12">
        <f>ABS(H$2-$F46)/3</f>
        <v>0</v>
      </c>
      <c r="O46" s="65">
        <f>ABS(I$2-$F46)/1</f>
        <v>0.5</v>
      </c>
      <c r="P46" s="12"/>
      <c r="Q46" s="59">
        <v>0.5</v>
      </c>
      <c r="R46" s="64">
        <f t="shared" ref="R46:T46" si="65">($J46/$J$48) * (G$48/$J$48)</f>
        <v>0</v>
      </c>
      <c r="S46" s="12">
        <f t="shared" si="65"/>
        <v>0</v>
      </c>
      <c r="T46" s="65">
        <f t="shared" si="65"/>
        <v>0</v>
      </c>
      <c r="U46" s="12"/>
      <c r="V46" s="63" t="s">
        <v>171</v>
      </c>
      <c r="W46" s="64">
        <f>SUMPRODUCT(R45:T47, M45:O47)</f>
        <v>0</v>
      </c>
      <c r="X46" s="65" t="s">
        <v>172</v>
      </c>
    </row>
    <row r="47" ht="15.75" customHeight="1">
      <c r="A47" s="4" t="str">
        <f>CombinedHumanGrading!A47</f>
        <v>Transition</v>
      </c>
      <c r="B47" s="5" t="str">
        <f>CombinedHumanGrading!B47</f>
        <v>close (Suspended ⇒ Drying)</v>
      </c>
      <c r="C47" s="15">
        <f>CombinedHumanGrading!C47</f>
        <v>1</v>
      </c>
      <c r="D47" s="15">
        <f>'Gemini 3.1 Pro Preview Grading'!C47</f>
        <v>1</v>
      </c>
      <c r="E47" s="3"/>
      <c r="F47" s="59">
        <v>1.0</v>
      </c>
      <c r="G47" s="66">
        <f>COUNTIFS($A$2:$A$48,$F$44,$C$2:$C$48,$F47,$D$2:$D$48,G$44) + MAX(C55-D55,0)</f>
        <v>0</v>
      </c>
      <c r="H47" s="67">
        <f>COUNTIFS($A$2:$A$92,$F$44,$C$2:$C$92,$F47,$D$2:$D$92,H$44)</f>
        <v>0</v>
      </c>
      <c r="I47" s="68">
        <f>COUNTIFS($A$2:$A$48,$F$44,$C$2:$C$48,$F47,$D$2:$D$48,I$44) + MIN(C55,D55)</f>
        <v>0</v>
      </c>
      <c r="J47" s="12">
        <f t="shared" si="64"/>
        <v>0</v>
      </c>
      <c r="K47" s="12"/>
      <c r="L47" s="59">
        <v>1.0</v>
      </c>
      <c r="M47" s="66">
        <f t="shared" si="66"/>
        <v>1</v>
      </c>
      <c r="N47" s="67">
        <f t="shared" ref="N47:O47" si="67">ABS(H$2-$F47)/1</f>
        <v>0.5</v>
      </c>
      <c r="O47" s="68">
        <f t="shared" si="67"/>
        <v>0</v>
      </c>
      <c r="P47" s="12"/>
      <c r="Q47" s="59">
        <v>1.0</v>
      </c>
      <c r="R47" s="66">
        <f t="shared" ref="R47:T47" si="68">($J47/$J$48) * (G$48/$J$48)</f>
        <v>0</v>
      </c>
      <c r="S47" s="67">
        <f t="shared" si="68"/>
        <v>0</v>
      </c>
      <c r="T47" s="68">
        <f t="shared" si="68"/>
        <v>0</v>
      </c>
      <c r="U47" s="12"/>
      <c r="V47" s="63" t="s">
        <v>139</v>
      </c>
      <c r="W47" s="66" t="str">
        <f>1-W45/W46</f>
        <v>#DIV/0!</v>
      </c>
      <c r="X47" s="68" t="s">
        <v>173</v>
      </c>
    </row>
    <row r="48" ht="15.75" customHeight="1">
      <c r="A48" s="7" t="str">
        <f>CombinedHumanGrading!A48</f>
        <v>Transition</v>
      </c>
      <c r="B48" s="8" t="str">
        <f>CombinedHumanGrading!B48</f>
        <v>after 5 min (Suspended ⇒ Idle)</v>
      </c>
      <c r="C48" s="15">
        <f>CombinedHumanGrading!C48</f>
        <v>1</v>
      </c>
      <c r="D48" s="15">
        <f>'Gemini 3.1 Pro Preview Grading'!C48</f>
        <v>1</v>
      </c>
      <c r="E48" s="3"/>
      <c r="F48" s="69" t="s">
        <v>153</v>
      </c>
      <c r="G48" s="12">
        <f t="shared" ref="G48:I48" si="69">SUM(G45:G47)</f>
        <v>2</v>
      </c>
      <c r="H48" s="12">
        <f t="shared" si="69"/>
        <v>0</v>
      </c>
      <c r="I48" s="12">
        <f t="shared" si="69"/>
        <v>0</v>
      </c>
      <c r="J48" s="12">
        <f>SUM(G45:I47)</f>
        <v>2</v>
      </c>
      <c r="N48" s="3"/>
      <c r="O48" s="3"/>
      <c r="P48" s="3"/>
      <c r="Q48" s="3"/>
      <c r="V48" s="3"/>
      <c r="W48" s="3"/>
      <c r="X48" s="3"/>
    </row>
    <row r="49" ht="15.75" customHeight="1">
      <c r="A49" s="4" t="str">
        <f>CombinedHumanGrading!A49</f>
        <v>State</v>
      </c>
      <c r="B49" s="5" t="str">
        <f>CombinedHumanGrading!B49</f>
        <v>additional elements</v>
      </c>
      <c r="C49" s="73">
        <f>CombinedHumanGrading!C49</f>
        <v>0</v>
      </c>
      <c r="D49" s="73">
        <f>'Gemini 3.1 Pro Preview Grading'!C49</f>
        <v>0</v>
      </c>
      <c r="E49" s="3"/>
      <c r="F49" s="3"/>
      <c r="N49" s="3"/>
      <c r="O49" s="3"/>
      <c r="P49" s="3"/>
      <c r="Q49" s="3"/>
      <c r="V49" s="3"/>
      <c r="W49" s="3"/>
      <c r="X49" s="3"/>
    </row>
    <row r="50" ht="15.75" customHeight="1">
      <c r="A50" s="4" t="str">
        <f>CombinedHumanGrading!A50</f>
        <v>Transition</v>
      </c>
      <c r="B50" s="5" t="str">
        <f>CombinedHumanGrading!B50</f>
        <v>additional elements</v>
      </c>
      <c r="C50" s="15">
        <f>CombinedHumanGrading!C50</f>
        <v>0</v>
      </c>
      <c r="D50" s="15">
        <f>'Gemini 3.1 Pro Preview Grading'!C50</f>
        <v>0</v>
      </c>
      <c r="E50" s="3"/>
      <c r="F50" s="51" t="s">
        <v>166</v>
      </c>
      <c r="N50" s="3"/>
      <c r="O50" s="3"/>
      <c r="P50" s="3"/>
      <c r="Q50" s="3"/>
      <c r="V50" s="3"/>
      <c r="W50" s="3"/>
      <c r="X50" s="3"/>
    </row>
    <row r="51" ht="15.75" customHeight="1">
      <c r="A51" s="4" t="str">
        <f>CombinedHumanGrading!A51</f>
        <v>Guard</v>
      </c>
      <c r="B51" s="5" t="str">
        <f>CombinedHumanGrading!B51</f>
        <v>additional elements</v>
      </c>
      <c r="C51" s="15">
        <f>CombinedHumanGrading!C51</f>
        <v>0</v>
      </c>
      <c r="D51" s="15">
        <f>'Gemini 3.1 Pro Preview Grading'!C51</f>
        <v>0</v>
      </c>
      <c r="E51" s="3"/>
      <c r="F51" s="12" t="s">
        <v>4</v>
      </c>
      <c r="G51" s="71" t="s">
        <v>141</v>
      </c>
      <c r="H51" s="71" t="s">
        <v>142</v>
      </c>
      <c r="I51" s="71" t="s">
        <v>143</v>
      </c>
      <c r="J51" s="72" t="s">
        <v>144</v>
      </c>
      <c r="K51" s="12"/>
      <c r="L51" s="12" t="s">
        <v>140</v>
      </c>
      <c r="M51" s="71" t="s">
        <v>141</v>
      </c>
      <c r="N51" s="71" t="s">
        <v>142</v>
      </c>
      <c r="O51" s="71" t="s">
        <v>143</v>
      </c>
      <c r="P51" s="12"/>
      <c r="Q51" s="12" t="s">
        <v>140</v>
      </c>
      <c r="R51" s="71" t="s">
        <v>141</v>
      </c>
      <c r="S51" s="71" t="s">
        <v>142</v>
      </c>
      <c r="T51" s="71" t="s">
        <v>143</v>
      </c>
      <c r="V51" s="58" t="str">
        <f>"Metrics" &amp; " " &amp; F51
</f>
        <v>Metrics Region</v>
      </c>
      <c r="W51" s="58" t="s">
        <v>146</v>
      </c>
      <c r="X51" s="58" t="s">
        <v>147</v>
      </c>
    </row>
    <row r="52" ht="15.75" customHeight="1">
      <c r="A52" s="4" t="str">
        <f>CombinedHumanGrading!A52</f>
        <v>Action</v>
      </c>
      <c r="B52" s="5" t="str">
        <f>CombinedHumanGrading!B52</f>
        <v>additional elements</v>
      </c>
      <c r="C52" s="15">
        <f>CombinedHumanGrading!C52</f>
        <v>0</v>
      </c>
      <c r="D52" s="15">
        <f>'Gemini 3.1 Pro Preview Grading'!C52</f>
        <v>0</v>
      </c>
      <c r="E52" s="3"/>
      <c r="F52" s="59">
        <v>0.0</v>
      </c>
      <c r="G52" s="60">
        <f t="shared" ref="G52:H52" si="70">COUNTIFS($A$2:$A$92,$F$51,$C$2:$C$92,$F52,$D$2:$D$92,G$51)</f>
        <v>2</v>
      </c>
      <c r="H52" s="61">
        <f t="shared" si="70"/>
        <v>0</v>
      </c>
      <c r="I52" s="62">
        <f>COUNTIFS($A$2:$A$48,$F$51,$C$2:$C$48,$F52,$D$2:$D$48,I$51)+MAX(D54-C54,0)</f>
        <v>0</v>
      </c>
      <c r="J52" s="12">
        <f t="shared" ref="J52:J54" si="74">SUM(G52:I52)</f>
        <v>2</v>
      </c>
      <c r="K52" s="12"/>
      <c r="L52" s="59">
        <v>0.0</v>
      </c>
      <c r="M52" s="60">
        <f t="shared" ref="M52:O52" si="71">ABS(G$2-$F52)/1</f>
        <v>0</v>
      </c>
      <c r="N52" s="61">
        <f t="shared" si="71"/>
        <v>0.5</v>
      </c>
      <c r="O52" s="62">
        <f t="shared" si="71"/>
        <v>1</v>
      </c>
      <c r="P52" s="12"/>
      <c r="Q52" s="59">
        <v>0.0</v>
      </c>
      <c r="R52" s="60">
        <f t="shared" ref="R52:T52" si="72">($J52/$J$55) * (G$55/$J$55)</f>
        <v>0.6666666667</v>
      </c>
      <c r="S52" s="61">
        <f t="shared" si="72"/>
        <v>0</v>
      </c>
      <c r="T52" s="62">
        <f t="shared" si="72"/>
        <v>0</v>
      </c>
      <c r="U52" s="12"/>
      <c r="V52" s="63" t="s">
        <v>169</v>
      </c>
      <c r="W52" s="60">
        <f>SUMPRODUCT(G52:I54, M52:O54) /$J$55</f>
        <v>0.3333333333</v>
      </c>
      <c r="X52" s="62" t="s">
        <v>170</v>
      </c>
    </row>
    <row r="53" ht="15.75" customHeight="1">
      <c r="A53" s="4" t="str">
        <f>CombinedHumanGrading!A53</f>
        <v>Composite State</v>
      </c>
      <c r="B53" s="5" t="str">
        <f>CombinedHumanGrading!B53</f>
        <v>additional elements</v>
      </c>
      <c r="C53" s="15">
        <f>CombinedHumanGrading!C53</f>
        <v>0</v>
      </c>
      <c r="D53" s="15">
        <f>'Gemini 3.1 Pro Preview Grading'!C53</f>
        <v>0</v>
      </c>
      <c r="E53" s="3"/>
      <c r="F53" s="59">
        <v>0.5</v>
      </c>
      <c r="G53" s="64">
        <f t="shared" ref="G53:I53" si="73">COUNTIFS($A$2:$A$92,$F$51,$C$2:$C$92,$F53,$D$2:$D$92,G$51)</f>
        <v>0</v>
      </c>
      <c r="H53" s="12">
        <f t="shared" si="73"/>
        <v>0</v>
      </c>
      <c r="I53" s="65">
        <f t="shared" si="73"/>
        <v>0</v>
      </c>
      <c r="J53" s="12">
        <f t="shared" si="74"/>
        <v>0</v>
      </c>
      <c r="K53" s="12"/>
      <c r="L53" s="59">
        <v>0.5</v>
      </c>
      <c r="M53" s="64">
        <f t="shared" ref="M53:M54" si="76">ABS(G$2-$F53)/1</f>
        <v>0.5</v>
      </c>
      <c r="N53" s="12">
        <f>ABS(H$2-$F53)/3</f>
        <v>0</v>
      </c>
      <c r="O53" s="65">
        <f>ABS(I$2-$F53)/1</f>
        <v>0.5</v>
      </c>
      <c r="P53" s="12"/>
      <c r="Q53" s="59">
        <v>0.5</v>
      </c>
      <c r="R53" s="64">
        <f t="shared" ref="R53:T53" si="75">($J53/$J$55) * (G$55/$J$55)</f>
        <v>0</v>
      </c>
      <c r="S53" s="12">
        <f t="shared" si="75"/>
        <v>0</v>
      </c>
      <c r="T53" s="65">
        <f t="shared" si="75"/>
        <v>0</v>
      </c>
      <c r="U53" s="12"/>
      <c r="V53" s="63" t="s">
        <v>171</v>
      </c>
      <c r="W53" s="64">
        <f>SUMPRODUCT(R52:T54, M52:O54)</f>
        <v>0.3333333333</v>
      </c>
      <c r="X53" s="65" t="s">
        <v>172</v>
      </c>
    </row>
    <row r="54" ht="15.75" customHeight="1">
      <c r="A54" s="4" t="str">
        <f>CombinedHumanGrading!A54</f>
        <v>Region</v>
      </c>
      <c r="B54" s="5" t="str">
        <f>CombinedHumanGrading!B54</f>
        <v>additional elements</v>
      </c>
      <c r="C54" s="15">
        <f>CombinedHumanGrading!C54</f>
        <v>0</v>
      </c>
      <c r="D54" s="15">
        <f>'Gemini 3.1 Pro Preview Grading'!C54</f>
        <v>0</v>
      </c>
      <c r="E54" s="3"/>
      <c r="F54" s="59">
        <v>1.0</v>
      </c>
      <c r="G54" s="66">
        <f>COUNTIFS($A$2:$A$48,$F$51,$C$2:$C$48,$F54,$D$2:$D$48,G$51) + MAX(C54-D54,0)</f>
        <v>1</v>
      </c>
      <c r="H54" s="67">
        <f>COUNTIFS($A$2:$A$92,$F$51,$C$2:$C$92,$F54,$D$2:$D$92,H$51)</f>
        <v>0</v>
      </c>
      <c r="I54" s="68">
        <f>COUNTIFS($A$2:$A$48,$F$51,$C$2:$C$48,$F54,$D$2:$D$48,I$51)+MIN(C54,D54)</f>
        <v>0</v>
      </c>
      <c r="J54" s="12">
        <f t="shared" si="74"/>
        <v>1</v>
      </c>
      <c r="K54" s="12"/>
      <c r="L54" s="59">
        <v>1.0</v>
      </c>
      <c r="M54" s="66">
        <f t="shared" si="76"/>
        <v>1</v>
      </c>
      <c r="N54" s="67">
        <f t="shared" ref="N54:O54" si="77">ABS(H$2-$F54)/1</f>
        <v>0.5</v>
      </c>
      <c r="O54" s="68">
        <f t="shared" si="77"/>
        <v>0</v>
      </c>
      <c r="P54" s="12"/>
      <c r="Q54" s="59">
        <v>1.0</v>
      </c>
      <c r="R54" s="66">
        <f t="shared" ref="R54:T54" si="78">($J54/$J$55) * (G$55/$J$55)</f>
        <v>0.3333333333</v>
      </c>
      <c r="S54" s="67">
        <f t="shared" si="78"/>
        <v>0</v>
      </c>
      <c r="T54" s="68">
        <f t="shared" si="78"/>
        <v>0</v>
      </c>
      <c r="U54" s="12"/>
      <c r="V54" s="63" t="s">
        <v>139</v>
      </c>
      <c r="W54" s="66">
        <f>1-W52/W53</f>
        <v>0</v>
      </c>
      <c r="X54" s="68" t="s">
        <v>173</v>
      </c>
    </row>
    <row r="55" ht="15.75" customHeight="1">
      <c r="A55" s="4" t="str">
        <f>CombinedHumanGrading!A55</f>
        <v>History State</v>
      </c>
      <c r="B55" s="5" t="str">
        <f>CombinedHumanGrading!B55</f>
        <v>additional elements</v>
      </c>
      <c r="C55" s="15">
        <f>CombinedHumanGrading!C55</f>
        <v>0</v>
      </c>
      <c r="D55" s="15">
        <f>'Gemini 3.1 Pro Preview Grading'!C55</f>
        <v>0</v>
      </c>
      <c r="E55" s="3"/>
      <c r="F55" s="69" t="s">
        <v>153</v>
      </c>
      <c r="G55" s="12">
        <f t="shared" ref="G55:I55" si="79">SUM(G52:G54)</f>
        <v>3</v>
      </c>
      <c r="H55" s="12">
        <f t="shared" si="79"/>
        <v>0</v>
      </c>
      <c r="I55" s="12">
        <f t="shared" si="79"/>
        <v>0</v>
      </c>
      <c r="J55" s="12">
        <f>SUM(G52:I54)</f>
        <v>3</v>
      </c>
      <c r="L55" s="12"/>
      <c r="M55" s="70"/>
      <c r="N55" s="3"/>
      <c r="O55" s="3"/>
      <c r="P55" s="3"/>
      <c r="Q55" s="3"/>
      <c r="V55" s="3"/>
      <c r="W55" s="3"/>
      <c r="X55" s="3"/>
    </row>
    <row r="56" ht="15.75" customHeight="1">
      <c r="A56" s="51"/>
      <c r="B56" s="74"/>
      <c r="C56" s="3"/>
      <c r="D56" s="3"/>
      <c r="E56" s="3"/>
      <c r="F56" s="3"/>
      <c r="N56" s="3"/>
      <c r="O56" s="3"/>
      <c r="P56" s="3"/>
      <c r="Q56" s="3"/>
      <c r="V56" s="3"/>
      <c r="W56" s="3"/>
      <c r="X56" s="3"/>
    </row>
    <row r="57" ht="15.75" customHeight="1">
      <c r="A57" s="51"/>
      <c r="B57" s="74"/>
      <c r="C57" s="3"/>
      <c r="D57" s="3"/>
      <c r="E57" s="3"/>
      <c r="F57" s="3"/>
      <c r="N57" s="3"/>
      <c r="O57" s="3"/>
      <c r="P57" s="3"/>
      <c r="Q57" s="3"/>
      <c r="V57" s="3"/>
      <c r="W57" s="3"/>
      <c r="X57" s="3"/>
    </row>
    <row r="58" ht="15.75" customHeight="1">
      <c r="A58" s="51"/>
      <c r="B58" s="74"/>
      <c r="C58" s="3"/>
      <c r="D58" s="3"/>
      <c r="E58" s="3"/>
      <c r="F58" s="3"/>
      <c r="N58" s="3"/>
      <c r="O58" s="3"/>
      <c r="P58" s="3"/>
      <c r="Q58" s="3"/>
      <c r="V58" s="3"/>
      <c r="W58" s="3"/>
      <c r="X58" s="3"/>
    </row>
    <row r="59" ht="15.75" customHeight="1">
      <c r="A59" s="51"/>
      <c r="B59" s="74"/>
      <c r="C59" s="3"/>
      <c r="D59" s="3"/>
      <c r="E59" s="3"/>
      <c r="F59" s="3"/>
      <c r="N59" s="3"/>
      <c r="O59" s="3"/>
      <c r="P59" s="3"/>
      <c r="Q59" s="3"/>
      <c r="V59" s="3"/>
      <c r="W59" s="3"/>
      <c r="X59" s="3"/>
    </row>
    <row r="60" ht="15.75" customHeight="1">
      <c r="A60" s="51"/>
      <c r="B60" s="74"/>
      <c r="C60" s="3"/>
      <c r="D60" s="3"/>
      <c r="E60" s="3"/>
      <c r="F60" s="3"/>
      <c r="N60" s="3"/>
      <c r="O60" s="3"/>
      <c r="P60" s="3"/>
      <c r="Q60" s="3"/>
      <c r="V60" s="3"/>
      <c r="W60" s="3"/>
      <c r="X60" s="3"/>
    </row>
    <row r="61" ht="15.75" customHeight="1">
      <c r="A61" s="51"/>
      <c r="B61" s="74"/>
      <c r="C61" s="3"/>
      <c r="D61" s="3"/>
      <c r="E61" s="3"/>
      <c r="F61" s="3"/>
      <c r="N61" s="3"/>
      <c r="O61" s="3"/>
      <c r="P61" s="3"/>
      <c r="Q61" s="3"/>
      <c r="V61" s="3"/>
      <c r="W61" s="3"/>
      <c r="X61" s="3"/>
    </row>
    <row r="62" ht="15.75" customHeight="1">
      <c r="A62" s="51"/>
      <c r="B62" s="74"/>
      <c r="C62" s="3"/>
      <c r="D62" s="3"/>
      <c r="E62" s="3"/>
      <c r="F62" s="3"/>
      <c r="N62" s="3"/>
      <c r="O62" s="3"/>
      <c r="P62" s="3"/>
      <c r="Q62" s="3"/>
      <c r="V62" s="3"/>
      <c r="W62" s="3"/>
      <c r="X62" s="3"/>
    </row>
    <row r="63" ht="15.75" customHeight="1">
      <c r="A63" s="51"/>
      <c r="B63" s="74"/>
      <c r="C63" s="3"/>
      <c r="D63" s="3"/>
      <c r="E63" s="3"/>
      <c r="F63" s="3"/>
      <c r="N63" s="3"/>
      <c r="O63" s="3"/>
      <c r="P63" s="3"/>
      <c r="Q63" s="3"/>
      <c r="V63" s="3"/>
      <c r="W63" s="3"/>
      <c r="X63" s="3"/>
    </row>
    <row r="64" ht="15.75" customHeight="1">
      <c r="A64" s="51"/>
      <c r="B64" s="74"/>
      <c r="C64" s="3"/>
      <c r="D64" s="3"/>
      <c r="E64" s="3"/>
      <c r="F64" s="3"/>
      <c r="N64" s="3"/>
      <c r="O64" s="3"/>
      <c r="P64" s="3"/>
      <c r="Q64" s="3"/>
      <c r="V64" s="3"/>
      <c r="W64" s="3"/>
      <c r="X64" s="3"/>
    </row>
    <row r="65" ht="15.75" customHeight="1">
      <c r="A65" s="51"/>
      <c r="B65" s="74"/>
      <c r="C65" s="3"/>
      <c r="D65" s="3"/>
      <c r="E65" s="3"/>
      <c r="F65" s="3"/>
      <c r="N65" s="3"/>
      <c r="O65" s="3"/>
      <c r="P65" s="3"/>
      <c r="Q65" s="3"/>
      <c r="V65" s="3"/>
      <c r="W65" s="3"/>
      <c r="X65" s="3"/>
    </row>
    <row r="66" ht="15.75" customHeight="1">
      <c r="A66" s="51"/>
      <c r="B66" s="74"/>
      <c r="C66" s="3"/>
      <c r="D66" s="3"/>
      <c r="E66" s="3"/>
      <c r="F66" s="3"/>
      <c r="N66" s="3"/>
      <c r="O66" s="3"/>
      <c r="P66" s="3"/>
      <c r="Q66" s="3"/>
      <c r="V66" s="3"/>
      <c r="W66" s="3"/>
      <c r="X66" s="3"/>
    </row>
    <row r="67" ht="15.75" customHeight="1">
      <c r="A67" s="51"/>
      <c r="B67" s="74"/>
      <c r="C67" s="3"/>
      <c r="D67" s="3"/>
      <c r="E67" s="3"/>
      <c r="F67" s="3"/>
      <c r="N67" s="3"/>
      <c r="O67" s="3"/>
      <c r="P67" s="3"/>
      <c r="Q67" s="3"/>
      <c r="V67" s="3"/>
      <c r="W67" s="3"/>
      <c r="X67" s="3"/>
    </row>
    <row r="68" ht="15.75" customHeight="1">
      <c r="A68" s="51"/>
      <c r="B68" s="74"/>
      <c r="C68" s="3"/>
      <c r="D68" s="3"/>
      <c r="E68" s="3"/>
      <c r="F68" s="3"/>
      <c r="N68" s="3"/>
      <c r="O68" s="3"/>
      <c r="P68" s="3"/>
      <c r="Q68" s="3"/>
      <c r="V68" s="3"/>
      <c r="W68" s="3"/>
      <c r="X68" s="3"/>
    </row>
    <row r="69" ht="15.75" customHeight="1">
      <c r="A69" s="51"/>
      <c r="B69" s="74"/>
      <c r="C69" s="3"/>
      <c r="D69" s="3"/>
      <c r="E69" s="3"/>
      <c r="F69" s="3"/>
      <c r="N69" s="3"/>
      <c r="O69" s="3"/>
      <c r="P69" s="3"/>
      <c r="Q69" s="3"/>
      <c r="V69" s="3"/>
      <c r="W69" s="3"/>
      <c r="X69" s="3"/>
    </row>
    <row r="70" ht="15.75" customHeight="1">
      <c r="A70" s="51"/>
      <c r="B70" s="74"/>
      <c r="C70" s="3"/>
      <c r="D70" s="3"/>
      <c r="E70" s="3"/>
      <c r="F70" s="3"/>
      <c r="N70" s="3"/>
      <c r="O70" s="3"/>
      <c r="P70" s="3"/>
      <c r="Q70" s="3"/>
      <c r="V70" s="3"/>
      <c r="W70" s="3"/>
      <c r="X70" s="3"/>
    </row>
    <row r="71" ht="15.75" customHeight="1">
      <c r="A71" s="51"/>
      <c r="B71" s="74"/>
      <c r="C71" s="3"/>
      <c r="D71" s="3"/>
      <c r="E71" s="3"/>
      <c r="F71" s="3"/>
      <c r="N71" s="3"/>
      <c r="O71" s="3"/>
      <c r="P71" s="3"/>
      <c r="Q71" s="3"/>
      <c r="V71" s="3"/>
      <c r="W71" s="3"/>
      <c r="X71" s="3"/>
    </row>
    <row r="72" ht="15.75" customHeight="1">
      <c r="A72" s="51"/>
      <c r="B72" s="74"/>
      <c r="C72" s="3"/>
      <c r="D72" s="3"/>
      <c r="E72" s="3"/>
      <c r="F72" s="3"/>
      <c r="N72" s="3"/>
      <c r="O72" s="3"/>
      <c r="P72" s="3"/>
      <c r="Q72" s="3"/>
      <c r="V72" s="3"/>
      <c r="W72" s="3"/>
      <c r="X72" s="3"/>
    </row>
    <row r="73" ht="15.75" customHeight="1">
      <c r="A73" s="51"/>
      <c r="B73" s="74"/>
      <c r="C73" s="3"/>
      <c r="D73" s="3"/>
      <c r="E73" s="3"/>
      <c r="F73" s="3"/>
      <c r="N73" s="3"/>
      <c r="O73" s="3"/>
      <c r="P73" s="3"/>
      <c r="Q73" s="3"/>
      <c r="V73" s="3"/>
      <c r="W73" s="3"/>
      <c r="X73" s="3"/>
    </row>
    <row r="74" ht="15.75" customHeight="1">
      <c r="A74" s="51"/>
      <c r="B74" s="74"/>
      <c r="C74" s="3"/>
      <c r="D74" s="3"/>
      <c r="E74" s="3"/>
      <c r="F74" s="3"/>
      <c r="N74" s="3"/>
      <c r="O74" s="3"/>
      <c r="P74" s="3"/>
      <c r="Q74" s="3"/>
      <c r="V74" s="3"/>
      <c r="W74" s="3"/>
      <c r="X74" s="3"/>
    </row>
    <row r="75" ht="15.75" customHeight="1">
      <c r="A75" s="51"/>
      <c r="B75" s="74"/>
      <c r="C75" s="3"/>
      <c r="D75" s="3"/>
      <c r="E75" s="3"/>
      <c r="F75" s="3"/>
      <c r="N75" s="3"/>
      <c r="O75" s="3"/>
      <c r="P75" s="3"/>
      <c r="Q75" s="3"/>
      <c r="V75" s="3"/>
      <c r="W75" s="3"/>
      <c r="X75" s="3"/>
    </row>
    <row r="76" ht="15.75" customHeight="1">
      <c r="A76" s="51"/>
      <c r="B76" s="74"/>
      <c r="C76" s="3"/>
      <c r="D76" s="3"/>
      <c r="E76" s="3"/>
      <c r="F76" s="3"/>
      <c r="N76" s="3"/>
      <c r="O76" s="3"/>
      <c r="P76" s="3"/>
      <c r="Q76" s="3"/>
      <c r="V76" s="3"/>
      <c r="W76" s="3"/>
      <c r="X76" s="3"/>
    </row>
    <row r="77" ht="15.75" customHeight="1">
      <c r="A77" s="51"/>
      <c r="B77" s="74"/>
      <c r="C77" s="3"/>
      <c r="D77" s="3"/>
      <c r="E77" s="3"/>
      <c r="F77" s="3"/>
      <c r="N77" s="3"/>
      <c r="O77" s="3"/>
      <c r="P77" s="3"/>
      <c r="Q77" s="3"/>
      <c r="V77" s="3"/>
      <c r="W77" s="3"/>
      <c r="X77" s="3"/>
    </row>
    <row r="78" ht="15.75" customHeight="1">
      <c r="A78" s="51"/>
      <c r="B78" s="74"/>
      <c r="C78" s="3"/>
      <c r="D78" s="3"/>
      <c r="E78" s="3"/>
      <c r="F78" s="3"/>
      <c r="N78" s="3"/>
      <c r="O78" s="3"/>
      <c r="P78" s="3"/>
      <c r="Q78" s="3"/>
      <c r="V78" s="3"/>
      <c r="W78" s="3"/>
      <c r="X78" s="3"/>
    </row>
    <row r="79" ht="15.75" customHeight="1">
      <c r="A79" s="51"/>
      <c r="B79" s="74"/>
      <c r="C79" s="3"/>
      <c r="D79" s="3"/>
      <c r="E79" s="3"/>
      <c r="F79" s="3"/>
      <c r="N79" s="3"/>
      <c r="O79" s="3"/>
      <c r="P79" s="3"/>
      <c r="Q79" s="3"/>
      <c r="V79" s="3"/>
      <c r="W79" s="3"/>
      <c r="X79" s="3"/>
    </row>
    <row r="80" ht="15.75" customHeight="1">
      <c r="A80" s="51"/>
      <c r="B80" s="74"/>
      <c r="C80" s="3"/>
      <c r="D80" s="3"/>
      <c r="E80" s="3"/>
      <c r="F80" s="3"/>
      <c r="N80" s="3"/>
      <c r="O80" s="3"/>
      <c r="P80" s="3"/>
      <c r="Q80" s="3"/>
      <c r="V80" s="3"/>
      <c r="W80" s="3"/>
      <c r="X80" s="3"/>
    </row>
    <row r="81" ht="15.75" customHeight="1">
      <c r="A81" s="3"/>
      <c r="B81" s="74"/>
      <c r="C81" s="3"/>
      <c r="D81" s="3"/>
      <c r="E81" s="3"/>
      <c r="F81" s="3"/>
      <c r="N81" s="3"/>
      <c r="O81" s="3"/>
      <c r="P81" s="3"/>
      <c r="Q81" s="3"/>
      <c r="V81" s="3"/>
      <c r="W81" s="3"/>
      <c r="X81" s="3"/>
    </row>
    <row r="82" ht="15.75" customHeight="1">
      <c r="A82" s="3"/>
      <c r="B82" s="74"/>
      <c r="C82" s="3"/>
      <c r="D82" s="3"/>
      <c r="E82" s="3"/>
      <c r="F82" s="3"/>
      <c r="N82" s="3"/>
      <c r="O82" s="3"/>
      <c r="P82" s="3"/>
      <c r="Q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N83" s="3"/>
      <c r="O83" s="3"/>
      <c r="P83" s="3"/>
      <c r="Q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N84" s="3"/>
      <c r="O84" s="3"/>
      <c r="P84" s="3"/>
      <c r="Q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N85" s="3"/>
      <c r="O85" s="3"/>
      <c r="P85" s="3"/>
      <c r="Q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N86" s="3"/>
      <c r="O86" s="3"/>
      <c r="P86" s="3"/>
      <c r="Q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N87" s="3"/>
      <c r="O87" s="3"/>
      <c r="P87" s="3"/>
      <c r="Q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N88" s="3"/>
      <c r="O88" s="3"/>
      <c r="P88" s="3"/>
      <c r="Q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N89" s="3"/>
      <c r="O89" s="3"/>
      <c r="P89" s="3"/>
      <c r="Q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N90" s="3"/>
      <c r="O90" s="3"/>
      <c r="P90" s="3"/>
      <c r="Q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N91" s="3"/>
      <c r="O91" s="3"/>
      <c r="P91" s="3"/>
      <c r="Q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N92" s="3"/>
      <c r="O92" s="3"/>
      <c r="P92" s="3"/>
      <c r="Q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N93" s="3"/>
      <c r="O93" s="3"/>
      <c r="P93" s="3"/>
      <c r="Q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N94" s="3"/>
      <c r="O94" s="3"/>
      <c r="P94" s="3"/>
      <c r="Q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N95" s="3"/>
      <c r="O95" s="3"/>
      <c r="P95" s="3"/>
      <c r="Q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N96" s="3"/>
      <c r="O96" s="3"/>
      <c r="P96" s="3"/>
      <c r="Q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N97" s="3"/>
      <c r="O97" s="3"/>
      <c r="P97" s="3"/>
      <c r="Q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N98" s="3"/>
      <c r="O98" s="3"/>
      <c r="P98" s="3"/>
      <c r="Q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N99" s="3"/>
      <c r="O99" s="3"/>
      <c r="P99" s="3"/>
      <c r="Q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N100" s="3"/>
      <c r="O100" s="3"/>
      <c r="P100" s="3"/>
      <c r="Q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N101" s="3"/>
      <c r="O101" s="3"/>
      <c r="P101" s="3"/>
      <c r="Q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N102" s="3"/>
      <c r="O102" s="3"/>
      <c r="P102" s="3"/>
      <c r="Q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N103" s="3"/>
      <c r="O103" s="3"/>
      <c r="P103" s="3"/>
      <c r="Q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N104" s="3"/>
      <c r="O104" s="3"/>
      <c r="P104" s="3"/>
      <c r="Q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N105" s="3"/>
      <c r="O105" s="3"/>
      <c r="P105" s="3"/>
      <c r="Q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N106" s="3"/>
      <c r="O106" s="3"/>
      <c r="P106" s="3"/>
      <c r="Q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N107" s="3"/>
      <c r="O107" s="3"/>
      <c r="P107" s="3"/>
      <c r="Q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N108" s="3"/>
      <c r="O108" s="3"/>
      <c r="P108" s="3"/>
      <c r="Q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N109" s="3"/>
      <c r="O109" s="3"/>
      <c r="P109" s="3"/>
      <c r="Q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N110" s="3"/>
      <c r="O110" s="3"/>
      <c r="P110" s="3"/>
      <c r="Q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N111" s="3"/>
      <c r="O111" s="3"/>
      <c r="P111" s="3"/>
      <c r="Q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N112" s="3"/>
      <c r="O112" s="3"/>
      <c r="P112" s="3"/>
      <c r="Q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N113" s="3"/>
      <c r="O113" s="3"/>
      <c r="P113" s="3"/>
      <c r="Q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N114" s="3"/>
      <c r="O114" s="3"/>
      <c r="P114" s="3"/>
      <c r="Q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N115" s="3"/>
      <c r="O115" s="3"/>
      <c r="P115" s="3"/>
      <c r="Q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N116" s="3"/>
      <c r="O116" s="3"/>
      <c r="P116" s="3"/>
      <c r="Q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N117" s="3"/>
      <c r="O117" s="3"/>
      <c r="P117" s="3"/>
      <c r="Q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N118" s="3"/>
      <c r="O118" s="3"/>
      <c r="P118" s="3"/>
      <c r="Q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N119" s="3"/>
      <c r="O119" s="3"/>
      <c r="P119" s="3"/>
      <c r="Q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N120" s="3"/>
      <c r="O120" s="3"/>
      <c r="P120" s="3"/>
      <c r="Q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N121" s="3"/>
      <c r="O121" s="3"/>
      <c r="P121" s="3"/>
      <c r="Q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N122" s="3"/>
      <c r="O122" s="3"/>
      <c r="P122" s="3"/>
      <c r="Q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N123" s="3"/>
      <c r="O123" s="3"/>
      <c r="P123" s="3"/>
      <c r="Q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N124" s="3"/>
      <c r="O124" s="3"/>
      <c r="P124" s="3"/>
      <c r="Q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N125" s="3"/>
      <c r="O125" s="3"/>
      <c r="P125" s="3"/>
      <c r="Q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N126" s="3"/>
      <c r="O126" s="3"/>
      <c r="P126" s="3"/>
      <c r="Q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N127" s="3"/>
      <c r="O127" s="3"/>
      <c r="P127" s="3"/>
      <c r="Q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N128" s="3"/>
      <c r="O128" s="3"/>
      <c r="P128" s="3"/>
      <c r="Q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N129" s="3"/>
      <c r="O129" s="3"/>
      <c r="P129" s="3"/>
      <c r="Q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N130" s="3"/>
      <c r="O130" s="3"/>
      <c r="P130" s="3"/>
      <c r="Q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N131" s="3"/>
      <c r="O131" s="3"/>
      <c r="P131" s="3"/>
      <c r="Q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N132" s="3"/>
      <c r="O132" s="3"/>
      <c r="P132" s="3"/>
      <c r="Q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N133" s="3"/>
      <c r="O133" s="3"/>
      <c r="P133" s="3"/>
      <c r="Q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N134" s="3"/>
      <c r="O134" s="3"/>
      <c r="P134" s="3"/>
      <c r="Q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N135" s="3"/>
      <c r="O135" s="3"/>
      <c r="P135" s="3"/>
      <c r="Q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N136" s="3"/>
      <c r="O136" s="3"/>
      <c r="P136" s="3"/>
      <c r="Q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N137" s="3"/>
      <c r="O137" s="3"/>
      <c r="P137" s="3"/>
      <c r="Q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N138" s="3"/>
      <c r="O138" s="3"/>
      <c r="P138" s="3"/>
      <c r="Q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N139" s="3"/>
      <c r="O139" s="3"/>
      <c r="P139" s="3"/>
      <c r="Q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N140" s="3"/>
      <c r="O140" s="3"/>
      <c r="P140" s="3"/>
      <c r="Q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N141" s="3"/>
      <c r="O141" s="3"/>
      <c r="P141" s="3"/>
      <c r="Q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N142" s="3"/>
      <c r="O142" s="3"/>
      <c r="P142" s="3"/>
      <c r="Q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N143" s="3"/>
      <c r="O143" s="3"/>
      <c r="P143" s="3"/>
      <c r="Q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N144" s="3"/>
      <c r="O144" s="3"/>
      <c r="P144" s="3"/>
      <c r="Q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N145" s="3"/>
      <c r="O145" s="3"/>
      <c r="P145" s="3"/>
      <c r="Q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N146" s="3"/>
      <c r="O146" s="3"/>
      <c r="P146" s="3"/>
      <c r="Q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N147" s="3"/>
      <c r="O147" s="3"/>
      <c r="P147" s="3"/>
      <c r="Q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N148" s="3"/>
      <c r="O148" s="3"/>
      <c r="P148" s="3"/>
      <c r="Q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N149" s="3"/>
      <c r="O149" s="3"/>
      <c r="P149" s="3"/>
      <c r="Q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N150" s="3"/>
      <c r="O150" s="3"/>
      <c r="P150" s="3"/>
      <c r="Q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N151" s="3"/>
      <c r="O151" s="3"/>
      <c r="P151" s="3"/>
      <c r="Q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N152" s="3"/>
      <c r="O152" s="3"/>
      <c r="P152" s="3"/>
      <c r="Q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N153" s="3"/>
      <c r="O153" s="3"/>
      <c r="P153" s="3"/>
      <c r="Q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N154" s="3"/>
      <c r="O154" s="3"/>
      <c r="P154" s="3"/>
      <c r="Q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N155" s="3"/>
      <c r="O155" s="3"/>
      <c r="P155" s="3"/>
      <c r="Q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N156" s="3"/>
      <c r="O156" s="3"/>
      <c r="P156" s="3"/>
      <c r="Q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N157" s="3"/>
      <c r="O157" s="3"/>
      <c r="P157" s="3"/>
      <c r="Q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N158" s="3"/>
      <c r="O158" s="3"/>
      <c r="P158" s="3"/>
      <c r="Q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N159" s="3"/>
      <c r="O159" s="3"/>
      <c r="P159" s="3"/>
      <c r="Q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N160" s="3"/>
      <c r="O160" s="3"/>
      <c r="P160" s="3"/>
      <c r="Q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N161" s="3"/>
      <c r="O161" s="3"/>
      <c r="P161" s="3"/>
      <c r="Q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N162" s="3"/>
      <c r="O162" s="3"/>
      <c r="P162" s="3"/>
      <c r="Q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N163" s="3"/>
      <c r="O163" s="3"/>
      <c r="P163" s="3"/>
      <c r="Q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N164" s="3"/>
      <c r="O164" s="3"/>
      <c r="P164" s="3"/>
      <c r="Q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N165" s="3"/>
      <c r="O165" s="3"/>
      <c r="P165" s="3"/>
      <c r="Q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N166" s="3"/>
      <c r="O166" s="3"/>
      <c r="P166" s="3"/>
      <c r="Q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N167" s="3"/>
      <c r="O167" s="3"/>
      <c r="P167" s="3"/>
      <c r="Q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N168" s="3"/>
      <c r="O168" s="3"/>
      <c r="P168" s="3"/>
      <c r="Q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N169" s="3"/>
      <c r="O169" s="3"/>
      <c r="P169" s="3"/>
      <c r="Q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N170" s="3"/>
      <c r="O170" s="3"/>
      <c r="P170" s="3"/>
      <c r="Q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N171" s="3"/>
      <c r="O171" s="3"/>
      <c r="P171" s="3"/>
      <c r="Q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N172" s="3"/>
      <c r="O172" s="3"/>
      <c r="P172" s="3"/>
      <c r="Q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N173" s="3"/>
      <c r="O173" s="3"/>
      <c r="P173" s="3"/>
      <c r="Q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N174" s="3"/>
      <c r="O174" s="3"/>
      <c r="P174" s="3"/>
      <c r="Q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N175" s="3"/>
      <c r="O175" s="3"/>
      <c r="P175" s="3"/>
      <c r="Q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N176" s="3"/>
      <c r="O176" s="3"/>
      <c r="P176" s="3"/>
      <c r="Q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N177" s="3"/>
      <c r="O177" s="3"/>
      <c r="P177" s="3"/>
      <c r="Q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N178" s="3"/>
      <c r="O178" s="3"/>
      <c r="P178" s="3"/>
      <c r="Q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N179" s="3"/>
      <c r="O179" s="3"/>
      <c r="P179" s="3"/>
      <c r="Q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N180" s="3"/>
      <c r="O180" s="3"/>
      <c r="P180" s="3"/>
      <c r="Q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N181" s="3"/>
      <c r="O181" s="3"/>
      <c r="P181" s="3"/>
      <c r="Q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N182" s="3"/>
      <c r="O182" s="3"/>
      <c r="P182" s="3"/>
      <c r="Q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N183" s="3"/>
      <c r="O183" s="3"/>
      <c r="P183" s="3"/>
      <c r="Q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N184" s="3"/>
      <c r="O184" s="3"/>
      <c r="P184" s="3"/>
      <c r="Q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N185" s="3"/>
      <c r="O185" s="3"/>
      <c r="P185" s="3"/>
      <c r="Q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N186" s="3"/>
      <c r="O186" s="3"/>
      <c r="P186" s="3"/>
      <c r="Q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N187" s="3"/>
      <c r="O187" s="3"/>
      <c r="P187" s="3"/>
      <c r="Q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N188" s="3"/>
      <c r="O188" s="3"/>
      <c r="P188" s="3"/>
      <c r="Q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N189" s="3"/>
      <c r="O189" s="3"/>
      <c r="P189" s="3"/>
      <c r="Q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N190" s="3"/>
      <c r="O190" s="3"/>
      <c r="P190" s="3"/>
      <c r="Q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N191" s="3"/>
      <c r="O191" s="3"/>
      <c r="P191" s="3"/>
      <c r="Q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N192" s="3"/>
      <c r="O192" s="3"/>
      <c r="P192" s="3"/>
      <c r="Q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N193" s="3"/>
      <c r="O193" s="3"/>
      <c r="P193" s="3"/>
      <c r="Q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N194" s="3"/>
      <c r="O194" s="3"/>
      <c r="P194" s="3"/>
      <c r="Q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N195" s="3"/>
      <c r="O195" s="3"/>
      <c r="P195" s="3"/>
      <c r="Q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N196" s="3"/>
      <c r="O196" s="3"/>
      <c r="P196" s="3"/>
      <c r="Q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N197" s="3"/>
      <c r="O197" s="3"/>
      <c r="P197" s="3"/>
      <c r="Q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N198" s="3"/>
      <c r="O198" s="3"/>
      <c r="P198" s="3"/>
      <c r="Q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N199" s="3"/>
      <c r="O199" s="3"/>
      <c r="P199" s="3"/>
      <c r="Q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N200" s="3"/>
      <c r="O200" s="3"/>
      <c r="P200" s="3"/>
      <c r="Q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N201" s="3"/>
      <c r="O201" s="3"/>
      <c r="P201" s="3"/>
      <c r="Q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N202" s="3"/>
      <c r="O202" s="3"/>
      <c r="P202" s="3"/>
      <c r="Q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N203" s="3"/>
      <c r="O203" s="3"/>
      <c r="P203" s="3"/>
      <c r="Q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N204" s="3"/>
      <c r="O204" s="3"/>
      <c r="P204" s="3"/>
      <c r="Q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N205" s="3"/>
      <c r="O205" s="3"/>
      <c r="P205" s="3"/>
      <c r="Q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N206" s="3"/>
      <c r="O206" s="3"/>
      <c r="P206" s="3"/>
      <c r="Q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N207" s="3"/>
      <c r="O207" s="3"/>
      <c r="P207" s="3"/>
      <c r="Q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N208" s="3"/>
      <c r="O208" s="3"/>
      <c r="P208" s="3"/>
      <c r="Q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N209" s="3"/>
      <c r="O209" s="3"/>
      <c r="P209" s="3"/>
      <c r="Q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N210" s="3"/>
      <c r="O210" s="3"/>
      <c r="P210" s="3"/>
      <c r="Q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N211" s="3"/>
      <c r="O211" s="3"/>
      <c r="P211" s="3"/>
      <c r="Q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N212" s="3"/>
      <c r="O212" s="3"/>
      <c r="P212" s="3"/>
      <c r="Q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N213" s="3"/>
      <c r="O213" s="3"/>
      <c r="P213" s="3"/>
      <c r="Q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N214" s="3"/>
      <c r="O214" s="3"/>
      <c r="P214" s="3"/>
      <c r="Q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N215" s="3"/>
      <c r="O215" s="3"/>
      <c r="P215" s="3"/>
      <c r="Q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N216" s="3"/>
      <c r="O216" s="3"/>
      <c r="P216" s="3"/>
      <c r="Q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N217" s="3"/>
      <c r="O217" s="3"/>
      <c r="P217" s="3"/>
      <c r="Q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N218" s="3"/>
      <c r="O218" s="3"/>
      <c r="P218" s="3"/>
      <c r="Q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N219" s="3"/>
      <c r="O219" s="3"/>
      <c r="P219" s="3"/>
      <c r="Q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N220" s="3"/>
      <c r="O220" s="3"/>
      <c r="P220" s="3"/>
      <c r="Q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N221" s="3"/>
      <c r="O221" s="3"/>
      <c r="P221" s="3"/>
      <c r="Q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N222" s="3"/>
      <c r="O222" s="3"/>
      <c r="P222" s="3"/>
      <c r="Q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N223" s="3"/>
      <c r="O223" s="3"/>
      <c r="P223" s="3"/>
      <c r="Q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N224" s="3"/>
      <c r="O224" s="3"/>
      <c r="P224" s="3"/>
      <c r="Q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N225" s="3"/>
      <c r="O225" s="3"/>
      <c r="P225" s="3"/>
      <c r="Q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N226" s="3"/>
      <c r="O226" s="3"/>
      <c r="P226" s="3"/>
      <c r="Q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N227" s="3"/>
      <c r="O227" s="3"/>
      <c r="P227" s="3"/>
      <c r="Q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N228" s="3"/>
      <c r="O228" s="3"/>
      <c r="P228" s="3"/>
      <c r="Q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N229" s="3"/>
      <c r="O229" s="3"/>
      <c r="P229" s="3"/>
      <c r="Q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N230" s="3"/>
      <c r="O230" s="3"/>
      <c r="P230" s="3"/>
      <c r="Q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N231" s="3"/>
      <c r="O231" s="3"/>
      <c r="P231" s="3"/>
      <c r="Q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N232" s="3"/>
      <c r="O232" s="3"/>
      <c r="P232" s="3"/>
      <c r="Q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N233" s="3"/>
      <c r="O233" s="3"/>
      <c r="P233" s="3"/>
      <c r="Q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N234" s="3"/>
      <c r="O234" s="3"/>
      <c r="P234" s="3"/>
      <c r="Q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N235" s="3"/>
      <c r="O235" s="3"/>
      <c r="P235" s="3"/>
      <c r="Q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N236" s="3"/>
      <c r="O236" s="3"/>
      <c r="P236" s="3"/>
      <c r="Q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N237" s="3"/>
      <c r="O237" s="3"/>
      <c r="P237" s="3"/>
      <c r="Q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N238" s="3"/>
      <c r="O238" s="3"/>
      <c r="P238" s="3"/>
      <c r="Q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N239" s="3"/>
      <c r="O239" s="3"/>
      <c r="P239" s="3"/>
      <c r="Q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N240" s="3"/>
      <c r="O240" s="3"/>
      <c r="P240" s="3"/>
      <c r="Q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N241" s="3"/>
      <c r="O241" s="3"/>
      <c r="P241" s="3"/>
      <c r="Q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N242" s="3"/>
      <c r="O242" s="3"/>
      <c r="P242" s="3"/>
      <c r="Q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N243" s="3"/>
      <c r="O243" s="3"/>
      <c r="P243" s="3"/>
      <c r="Q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N244" s="3"/>
      <c r="O244" s="3"/>
      <c r="P244" s="3"/>
      <c r="Q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N245" s="3"/>
      <c r="O245" s="3"/>
      <c r="P245" s="3"/>
      <c r="Q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N246" s="3"/>
      <c r="O246" s="3"/>
      <c r="P246" s="3"/>
      <c r="Q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N247" s="3"/>
      <c r="O247" s="3"/>
      <c r="P247" s="3"/>
      <c r="Q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N248" s="3"/>
      <c r="O248" s="3"/>
      <c r="P248" s="3"/>
      <c r="Q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N249" s="3"/>
      <c r="O249" s="3"/>
      <c r="P249" s="3"/>
      <c r="Q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N250" s="3"/>
      <c r="O250" s="3"/>
      <c r="P250" s="3"/>
      <c r="Q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N251" s="3"/>
      <c r="O251" s="3"/>
      <c r="P251" s="3"/>
      <c r="Q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N252" s="3"/>
      <c r="O252" s="3"/>
      <c r="P252" s="3"/>
      <c r="Q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N253" s="3"/>
      <c r="O253" s="3"/>
      <c r="P253" s="3"/>
      <c r="Q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N254" s="3"/>
      <c r="O254" s="3"/>
      <c r="P254" s="3"/>
      <c r="Q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N255" s="3"/>
      <c r="O255" s="3"/>
      <c r="P255" s="3"/>
      <c r="Q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N256" s="3"/>
      <c r="O256" s="3"/>
      <c r="P256" s="3"/>
      <c r="Q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N257" s="3"/>
      <c r="O257" s="3"/>
      <c r="P257" s="3"/>
      <c r="Q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N258" s="3"/>
      <c r="O258" s="3"/>
      <c r="P258" s="3"/>
      <c r="Q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N259" s="3"/>
      <c r="O259" s="3"/>
      <c r="P259" s="3"/>
      <c r="Q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N260" s="3"/>
      <c r="O260" s="3"/>
      <c r="P260" s="3"/>
      <c r="Q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N261" s="3"/>
      <c r="O261" s="3"/>
      <c r="P261" s="3"/>
      <c r="Q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N262" s="3"/>
      <c r="O262" s="3"/>
      <c r="P262" s="3"/>
      <c r="Q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N263" s="3"/>
      <c r="O263" s="3"/>
      <c r="P263" s="3"/>
      <c r="Q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N264" s="3"/>
      <c r="O264" s="3"/>
      <c r="P264" s="3"/>
      <c r="Q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N265" s="3"/>
      <c r="O265" s="3"/>
      <c r="P265" s="3"/>
      <c r="Q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N266" s="3"/>
      <c r="O266" s="3"/>
      <c r="P266" s="3"/>
      <c r="Q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N267" s="3"/>
      <c r="O267" s="3"/>
      <c r="P267" s="3"/>
      <c r="Q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N268" s="3"/>
      <c r="O268" s="3"/>
      <c r="P268" s="3"/>
      <c r="Q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N269" s="3"/>
      <c r="O269" s="3"/>
      <c r="P269" s="3"/>
      <c r="Q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N270" s="3"/>
      <c r="O270" s="3"/>
      <c r="P270" s="3"/>
      <c r="Q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N271" s="3"/>
      <c r="O271" s="3"/>
      <c r="P271" s="3"/>
      <c r="Q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N272" s="3"/>
      <c r="O272" s="3"/>
      <c r="P272" s="3"/>
      <c r="Q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N273" s="3"/>
      <c r="O273" s="3"/>
      <c r="P273" s="3"/>
      <c r="Q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N274" s="3"/>
      <c r="O274" s="3"/>
      <c r="P274" s="3"/>
      <c r="Q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N275" s="3"/>
      <c r="O275" s="3"/>
      <c r="P275" s="3"/>
      <c r="Q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N276" s="3"/>
      <c r="O276" s="3"/>
      <c r="P276" s="3"/>
      <c r="Q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N277" s="3"/>
      <c r="O277" s="3"/>
      <c r="P277" s="3"/>
      <c r="Q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N278" s="3"/>
      <c r="O278" s="3"/>
      <c r="P278" s="3"/>
      <c r="Q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N279" s="3"/>
      <c r="O279" s="3"/>
      <c r="P279" s="3"/>
      <c r="Q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N280" s="3"/>
      <c r="O280" s="3"/>
      <c r="P280" s="3"/>
      <c r="Q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N281" s="3"/>
      <c r="O281" s="3"/>
      <c r="P281" s="3"/>
      <c r="Q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N282" s="3"/>
      <c r="O282" s="3"/>
      <c r="P282" s="3"/>
      <c r="Q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N283" s="3"/>
      <c r="O283" s="3"/>
      <c r="P283" s="3"/>
      <c r="Q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N284" s="3"/>
      <c r="O284" s="3"/>
      <c r="P284" s="3"/>
      <c r="Q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N285" s="3"/>
      <c r="O285" s="3"/>
      <c r="P285" s="3"/>
      <c r="Q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N286" s="3"/>
      <c r="O286" s="3"/>
      <c r="P286" s="3"/>
      <c r="Q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N287" s="3"/>
      <c r="O287" s="3"/>
      <c r="P287" s="3"/>
      <c r="Q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N288" s="3"/>
      <c r="O288" s="3"/>
      <c r="P288" s="3"/>
      <c r="Q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N289" s="3"/>
      <c r="O289" s="3"/>
      <c r="P289" s="3"/>
      <c r="Q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N290" s="3"/>
      <c r="O290" s="3"/>
      <c r="P290" s="3"/>
      <c r="Q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N291" s="3"/>
      <c r="O291" s="3"/>
      <c r="P291" s="3"/>
      <c r="Q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N292" s="3"/>
      <c r="O292" s="3"/>
      <c r="P292" s="3"/>
      <c r="Q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N293" s="3"/>
      <c r="O293" s="3"/>
      <c r="P293" s="3"/>
      <c r="Q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N294" s="3"/>
      <c r="O294" s="3"/>
      <c r="P294" s="3"/>
      <c r="Q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N295" s="3"/>
      <c r="O295" s="3"/>
      <c r="P295" s="3"/>
      <c r="Q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N296" s="3"/>
      <c r="O296" s="3"/>
      <c r="P296" s="3"/>
      <c r="Q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N297" s="3"/>
      <c r="O297" s="3"/>
      <c r="P297" s="3"/>
      <c r="Q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N298" s="3"/>
      <c r="O298" s="3"/>
      <c r="P298" s="3"/>
      <c r="Q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N299" s="3"/>
      <c r="O299" s="3"/>
      <c r="P299" s="3"/>
      <c r="Q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N300" s="3"/>
      <c r="O300" s="3"/>
      <c r="P300" s="3"/>
      <c r="Q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N301" s="3"/>
      <c r="O301" s="3"/>
      <c r="P301" s="3"/>
      <c r="Q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N302" s="3"/>
      <c r="O302" s="3"/>
      <c r="P302" s="3"/>
      <c r="Q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N303" s="3"/>
      <c r="O303" s="3"/>
      <c r="P303" s="3"/>
      <c r="Q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N304" s="3"/>
      <c r="O304" s="3"/>
      <c r="P304" s="3"/>
      <c r="Q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N305" s="3"/>
      <c r="O305" s="3"/>
      <c r="P305" s="3"/>
      <c r="Q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N306" s="3"/>
      <c r="O306" s="3"/>
      <c r="P306" s="3"/>
      <c r="Q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N307" s="3"/>
      <c r="O307" s="3"/>
      <c r="P307" s="3"/>
      <c r="Q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N308" s="3"/>
      <c r="O308" s="3"/>
      <c r="P308" s="3"/>
      <c r="Q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N309" s="3"/>
      <c r="O309" s="3"/>
      <c r="P309" s="3"/>
      <c r="Q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N310" s="3"/>
      <c r="O310" s="3"/>
      <c r="P310" s="3"/>
      <c r="Q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N311" s="3"/>
      <c r="O311" s="3"/>
      <c r="P311" s="3"/>
      <c r="Q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N312" s="3"/>
      <c r="O312" s="3"/>
      <c r="P312" s="3"/>
      <c r="Q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N313" s="3"/>
      <c r="O313" s="3"/>
      <c r="P313" s="3"/>
      <c r="Q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N314" s="3"/>
      <c r="O314" s="3"/>
      <c r="P314" s="3"/>
      <c r="Q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N315" s="3"/>
      <c r="O315" s="3"/>
      <c r="P315" s="3"/>
      <c r="Q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N316" s="3"/>
      <c r="O316" s="3"/>
      <c r="P316" s="3"/>
      <c r="Q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N317" s="3"/>
      <c r="O317" s="3"/>
      <c r="P317" s="3"/>
      <c r="Q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N318" s="3"/>
      <c r="O318" s="3"/>
      <c r="P318" s="3"/>
      <c r="Q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N319" s="3"/>
      <c r="O319" s="3"/>
      <c r="P319" s="3"/>
      <c r="Q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N320" s="3"/>
      <c r="O320" s="3"/>
      <c r="P320" s="3"/>
      <c r="Q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N321" s="3"/>
      <c r="O321" s="3"/>
      <c r="P321" s="3"/>
      <c r="Q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N322" s="3"/>
      <c r="O322" s="3"/>
      <c r="P322" s="3"/>
      <c r="Q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N323" s="3"/>
      <c r="O323" s="3"/>
      <c r="P323" s="3"/>
      <c r="Q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N324" s="3"/>
      <c r="O324" s="3"/>
      <c r="P324" s="3"/>
      <c r="Q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N325" s="3"/>
      <c r="O325" s="3"/>
      <c r="P325" s="3"/>
      <c r="Q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N326" s="3"/>
      <c r="O326" s="3"/>
      <c r="P326" s="3"/>
      <c r="Q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N327" s="3"/>
      <c r="O327" s="3"/>
      <c r="P327" s="3"/>
      <c r="Q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N328" s="3"/>
      <c r="O328" s="3"/>
      <c r="P328" s="3"/>
      <c r="Q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N329" s="3"/>
      <c r="O329" s="3"/>
      <c r="P329" s="3"/>
      <c r="Q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N330" s="3"/>
      <c r="O330" s="3"/>
      <c r="P330" s="3"/>
      <c r="Q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N331" s="3"/>
      <c r="O331" s="3"/>
      <c r="P331" s="3"/>
      <c r="Q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N332" s="3"/>
      <c r="O332" s="3"/>
      <c r="P332" s="3"/>
      <c r="Q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N333" s="3"/>
      <c r="O333" s="3"/>
      <c r="P333" s="3"/>
      <c r="Q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N334" s="3"/>
      <c r="O334" s="3"/>
      <c r="P334" s="3"/>
      <c r="Q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N335" s="3"/>
      <c r="O335" s="3"/>
      <c r="P335" s="3"/>
      <c r="Q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N336" s="3"/>
      <c r="O336" s="3"/>
      <c r="P336" s="3"/>
      <c r="Q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N337" s="3"/>
      <c r="O337" s="3"/>
      <c r="P337" s="3"/>
      <c r="Q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N338" s="3"/>
      <c r="O338" s="3"/>
      <c r="P338" s="3"/>
      <c r="Q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N339" s="3"/>
      <c r="O339" s="3"/>
      <c r="P339" s="3"/>
      <c r="Q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N340" s="3"/>
      <c r="O340" s="3"/>
      <c r="P340" s="3"/>
      <c r="Q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N341" s="3"/>
      <c r="O341" s="3"/>
      <c r="P341" s="3"/>
      <c r="Q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N342" s="3"/>
      <c r="O342" s="3"/>
      <c r="P342" s="3"/>
      <c r="Q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N343" s="3"/>
      <c r="O343" s="3"/>
      <c r="P343" s="3"/>
      <c r="Q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N344" s="3"/>
      <c r="O344" s="3"/>
      <c r="P344" s="3"/>
      <c r="Q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N345" s="3"/>
      <c r="O345" s="3"/>
      <c r="P345" s="3"/>
      <c r="Q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N346" s="3"/>
      <c r="O346" s="3"/>
      <c r="P346" s="3"/>
      <c r="Q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N347" s="3"/>
      <c r="O347" s="3"/>
      <c r="P347" s="3"/>
      <c r="Q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N348" s="3"/>
      <c r="O348" s="3"/>
      <c r="P348" s="3"/>
      <c r="Q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N349" s="3"/>
      <c r="O349" s="3"/>
      <c r="P349" s="3"/>
      <c r="Q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N350" s="3"/>
      <c r="O350" s="3"/>
      <c r="P350" s="3"/>
      <c r="Q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N351" s="3"/>
      <c r="O351" s="3"/>
      <c r="P351" s="3"/>
      <c r="Q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N352" s="3"/>
      <c r="O352" s="3"/>
      <c r="P352" s="3"/>
      <c r="Q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N353" s="3"/>
      <c r="O353" s="3"/>
      <c r="P353" s="3"/>
      <c r="Q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N354" s="3"/>
      <c r="O354" s="3"/>
      <c r="P354" s="3"/>
      <c r="Q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N355" s="3"/>
      <c r="O355" s="3"/>
      <c r="P355" s="3"/>
      <c r="Q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N356" s="3"/>
      <c r="O356" s="3"/>
      <c r="P356" s="3"/>
      <c r="Q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N357" s="3"/>
      <c r="O357" s="3"/>
      <c r="P357" s="3"/>
      <c r="Q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N358" s="3"/>
      <c r="O358" s="3"/>
      <c r="P358" s="3"/>
      <c r="Q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N359" s="3"/>
      <c r="O359" s="3"/>
      <c r="P359" s="3"/>
      <c r="Q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N360" s="3"/>
      <c r="O360" s="3"/>
      <c r="P360" s="3"/>
      <c r="Q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N361" s="3"/>
      <c r="O361" s="3"/>
      <c r="P361" s="3"/>
      <c r="Q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N362" s="3"/>
      <c r="O362" s="3"/>
      <c r="P362" s="3"/>
      <c r="Q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N363" s="3"/>
      <c r="O363" s="3"/>
      <c r="P363" s="3"/>
      <c r="Q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N364" s="3"/>
      <c r="O364" s="3"/>
      <c r="P364" s="3"/>
      <c r="Q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N365" s="3"/>
      <c r="O365" s="3"/>
      <c r="P365" s="3"/>
      <c r="Q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N366" s="3"/>
      <c r="O366" s="3"/>
      <c r="P366" s="3"/>
      <c r="Q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N367" s="3"/>
      <c r="O367" s="3"/>
      <c r="P367" s="3"/>
      <c r="Q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N368" s="3"/>
      <c r="O368" s="3"/>
      <c r="P368" s="3"/>
      <c r="Q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N369" s="3"/>
      <c r="O369" s="3"/>
      <c r="P369" s="3"/>
      <c r="Q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N370" s="3"/>
      <c r="O370" s="3"/>
      <c r="P370" s="3"/>
      <c r="Q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N371" s="3"/>
      <c r="O371" s="3"/>
      <c r="P371" s="3"/>
      <c r="Q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N372" s="3"/>
      <c r="O372" s="3"/>
      <c r="P372" s="3"/>
      <c r="Q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N373" s="3"/>
      <c r="O373" s="3"/>
      <c r="P373" s="3"/>
      <c r="Q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N374" s="3"/>
      <c r="O374" s="3"/>
      <c r="P374" s="3"/>
      <c r="Q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N375" s="3"/>
      <c r="O375" s="3"/>
      <c r="P375" s="3"/>
      <c r="Q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N376" s="3"/>
      <c r="O376" s="3"/>
      <c r="P376" s="3"/>
      <c r="Q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N377" s="3"/>
      <c r="O377" s="3"/>
      <c r="P377" s="3"/>
      <c r="Q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N378" s="3"/>
      <c r="O378" s="3"/>
      <c r="P378" s="3"/>
      <c r="Q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N379" s="3"/>
      <c r="O379" s="3"/>
      <c r="P379" s="3"/>
      <c r="Q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N380" s="3"/>
      <c r="O380" s="3"/>
      <c r="P380" s="3"/>
      <c r="Q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N381" s="3"/>
      <c r="O381" s="3"/>
      <c r="P381" s="3"/>
      <c r="Q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N382" s="3"/>
      <c r="O382" s="3"/>
      <c r="P382" s="3"/>
      <c r="Q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N383" s="3"/>
      <c r="O383" s="3"/>
      <c r="P383" s="3"/>
      <c r="Q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N384" s="3"/>
      <c r="O384" s="3"/>
      <c r="P384" s="3"/>
      <c r="Q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N385" s="3"/>
      <c r="O385" s="3"/>
      <c r="P385" s="3"/>
      <c r="Q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N386" s="3"/>
      <c r="O386" s="3"/>
      <c r="P386" s="3"/>
      <c r="Q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N387" s="3"/>
      <c r="O387" s="3"/>
      <c r="P387" s="3"/>
      <c r="Q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N388" s="3"/>
      <c r="O388" s="3"/>
      <c r="P388" s="3"/>
      <c r="Q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N389" s="3"/>
      <c r="O389" s="3"/>
      <c r="P389" s="3"/>
      <c r="Q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N390" s="3"/>
      <c r="O390" s="3"/>
      <c r="P390" s="3"/>
      <c r="Q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N391" s="3"/>
      <c r="O391" s="3"/>
      <c r="P391" s="3"/>
      <c r="Q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N392" s="3"/>
      <c r="O392" s="3"/>
      <c r="P392" s="3"/>
      <c r="Q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N393" s="3"/>
      <c r="O393" s="3"/>
      <c r="P393" s="3"/>
      <c r="Q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N394" s="3"/>
      <c r="O394" s="3"/>
      <c r="P394" s="3"/>
      <c r="Q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N395" s="3"/>
      <c r="O395" s="3"/>
      <c r="P395" s="3"/>
      <c r="Q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N396" s="3"/>
      <c r="O396" s="3"/>
      <c r="P396" s="3"/>
      <c r="Q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N397" s="3"/>
      <c r="O397" s="3"/>
      <c r="P397" s="3"/>
      <c r="Q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N398" s="3"/>
      <c r="O398" s="3"/>
      <c r="P398" s="3"/>
      <c r="Q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N399" s="3"/>
      <c r="O399" s="3"/>
      <c r="P399" s="3"/>
      <c r="Q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N400" s="3"/>
      <c r="O400" s="3"/>
      <c r="P400" s="3"/>
      <c r="Q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N401" s="3"/>
      <c r="O401" s="3"/>
      <c r="P401" s="3"/>
      <c r="Q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N402" s="3"/>
      <c r="O402" s="3"/>
      <c r="P402" s="3"/>
      <c r="Q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N403" s="3"/>
      <c r="O403" s="3"/>
      <c r="P403" s="3"/>
      <c r="Q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N404" s="3"/>
      <c r="O404" s="3"/>
      <c r="P404" s="3"/>
      <c r="Q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N405" s="3"/>
      <c r="O405" s="3"/>
      <c r="P405" s="3"/>
      <c r="Q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N406" s="3"/>
      <c r="O406" s="3"/>
      <c r="P406" s="3"/>
      <c r="Q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N407" s="3"/>
      <c r="O407" s="3"/>
      <c r="P407" s="3"/>
      <c r="Q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N408" s="3"/>
      <c r="O408" s="3"/>
      <c r="P408" s="3"/>
      <c r="Q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N409" s="3"/>
      <c r="O409" s="3"/>
      <c r="P409" s="3"/>
      <c r="Q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N410" s="3"/>
      <c r="O410" s="3"/>
      <c r="P410" s="3"/>
      <c r="Q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N411" s="3"/>
      <c r="O411" s="3"/>
      <c r="P411" s="3"/>
      <c r="Q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N412" s="3"/>
      <c r="O412" s="3"/>
      <c r="P412" s="3"/>
      <c r="Q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N413" s="3"/>
      <c r="O413" s="3"/>
      <c r="P413" s="3"/>
      <c r="Q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N414" s="3"/>
      <c r="O414" s="3"/>
      <c r="P414" s="3"/>
      <c r="Q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N415" s="3"/>
      <c r="O415" s="3"/>
      <c r="P415" s="3"/>
      <c r="Q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N416" s="3"/>
      <c r="O416" s="3"/>
      <c r="P416" s="3"/>
      <c r="Q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N417" s="3"/>
      <c r="O417" s="3"/>
      <c r="P417" s="3"/>
      <c r="Q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N418" s="3"/>
      <c r="O418" s="3"/>
      <c r="P418" s="3"/>
      <c r="Q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N419" s="3"/>
      <c r="O419" s="3"/>
      <c r="P419" s="3"/>
      <c r="Q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N420" s="3"/>
      <c r="O420" s="3"/>
      <c r="P420" s="3"/>
      <c r="Q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N421" s="3"/>
      <c r="O421" s="3"/>
      <c r="P421" s="3"/>
      <c r="Q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N422" s="3"/>
      <c r="O422" s="3"/>
      <c r="P422" s="3"/>
      <c r="Q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N423" s="3"/>
      <c r="O423" s="3"/>
      <c r="P423" s="3"/>
      <c r="Q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N424" s="3"/>
      <c r="O424" s="3"/>
      <c r="P424" s="3"/>
      <c r="Q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N425" s="3"/>
      <c r="O425" s="3"/>
      <c r="P425" s="3"/>
      <c r="Q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N426" s="3"/>
      <c r="O426" s="3"/>
      <c r="P426" s="3"/>
      <c r="Q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N427" s="3"/>
      <c r="O427" s="3"/>
      <c r="P427" s="3"/>
      <c r="Q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N428" s="3"/>
      <c r="O428" s="3"/>
      <c r="P428" s="3"/>
      <c r="Q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N429" s="3"/>
      <c r="O429" s="3"/>
      <c r="P429" s="3"/>
      <c r="Q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N430" s="3"/>
      <c r="O430" s="3"/>
      <c r="P430" s="3"/>
      <c r="Q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N431" s="3"/>
      <c r="O431" s="3"/>
      <c r="P431" s="3"/>
      <c r="Q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N432" s="3"/>
      <c r="O432" s="3"/>
      <c r="P432" s="3"/>
      <c r="Q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N433" s="3"/>
      <c r="O433" s="3"/>
      <c r="P433" s="3"/>
      <c r="Q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N434" s="3"/>
      <c r="O434" s="3"/>
      <c r="P434" s="3"/>
      <c r="Q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N435" s="3"/>
      <c r="O435" s="3"/>
      <c r="P435" s="3"/>
      <c r="Q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N436" s="3"/>
      <c r="O436" s="3"/>
      <c r="P436" s="3"/>
      <c r="Q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N437" s="3"/>
      <c r="O437" s="3"/>
      <c r="P437" s="3"/>
      <c r="Q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N438" s="3"/>
      <c r="O438" s="3"/>
      <c r="P438" s="3"/>
      <c r="Q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N439" s="3"/>
      <c r="O439" s="3"/>
      <c r="P439" s="3"/>
      <c r="Q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N440" s="3"/>
      <c r="O440" s="3"/>
      <c r="P440" s="3"/>
      <c r="Q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N441" s="3"/>
      <c r="O441" s="3"/>
      <c r="P441" s="3"/>
      <c r="Q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N442" s="3"/>
      <c r="O442" s="3"/>
      <c r="P442" s="3"/>
      <c r="Q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N443" s="3"/>
      <c r="O443" s="3"/>
      <c r="P443" s="3"/>
      <c r="Q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N444" s="3"/>
      <c r="O444" s="3"/>
      <c r="P444" s="3"/>
      <c r="Q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N445" s="3"/>
      <c r="O445" s="3"/>
      <c r="P445" s="3"/>
      <c r="Q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N446" s="3"/>
      <c r="O446" s="3"/>
      <c r="P446" s="3"/>
      <c r="Q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N447" s="3"/>
      <c r="O447" s="3"/>
      <c r="P447" s="3"/>
      <c r="Q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N448" s="3"/>
      <c r="O448" s="3"/>
      <c r="P448" s="3"/>
      <c r="Q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N449" s="3"/>
      <c r="O449" s="3"/>
      <c r="P449" s="3"/>
      <c r="Q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N450" s="3"/>
      <c r="O450" s="3"/>
      <c r="P450" s="3"/>
      <c r="Q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N451" s="3"/>
      <c r="O451" s="3"/>
      <c r="P451" s="3"/>
      <c r="Q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N452" s="3"/>
      <c r="O452" s="3"/>
      <c r="P452" s="3"/>
      <c r="Q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N453" s="3"/>
      <c r="O453" s="3"/>
      <c r="P453" s="3"/>
      <c r="Q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N454" s="3"/>
      <c r="O454" s="3"/>
      <c r="P454" s="3"/>
      <c r="Q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N455" s="3"/>
      <c r="O455" s="3"/>
      <c r="P455" s="3"/>
      <c r="Q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N456" s="3"/>
      <c r="O456" s="3"/>
      <c r="P456" s="3"/>
      <c r="Q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N457" s="3"/>
      <c r="O457" s="3"/>
      <c r="P457" s="3"/>
      <c r="Q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N458" s="3"/>
      <c r="O458" s="3"/>
      <c r="P458" s="3"/>
      <c r="Q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N459" s="3"/>
      <c r="O459" s="3"/>
      <c r="P459" s="3"/>
      <c r="Q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N460" s="3"/>
      <c r="O460" s="3"/>
      <c r="P460" s="3"/>
      <c r="Q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N461" s="3"/>
      <c r="O461" s="3"/>
      <c r="P461" s="3"/>
      <c r="Q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N462" s="3"/>
      <c r="O462" s="3"/>
      <c r="P462" s="3"/>
      <c r="Q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N463" s="3"/>
      <c r="O463" s="3"/>
      <c r="P463" s="3"/>
      <c r="Q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N464" s="3"/>
      <c r="O464" s="3"/>
      <c r="P464" s="3"/>
      <c r="Q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N465" s="3"/>
      <c r="O465" s="3"/>
      <c r="P465" s="3"/>
      <c r="Q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N466" s="3"/>
      <c r="O466" s="3"/>
      <c r="P466" s="3"/>
      <c r="Q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N467" s="3"/>
      <c r="O467" s="3"/>
      <c r="P467" s="3"/>
      <c r="Q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N468" s="3"/>
      <c r="O468" s="3"/>
      <c r="P468" s="3"/>
      <c r="Q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N469" s="3"/>
      <c r="O469" s="3"/>
      <c r="P469" s="3"/>
      <c r="Q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N470" s="3"/>
      <c r="O470" s="3"/>
      <c r="P470" s="3"/>
      <c r="Q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N471" s="3"/>
      <c r="O471" s="3"/>
      <c r="P471" s="3"/>
      <c r="Q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N472" s="3"/>
      <c r="O472" s="3"/>
      <c r="P472" s="3"/>
      <c r="Q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N473" s="3"/>
      <c r="O473" s="3"/>
      <c r="P473" s="3"/>
      <c r="Q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N474" s="3"/>
      <c r="O474" s="3"/>
      <c r="P474" s="3"/>
      <c r="Q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N475" s="3"/>
      <c r="O475" s="3"/>
      <c r="P475" s="3"/>
      <c r="Q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N476" s="3"/>
      <c r="O476" s="3"/>
      <c r="P476" s="3"/>
      <c r="Q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N477" s="3"/>
      <c r="O477" s="3"/>
      <c r="P477" s="3"/>
      <c r="Q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N478" s="3"/>
      <c r="O478" s="3"/>
      <c r="P478" s="3"/>
      <c r="Q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N479" s="3"/>
      <c r="O479" s="3"/>
      <c r="P479" s="3"/>
      <c r="Q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N480" s="3"/>
      <c r="O480" s="3"/>
      <c r="P480" s="3"/>
      <c r="Q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N481" s="3"/>
      <c r="O481" s="3"/>
      <c r="P481" s="3"/>
      <c r="Q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N482" s="3"/>
      <c r="O482" s="3"/>
      <c r="P482" s="3"/>
      <c r="Q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N483" s="3"/>
      <c r="O483" s="3"/>
      <c r="P483" s="3"/>
      <c r="Q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N484" s="3"/>
      <c r="O484" s="3"/>
      <c r="P484" s="3"/>
      <c r="Q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N485" s="3"/>
      <c r="O485" s="3"/>
      <c r="P485" s="3"/>
      <c r="Q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N486" s="3"/>
      <c r="O486" s="3"/>
      <c r="P486" s="3"/>
      <c r="Q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N487" s="3"/>
      <c r="O487" s="3"/>
      <c r="P487" s="3"/>
      <c r="Q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N488" s="3"/>
      <c r="O488" s="3"/>
      <c r="P488" s="3"/>
      <c r="Q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N489" s="3"/>
      <c r="O489" s="3"/>
      <c r="P489" s="3"/>
      <c r="Q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N490" s="3"/>
      <c r="O490" s="3"/>
      <c r="P490" s="3"/>
      <c r="Q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N491" s="3"/>
      <c r="O491" s="3"/>
      <c r="P491" s="3"/>
      <c r="Q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N492" s="3"/>
      <c r="O492" s="3"/>
      <c r="P492" s="3"/>
      <c r="Q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N493" s="3"/>
      <c r="O493" s="3"/>
      <c r="P493" s="3"/>
      <c r="Q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N494" s="3"/>
      <c r="O494" s="3"/>
      <c r="P494" s="3"/>
      <c r="Q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N495" s="3"/>
      <c r="O495" s="3"/>
      <c r="P495" s="3"/>
      <c r="Q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N496" s="3"/>
      <c r="O496" s="3"/>
      <c r="P496" s="3"/>
      <c r="Q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N497" s="3"/>
      <c r="O497" s="3"/>
      <c r="P497" s="3"/>
      <c r="Q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N498" s="3"/>
      <c r="O498" s="3"/>
      <c r="P498" s="3"/>
      <c r="Q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N499" s="3"/>
      <c r="O499" s="3"/>
      <c r="P499" s="3"/>
      <c r="Q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N500" s="3"/>
      <c r="O500" s="3"/>
      <c r="P500" s="3"/>
      <c r="Q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N501" s="3"/>
      <c r="O501" s="3"/>
      <c r="P501" s="3"/>
      <c r="Q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N502" s="3"/>
      <c r="O502" s="3"/>
      <c r="P502" s="3"/>
      <c r="Q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N503" s="3"/>
      <c r="O503" s="3"/>
      <c r="P503" s="3"/>
      <c r="Q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N504" s="3"/>
      <c r="O504" s="3"/>
      <c r="P504" s="3"/>
      <c r="Q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N505" s="3"/>
      <c r="O505" s="3"/>
      <c r="P505" s="3"/>
      <c r="Q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N506" s="3"/>
      <c r="O506" s="3"/>
      <c r="P506" s="3"/>
      <c r="Q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N507" s="3"/>
      <c r="O507" s="3"/>
      <c r="P507" s="3"/>
      <c r="Q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N508" s="3"/>
      <c r="O508" s="3"/>
      <c r="P508" s="3"/>
      <c r="Q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N509" s="3"/>
      <c r="O509" s="3"/>
      <c r="P509" s="3"/>
      <c r="Q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N510" s="3"/>
      <c r="O510" s="3"/>
      <c r="P510" s="3"/>
      <c r="Q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N511" s="3"/>
      <c r="O511" s="3"/>
      <c r="P511" s="3"/>
      <c r="Q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N512" s="3"/>
      <c r="O512" s="3"/>
      <c r="P512" s="3"/>
      <c r="Q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N513" s="3"/>
      <c r="O513" s="3"/>
      <c r="P513" s="3"/>
      <c r="Q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N514" s="3"/>
      <c r="O514" s="3"/>
      <c r="P514" s="3"/>
      <c r="Q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N515" s="3"/>
      <c r="O515" s="3"/>
      <c r="P515" s="3"/>
      <c r="Q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N516" s="3"/>
      <c r="O516" s="3"/>
      <c r="P516" s="3"/>
      <c r="Q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N517" s="3"/>
      <c r="O517" s="3"/>
      <c r="P517" s="3"/>
      <c r="Q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N518" s="3"/>
      <c r="O518" s="3"/>
      <c r="P518" s="3"/>
      <c r="Q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N519" s="3"/>
      <c r="O519" s="3"/>
      <c r="P519" s="3"/>
      <c r="Q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N520" s="3"/>
      <c r="O520" s="3"/>
      <c r="P520" s="3"/>
      <c r="Q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N521" s="3"/>
      <c r="O521" s="3"/>
      <c r="P521" s="3"/>
      <c r="Q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N522" s="3"/>
      <c r="O522" s="3"/>
      <c r="P522" s="3"/>
      <c r="Q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N523" s="3"/>
      <c r="O523" s="3"/>
      <c r="P523" s="3"/>
      <c r="Q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N524" s="3"/>
      <c r="O524" s="3"/>
      <c r="P524" s="3"/>
      <c r="Q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N525" s="3"/>
      <c r="O525" s="3"/>
      <c r="P525" s="3"/>
      <c r="Q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N526" s="3"/>
      <c r="O526" s="3"/>
      <c r="P526" s="3"/>
      <c r="Q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N527" s="3"/>
      <c r="O527" s="3"/>
      <c r="P527" s="3"/>
      <c r="Q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N528" s="3"/>
      <c r="O528" s="3"/>
      <c r="P528" s="3"/>
      <c r="Q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N529" s="3"/>
      <c r="O529" s="3"/>
      <c r="P529" s="3"/>
      <c r="Q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N530" s="3"/>
      <c r="O530" s="3"/>
      <c r="P530" s="3"/>
      <c r="Q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N531" s="3"/>
      <c r="O531" s="3"/>
      <c r="P531" s="3"/>
      <c r="Q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N532" s="3"/>
      <c r="O532" s="3"/>
      <c r="P532" s="3"/>
      <c r="Q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N533" s="3"/>
      <c r="O533" s="3"/>
      <c r="P533" s="3"/>
      <c r="Q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N534" s="3"/>
      <c r="O534" s="3"/>
      <c r="P534" s="3"/>
      <c r="Q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N535" s="3"/>
      <c r="O535" s="3"/>
      <c r="P535" s="3"/>
      <c r="Q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N536" s="3"/>
      <c r="O536" s="3"/>
      <c r="P536" s="3"/>
      <c r="Q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N537" s="3"/>
      <c r="O537" s="3"/>
      <c r="P537" s="3"/>
      <c r="Q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N538" s="3"/>
      <c r="O538" s="3"/>
      <c r="P538" s="3"/>
      <c r="Q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N539" s="3"/>
      <c r="O539" s="3"/>
      <c r="P539" s="3"/>
      <c r="Q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N540" s="3"/>
      <c r="O540" s="3"/>
      <c r="P540" s="3"/>
      <c r="Q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N541" s="3"/>
      <c r="O541" s="3"/>
      <c r="P541" s="3"/>
      <c r="Q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N542" s="3"/>
      <c r="O542" s="3"/>
      <c r="P542" s="3"/>
      <c r="Q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N543" s="3"/>
      <c r="O543" s="3"/>
      <c r="P543" s="3"/>
      <c r="Q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N544" s="3"/>
      <c r="O544" s="3"/>
      <c r="P544" s="3"/>
      <c r="Q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N545" s="3"/>
      <c r="O545" s="3"/>
      <c r="P545" s="3"/>
      <c r="Q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N546" s="3"/>
      <c r="O546" s="3"/>
      <c r="P546" s="3"/>
      <c r="Q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N547" s="3"/>
      <c r="O547" s="3"/>
      <c r="P547" s="3"/>
      <c r="Q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N548" s="3"/>
      <c r="O548" s="3"/>
      <c r="P548" s="3"/>
      <c r="Q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N549" s="3"/>
      <c r="O549" s="3"/>
      <c r="P549" s="3"/>
      <c r="Q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N550" s="3"/>
      <c r="O550" s="3"/>
      <c r="P550" s="3"/>
      <c r="Q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N551" s="3"/>
      <c r="O551" s="3"/>
      <c r="P551" s="3"/>
      <c r="Q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N552" s="3"/>
      <c r="O552" s="3"/>
      <c r="P552" s="3"/>
      <c r="Q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N553" s="3"/>
      <c r="O553" s="3"/>
      <c r="P553" s="3"/>
      <c r="Q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N554" s="3"/>
      <c r="O554" s="3"/>
      <c r="P554" s="3"/>
      <c r="Q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N555" s="3"/>
      <c r="O555" s="3"/>
      <c r="P555" s="3"/>
      <c r="Q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N556" s="3"/>
      <c r="O556" s="3"/>
      <c r="P556" s="3"/>
      <c r="Q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N557" s="3"/>
      <c r="O557" s="3"/>
      <c r="P557" s="3"/>
      <c r="Q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N558" s="3"/>
      <c r="O558" s="3"/>
      <c r="P558" s="3"/>
      <c r="Q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N559" s="3"/>
      <c r="O559" s="3"/>
      <c r="P559" s="3"/>
      <c r="Q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N560" s="3"/>
      <c r="O560" s="3"/>
      <c r="P560" s="3"/>
      <c r="Q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N561" s="3"/>
      <c r="O561" s="3"/>
      <c r="P561" s="3"/>
      <c r="Q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N562" s="3"/>
      <c r="O562" s="3"/>
      <c r="P562" s="3"/>
      <c r="Q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N563" s="3"/>
      <c r="O563" s="3"/>
      <c r="P563" s="3"/>
      <c r="Q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N564" s="3"/>
      <c r="O564" s="3"/>
      <c r="P564" s="3"/>
      <c r="Q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N565" s="3"/>
      <c r="O565" s="3"/>
      <c r="P565" s="3"/>
      <c r="Q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N566" s="3"/>
      <c r="O566" s="3"/>
      <c r="P566" s="3"/>
      <c r="Q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N567" s="3"/>
      <c r="O567" s="3"/>
      <c r="P567" s="3"/>
      <c r="Q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N568" s="3"/>
      <c r="O568" s="3"/>
      <c r="P568" s="3"/>
      <c r="Q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N569" s="3"/>
      <c r="O569" s="3"/>
      <c r="P569" s="3"/>
      <c r="Q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N570" s="3"/>
      <c r="O570" s="3"/>
      <c r="P570" s="3"/>
      <c r="Q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N571" s="3"/>
      <c r="O571" s="3"/>
      <c r="P571" s="3"/>
      <c r="Q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N572" s="3"/>
      <c r="O572" s="3"/>
      <c r="P572" s="3"/>
      <c r="Q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N573" s="3"/>
      <c r="O573" s="3"/>
      <c r="P573" s="3"/>
      <c r="Q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N574" s="3"/>
      <c r="O574" s="3"/>
      <c r="P574" s="3"/>
      <c r="Q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N575" s="3"/>
      <c r="O575" s="3"/>
      <c r="P575" s="3"/>
      <c r="Q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N576" s="3"/>
      <c r="O576" s="3"/>
      <c r="P576" s="3"/>
      <c r="Q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N577" s="3"/>
      <c r="O577" s="3"/>
      <c r="P577" s="3"/>
      <c r="Q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N578" s="3"/>
      <c r="O578" s="3"/>
      <c r="P578" s="3"/>
      <c r="Q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N579" s="3"/>
      <c r="O579" s="3"/>
      <c r="P579" s="3"/>
      <c r="Q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N580" s="3"/>
      <c r="O580" s="3"/>
      <c r="P580" s="3"/>
      <c r="Q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N581" s="3"/>
      <c r="O581" s="3"/>
      <c r="P581" s="3"/>
      <c r="Q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N582" s="3"/>
      <c r="O582" s="3"/>
      <c r="P582" s="3"/>
      <c r="Q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N583" s="3"/>
      <c r="O583" s="3"/>
      <c r="P583" s="3"/>
      <c r="Q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N584" s="3"/>
      <c r="O584" s="3"/>
      <c r="P584" s="3"/>
      <c r="Q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N585" s="3"/>
      <c r="O585" s="3"/>
      <c r="P585" s="3"/>
      <c r="Q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N586" s="3"/>
      <c r="O586" s="3"/>
      <c r="P586" s="3"/>
      <c r="Q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N587" s="3"/>
      <c r="O587" s="3"/>
      <c r="P587" s="3"/>
      <c r="Q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N588" s="3"/>
      <c r="O588" s="3"/>
      <c r="P588" s="3"/>
      <c r="Q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N589" s="3"/>
      <c r="O589" s="3"/>
      <c r="P589" s="3"/>
      <c r="Q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N590" s="3"/>
      <c r="O590" s="3"/>
      <c r="P590" s="3"/>
      <c r="Q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N591" s="3"/>
      <c r="O591" s="3"/>
      <c r="P591" s="3"/>
      <c r="Q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N592" s="3"/>
      <c r="O592" s="3"/>
      <c r="P592" s="3"/>
      <c r="Q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N593" s="3"/>
      <c r="O593" s="3"/>
      <c r="P593" s="3"/>
      <c r="Q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N594" s="3"/>
      <c r="O594" s="3"/>
      <c r="P594" s="3"/>
      <c r="Q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N595" s="3"/>
      <c r="O595" s="3"/>
      <c r="P595" s="3"/>
      <c r="Q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N596" s="3"/>
      <c r="O596" s="3"/>
      <c r="P596" s="3"/>
      <c r="Q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N597" s="3"/>
      <c r="O597" s="3"/>
      <c r="P597" s="3"/>
      <c r="Q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N598" s="3"/>
      <c r="O598" s="3"/>
      <c r="P598" s="3"/>
      <c r="Q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N599" s="3"/>
      <c r="O599" s="3"/>
      <c r="P599" s="3"/>
      <c r="Q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N600" s="3"/>
      <c r="O600" s="3"/>
      <c r="P600" s="3"/>
      <c r="Q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N601" s="3"/>
      <c r="O601" s="3"/>
      <c r="P601" s="3"/>
      <c r="Q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N602" s="3"/>
      <c r="O602" s="3"/>
      <c r="P602" s="3"/>
      <c r="Q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N603" s="3"/>
      <c r="O603" s="3"/>
      <c r="P603" s="3"/>
      <c r="Q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N604" s="3"/>
      <c r="O604" s="3"/>
      <c r="P604" s="3"/>
      <c r="Q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N605" s="3"/>
      <c r="O605" s="3"/>
      <c r="P605" s="3"/>
      <c r="Q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N606" s="3"/>
      <c r="O606" s="3"/>
      <c r="P606" s="3"/>
      <c r="Q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N607" s="3"/>
      <c r="O607" s="3"/>
      <c r="P607" s="3"/>
      <c r="Q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N608" s="3"/>
      <c r="O608" s="3"/>
      <c r="P608" s="3"/>
      <c r="Q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N609" s="3"/>
      <c r="O609" s="3"/>
      <c r="P609" s="3"/>
      <c r="Q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N610" s="3"/>
      <c r="O610" s="3"/>
      <c r="P610" s="3"/>
      <c r="Q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N611" s="3"/>
      <c r="O611" s="3"/>
      <c r="P611" s="3"/>
      <c r="Q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N612" s="3"/>
      <c r="O612" s="3"/>
      <c r="P612" s="3"/>
      <c r="Q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N613" s="3"/>
      <c r="O613" s="3"/>
      <c r="P613" s="3"/>
      <c r="Q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N614" s="3"/>
      <c r="O614" s="3"/>
      <c r="P614" s="3"/>
      <c r="Q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N615" s="3"/>
      <c r="O615" s="3"/>
      <c r="P615" s="3"/>
      <c r="Q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N616" s="3"/>
      <c r="O616" s="3"/>
      <c r="P616" s="3"/>
      <c r="Q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N617" s="3"/>
      <c r="O617" s="3"/>
      <c r="P617" s="3"/>
      <c r="Q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N618" s="3"/>
      <c r="O618" s="3"/>
      <c r="P618" s="3"/>
      <c r="Q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N619" s="3"/>
      <c r="O619" s="3"/>
      <c r="P619" s="3"/>
      <c r="Q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N620" s="3"/>
      <c r="O620" s="3"/>
      <c r="P620" s="3"/>
      <c r="Q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N621" s="3"/>
      <c r="O621" s="3"/>
      <c r="P621" s="3"/>
      <c r="Q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N622" s="3"/>
      <c r="O622" s="3"/>
      <c r="P622" s="3"/>
      <c r="Q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N623" s="3"/>
      <c r="O623" s="3"/>
      <c r="P623" s="3"/>
      <c r="Q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N624" s="3"/>
      <c r="O624" s="3"/>
      <c r="P624" s="3"/>
      <c r="Q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N625" s="3"/>
      <c r="O625" s="3"/>
      <c r="P625" s="3"/>
      <c r="Q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N626" s="3"/>
      <c r="O626" s="3"/>
      <c r="P626" s="3"/>
      <c r="Q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N627" s="3"/>
      <c r="O627" s="3"/>
      <c r="P627" s="3"/>
      <c r="Q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N628" s="3"/>
      <c r="O628" s="3"/>
      <c r="P628" s="3"/>
      <c r="Q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N629" s="3"/>
      <c r="O629" s="3"/>
      <c r="P629" s="3"/>
      <c r="Q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N630" s="3"/>
      <c r="O630" s="3"/>
      <c r="P630" s="3"/>
      <c r="Q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N631" s="3"/>
      <c r="O631" s="3"/>
      <c r="P631" s="3"/>
      <c r="Q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N632" s="3"/>
      <c r="O632" s="3"/>
      <c r="P632" s="3"/>
      <c r="Q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N633" s="3"/>
      <c r="O633" s="3"/>
      <c r="P633" s="3"/>
      <c r="Q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N634" s="3"/>
      <c r="O634" s="3"/>
      <c r="P634" s="3"/>
      <c r="Q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N635" s="3"/>
      <c r="O635" s="3"/>
      <c r="P635" s="3"/>
      <c r="Q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N636" s="3"/>
      <c r="O636" s="3"/>
      <c r="P636" s="3"/>
      <c r="Q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N637" s="3"/>
      <c r="O637" s="3"/>
      <c r="P637" s="3"/>
      <c r="Q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N638" s="3"/>
      <c r="O638" s="3"/>
      <c r="P638" s="3"/>
      <c r="Q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N639" s="3"/>
      <c r="O639" s="3"/>
      <c r="P639" s="3"/>
      <c r="Q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N640" s="3"/>
      <c r="O640" s="3"/>
      <c r="P640" s="3"/>
      <c r="Q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N641" s="3"/>
      <c r="O641" s="3"/>
      <c r="P641" s="3"/>
      <c r="Q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N642" s="3"/>
      <c r="O642" s="3"/>
      <c r="P642" s="3"/>
      <c r="Q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N643" s="3"/>
      <c r="O643" s="3"/>
      <c r="P643" s="3"/>
      <c r="Q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N644" s="3"/>
      <c r="O644" s="3"/>
      <c r="P644" s="3"/>
      <c r="Q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N645" s="3"/>
      <c r="O645" s="3"/>
      <c r="P645" s="3"/>
      <c r="Q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N646" s="3"/>
      <c r="O646" s="3"/>
      <c r="P646" s="3"/>
      <c r="Q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N647" s="3"/>
      <c r="O647" s="3"/>
      <c r="P647" s="3"/>
      <c r="Q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N648" s="3"/>
      <c r="O648" s="3"/>
      <c r="P648" s="3"/>
      <c r="Q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N649" s="3"/>
      <c r="O649" s="3"/>
      <c r="P649" s="3"/>
      <c r="Q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N650" s="3"/>
      <c r="O650" s="3"/>
      <c r="P650" s="3"/>
      <c r="Q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N651" s="3"/>
      <c r="O651" s="3"/>
      <c r="P651" s="3"/>
      <c r="Q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N652" s="3"/>
      <c r="O652" s="3"/>
      <c r="P652" s="3"/>
      <c r="Q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N653" s="3"/>
      <c r="O653" s="3"/>
      <c r="P653" s="3"/>
      <c r="Q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N654" s="3"/>
      <c r="O654" s="3"/>
      <c r="P654" s="3"/>
      <c r="Q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N655" s="3"/>
      <c r="O655" s="3"/>
      <c r="P655" s="3"/>
      <c r="Q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N656" s="3"/>
      <c r="O656" s="3"/>
      <c r="P656" s="3"/>
      <c r="Q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N657" s="3"/>
      <c r="O657" s="3"/>
      <c r="P657" s="3"/>
      <c r="Q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N658" s="3"/>
      <c r="O658" s="3"/>
      <c r="P658" s="3"/>
      <c r="Q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N659" s="3"/>
      <c r="O659" s="3"/>
      <c r="P659" s="3"/>
      <c r="Q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N660" s="3"/>
      <c r="O660" s="3"/>
      <c r="P660" s="3"/>
      <c r="Q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N661" s="3"/>
      <c r="O661" s="3"/>
      <c r="P661" s="3"/>
      <c r="Q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N662" s="3"/>
      <c r="O662" s="3"/>
      <c r="P662" s="3"/>
      <c r="Q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N663" s="3"/>
      <c r="O663" s="3"/>
      <c r="P663" s="3"/>
      <c r="Q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N664" s="3"/>
      <c r="O664" s="3"/>
      <c r="P664" s="3"/>
      <c r="Q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N665" s="3"/>
      <c r="O665" s="3"/>
      <c r="P665" s="3"/>
      <c r="Q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N666" s="3"/>
      <c r="O666" s="3"/>
      <c r="P666" s="3"/>
      <c r="Q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N667" s="3"/>
      <c r="O667" s="3"/>
      <c r="P667" s="3"/>
      <c r="Q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N668" s="3"/>
      <c r="O668" s="3"/>
      <c r="P668" s="3"/>
      <c r="Q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N669" s="3"/>
      <c r="O669" s="3"/>
      <c r="P669" s="3"/>
      <c r="Q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N670" s="3"/>
      <c r="O670" s="3"/>
      <c r="P670" s="3"/>
      <c r="Q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N671" s="3"/>
      <c r="O671" s="3"/>
      <c r="P671" s="3"/>
      <c r="Q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N672" s="3"/>
      <c r="O672" s="3"/>
      <c r="P672" s="3"/>
      <c r="Q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N673" s="3"/>
      <c r="O673" s="3"/>
      <c r="P673" s="3"/>
      <c r="Q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N674" s="3"/>
      <c r="O674" s="3"/>
      <c r="P674" s="3"/>
      <c r="Q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N675" s="3"/>
      <c r="O675" s="3"/>
      <c r="P675" s="3"/>
      <c r="Q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N676" s="3"/>
      <c r="O676" s="3"/>
      <c r="P676" s="3"/>
      <c r="Q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N677" s="3"/>
      <c r="O677" s="3"/>
      <c r="P677" s="3"/>
      <c r="Q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N678" s="3"/>
      <c r="O678" s="3"/>
      <c r="P678" s="3"/>
      <c r="Q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N679" s="3"/>
      <c r="O679" s="3"/>
      <c r="P679" s="3"/>
      <c r="Q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N680" s="3"/>
      <c r="O680" s="3"/>
      <c r="P680" s="3"/>
      <c r="Q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N681" s="3"/>
      <c r="O681" s="3"/>
      <c r="P681" s="3"/>
      <c r="Q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N682" s="3"/>
      <c r="O682" s="3"/>
      <c r="P682" s="3"/>
      <c r="Q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N683" s="3"/>
      <c r="O683" s="3"/>
      <c r="P683" s="3"/>
      <c r="Q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N684" s="3"/>
      <c r="O684" s="3"/>
      <c r="P684" s="3"/>
      <c r="Q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N685" s="3"/>
      <c r="O685" s="3"/>
      <c r="P685" s="3"/>
      <c r="Q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N686" s="3"/>
      <c r="O686" s="3"/>
      <c r="P686" s="3"/>
      <c r="Q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N687" s="3"/>
      <c r="O687" s="3"/>
      <c r="P687" s="3"/>
      <c r="Q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N688" s="3"/>
      <c r="O688" s="3"/>
      <c r="P688" s="3"/>
      <c r="Q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N689" s="3"/>
      <c r="O689" s="3"/>
      <c r="P689" s="3"/>
      <c r="Q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N690" s="3"/>
      <c r="O690" s="3"/>
      <c r="P690" s="3"/>
      <c r="Q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N691" s="3"/>
      <c r="O691" s="3"/>
      <c r="P691" s="3"/>
      <c r="Q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N692" s="3"/>
      <c r="O692" s="3"/>
      <c r="P692" s="3"/>
      <c r="Q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N693" s="3"/>
      <c r="O693" s="3"/>
      <c r="P693" s="3"/>
      <c r="Q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N694" s="3"/>
      <c r="O694" s="3"/>
      <c r="P694" s="3"/>
      <c r="Q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N695" s="3"/>
      <c r="O695" s="3"/>
      <c r="P695" s="3"/>
      <c r="Q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N696" s="3"/>
      <c r="O696" s="3"/>
      <c r="P696" s="3"/>
      <c r="Q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N697" s="3"/>
      <c r="O697" s="3"/>
      <c r="P697" s="3"/>
      <c r="Q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N698" s="3"/>
      <c r="O698" s="3"/>
      <c r="P698" s="3"/>
      <c r="Q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N699" s="3"/>
      <c r="O699" s="3"/>
      <c r="P699" s="3"/>
      <c r="Q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N700" s="3"/>
      <c r="O700" s="3"/>
      <c r="P700" s="3"/>
      <c r="Q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N701" s="3"/>
      <c r="O701" s="3"/>
      <c r="P701" s="3"/>
      <c r="Q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N702" s="3"/>
      <c r="O702" s="3"/>
      <c r="P702" s="3"/>
      <c r="Q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N703" s="3"/>
      <c r="O703" s="3"/>
      <c r="P703" s="3"/>
      <c r="Q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N704" s="3"/>
      <c r="O704" s="3"/>
      <c r="P704" s="3"/>
      <c r="Q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N705" s="3"/>
      <c r="O705" s="3"/>
      <c r="P705" s="3"/>
      <c r="Q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N706" s="3"/>
      <c r="O706" s="3"/>
      <c r="P706" s="3"/>
      <c r="Q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N707" s="3"/>
      <c r="O707" s="3"/>
      <c r="P707" s="3"/>
      <c r="Q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N708" s="3"/>
      <c r="O708" s="3"/>
      <c r="P708" s="3"/>
      <c r="Q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N709" s="3"/>
      <c r="O709" s="3"/>
      <c r="P709" s="3"/>
      <c r="Q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N710" s="3"/>
      <c r="O710" s="3"/>
      <c r="P710" s="3"/>
      <c r="Q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N711" s="3"/>
      <c r="O711" s="3"/>
      <c r="P711" s="3"/>
      <c r="Q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N712" s="3"/>
      <c r="O712" s="3"/>
      <c r="P712" s="3"/>
      <c r="Q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N713" s="3"/>
      <c r="O713" s="3"/>
      <c r="P713" s="3"/>
      <c r="Q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N714" s="3"/>
      <c r="O714" s="3"/>
      <c r="P714" s="3"/>
      <c r="Q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N715" s="3"/>
      <c r="O715" s="3"/>
      <c r="P715" s="3"/>
      <c r="Q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N716" s="3"/>
      <c r="O716" s="3"/>
      <c r="P716" s="3"/>
      <c r="Q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N717" s="3"/>
      <c r="O717" s="3"/>
      <c r="P717" s="3"/>
      <c r="Q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N718" s="3"/>
      <c r="O718" s="3"/>
      <c r="P718" s="3"/>
      <c r="Q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N719" s="3"/>
      <c r="O719" s="3"/>
      <c r="P719" s="3"/>
      <c r="Q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N720" s="3"/>
      <c r="O720" s="3"/>
      <c r="P720" s="3"/>
      <c r="Q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N721" s="3"/>
      <c r="O721" s="3"/>
      <c r="P721" s="3"/>
      <c r="Q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N722" s="3"/>
      <c r="O722" s="3"/>
      <c r="P722" s="3"/>
      <c r="Q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N723" s="3"/>
      <c r="O723" s="3"/>
      <c r="P723" s="3"/>
      <c r="Q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N724" s="3"/>
      <c r="O724" s="3"/>
      <c r="P724" s="3"/>
      <c r="Q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N725" s="3"/>
      <c r="O725" s="3"/>
      <c r="P725" s="3"/>
      <c r="Q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N726" s="3"/>
      <c r="O726" s="3"/>
      <c r="P726" s="3"/>
      <c r="Q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N727" s="3"/>
      <c r="O727" s="3"/>
      <c r="P727" s="3"/>
      <c r="Q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N728" s="3"/>
      <c r="O728" s="3"/>
      <c r="P728" s="3"/>
      <c r="Q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N729" s="3"/>
      <c r="O729" s="3"/>
      <c r="P729" s="3"/>
      <c r="Q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N730" s="3"/>
      <c r="O730" s="3"/>
      <c r="P730" s="3"/>
      <c r="Q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N731" s="3"/>
      <c r="O731" s="3"/>
      <c r="P731" s="3"/>
      <c r="Q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N732" s="3"/>
      <c r="O732" s="3"/>
      <c r="P732" s="3"/>
      <c r="Q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N733" s="3"/>
      <c r="O733" s="3"/>
      <c r="P733" s="3"/>
      <c r="Q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N734" s="3"/>
      <c r="O734" s="3"/>
      <c r="P734" s="3"/>
      <c r="Q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N735" s="3"/>
      <c r="O735" s="3"/>
      <c r="P735" s="3"/>
      <c r="Q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N736" s="3"/>
      <c r="O736" s="3"/>
      <c r="P736" s="3"/>
      <c r="Q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N737" s="3"/>
      <c r="O737" s="3"/>
      <c r="P737" s="3"/>
      <c r="Q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N738" s="3"/>
      <c r="O738" s="3"/>
      <c r="P738" s="3"/>
      <c r="Q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N739" s="3"/>
      <c r="O739" s="3"/>
      <c r="P739" s="3"/>
      <c r="Q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N740" s="3"/>
      <c r="O740" s="3"/>
      <c r="P740" s="3"/>
      <c r="Q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N741" s="3"/>
      <c r="O741" s="3"/>
      <c r="P741" s="3"/>
      <c r="Q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N742" s="3"/>
      <c r="O742" s="3"/>
      <c r="P742" s="3"/>
      <c r="Q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N743" s="3"/>
      <c r="O743" s="3"/>
      <c r="P743" s="3"/>
      <c r="Q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N744" s="3"/>
      <c r="O744" s="3"/>
      <c r="P744" s="3"/>
      <c r="Q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N745" s="3"/>
      <c r="O745" s="3"/>
      <c r="P745" s="3"/>
      <c r="Q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N746" s="3"/>
      <c r="O746" s="3"/>
      <c r="P746" s="3"/>
      <c r="Q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N747" s="3"/>
      <c r="O747" s="3"/>
      <c r="P747" s="3"/>
      <c r="Q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N748" s="3"/>
      <c r="O748" s="3"/>
      <c r="P748" s="3"/>
      <c r="Q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N749" s="3"/>
      <c r="O749" s="3"/>
      <c r="P749" s="3"/>
      <c r="Q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N750" s="3"/>
      <c r="O750" s="3"/>
      <c r="P750" s="3"/>
      <c r="Q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N751" s="3"/>
      <c r="O751" s="3"/>
      <c r="P751" s="3"/>
      <c r="Q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N752" s="3"/>
      <c r="O752" s="3"/>
      <c r="P752" s="3"/>
      <c r="Q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N753" s="3"/>
      <c r="O753" s="3"/>
      <c r="P753" s="3"/>
      <c r="Q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N754" s="3"/>
      <c r="O754" s="3"/>
      <c r="P754" s="3"/>
      <c r="Q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N755" s="3"/>
      <c r="O755" s="3"/>
      <c r="P755" s="3"/>
      <c r="Q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N756" s="3"/>
      <c r="O756" s="3"/>
      <c r="P756" s="3"/>
      <c r="Q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N757" s="3"/>
      <c r="O757" s="3"/>
      <c r="P757" s="3"/>
      <c r="Q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N758" s="3"/>
      <c r="O758" s="3"/>
      <c r="P758" s="3"/>
      <c r="Q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N759" s="3"/>
      <c r="O759" s="3"/>
      <c r="P759" s="3"/>
      <c r="Q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N760" s="3"/>
      <c r="O760" s="3"/>
      <c r="P760" s="3"/>
      <c r="Q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N761" s="3"/>
      <c r="O761" s="3"/>
      <c r="P761" s="3"/>
      <c r="Q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N762" s="3"/>
      <c r="O762" s="3"/>
      <c r="P762" s="3"/>
      <c r="Q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N763" s="3"/>
      <c r="O763" s="3"/>
      <c r="P763" s="3"/>
      <c r="Q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N764" s="3"/>
      <c r="O764" s="3"/>
      <c r="P764" s="3"/>
      <c r="Q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N765" s="3"/>
      <c r="O765" s="3"/>
      <c r="P765" s="3"/>
      <c r="Q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N766" s="3"/>
      <c r="O766" s="3"/>
      <c r="P766" s="3"/>
      <c r="Q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N767" s="3"/>
      <c r="O767" s="3"/>
      <c r="P767" s="3"/>
      <c r="Q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N768" s="3"/>
      <c r="O768" s="3"/>
      <c r="P768" s="3"/>
      <c r="Q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N769" s="3"/>
      <c r="O769" s="3"/>
      <c r="P769" s="3"/>
      <c r="Q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N770" s="3"/>
      <c r="O770" s="3"/>
      <c r="P770" s="3"/>
      <c r="Q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N771" s="3"/>
      <c r="O771" s="3"/>
      <c r="P771" s="3"/>
      <c r="Q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N772" s="3"/>
      <c r="O772" s="3"/>
      <c r="P772" s="3"/>
      <c r="Q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N773" s="3"/>
      <c r="O773" s="3"/>
      <c r="P773" s="3"/>
      <c r="Q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N774" s="3"/>
      <c r="O774" s="3"/>
      <c r="P774" s="3"/>
      <c r="Q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N775" s="3"/>
      <c r="O775" s="3"/>
      <c r="P775" s="3"/>
      <c r="Q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N776" s="3"/>
      <c r="O776" s="3"/>
      <c r="P776" s="3"/>
      <c r="Q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N777" s="3"/>
      <c r="O777" s="3"/>
      <c r="P777" s="3"/>
      <c r="Q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N778" s="3"/>
      <c r="O778" s="3"/>
      <c r="P778" s="3"/>
      <c r="Q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N779" s="3"/>
      <c r="O779" s="3"/>
      <c r="P779" s="3"/>
      <c r="Q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N780" s="3"/>
      <c r="O780" s="3"/>
      <c r="P780" s="3"/>
      <c r="Q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N781" s="3"/>
      <c r="O781" s="3"/>
      <c r="P781" s="3"/>
      <c r="Q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N782" s="3"/>
      <c r="O782" s="3"/>
      <c r="P782" s="3"/>
      <c r="Q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N783" s="3"/>
      <c r="O783" s="3"/>
      <c r="P783" s="3"/>
      <c r="Q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N784" s="3"/>
      <c r="O784" s="3"/>
      <c r="P784" s="3"/>
      <c r="Q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N785" s="3"/>
      <c r="O785" s="3"/>
      <c r="P785" s="3"/>
      <c r="Q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N786" s="3"/>
      <c r="O786" s="3"/>
      <c r="P786" s="3"/>
      <c r="Q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N787" s="3"/>
      <c r="O787" s="3"/>
      <c r="P787" s="3"/>
      <c r="Q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N788" s="3"/>
      <c r="O788" s="3"/>
      <c r="P788" s="3"/>
      <c r="Q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N789" s="3"/>
      <c r="O789" s="3"/>
      <c r="P789" s="3"/>
      <c r="Q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N790" s="3"/>
      <c r="O790" s="3"/>
      <c r="P790" s="3"/>
      <c r="Q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N791" s="3"/>
      <c r="O791" s="3"/>
      <c r="P791" s="3"/>
      <c r="Q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N792" s="3"/>
      <c r="O792" s="3"/>
      <c r="P792" s="3"/>
      <c r="Q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N793" s="3"/>
      <c r="O793" s="3"/>
      <c r="P793" s="3"/>
      <c r="Q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N794" s="3"/>
      <c r="O794" s="3"/>
      <c r="P794" s="3"/>
      <c r="Q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N795" s="3"/>
      <c r="O795" s="3"/>
      <c r="P795" s="3"/>
      <c r="Q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N796" s="3"/>
      <c r="O796" s="3"/>
      <c r="P796" s="3"/>
      <c r="Q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N797" s="3"/>
      <c r="O797" s="3"/>
      <c r="P797" s="3"/>
      <c r="Q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N798" s="3"/>
      <c r="O798" s="3"/>
      <c r="P798" s="3"/>
      <c r="Q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N799" s="3"/>
      <c r="O799" s="3"/>
      <c r="P799" s="3"/>
      <c r="Q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N800" s="3"/>
      <c r="O800" s="3"/>
      <c r="P800" s="3"/>
      <c r="Q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N801" s="3"/>
      <c r="O801" s="3"/>
      <c r="P801" s="3"/>
      <c r="Q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N802" s="3"/>
      <c r="O802" s="3"/>
      <c r="P802" s="3"/>
      <c r="Q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N803" s="3"/>
      <c r="O803" s="3"/>
      <c r="P803" s="3"/>
      <c r="Q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N804" s="3"/>
      <c r="O804" s="3"/>
      <c r="P804" s="3"/>
      <c r="Q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N805" s="3"/>
      <c r="O805" s="3"/>
      <c r="P805" s="3"/>
      <c r="Q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N806" s="3"/>
      <c r="O806" s="3"/>
      <c r="P806" s="3"/>
      <c r="Q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N807" s="3"/>
      <c r="O807" s="3"/>
      <c r="P807" s="3"/>
      <c r="Q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N808" s="3"/>
      <c r="O808" s="3"/>
      <c r="P808" s="3"/>
      <c r="Q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N809" s="3"/>
      <c r="O809" s="3"/>
      <c r="P809" s="3"/>
      <c r="Q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N810" s="3"/>
      <c r="O810" s="3"/>
      <c r="P810" s="3"/>
      <c r="Q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N811" s="3"/>
      <c r="O811" s="3"/>
      <c r="P811" s="3"/>
      <c r="Q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N812" s="3"/>
      <c r="O812" s="3"/>
      <c r="P812" s="3"/>
      <c r="Q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N813" s="3"/>
      <c r="O813" s="3"/>
      <c r="P813" s="3"/>
      <c r="Q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N814" s="3"/>
      <c r="O814" s="3"/>
      <c r="P814" s="3"/>
      <c r="Q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N815" s="3"/>
      <c r="O815" s="3"/>
      <c r="P815" s="3"/>
      <c r="Q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N816" s="3"/>
      <c r="O816" s="3"/>
      <c r="P816" s="3"/>
      <c r="Q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N817" s="3"/>
      <c r="O817" s="3"/>
      <c r="P817" s="3"/>
      <c r="Q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N818" s="3"/>
      <c r="O818" s="3"/>
      <c r="P818" s="3"/>
      <c r="Q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N819" s="3"/>
      <c r="O819" s="3"/>
      <c r="P819" s="3"/>
      <c r="Q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N820" s="3"/>
      <c r="O820" s="3"/>
      <c r="P820" s="3"/>
      <c r="Q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N821" s="3"/>
      <c r="O821" s="3"/>
      <c r="P821" s="3"/>
      <c r="Q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N822" s="3"/>
      <c r="O822" s="3"/>
      <c r="P822" s="3"/>
      <c r="Q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N823" s="3"/>
      <c r="O823" s="3"/>
      <c r="P823" s="3"/>
      <c r="Q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N824" s="3"/>
      <c r="O824" s="3"/>
      <c r="P824" s="3"/>
      <c r="Q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N825" s="3"/>
      <c r="O825" s="3"/>
      <c r="P825" s="3"/>
      <c r="Q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N826" s="3"/>
      <c r="O826" s="3"/>
      <c r="P826" s="3"/>
      <c r="Q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N827" s="3"/>
      <c r="O827" s="3"/>
      <c r="P827" s="3"/>
      <c r="Q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N828" s="3"/>
      <c r="O828" s="3"/>
      <c r="P828" s="3"/>
      <c r="Q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N829" s="3"/>
      <c r="O829" s="3"/>
      <c r="P829" s="3"/>
      <c r="Q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N830" s="3"/>
      <c r="O830" s="3"/>
      <c r="P830" s="3"/>
      <c r="Q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N831" s="3"/>
      <c r="O831" s="3"/>
      <c r="P831" s="3"/>
      <c r="Q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N832" s="3"/>
      <c r="O832" s="3"/>
      <c r="P832" s="3"/>
      <c r="Q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N833" s="3"/>
      <c r="O833" s="3"/>
      <c r="P833" s="3"/>
      <c r="Q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N834" s="3"/>
      <c r="O834" s="3"/>
      <c r="P834" s="3"/>
      <c r="Q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N835" s="3"/>
      <c r="O835" s="3"/>
      <c r="P835" s="3"/>
      <c r="Q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N836" s="3"/>
      <c r="O836" s="3"/>
      <c r="P836" s="3"/>
      <c r="Q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N837" s="3"/>
      <c r="O837" s="3"/>
      <c r="P837" s="3"/>
      <c r="Q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N838" s="3"/>
      <c r="O838" s="3"/>
      <c r="P838" s="3"/>
      <c r="Q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N839" s="3"/>
      <c r="O839" s="3"/>
      <c r="P839" s="3"/>
      <c r="Q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N840" s="3"/>
      <c r="O840" s="3"/>
      <c r="P840" s="3"/>
      <c r="Q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N841" s="3"/>
      <c r="O841" s="3"/>
      <c r="P841" s="3"/>
      <c r="Q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N842" s="3"/>
      <c r="O842" s="3"/>
      <c r="P842" s="3"/>
      <c r="Q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N843" s="3"/>
      <c r="O843" s="3"/>
      <c r="P843" s="3"/>
      <c r="Q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N844" s="3"/>
      <c r="O844" s="3"/>
      <c r="P844" s="3"/>
      <c r="Q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N845" s="3"/>
      <c r="O845" s="3"/>
      <c r="P845" s="3"/>
      <c r="Q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N846" s="3"/>
      <c r="O846" s="3"/>
      <c r="P846" s="3"/>
      <c r="Q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N847" s="3"/>
      <c r="O847" s="3"/>
      <c r="P847" s="3"/>
      <c r="Q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N848" s="3"/>
      <c r="O848" s="3"/>
      <c r="P848" s="3"/>
      <c r="Q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N849" s="3"/>
      <c r="O849" s="3"/>
      <c r="P849" s="3"/>
      <c r="Q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N850" s="3"/>
      <c r="O850" s="3"/>
      <c r="P850" s="3"/>
      <c r="Q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N851" s="3"/>
      <c r="O851" s="3"/>
      <c r="P851" s="3"/>
      <c r="Q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N852" s="3"/>
      <c r="O852" s="3"/>
      <c r="P852" s="3"/>
      <c r="Q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N853" s="3"/>
      <c r="O853" s="3"/>
      <c r="P853" s="3"/>
      <c r="Q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N854" s="3"/>
      <c r="O854" s="3"/>
      <c r="P854" s="3"/>
      <c r="Q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N855" s="3"/>
      <c r="O855" s="3"/>
      <c r="P855" s="3"/>
      <c r="Q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N856" s="3"/>
      <c r="O856" s="3"/>
      <c r="P856" s="3"/>
      <c r="Q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N857" s="3"/>
      <c r="O857" s="3"/>
      <c r="P857" s="3"/>
      <c r="Q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N858" s="3"/>
      <c r="O858" s="3"/>
      <c r="P858" s="3"/>
      <c r="Q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N859" s="3"/>
      <c r="O859" s="3"/>
      <c r="P859" s="3"/>
      <c r="Q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N860" s="3"/>
      <c r="O860" s="3"/>
      <c r="P860" s="3"/>
      <c r="Q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N861" s="3"/>
      <c r="O861" s="3"/>
      <c r="P861" s="3"/>
      <c r="Q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N862" s="3"/>
      <c r="O862" s="3"/>
      <c r="P862" s="3"/>
      <c r="Q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N863" s="3"/>
      <c r="O863" s="3"/>
      <c r="P863" s="3"/>
      <c r="Q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N864" s="3"/>
      <c r="O864" s="3"/>
      <c r="P864" s="3"/>
      <c r="Q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N865" s="3"/>
      <c r="O865" s="3"/>
      <c r="P865" s="3"/>
      <c r="Q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N866" s="3"/>
      <c r="O866" s="3"/>
      <c r="P866" s="3"/>
      <c r="Q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N867" s="3"/>
      <c r="O867" s="3"/>
      <c r="P867" s="3"/>
      <c r="Q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N868" s="3"/>
      <c r="O868" s="3"/>
      <c r="P868" s="3"/>
      <c r="Q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N869" s="3"/>
      <c r="O869" s="3"/>
      <c r="P869" s="3"/>
      <c r="Q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N870" s="3"/>
      <c r="O870" s="3"/>
      <c r="P870" s="3"/>
      <c r="Q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N871" s="3"/>
      <c r="O871" s="3"/>
      <c r="P871" s="3"/>
      <c r="Q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N872" s="3"/>
      <c r="O872" s="3"/>
      <c r="P872" s="3"/>
      <c r="Q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N873" s="3"/>
      <c r="O873" s="3"/>
      <c r="P873" s="3"/>
      <c r="Q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N874" s="3"/>
      <c r="O874" s="3"/>
      <c r="P874" s="3"/>
      <c r="Q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N875" s="3"/>
      <c r="O875" s="3"/>
      <c r="P875" s="3"/>
      <c r="Q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N876" s="3"/>
      <c r="O876" s="3"/>
      <c r="P876" s="3"/>
      <c r="Q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N877" s="3"/>
      <c r="O877" s="3"/>
      <c r="P877" s="3"/>
      <c r="Q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N878" s="3"/>
      <c r="O878" s="3"/>
      <c r="P878" s="3"/>
      <c r="Q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N879" s="3"/>
      <c r="O879" s="3"/>
      <c r="P879" s="3"/>
      <c r="Q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N880" s="3"/>
      <c r="O880" s="3"/>
      <c r="P880" s="3"/>
      <c r="Q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N881" s="3"/>
      <c r="O881" s="3"/>
      <c r="P881" s="3"/>
      <c r="Q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N882" s="3"/>
      <c r="O882" s="3"/>
      <c r="P882" s="3"/>
      <c r="Q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N883" s="3"/>
      <c r="O883" s="3"/>
      <c r="P883" s="3"/>
      <c r="Q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N884" s="3"/>
      <c r="O884" s="3"/>
      <c r="P884" s="3"/>
      <c r="Q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N885" s="3"/>
      <c r="O885" s="3"/>
      <c r="P885" s="3"/>
      <c r="Q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N886" s="3"/>
      <c r="O886" s="3"/>
      <c r="P886" s="3"/>
      <c r="Q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N887" s="3"/>
      <c r="O887" s="3"/>
      <c r="P887" s="3"/>
      <c r="Q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N888" s="3"/>
      <c r="O888" s="3"/>
      <c r="P888" s="3"/>
      <c r="Q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N889" s="3"/>
      <c r="O889" s="3"/>
      <c r="P889" s="3"/>
      <c r="Q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N890" s="3"/>
      <c r="O890" s="3"/>
      <c r="P890" s="3"/>
      <c r="Q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N891" s="3"/>
      <c r="O891" s="3"/>
      <c r="P891" s="3"/>
      <c r="Q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N892" s="3"/>
      <c r="O892" s="3"/>
      <c r="P892" s="3"/>
      <c r="Q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N893" s="3"/>
      <c r="O893" s="3"/>
      <c r="P893" s="3"/>
      <c r="Q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N894" s="3"/>
      <c r="O894" s="3"/>
      <c r="P894" s="3"/>
      <c r="Q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N895" s="3"/>
      <c r="O895" s="3"/>
      <c r="P895" s="3"/>
      <c r="Q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N896" s="3"/>
      <c r="O896" s="3"/>
      <c r="P896" s="3"/>
      <c r="Q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N897" s="3"/>
      <c r="O897" s="3"/>
      <c r="P897" s="3"/>
      <c r="Q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N898" s="3"/>
      <c r="O898" s="3"/>
      <c r="P898" s="3"/>
      <c r="Q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N899" s="3"/>
      <c r="O899" s="3"/>
      <c r="P899" s="3"/>
      <c r="Q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N900" s="3"/>
      <c r="O900" s="3"/>
      <c r="P900" s="3"/>
      <c r="Q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N901" s="3"/>
      <c r="O901" s="3"/>
      <c r="P901" s="3"/>
      <c r="Q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N902" s="3"/>
      <c r="O902" s="3"/>
      <c r="P902" s="3"/>
      <c r="Q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N903" s="3"/>
      <c r="O903" s="3"/>
      <c r="P903" s="3"/>
      <c r="Q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N904" s="3"/>
      <c r="O904" s="3"/>
      <c r="P904" s="3"/>
      <c r="Q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N905" s="3"/>
      <c r="O905" s="3"/>
      <c r="P905" s="3"/>
      <c r="Q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N906" s="3"/>
      <c r="O906" s="3"/>
      <c r="P906" s="3"/>
      <c r="Q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N907" s="3"/>
      <c r="O907" s="3"/>
      <c r="P907" s="3"/>
      <c r="Q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N908" s="3"/>
      <c r="O908" s="3"/>
      <c r="P908" s="3"/>
      <c r="Q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N909" s="3"/>
      <c r="O909" s="3"/>
      <c r="P909" s="3"/>
      <c r="Q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N910" s="3"/>
      <c r="O910" s="3"/>
      <c r="P910" s="3"/>
      <c r="Q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N911" s="3"/>
      <c r="O911" s="3"/>
      <c r="P911" s="3"/>
      <c r="Q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N912" s="3"/>
      <c r="O912" s="3"/>
      <c r="P912" s="3"/>
      <c r="Q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N913" s="3"/>
      <c r="O913" s="3"/>
      <c r="P913" s="3"/>
      <c r="Q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N914" s="3"/>
      <c r="O914" s="3"/>
      <c r="P914" s="3"/>
      <c r="Q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N915" s="3"/>
      <c r="O915" s="3"/>
      <c r="P915" s="3"/>
      <c r="Q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N916" s="3"/>
      <c r="O916" s="3"/>
      <c r="P916" s="3"/>
      <c r="Q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N917" s="3"/>
      <c r="O917" s="3"/>
      <c r="P917" s="3"/>
      <c r="Q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N918" s="3"/>
      <c r="O918" s="3"/>
      <c r="P918" s="3"/>
      <c r="Q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N919" s="3"/>
      <c r="O919" s="3"/>
      <c r="P919" s="3"/>
      <c r="Q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N920" s="3"/>
      <c r="O920" s="3"/>
      <c r="P920" s="3"/>
      <c r="Q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N921" s="3"/>
      <c r="O921" s="3"/>
      <c r="P921" s="3"/>
      <c r="Q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N922" s="3"/>
      <c r="O922" s="3"/>
      <c r="P922" s="3"/>
      <c r="Q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N923" s="3"/>
      <c r="O923" s="3"/>
      <c r="P923" s="3"/>
      <c r="Q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N924" s="3"/>
      <c r="O924" s="3"/>
      <c r="P924" s="3"/>
      <c r="Q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N925" s="3"/>
      <c r="O925" s="3"/>
      <c r="P925" s="3"/>
      <c r="Q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N926" s="3"/>
      <c r="O926" s="3"/>
      <c r="P926" s="3"/>
      <c r="Q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N927" s="3"/>
      <c r="O927" s="3"/>
      <c r="P927" s="3"/>
      <c r="Q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N928" s="3"/>
      <c r="O928" s="3"/>
      <c r="P928" s="3"/>
      <c r="Q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N929" s="3"/>
      <c r="O929" s="3"/>
      <c r="P929" s="3"/>
      <c r="Q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N930" s="3"/>
      <c r="O930" s="3"/>
      <c r="P930" s="3"/>
      <c r="Q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N931" s="3"/>
      <c r="O931" s="3"/>
      <c r="P931" s="3"/>
      <c r="Q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N932" s="3"/>
      <c r="O932" s="3"/>
      <c r="P932" s="3"/>
      <c r="Q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N933" s="3"/>
      <c r="O933" s="3"/>
      <c r="P933" s="3"/>
      <c r="Q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N934" s="3"/>
      <c r="O934" s="3"/>
      <c r="P934" s="3"/>
      <c r="Q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N935" s="3"/>
      <c r="O935" s="3"/>
      <c r="P935" s="3"/>
      <c r="Q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N936" s="3"/>
      <c r="O936" s="3"/>
      <c r="P936" s="3"/>
      <c r="Q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N937" s="3"/>
      <c r="O937" s="3"/>
      <c r="P937" s="3"/>
      <c r="Q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N938" s="3"/>
      <c r="O938" s="3"/>
      <c r="P938" s="3"/>
      <c r="Q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N939" s="3"/>
      <c r="O939" s="3"/>
      <c r="P939" s="3"/>
      <c r="Q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N940" s="3"/>
      <c r="O940" s="3"/>
      <c r="P940" s="3"/>
      <c r="Q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N941" s="3"/>
      <c r="O941" s="3"/>
      <c r="P941" s="3"/>
      <c r="Q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N942" s="3"/>
      <c r="O942" s="3"/>
      <c r="P942" s="3"/>
      <c r="Q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N943" s="3"/>
      <c r="O943" s="3"/>
      <c r="P943" s="3"/>
      <c r="Q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N944" s="3"/>
      <c r="O944" s="3"/>
      <c r="P944" s="3"/>
      <c r="Q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N945" s="3"/>
      <c r="O945" s="3"/>
      <c r="P945" s="3"/>
      <c r="Q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N946" s="3"/>
      <c r="O946" s="3"/>
      <c r="P946" s="3"/>
      <c r="Q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N947" s="3"/>
      <c r="O947" s="3"/>
      <c r="P947" s="3"/>
      <c r="Q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N948" s="3"/>
      <c r="O948" s="3"/>
      <c r="P948" s="3"/>
      <c r="Q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N949" s="3"/>
      <c r="O949" s="3"/>
      <c r="P949" s="3"/>
      <c r="Q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N950" s="3"/>
      <c r="O950" s="3"/>
      <c r="P950" s="3"/>
      <c r="Q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N951" s="3"/>
      <c r="O951" s="3"/>
      <c r="P951" s="3"/>
      <c r="Q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N952" s="3"/>
      <c r="O952" s="3"/>
      <c r="P952" s="3"/>
      <c r="Q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N953" s="3"/>
      <c r="O953" s="3"/>
      <c r="P953" s="3"/>
      <c r="Q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N954" s="3"/>
      <c r="O954" s="3"/>
      <c r="P954" s="3"/>
      <c r="Q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N955" s="3"/>
      <c r="O955" s="3"/>
      <c r="P955" s="3"/>
      <c r="Q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N956" s="3"/>
      <c r="O956" s="3"/>
      <c r="P956" s="3"/>
      <c r="Q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N957" s="3"/>
      <c r="O957" s="3"/>
      <c r="P957" s="3"/>
      <c r="Q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N958" s="3"/>
      <c r="O958" s="3"/>
      <c r="P958" s="3"/>
      <c r="Q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N959" s="3"/>
      <c r="O959" s="3"/>
      <c r="P959" s="3"/>
      <c r="Q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N960" s="3"/>
      <c r="O960" s="3"/>
      <c r="P960" s="3"/>
      <c r="Q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N961" s="3"/>
      <c r="O961" s="3"/>
      <c r="P961" s="3"/>
      <c r="Q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N962" s="3"/>
      <c r="O962" s="3"/>
      <c r="P962" s="3"/>
      <c r="Q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N963" s="3"/>
      <c r="O963" s="3"/>
      <c r="P963" s="3"/>
      <c r="Q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N964" s="3"/>
      <c r="O964" s="3"/>
      <c r="P964" s="3"/>
      <c r="Q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N965" s="3"/>
      <c r="O965" s="3"/>
      <c r="P965" s="3"/>
      <c r="Q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N966" s="3"/>
      <c r="O966" s="3"/>
      <c r="P966" s="3"/>
      <c r="Q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N967" s="3"/>
      <c r="O967" s="3"/>
      <c r="P967" s="3"/>
      <c r="Q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N968" s="3"/>
      <c r="O968" s="3"/>
      <c r="P968" s="3"/>
      <c r="Q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N969" s="3"/>
      <c r="O969" s="3"/>
      <c r="P969" s="3"/>
      <c r="Q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N970" s="3"/>
      <c r="O970" s="3"/>
      <c r="P970" s="3"/>
      <c r="Q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N971" s="3"/>
      <c r="O971" s="3"/>
      <c r="P971" s="3"/>
      <c r="Q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N972" s="3"/>
      <c r="O972" s="3"/>
      <c r="P972" s="3"/>
      <c r="Q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N973" s="3"/>
      <c r="O973" s="3"/>
      <c r="P973" s="3"/>
      <c r="Q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N974" s="3"/>
      <c r="O974" s="3"/>
      <c r="P974" s="3"/>
      <c r="Q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N975" s="3"/>
      <c r="O975" s="3"/>
      <c r="P975" s="3"/>
      <c r="Q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N976" s="3"/>
      <c r="O976" s="3"/>
      <c r="P976" s="3"/>
      <c r="Q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N977" s="3"/>
      <c r="O977" s="3"/>
      <c r="P977" s="3"/>
      <c r="Q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N978" s="3"/>
      <c r="O978" s="3"/>
      <c r="P978" s="3"/>
      <c r="Q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N979" s="3"/>
      <c r="O979" s="3"/>
      <c r="P979" s="3"/>
      <c r="Q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N980" s="3"/>
      <c r="O980" s="3"/>
      <c r="P980" s="3"/>
      <c r="Q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N981" s="3"/>
      <c r="O981" s="3"/>
      <c r="P981" s="3"/>
      <c r="Q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N982" s="3"/>
      <c r="O982" s="3"/>
      <c r="P982" s="3"/>
      <c r="Q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N983" s="3"/>
      <c r="O983" s="3"/>
      <c r="P983" s="3"/>
      <c r="Q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N984" s="3"/>
      <c r="O984" s="3"/>
      <c r="P984" s="3"/>
      <c r="Q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N985" s="3"/>
      <c r="O985" s="3"/>
      <c r="P985" s="3"/>
      <c r="Q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N986" s="3"/>
      <c r="O986" s="3"/>
      <c r="P986" s="3"/>
      <c r="Q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N987" s="3"/>
      <c r="O987" s="3"/>
      <c r="P987" s="3"/>
      <c r="Q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N988" s="3"/>
      <c r="O988" s="3"/>
      <c r="P988" s="3"/>
      <c r="Q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N989" s="3"/>
      <c r="O989" s="3"/>
      <c r="P989" s="3"/>
      <c r="Q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N990" s="3"/>
      <c r="O990" s="3"/>
      <c r="P990" s="3"/>
      <c r="Q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N991" s="3"/>
      <c r="O991" s="3"/>
      <c r="P991" s="3"/>
      <c r="Q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N992" s="3"/>
      <c r="O992" s="3"/>
      <c r="P992" s="3"/>
      <c r="Q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N993" s="3"/>
      <c r="O993" s="3"/>
      <c r="P993" s="3"/>
      <c r="Q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N994" s="3"/>
      <c r="O994" s="3"/>
      <c r="P994" s="3"/>
      <c r="Q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N995" s="3"/>
      <c r="O995" s="3"/>
      <c r="P995" s="3"/>
      <c r="Q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N996" s="3"/>
      <c r="O996" s="3"/>
      <c r="P996" s="3"/>
      <c r="Q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N997" s="3"/>
      <c r="O997" s="3"/>
      <c r="P997" s="3"/>
      <c r="Q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N998" s="3"/>
      <c r="O998" s="3"/>
      <c r="P998" s="3"/>
      <c r="Q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N999" s="3"/>
      <c r="O999" s="3"/>
      <c r="P999" s="3"/>
      <c r="Q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N1000" s="3"/>
      <c r="O1000" s="3"/>
      <c r="P1000" s="3"/>
      <c r="Q1000" s="3"/>
      <c r="V1000" s="3"/>
      <c r="W1000" s="3"/>
      <c r="X1000" s="3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