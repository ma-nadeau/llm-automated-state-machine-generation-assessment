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shwasher/Grading/2 stage/6-examples/"/>
    </mc:Choice>
  </mc:AlternateContent>
  <xr:revisionPtr revIDLastSave="0" documentId="8_{1CBD9F72-612F-084D-B5D0-1F1913DC2473}" xr6:coauthVersionLast="47" xr6:coauthVersionMax="47" xr10:uidLastSave="{00000000-0000-0000-0000-000000000000}"/>
  <bookViews>
    <workbookView xWindow="22480" yWindow="-20720" windowWidth="30240" windowHeight="17300" activeTab="2" xr2:uid="{00000000-000D-0000-FFFF-FFFF00000000}"/>
  </bookViews>
  <sheets>
    <sheet name="Dishwash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F6" i="3" s="1"/>
  <c r="B6" i="3"/>
  <c r="E5" i="3"/>
  <c r="D5" i="3"/>
  <c r="C5" i="3"/>
  <c r="G5" i="3" s="1"/>
  <c r="B5" i="3"/>
  <c r="E4" i="3"/>
  <c r="D4" i="3"/>
  <c r="C4" i="3"/>
  <c r="F4" i="3" s="1"/>
  <c r="B4" i="3"/>
  <c r="E3" i="3"/>
  <c r="D3" i="3"/>
  <c r="C3" i="3"/>
  <c r="B3" i="3"/>
  <c r="G3" i="3" l="1"/>
  <c r="G7" i="3"/>
  <c r="E10" i="3"/>
  <c r="B10" i="3"/>
  <c r="F9" i="3"/>
  <c r="F8" i="3"/>
  <c r="F5" i="3"/>
  <c r="H5" i="3" s="1"/>
  <c r="G9" i="3"/>
  <c r="H9" i="3" s="1"/>
  <c r="D10" i="3"/>
  <c r="G6" i="3"/>
  <c r="H6" i="3" s="1"/>
  <c r="G8" i="3"/>
  <c r="C10" i="3"/>
  <c r="G4" i="3"/>
  <c r="H4" i="3" s="1"/>
  <c r="F7" i="3"/>
  <c r="H7" i="3" s="1"/>
  <c r="F3" i="3"/>
  <c r="H3" i="3" s="1"/>
  <c r="H8" i="3" l="1"/>
  <c r="G10" i="3"/>
  <c r="F10" i="3"/>
  <c r="H10" i="3" l="1"/>
</calcChain>
</file>

<file path=xl/sharedStrings.xml><?xml version="1.0" encoding="utf-8"?>
<sst xmlns="http://schemas.openxmlformats.org/spreadsheetml/2006/main" count="299" uniqueCount="119">
  <si>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</si>
  <si>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</si>
  <si>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</si>
  <si>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</si>
  <si>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</si>
  <si>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</si>
  <si>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</si>
  <si>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</si>
  <si>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</si>
  <si>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</si>
  <si>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</si>
  <si>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</si>
  <si>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</si>
  <si>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</si>
  <si>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</si>
  <si>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</si>
  <si>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</si>
  <si>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</si>
  <si>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</si>
  <si>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</si>
  <si>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</si>
  <si>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</si>
  <si>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</si>
  <si>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</si>
  <si>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</si>
  <si>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</si>
  <si>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</si>
  <si>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</si>
  <si>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</si>
  <si>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</si>
  <si>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</si>
  <si>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</si>
  <si>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</si>
  <si>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</si>
  <si>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</si>
  <si>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</si>
  <si>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</si>
  <si>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</si>
  <si>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</si>
  <si>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</si>
  <si>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</si>
  <si>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</si>
  <si>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</si>
  <si>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</si>
  <si>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</si>
  <si>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</si>
  <si>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</si>
  <si>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</si>
  <si>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</si>
  <si>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</si>
  <si>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</si>
  <si>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</si>
  <si>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</si>
  <si>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</si>
  <si>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</si>
  <si>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</si>
  <si>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GPT-5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</si>
  <si>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</si>
  <si>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</si>
  <si>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</si>
  <si>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</si>
  <si>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</si>
  <si>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</si>
  <si>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</si>
  <si>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</si>
  <si>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</si>
  <si>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</si>
  <si>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</si>
  <si>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</si>
  <si>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</si>
  <si>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</si>
  <si>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Represented by ProgramRunning</t>
  </si>
  <si>
    <t>No explicit Door region</t>
  </si>
  <si>
    <t>No explicit Door states</t>
  </si>
  <si>
    <t>Modeled as entry action lockDoor in Cleaning</t>
  </si>
  <si>
    <t>Modeled as exit action unlockDoor in Cleaning</t>
  </si>
  <si>
    <t>Represented by ProcessRegion</t>
  </si>
  <si>
    <t>Represented by initial transition to SetupDefaultDrying</t>
  </si>
  <si>
    <t>Represented by SetupDefaultDrying and SetupExtendedDrying</t>
  </si>
  <si>
    <t>Represented by selectProgram transitions</t>
  </si>
  <si>
    <t>Missing guard for program selection</t>
  </si>
  <si>
    <t>Represented by setProgram action</t>
  </si>
  <si>
    <t>Represented by extendDrying and reduceDrying transitions</t>
  </si>
  <si>
    <t>Represented by setDryingTime actions</t>
  </si>
  <si>
    <t>Represented by start transition to ProgramRunning</t>
  </si>
  <si>
    <t>Missing guard for door closed on start</t>
  </si>
  <si>
    <t>lockDoor is an entry action in Cleaning and cycle initialization is implicit</t>
  </si>
  <si>
    <t>Represented by Cleaning state</t>
  </si>
  <si>
    <t>Represented by initial transition to WaterIntake</t>
  </si>
  <si>
    <t>Represented by WaterIntake state</t>
  </si>
  <si>
    <t>Represented by waterIntakeComplete transition</t>
  </si>
  <si>
    <t>Represented by Washing state</t>
  </si>
  <si>
    <t>Represented by washTimerElapsed transition</t>
  </si>
  <si>
    <t>Represented by Draining state</t>
  </si>
  <si>
    <t>Represented by cyclesRemaining greater than 1 guard</t>
  </si>
  <si>
    <t>Represented by waterDrained transition to WaterIntake</t>
  </si>
  <si>
    <t>Represented by decrementCyclesRemaining action</t>
  </si>
  <si>
    <t>Represented by waterDrained transition to Drying</t>
  </si>
  <si>
    <t>Represented by cyclesRemaining equals 1 guard</t>
  </si>
  <si>
    <t>Missing history state as student uses a parallel region instead</t>
  </si>
  <si>
    <t>Drying time extension during cleaning is handled via parallel DryingTimeRegion</t>
  </si>
  <si>
    <t>Represented by setOrExtendDryingTime action</t>
  </si>
  <si>
    <t>Represented by transition from Draining to Drying</t>
  </si>
  <si>
    <t>Represented by exit action unlockDoor in Cleaning</t>
  </si>
  <si>
    <t>Represented by Drying state</t>
  </si>
  <si>
    <t>Represented by dryingTimerElapsed transition</t>
  </si>
  <si>
    <t>Handled in parallel DryingTimeRegion</t>
  </si>
  <si>
    <t>Represented by doorOpened transition</t>
  </si>
  <si>
    <t>Represented by DoorOpenSuspended state</t>
  </si>
  <si>
    <t>Represented by doorClosed transition</t>
  </si>
  <si>
    <t>Represented by doorOpenTimerElapsed transition</t>
  </si>
  <si>
    <t>Extra states are reasonable modeling choices for the parallel region approach</t>
  </si>
  <si>
    <t>Extra transitions are reasonable for the parallel region approach</t>
  </si>
  <si>
    <t>Extra guards are reasonable</t>
  </si>
  <si>
    <t>Extra actions are reasonable detailed additions</t>
  </si>
  <si>
    <t>No incorrect additional composite states</t>
  </si>
  <si>
    <t>Parallel regions are a reasonable alternative to history states</t>
  </si>
  <si>
    <t>No additional history states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</si>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</sst>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33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0" xfId="0" applyFont="1" applyFill="1" applyBorder="1"/>
    <xf numFmtId="0" fontId="3" fillId="5" borderId="2" xfId="0" applyFont="1" applyFill="1" applyBorder="1"/>
    <xf numFmtId="0" fontId="3" fillId="5" borderId="0" xfId="0" applyFont="1" applyFill="1" applyBorder="1"/>
    <xf numFmtId="0" fontId="3" fillId="4" borderId="3" xfId="0" applyFont="1" applyFill="1" applyBorder="1" applyAlignment="1">
      <alignment horizontal="center"/>
    </xf>
    <xf numFmtId="0" fontId="3" fillId="0" borderId="1" xfId="0" applyFont="1" applyBorder="1"/>
    <xf numFmtId="0" fontId="3" fillId="4" borderId="4" xfId="0" applyFont="1" applyFill="1" applyBorder="1" applyAlignment="1">
      <alignment horizontal="center"/>
    </xf>
    <xf numFmtId="0" fontId="4" fillId="7" borderId="0" xfId="0" applyFont="1" applyFill="1" applyBorder="1"/>
    <xf numFmtId="0" fontId="1" fillId="6" borderId="6" xfId="0" applyFont="1" applyFill="1" applyBorder="1" applyAlignment="1">
      <alignment horizontal="center"/>
    </xf>
    <xf numFmtId="0" fontId="4" fillId="4" borderId="0" xfId="0" applyFont="1" applyFill="1" applyBorder="1"/>
    <xf numFmtId="0" fontId="5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4" fillId="0" borderId="0" xfId="0" applyFont="1" applyBorder="1"/>
    <xf numFmtId="0" fontId="1" fillId="0" borderId="6" xfId="0" applyFont="1" applyBorder="1"/>
    <xf numFmtId="0" fontId="2" fillId="0" borderId="7" xfId="0" applyFont="1" applyBorder="1"/>
    <xf numFmtId="0" fontId="1" fillId="9" borderId="0" xfId="0" applyFont="1" applyFill="1" applyBorder="1" applyAlignment="1">
      <alignment horizontal="center" vertical="top"/>
    </xf>
    <xf numFmtId="0" fontId="2" fillId="9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5">
  <tableColumns count="2">
    <tableColumn id="1" xr3:uid="{00000000-0010-0000-0000-000001000000}" name="Type"/>
    <tableColumn id="2" xr3:uid="{00000000-0010-0000-0000-000002000000}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55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9</v>
      </c>
      <c r="B6" s="4" t="s">
        <v>10</v>
      </c>
    </row>
    <row r="7" spans="1:2" ht="12.75" customHeight="1" x14ac:dyDescent="0.15">
      <c r="A7" s="3" t="s">
        <v>9</v>
      </c>
      <c r="B7" s="4" t="s">
        <v>11</v>
      </c>
    </row>
    <row r="8" spans="1:2" ht="12.75" customHeight="1" x14ac:dyDescent="0.15">
      <c r="A8" s="3" t="s">
        <v>6</v>
      </c>
      <c r="B8" s="4" t="s">
        <v>12</v>
      </c>
    </row>
    <row r="9" spans="1:2" ht="12.75" customHeight="1" x14ac:dyDescent="0.15">
      <c r="A9" s="3" t="s">
        <v>9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9</v>
      </c>
      <c r="B11" s="4" t="s">
        <v>15</v>
      </c>
    </row>
    <row r="12" spans="1:2" ht="12.75" customHeight="1" x14ac:dyDescent="0.15">
      <c r="A12" s="3" t="s">
        <v>4</v>
      </c>
      <c r="B12" s="4" t="s">
        <v>16</v>
      </c>
    </row>
    <row r="13" spans="1:2" ht="12.75" customHeight="1" x14ac:dyDescent="0.15">
      <c r="A13" s="3" t="s">
        <v>6</v>
      </c>
      <c r="B13" s="4" t="s">
        <v>17</v>
      </c>
    </row>
    <row r="14" spans="1:2" ht="12.75" customHeight="1" x14ac:dyDescent="0.15">
      <c r="A14" s="3" t="s">
        <v>9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9</v>
      </c>
      <c r="B16" s="4" t="s">
        <v>20</v>
      </c>
    </row>
    <row r="17" spans="1:22" ht="15" customHeight="1" x14ac:dyDescent="0.15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</row>
    <row r="19" spans="1:22" ht="12.75" customHeight="1" x14ac:dyDescent="0.15">
      <c r="A19" s="3" t="s">
        <v>9</v>
      </c>
      <c r="B19" s="4" t="s">
        <v>25</v>
      </c>
    </row>
    <row r="20" spans="1:22" ht="12.75" customHeight="1" x14ac:dyDescent="0.15">
      <c r="A20" s="3" t="s">
        <v>23</v>
      </c>
      <c r="B20" s="4" t="s">
        <v>26</v>
      </c>
    </row>
    <row r="21" spans="1:22" ht="12.75" customHeight="1" x14ac:dyDescent="0.15">
      <c r="A21" s="3" t="s">
        <v>9</v>
      </c>
      <c r="B21" s="4" t="s">
        <v>27</v>
      </c>
    </row>
    <row r="22" spans="1:22" ht="12.75" customHeight="1" x14ac:dyDescent="0.15">
      <c r="A22" s="3" t="s">
        <v>21</v>
      </c>
      <c r="B22" s="4" t="s">
        <v>28</v>
      </c>
    </row>
    <row r="23" spans="1:22" ht="12.75" customHeight="1" x14ac:dyDescent="0.15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</row>
    <row r="25" spans="1:22" ht="12.75" customHeight="1" x14ac:dyDescent="0.15">
      <c r="A25" s="3" t="s">
        <v>6</v>
      </c>
      <c r="B25" s="4" t="s">
        <v>31</v>
      </c>
    </row>
    <row r="26" spans="1:22" ht="15" customHeight="1" x14ac:dyDescent="0.15">
      <c r="A26" s="3" t="s">
        <v>6</v>
      </c>
      <c r="B26" s="4" t="s">
        <v>32</v>
      </c>
    </row>
    <row r="27" spans="1:22" ht="12.75" customHeight="1" x14ac:dyDescent="0.15">
      <c r="A27" s="3" t="s">
        <v>9</v>
      </c>
      <c r="B27" s="4" t="s">
        <v>33</v>
      </c>
    </row>
    <row r="28" spans="1:22" ht="12.75" customHeight="1" x14ac:dyDescent="0.15">
      <c r="A28" s="3" t="s">
        <v>6</v>
      </c>
      <c r="B28" s="4" t="s">
        <v>34</v>
      </c>
    </row>
    <row r="29" spans="1:22" ht="12.75" customHeight="1" x14ac:dyDescent="0.15">
      <c r="A29" s="3" t="s">
        <v>9</v>
      </c>
      <c r="B29" s="4" t="s">
        <v>35</v>
      </c>
    </row>
    <row r="30" spans="1:22" ht="12.75" customHeight="1" x14ac:dyDescent="0.15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</row>
    <row r="33" spans="1:22" ht="12.75" customHeight="1" x14ac:dyDescent="0.15">
      <c r="A33" s="3" t="s">
        <v>23</v>
      </c>
      <c r="B33" s="4" t="s">
        <v>39</v>
      </c>
    </row>
    <row r="34" spans="1:22" ht="12.75" customHeight="1" x14ac:dyDescent="0.15">
      <c r="A34" s="3" t="s">
        <v>9</v>
      </c>
      <c r="B34" s="4" t="s">
        <v>40</v>
      </c>
    </row>
    <row r="35" spans="1:22" ht="12.75" customHeight="1" x14ac:dyDescent="0.15">
      <c r="A35" s="3" t="s">
        <v>21</v>
      </c>
      <c r="B35" s="4" t="s">
        <v>41</v>
      </c>
    </row>
    <row r="36" spans="1:22" ht="12.75" customHeight="1" x14ac:dyDescent="0.15">
      <c r="A36" s="3" t="s">
        <v>42</v>
      </c>
      <c r="B36" s="4" t="s">
        <v>43</v>
      </c>
    </row>
    <row r="37" spans="1:22" ht="12.75" customHeight="1" x14ac:dyDescent="0.15">
      <c r="A37" s="3" t="s">
        <v>9</v>
      </c>
      <c r="B37" s="4" t="s">
        <v>44</v>
      </c>
    </row>
    <row r="38" spans="1:22" ht="12.75" customHeight="1" x14ac:dyDescent="0.15">
      <c r="A38" s="3" t="s">
        <v>23</v>
      </c>
      <c r="B38" s="4" t="s">
        <v>26</v>
      </c>
    </row>
    <row r="39" spans="1:22" ht="15" customHeight="1" x14ac:dyDescent="0.15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" ht="12.75" customHeight="1" x14ac:dyDescent="0.15">
      <c r="A49" s="8" t="s">
        <v>6</v>
      </c>
      <c r="B49" s="9" t="s">
        <v>55</v>
      </c>
    </row>
    <row r="50" spans="1:2" ht="12.75" customHeight="1" x14ac:dyDescent="0.15">
      <c r="A50" s="8" t="s">
        <v>9</v>
      </c>
      <c r="B50" s="9" t="s">
        <v>55</v>
      </c>
    </row>
    <row r="51" spans="1:2" ht="12.75" customHeight="1" x14ac:dyDescent="0.15">
      <c r="A51" s="3" t="s">
        <v>21</v>
      </c>
      <c r="B51" s="4" t="s">
        <v>55</v>
      </c>
    </row>
    <row r="52" spans="1:2" ht="12.75" customHeight="1" x14ac:dyDescent="0.15">
      <c r="A52" s="8" t="s">
        <v>23</v>
      </c>
      <c r="B52" s="9" t="s">
        <v>55</v>
      </c>
    </row>
    <row r="53" spans="1:2" ht="12.75" customHeight="1" x14ac:dyDescent="0.15">
      <c r="A53" s="3" t="s">
        <v>2</v>
      </c>
      <c r="B53" s="4" t="s">
        <v>55</v>
      </c>
    </row>
    <row r="54" spans="1:2" ht="12.75" customHeight="1" x14ac:dyDescent="0.15">
      <c r="A54" s="8" t="s">
        <v>4</v>
      </c>
      <c r="B54" s="9" t="s">
        <v>55</v>
      </c>
    </row>
    <row r="55" spans="1:2" ht="12.75" customHeight="1" x14ac:dyDescent="0.15">
      <c r="A55" s="3" t="s">
        <v>42</v>
      </c>
      <c r="B55" s="4" t="s">
        <v>55</v>
      </c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topLeftCell="A19" workbookViewId="0">
      <selection activeCell="C2" sqref="C2:D55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6.1640625" bestFit="1" customWidth="1"/>
    <col min="4" max="4" width="153.1640625" bestFit="1" customWidth="1"/>
    <col min="5" max="22" width="10.6640625" customWidth="1"/>
  </cols>
  <sheetData>
    <row r="1" spans="1:5" ht="13.5" customHeight="1" x14ac:dyDescent="0.15">
      <c r="A1" s="29" t="s">
        <v>0</v>
      </c>
      <c r="B1" s="30" t="s">
        <v>1</v>
      </c>
      <c r="C1" s="10" t="s">
        <v>56</v>
      </c>
      <c r="D1" s="10" t="s">
        <v>57</v>
      </c>
      <c r="E1" s="11"/>
    </row>
    <row r="2" spans="1:5" ht="12.75" customHeight="1" x14ac:dyDescent="0.15">
      <c r="A2" s="3" t="s">
        <v>2</v>
      </c>
      <c r="B2" s="4" t="s">
        <v>3</v>
      </c>
      <c r="C2" s="12">
        <v>1</v>
      </c>
      <c r="D2" s="13" t="s">
        <v>71</v>
      </c>
      <c r="E2" s="14"/>
    </row>
    <row r="3" spans="1:5" ht="12.75" customHeight="1" x14ac:dyDescent="0.15">
      <c r="A3" s="3" t="s">
        <v>4</v>
      </c>
      <c r="B3" s="4" t="s">
        <v>5</v>
      </c>
      <c r="C3" s="12">
        <v>0</v>
      </c>
      <c r="D3" s="15" t="s">
        <v>72</v>
      </c>
      <c r="E3" s="16"/>
    </row>
    <row r="4" spans="1:5" ht="12.75" customHeight="1" x14ac:dyDescent="0.15">
      <c r="A4" s="3" t="s">
        <v>6</v>
      </c>
      <c r="B4" s="4" t="s">
        <v>7</v>
      </c>
      <c r="C4" s="12">
        <v>0</v>
      </c>
      <c r="D4" s="13" t="s">
        <v>73</v>
      </c>
      <c r="E4" s="14"/>
    </row>
    <row r="5" spans="1:5" ht="12.75" customHeight="1" x14ac:dyDescent="0.15">
      <c r="A5" s="3" t="s">
        <v>6</v>
      </c>
      <c r="B5" s="4" t="s">
        <v>8</v>
      </c>
      <c r="C5" s="12">
        <v>0</v>
      </c>
      <c r="D5" s="15" t="s">
        <v>73</v>
      </c>
      <c r="E5" s="16"/>
    </row>
    <row r="6" spans="1:5" ht="12.75" customHeight="1" x14ac:dyDescent="0.15">
      <c r="A6" s="3" t="s">
        <v>9</v>
      </c>
      <c r="B6" s="4" t="s">
        <v>10</v>
      </c>
      <c r="C6" s="12">
        <v>0</v>
      </c>
      <c r="D6" s="13" t="s">
        <v>73</v>
      </c>
      <c r="E6" s="14"/>
    </row>
    <row r="7" spans="1:5" ht="12.75" customHeight="1" x14ac:dyDescent="0.15">
      <c r="A7" s="3" t="s">
        <v>9</v>
      </c>
      <c r="B7" s="4" t="s">
        <v>11</v>
      </c>
      <c r="C7" s="12">
        <v>0.5</v>
      </c>
      <c r="D7" s="15" t="s">
        <v>74</v>
      </c>
      <c r="E7" s="16"/>
    </row>
    <row r="8" spans="1:5" ht="12.75" customHeight="1" x14ac:dyDescent="0.15">
      <c r="A8" s="3" t="s">
        <v>6</v>
      </c>
      <c r="B8" s="4" t="s">
        <v>12</v>
      </c>
      <c r="C8" s="12">
        <v>0</v>
      </c>
      <c r="D8" s="13" t="s">
        <v>73</v>
      </c>
      <c r="E8" s="14"/>
    </row>
    <row r="9" spans="1:5" ht="12.75" customHeight="1" x14ac:dyDescent="0.15">
      <c r="A9" s="3" t="s">
        <v>9</v>
      </c>
      <c r="B9" s="4" t="s">
        <v>13</v>
      </c>
      <c r="C9" s="12">
        <v>0</v>
      </c>
      <c r="D9" s="15" t="s">
        <v>73</v>
      </c>
      <c r="E9" s="16"/>
    </row>
    <row r="10" spans="1:5" ht="12.75" customHeight="1" x14ac:dyDescent="0.15">
      <c r="A10" s="3" t="s">
        <v>6</v>
      </c>
      <c r="B10" s="4" t="s">
        <v>14</v>
      </c>
      <c r="C10" s="12">
        <v>0</v>
      </c>
      <c r="D10" s="13" t="s">
        <v>73</v>
      </c>
      <c r="E10" s="14"/>
    </row>
    <row r="11" spans="1:5" ht="12.75" customHeight="1" x14ac:dyDescent="0.15">
      <c r="A11" s="3" t="s">
        <v>9</v>
      </c>
      <c r="B11" s="4" t="s">
        <v>15</v>
      </c>
      <c r="C11" s="12">
        <v>0.5</v>
      </c>
      <c r="D11" s="15" t="s">
        <v>75</v>
      </c>
      <c r="E11" s="16"/>
    </row>
    <row r="12" spans="1:5" ht="12.75" customHeight="1" x14ac:dyDescent="0.15">
      <c r="A12" s="3" t="s">
        <v>4</v>
      </c>
      <c r="B12" s="4" t="s">
        <v>16</v>
      </c>
      <c r="C12" s="12">
        <v>1</v>
      </c>
      <c r="D12" s="13" t="s">
        <v>76</v>
      </c>
      <c r="E12" s="14"/>
    </row>
    <row r="13" spans="1:5" ht="12.75" customHeight="1" x14ac:dyDescent="0.15">
      <c r="A13" s="3" t="s">
        <v>6</v>
      </c>
      <c r="B13" s="4" t="s">
        <v>17</v>
      </c>
      <c r="C13" s="12">
        <v>1</v>
      </c>
      <c r="D13" s="15" t="s">
        <v>77</v>
      </c>
      <c r="E13" s="16"/>
    </row>
    <row r="14" spans="1:5" ht="12.75" customHeight="1" x14ac:dyDescent="0.15">
      <c r="A14" s="3" t="s">
        <v>9</v>
      </c>
      <c r="B14" s="4" t="s">
        <v>18</v>
      </c>
      <c r="C14" s="12">
        <v>1</v>
      </c>
      <c r="D14" s="13" t="s">
        <v>77</v>
      </c>
      <c r="E14" s="14"/>
    </row>
    <row r="15" spans="1:5" ht="12.75" customHeight="1" x14ac:dyDescent="0.15">
      <c r="A15" s="3" t="s">
        <v>6</v>
      </c>
      <c r="B15" s="4" t="s">
        <v>19</v>
      </c>
      <c r="C15" s="12">
        <v>1</v>
      </c>
      <c r="D15" s="15" t="s">
        <v>78</v>
      </c>
      <c r="E15" s="16"/>
    </row>
    <row r="16" spans="1:5" ht="12.75" customHeight="1" x14ac:dyDescent="0.15">
      <c r="A16" s="3" t="s">
        <v>9</v>
      </c>
      <c r="B16" s="4" t="s">
        <v>20</v>
      </c>
      <c r="C16" s="12">
        <v>1</v>
      </c>
      <c r="D16" s="13" t="s">
        <v>79</v>
      </c>
      <c r="E16" s="14"/>
    </row>
    <row r="17" spans="1:22" ht="15" customHeight="1" x14ac:dyDescent="0.15">
      <c r="A17" s="3" t="s">
        <v>21</v>
      </c>
      <c r="B17" s="4" t="s">
        <v>22</v>
      </c>
      <c r="C17" s="12">
        <v>0</v>
      </c>
      <c r="D17" s="15" t="s">
        <v>80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2">
        <v>1</v>
      </c>
      <c r="D18" s="13" t="s">
        <v>81</v>
      </c>
      <c r="E18" s="14"/>
    </row>
    <row r="19" spans="1:22" ht="12.75" customHeight="1" x14ac:dyDescent="0.15">
      <c r="A19" s="3" t="s">
        <v>9</v>
      </c>
      <c r="B19" s="4" t="s">
        <v>25</v>
      </c>
      <c r="C19" s="12">
        <v>1</v>
      </c>
      <c r="D19" s="15" t="s">
        <v>82</v>
      </c>
      <c r="E19" s="16"/>
    </row>
    <row r="20" spans="1:22" ht="12.75" customHeight="1" x14ac:dyDescent="0.15">
      <c r="A20" s="3" t="s">
        <v>23</v>
      </c>
      <c r="B20" s="4" t="s">
        <v>26</v>
      </c>
      <c r="C20" s="12">
        <v>1</v>
      </c>
      <c r="D20" s="13" t="s">
        <v>83</v>
      </c>
      <c r="E20" s="14"/>
    </row>
    <row r="21" spans="1:22" ht="12.75" customHeight="1" x14ac:dyDescent="0.15">
      <c r="A21" s="3" t="s">
        <v>9</v>
      </c>
      <c r="B21" s="4" t="s">
        <v>27</v>
      </c>
      <c r="C21" s="12">
        <v>1</v>
      </c>
      <c r="D21" s="15" t="s">
        <v>84</v>
      </c>
      <c r="E21" s="16"/>
    </row>
    <row r="22" spans="1:22" ht="12.75" customHeight="1" x14ac:dyDescent="0.15">
      <c r="A22" s="3" t="s">
        <v>21</v>
      </c>
      <c r="B22" s="4" t="s">
        <v>28</v>
      </c>
      <c r="C22" s="12">
        <v>0</v>
      </c>
      <c r="D22" s="13" t="s">
        <v>85</v>
      </c>
      <c r="E22" s="14"/>
    </row>
    <row r="23" spans="1:22" ht="12.75" customHeight="1" x14ac:dyDescent="0.15">
      <c r="A23" s="3" t="s">
        <v>23</v>
      </c>
      <c r="B23" s="4" t="s">
        <v>29</v>
      </c>
      <c r="C23" s="12">
        <v>0.5</v>
      </c>
      <c r="D23" s="13" t="s">
        <v>86</v>
      </c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2">
        <v>1</v>
      </c>
      <c r="D24" s="13" t="s">
        <v>87</v>
      </c>
      <c r="E24" s="14"/>
    </row>
    <row r="25" spans="1:22" ht="12.75" customHeight="1" x14ac:dyDescent="0.15">
      <c r="A25" s="3" t="s">
        <v>6</v>
      </c>
      <c r="B25" s="4" t="s">
        <v>31</v>
      </c>
      <c r="C25" s="12">
        <v>1</v>
      </c>
      <c r="D25" s="15" t="s">
        <v>88</v>
      </c>
      <c r="E25" s="16"/>
    </row>
    <row r="26" spans="1:22" ht="15" customHeight="1" x14ac:dyDescent="0.15">
      <c r="A26" s="3" t="s">
        <v>6</v>
      </c>
      <c r="B26" s="4" t="s">
        <v>32</v>
      </c>
      <c r="C26" s="12">
        <v>1</v>
      </c>
      <c r="D26" s="13" t="s">
        <v>89</v>
      </c>
      <c r="E26" s="14"/>
    </row>
    <row r="27" spans="1:22" ht="12.75" customHeight="1" x14ac:dyDescent="0.15">
      <c r="A27" s="3" t="s">
        <v>9</v>
      </c>
      <c r="B27" s="4" t="s">
        <v>33</v>
      </c>
      <c r="C27" s="12">
        <v>1</v>
      </c>
      <c r="D27" s="15" t="s">
        <v>90</v>
      </c>
      <c r="E27" s="16"/>
    </row>
    <row r="28" spans="1:22" ht="12.75" customHeight="1" x14ac:dyDescent="0.15">
      <c r="A28" s="3" t="s">
        <v>6</v>
      </c>
      <c r="B28" s="4" t="s">
        <v>34</v>
      </c>
      <c r="C28" s="12">
        <v>1</v>
      </c>
      <c r="D28" s="13" t="s">
        <v>91</v>
      </c>
      <c r="E28" s="14"/>
    </row>
    <row r="29" spans="1:22" ht="12.75" customHeight="1" x14ac:dyDescent="0.15">
      <c r="A29" s="3" t="s">
        <v>9</v>
      </c>
      <c r="B29" s="4" t="s">
        <v>35</v>
      </c>
      <c r="C29" s="12">
        <v>1</v>
      </c>
      <c r="D29" s="15" t="s">
        <v>92</v>
      </c>
      <c r="E29" s="16"/>
    </row>
    <row r="30" spans="1:22" ht="12.75" customHeight="1" x14ac:dyDescent="0.15">
      <c r="A30" s="3" t="s">
        <v>6</v>
      </c>
      <c r="B30" s="4" t="s">
        <v>36</v>
      </c>
      <c r="C30" s="12">
        <v>1</v>
      </c>
      <c r="D30" s="13" t="s">
        <v>93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2">
        <v>1</v>
      </c>
      <c r="D31" s="15" t="s">
        <v>94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2">
        <v>1</v>
      </c>
      <c r="D32" s="13" t="s">
        <v>95</v>
      </c>
      <c r="E32" s="14"/>
    </row>
    <row r="33" spans="1:22" ht="12.75" customHeight="1" x14ac:dyDescent="0.15">
      <c r="A33" s="3" t="s">
        <v>23</v>
      </c>
      <c r="B33" s="4" t="s">
        <v>39</v>
      </c>
      <c r="C33" s="12">
        <v>1</v>
      </c>
      <c r="D33" s="15" t="s">
        <v>96</v>
      </c>
      <c r="E33" s="16"/>
    </row>
    <row r="34" spans="1:22" ht="12.75" customHeight="1" x14ac:dyDescent="0.15">
      <c r="A34" s="3" t="s">
        <v>9</v>
      </c>
      <c r="B34" s="4" t="s">
        <v>40</v>
      </c>
      <c r="C34" s="12">
        <v>1</v>
      </c>
      <c r="D34" s="13" t="s">
        <v>97</v>
      </c>
      <c r="E34" s="14"/>
    </row>
    <row r="35" spans="1:22" ht="12.75" customHeight="1" x14ac:dyDescent="0.15">
      <c r="A35" s="3" t="s">
        <v>21</v>
      </c>
      <c r="B35" s="4" t="s">
        <v>41</v>
      </c>
      <c r="C35" s="12">
        <v>1</v>
      </c>
      <c r="D35" s="15" t="s">
        <v>98</v>
      </c>
      <c r="E35" s="16"/>
    </row>
    <row r="36" spans="1:22" ht="12.75" customHeight="1" x14ac:dyDescent="0.15">
      <c r="A36" s="3" t="s">
        <v>42</v>
      </c>
      <c r="B36" s="4" t="s">
        <v>43</v>
      </c>
      <c r="C36" s="12">
        <v>0</v>
      </c>
      <c r="D36" s="13" t="s">
        <v>99</v>
      </c>
      <c r="E36" s="14"/>
    </row>
    <row r="37" spans="1:22" ht="12.75" customHeight="1" x14ac:dyDescent="0.15">
      <c r="A37" s="3" t="s">
        <v>9</v>
      </c>
      <c r="B37" s="4" t="s">
        <v>44</v>
      </c>
      <c r="C37" s="12">
        <v>0.5</v>
      </c>
      <c r="D37" s="15" t="s">
        <v>100</v>
      </c>
      <c r="E37" s="16"/>
    </row>
    <row r="38" spans="1:22" ht="12.75" customHeight="1" x14ac:dyDescent="0.15">
      <c r="A38" s="3" t="s">
        <v>23</v>
      </c>
      <c r="B38" s="4" t="s">
        <v>26</v>
      </c>
      <c r="C38" s="12">
        <v>1</v>
      </c>
      <c r="D38" s="13" t="s">
        <v>101</v>
      </c>
      <c r="E38" s="14"/>
    </row>
    <row r="39" spans="1:22" ht="15" customHeight="1" x14ac:dyDescent="0.15">
      <c r="A39" s="3" t="s">
        <v>9</v>
      </c>
      <c r="B39" s="4" t="s">
        <v>45</v>
      </c>
      <c r="C39" s="12">
        <v>1</v>
      </c>
      <c r="D39" s="15" t="s">
        <v>102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2">
        <v>1</v>
      </c>
      <c r="D40" s="13" t="s">
        <v>103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2">
        <v>1</v>
      </c>
      <c r="D41" s="15" t="s">
        <v>104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2">
        <v>1</v>
      </c>
      <c r="D42" s="13" t="s">
        <v>105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2">
        <v>1</v>
      </c>
      <c r="D43" s="15" t="s">
        <v>106</v>
      </c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2">
        <v>1</v>
      </c>
      <c r="D44" s="13" t="s">
        <v>101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2">
        <v>1</v>
      </c>
      <c r="D45" s="15" t="s">
        <v>107</v>
      </c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2">
        <v>1</v>
      </c>
      <c r="D46" s="13" t="s">
        <v>108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2">
        <v>1</v>
      </c>
      <c r="D47" s="5" t="s">
        <v>109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7">
        <v>1</v>
      </c>
      <c r="D48" s="18" t="s">
        <v>110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5" ht="12.75" customHeight="1" x14ac:dyDescent="0.15">
      <c r="A49" s="8" t="s">
        <v>6</v>
      </c>
      <c r="B49" s="9" t="s">
        <v>55</v>
      </c>
      <c r="C49" s="19">
        <v>0</v>
      </c>
      <c r="D49" s="5" t="s">
        <v>111</v>
      </c>
      <c r="E49" s="5"/>
    </row>
    <row r="50" spans="1:5" ht="12.75" customHeight="1" x14ac:dyDescent="0.15">
      <c r="A50" s="8" t="s">
        <v>9</v>
      </c>
      <c r="B50" s="9" t="s">
        <v>55</v>
      </c>
      <c r="C50" s="19">
        <v>0</v>
      </c>
      <c r="D50" s="5" t="s">
        <v>112</v>
      </c>
      <c r="E50" s="5"/>
    </row>
    <row r="51" spans="1:5" ht="12.75" customHeight="1" x14ac:dyDescent="0.15">
      <c r="A51" s="3" t="s">
        <v>21</v>
      </c>
      <c r="B51" s="4" t="s">
        <v>55</v>
      </c>
      <c r="C51" s="19">
        <v>0</v>
      </c>
      <c r="D51" s="5" t="s">
        <v>113</v>
      </c>
      <c r="E51" s="5"/>
    </row>
    <row r="52" spans="1:5" ht="12.75" customHeight="1" x14ac:dyDescent="0.15">
      <c r="A52" s="8" t="s">
        <v>23</v>
      </c>
      <c r="B52" s="9" t="s">
        <v>55</v>
      </c>
      <c r="C52" s="19">
        <v>0</v>
      </c>
      <c r="D52" s="5" t="s">
        <v>114</v>
      </c>
      <c r="E52" s="5"/>
    </row>
    <row r="53" spans="1:5" ht="12.75" customHeight="1" x14ac:dyDescent="0.15">
      <c r="A53" s="3" t="s">
        <v>2</v>
      </c>
      <c r="B53" s="4" t="s">
        <v>55</v>
      </c>
      <c r="C53" s="19">
        <v>0</v>
      </c>
      <c r="D53" s="5" t="s">
        <v>115</v>
      </c>
      <c r="E53" s="5"/>
    </row>
    <row r="54" spans="1:5" ht="12.75" customHeight="1" x14ac:dyDescent="0.15">
      <c r="A54" s="8" t="s">
        <v>4</v>
      </c>
      <c r="B54" s="9" t="s">
        <v>55</v>
      </c>
      <c r="C54" s="19">
        <v>0</v>
      </c>
      <c r="D54" s="5" t="s">
        <v>116</v>
      </c>
      <c r="E54" s="5"/>
    </row>
    <row r="55" spans="1:5" ht="12.75" customHeight="1" x14ac:dyDescent="0.15">
      <c r="A55" s="3" t="s">
        <v>42</v>
      </c>
      <c r="B55" s="4" t="s">
        <v>55</v>
      </c>
      <c r="C55" s="19">
        <v>0</v>
      </c>
      <c r="D55" s="5" t="s">
        <v>117</v>
      </c>
      <c r="E55" s="5"/>
    </row>
    <row r="56" spans="1:5" ht="12.75" customHeight="1" x14ac:dyDescent="0.15">
      <c r="A56" s="1"/>
      <c r="B56" s="2"/>
    </row>
    <row r="57" spans="1:5" ht="12.75" customHeight="1" x14ac:dyDescent="0.15">
      <c r="A57" s="1"/>
      <c r="B57" s="2"/>
    </row>
    <row r="58" spans="1:5" ht="12.75" customHeight="1" x14ac:dyDescent="0.15">
      <c r="A58" s="1"/>
      <c r="B58" s="2"/>
    </row>
    <row r="59" spans="1:5" ht="12.75" customHeight="1" x14ac:dyDescent="0.15">
      <c r="A59" s="1"/>
      <c r="B59" s="2"/>
    </row>
    <row r="60" spans="1:5" ht="12.75" customHeight="1" x14ac:dyDescent="0.15">
      <c r="A60" s="1"/>
      <c r="B60" s="2"/>
    </row>
    <row r="61" spans="1:5" ht="12.75" customHeight="1" x14ac:dyDescent="0.15">
      <c r="A61" s="1"/>
      <c r="B61" s="2"/>
    </row>
    <row r="62" spans="1:5" ht="12.75" customHeight="1" x14ac:dyDescent="0.15">
      <c r="A62" s="1"/>
      <c r="B62" s="2"/>
    </row>
    <row r="63" spans="1:5" ht="12.75" customHeight="1" x14ac:dyDescent="0.15">
      <c r="A63" s="1"/>
      <c r="B63" s="2"/>
    </row>
    <row r="64" spans="1:5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F20" sqref="F20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32" t="s">
        <v>58</v>
      </c>
      <c r="B1" s="32"/>
      <c r="C1" s="32"/>
      <c r="D1" s="32"/>
      <c r="E1" s="32"/>
      <c r="F1" s="32"/>
      <c r="G1" s="32"/>
      <c r="H1" s="32"/>
      <c r="J1" s="20" t="s">
        <v>59</v>
      </c>
    </row>
    <row r="2" spans="1:10" ht="15.75" customHeight="1" x14ac:dyDescent="0.15">
      <c r="A2" s="21" t="s">
        <v>0</v>
      </c>
      <c r="B2" s="21" t="s">
        <v>60</v>
      </c>
      <c r="C2" s="21" t="s">
        <v>61</v>
      </c>
      <c r="D2" s="21" t="s">
        <v>62</v>
      </c>
      <c r="E2" s="21" t="s">
        <v>63</v>
      </c>
      <c r="F2" s="21" t="s">
        <v>64</v>
      </c>
      <c r="G2" s="21" t="s">
        <v>65</v>
      </c>
      <c r="H2" s="21" t="s">
        <v>66</v>
      </c>
      <c r="J2" s="22" t="s">
        <v>67</v>
      </c>
    </row>
    <row r="3" spans="1:10" ht="15.75" customHeight="1" x14ac:dyDescent="0.15">
      <c r="A3" s="23" t="s">
        <v>2</v>
      </c>
      <c r="B3" s="24">
        <f>COUNTIF(Dishwasher!$A$2:$A$48, A3)</f>
        <v>2</v>
      </c>
      <c r="C3" s="25">
        <f>SUMIF('GPT-5 Generation'!$A$2:$A$48, $A3, 'GPT-5 Generation'!$C$2:$C$48)</f>
        <v>2</v>
      </c>
      <c r="D3" s="25">
        <f>SUMIF('GPT-5 Generation'!$A$49:$A$55, $A3, 'GPT-5 Generation'!$C$49:$C$55)</f>
        <v>0</v>
      </c>
      <c r="E3" s="25">
        <f>COUNTIFS('GPT-5 Generation'!$A$2:$A$48, $A3, 'GPT-5 Generation'!$C$2:$C$48,0)</f>
        <v>0</v>
      </c>
      <c r="F3" s="25">
        <f t="shared" ref="F3:F10" si="0">IFERROR(C3 / (C3 + D3), "Not Available")</f>
        <v>1</v>
      </c>
      <c r="G3" s="25">
        <f t="shared" ref="G3:G10" si="1">IFERROR(C3 / B3, "Not Available")</f>
        <v>1</v>
      </c>
      <c r="H3" s="25">
        <f t="shared" ref="H3:H10" si="2">IFERROR(2*((F3*G3)/(F3+G3)),"Not Available")</f>
        <v>1</v>
      </c>
      <c r="J3" s="26"/>
    </row>
    <row r="4" spans="1:10" ht="15.75" customHeight="1" x14ac:dyDescent="0.15">
      <c r="A4" s="27" t="s">
        <v>6</v>
      </c>
      <c r="B4" s="24">
        <f>COUNTIF(Dishwasher!$A$2:$A$48, A4)</f>
        <v>12</v>
      </c>
      <c r="C4" s="25">
        <f>SUMIF('GPT-5 Generation'!$A$2:$A$48, $A4, 'GPT-5 Generation'!$C$2:$C$48)</f>
        <v>8</v>
      </c>
      <c r="D4" s="25">
        <f>SUMIF('GPT-5 Generation'!$A$49:$A$55, $A4, 'GPT-5 Generation'!$C$49:$C$55)</f>
        <v>0</v>
      </c>
      <c r="E4" s="25">
        <f>COUNTIFS('GPT-5 Generation'!$A$2:$A$48, $A4, 'GPT-5 Generation'!$C$2:$C$48,0)</f>
        <v>4</v>
      </c>
      <c r="F4" s="25">
        <f t="shared" si="0"/>
        <v>1</v>
      </c>
      <c r="G4" s="25">
        <f t="shared" si="1"/>
        <v>0.66666666666666663</v>
      </c>
      <c r="H4" s="25">
        <f t="shared" si="2"/>
        <v>0.8</v>
      </c>
      <c r="J4" s="20" t="s">
        <v>68</v>
      </c>
    </row>
    <row r="5" spans="1:10" ht="15.75" customHeight="1" x14ac:dyDescent="0.15">
      <c r="A5" s="27" t="s">
        <v>9</v>
      </c>
      <c r="B5" s="24">
        <f>COUNTIF(Dishwasher!$A$2:$A$48, A5)</f>
        <v>19</v>
      </c>
      <c r="C5" s="25">
        <f>SUMIF('GPT-5 Generation'!$A$2:$A$48, $A5, 'GPT-5 Generation'!$C$2:$C$48)</f>
        <v>15.5</v>
      </c>
      <c r="D5" s="25">
        <f>SUMIF('GPT-5 Generation'!$A$49:$A$55, $A5, 'GPT-5 Generation'!$C$49:$C$55)</f>
        <v>0</v>
      </c>
      <c r="E5" s="25">
        <f>COUNTIFS('GPT-5 Generation'!$A$2:$A$48, $A5, 'GPT-5 Generation'!$C$2:$C$48,0)</f>
        <v>2</v>
      </c>
      <c r="F5" s="25">
        <f t="shared" si="0"/>
        <v>1</v>
      </c>
      <c r="G5" s="25">
        <f t="shared" si="1"/>
        <v>0.81578947368421051</v>
      </c>
      <c r="H5" s="25">
        <f t="shared" si="2"/>
        <v>0.89855072463768104</v>
      </c>
      <c r="J5" s="14" t="s">
        <v>118</v>
      </c>
    </row>
    <row r="6" spans="1:10" ht="15.75" customHeight="1" x14ac:dyDescent="0.15">
      <c r="A6" s="27" t="s">
        <v>23</v>
      </c>
      <c r="B6" s="24">
        <f>COUNTIF(Dishwasher!$A$2:$A$48, A6)</f>
        <v>7</v>
      </c>
      <c r="C6" s="25">
        <f>SUMIF('GPT-5 Generation'!$A$2:$A$48, $A6, 'GPT-5 Generation'!$C$2:$C$48)</f>
        <v>6.5</v>
      </c>
      <c r="D6" s="25">
        <f>SUMIF('GPT-5 Generation'!$A$49:$A$55, $A6, 'GPT-5 Generation'!$C$49:$C$55)</f>
        <v>0</v>
      </c>
      <c r="E6" s="25">
        <f>COUNTIFS('GPT-5 Generation'!$A$2:$A$48, $A6, 'GPT-5 Generation'!$C$2:$C$48,0)</f>
        <v>0</v>
      </c>
      <c r="F6" s="25">
        <f t="shared" si="0"/>
        <v>1</v>
      </c>
      <c r="G6" s="25">
        <f t="shared" si="1"/>
        <v>0.9285714285714286</v>
      </c>
      <c r="H6" s="25">
        <f t="shared" si="2"/>
        <v>0.96296296296296302</v>
      </c>
    </row>
    <row r="7" spans="1:10" ht="15.75" customHeight="1" x14ac:dyDescent="0.15">
      <c r="A7" s="27" t="s">
        <v>4</v>
      </c>
      <c r="B7" s="24">
        <f>COUNTIF(Dishwasher!$A$2:$A$48, A7)</f>
        <v>2</v>
      </c>
      <c r="C7" s="25">
        <f>SUMIF('GPT-5 Generation'!$A$2:$A$48, $A7, 'GPT-5 Generation'!$C$2:$C$48)</f>
        <v>1</v>
      </c>
      <c r="D7" s="25">
        <f>SUMIF('GPT-5 Generation'!$A$49:$A$55, $A7, 'GPT-5 Generation'!$C$49:$C$55)</f>
        <v>0</v>
      </c>
      <c r="E7" s="25">
        <f>COUNTIFS('GPT-5 Generation'!$A$2:$A$48, $A7, 'GPT-5 Generation'!$C$2:$C$48,0)</f>
        <v>1</v>
      </c>
      <c r="F7" s="25">
        <f t="shared" si="0"/>
        <v>1</v>
      </c>
      <c r="G7" s="25">
        <f t="shared" si="1"/>
        <v>0.5</v>
      </c>
      <c r="H7" s="25">
        <f t="shared" si="2"/>
        <v>0.66666666666666663</v>
      </c>
      <c r="J7" s="31" t="s">
        <v>69</v>
      </c>
    </row>
    <row r="8" spans="1:10" ht="15.75" customHeight="1" x14ac:dyDescent="0.15">
      <c r="A8" s="27" t="s">
        <v>42</v>
      </c>
      <c r="B8" s="24">
        <f>COUNTIF(Dishwasher!$A$2:$A$48, A8)</f>
        <v>1</v>
      </c>
      <c r="C8" s="25">
        <f>SUMIF('GPT-5 Generation'!$A$2:$A$48, $A8, 'GPT-5 Generation'!$C$2:$C$48)</f>
        <v>0</v>
      </c>
      <c r="D8" s="25">
        <f>SUMIF('GPT-5 Generation'!$A$49:$A$55, $A8, 'GPT-5 Generation'!$C$49:$C$55)</f>
        <v>0</v>
      </c>
      <c r="E8" s="25">
        <f>COUNTIFS('GPT-5 Generation'!$A$2:$A$48, $A8, 'GPT-5 Generation'!$C$2:$C$48,0)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14" t="s">
        <v>118</v>
      </c>
    </row>
    <row r="9" spans="1:10" ht="15.75" customHeight="1" x14ac:dyDescent="0.15">
      <c r="A9" s="27" t="s">
        <v>21</v>
      </c>
      <c r="B9" s="24">
        <f>COUNTIF(Dishwasher!$A$2:$A$48, A9)</f>
        <v>4</v>
      </c>
      <c r="C9" s="25">
        <f>SUMIF('GPT-5 Generation'!$A$2:$A$48, $A9, 'GPT-5 Generation'!$C$2:$C$48)</f>
        <v>2</v>
      </c>
      <c r="D9" s="25">
        <f>SUMIF('GPT-5 Generation'!$A$49:$A$55, $A9, 'GPT-5 Generation'!$C$49:$C$55)</f>
        <v>0</v>
      </c>
      <c r="E9" s="25">
        <f>COUNTIFS('GPT-5 Generation'!$A$2:$A$48, $A9, 'GPT-5 Generation'!$C$2:$C$48,0)</f>
        <v>2</v>
      </c>
      <c r="F9" s="25">
        <f t="shared" si="0"/>
        <v>1</v>
      </c>
      <c r="G9" s="25">
        <f t="shared" si="1"/>
        <v>0.5</v>
      </c>
      <c r="H9" s="25">
        <f t="shared" si="2"/>
        <v>0.66666666666666663</v>
      </c>
    </row>
    <row r="10" spans="1:10" ht="15.75" customHeight="1" x14ac:dyDescent="0.15">
      <c r="A10" s="27" t="s">
        <v>70</v>
      </c>
      <c r="B10" s="25">
        <f>SUM(B3:B9)</f>
        <v>47</v>
      </c>
      <c r="C10" s="25">
        <f>SUM(C3:C9)</f>
        <v>35</v>
      </c>
      <c r="D10" s="25">
        <f>SUM(D3:D9)</f>
        <v>0</v>
      </c>
      <c r="E10" s="25">
        <f>SUM(E3:E9)</f>
        <v>10</v>
      </c>
      <c r="F10" s="25">
        <f t="shared" si="0"/>
        <v>1</v>
      </c>
      <c r="G10" s="25">
        <f t="shared" si="1"/>
        <v>0.74468085106382975</v>
      </c>
      <c r="H10" s="25">
        <f t="shared" si="2"/>
        <v>0.85365853658536572</v>
      </c>
    </row>
    <row r="11" spans="1:10" ht="15.75" customHeight="1" x14ac:dyDescent="0.15">
      <c r="H11" s="28"/>
      <c r="J11" s="26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Dishwasher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2026-05-13T16:39:35Z</dcterms:modified>
</cp:coreProperties>
</file>