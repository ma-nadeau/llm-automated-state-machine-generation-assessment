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name="Dishwasher" sheetId="1" state="visible" r:id="rId1"/>
    <sheet name="GPT-5.5 Grading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11">
    <fill>
      <patternFill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5"/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3" fillId="3" borderId="2" pivotButton="0" quotePrefix="0" xfId="0"/>
    <xf numFmtId="0" fontId="3" fillId="3" borderId="0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0" pivotButton="0" quotePrefix="0" xfId="0"/>
    <xf numFmtId="0" fontId="3" fillId="5" borderId="2" pivotButton="0" quotePrefix="0" xfId="0"/>
    <xf numFmtId="0" fontId="3" fillId="5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4" fillId="7" borderId="0" pivotButton="0" quotePrefix="0" xfId="0"/>
    <xf numFmtId="0" fontId="1" fillId="6" borderId="6" applyAlignment="1" pivotButton="0" quotePrefix="0" xfId="0">
      <alignment horizontal="center"/>
    </xf>
    <xf numFmtId="0" fontId="4" fillId="4" borderId="0" pivotButton="0" quotePrefix="0" xfId="0"/>
    <xf numFmtId="0" fontId="5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4" fillId="0" borderId="0" pivotButton="0" quotePrefix="0" xfId="0"/>
    <xf numFmtId="0" fontId="1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4" fillId="3" borderId="2" pivotButton="0" quotePrefix="0" xfId="0"/>
    <xf numFmtId="0" fontId="2" fillId="0" borderId="0" pivotButton="0" quotePrefix="0" xfId="0"/>
    <xf numFmtId="0" fontId="2" fillId="9" borderId="10" applyAlignment="1" pivotButton="0" quotePrefix="0" xfId="0">
      <alignment horizontal="center" vertical="center"/>
    </xf>
    <xf numFmtId="0" fontId="2" fillId="9" borderId="11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9" borderId="13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9" borderId="23" applyAlignment="1" pivotButton="0" quotePrefix="0" xfId="0">
      <alignment horizontal="center" vertical="center"/>
    </xf>
    <xf numFmtId="0" fontId="2" fillId="9" borderId="24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9" borderId="23" applyAlignment="1" pivotButton="0" quotePrefix="0" xfId="0">
      <alignment horizontal="center"/>
    </xf>
    <xf numFmtId="0" fontId="4" fillId="9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1" fillId="10" borderId="0" applyAlignment="1" pivotButton="0" quotePrefix="0" xfId="0">
      <alignment horizontal="center" vertical="top"/>
    </xf>
    <xf numFmtId="0" fontId="2" fillId="10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6" borderId="5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0" fillId="0" borderId="9" pivotButton="0" quotePrefix="0" xfId="0"/>
    <xf numFmtId="0" fontId="1" fillId="0" borderId="5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ishwash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55" headerRowCount="1">
  <tableColumns count="2">
    <tableColumn id="1" name="Type"/>
    <tableColumn id="2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5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10.6640625" customWidth="1" style="67" min="3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</row>
    <row r="3" ht="12.75" customHeight="1" s="67">
      <c r="A3" s="66" t="inlineStr">
        <is>
          <t>Region</t>
        </is>
      </c>
      <c r="B3" s="4" t="inlineStr">
        <is>
          <t>Door</t>
        </is>
      </c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</row>
    <row r="5" ht="12.75" customHeight="1" s="67">
      <c r="A5" s="66" t="inlineStr">
        <is>
          <t>State</t>
        </is>
      </c>
      <c r="B5" s="4" t="inlineStr">
        <is>
          <t>Closed</t>
        </is>
      </c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</row>
    <row r="8" ht="12.75" customHeight="1" s="67">
      <c r="A8" s="66" t="inlineStr">
        <is>
          <t>State</t>
        </is>
      </c>
      <c r="B8" s="4" t="inlineStr">
        <is>
          <t>Open</t>
        </is>
      </c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</row>
    <row r="10" ht="12.75" customHeight="1" s="67">
      <c r="A10" s="66" t="inlineStr">
        <is>
          <t>State</t>
        </is>
      </c>
      <c r="B10" s="4" t="inlineStr">
        <is>
          <t>Locked</t>
        </is>
      </c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</row>
    <row r="12" ht="12.75" customHeight="1" s="67">
      <c r="A12" s="66" t="inlineStr">
        <is>
          <t>Region</t>
        </is>
      </c>
      <c r="B12" s="4" t="inlineStr">
        <is>
          <t>Washer</t>
        </is>
      </c>
    </row>
    <row r="13" ht="12.75" customHeight="1" s="67">
      <c r="A13" s="66" t="inlineStr">
        <is>
          <t>State</t>
        </is>
      </c>
      <c r="B13" s="4" t="inlineStr">
        <is>
          <t xml:space="preserve">initial state </t>
        </is>
      </c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</row>
    <row r="15" ht="12.75" customHeight="1" s="67">
      <c r="A15" s="66" t="inlineStr">
        <is>
          <t>State</t>
        </is>
      </c>
      <c r="B15" s="4" t="inlineStr">
        <is>
          <t>Idle</t>
        </is>
      </c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</row>
    <row r="26" ht="15" customHeight="1" s="67">
      <c r="A26" s="66" t="inlineStr">
        <is>
          <t>State</t>
        </is>
      </c>
      <c r="B26" s="4" t="inlineStr">
        <is>
          <t>Intake</t>
        </is>
      </c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</row>
    <row r="28" ht="12.75" customHeight="1" s="67">
      <c r="A28" s="66" t="inlineStr">
        <is>
          <t>State</t>
        </is>
      </c>
      <c r="B28" s="4" t="inlineStr">
        <is>
          <t>Washing</t>
        </is>
      </c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 xml:space="preserve">[c &lt; r] 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</row>
    <row r="33" ht="12.75" customHeight="1" s="67">
      <c r="A33" s="66" t="inlineStr">
        <is>
          <t>Action</t>
        </is>
      </c>
      <c r="B33" s="4" t="inlineStr">
        <is>
          <t>c++</t>
        </is>
      </c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</row>
    <row r="35" ht="12.75" customHeight="1" s="67">
      <c r="A35" s="66" t="inlineStr">
        <is>
          <t>Guard</t>
        </is>
      </c>
      <c r="B35" s="4" t="inlineStr">
        <is>
          <t>[c ≥ r]</t>
        </is>
      </c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4"/>
  <sheetViews>
    <sheetView topLeftCell="A37" workbookViewId="0">
      <selection activeCell="D60" sqref="D60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6.1640625" bestFit="1" customWidth="1" style="67" min="3" max="3"/>
    <col width="153.1640625" bestFit="1" customWidth="1" style="67" min="4" max="4"/>
    <col width="10.6640625" customWidth="1" style="67" min="5" max="22"/>
  </cols>
  <sheetData>
    <row r="1" ht="13.5" customHeight="1" s="67">
      <c r="A1" s="63" t="inlineStr">
        <is>
          <t>Type</t>
        </is>
      </c>
      <c r="B1" s="64" t="inlineStr">
        <is>
          <t>Element</t>
        </is>
      </c>
      <c r="C1" s="10" t="inlineStr">
        <is>
          <t>Grading</t>
        </is>
      </c>
      <c r="D1" s="10" t="inlineStr">
        <is>
          <t>Notes</t>
        </is>
      </c>
      <c r="E1" s="11" t="n"/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  <c r="C2" s="12" t="n">
        <v>1</v>
      </c>
      <c r="D2" s="13" t="inlineStr">
        <is>
          <t>Top level dishwasher composite is represented with a differently named Dishwasher state.</t>
        </is>
      </c>
      <c r="E2" s="14" t="n"/>
    </row>
    <row r="3" ht="12.75" customHeight="1" s="67">
      <c r="A3" s="66" t="inlineStr">
        <is>
          <t>Region</t>
        </is>
      </c>
      <c r="B3" s="4" t="inlineStr">
        <is>
          <t>Door</t>
        </is>
      </c>
      <c r="C3" s="12" t="n">
        <v>0.5</v>
      </c>
      <c r="D3" s="15" t="inlineStr">
        <is>
          <t>Door behavior is only implicit through lock and unlock actions plus drying open and close events.</t>
        </is>
      </c>
      <c r="E3" s="16" t="n"/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  <c r="C4" s="12" t="n">
        <v>0</v>
      </c>
      <c r="D4" s="13" t="inlineStr">
        <is>
          <t>No explicit door initial state or initial closed condition is modeled.</t>
        </is>
      </c>
      <c r="E4" s="14" t="n"/>
    </row>
    <row r="5" ht="12.75" customHeight="1" s="67">
      <c r="A5" s="66" t="inlineStr">
        <is>
          <t>State</t>
        </is>
      </c>
      <c r="B5" s="4" t="inlineStr">
        <is>
          <t>Closed</t>
        </is>
      </c>
      <c r="C5" s="12" t="n">
        <v>0</v>
      </c>
      <c r="D5" s="15" t="inlineStr">
        <is>
          <t>No explicit Closed door state is present.</t>
        </is>
      </c>
      <c r="E5" s="16" t="n"/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  <c r="C6" s="12" t="n">
        <v>0.5</v>
      </c>
      <c r="D6" s="13" t="inlineStr">
        <is>
          <t>Opening is modeled during drying as suspension but not as a door state transition from Closed to Open.</t>
        </is>
      </c>
      <c r="E6" s="14" t="n"/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  <c r="C7" s="12" t="n">
        <v>0.5</v>
      </c>
      <c r="D7" s="15" t="inlineStr">
        <is>
          <t>Locking is represented by lockDoor on washing entry but not as a Closed to Locked door transition.</t>
        </is>
      </c>
      <c r="E7" s="16" t="n"/>
    </row>
    <row r="8" ht="12.75" customHeight="1" s="67">
      <c r="A8" s="66" t="inlineStr">
        <is>
          <t>State</t>
        </is>
      </c>
      <c r="B8" s="4" t="inlineStr">
        <is>
          <t>Open</t>
        </is>
      </c>
      <c r="C8" s="12" t="n">
        <v>0.5</v>
      </c>
      <c r="D8" s="13" t="inlineStr">
        <is>
          <t>An open door is implied by DryingSuspended but no explicit Open state exists.</t>
        </is>
      </c>
      <c r="E8" s="14" t="n"/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  <c r="C9" s="12" t="n">
        <v>0.5</v>
      </c>
      <c r="D9" s="15" t="inlineStr">
        <is>
          <t>Closing is modeled from DryingSuspended to Drying but not as a door state transition to Closed.</t>
        </is>
      </c>
      <c r="E9" s="16" t="n"/>
    </row>
    <row r="10" ht="12.75" customHeight="1" s="67">
      <c r="A10" s="66" t="inlineStr">
        <is>
          <t>State</t>
        </is>
      </c>
      <c r="B10" s="4" t="inlineStr">
        <is>
          <t>Locked</t>
        </is>
      </c>
      <c r="C10" s="12" t="n">
        <v>0.5</v>
      </c>
      <c r="D10" s="13" t="inlineStr">
        <is>
          <t>Locked is implied by lockDoor during the washing phase but no explicit Locked state exists.</t>
        </is>
      </c>
      <c r="E10" s="14" t="n"/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  <c r="C11" s="12" t="n">
        <v>0.5</v>
      </c>
      <c r="D11" s="15" t="inlineStr">
        <is>
          <t>Unlocking is represented on exit from washing but not as an explicit Locked to Closed transition.</t>
        </is>
      </c>
      <c r="E11" s="16" t="n"/>
    </row>
    <row r="12" ht="12.75" customHeight="1" s="67">
      <c r="A12" s="66" t="inlineStr">
        <is>
          <t>Region</t>
        </is>
      </c>
      <c r="B12" s="4" t="inlineStr">
        <is>
          <t>Washer</t>
        </is>
      </c>
      <c r="C12" s="12" t="n">
        <v>1</v>
      </c>
      <c r="D12" s="13" t="inlineStr">
        <is>
          <t>The Operation region covers the washer program behavior.</t>
        </is>
      </c>
      <c r="E12" s="14" t="n"/>
    </row>
    <row r="13" ht="12.75" customHeight="1" s="67">
      <c r="A13" s="66" t="inlineStr">
        <is>
          <t>State</t>
        </is>
      </c>
      <c r="B13" s="4" t="inlineStr">
        <is>
          <t>initial state</t>
        </is>
      </c>
      <c r="C13" s="12" t="n">
        <v>1</v>
      </c>
      <c r="D13" s="15" t="inlineStr">
        <is>
          <t>Operation has an initial transition to Setup which serves as idle.</t>
        </is>
      </c>
      <c r="E13" s="16" t="n"/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  <c r="C14" s="12" t="n">
        <v>0.5</v>
      </c>
      <c r="D14" s="13" t="inlineStr">
        <is>
          <t>Initial Setup and StandardDryingTime are present but no default program count is set.</t>
        </is>
      </c>
      <c r="E14" s="14" t="n"/>
    </row>
    <row r="15" ht="12.75" customHeight="1" s="67">
      <c r="A15" s="66" t="inlineStr">
        <is>
          <t>State</t>
        </is>
      </c>
      <c r="B15" s="4" t="inlineStr">
        <is>
          <t>Idle</t>
        </is>
      </c>
      <c r="C15" s="12" t="n">
        <v>1</v>
      </c>
      <c r="D15" s="15" t="inlineStr">
        <is>
          <t>Setup represents the idle pre-start state.</t>
        </is>
      </c>
      <c r="E15" s="16" t="n"/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  <c r="C16" s="12" t="n">
        <v>1</v>
      </c>
      <c r="D16" s="13" t="inlineStr">
        <is>
          <t>Setup has a self transition for selecting the program.</t>
        </is>
      </c>
      <c r="E16" s="14" t="n"/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12" t="n">
        <v>0</v>
      </c>
      <c r="D17" s="15" t="inlineStr">
        <is>
          <t>The program selection transition has no validity guard.</t>
        </is>
      </c>
      <c r="E17" s="16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  <c r="C18" s="12" t="n">
        <v>1</v>
      </c>
      <c r="D18" s="13" t="inlineStr">
        <is>
          <t>setMaxCycles represents storing the selected repetition count.</t>
        </is>
      </c>
      <c r="E18" s="14" t="n"/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  <c r="C19" s="12" t="n">
        <v>1</v>
      </c>
      <c r="D19" s="15" t="inlineStr">
        <is>
          <t>Drying time adjustment is modeled in a parallel setting region and is available while idle.</t>
        </is>
      </c>
      <c r="E19" s="16" t="n"/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  <c r="C20" s="12" t="n">
        <v>1</v>
      </c>
      <c r="D20" s="13" t="inlineStr">
        <is>
          <t>Separate extend and reduce transitions set drying time to 40 or back to 20.</t>
        </is>
      </c>
      <c r="E20" s="14" t="n"/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  <c r="C21" s="12" t="n">
        <v>1</v>
      </c>
      <c r="D21" s="15" t="inlineStr">
        <is>
          <t>Start moves from Setup into Running with washing as the initial phase.</t>
        </is>
      </c>
      <c r="E21" s="16" t="n"/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  <c r="C22" s="12" t="n">
        <v>0</v>
      </c>
      <c r="D22" s="13" t="inlineStr">
        <is>
          <t>Start is not guarded by the door being closed.</t>
        </is>
      </c>
      <c r="E22" s="14" t="n"/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12" t="n">
        <v>0.5</v>
      </c>
      <c r="D23" s="13" t="inlineStr">
        <is>
          <t>The door is locked on washing entry but the counter is initialized to 0 rather than the first cycle.</t>
        </is>
      </c>
      <c r="E23" s="16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  <c r="C24" s="12" t="n">
        <v>1</v>
      </c>
      <c r="D24" s="13" t="inlineStr">
        <is>
          <t>WashingPhase is a composite state containing intake washing and draining.</t>
        </is>
      </c>
      <c r="E24" s="14" t="n"/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  <c r="C25" s="12" t="n">
        <v>1</v>
      </c>
      <c r="D25" s="15" t="inlineStr">
        <is>
          <t>WashingPhase initially enters WaterIntake.</t>
        </is>
      </c>
      <c r="E25" s="16" t="n"/>
    </row>
    <row r="26" ht="15" customHeight="1" s="67">
      <c r="A26" s="66" t="inlineStr">
        <is>
          <t>State</t>
        </is>
      </c>
      <c r="B26" s="4" t="inlineStr">
        <is>
          <t>Intake</t>
        </is>
      </c>
      <c r="C26" s="12" t="n">
        <v>1</v>
      </c>
      <c r="D26" s="13" t="inlineStr">
        <is>
          <t>WaterIntake represents the intake step.</t>
        </is>
      </c>
      <c r="E26" s="14" t="n"/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  <c r="C27" s="12" t="n">
        <v>1</v>
      </c>
      <c r="D27" s="15" t="inlineStr">
        <is>
          <t>WaterIntake transitions to Washing after waterTaken.</t>
        </is>
      </c>
      <c r="E27" s="16" t="n"/>
    </row>
    <row r="28" ht="12.75" customHeight="1" s="67">
      <c r="A28" s="66" t="inlineStr">
        <is>
          <t>State</t>
        </is>
      </c>
      <c r="B28" s="4" t="inlineStr">
        <is>
          <t>Washing</t>
        </is>
      </c>
      <c r="C28" s="12" t="n">
        <v>1</v>
      </c>
      <c r="D28" s="13" t="inlineStr">
        <is>
          <t>Washing state is present.</t>
        </is>
      </c>
      <c r="E28" s="14" t="n"/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  <c r="C29" s="12" t="n">
        <v>1</v>
      </c>
      <c r="D29" s="15" t="inlineStr">
        <is>
          <t>Washing transitions to Draining after 10 minutes.</t>
        </is>
      </c>
      <c r="E29" s="16" t="n"/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12" t="n">
        <v>1</v>
      </c>
      <c r="D30" s="13" t="inlineStr">
        <is>
          <t>Draining state is present.</t>
        </is>
      </c>
      <c r="E30" s="14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>[c &lt; r]</t>
        </is>
      </c>
      <c r="C31" s="12" t="n">
        <v>1</v>
      </c>
      <c r="D31" s="15" t="inlineStr">
        <is>
          <t>The loop back to intake uses a cycles less than maxCycles guard.</t>
        </is>
      </c>
      <c r="E31" s="16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  <c r="C32" s="12" t="n">
        <v>1</v>
      </c>
      <c r="D32" s="13" t="inlineStr">
        <is>
          <t>Draining loops back to WaterIntake for more cycles.</t>
        </is>
      </c>
      <c r="E32" s="14" t="n"/>
    </row>
    <row r="33" ht="12.75" customHeight="1" s="67">
      <c r="A33" s="66" t="inlineStr">
        <is>
          <t>Action</t>
        </is>
      </c>
      <c r="B33" s="4" t="inlineStr">
        <is>
          <t>c++</t>
        </is>
      </c>
      <c r="C33" s="12" t="n">
        <v>1</v>
      </c>
      <c r="D33" s="15" t="inlineStr">
        <is>
          <t>The loop transition increments the cycle counter.</t>
        </is>
      </c>
      <c r="E33" s="16" t="n"/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  <c r="C34" s="12" t="n">
        <v>1</v>
      </c>
      <c r="D34" s="13" t="inlineStr">
        <is>
          <t>Draining exits the cleaning cycle to drying when the selected count is reached.</t>
        </is>
      </c>
      <c r="E34" s="14" t="n"/>
    </row>
    <row r="35" ht="12.75" customHeight="1" s="67">
      <c r="A35" s="66" t="inlineStr">
        <is>
          <t>Guard</t>
        </is>
      </c>
      <c r="B35" s="4" t="inlineStr">
        <is>
          <t>[c ≥ r]</t>
        </is>
      </c>
      <c r="C35" s="12" t="n">
        <v>0.5</v>
      </c>
      <c r="D35" s="15" t="inlineStr">
        <is>
          <t>The exit guard uses equality rather than a greater than or equal condition and interacts awkwardly with the zero initial counter.</t>
        </is>
      </c>
      <c r="E35" s="16" t="n"/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  <c r="C36" s="12" t="n">
        <v>1</v>
      </c>
      <c r="D36" s="13" t="inlineStr">
        <is>
          <t>A separate drying time region allows changes without leaving or resetting cleaning so history is not needed.</t>
        </is>
      </c>
      <c r="E36" s="14" t="n"/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  <c r="C37" s="12" t="n">
        <v>1</v>
      </c>
      <c r="D37" s="15" t="inlineStr">
        <is>
          <t>Drying time can be changed during cleaning through the parallel setting region without interrupting progress.</t>
        </is>
      </c>
      <c r="E37" s="16" t="n"/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  <c r="C38" s="12" t="n">
        <v>1</v>
      </c>
      <c r="D38" s="13" t="inlineStr">
        <is>
          <t>During cleaning the setting region supports extension and reduction before drying starts.</t>
        </is>
      </c>
      <c r="E38" s="14" t="n"/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12" t="n">
        <v>1</v>
      </c>
      <c r="D39" s="15" t="inlineStr">
        <is>
          <t>After the final drain the model enters DryingPhase.</t>
        </is>
      </c>
      <c r="E39" s="16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12" t="n">
        <v>1</v>
      </c>
      <c r="D40" s="13" t="inlineStr">
        <is>
          <t>The washing phase has an exit action to unlock the door before drying.</t>
        </is>
      </c>
      <c r="E40" s="14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12" t="n">
        <v>1</v>
      </c>
      <c r="D41" s="15" t="inlineStr">
        <is>
          <t>Drying state is present inside DryingPhase.</t>
        </is>
      </c>
      <c r="E41" s="16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12" t="n">
        <v>1</v>
      </c>
      <c r="D42" s="13" t="inlineStr">
        <is>
          <t>Drying returns to Setup after dryingTime.</t>
        </is>
      </c>
      <c r="E42" s="14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12" t="n">
        <v>1</v>
      </c>
      <c r="D43" s="15" t="inlineStr">
        <is>
          <t>The parallel setting region allows extending drying time while drying is active.</t>
        </is>
      </c>
      <c r="E43" s="16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12" t="n">
        <v>1</v>
      </c>
      <c r="D44" s="13" t="inlineStr">
        <is>
          <t>The extend transition sets dryingTime to 40 minutes.</t>
        </is>
      </c>
      <c r="E44" s="14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12" t="n">
        <v>1</v>
      </c>
      <c r="D45" s="15" t="inlineStr">
        <is>
          <t>Drying transitions to DryingSuspended on doorOpened.</t>
        </is>
      </c>
      <c r="E45" s="16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12" t="n">
        <v>1</v>
      </c>
      <c r="D46" s="13" t="inlineStr">
        <is>
          <t>DryingSuspended represents suspended drying.</t>
        </is>
      </c>
      <c r="E46" s="14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12" t="n">
        <v>1</v>
      </c>
      <c r="D47" s="5" t="inlineStr">
        <is>
          <t>DoorClosed returns from DryingSuspended to Drying.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17" t="n">
        <v>1</v>
      </c>
      <c r="D48" s="18" t="inlineStr">
        <is>
          <t>DryingSuspended ends the program after 5 minutes.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  <c r="C49" s="19" t="n">
        <v>0</v>
      </c>
      <c r="D49" s="5" t="inlineStr">
        <is>
          <t>No fundamentally incorrect extra states are present.</t>
        </is>
      </c>
      <c r="E49" s="5" t="n"/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  <c r="C50" s="19" t="n">
        <v>0</v>
      </c>
      <c r="D50" s="5" t="inlineStr">
        <is>
          <t>No fundamentally incorrect extra transitions beyond rubric issues are present.</t>
        </is>
      </c>
      <c r="E50" s="5" t="n"/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  <c r="C51" s="19" t="n">
        <v>0</v>
      </c>
      <c r="D51" s="5" t="inlineStr">
        <is>
          <t>No fundamentally incorrect extra guards are present.</t>
        </is>
      </c>
      <c r="E51" s="5" t="n"/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  <c r="C52" s="19" t="n">
        <v>0</v>
      </c>
      <c r="D52" s="5" t="inlineStr">
        <is>
          <t>Extra timer actions are reasonable implementation details.</t>
        </is>
      </c>
      <c r="E52" s="5" t="n"/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  <c r="C53" s="19" t="n">
        <v>0</v>
      </c>
      <c r="D53" s="5" t="inlineStr">
        <is>
          <t>Extra wrapper composites are harmless organizational choices.</t>
        </is>
      </c>
      <c r="E53" s="5" t="n"/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  <c r="C54" s="19" t="n">
        <v>0</v>
      </c>
      <c r="D54" s="5" t="inlineStr">
        <is>
          <t>The separate drying time setting region is a reasonable parallel modeling choice.</t>
        </is>
      </c>
      <c r="E54" s="5" t="n"/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  <c r="C55" s="19" t="n">
        <v>0</v>
      </c>
      <c r="D55" s="5" t="inlineStr">
        <is>
          <t>No incorrect extra history states are present.</t>
        </is>
      </c>
      <c r="E55" s="5" t="n"/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topLeftCell="D3" zoomScale="171" workbookViewId="0">
      <selection activeCell="J12" sqref="J12"/>
    </sheetView>
  </sheetViews>
  <sheetFormatPr baseColWidth="10" defaultColWidth="12.6640625" defaultRowHeight="15" customHeight="1"/>
  <cols>
    <col width="20" customWidth="1" style="67" min="1" max="1"/>
    <col width="17.6640625" customWidth="1" style="67" min="2" max="6"/>
  </cols>
  <sheetData>
    <row r="1" ht="15.75" customHeight="1" s="67">
      <c r="A1" s="68" t="inlineStr">
        <is>
          <t>Generated by Gemini 3.1 Pro</t>
        </is>
      </c>
      <c r="J1" s="20" t="inlineStr">
        <is>
          <t>Date</t>
        </is>
      </c>
    </row>
    <row r="2" ht="15.75" customHeight="1" s="67">
      <c r="A2" s="21" t="inlineStr">
        <is>
          <t>Type</t>
        </is>
      </c>
      <c r="B2" s="21" t="inlineStr">
        <is>
          <t>Ground Truth Count</t>
        </is>
      </c>
      <c r="C2" s="21" t="inlineStr">
        <is>
          <t>True Positive</t>
        </is>
      </c>
      <c r="D2" s="21" t="inlineStr">
        <is>
          <t>False Positive</t>
        </is>
      </c>
      <c r="E2" s="21" t="inlineStr">
        <is>
          <t>False Negative</t>
        </is>
      </c>
      <c r="F2" s="21" t="inlineStr">
        <is>
          <t>Precision</t>
        </is>
      </c>
      <c r="G2" s="21" t="inlineStr">
        <is>
          <t>Recall</t>
        </is>
      </c>
      <c r="H2" s="21" t="inlineStr">
        <is>
          <t>F1 Score</t>
        </is>
      </c>
      <c r="J2" s="22" t="inlineStr">
        <is>
          <t>March 16th, 2026</t>
        </is>
      </c>
    </row>
    <row r="3" ht="15.75" customHeight="1" s="67">
      <c r="A3" s="23" t="inlineStr">
        <is>
          <t>Composite State</t>
        </is>
      </c>
      <c r="B3" s="24">
        <f>COUNTIF(Dishwasher!$A$2:$A$48, A3)</f>
        <v/>
      </c>
      <c r="C3" s="25">
        <f>SUMIF('GPT-5.5 Grading'!$A$2:$A$48, $A3, 'GPT-5.5 Grading'!$C$2:$C$48)</f>
        <v/>
      </c>
      <c r="D3" s="25">
        <f>SUMIF('GPT-5.5 Grading'!$A$49:$A$55, $A3, 'GPT-5.5 Grading'!$C$49:$C$55)</f>
        <v/>
      </c>
      <c r="E3" s="25">
        <f>COUNTIFS('GPT-5.5 Grading'!$A$2:$A$48, $A3, 'GPT-5.5 Grading'!$C$2:$C$48,0)</f>
        <v/>
      </c>
      <c r="F3" s="25">
        <f>IFERROR(C3 / (C3 + D3), "Not Available")</f>
        <v/>
      </c>
      <c r="G3" s="25">
        <f>IFERROR(C3 / B3, "Not Available")</f>
        <v/>
      </c>
      <c r="H3" s="25">
        <f>IFERROR(2*((F3*G3)/(F3+G3)),"Not Available")</f>
        <v/>
      </c>
      <c r="J3" s="26" t="n"/>
    </row>
    <row r="4" ht="15.75" customHeight="1" s="67">
      <c r="A4" s="27" t="inlineStr">
        <is>
          <t>State</t>
        </is>
      </c>
      <c r="B4" s="24">
        <f>COUNTIF(Dishwasher!$A$2:$A$48, A4)</f>
        <v/>
      </c>
      <c r="C4" s="25">
        <f>SUMIF('GPT-5.5 Grading'!$A$2:$A$48, $A4, 'GPT-5.5 Grading'!$C$2:$C$48)</f>
        <v/>
      </c>
      <c r="D4" s="25">
        <f>SUMIF('GPT-5.5 Grading'!$A$49:$A$55, $A4, 'GPT-5.5 Grading'!$C$49:$C$55)</f>
        <v/>
      </c>
      <c r="E4" s="25">
        <f>COUNTIFS('GPT-5.5 Grading'!$A$2:$A$48, $A4, 'GPT-5.5 Grading'!$C$2:$C$48,0)</f>
        <v/>
      </c>
      <c r="F4" s="25">
        <f>IFERROR(C4 / (C4 + D4), "Not Available")</f>
        <v/>
      </c>
      <c r="G4" s="25">
        <f>IFERROR(C4 / B4, "Not Available")</f>
        <v/>
      </c>
      <c r="H4" s="25">
        <f>IFERROR(2*((F4*G4)/(F4+G4)),"Not Available")</f>
        <v/>
      </c>
      <c r="J4" s="20" t="inlineStr">
        <is>
          <t>Grading LLM</t>
        </is>
      </c>
    </row>
    <row r="5" ht="15.75" customHeight="1" s="67">
      <c r="A5" s="27" t="inlineStr">
        <is>
          <t>Transition</t>
        </is>
      </c>
      <c r="B5" s="24">
        <f>COUNTIF(Dishwasher!$A$2:$A$48, A5)</f>
        <v/>
      </c>
      <c r="C5" s="25">
        <f>SUMIF('GPT-5.5 Grading'!$A$2:$A$48, $A5, 'GPT-5.5 Grading'!$C$2:$C$48)</f>
        <v/>
      </c>
      <c r="D5" s="25">
        <f>SUMIF('GPT-5.5 Grading'!$A$49:$A$55, $A5, 'GPT-5.5 Grading'!$C$49:$C$55)</f>
        <v/>
      </c>
      <c r="E5" s="25">
        <f>COUNTIFS('GPT-5.5 Grading'!$A$2:$A$48, $A5, 'GPT-5.5 Grading'!$C$2:$C$48,0)</f>
        <v/>
      </c>
      <c r="F5" s="25">
        <f>IFERROR(C5 / (C5 + D5), "Not Available")</f>
        <v/>
      </c>
      <c r="G5" s="25">
        <f>IFERROR(C5 / B5, "Not Available")</f>
        <v/>
      </c>
      <c r="H5" s="25">
        <f>IFERROR(2*((F5*G5)/(F5+G5)),"Not Available")</f>
        <v/>
      </c>
      <c r="J5" s="22" t="inlineStr">
        <is>
          <t>GPT-5.5</t>
        </is>
      </c>
    </row>
    <row r="6" ht="15.75" customHeight="1" s="67">
      <c r="A6" s="27" t="inlineStr">
        <is>
          <t>Action</t>
        </is>
      </c>
      <c r="B6" s="24">
        <f>COUNTIF(Dishwasher!$A$2:$A$48, A6)</f>
        <v/>
      </c>
      <c r="C6" s="25">
        <f>SUMIF('GPT-5.5 Grading'!$A$2:$A$48, $A6, 'GPT-5.5 Grading'!$C$2:$C$48)</f>
        <v/>
      </c>
      <c r="D6" s="25">
        <f>SUMIF('GPT-5.5 Grading'!$A$49:$A$55, $A6, 'GPT-5.5 Grading'!$C$49:$C$55)</f>
        <v/>
      </c>
      <c r="E6" s="25">
        <f>COUNTIFS('GPT-5.5 Grading'!$A$2:$A$48, $A6, 'GPT-5.5 Grading'!$C$2:$C$48,0)</f>
        <v/>
      </c>
      <c r="F6" s="25">
        <f>IFERROR(C6 / (C6 + D6), "Not Available")</f>
        <v/>
      </c>
      <c r="G6" s="25">
        <f>IFERROR(C6 / B6, "Not Available")</f>
        <v/>
      </c>
      <c r="H6" s="25">
        <f>IFERROR(2*((F6*G6)/(F6+G6)),"Not Available")</f>
        <v/>
      </c>
    </row>
    <row r="7" ht="15.75" customHeight="1" s="67">
      <c r="A7" s="27" t="inlineStr">
        <is>
          <t>Region</t>
        </is>
      </c>
      <c r="B7" s="24">
        <f>COUNTIF(Dishwasher!$A$2:$A$48, A7)</f>
        <v/>
      </c>
      <c r="C7" s="25">
        <f>SUMIF('GPT-5.5 Grading'!$A$2:$A$48, $A7, 'GPT-5.5 Grading'!$C$2:$C$48)</f>
        <v/>
      </c>
      <c r="D7" s="25">
        <f>SUMIF('GPT-5.5 Grading'!$A$49:$A$55, $A7, 'GPT-5.5 Grading'!$C$49:$C$55)</f>
        <v/>
      </c>
      <c r="E7" s="25">
        <f>COUNTIFS('GPT-5.5 Grading'!$A$2:$A$48, $A7, 'GPT-5.5 Grading'!$C$2:$C$48,0)</f>
        <v/>
      </c>
      <c r="F7" s="25">
        <f>IFERROR(C7 / (C7 + D7), "Not Available")</f>
        <v/>
      </c>
      <c r="G7" s="25">
        <f>IFERROR(C7 / B7, "Not Available")</f>
        <v/>
      </c>
      <c r="H7" s="25">
        <f>IFERROR(2*((F7*G7)/(F7+G7)),"Not Available")</f>
        <v/>
      </c>
      <c r="J7" s="65" t="inlineStr">
        <is>
          <t>Generation LLMs</t>
        </is>
      </c>
    </row>
    <row r="8" ht="15.75" customHeight="1" s="67">
      <c r="A8" s="27" t="inlineStr">
        <is>
          <t>History State</t>
        </is>
      </c>
      <c r="B8" s="24">
        <f>COUNTIF(Dishwasher!$A$2:$A$48, A8)</f>
        <v/>
      </c>
      <c r="C8" s="25">
        <f>SUMIF('GPT-5.5 Grading'!$A$2:$A$48, $A8, 'GPT-5.5 Grading'!$C$2:$C$48)</f>
        <v/>
      </c>
      <c r="D8" s="25">
        <f>SUMIF('GPT-5.5 Grading'!$A$49:$A$55, $A8, 'GPT-5.5 Grading'!$C$49:$C$55)</f>
        <v/>
      </c>
      <c r="E8" s="25">
        <f>COUNTIFS('GPT-5.5 Grading'!$A$2:$A$48, $A8, 'GPT-5.5 Grading'!$C$2:$C$48,0)</f>
        <v/>
      </c>
      <c r="F8" s="25">
        <f>IFERROR(C8 / (C8 + D8), "Not Available")</f>
        <v/>
      </c>
      <c r="G8" s="25">
        <f>IFERROR(C8 / B8, "Not Available")</f>
        <v/>
      </c>
      <c r="H8" s="25">
        <f>IFERROR(2*((F8*G8)/(F8+G8)),"Not Available")</f>
        <v/>
      </c>
      <c r="J8" s="14" t="inlineStr">
        <is>
          <t>Gemini 3.1 Pro</t>
        </is>
      </c>
    </row>
    <row r="9" ht="15.75" customHeight="1" s="67">
      <c r="A9" s="27" t="inlineStr">
        <is>
          <t>Guard</t>
        </is>
      </c>
      <c r="B9" s="24">
        <f>COUNTIF(Dishwasher!$A$2:$A$48, A9)</f>
        <v/>
      </c>
      <c r="C9" s="25">
        <f>SUMIF('GPT-5.5 Grading'!$A$2:$A$48, $A9, 'GPT-5.5 Grading'!$C$2:$C$48)</f>
        <v/>
      </c>
      <c r="D9" s="25">
        <f>SUMIF('GPT-5.5 Grading'!$A$49:$A$55, $A9, 'GPT-5.5 Grading'!$C$49:$C$55)</f>
        <v/>
      </c>
      <c r="E9" s="25">
        <f>COUNTIFS('GPT-5.5 Grading'!$A$2:$A$48, $A9, 'GPT-5.5 Grading'!$C$2:$C$48,0)</f>
        <v/>
      </c>
      <c r="F9" s="25">
        <f>IFERROR(C9 / (C9 + D9), "Not Available")</f>
        <v/>
      </c>
      <c r="G9" s="25">
        <f>IFERROR(C9 / B9, "Not Available")</f>
        <v/>
      </c>
      <c r="H9" s="25">
        <f>IFERROR(2*((F9*G9)/(F9+G9)),"Not Available")</f>
        <v/>
      </c>
      <c r="J9" s="65" t="n"/>
    </row>
    <row r="10" ht="15.75" customHeight="1" s="67">
      <c r="A10" s="27" t="inlineStr">
        <is>
          <t>Overall Score</t>
        </is>
      </c>
      <c r="B10" s="25">
        <f>SUM(B3:B9)</f>
        <v/>
      </c>
      <c r="C10" s="25">
        <f>SUM(C3:C9)</f>
        <v/>
      </c>
      <c r="D10" s="25">
        <f>SUM(D3:D9)</f>
        <v/>
      </c>
      <c r="E10" s="25">
        <f>SUM(E3:E9)</f>
        <v/>
      </c>
      <c r="F10" s="25">
        <f>IFERROR(C10 / (C10 + D10), "Not Available")</f>
        <v/>
      </c>
      <c r="G10" s="25">
        <f>IFERROR(C10 / B10, "Not Available")</f>
        <v/>
      </c>
      <c r="H10" s="25">
        <f>IFERROR(2*((F10*G10)/(F10+G10)),"Not Available")</f>
        <v/>
      </c>
    </row>
    <row r="11" ht="15.75" customHeight="1" s="67"/>
    <row r="12" ht="15.75" customHeight="1" s="67">
      <c r="A12" s="68" t="n"/>
      <c r="J12" s="26" t="n"/>
    </row>
    <row r="13" ht="15.75" customHeight="1" s="67">
      <c r="A13" s="21" t="n"/>
      <c r="B13" s="21" t="n"/>
      <c r="C13" s="21" t="n"/>
      <c r="D13" s="21" t="n"/>
      <c r="E13" s="21" t="n"/>
      <c r="F13" s="21" t="n"/>
      <c r="G13" s="21" t="n"/>
      <c r="H13" s="21" t="n"/>
    </row>
    <row r="14" ht="15.75" customHeight="1" s="67">
      <c r="A14" s="23" t="n"/>
      <c r="B14" s="24" t="n"/>
      <c r="C14" s="25" t="n"/>
      <c r="D14" s="25" t="n"/>
      <c r="E14" s="25" t="n"/>
      <c r="F14" s="25" t="n"/>
      <c r="G14" s="25" t="n"/>
      <c r="H14" s="25" t="n"/>
    </row>
    <row r="15" ht="15.75" customHeight="1" s="67">
      <c r="A15" s="27" t="n"/>
      <c r="B15" s="24" t="n"/>
      <c r="C15" s="25" t="n"/>
      <c r="D15" s="25" t="n"/>
      <c r="E15" s="25" t="n"/>
      <c r="F15" s="25" t="n"/>
      <c r="G15" s="25" t="n"/>
      <c r="H15" s="25" t="n"/>
    </row>
    <row r="16" ht="15.75" customHeight="1" s="67">
      <c r="A16" s="27" t="n"/>
      <c r="B16" s="24" t="n"/>
      <c r="C16" s="25" t="n"/>
      <c r="D16" s="25" t="n"/>
      <c r="E16" s="25" t="n"/>
      <c r="F16" s="25" t="n"/>
      <c r="G16" s="25" t="n"/>
      <c r="H16" s="25" t="n"/>
    </row>
    <row r="17" ht="15.75" customHeight="1" s="67">
      <c r="A17" s="27" t="n"/>
      <c r="B17" s="24" t="n"/>
      <c r="C17" s="25" t="n"/>
      <c r="D17" s="25" t="n"/>
      <c r="E17" s="25" t="n"/>
      <c r="F17" s="25" t="n"/>
      <c r="G17" s="25" t="n"/>
      <c r="H17" s="25" t="n"/>
    </row>
    <row r="18" ht="15.75" customHeight="1" s="67">
      <c r="A18" s="27" t="n"/>
      <c r="B18" s="24" t="n"/>
      <c r="C18" s="25" t="n"/>
      <c r="D18" s="25" t="n"/>
      <c r="E18" s="25" t="n"/>
      <c r="F18" s="25" t="n"/>
      <c r="G18" s="25" t="n"/>
      <c r="H18" s="25" t="n"/>
    </row>
    <row r="19" ht="15.75" customHeight="1" s="67">
      <c r="A19" s="27" t="n"/>
      <c r="B19" s="24" t="n"/>
      <c r="C19" s="25" t="n"/>
      <c r="D19" s="25" t="n"/>
      <c r="E19" s="25" t="n"/>
      <c r="F19" s="25" t="n"/>
      <c r="G19" s="25" t="n"/>
      <c r="H19" s="25" t="n"/>
    </row>
    <row r="20" ht="15.75" customHeight="1" s="67">
      <c r="A20" s="27" t="n"/>
      <c r="B20" s="24" t="n"/>
      <c r="C20" s="25" t="n"/>
      <c r="D20" s="25" t="n"/>
      <c r="E20" s="25" t="n"/>
      <c r="F20" s="25" t="n"/>
      <c r="G20" s="25" t="n"/>
      <c r="H20" s="25" t="n"/>
    </row>
    <row r="21" ht="15.75" customHeight="1" s="67">
      <c r="A21" s="27" t="n"/>
      <c r="B21" s="25" t="n"/>
      <c r="C21" s="25" t="n"/>
      <c r="D21" s="25" t="n"/>
      <c r="E21" s="25" t="n"/>
      <c r="F21" s="25" t="n"/>
      <c r="G21" s="25" t="n"/>
      <c r="H21" s="28" t="n"/>
    </row>
    <row r="22" ht="15.75" customHeight="1" s="67">
      <c r="H22" s="29" t="n"/>
    </row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2026-05-13T19:28:28Z</dcterms:modified>
  <cp:lastModifiedBy>Marc-Antoine Nadeau</cp:lastModifiedBy>
</cp:coreProperties>
</file>