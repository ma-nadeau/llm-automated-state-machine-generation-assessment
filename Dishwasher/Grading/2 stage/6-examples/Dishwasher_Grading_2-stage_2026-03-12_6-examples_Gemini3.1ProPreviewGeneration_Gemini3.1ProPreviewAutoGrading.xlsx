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name="Dishwasher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Grading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1</v>
      </c>
      <c r="D2" s="13" t="inlineStr">
        <is>
          <t>Represented by state Dishwasher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Door states not explicitly modeled as a region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Door region missing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Door region missing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Door region missing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Door region missing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Door region missing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Door region missing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Door region missing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Door region missing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Represented by region Operation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>initial state</t>
        </is>
      </c>
      <c r="C13" s="12" t="n">
        <v>1</v>
      </c>
      <c r="D13" s="15" t="inlineStr">
        <is>
          <t>Initial state to Setup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Initial transition exists but lacks explicit variable initialization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Represented by Setup state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Represented by selectProgram transition on Setup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</v>
      </c>
      <c r="D17" s="15" t="inlineStr">
        <is>
          <t>Missing guard for program selection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Represented by setMaxCycles() action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Handled correctly via parallel region DryingTimeSetting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Handled via transitions in parallel region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Represented by start transition from Setup to Running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Missing guard checking if door is closed on start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1</v>
      </c>
      <c r="D23" s="13" t="inlineStr">
        <is>
          <t>cycles initialized on start and door locked via entry action on WashingPhase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Represented by WashingPhase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Initial state to WaterIntake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Represented by WaterIntake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Represented by waterTaken transition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Represented by Washing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Represented by after 10min transition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Represented by Draining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>[c &lt; r]</t>
        </is>
      </c>
      <c r="C31" s="12" t="n">
        <v>1</v>
      </c>
      <c r="D31" s="15" t="inlineStr">
        <is>
          <t>Represented by [cycles &lt; maxCycles]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Represented by transition to WaterIntake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Represented by cycles++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1</v>
      </c>
      <c r="D34" s="13" t="inlineStr">
        <is>
          <t>Represented by transition to DryingPhase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Represented by [cycles == maxCycles]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Not used due to alternative parallel region approach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1</v>
      </c>
      <c r="D37" s="15" t="inlineStr">
        <is>
          <t>Handled correctly via parallel region without interrupting cleaning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Handled via parallel region transitions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Represented by transition from Draining to DryingPhase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Represented by exit action unlockDoor() on WashingPhase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Represented by DryingPhase and Drying states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Represented by after dryingTime transition to Setup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Handled via parallel region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Handled via parallel region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Represented by doorOpened transition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Represented by DryingSuspended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Represented by doorClosed transition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Represented by after 5min transition to Setup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unnecessary states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unnecessary transitions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unnecessary guards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unnecessary actions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No unnecessary composite states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Parallel region for drying time is a valid alternative modeling choice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unnecessary history states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Gemini 3.1 Pro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SUMIF('Gemini 3.1 Pro Generation'!$A$2:$A$48, $A3, 'Gemini 3.1 Pro Generation'!$C$2:$C$48)</f>
        <v/>
      </c>
      <c r="D3" s="25">
        <f>SUMIF('Gemini 3.1 Pro Generation'!$A$49:$A$55, $A3, 'Gemini 3.1 Pro Generation'!$C$49:$C$55)</f>
        <v/>
      </c>
      <c r="E3" s="25">
        <f>COUNTIFS('Gemini 3.1 Pro Generation'!$A$2:$A$48, $A3, 'Gemini 3.1 Pro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SUMIF('Gemini 3.1 Pro Generation'!$A$2:$A$48, $A4, 'Gemini 3.1 Pro Generation'!$C$2:$C$48)</f>
        <v/>
      </c>
      <c r="D4" s="25">
        <f>SUMIF('Gemini 3.1 Pro Generation'!$A$49:$A$55, $A4, 'Gemini 3.1 Pro Generation'!$C$49:$C$55)</f>
        <v/>
      </c>
      <c r="E4" s="25">
        <f>COUNTIFS('Gemini 3.1 Pro Generation'!$A$2:$A$48, $A4, 'Gemini 3.1 Pro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SUMIF('Gemini 3.1 Pro Generation'!$A$2:$A$48, $A5, 'Gemini 3.1 Pro Generation'!$C$2:$C$48)</f>
        <v/>
      </c>
      <c r="D5" s="25">
        <f>SUMIF('Gemini 3.1 Pro Generation'!$A$49:$A$55, $A5, 'Gemini 3.1 Pro Generation'!$C$49:$C$55)</f>
        <v/>
      </c>
      <c r="E5" s="25">
        <f>COUNTIFS('Gemini 3.1 Pro Generation'!$A$2:$A$48, $A5, 'Gemini 3.1 Pro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Gemini 3.1 Pro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SUMIF('Gemini 3.1 Pro Generation'!$A$2:$A$48, $A6, 'Gemini 3.1 Pro Generation'!$C$2:$C$48)</f>
        <v/>
      </c>
      <c r="D6" s="25">
        <f>SUMIF('Gemini 3.1 Pro Generation'!$A$49:$A$55, $A6, 'Gemini 3.1 Pro Generation'!$C$49:$C$55)</f>
        <v/>
      </c>
      <c r="E6" s="25">
        <f>COUNTIFS('Gemini 3.1 Pro Generation'!$A$2:$A$48, $A6, 'Gemini 3.1 Pro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SUMIF('Gemini 3.1 Pro Generation'!$A$2:$A$48, $A7, 'Gemini 3.1 Pro Generation'!$C$2:$C$48)</f>
        <v/>
      </c>
      <c r="D7" s="25">
        <f>SUMIF('Gemini 3.1 Pro Generation'!$A$49:$A$55, $A7, 'Gemini 3.1 Pro Generation'!$C$49:$C$55)</f>
        <v/>
      </c>
      <c r="E7" s="25">
        <f>COUNTIFS('Gemini 3.1 Pro Generation'!$A$2:$A$48, $A7, 'Gemini 3.1 Pro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SUMIF('Gemini 3.1 Pro Generation'!$A$2:$A$48, $A8, 'Gemini 3.1 Pro Generation'!$C$2:$C$48)</f>
        <v/>
      </c>
      <c r="D8" s="25">
        <f>SUMIF('Gemini 3.1 Pro Generation'!$A$49:$A$55, $A8, 'Gemini 3.1 Pro Generation'!$C$49:$C$55)</f>
        <v/>
      </c>
      <c r="E8" s="25">
        <f>COUNTIFS('Gemini 3.1 Pro Generation'!$A$2:$A$48, $A8, 'Gemini 3.1 Pro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Gemini 3.1 Pro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SUMIF('Gemini 3.1 Pro Generation'!$A$2:$A$48, $A9, 'Gemini 3.1 Pro Generation'!$C$2:$C$48)</f>
        <v/>
      </c>
      <c r="D9" s="25">
        <f>SUMIF('Gemini 3.1 Pro Generation'!$A$49:$A$55, $A9, 'Gemini 3.1 Pro Generation'!$C$49:$C$55)</f>
        <v/>
      </c>
      <c r="E9" s="25">
        <f>COUNTIFS('Gemini 3.1 Pro Generation'!$A$2:$A$48, $A9, 'Gemini 3.1 Pro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2026-05-13T19:11:10Z</dcterms:modified>
  <cp:lastModifiedBy>Marc-Antoine Nadeau</cp:lastModifiedBy>
</cp:coreProperties>
</file>