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Dishwasher Grader #1" sheetId="2" r:id="rId5"/>
    <sheet state="visible" name="Dishwash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<sst xmlns="http://schemas.openxmlformats.org/spreadsheetml/2006/main" count="697" uniqueCount="108">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</sst>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b/>
      <sz val="10.0"/>
      <color theme="1"/>
      <name val="Open Sans"/>
    </font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2" fillId="5" fontId="3" numFmtId="0" xfId="0" applyBorder="1" applyFill="1" applyFont="1"/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0" fillId="0" fontId="2" numFmtId="0" xfId="0" applyFont="1"/>
    <xf borderId="8" fillId="6" fontId="1" numFmtId="0" xfId="0" applyAlignment="1" applyBorder="1" applyFont="1">
      <alignment horizontal="center"/>
    </xf>
    <xf borderId="8" fillId="7" fontId="5" numFmtId="0" xfId="0" applyAlignment="1" applyBorder="1" applyFill="1" applyFont="1">
      <alignment shrinkToFit="0" vertical="center" wrapText="1"/>
    </xf>
    <xf borderId="8" fillId="0" fontId="3" numFmtId="0" xfId="0" applyBorder="1" applyFont="1"/>
    <xf borderId="8" fillId="0" fontId="2" numFmtId="0" xfId="0" applyBorder="1" applyFont="1"/>
    <xf borderId="8" fillId="0" fontId="1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1" fillId="0" fontId="4" numFmtId="0" xfId="0" applyBorder="1" applyFont="1"/>
    <xf borderId="12" fillId="8" fontId="2" numFmtId="0" xfId="0" applyAlignment="1" applyBorder="1" applyFill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8" fontId="2" numFmtId="0" xfId="0" applyAlignment="1" applyBorder="1" applyFont="1">
      <alignment horizontal="center" vertical="center"/>
    </xf>
    <xf borderId="15" fillId="8" fontId="2" numFmtId="0" xfId="0" applyAlignment="1" applyBorder="1" applyFont="1">
      <alignment horizontal="center" vertical="center"/>
    </xf>
    <xf borderId="2" fillId="8" fontId="6" numFmtId="0" xfId="0" applyAlignment="1" applyBorder="1" applyFont="1">
      <alignment horizontal="center" vertical="center"/>
    </xf>
    <xf borderId="16" fillId="8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5" fillId="8" fontId="2" numFmtId="0" xfId="0" applyAlignment="1" applyBorder="1" applyFont="1">
      <alignment horizontal="center" vertical="center"/>
    </xf>
    <xf borderId="26" fillId="8" fontId="2" numFmtId="0" xfId="0" applyAlignment="1" applyBorder="1" applyFont="1">
      <alignment horizontal="center" vertical="center"/>
    </xf>
    <xf borderId="27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25" fillId="8" fontId="7" numFmtId="0" xfId="0" applyAlignment="1" applyBorder="1" applyFont="1">
      <alignment horizontal="center" vertical="bottom"/>
    </xf>
    <xf borderId="16" fillId="8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  <xf borderId="24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Dishwasher Grader #1-style">
      <tableStyleElement dxfId="1" type="headerRow"/>
      <tableStyleElement dxfId="2" type="firstRowStripe"/>
      <tableStyleElement dxfId="3" type="secondRowStripe"/>
    </tableStyle>
    <tableStyle count="3" pivot="0" name="Dishwash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ref="A1:D55" displayName="Table_2" name="Table_2" id="2">
  <tableColumns count="4">
    <tableColumn name="Type" id="1"/>
    <tableColumn name="Element" id="2"/>
    <tableColumn name="Claude" id="3"/>
    <tableColumn name="Notes" id="4"/>
  </tableColumns>
  <tableStyleInfo name="Dishwasher Grader #1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Claude" id="3"/>
    <tableColumn name="Notes" id="4"/>
  </tableColumns>
  <tableStyleInfo name="Dishwash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55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55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/>
      <c r="D2" s="14"/>
    </row>
    <row r="3" ht="12.75" customHeight="1">
      <c r="A3" s="3" t="s">
        <v>4</v>
      </c>
      <c r="B3" s="4" t="s">
        <v>5</v>
      </c>
      <c r="C3" s="13"/>
      <c r="D3" s="15"/>
    </row>
    <row r="4" ht="12.75" customHeight="1">
      <c r="A4" s="3" t="s">
        <v>6</v>
      </c>
      <c r="B4" s="4" t="s">
        <v>7</v>
      </c>
      <c r="C4" s="13"/>
      <c r="D4" s="14"/>
    </row>
    <row r="5" ht="12.75" customHeight="1">
      <c r="A5" s="3" t="s">
        <v>6</v>
      </c>
      <c r="B5" s="4" t="s">
        <v>8</v>
      </c>
      <c r="C5" s="13"/>
      <c r="D5" s="15"/>
    </row>
    <row r="6" ht="12.75" customHeight="1">
      <c r="A6" s="3" t="s">
        <v>9</v>
      </c>
      <c r="B6" s="4" t="s">
        <v>10</v>
      </c>
      <c r="C6" s="13"/>
      <c r="D6" s="14"/>
    </row>
    <row r="7" ht="12.75" customHeight="1">
      <c r="A7" s="3" t="s">
        <v>9</v>
      </c>
      <c r="B7" s="4" t="s">
        <v>11</v>
      </c>
      <c r="C7" s="13"/>
      <c r="D7" s="15"/>
    </row>
    <row r="8" ht="12.75" customHeight="1">
      <c r="A8" s="3" t="s">
        <v>6</v>
      </c>
      <c r="B8" s="4" t="s">
        <v>12</v>
      </c>
      <c r="C8" s="13"/>
      <c r="D8" s="14"/>
    </row>
    <row r="9" ht="12.75" customHeight="1">
      <c r="A9" s="3" t="s">
        <v>9</v>
      </c>
      <c r="B9" s="4" t="s">
        <v>13</v>
      </c>
      <c r="C9" s="13"/>
      <c r="D9" s="15"/>
    </row>
    <row r="10" ht="12.75" customHeight="1">
      <c r="A10" s="3" t="s">
        <v>6</v>
      </c>
      <c r="B10" s="4" t="s">
        <v>14</v>
      </c>
      <c r="C10" s="13"/>
      <c r="D10" s="14"/>
    </row>
    <row r="11" ht="12.75" customHeight="1">
      <c r="A11" s="3" t="s">
        <v>9</v>
      </c>
      <c r="B11" s="4" t="s">
        <v>15</v>
      </c>
      <c r="C11" s="13"/>
      <c r="D11" s="15"/>
    </row>
    <row r="12" ht="12.75" customHeight="1">
      <c r="A12" s="3" t="s">
        <v>4</v>
      </c>
      <c r="B12" s="4" t="s">
        <v>16</v>
      </c>
      <c r="C12" s="13"/>
      <c r="D12" s="14"/>
    </row>
    <row r="13" ht="12.75" customHeight="1">
      <c r="A13" s="3" t="s">
        <v>6</v>
      </c>
      <c r="B13" s="4" t="s">
        <v>17</v>
      </c>
      <c r="C13" s="13"/>
      <c r="D13" s="15"/>
    </row>
    <row r="14" ht="12.75" customHeight="1">
      <c r="A14" s="3" t="s">
        <v>9</v>
      </c>
      <c r="B14" s="4" t="s">
        <v>18</v>
      </c>
      <c r="C14" s="13"/>
      <c r="D14" s="14"/>
    </row>
    <row r="15" ht="12.75" customHeight="1">
      <c r="A15" s="3" t="s">
        <v>6</v>
      </c>
      <c r="B15" s="4" t="s">
        <v>19</v>
      </c>
      <c r="C15" s="13"/>
      <c r="D15" s="15"/>
    </row>
    <row r="16" ht="12.75" customHeight="1">
      <c r="A16" s="3" t="s">
        <v>9</v>
      </c>
      <c r="B16" s="4" t="s">
        <v>20</v>
      </c>
      <c r="C16" s="13"/>
      <c r="D16" s="14"/>
    </row>
    <row r="17" ht="15.0" customHeight="1">
      <c r="A17" s="3" t="s">
        <v>21</v>
      </c>
      <c r="B17" s="4" t="s">
        <v>22</v>
      </c>
      <c r="C17" s="13"/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/>
      <c r="D18" s="14"/>
    </row>
    <row r="19" ht="12.75" customHeight="1">
      <c r="A19" s="3" t="s">
        <v>9</v>
      </c>
      <c r="B19" s="4" t="s">
        <v>25</v>
      </c>
      <c r="C19" s="13"/>
      <c r="D19" s="15"/>
    </row>
    <row r="20" ht="12.75" customHeight="1">
      <c r="A20" s="3" t="s">
        <v>23</v>
      </c>
      <c r="B20" s="4" t="s">
        <v>26</v>
      </c>
      <c r="C20" s="13"/>
      <c r="D20" s="14"/>
    </row>
    <row r="21" ht="12.75" customHeight="1">
      <c r="A21" s="3" t="s">
        <v>9</v>
      </c>
      <c r="B21" s="4" t="s">
        <v>27</v>
      </c>
      <c r="C21" s="13"/>
      <c r="D21" s="15"/>
    </row>
    <row r="22" ht="12.75" customHeight="1">
      <c r="A22" s="3" t="s">
        <v>21</v>
      </c>
      <c r="B22" s="4" t="s">
        <v>28</v>
      </c>
      <c r="C22" s="13"/>
      <c r="D22" s="14"/>
    </row>
    <row r="23" ht="12.75" customHeight="1">
      <c r="A23" s="3" t="s">
        <v>23</v>
      </c>
      <c r="B23" s="4" t="s">
        <v>29</v>
      </c>
      <c r="C23" s="13"/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/>
      <c r="D24" s="14"/>
    </row>
    <row r="25" ht="12.75" customHeight="1">
      <c r="A25" s="3" t="s">
        <v>6</v>
      </c>
      <c r="B25" s="4" t="s">
        <v>31</v>
      </c>
      <c r="C25" s="13"/>
      <c r="D25" s="15"/>
    </row>
    <row r="26" ht="15.0" customHeight="1">
      <c r="A26" s="3" t="s">
        <v>6</v>
      </c>
      <c r="B26" s="4" t="s">
        <v>32</v>
      </c>
      <c r="C26" s="13"/>
      <c r="D26" s="14"/>
    </row>
    <row r="27" ht="12.75" customHeight="1">
      <c r="A27" s="3" t="s">
        <v>9</v>
      </c>
      <c r="B27" s="4" t="s">
        <v>33</v>
      </c>
      <c r="C27" s="13"/>
      <c r="D27" s="15"/>
    </row>
    <row r="28" ht="12.75" customHeight="1">
      <c r="A28" s="3" t="s">
        <v>6</v>
      </c>
      <c r="B28" s="4" t="s">
        <v>34</v>
      </c>
      <c r="C28" s="13"/>
      <c r="D28" s="14"/>
    </row>
    <row r="29" ht="12.75" customHeight="1">
      <c r="A29" s="3" t="s">
        <v>9</v>
      </c>
      <c r="B29" s="4" t="s">
        <v>35</v>
      </c>
      <c r="C29" s="13"/>
      <c r="D29" s="15"/>
    </row>
    <row r="30" ht="12.75" customHeight="1">
      <c r="A30" s="3" t="s">
        <v>6</v>
      </c>
      <c r="B30" s="4" t="s">
        <v>36</v>
      </c>
      <c r="C30" s="13"/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/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/>
      <c r="D32" s="14"/>
    </row>
    <row r="33" ht="12.75" customHeight="1">
      <c r="A33" s="3" t="s">
        <v>23</v>
      </c>
      <c r="B33" s="4" t="s">
        <v>39</v>
      </c>
      <c r="C33" s="13"/>
      <c r="D33" s="15"/>
    </row>
    <row r="34" ht="12.75" customHeight="1">
      <c r="A34" s="3" t="s">
        <v>9</v>
      </c>
      <c r="B34" s="4" t="s">
        <v>40</v>
      </c>
      <c r="C34" s="13"/>
      <c r="D34" s="14"/>
    </row>
    <row r="35" ht="12.75" customHeight="1">
      <c r="A35" s="3" t="s">
        <v>21</v>
      </c>
      <c r="B35" s="4" t="s">
        <v>41</v>
      </c>
      <c r="C35" s="13"/>
      <c r="D35" s="15"/>
    </row>
    <row r="36" ht="12.75" customHeight="1">
      <c r="A36" s="3" t="s">
        <v>42</v>
      </c>
      <c r="B36" s="4" t="s">
        <v>43</v>
      </c>
      <c r="C36" s="13"/>
      <c r="D36" s="14"/>
    </row>
    <row r="37" ht="12.75" customHeight="1">
      <c r="A37" s="3" t="s">
        <v>9</v>
      </c>
      <c r="B37" s="4" t="s">
        <v>44</v>
      </c>
      <c r="C37" s="13"/>
      <c r="D37" s="15"/>
    </row>
    <row r="38" ht="12.75" customHeight="1">
      <c r="A38" s="3" t="s">
        <v>23</v>
      </c>
      <c r="B38" s="4" t="s">
        <v>26</v>
      </c>
      <c r="C38" s="13"/>
      <c r="D38" s="14"/>
    </row>
    <row r="39" ht="15.0" customHeight="1">
      <c r="A39" s="3" t="s">
        <v>9</v>
      </c>
      <c r="B39" s="4" t="s">
        <v>45</v>
      </c>
      <c r="C39" s="13"/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/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/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/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/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/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/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7"/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19"/>
      <c r="D49" s="16"/>
    </row>
    <row r="50" ht="12.75" customHeight="1">
      <c r="A50" s="8" t="s">
        <v>9</v>
      </c>
      <c r="B50" s="9" t="s">
        <v>55</v>
      </c>
      <c r="C50" s="19"/>
      <c r="D50" s="16"/>
    </row>
    <row r="51" ht="12.75" customHeight="1">
      <c r="A51" s="3" t="s">
        <v>21</v>
      </c>
      <c r="B51" s="4" t="s">
        <v>55</v>
      </c>
      <c r="C51" s="19"/>
      <c r="D51" s="16"/>
    </row>
    <row r="52" ht="12.75" customHeight="1">
      <c r="A52" s="8" t="s">
        <v>23</v>
      </c>
      <c r="B52" s="9" t="s">
        <v>55</v>
      </c>
      <c r="C52" s="19"/>
      <c r="D52" s="16"/>
    </row>
    <row r="53" ht="12.75" customHeight="1">
      <c r="A53" s="3" t="s">
        <v>2</v>
      </c>
      <c r="B53" s="4" t="s">
        <v>55</v>
      </c>
      <c r="C53" s="19"/>
      <c r="D53" s="16"/>
    </row>
    <row r="54" ht="12.75" customHeight="1">
      <c r="A54" s="8" t="s">
        <v>4</v>
      </c>
      <c r="B54" s="9" t="s">
        <v>55</v>
      </c>
      <c r="C54" s="19"/>
      <c r="D54" s="16"/>
    </row>
    <row r="55" ht="12.75" customHeight="1">
      <c r="A55" s="3" t="s">
        <v>42</v>
      </c>
      <c r="B55" s="4" t="s">
        <v>55</v>
      </c>
      <c r="C55" s="19"/>
      <c r="D55" s="16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0.0</v>
      </c>
      <c r="D2" s="14"/>
    </row>
    <row r="3" ht="12.75" customHeight="1">
      <c r="A3" s="3" t="s">
        <v>4</v>
      </c>
      <c r="B3" s="4" t="s">
        <v>5</v>
      </c>
      <c r="C3" s="13">
        <v>0.0</v>
      </c>
      <c r="D3" s="15"/>
    </row>
    <row r="4" ht="12.75" customHeight="1">
      <c r="A4" s="3" t="s">
        <v>6</v>
      </c>
      <c r="B4" s="4" t="s">
        <v>7</v>
      </c>
      <c r="C4" s="13">
        <v>0.0</v>
      </c>
      <c r="D4" s="14"/>
    </row>
    <row r="5" ht="12.75" customHeight="1">
      <c r="A5" s="3" t="s">
        <v>6</v>
      </c>
      <c r="B5" s="4" t="s">
        <v>8</v>
      </c>
      <c r="C5" s="13">
        <v>0.0</v>
      </c>
      <c r="D5" s="15"/>
    </row>
    <row r="6" ht="12.75" customHeight="1">
      <c r="A6" s="3" t="s">
        <v>9</v>
      </c>
      <c r="B6" s="4" t="s">
        <v>10</v>
      </c>
      <c r="C6" s="13">
        <v>0.0</v>
      </c>
      <c r="D6" s="14"/>
    </row>
    <row r="7" ht="12.75" customHeight="1">
      <c r="A7" s="3" t="s">
        <v>9</v>
      </c>
      <c r="B7" s="4" t="s">
        <v>11</v>
      </c>
      <c r="C7" s="13">
        <v>0.0</v>
      </c>
      <c r="D7" s="15"/>
    </row>
    <row r="8" ht="12.75" customHeight="1">
      <c r="A8" s="3" t="s">
        <v>6</v>
      </c>
      <c r="B8" s="4" t="s">
        <v>12</v>
      </c>
      <c r="C8" s="13">
        <v>0.0</v>
      </c>
      <c r="D8" s="14"/>
    </row>
    <row r="9" ht="12.75" customHeight="1">
      <c r="A9" s="3" t="s">
        <v>9</v>
      </c>
      <c r="B9" s="4" t="s">
        <v>13</v>
      </c>
      <c r="C9" s="13">
        <v>0.0</v>
      </c>
      <c r="D9" s="15"/>
    </row>
    <row r="10" ht="12.75" customHeight="1">
      <c r="A10" s="3" t="s">
        <v>6</v>
      </c>
      <c r="B10" s="4" t="s">
        <v>14</v>
      </c>
      <c r="C10" s="13">
        <v>0.0</v>
      </c>
      <c r="D10" s="14"/>
    </row>
    <row r="11" ht="12.75" customHeight="1">
      <c r="A11" s="3" t="s">
        <v>9</v>
      </c>
      <c r="B11" s="4" t="s">
        <v>15</v>
      </c>
      <c r="C11" s="13">
        <v>0.0</v>
      </c>
      <c r="D11" s="15"/>
    </row>
    <row r="12" ht="12.75" customHeight="1">
      <c r="A12" s="3" t="s">
        <v>4</v>
      </c>
      <c r="B12" s="4" t="s">
        <v>16</v>
      </c>
      <c r="C12" s="13">
        <v>0.0</v>
      </c>
      <c r="D12" s="14"/>
    </row>
    <row r="13" ht="12.75" customHeight="1">
      <c r="A13" s="3" t="s">
        <v>6</v>
      </c>
      <c r="B13" s="4" t="s">
        <v>17</v>
      </c>
      <c r="C13" s="13">
        <v>0.0</v>
      </c>
      <c r="D13" s="15"/>
    </row>
    <row r="14" ht="12.75" customHeight="1">
      <c r="A14" s="3" t="s">
        <v>9</v>
      </c>
      <c r="B14" s="4" t="s">
        <v>18</v>
      </c>
      <c r="C14" s="13">
        <v>0.0</v>
      </c>
      <c r="D14" s="14"/>
    </row>
    <row r="15" ht="12.75" customHeight="1">
      <c r="A15" s="3" t="s">
        <v>6</v>
      </c>
      <c r="B15" s="4" t="s">
        <v>19</v>
      </c>
      <c r="C15" s="13">
        <v>0.0</v>
      </c>
      <c r="D15" s="15"/>
    </row>
    <row r="16" ht="12.75" customHeight="1">
      <c r="A16" s="3" t="s">
        <v>9</v>
      </c>
      <c r="B16" s="4" t="s">
        <v>20</v>
      </c>
      <c r="C16" s="13">
        <v>0.0</v>
      </c>
      <c r="D16" s="14"/>
    </row>
    <row r="17" ht="15.0" customHeight="1">
      <c r="A17" s="3" t="s">
        <v>21</v>
      </c>
      <c r="B17" s="4" t="s">
        <v>22</v>
      </c>
      <c r="C17" s="13">
        <v>0.0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0.0</v>
      </c>
      <c r="D18" s="14"/>
    </row>
    <row r="19" ht="12.75" customHeight="1">
      <c r="A19" s="3" t="s">
        <v>9</v>
      </c>
      <c r="B19" s="4" t="s">
        <v>25</v>
      </c>
      <c r="C19" s="13">
        <v>0.0</v>
      </c>
      <c r="D19" s="15"/>
    </row>
    <row r="20" ht="12.75" customHeight="1">
      <c r="A20" s="3" t="s">
        <v>23</v>
      </c>
      <c r="B20" s="4" t="s">
        <v>26</v>
      </c>
      <c r="C20" s="13">
        <v>0.0</v>
      </c>
      <c r="D20" s="14"/>
    </row>
    <row r="21" ht="12.75" customHeight="1">
      <c r="A21" s="3" t="s">
        <v>9</v>
      </c>
      <c r="B21" s="4" t="s">
        <v>27</v>
      </c>
      <c r="C21" s="13">
        <v>0.0</v>
      </c>
      <c r="D21" s="15"/>
    </row>
    <row r="22" ht="12.75" customHeight="1">
      <c r="A22" s="3" t="s">
        <v>21</v>
      </c>
      <c r="B22" s="4" t="s">
        <v>28</v>
      </c>
      <c r="C22" s="13">
        <v>0.0</v>
      </c>
      <c r="D22" s="14"/>
    </row>
    <row r="23" ht="12.75" customHeight="1">
      <c r="A23" s="3" t="s">
        <v>23</v>
      </c>
      <c r="B23" s="4" t="s">
        <v>29</v>
      </c>
      <c r="C23" s="13">
        <v>0.0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0.0</v>
      </c>
      <c r="D24" s="14"/>
    </row>
    <row r="25" ht="12.75" customHeight="1">
      <c r="A25" s="3" t="s">
        <v>6</v>
      </c>
      <c r="B25" s="4" t="s">
        <v>31</v>
      </c>
      <c r="C25" s="13">
        <v>0.0</v>
      </c>
      <c r="D25" s="15"/>
    </row>
    <row r="26" ht="15.0" customHeight="1">
      <c r="A26" s="3" t="s">
        <v>6</v>
      </c>
      <c r="B26" s="4" t="s">
        <v>32</v>
      </c>
      <c r="C26" s="13">
        <v>0.0</v>
      </c>
      <c r="D26" s="14"/>
    </row>
    <row r="27" ht="12.75" customHeight="1">
      <c r="A27" s="3" t="s">
        <v>9</v>
      </c>
      <c r="B27" s="4" t="s">
        <v>33</v>
      </c>
      <c r="C27" s="13">
        <v>0.0</v>
      </c>
      <c r="D27" s="15"/>
    </row>
    <row r="28" ht="12.75" customHeight="1">
      <c r="A28" s="3" t="s">
        <v>6</v>
      </c>
      <c r="B28" s="4" t="s">
        <v>34</v>
      </c>
      <c r="C28" s="13">
        <v>0.0</v>
      </c>
      <c r="D28" s="14"/>
    </row>
    <row r="29" ht="12.75" customHeight="1">
      <c r="A29" s="3" t="s">
        <v>9</v>
      </c>
      <c r="B29" s="4" t="s">
        <v>35</v>
      </c>
      <c r="C29" s="13">
        <v>0.0</v>
      </c>
      <c r="D29" s="15"/>
    </row>
    <row r="30" ht="12.75" customHeight="1">
      <c r="A30" s="3" t="s">
        <v>6</v>
      </c>
      <c r="B30" s="4" t="s">
        <v>36</v>
      </c>
      <c r="C30" s="13">
        <v>0.0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0.0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0.0</v>
      </c>
      <c r="D32" s="14"/>
    </row>
    <row r="33" ht="12.75" customHeight="1">
      <c r="A33" s="3" t="s">
        <v>23</v>
      </c>
      <c r="B33" s="4" t="s">
        <v>39</v>
      </c>
      <c r="C33" s="13">
        <v>0.0</v>
      </c>
      <c r="D33" s="15"/>
    </row>
    <row r="34" ht="12.75" customHeight="1">
      <c r="A34" s="3" t="s">
        <v>9</v>
      </c>
      <c r="B34" s="4" t="s">
        <v>40</v>
      </c>
      <c r="C34" s="13">
        <v>0.0</v>
      </c>
      <c r="D34" s="14"/>
    </row>
    <row r="35" ht="12.75" customHeight="1">
      <c r="A35" s="3" t="s">
        <v>21</v>
      </c>
      <c r="B35" s="4" t="s">
        <v>41</v>
      </c>
      <c r="C35" s="13">
        <v>0.0</v>
      </c>
      <c r="D35" s="15"/>
    </row>
    <row r="36" ht="12.75" customHeight="1">
      <c r="A36" s="3" t="s">
        <v>42</v>
      </c>
      <c r="B36" s="4" t="s">
        <v>43</v>
      </c>
      <c r="C36" s="13">
        <v>0.0</v>
      </c>
      <c r="D36" s="14"/>
    </row>
    <row r="37" ht="12.75" customHeight="1">
      <c r="A37" s="3" t="s">
        <v>9</v>
      </c>
      <c r="B37" s="4" t="s">
        <v>44</v>
      </c>
      <c r="C37" s="13">
        <v>0.0</v>
      </c>
      <c r="D37" s="15"/>
    </row>
    <row r="38" ht="12.75" customHeight="1">
      <c r="A38" s="3" t="s">
        <v>23</v>
      </c>
      <c r="B38" s="4" t="s">
        <v>26</v>
      </c>
      <c r="C38" s="13">
        <v>0.0</v>
      </c>
      <c r="D38" s="14"/>
    </row>
    <row r="39" ht="15.0" customHeight="1">
      <c r="A39" s="3" t="s">
        <v>9</v>
      </c>
      <c r="B39" s="4" t="s">
        <v>45</v>
      </c>
      <c r="C39" s="13">
        <v>0.0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0.0</v>
      </c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0.0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0.0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0.0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0.0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0.0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0.0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0.0</v>
      </c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7">
        <v>0.0</v>
      </c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19">
        <v>0.0</v>
      </c>
      <c r="D49" s="16"/>
    </row>
    <row r="50" ht="12.75" customHeight="1">
      <c r="A50" s="8" t="s">
        <v>9</v>
      </c>
      <c r="B50" s="9" t="s">
        <v>55</v>
      </c>
      <c r="C50" s="19">
        <v>0.0</v>
      </c>
      <c r="D50" s="16"/>
    </row>
    <row r="51" ht="12.75" customHeight="1">
      <c r="A51" s="3" t="s">
        <v>21</v>
      </c>
      <c r="B51" s="4" t="s">
        <v>55</v>
      </c>
      <c r="C51" s="19">
        <v>0.0</v>
      </c>
      <c r="D51" s="16"/>
    </row>
    <row r="52" ht="12.75" customHeight="1">
      <c r="A52" s="8" t="s">
        <v>23</v>
      </c>
      <c r="B52" s="9" t="s">
        <v>55</v>
      </c>
      <c r="C52" s="19">
        <v>0.0</v>
      </c>
      <c r="D52" s="16"/>
    </row>
    <row r="53" ht="12.75" customHeight="1">
      <c r="A53" s="3" t="s">
        <v>2</v>
      </c>
      <c r="B53" s="4" t="s">
        <v>55</v>
      </c>
      <c r="C53" s="19">
        <v>0.0</v>
      </c>
      <c r="D53" s="16"/>
    </row>
    <row r="54" ht="12.75" customHeight="1">
      <c r="A54" s="8" t="s">
        <v>4</v>
      </c>
      <c r="B54" s="9" t="s">
        <v>55</v>
      </c>
      <c r="C54" s="19">
        <v>0.0</v>
      </c>
      <c r="D54" s="16"/>
    </row>
    <row r="55" ht="12.75" customHeight="1">
      <c r="A55" s="3" t="s">
        <v>42</v>
      </c>
      <c r="B55" s="4" t="s">
        <v>55</v>
      </c>
      <c r="C55" s="19">
        <v>0.0</v>
      </c>
      <c r="D55" s="16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0" t="s">
        <v>58</v>
      </c>
      <c r="B1" s="21"/>
      <c r="C1" s="21"/>
      <c r="D1" s="21"/>
      <c r="E1" s="21"/>
      <c r="F1" s="21"/>
      <c r="G1" s="21"/>
      <c r="H1" s="22"/>
      <c r="J1" s="23" t="s">
        <v>59</v>
      </c>
    </row>
    <row r="2" ht="15.75" customHeight="1">
      <c r="A2" s="24" t="s">
        <v>0</v>
      </c>
      <c r="B2" s="24" t="s">
        <v>60</v>
      </c>
      <c r="C2" s="24" t="s">
        <v>61</v>
      </c>
      <c r="D2" s="24" t="s">
        <v>62</v>
      </c>
      <c r="E2" s="24" t="s">
        <v>63</v>
      </c>
      <c r="F2" s="24" t="s">
        <v>64</v>
      </c>
      <c r="G2" s="24" t="s">
        <v>65</v>
      </c>
      <c r="H2" s="24" t="s">
        <v>66</v>
      </c>
      <c r="J2" s="16"/>
    </row>
    <row r="3" ht="15.75" customHeight="1">
      <c r="A3" s="25" t="s">
        <v>2</v>
      </c>
      <c r="B3" s="26">
        <f>COUNTIF(Dishwasher!$A$2:$A$48, A3)</f>
        <v>2</v>
      </c>
      <c r="C3" s="27">
        <f>SUMIF('Dishwasher Grader #1'!$A$2:$A$48, $A3, 'Dishwasher Grader #1'!$C$2:$C$48)</f>
        <v>0</v>
      </c>
      <c r="D3" s="27">
        <f>SUMIF('Dishwasher Grader #1'!$A$49:$A$55, $A3, 'Dishwasher Grader #1'!$C$49:$C$55)</f>
        <v>0</v>
      </c>
      <c r="E3" s="27">
        <f>COUNTIFS('Dishwasher Grader #1'!$A$2:$A$48, $A3, 'Dishwasher Grader #1'!$C$2:$C$48,0)</f>
        <v>0</v>
      </c>
      <c r="F3" s="27" t="str">
        <f t="shared" ref="F3:F10" si="1">IFERROR(C3 / (C3 + D3), "Not Available")</f>
        <v>Not Available</v>
      </c>
      <c r="G3" s="27">
        <f t="shared" ref="G3:G10" si="2">IFERROR(C3 / B3, "Not Available")</f>
        <v>0</v>
      </c>
      <c r="H3" s="27" t="str">
        <f t="shared" ref="H3:H10" si="3">IFERROR(2*((F3*G3)/(F3+G3)),"Not Available")</f>
        <v>Not Available</v>
      </c>
    </row>
    <row r="4" ht="15.75" customHeight="1">
      <c r="A4" s="28" t="s">
        <v>6</v>
      </c>
      <c r="B4" s="26">
        <f>COUNTIF(Dishwasher!$A$2:$A$48, A4)</f>
        <v>12</v>
      </c>
      <c r="C4" s="27">
        <f>SUMIF('Dishwasher Grader #1'!$A$2:$A$48, $A4, 'Dishwasher Grader #1'!$C$2:$C$48)</f>
        <v>0</v>
      </c>
      <c r="D4" s="27">
        <f>SUMIF('Dishwasher Grader #1'!$A$49:$A$55, $A4, 'Dishwasher Grader #1'!$C$49:$C$55)</f>
        <v>0</v>
      </c>
      <c r="E4" s="27">
        <f>COUNTIFS('Dishwasher Grader #1'!$A$2:$A$48, $A4, 'Dishwasher Grader #1'!$C$2:$C$48,0)</f>
        <v>0</v>
      </c>
      <c r="F4" s="27" t="str">
        <f t="shared" si="1"/>
        <v>Not Available</v>
      </c>
      <c r="G4" s="27">
        <f t="shared" si="2"/>
        <v>0</v>
      </c>
      <c r="H4" s="27" t="str">
        <f t="shared" si="3"/>
        <v>Not Available</v>
      </c>
    </row>
    <row r="5" ht="15.75" customHeight="1">
      <c r="A5" s="28" t="s">
        <v>9</v>
      </c>
      <c r="B5" s="26">
        <f>COUNTIF(Dishwasher!$A$2:$A$48, A5)</f>
        <v>19</v>
      </c>
      <c r="C5" s="27">
        <f>SUMIF('Dishwasher Grader #1'!$A$2:$A$48, $A5, 'Dishwasher Grader #1'!$C$2:$C$48)</f>
        <v>0</v>
      </c>
      <c r="D5" s="27">
        <f>SUMIF('Dishwasher Grader #1'!$A$49:$A$55, $A5, 'Dishwasher Grader #1'!$C$49:$C$55)</f>
        <v>0</v>
      </c>
      <c r="E5" s="27">
        <f>COUNTIFS('Dishwasher Grader #1'!$A$2:$A$48, $A5, 'Dishwasher Grader #1'!$C$2:$C$48,0)</f>
        <v>0</v>
      </c>
      <c r="F5" s="27" t="str">
        <f t="shared" si="1"/>
        <v>Not Available</v>
      </c>
      <c r="G5" s="27">
        <f t="shared" si="2"/>
        <v>0</v>
      </c>
      <c r="H5" s="27" t="str">
        <f t="shared" si="3"/>
        <v>Not Available</v>
      </c>
    </row>
    <row r="6" ht="15.75" customHeight="1">
      <c r="A6" s="28" t="s">
        <v>23</v>
      </c>
      <c r="B6" s="26">
        <f>COUNTIF(Dishwasher!$A$2:$A$48, A6)</f>
        <v>7</v>
      </c>
      <c r="C6" s="27">
        <f>SUMIF('Dishwasher Grader #1'!$A$2:$A$48, $A6, 'Dishwasher Grader #1'!$C$2:$C$48)</f>
        <v>0</v>
      </c>
      <c r="D6" s="27">
        <f>SUMIF('Dishwasher Grader #1'!$A$49:$A$55, $A6, 'Dishwasher Grader #1'!$C$49:$C$55)</f>
        <v>0</v>
      </c>
      <c r="E6" s="27">
        <f>COUNTIFS('Dishwasher Grader #1'!$A$2:$A$48, $A6, 'Dishwasher Grader #1'!$C$2:$C$48,0)</f>
        <v>0</v>
      </c>
      <c r="F6" s="27" t="str">
        <f t="shared" si="1"/>
        <v>Not Available</v>
      </c>
      <c r="G6" s="27">
        <f t="shared" si="2"/>
        <v>0</v>
      </c>
      <c r="H6" s="27" t="str">
        <f t="shared" si="3"/>
        <v>Not Available</v>
      </c>
    </row>
    <row r="7" ht="15.75" customHeight="1">
      <c r="A7" s="28" t="s">
        <v>4</v>
      </c>
      <c r="B7" s="26">
        <f>COUNTIF(Dishwasher!$A$2:$A$48, A7)</f>
        <v>2</v>
      </c>
      <c r="C7" s="27">
        <f>SUMIF('Dishwasher Grader #1'!$A$2:$A$48, $A7, 'Dishwasher Grader #1'!$C$2:$C$48)</f>
        <v>0</v>
      </c>
      <c r="D7" s="27">
        <f>SUMIF('Dishwasher Grader #1'!$A$49:$A$55, $A7, 'Dishwasher Grader #1'!$C$49:$C$55)</f>
        <v>0</v>
      </c>
      <c r="E7" s="27">
        <f>COUNTIFS('Dishwasher Grader #1'!$A$2:$A$48, $A7, 'Dishwasher Grader #1'!$C$2:$C$48,0)</f>
        <v>0</v>
      </c>
      <c r="F7" s="27" t="str">
        <f t="shared" si="1"/>
        <v>Not Available</v>
      </c>
      <c r="G7" s="27">
        <f t="shared" si="2"/>
        <v>0</v>
      </c>
      <c r="H7" s="27" t="str">
        <f t="shared" si="3"/>
        <v>Not Available</v>
      </c>
    </row>
    <row r="8" ht="15.75" customHeight="1">
      <c r="A8" s="28" t="s">
        <v>42</v>
      </c>
      <c r="B8" s="26">
        <f>COUNTIF(Dishwasher!$A$2:$A$48, A8)</f>
        <v>1</v>
      </c>
      <c r="C8" s="27">
        <f>SUMIF('Dishwasher Grader #1'!$A$2:$A$48, $A8, 'Dishwasher Grader #1'!$C$2:$C$48)</f>
        <v>0</v>
      </c>
      <c r="D8" s="27">
        <f>SUMIF('Dishwasher Grader #1'!$A$49:$A$55, $A8, 'Dishwasher Grader #1'!$C$49:$C$55)</f>
        <v>0</v>
      </c>
      <c r="E8" s="27">
        <f>COUNTIFS('Dishwasher Grader #1'!$A$2:$A$48, $A8, 'Dishwasher Grader #1'!$C$2:$C$48,0)</f>
        <v>0</v>
      </c>
      <c r="F8" s="27" t="str">
        <f t="shared" si="1"/>
        <v>Not Available</v>
      </c>
      <c r="G8" s="27">
        <f t="shared" si="2"/>
        <v>0</v>
      </c>
      <c r="H8" s="27" t="str">
        <f t="shared" si="3"/>
        <v>Not Available</v>
      </c>
    </row>
    <row r="9" ht="15.75" customHeight="1">
      <c r="A9" s="28" t="s">
        <v>21</v>
      </c>
      <c r="B9" s="26">
        <f>COUNTIF(Dishwasher!$A$2:$A$48, A9)</f>
        <v>4</v>
      </c>
      <c r="C9" s="27">
        <f>SUMIF('Dishwasher Grader #1'!$A$2:$A$48, $A9, 'Dishwasher Grader #1'!$C$2:$C$48)</f>
        <v>0</v>
      </c>
      <c r="D9" s="27">
        <f>SUMIF('Dishwasher Grader #1'!$A$49:$A$55, $A9, 'Dishwasher Grader #1'!$C$49:$C$55)</f>
        <v>0</v>
      </c>
      <c r="E9" s="27">
        <f>COUNTIFS('Dishwasher Grader #1'!$A$2:$A$48, $A9, 'Dishwasher Grader #1'!$C$2:$C$48,0)</f>
        <v>0</v>
      </c>
      <c r="F9" s="27" t="str">
        <f t="shared" si="1"/>
        <v>Not Available</v>
      </c>
      <c r="G9" s="27">
        <f t="shared" si="2"/>
        <v>0</v>
      </c>
      <c r="H9" s="27" t="str">
        <f t="shared" si="3"/>
        <v>Not Available</v>
      </c>
    </row>
    <row r="10" ht="15.75" customHeight="1">
      <c r="A10" s="28" t="s">
        <v>67</v>
      </c>
      <c r="B10" s="27">
        <f t="shared" ref="B10:E10" si="4">SUM(B3:B9)</f>
        <v>47</v>
      </c>
      <c r="C10" s="27">
        <f t="shared" si="4"/>
        <v>0</v>
      </c>
      <c r="D10" s="27">
        <f t="shared" si="4"/>
        <v>0</v>
      </c>
      <c r="E10" s="27">
        <f t="shared" si="4"/>
        <v>0</v>
      </c>
      <c r="F10" s="27" t="str">
        <f t="shared" si="1"/>
        <v>Not Available</v>
      </c>
      <c r="G10" s="27">
        <f t="shared" si="2"/>
        <v>0</v>
      </c>
      <c r="H10" s="27" t="str">
        <f t="shared" si="3"/>
        <v>Not Available</v>
      </c>
    </row>
    <row r="11" ht="15.75" customHeight="1"/>
    <row r="12" ht="15.75" customHeight="1">
      <c r="A12" s="20" t="s">
        <v>68</v>
      </c>
      <c r="B12" s="21"/>
      <c r="C12" s="21"/>
      <c r="D12" s="21"/>
      <c r="E12" s="21"/>
      <c r="F12" s="21"/>
      <c r="G12" s="21"/>
      <c r="H12" s="22"/>
    </row>
    <row r="13" ht="15.75" customHeight="1">
      <c r="A13" s="24" t="s">
        <v>0</v>
      </c>
      <c r="B13" s="24" t="s">
        <v>60</v>
      </c>
      <c r="C13" s="24" t="s">
        <v>61</v>
      </c>
      <c r="D13" s="24" t="s">
        <v>62</v>
      </c>
      <c r="E13" s="24" t="s">
        <v>63</v>
      </c>
      <c r="F13" s="24" t="s">
        <v>64</v>
      </c>
      <c r="G13" s="24" t="s">
        <v>65</v>
      </c>
      <c r="H13" s="24" t="s">
        <v>66</v>
      </c>
    </row>
    <row r="14" ht="15.75" customHeight="1">
      <c r="A14" s="25" t="s">
        <v>69</v>
      </c>
      <c r="B14" s="26">
        <f>COUNTIF(Dishwasher!$A$2:$A$48, A14)</f>
        <v>2</v>
      </c>
      <c r="C14" s="27">
        <f>SUMIF('Dishwasher Grader #2'!$A$2:$A$48, $A14, 'Dishwasher Grader #2'!$C$2:$C$48)</f>
        <v>0</v>
      </c>
      <c r="D14" s="27">
        <f>SUMIF('Dishwasher Grader #2'!$A$49:$A$55, $A14, 'Dishwasher Grader #2'!$C$49:$C$55)</f>
        <v>0</v>
      </c>
      <c r="E14" s="27">
        <f>COUNTIFS('Dishwasher Grader #2'!$A$2:$A$48, $A3, 'Dishwasher Grader #2'!$C$2:$C$48,0)</f>
        <v>2</v>
      </c>
      <c r="F14" s="27" t="str">
        <f t="shared" ref="F14:F21" si="5">IFERROR(C14 / (C14 + D14), "Not Available")</f>
        <v>Not Available</v>
      </c>
      <c r="G14" s="27">
        <f t="shared" ref="G14:G21" si="6">IFERROR(C14 / B14, "Not Available")</f>
        <v>0</v>
      </c>
      <c r="H14" s="27" t="str">
        <f t="shared" ref="H14:H21" si="7">IFERROR(2*((F14*G14)/(F14+G14)),"Not Available")</f>
        <v>Not Available</v>
      </c>
    </row>
    <row r="15" ht="15.75" customHeight="1">
      <c r="A15" s="28" t="s">
        <v>6</v>
      </c>
      <c r="B15" s="26">
        <f>COUNTIF(Dishwasher!$A$2:$A$48, A15)</f>
        <v>12</v>
      </c>
      <c r="C15" s="27">
        <f>SUMIF('Dishwasher Grader #2'!$A$2:$A$48, $A15, 'Dishwasher Grader #2'!$C$2:$C$48)</f>
        <v>0</v>
      </c>
      <c r="D15" s="27">
        <f>SUMIF('Dishwasher Grader #2'!$A$49:$A$55, $A15, 'Dishwasher Grader #2'!$C$49:$C$55)</f>
        <v>0</v>
      </c>
      <c r="E15" s="27">
        <f>COUNTIFS('Dishwasher Grader #2'!$A$2:$A$48, $A4, 'Dishwasher Grader #2'!$C$2:$C$48,0)</f>
        <v>12</v>
      </c>
      <c r="F15" s="27" t="str">
        <f t="shared" si="5"/>
        <v>Not Available</v>
      </c>
      <c r="G15" s="27">
        <f t="shared" si="6"/>
        <v>0</v>
      </c>
      <c r="H15" s="27" t="str">
        <f t="shared" si="7"/>
        <v>Not Available</v>
      </c>
    </row>
    <row r="16" ht="15.75" customHeight="1">
      <c r="A16" s="28" t="s">
        <v>9</v>
      </c>
      <c r="B16" s="26">
        <f>COUNTIF(Dishwasher!$A$2:$A$48, A16)</f>
        <v>19</v>
      </c>
      <c r="C16" s="27">
        <f>SUMIF('Dishwasher Grader #2'!$A$2:$A$48, $A16, 'Dishwasher Grader #2'!$C$2:$C$48)</f>
        <v>0</v>
      </c>
      <c r="D16" s="27">
        <f>SUMIF('Dishwasher Grader #2'!$A$49:$A$55, $A16, 'Dishwasher Grader #2'!$C$49:$C$55)</f>
        <v>0</v>
      </c>
      <c r="E16" s="27">
        <f>COUNTIFS('Dishwasher Grader #2'!$A$2:$A$48, $A5, 'Dishwasher Grader #2'!$C$2:$C$48,0)</f>
        <v>19</v>
      </c>
      <c r="F16" s="27" t="str">
        <f t="shared" si="5"/>
        <v>Not Available</v>
      </c>
      <c r="G16" s="27">
        <f t="shared" si="6"/>
        <v>0</v>
      </c>
      <c r="H16" s="27" t="str">
        <f t="shared" si="7"/>
        <v>Not Available</v>
      </c>
    </row>
    <row r="17" ht="15.75" customHeight="1">
      <c r="A17" s="28" t="s">
        <v>23</v>
      </c>
      <c r="B17" s="26">
        <f>COUNTIF(Dishwasher!$A$2:$A$48, A17)</f>
        <v>7</v>
      </c>
      <c r="C17" s="27">
        <f>SUMIF('Dishwasher Grader #2'!$A$2:$A$48, $A17, 'Dishwasher Grader #2'!$C$2:$C$48)</f>
        <v>0</v>
      </c>
      <c r="D17" s="27">
        <f>SUMIF('Dishwasher Grader #2'!$A$49:$A$55, $A17, 'Dishwasher Grader #2'!$C$49:$C$55)</f>
        <v>0</v>
      </c>
      <c r="E17" s="27">
        <f>COUNTIFS('Dishwasher Grader #2'!$A$2:$A$48, $A6, 'Dishwasher Grader #2'!$C$2:$C$48,0)</f>
        <v>7</v>
      </c>
      <c r="F17" s="27" t="str">
        <f t="shared" si="5"/>
        <v>Not Available</v>
      </c>
      <c r="G17" s="27">
        <f t="shared" si="6"/>
        <v>0</v>
      </c>
      <c r="H17" s="27" t="str">
        <f t="shared" si="7"/>
        <v>Not Available</v>
      </c>
    </row>
    <row r="18" ht="15.75" customHeight="1">
      <c r="A18" s="28" t="s">
        <v>4</v>
      </c>
      <c r="B18" s="26">
        <f>COUNTIF(Dishwasher!$A$2:$A$48, A18)</f>
        <v>2</v>
      </c>
      <c r="C18" s="27">
        <f>SUMIF('Dishwasher Grader #2'!$A$2:$A$48, $A18, 'Dishwasher Grader #2'!$C$2:$C$48)</f>
        <v>0</v>
      </c>
      <c r="D18" s="27">
        <f>SUMIF('Dishwasher Grader #2'!$A$49:$A$55, $A18, 'Dishwasher Grader #2'!$C$49:$C$55)</f>
        <v>0</v>
      </c>
      <c r="E18" s="27">
        <f>COUNTIFS('Dishwasher Grader #2'!$A$2:$A$48, $A7, 'Dishwasher Grader #2'!$C$2:$C$48,0)</f>
        <v>2</v>
      </c>
      <c r="F18" s="27" t="str">
        <f t="shared" si="5"/>
        <v>Not Available</v>
      </c>
      <c r="G18" s="27">
        <f t="shared" si="6"/>
        <v>0</v>
      </c>
      <c r="H18" s="27" t="str">
        <f t="shared" si="7"/>
        <v>Not Available</v>
      </c>
    </row>
    <row r="19" ht="15.75" customHeight="1">
      <c r="A19" s="28" t="s">
        <v>42</v>
      </c>
      <c r="B19" s="26">
        <f>COUNTIF(Dishwasher!$A$2:$A$48, A19)</f>
        <v>1</v>
      </c>
      <c r="C19" s="27">
        <f>SUMIF('Dishwasher Grader #2'!$A$2:$A$48, $A19, 'Dishwasher Grader #2'!$C$2:$C$48)</f>
        <v>0</v>
      </c>
      <c r="D19" s="27">
        <f>SUMIF('Dishwasher Grader #2'!$A$49:$A$55, $A19, 'Dishwasher Grader #2'!$C$49:$C$55)</f>
        <v>0</v>
      </c>
      <c r="E19" s="27">
        <f>COUNTIFS('Dishwasher Grader #2'!$A$2:$A$48, $A8, 'Dishwasher Grader #2'!$C$2:$C$48,0)</f>
        <v>1</v>
      </c>
      <c r="F19" s="27" t="str">
        <f t="shared" si="5"/>
        <v>Not Available</v>
      </c>
      <c r="G19" s="27">
        <f t="shared" si="6"/>
        <v>0</v>
      </c>
      <c r="H19" s="27" t="str">
        <f t="shared" si="7"/>
        <v>Not Available</v>
      </c>
    </row>
    <row r="20" ht="15.75" customHeight="1">
      <c r="A20" s="28" t="s">
        <v>21</v>
      </c>
      <c r="B20" s="26">
        <f>COUNTIF(Dishwasher!$A$2:$A$48, A20)</f>
        <v>4</v>
      </c>
      <c r="C20" s="27">
        <f>SUMIF('Dishwasher Grader #2'!$A$2:$A$48, $A20, 'Dishwasher Grader #2'!$C$2:$C$48)</f>
        <v>0</v>
      </c>
      <c r="D20" s="27">
        <f>SUMIF('Dishwasher Grader #2'!$A$49:$A$55, $A20, 'Dishwasher Grader #2'!$C$49:$C$55)</f>
        <v>0</v>
      </c>
      <c r="E20" s="27">
        <f>COUNTIFS('Dishwasher Grader #2'!$A$2:$A$48, $A9, 'Dishwasher Grader #2'!$C$2:$C$48,0)</f>
        <v>4</v>
      </c>
      <c r="F20" s="27" t="str">
        <f t="shared" si="5"/>
        <v>Not Available</v>
      </c>
      <c r="G20" s="27">
        <f t="shared" si="6"/>
        <v>0</v>
      </c>
      <c r="H20" s="27" t="str">
        <f t="shared" si="7"/>
        <v>Not Available</v>
      </c>
    </row>
    <row r="21" ht="15.75" customHeight="1">
      <c r="A21" s="28" t="s">
        <v>67</v>
      </c>
      <c r="B21" s="27">
        <f t="shared" ref="B21:E21" si="8">SUM(B14:B20)</f>
        <v>47</v>
      </c>
      <c r="C21" s="27">
        <f t="shared" si="8"/>
        <v>0</v>
      </c>
      <c r="D21" s="27">
        <f t="shared" si="8"/>
        <v>0</v>
      </c>
      <c r="E21" s="27">
        <f t="shared" si="8"/>
        <v>47</v>
      </c>
      <c r="F21" s="27" t="str">
        <f t="shared" si="5"/>
        <v>Not Available</v>
      </c>
      <c r="G21" s="27">
        <f t="shared" si="6"/>
        <v>0</v>
      </c>
      <c r="H21" s="29" t="str">
        <f t="shared" si="7"/>
        <v>Not Available</v>
      </c>
    </row>
    <row r="22" ht="15.75" customHeight="1">
      <c r="H22" s="3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12" t="s">
        <v>70</v>
      </c>
      <c r="D1" s="12" t="s">
        <v>71</v>
      </c>
      <c r="E1" s="31"/>
      <c r="F1" s="32" t="s">
        <v>72</v>
      </c>
      <c r="L1" s="33" t="s">
        <v>73</v>
      </c>
      <c r="M1" s="34"/>
      <c r="N1" s="34"/>
      <c r="P1" s="32"/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13" t="str">
        <f>'Dishwasher Grader #1'!C2</f>
        <v/>
      </c>
      <c r="D2" s="13">
        <f>'Dishwasher Grader #2'!C2</f>
        <v>0</v>
      </c>
      <c r="E2" s="31"/>
      <c r="F2" s="11" t="s">
        <v>74</v>
      </c>
      <c r="G2" s="35" t="s">
        <v>75</v>
      </c>
      <c r="H2" s="36" t="s">
        <v>76</v>
      </c>
      <c r="I2" s="37" t="s">
        <v>77</v>
      </c>
      <c r="J2" s="38" t="s">
        <v>78</v>
      </c>
      <c r="K2" s="11"/>
      <c r="L2" s="39" t="s">
        <v>79</v>
      </c>
      <c r="M2" s="39" t="s">
        <v>80</v>
      </c>
      <c r="N2" s="39" t="s">
        <v>81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13" t="str">
        <f>'Dishwasher Grader #1'!C3</f>
        <v/>
      </c>
      <c r="D3" s="13">
        <f>'Dishwasher Grader #2'!C3</f>
        <v>0</v>
      </c>
      <c r="E3" s="31"/>
      <c r="F3" s="40">
        <v>0.0</v>
      </c>
      <c r="G3" s="41">
        <f>COUNTIFS($C$2:$C$92, $F3, $D$2:$D$92, G$2)</f>
        <v>0</v>
      </c>
      <c r="H3" s="42">
        <f>COUNTIFS($C$2:$C$48, $F3, $D$2:$D$48, H$2)</f>
        <v>0</v>
      </c>
      <c r="I3" s="43">
        <f>COUNTIFS($C$2:$C$48, $F3, $D$2:$D$48, I$2)+MAX(D49-C49,0)+MAX(D50-C50,0)+MAX(D51-C51,0)+MAX(D52-C52,0)+MAX(D53-C53,0)+MAX(D54-C54,0)+MAX(D55-C55,0)</f>
        <v>0</v>
      </c>
      <c r="J3" s="11">
        <f t="shared" ref="J3:J5" si="2">SUM(G3:I3)</f>
        <v>0</v>
      </c>
      <c r="K3" s="11"/>
      <c r="L3" s="44" t="s">
        <v>82</v>
      </c>
      <c r="M3" s="41" t="str">
        <f>(G3+H4+I5)/COUNTA($C$2:$C$102)</f>
        <v>#DIV/0!</v>
      </c>
      <c r="N3" s="43" t="s">
        <v>83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13" t="str">
        <f>'Dishwasher Grader #1'!C4</f>
        <v/>
      </c>
      <c r="D4" s="13">
        <f>'Dishwasher Grader #2'!C4</f>
        <v>0</v>
      </c>
      <c r="E4" s="31"/>
      <c r="F4" s="40">
        <v>0.5</v>
      </c>
      <c r="G4" s="45">
        <f t="shared" ref="G4:I4" si="1">COUNTIFS($C$2:$C$48, $F4, $D$2:$D$48, G$2)</f>
        <v>0</v>
      </c>
      <c r="H4" s="11">
        <f t="shared" si="1"/>
        <v>0</v>
      </c>
      <c r="I4" s="46">
        <f t="shared" si="1"/>
        <v>0</v>
      </c>
      <c r="J4" s="11">
        <f t="shared" si="2"/>
        <v>0</v>
      </c>
      <c r="K4" s="11"/>
      <c r="L4" s="44" t="s">
        <v>84</v>
      </c>
      <c r="M4" s="45" t="str">
        <f t="array" ref="M4">SUMPRODUCT(J3:J5/COUNTA($C$2:$C$102), TRANSPOSE(G6:I6)/COUNTA($C$2:$C$102))</f>
        <v>#DIV/0!</v>
      </c>
      <c r="N4" s="46" t="s">
        <v>85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13" t="str">
        <f>'Dishwasher Grader #1'!C5</f>
        <v/>
      </c>
      <c r="D5" s="13">
        <f>'Dishwasher Grader #2'!C5</f>
        <v>0</v>
      </c>
      <c r="E5" s="31"/>
      <c r="F5" s="40">
        <v>1.0</v>
      </c>
      <c r="G5" s="47">
        <f>COUNTIFS($C$2:$C$48, $F5, $D$2:$D$48, G$2)+MAX(C49-D49,0)+MAX(C50-D50,0)+MAX(C51-D51,0)+MAX(C52-D52,0)+MAX(C53-D53,0)+MAX(C54-D54,0)+MAX(C55-D55,0)</f>
        <v>0</v>
      </c>
      <c r="H5" s="48">
        <f>COUNTIFS($C$2:$C$48, $F5, $D$2:$D$48, H$2)</f>
        <v>0</v>
      </c>
      <c r="I5" s="49">
        <f>COUNTIFS($C$2:$C$48, $F5, $D$2:$D$48, I$2)+ SUM(MIN(C49,D49), MIN(C50,D50), MIN(C51,D51), MIN(C52,D52), MIN(C53,D53), MIN(C54,D54), MIN(C55,D55))</f>
        <v>0</v>
      </c>
      <c r="J5" s="11">
        <f t="shared" si="2"/>
        <v>0</v>
      </c>
      <c r="K5" s="11"/>
      <c r="L5" s="44" t="s">
        <v>73</v>
      </c>
      <c r="M5" s="47" t="str">
        <f>(M3-M4)/(1-M4)</f>
        <v>#DIV/0!</v>
      </c>
      <c r="N5" s="49" t="s">
        <v>86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13" t="str">
        <f>'Dishwasher Grader #1'!C6</f>
        <v/>
      </c>
      <c r="D6" s="13">
        <f>'Dishwasher Grader #2'!C6</f>
        <v>0</v>
      </c>
      <c r="E6" s="31"/>
      <c r="F6" s="50" t="s">
        <v>87</v>
      </c>
      <c r="G6" s="11">
        <f t="shared" ref="G6:I6" si="3">SUM(G3:G5)</f>
        <v>0</v>
      </c>
      <c r="H6" s="11">
        <f t="shared" si="3"/>
        <v>0</v>
      </c>
      <c r="I6" s="11">
        <f t="shared" si="3"/>
        <v>0</v>
      </c>
      <c r="J6" s="11"/>
      <c r="L6" s="11"/>
      <c r="M6" s="51"/>
      <c r="P6" s="5"/>
      <c r="Q6" s="5"/>
      <c r="R6" s="5"/>
      <c r="S6" s="5"/>
      <c r="T6" s="5"/>
      <c r="U6" s="5"/>
      <c r="V6" s="5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13" t="str">
        <f>'Dishwasher Grader #1'!C7</f>
        <v/>
      </c>
      <c r="D7" s="13">
        <f>'Dishwasher Grader #2'!C7</f>
        <v>0</v>
      </c>
      <c r="E7" s="31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13" t="str">
        <f>'Dishwasher Grader #1'!C8</f>
        <v/>
      </c>
      <c r="D8" s="13">
        <f>'Dishwasher Grader #2'!C8</f>
        <v>0</v>
      </c>
      <c r="E8" s="31"/>
      <c r="F8" s="32" t="s">
        <v>88</v>
      </c>
      <c r="L8" s="33" t="s">
        <v>89</v>
      </c>
      <c r="M8" s="34"/>
      <c r="N8" s="34"/>
      <c r="P8" s="5"/>
      <c r="Q8" s="5"/>
      <c r="R8" s="5"/>
      <c r="S8" s="5"/>
      <c r="T8" s="5"/>
      <c r="U8" s="5"/>
      <c r="V8" s="5"/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13" t="str">
        <f>'Dishwasher Grader #1'!C9</f>
        <v/>
      </c>
      <c r="D9" s="13">
        <f>'Dishwasher Grader #2'!C9</f>
        <v>0</v>
      </c>
      <c r="E9" s="31"/>
      <c r="F9" s="11" t="s">
        <v>6</v>
      </c>
      <c r="G9" s="52" t="s">
        <v>75</v>
      </c>
      <c r="H9" s="52" t="s">
        <v>76</v>
      </c>
      <c r="I9" s="52" t="s">
        <v>77</v>
      </c>
      <c r="J9" s="53" t="s">
        <v>78</v>
      </c>
      <c r="K9" s="11"/>
      <c r="L9" s="39" t="s">
        <v>79</v>
      </c>
      <c r="M9" s="39" t="s">
        <v>80</v>
      </c>
      <c r="N9" s="39" t="s">
        <v>81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13" t="str">
        <f>'Dishwasher Grader #1'!C10</f>
        <v/>
      </c>
      <c r="D10" s="13">
        <f>'Dishwasher Grader #2'!C10</f>
        <v>0</v>
      </c>
      <c r="E10" s="31"/>
      <c r="F10" s="40">
        <v>0.0</v>
      </c>
      <c r="G10" s="41">
        <f t="shared" ref="G10:H10" si="4">COUNTIFS($A$2:$A$92,$F$9,$C$2:$C$92,$F10,$D$2:$D$92,G$9)</f>
        <v>0</v>
      </c>
      <c r="H10" s="42">
        <f t="shared" si="4"/>
        <v>0</v>
      </c>
      <c r="I10" s="43">
        <f>COUNTIFS($A$2:$A$48,$F$9,$C$2:$C$48,$F10,$D$2:$D$48,I$9)+MAX(D49-C49,0)</f>
        <v>0</v>
      </c>
      <c r="J10" s="11">
        <f t="shared" ref="J10:J12" si="6">SUM(G10:I10)</f>
        <v>0</v>
      </c>
      <c r="K10" s="11"/>
      <c r="L10" s="44" t="s">
        <v>82</v>
      </c>
      <c r="M10" s="41">
        <f>(G10+H11+I12)/COUNTIF($A$2:$A$102,F9)</f>
        <v>0</v>
      </c>
      <c r="N10" s="43" t="s">
        <v>83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13" t="str">
        <f>'Dishwasher Grader #1'!C11</f>
        <v/>
      </c>
      <c r="D11" s="13">
        <f>'Dishwasher Grader #2'!C11</f>
        <v>0</v>
      </c>
      <c r="E11" s="31"/>
      <c r="F11" s="40">
        <v>0.5</v>
      </c>
      <c r="G11" s="45">
        <f t="shared" ref="G11:I11" si="5">COUNTIFS($A$2:$A$92,$F$9,$C$2:$C$92,$F11,$D$2:$D$92,G$9)</f>
        <v>0</v>
      </c>
      <c r="H11" s="11">
        <f t="shared" si="5"/>
        <v>0</v>
      </c>
      <c r="I11" s="46">
        <f t="shared" si="5"/>
        <v>0</v>
      </c>
      <c r="J11" s="11">
        <f t="shared" si="6"/>
        <v>0</v>
      </c>
      <c r="K11" s="11"/>
      <c r="L11" s="44" t="s">
        <v>84</v>
      </c>
      <c r="M11" s="45">
        <f t="array" ref="M11">SUMPRODUCT(J10:J12/COUNTIF($A$2:$A$102,F9), TRANSPOSE(G13:I13)/COUNTIF($A$2:$A$102,F9))</f>
        <v>0</v>
      </c>
      <c r="N11" s="46" t="s">
        <v>85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13" t="str">
        <f>'Dishwasher Grader #1'!C12</f>
        <v/>
      </c>
      <c r="D12" s="13">
        <f>'Dishwasher Grader #2'!C12</f>
        <v>0</v>
      </c>
      <c r="E12" s="31"/>
      <c r="F12" s="40">
        <v>1.0</v>
      </c>
      <c r="G12" s="47">
        <f>COUNTIFS($A$2:$A$48,$F$9,$C$2:$C$48,$F12,$D$2:$D$48,G$9)+MAX(C49-D49,0)</f>
        <v>0</v>
      </c>
      <c r="H12" s="48">
        <f>COUNTIFS($A$2:$A$92,$F$9,$C$2:$C$92,$F12,$D$2:$D$92,H$9)</f>
        <v>0</v>
      </c>
      <c r="I12" s="49">
        <f>COUNTIFS($A$2:$A$48,$F$9,$C$2:$C$48,$F12,$D$2:$D$48,I$9)+MIN(C49-D49)</f>
        <v>0</v>
      </c>
      <c r="J12" s="11">
        <f t="shared" si="6"/>
        <v>0</v>
      </c>
      <c r="K12" s="11"/>
      <c r="L12" s="44" t="s">
        <v>73</v>
      </c>
      <c r="M12" s="47">
        <f>(M10-M11)/(1-M11)</f>
        <v>0</v>
      </c>
      <c r="N12" s="49" t="s">
        <v>86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13" t="str">
        <f>'Dishwasher Grader #1'!C13</f>
        <v/>
      </c>
      <c r="D13" s="13">
        <f>'Dishwasher Grader #2'!C13</f>
        <v>0</v>
      </c>
      <c r="E13" s="31"/>
      <c r="F13" s="50" t="s">
        <v>87</v>
      </c>
      <c r="G13" s="11">
        <f t="shared" ref="G13:I13" si="7">SUM(G10:G12)</f>
        <v>0</v>
      </c>
      <c r="H13" s="11">
        <f t="shared" si="7"/>
        <v>0</v>
      </c>
      <c r="I13" s="11">
        <f t="shared" si="7"/>
        <v>0</v>
      </c>
      <c r="J13" s="11"/>
      <c r="L13" s="11"/>
      <c r="M13" s="51"/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13" t="str">
        <f>'Dishwasher Grader #1'!C14</f>
        <v/>
      </c>
      <c r="D14" s="13">
        <f>'Dishwasher Grader #2'!C14</f>
        <v>0</v>
      </c>
      <c r="E14" s="31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13" t="str">
        <f>'Dishwasher Grader #1'!C15</f>
        <v/>
      </c>
      <c r="D15" s="13">
        <f>'Dishwasher Grader #2'!C15</f>
        <v>0</v>
      </c>
      <c r="E15" s="31"/>
      <c r="F15" s="32" t="s">
        <v>90</v>
      </c>
      <c r="L15" s="33" t="s">
        <v>91</v>
      </c>
      <c r="M15" s="34"/>
      <c r="N15" s="34"/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13" t="str">
        <f>'Dishwasher Grader #1'!C16</f>
        <v/>
      </c>
      <c r="D16" s="13">
        <f>'Dishwasher Grader #2'!C16</f>
        <v>0</v>
      </c>
      <c r="E16" s="31"/>
      <c r="F16" s="11" t="s">
        <v>9</v>
      </c>
      <c r="G16" s="52" t="s">
        <v>75</v>
      </c>
      <c r="H16" s="52" t="s">
        <v>76</v>
      </c>
      <c r="I16" s="52" t="s">
        <v>77</v>
      </c>
      <c r="J16" s="53" t="s">
        <v>78</v>
      </c>
      <c r="K16" s="11"/>
      <c r="L16" s="39" t="s">
        <v>79</v>
      </c>
      <c r="M16" s="39" t="s">
        <v>80</v>
      </c>
      <c r="N16" s="39" t="s">
        <v>81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13" t="str">
        <f>'Dishwasher Grader #1'!C17</f>
        <v/>
      </c>
      <c r="D17" s="13">
        <f>'Dishwasher Grader #2'!C17</f>
        <v>0</v>
      </c>
      <c r="E17" s="31"/>
      <c r="F17" s="40">
        <v>0.0</v>
      </c>
      <c r="G17" s="41">
        <f t="shared" ref="G17:H17" si="8">COUNTIFS($A$2:$A$92,$F$16,$C$2:$C$92,$F17,$D$2:$D$92,G$16)</f>
        <v>0</v>
      </c>
      <c r="H17" s="42">
        <f t="shared" si="8"/>
        <v>0</v>
      </c>
      <c r="I17" s="43">
        <f>COUNTIFS($A$2:$A$48,$F$16,$C$2:$C$48,$F17,$D$2:$D$48,I$16) + MAX(D50-C50,0)</f>
        <v>0</v>
      </c>
      <c r="J17" s="11">
        <f t="shared" ref="J17:J19" si="10">SUM(G17:I17)</f>
        <v>0</v>
      </c>
      <c r="K17" s="11"/>
      <c r="L17" s="44" t="s">
        <v>82</v>
      </c>
      <c r="M17" s="41">
        <f>(G17+H18+I19)/COUNTIF($A$2:$A$102,F16)</f>
        <v>0</v>
      </c>
      <c r="N17" s="43" t="s">
        <v>83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13" t="str">
        <f>'Dishwasher Grader #1'!C18</f>
        <v/>
      </c>
      <c r="D18" s="13">
        <f>'Dishwasher Grader #2'!C18</f>
        <v>0</v>
      </c>
      <c r="E18" s="31"/>
      <c r="F18" s="40">
        <v>0.5</v>
      </c>
      <c r="G18" s="45">
        <f t="shared" ref="G18:I18" si="9">COUNTIFS($A$2:$A$92,$F$16,$C$2:$C$92,$F18,$D$2:$D$92,G$16)</f>
        <v>0</v>
      </c>
      <c r="H18" s="11">
        <f t="shared" si="9"/>
        <v>0</v>
      </c>
      <c r="I18" s="46">
        <f t="shared" si="9"/>
        <v>0</v>
      </c>
      <c r="J18" s="11">
        <f t="shared" si="10"/>
        <v>0</v>
      </c>
      <c r="K18" s="11"/>
      <c r="L18" s="44" t="s">
        <v>84</v>
      </c>
      <c r="M18" s="45">
        <f t="array" ref="M18">SUMPRODUCT(J17:J19/COUNTIF($A$2:$A$102,F16), TRANSPOSE(G20:I20)/COUNTIF($A$2:$A$102,F16))</f>
        <v>0</v>
      </c>
      <c r="N18" s="46" t="s">
        <v>85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13" t="str">
        <f>'Dishwasher Grader #1'!C19</f>
        <v/>
      </c>
      <c r="D19" s="13">
        <f>'Dishwasher Grader #2'!C19</f>
        <v>0</v>
      </c>
      <c r="E19" s="31"/>
      <c r="F19" s="40">
        <v>1.0</v>
      </c>
      <c r="G19" s="47">
        <f>COUNTIFS($A$2:$A$48,$F$16,$C$2:$C$48,$F19,$D$2:$D$48,G$16)+MAX(C50-D50,0)</f>
        <v>0</v>
      </c>
      <c r="H19" s="48">
        <f>COUNTIFS($A$2:$A$92,$F$16,$C$2:$C$92,$F19,$D$2:$D$92,H$16)</f>
        <v>0</v>
      </c>
      <c r="I19" s="49">
        <f>COUNTIFS($A$2:$A$48,$F$16,$C$2:$C$48,$F19,$D$2:$D$48,I$16) + MIN(C50,D50)</f>
        <v>0</v>
      </c>
      <c r="J19" s="11">
        <f t="shared" si="10"/>
        <v>0</v>
      </c>
      <c r="K19" s="11"/>
      <c r="L19" s="44" t="s">
        <v>73</v>
      </c>
      <c r="M19" s="47">
        <f>(M17-M18)/(1-M18)</f>
        <v>0</v>
      </c>
      <c r="N19" s="49" t="s">
        <v>86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13" t="str">
        <f>'Dishwasher Grader #1'!C20</f>
        <v/>
      </c>
      <c r="D20" s="13">
        <f>'Dishwasher Grader #2'!C20</f>
        <v>0</v>
      </c>
      <c r="E20" s="31"/>
      <c r="F20" s="50" t="s">
        <v>87</v>
      </c>
      <c r="G20" s="11">
        <f t="shared" ref="G20:I20" si="11">SUM(G17:G19)</f>
        <v>0</v>
      </c>
      <c r="H20" s="11">
        <f t="shared" si="11"/>
        <v>0</v>
      </c>
      <c r="I20" s="11">
        <f t="shared" si="11"/>
        <v>0</v>
      </c>
      <c r="J20" s="11"/>
      <c r="L20" s="11"/>
      <c r="M20" s="51"/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13" t="str">
        <f>'Dishwasher Grader #1'!C21</f>
        <v/>
      </c>
      <c r="D21" s="13">
        <f>'Dishwasher Grader #2'!C21</f>
        <v>0</v>
      </c>
      <c r="E21" s="31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13" t="str">
        <f>'Dishwasher Grader #1'!C22</f>
        <v/>
      </c>
      <c r="D22" s="13">
        <f>'Dishwasher Grader #2'!C22</f>
        <v>0</v>
      </c>
      <c r="E22" s="31"/>
      <c r="F22" s="32" t="s">
        <v>92</v>
      </c>
      <c r="L22" s="33" t="s">
        <v>93</v>
      </c>
      <c r="M22" s="34"/>
      <c r="N22" s="34"/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13" t="str">
        <f>'Dishwasher Grader #1'!C23</f>
        <v/>
      </c>
      <c r="D23" s="13">
        <f>'Dishwasher Grader #2'!C23</f>
        <v>0</v>
      </c>
      <c r="E23" s="31"/>
      <c r="F23" s="11" t="s">
        <v>2</v>
      </c>
      <c r="G23" s="52" t="s">
        <v>75</v>
      </c>
      <c r="H23" s="52" t="s">
        <v>76</v>
      </c>
      <c r="I23" s="52" t="s">
        <v>77</v>
      </c>
      <c r="J23" s="53" t="s">
        <v>78</v>
      </c>
      <c r="K23" s="11"/>
      <c r="L23" s="39" t="s">
        <v>79</v>
      </c>
      <c r="M23" s="39" t="s">
        <v>80</v>
      </c>
      <c r="N23" s="39" t="s">
        <v>81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13" t="str">
        <f>'Dishwasher Grader #1'!C24</f>
        <v/>
      </c>
      <c r="D24" s="13">
        <f>'Dishwasher Grader #2'!C24</f>
        <v>0</v>
      </c>
      <c r="E24" s="31"/>
      <c r="F24" s="40">
        <v>0.0</v>
      </c>
      <c r="G24" s="41">
        <f t="shared" ref="G24:H24" si="12">COUNTIFS($A$2:$A$92,$F$23,$C$2:$C$92,$F24,$D$2:$D$92,G$23)</f>
        <v>0</v>
      </c>
      <c r="H24" s="42">
        <f t="shared" si="12"/>
        <v>0</v>
      </c>
      <c r="I24" s="43">
        <f>COUNTIFS($A$2:$A$48,$F$23,$C$2:$C$48,$F24,$D$2:$D$48,I$23) + MAX(D53-C53,0)</f>
        <v>0</v>
      </c>
      <c r="J24" s="11">
        <f t="shared" ref="J24:J26" si="14">SUM(G24:I24)</f>
        <v>0</v>
      </c>
      <c r="K24" s="11"/>
      <c r="L24" s="44" t="s">
        <v>82</v>
      </c>
      <c r="M24" s="41">
        <f>(G24+H25+I26)/COUNTIF($A$2:$A$102,F23)</f>
        <v>0</v>
      </c>
      <c r="N24" s="43" t="s">
        <v>83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13" t="str">
        <f>'Dishwasher Grader #1'!C25</f>
        <v/>
      </c>
      <c r="D25" s="13">
        <f>'Dishwasher Grader #2'!C25</f>
        <v>0</v>
      </c>
      <c r="E25" s="31"/>
      <c r="F25" s="40">
        <v>0.5</v>
      </c>
      <c r="G25" s="45">
        <f t="shared" ref="G25:I25" si="13">COUNTIFS($A$2:$A$92,$F$23,$C$2:$C$92,$F25,$D$2:$D$92,G$23)</f>
        <v>0</v>
      </c>
      <c r="H25" s="11">
        <f t="shared" si="13"/>
        <v>0</v>
      </c>
      <c r="I25" s="46">
        <f t="shared" si="13"/>
        <v>0</v>
      </c>
      <c r="J25" s="11">
        <f t="shared" si="14"/>
        <v>0</v>
      </c>
      <c r="K25" s="11"/>
      <c r="L25" s="44" t="s">
        <v>84</v>
      </c>
      <c r="M25" s="45">
        <f t="array" ref="M25">SUMPRODUCT(J24:J26/COUNTIF($A$2:$A$102,F23), TRANSPOSE(G27:I27)/COUNTIF($A$2:$A$102,F23))</f>
        <v>0</v>
      </c>
      <c r="N25" s="46" t="s">
        <v>85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13" t="str">
        <f>'Dishwasher Grader #1'!C26</f>
        <v/>
      </c>
      <c r="D26" s="13">
        <f>'Dishwasher Grader #2'!C26</f>
        <v>0</v>
      </c>
      <c r="E26" s="31"/>
      <c r="F26" s="40">
        <v>1.0</v>
      </c>
      <c r="G26" s="47">
        <f>COUNTIFS($A$2:$A$48,$F$23,$C$2:$C$48,$F26,$D$2:$D$48,G$23) + MAX(C53-D53,0)</f>
        <v>0</v>
      </c>
      <c r="H26" s="48">
        <f>COUNTIFS($A$2:$A$92,$F$23,$C$2:$C$92,$F26,$D$2:$D$92,H$23)</f>
        <v>0</v>
      </c>
      <c r="I26" s="49">
        <f>COUNTIFS($A$2:$A$48,$F$23,$C$2:$C$48,$F26,$D$2:$D$48,I$23) + MIN(C53,D53)</f>
        <v>0</v>
      </c>
      <c r="J26" s="11">
        <f t="shared" si="14"/>
        <v>0</v>
      </c>
      <c r="K26" s="11"/>
      <c r="L26" s="44" t="s">
        <v>73</v>
      </c>
      <c r="M26" s="47">
        <f>(M24-M25)/(1-M25)</f>
        <v>0</v>
      </c>
      <c r="N26" s="49" t="s">
        <v>86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13" t="str">
        <f>'Dishwasher Grader #1'!C27</f>
        <v/>
      </c>
      <c r="D27" s="13">
        <f>'Dishwasher Grader #2'!C27</f>
        <v>0</v>
      </c>
      <c r="E27" s="31"/>
      <c r="F27" s="50" t="s">
        <v>87</v>
      </c>
      <c r="G27" s="11">
        <f t="shared" ref="G27:I27" si="15">SUM(G24:G26)</f>
        <v>0</v>
      </c>
      <c r="H27" s="11">
        <f t="shared" si="15"/>
        <v>0</v>
      </c>
      <c r="I27" s="11">
        <f t="shared" si="15"/>
        <v>0</v>
      </c>
      <c r="J27" s="11"/>
      <c r="L27" s="11"/>
      <c r="M27" s="51"/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13" t="str">
        <f>'Dishwasher Grader #1'!C28</f>
        <v/>
      </c>
      <c r="D28" s="13">
        <f>'Dishwasher Grader #2'!C28</f>
        <v>0</v>
      </c>
      <c r="E28" s="31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13" t="str">
        <f>'Dishwasher Grader #1'!C29</f>
        <v/>
      </c>
      <c r="D29" s="13">
        <f>'Dishwasher Grader #2'!C29</f>
        <v>0</v>
      </c>
      <c r="E29" s="31"/>
      <c r="F29" s="32" t="s">
        <v>94</v>
      </c>
      <c r="L29" s="33" t="s">
        <v>95</v>
      </c>
      <c r="M29" s="34"/>
      <c r="N29" s="34"/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13" t="str">
        <f>'Dishwasher Grader #1'!C30</f>
        <v/>
      </c>
      <c r="D30" s="13">
        <f>'Dishwasher Grader #2'!C30</f>
        <v>0</v>
      </c>
      <c r="E30" s="31"/>
      <c r="F30" s="11" t="s">
        <v>21</v>
      </c>
      <c r="G30" s="52" t="s">
        <v>75</v>
      </c>
      <c r="H30" s="52" t="s">
        <v>76</v>
      </c>
      <c r="I30" s="52" t="s">
        <v>77</v>
      </c>
      <c r="J30" s="53" t="s">
        <v>78</v>
      </c>
      <c r="K30" s="11"/>
      <c r="L30" s="39" t="s">
        <v>79</v>
      </c>
      <c r="M30" s="39" t="s">
        <v>80</v>
      </c>
      <c r="N30" s="39" t="s">
        <v>81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13" t="str">
        <f>'Dishwasher Grader #1'!C31</f>
        <v/>
      </c>
      <c r="D31" s="13">
        <f>'Dishwasher Grader #2'!C31</f>
        <v>0</v>
      </c>
      <c r="E31" s="31"/>
      <c r="F31" s="40">
        <v>0.0</v>
      </c>
      <c r="G31" s="41">
        <f t="shared" ref="G31:H31" si="16">COUNTIFS($A$2:$A$92,$F$30,$C$2:$C$92,$F31,$D$2:$D$92,G$30)</f>
        <v>0</v>
      </c>
      <c r="H31" s="42">
        <f t="shared" si="16"/>
        <v>0</v>
      </c>
      <c r="I31" s="43">
        <f>COUNTIFS($A$2:$A$48,$F$30,$C$2:$C$48,$F31,$D$2:$D$48,I$30) + MAX(D51-C51,0)</f>
        <v>0</v>
      </c>
      <c r="J31" s="11">
        <f t="shared" ref="J31:J33" si="18">SUM(G31:I31)</f>
        <v>0</v>
      </c>
      <c r="K31" s="11"/>
      <c r="L31" s="44" t="s">
        <v>82</v>
      </c>
      <c r="M31" s="41">
        <f>(G31+H32+I33)/COUNTIF($A$2:$A$102,F30)</f>
        <v>0</v>
      </c>
      <c r="N31" s="43" t="s">
        <v>83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13" t="str">
        <f>'Dishwasher Grader #1'!C32</f>
        <v/>
      </c>
      <c r="D32" s="13">
        <f>'Dishwasher Grader #2'!C32</f>
        <v>0</v>
      </c>
      <c r="E32" s="31"/>
      <c r="F32" s="40">
        <v>0.5</v>
      </c>
      <c r="G32" s="45">
        <f t="shared" ref="G32:I32" si="17">COUNTIFS($A$2:$A$92,$F$30,$C$2:$C$92,$F32,$D$2:$D$92,G$30)</f>
        <v>0</v>
      </c>
      <c r="H32" s="11">
        <f t="shared" si="17"/>
        <v>0</v>
      </c>
      <c r="I32" s="46">
        <f t="shared" si="17"/>
        <v>0</v>
      </c>
      <c r="J32" s="11">
        <f t="shared" si="18"/>
        <v>0</v>
      </c>
      <c r="K32" s="11"/>
      <c r="L32" s="44" t="s">
        <v>84</v>
      </c>
      <c r="M32" s="45">
        <f t="array" ref="M32">SUMPRODUCT(J31:J33/COUNTIF($A$2:$A$102,F30), TRANSPOSE(G34:I34)/COUNTIF($A$2:$A$102,F30))</f>
        <v>0</v>
      </c>
      <c r="N32" s="46" t="s">
        <v>85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13" t="str">
        <f>'Dishwasher Grader #1'!C33</f>
        <v/>
      </c>
      <c r="D33" s="13">
        <f>'Dishwasher Grader #2'!C33</f>
        <v>0</v>
      </c>
      <c r="E33" s="31"/>
      <c r="F33" s="40">
        <v>1.0</v>
      </c>
      <c r="G33" s="47">
        <f>COUNTIFS($A$2:$A$48,$F$30,$C$2:$C$48,$F33,$D$2:$D$48,G$30) + MAX(C51-D51,0)</f>
        <v>0</v>
      </c>
      <c r="H33" s="48">
        <f>COUNTIFS($A$2:$A$92,$F$30,$C$2:$C$92,$F33,$D$2:$D$92,H$30)</f>
        <v>0</v>
      </c>
      <c r="I33" s="49">
        <f>COUNTIFS($A$2:$A$48,$F$30,$C$2:$C$48,$F33,$D$2:$D$48,I$30) + MIN(C51,D51)</f>
        <v>0</v>
      </c>
      <c r="J33" s="11">
        <f t="shared" si="18"/>
        <v>0</v>
      </c>
      <c r="K33" s="11"/>
      <c r="L33" s="44" t="s">
        <v>73</v>
      </c>
      <c r="M33" s="47">
        <f>(M31-M32)/(1-M32)</f>
        <v>0</v>
      </c>
      <c r="N33" s="49" t="s">
        <v>86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13" t="str">
        <f>'Dishwasher Grader #1'!C34</f>
        <v/>
      </c>
      <c r="D34" s="13">
        <f>'Dishwasher Grader #2'!C34</f>
        <v>0</v>
      </c>
      <c r="E34" s="31"/>
      <c r="F34" s="50" t="s">
        <v>87</v>
      </c>
      <c r="G34" s="11">
        <f t="shared" ref="G34:I34" si="19">SUM(G31:G33)</f>
        <v>0</v>
      </c>
      <c r="H34" s="11">
        <f t="shared" si="19"/>
        <v>0</v>
      </c>
      <c r="I34" s="11">
        <f t="shared" si="19"/>
        <v>0</v>
      </c>
      <c r="J34" s="11"/>
      <c r="L34" s="11"/>
      <c r="M34" s="51"/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13" t="str">
        <f>'Dishwasher Grader #1'!C35</f>
        <v/>
      </c>
      <c r="D35" s="13">
        <f>'Dishwasher Grader #2'!C35</f>
        <v>0</v>
      </c>
      <c r="E35" s="31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13" t="str">
        <f>'Dishwasher Grader #1'!C36</f>
        <v/>
      </c>
      <c r="D36" s="13">
        <f>'Dishwasher Grader #2'!C36</f>
        <v>0</v>
      </c>
      <c r="E36" s="31"/>
      <c r="F36" s="32" t="s">
        <v>96</v>
      </c>
      <c r="L36" s="33" t="s">
        <v>97</v>
      </c>
      <c r="M36" s="34"/>
      <c r="N36" s="34"/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13" t="str">
        <f>'Dishwasher Grader #1'!C37</f>
        <v/>
      </c>
      <c r="D37" s="13">
        <f>'Dishwasher Grader #2'!C37</f>
        <v>0</v>
      </c>
      <c r="E37" s="31"/>
      <c r="F37" s="11" t="s">
        <v>23</v>
      </c>
      <c r="G37" s="52" t="s">
        <v>75</v>
      </c>
      <c r="H37" s="52" t="s">
        <v>76</v>
      </c>
      <c r="I37" s="52" t="s">
        <v>77</v>
      </c>
      <c r="J37" s="53" t="s">
        <v>78</v>
      </c>
      <c r="K37" s="11"/>
      <c r="L37" s="39" t="s">
        <v>79</v>
      </c>
      <c r="M37" s="39" t="s">
        <v>80</v>
      </c>
      <c r="N37" s="39" t="s">
        <v>81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13" t="str">
        <f>'Dishwasher Grader #1'!C38</f>
        <v/>
      </c>
      <c r="D38" s="13">
        <f>'Dishwasher Grader #2'!C38</f>
        <v>0</v>
      </c>
      <c r="E38" s="31"/>
      <c r="F38" s="40">
        <v>0.0</v>
      </c>
      <c r="G38" s="41">
        <f t="shared" ref="G38:H38" si="20">COUNTIFS($A$2:$A$92,$F$37,$C$2:$C$92,$F38,$D$2:$D$92,G$37)</f>
        <v>0</v>
      </c>
      <c r="H38" s="42">
        <f t="shared" si="20"/>
        <v>0</v>
      </c>
      <c r="I38" s="43">
        <f>COUNTIFS($A$2:$A$48,$F$37,$C$2:$C$48,$F38,$D$2:$D$48,I$37)+MAX(D52-C52,0)</f>
        <v>0</v>
      </c>
      <c r="J38" s="11">
        <f t="shared" ref="J38:J40" si="22">SUM(G38:I38)</f>
        <v>0</v>
      </c>
      <c r="K38" s="11"/>
      <c r="L38" s="44" t="s">
        <v>82</v>
      </c>
      <c r="M38" s="41">
        <f>(G38+H39+I40)/COUNTIF($A$2:$A$102,F37)</f>
        <v>0</v>
      </c>
      <c r="N38" s="43" t="s">
        <v>83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13" t="str">
        <f>'Dishwasher Grader #1'!C39</f>
        <v/>
      </c>
      <c r="D39" s="13">
        <f>'Dishwasher Grader #2'!C39</f>
        <v>0</v>
      </c>
      <c r="E39" s="31"/>
      <c r="F39" s="40">
        <v>0.5</v>
      </c>
      <c r="G39" s="45">
        <f t="shared" ref="G39:I39" si="21">COUNTIFS($A$2:$A$92,$F$37,$C$2:$C$92,$F39,$D$2:$D$92,G$37)</f>
        <v>0</v>
      </c>
      <c r="H39" s="11">
        <f t="shared" si="21"/>
        <v>0</v>
      </c>
      <c r="I39" s="46">
        <f t="shared" si="21"/>
        <v>0</v>
      </c>
      <c r="J39" s="11">
        <f t="shared" si="22"/>
        <v>0</v>
      </c>
      <c r="K39" s="11"/>
      <c r="L39" s="44" t="s">
        <v>84</v>
      </c>
      <c r="M39" s="45">
        <f t="array" ref="M39">SUMPRODUCT(J38:J40/COUNTIF($A$2:$A$102,F37), TRANSPOSE(G41:I41)/COUNTIF($A$2:$A$102,F37))</f>
        <v>0</v>
      </c>
      <c r="N39" s="46" t="s">
        <v>85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13" t="str">
        <f>'Dishwasher Grader #1'!C40</f>
        <v/>
      </c>
      <c r="D40" s="13">
        <f>'Dishwasher Grader #2'!C40</f>
        <v>0</v>
      </c>
      <c r="E40" s="31"/>
      <c r="F40" s="40">
        <v>1.0</v>
      </c>
      <c r="G40" s="47">
        <f>COUNTIFS($A$2:$A$48,$F$37,$C$2:$C$48,$F40,$D$2:$D$48,G$37)+MAX(C52-D52,0)</f>
        <v>0</v>
      </c>
      <c r="H40" s="48">
        <f>COUNTIFS($A$2:$A$92,$F$37,$C$2:$C$92,$F40,$D$2:$D$92,H$37)</f>
        <v>0</v>
      </c>
      <c r="I40" s="49">
        <f>COUNTIFS($A$2:$A$48,$F$37,$C$2:$C$48,$F40,$D$2:$D$48,I$37) + MIN(C52,D52)</f>
        <v>0</v>
      </c>
      <c r="J40" s="11">
        <f t="shared" si="22"/>
        <v>0</v>
      </c>
      <c r="K40" s="11"/>
      <c r="L40" s="44" t="s">
        <v>73</v>
      </c>
      <c r="M40" s="47">
        <f>(M38-M39)/(1-M39)</f>
        <v>0</v>
      </c>
      <c r="N40" s="49" t="s">
        <v>86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13" t="str">
        <f>'Dishwasher Grader #1'!C41</f>
        <v/>
      </c>
      <c r="D41" s="13">
        <f>'Dishwasher Grader #2'!C41</f>
        <v>0</v>
      </c>
      <c r="E41" s="31"/>
      <c r="F41" s="50" t="s">
        <v>87</v>
      </c>
      <c r="G41" s="11">
        <f t="shared" ref="G41:I41" si="23">SUM(G38:G40)</f>
        <v>0</v>
      </c>
      <c r="H41" s="11">
        <f t="shared" si="23"/>
        <v>0</v>
      </c>
      <c r="I41" s="11">
        <f t="shared" si="23"/>
        <v>0</v>
      </c>
      <c r="J41" s="11"/>
      <c r="L41" s="11"/>
      <c r="M41" s="51"/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13" t="str">
        <f>'Dishwasher Grader #1'!C42</f>
        <v/>
      </c>
      <c r="D42" s="13">
        <f>'Dishwasher Grader #2'!C42</f>
        <v>0</v>
      </c>
      <c r="E42" s="31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13" t="str">
        <f>'Dishwasher Grader #1'!C43</f>
        <v/>
      </c>
      <c r="D43" s="13">
        <f>'Dishwasher Grader #2'!C43</f>
        <v>0</v>
      </c>
      <c r="E43" s="31"/>
      <c r="F43" s="32" t="s">
        <v>98</v>
      </c>
      <c r="L43" s="33" t="s">
        <v>99</v>
      </c>
      <c r="M43" s="34"/>
      <c r="N43" s="34"/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13" t="str">
        <f>'Dishwasher Grader #1'!C44</f>
        <v/>
      </c>
      <c r="D44" s="13">
        <f>'Dishwasher Grader #2'!C44</f>
        <v>0</v>
      </c>
      <c r="E44" s="31"/>
      <c r="F44" s="11" t="s">
        <v>42</v>
      </c>
      <c r="G44" s="52" t="s">
        <v>75</v>
      </c>
      <c r="H44" s="52" t="s">
        <v>76</v>
      </c>
      <c r="I44" s="52" t="s">
        <v>77</v>
      </c>
      <c r="J44" s="53" t="s">
        <v>78</v>
      </c>
      <c r="K44" s="11"/>
      <c r="L44" s="39" t="s">
        <v>79</v>
      </c>
      <c r="M44" s="39" t="s">
        <v>80</v>
      </c>
      <c r="N44" s="39" t="s">
        <v>81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13" t="str">
        <f>'Dishwasher Grader #1'!C45</f>
        <v/>
      </c>
      <c r="D45" s="13">
        <f>'Dishwasher Grader #2'!C45</f>
        <v>0</v>
      </c>
      <c r="E45" s="31"/>
      <c r="F45" s="40">
        <v>0.0</v>
      </c>
      <c r="G45" s="41">
        <f t="shared" ref="G45:H45" si="24">COUNTIFS($A$2:$A$92,$F$44,$C$2:$C$92,$F45,$D$2:$D$92,G$44)</f>
        <v>0</v>
      </c>
      <c r="H45" s="42">
        <f t="shared" si="24"/>
        <v>0</v>
      </c>
      <c r="I45" s="43">
        <f>COUNTIFS($A$2:$A$48,$F$44,$C$2:$C$48,$F45,$D$2:$D$48,I$44) + MAX(D55-C55,0)</f>
        <v>0</v>
      </c>
      <c r="J45" s="11">
        <f t="shared" ref="J45:J47" si="26">SUM(G45:I45)</f>
        <v>0</v>
      </c>
      <c r="K45" s="11"/>
      <c r="L45" s="44" t="s">
        <v>82</v>
      </c>
      <c r="M45" s="41">
        <f>(G45+H46+I47)/COUNTIF($A$2:$A$102,F44)</f>
        <v>0</v>
      </c>
      <c r="N45" s="43" t="s">
        <v>83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13" t="str">
        <f>'Dishwasher Grader #1'!C46</f>
        <v/>
      </c>
      <c r="D46" s="13">
        <f>'Dishwasher Grader #2'!C46</f>
        <v>0</v>
      </c>
      <c r="E46" s="31"/>
      <c r="F46" s="40">
        <v>0.5</v>
      </c>
      <c r="G46" s="45">
        <f t="shared" ref="G46:I46" si="25">COUNTIFS($A$2:$A$92,$F$44,$C$2:$C$92,$F46,$D$2:$D$92,G$44)</f>
        <v>0</v>
      </c>
      <c r="H46" s="11">
        <f t="shared" si="25"/>
        <v>0</v>
      </c>
      <c r="I46" s="46">
        <f t="shared" si="25"/>
        <v>0</v>
      </c>
      <c r="J46" s="11">
        <f t="shared" si="26"/>
        <v>0</v>
      </c>
      <c r="K46" s="11"/>
      <c r="L46" s="44" t="s">
        <v>84</v>
      </c>
      <c r="M46" s="45">
        <f t="array" ref="M46">SUMPRODUCT(J45:J47/COUNTIF($A$2:$A$102,F44), TRANSPOSE(G48:I48)/COUNTIF($A$2:$A$102,F44))</f>
        <v>0</v>
      </c>
      <c r="N46" s="46" t="s">
        <v>85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13" t="str">
        <f>'Dishwasher Grader #1'!C47</f>
        <v/>
      </c>
      <c r="D47" s="13">
        <f>'Dishwasher Grader #2'!C47</f>
        <v>0</v>
      </c>
      <c r="E47" s="31"/>
      <c r="F47" s="40">
        <v>1.0</v>
      </c>
      <c r="G47" s="47">
        <f>COUNTIFS($A$2:$A$48,$F$44,$C$2:$C$48,$F47,$D$2:$D$48,G$44) + MAX(C55-D55,0)</f>
        <v>0</v>
      </c>
      <c r="H47" s="48">
        <f>COUNTIFS($A$2:$A$92,$F$44,$C$2:$C$92,$F47,$D$2:$D$92,H$44)</f>
        <v>0</v>
      </c>
      <c r="I47" s="49">
        <f>COUNTIFS($A$2:$A$48,$F$44,$C$2:$C$48,$F47,$D$2:$D$48,I$44) + MIN(C55,D55)</f>
        <v>0</v>
      </c>
      <c r="J47" s="11">
        <f t="shared" si="26"/>
        <v>0</v>
      </c>
      <c r="K47" s="11"/>
      <c r="L47" s="44" t="s">
        <v>73</v>
      </c>
      <c r="M47" s="47">
        <f>(M45-M46)/(1-M46)</f>
        <v>0</v>
      </c>
      <c r="N47" s="49" t="s">
        <v>86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13" t="str">
        <f>'Dishwasher Grader #1'!C48</f>
        <v/>
      </c>
      <c r="D48" s="13">
        <f>'Dishwasher Grader #2'!C48</f>
        <v>0</v>
      </c>
      <c r="E48" s="31"/>
      <c r="F48" s="50" t="s">
        <v>87</v>
      </c>
      <c r="G48" s="11">
        <f t="shared" ref="G48:I48" si="27">SUM(G45:G47)</f>
        <v>0</v>
      </c>
      <c r="H48" s="11">
        <f t="shared" si="27"/>
        <v>0</v>
      </c>
      <c r="I48" s="11">
        <f t="shared" si="27"/>
        <v>0</v>
      </c>
      <c r="J48" s="11"/>
      <c r="L48" s="11"/>
      <c r="M48" s="51"/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54" t="str">
        <f>'Dishwasher Grader #1'!C49</f>
        <v/>
      </c>
      <c r="D49" s="54">
        <f>'Dishwasher Grader #2'!C49</f>
        <v>0</v>
      </c>
      <c r="E49" s="31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13" t="str">
        <f>'Dishwasher Grader #1'!C50</f>
        <v/>
      </c>
      <c r="D50" s="13">
        <f>'Dishwasher Grader #2'!C50</f>
        <v>0</v>
      </c>
      <c r="E50" s="31"/>
      <c r="F50" s="32" t="s">
        <v>100</v>
      </c>
      <c r="L50" s="33" t="s">
        <v>101</v>
      </c>
      <c r="M50" s="34"/>
      <c r="N50" s="34"/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13" t="str">
        <f>'Dishwasher Grader #1'!C51</f>
        <v/>
      </c>
      <c r="D51" s="13">
        <f>'Dishwasher Grader #2'!C51</f>
        <v>0</v>
      </c>
      <c r="E51" s="31"/>
      <c r="F51" s="11" t="s">
        <v>4</v>
      </c>
      <c r="G51" s="52" t="s">
        <v>75</v>
      </c>
      <c r="H51" s="52" t="s">
        <v>76</v>
      </c>
      <c r="I51" s="52" t="s">
        <v>77</v>
      </c>
      <c r="J51" s="53" t="s">
        <v>78</v>
      </c>
      <c r="K51" s="11"/>
      <c r="L51" s="39" t="s">
        <v>79</v>
      </c>
      <c r="M51" s="39" t="s">
        <v>80</v>
      </c>
      <c r="N51" s="39" t="s">
        <v>81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13" t="str">
        <f>'Dishwasher Grader #1'!C52</f>
        <v/>
      </c>
      <c r="D52" s="13">
        <f>'Dishwasher Grader #2'!C52</f>
        <v>0</v>
      </c>
      <c r="E52" s="31"/>
      <c r="F52" s="40">
        <v>0.0</v>
      </c>
      <c r="G52" s="41">
        <f t="shared" ref="G52:H52" si="28">COUNTIFS($A$2:$A$92,$F$51,$C$2:$C$92,$F52,$D$2:$D$92,G$51)</f>
        <v>0</v>
      </c>
      <c r="H52" s="42">
        <f t="shared" si="28"/>
        <v>0</v>
      </c>
      <c r="I52" s="43">
        <f>COUNTIFS($A$2:$A$48,$F$51,$C$2:$C$48,$F52,$D$2:$D$48,I$51)+MAX(D54-C54,0)</f>
        <v>0</v>
      </c>
      <c r="J52" s="11">
        <f t="shared" ref="J52:J54" si="30">SUM(G52:I52)</f>
        <v>0</v>
      </c>
      <c r="K52" s="11"/>
      <c r="L52" s="44" t="s">
        <v>82</v>
      </c>
      <c r="M52" s="41">
        <f>(G52+H53+I54)/COUNTIF($A$2:$A$102,F51)</f>
        <v>0</v>
      </c>
      <c r="N52" s="43" t="s">
        <v>83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13" t="str">
        <f>'Dishwasher Grader #1'!C53</f>
        <v/>
      </c>
      <c r="D53" s="13">
        <f>'Dishwasher Grader #2'!C53</f>
        <v>0</v>
      </c>
      <c r="E53" s="31"/>
      <c r="F53" s="40">
        <v>0.5</v>
      </c>
      <c r="G53" s="45">
        <f t="shared" ref="G53:I53" si="29">COUNTIFS($A$2:$A$92,$F$51,$C$2:$C$92,$F53,$D$2:$D$92,G$51)</f>
        <v>0</v>
      </c>
      <c r="H53" s="11">
        <f t="shared" si="29"/>
        <v>0</v>
      </c>
      <c r="I53" s="46">
        <f t="shared" si="29"/>
        <v>0</v>
      </c>
      <c r="J53" s="11">
        <f t="shared" si="30"/>
        <v>0</v>
      </c>
      <c r="K53" s="11"/>
      <c r="L53" s="44" t="s">
        <v>84</v>
      </c>
      <c r="M53" s="45">
        <f t="array" ref="M53">SUMPRODUCT(J52:J54/COUNTIF($A$2:$A$102,F51), TRANSPOSE(G55:I55)/COUNTIF($A$2:$A$102,F51))</f>
        <v>0</v>
      </c>
      <c r="N53" s="46" t="s">
        <v>85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13" t="str">
        <f>'Dishwasher Grader #1'!C54</f>
        <v/>
      </c>
      <c r="D54" s="13">
        <f>'Dishwasher Grader #2'!C54</f>
        <v>0</v>
      </c>
      <c r="E54" s="31"/>
      <c r="F54" s="40">
        <v>1.0</v>
      </c>
      <c r="G54" s="47">
        <f>COUNTIFS($A$2:$A$48,$F$51,$C$2:$C$48,$F54,$D$2:$D$48,G$51) + MAX(C54-D54,0)</f>
        <v>0</v>
      </c>
      <c r="H54" s="48">
        <f>COUNTIFS($A$2:$A$92,$F$51,$C$2:$C$92,$F54,$D$2:$D$92,H$51)</f>
        <v>0</v>
      </c>
      <c r="I54" s="49">
        <f>COUNTIFS($A$2:$A$48,$F$51,$C$2:$C$48,$F54,$D$2:$D$48,I$51)+MIN(C54,D54)</f>
        <v>0</v>
      </c>
      <c r="J54" s="11">
        <f t="shared" si="30"/>
        <v>0</v>
      </c>
      <c r="K54" s="11"/>
      <c r="L54" s="44" t="s">
        <v>73</v>
      </c>
      <c r="M54" s="47">
        <f>(M52-M53)/(1-M53)</f>
        <v>0</v>
      </c>
      <c r="N54" s="49" t="s">
        <v>86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13" t="str">
        <f>'Dishwasher Grader #1'!C55</f>
        <v/>
      </c>
      <c r="D55" s="13">
        <f>'Dishwasher Grader #2'!C55</f>
        <v>0</v>
      </c>
      <c r="E55" s="31"/>
      <c r="F55" s="50" t="s">
        <v>87</v>
      </c>
      <c r="G55" s="11">
        <f t="shared" ref="G55:I55" si="31">SUM(G52:G54)</f>
        <v>0</v>
      </c>
      <c r="H55" s="11">
        <f t="shared" si="31"/>
        <v>0</v>
      </c>
      <c r="I55" s="11">
        <f t="shared" si="31"/>
        <v>0</v>
      </c>
      <c r="J55" s="11"/>
      <c r="L55" s="11"/>
      <c r="M55" s="51"/>
    </row>
    <row r="56" ht="15.75" customHeight="1">
      <c r="A56" s="32"/>
      <c r="B56" s="55"/>
      <c r="C56" s="31"/>
      <c r="D56" s="31"/>
      <c r="E56" s="31"/>
    </row>
    <row r="57" ht="15.75" customHeight="1">
      <c r="A57" s="32"/>
      <c r="B57" s="55"/>
      <c r="C57" s="31"/>
      <c r="D57" s="31"/>
      <c r="E57" s="31"/>
    </row>
    <row r="58" ht="15.75" customHeight="1">
      <c r="A58" s="32"/>
      <c r="B58" s="55"/>
      <c r="C58" s="31"/>
      <c r="D58" s="31"/>
      <c r="E58" s="31"/>
    </row>
    <row r="59" ht="15.75" customHeight="1">
      <c r="A59" s="32"/>
      <c r="B59" s="55"/>
      <c r="C59" s="31"/>
      <c r="D59" s="31"/>
      <c r="E59" s="31"/>
    </row>
    <row r="60" ht="15.75" customHeight="1">
      <c r="A60" s="32"/>
      <c r="B60" s="55"/>
      <c r="C60" s="31"/>
      <c r="D60" s="31"/>
      <c r="E60" s="31"/>
    </row>
    <row r="61" ht="15.75" customHeight="1">
      <c r="A61" s="32"/>
      <c r="B61" s="55"/>
      <c r="C61" s="31"/>
      <c r="D61" s="31"/>
      <c r="E61" s="31"/>
    </row>
    <row r="62" ht="15.75" customHeight="1">
      <c r="A62" s="32"/>
      <c r="B62" s="55"/>
      <c r="C62" s="31"/>
      <c r="D62" s="31"/>
      <c r="E62" s="31"/>
    </row>
    <row r="63" ht="15.75" customHeight="1">
      <c r="A63" s="32"/>
      <c r="B63" s="55"/>
      <c r="C63" s="31"/>
      <c r="D63" s="31"/>
      <c r="E63" s="31"/>
    </row>
    <row r="64" ht="15.75" customHeight="1">
      <c r="A64" s="32"/>
      <c r="B64" s="55"/>
      <c r="C64" s="31"/>
      <c r="D64" s="31"/>
      <c r="E64" s="31"/>
    </row>
    <row r="65" ht="15.75" customHeight="1">
      <c r="A65" s="32"/>
      <c r="B65" s="55"/>
      <c r="C65" s="31"/>
      <c r="D65" s="31"/>
      <c r="E65" s="31"/>
    </row>
    <row r="66" ht="15.75" customHeight="1">
      <c r="A66" s="32"/>
      <c r="B66" s="55"/>
      <c r="C66" s="31"/>
      <c r="D66" s="31"/>
      <c r="E66" s="31"/>
    </row>
    <row r="67" ht="15.75" customHeight="1">
      <c r="A67" s="32"/>
      <c r="B67" s="55"/>
      <c r="C67" s="31"/>
      <c r="D67" s="31"/>
      <c r="E67" s="31"/>
    </row>
    <row r="68" ht="15.75" customHeight="1">
      <c r="A68" s="32"/>
      <c r="B68" s="55"/>
      <c r="C68" s="31"/>
      <c r="D68" s="31"/>
      <c r="E68" s="31"/>
    </row>
    <row r="69" ht="15.75" customHeight="1">
      <c r="A69" s="32"/>
      <c r="B69" s="55"/>
      <c r="C69" s="31"/>
      <c r="D69" s="31"/>
      <c r="E69" s="31"/>
    </row>
    <row r="70" ht="15.75" customHeight="1">
      <c r="A70" s="32"/>
      <c r="B70" s="55"/>
      <c r="C70" s="31"/>
      <c r="D70" s="31"/>
      <c r="E70" s="31"/>
    </row>
    <row r="71" ht="15.75" customHeight="1">
      <c r="A71" s="32"/>
      <c r="B71" s="55"/>
      <c r="C71" s="31"/>
      <c r="D71" s="31"/>
      <c r="E71" s="31"/>
    </row>
    <row r="72" ht="15.75" customHeight="1">
      <c r="A72" s="32"/>
      <c r="B72" s="55"/>
      <c r="C72" s="31"/>
      <c r="D72" s="31"/>
    </row>
    <row r="73" ht="15.75" customHeight="1">
      <c r="A73" s="32"/>
      <c r="B73" s="55"/>
      <c r="C73" s="31"/>
      <c r="D73" s="31"/>
    </row>
    <row r="74" ht="15.75" customHeight="1">
      <c r="A74" s="32"/>
      <c r="B74" s="55"/>
      <c r="C74" s="31"/>
      <c r="D74" s="31"/>
    </row>
    <row r="75" ht="15.75" customHeight="1">
      <c r="A75" s="32"/>
      <c r="B75" s="55"/>
      <c r="C75" s="31"/>
      <c r="D75" s="31"/>
    </row>
    <row r="76" ht="15.75" customHeight="1">
      <c r="A76" s="32"/>
      <c r="B76" s="55"/>
      <c r="C76" s="31"/>
      <c r="D76" s="31"/>
    </row>
    <row r="77" ht="15.75" customHeight="1">
      <c r="A77" s="32"/>
      <c r="B77" s="55"/>
      <c r="C77" s="31"/>
      <c r="D77" s="31"/>
    </row>
    <row r="78" ht="15.75" customHeight="1">
      <c r="A78" s="32"/>
      <c r="B78" s="55"/>
      <c r="C78" s="31"/>
      <c r="D78" s="31"/>
    </row>
    <row r="79" ht="15.75" customHeight="1">
      <c r="A79" s="32"/>
      <c r="B79" s="55"/>
      <c r="C79" s="31"/>
      <c r="D79" s="31"/>
    </row>
    <row r="80" ht="15.75" customHeight="1">
      <c r="A80" s="32"/>
      <c r="B80" s="55"/>
      <c r="C80" s="31"/>
      <c r="D80" s="31"/>
    </row>
    <row r="81" ht="15.75" customHeight="1">
      <c r="B81" s="55"/>
      <c r="D81" s="31"/>
    </row>
    <row r="82" ht="15.75" customHeight="1">
      <c r="B82" s="55"/>
      <c r="D82" s="31"/>
    </row>
    <row r="83" ht="15.75" customHeight="1">
      <c r="D83" s="3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70</v>
      </c>
      <c r="D1" s="12" t="s">
        <v>71</v>
      </c>
      <c r="E1" s="31"/>
      <c r="F1" s="32" t="s">
        <v>72</v>
      </c>
      <c r="L1" s="32" t="s">
        <v>102</v>
      </c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13" t="str">
        <f>'Dishwasher Grader #1'!C2</f>
        <v/>
      </c>
      <c r="D2" s="13">
        <f>'Dishwasher Grader #2'!C2</f>
        <v>0</v>
      </c>
      <c r="E2" s="31"/>
      <c r="F2" s="11" t="s">
        <v>74</v>
      </c>
      <c r="G2" s="35" t="s">
        <v>75</v>
      </c>
      <c r="H2" s="36" t="s">
        <v>76</v>
      </c>
      <c r="I2" s="37" t="s">
        <v>77</v>
      </c>
      <c r="J2" s="53" t="s">
        <v>78</v>
      </c>
      <c r="K2" s="11"/>
      <c r="L2" s="11" t="s">
        <v>74</v>
      </c>
      <c r="M2" s="52" t="s">
        <v>75</v>
      </c>
      <c r="N2" s="52" t="s">
        <v>76</v>
      </c>
      <c r="O2" s="52" t="s">
        <v>77</v>
      </c>
      <c r="P2" s="11"/>
      <c r="Q2" s="11" t="s">
        <v>74</v>
      </c>
      <c r="R2" s="52" t="s">
        <v>75</v>
      </c>
      <c r="S2" s="52" t="s">
        <v>76</v>
      </c>
      <c r="T2" s="52" t="s">
        <v>77</v>
      </c>
      <c r="V2" s="39" t="str">
        <f>"Metrics" &amp; " " &amp; F2
</f>
        <v>Metrics Global</v>
      </c>
      <c r="W2" s="39" t="s">
        <v>80</v>
      </c>
      <c r="X2" s="39" t="s">
        <v>81</v>
      </c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13" t="str">
        <f>'Dishwasher Grader #1'!C3</f>
        <v/>
      </c>
      <c r="D3" s="13">
        <f>'Dishwasher Grader #2'!C3</f>
        <v>0</v>
      </c>
      <c r="E3" s="31"/>
      <c r="F3" s="40">
        <v>0.0</v>
      </c>
      <c r="G3" s="41">
        <f>COUNTIFS($C$2:$C$92, $F3, $D$2:$D$92, G$2)</f>
        <v>0</v>
      </c>
      <c r="H3" s="42">
        <f>COUNTIFS($C$2:$C$48, $F3, $D$2:$D$48, H$2)</f>
        <v>0</v>
      </c>
      <c r="I3" s="43">
        <f>COUNTIFS($C$2:$C$48, $F3, $D$2:$D$48, I$2)+MAX(D49-C49,0)+MAX(D50-C50,0)+MAX(D51-C51,0)+MAX(D52-C52,0)+MAX(D53-C53,0)+MAX(D54-C54,0)+MAX(D55-C55,0)</f>
        <v>0</v>
      </c>
      <c r="J3" s="11">
        <f t="shared" ref="J3:J5" si="4">SUM(G3:I3)</f>
        <v>0</v>
      </c>
      <c r="K3" s="11"/>
      <c r="L3" s="40">
        <v>0.0</v>
      </c>
      <c r="M3" s="41">
        <f t="shared" ref="M3:O3" si="1">ABS(G$2-$F3)/1</f>
        <v>0</v>
      </c>
      <c r="N3" s="42">
        <f t="shared" si="1"/>
        <v>0.5</v>
      </c>
      <c r="O3" s="43">
        <f t="shared" si="1"/>
        <v>1</v>
      </c>
      <c r="P3" s="11"/>
      <c r="Q3" s="40">
        <v>0.0</v>
      </c>
      <c r="R3" s="41" t="str">
        <f t="shared" ref="R3:T3" si="2">($J3/$J$6) * (G$6/$J$6)</f>
        <v>#DIV/0!</v>
      </c>
      <c r="S3" s="42" t="str">
        <f t="shared" si="2"/>
        <v>#DIV/0!</v>
      </c>
      <c r="T3" s="43" t="str">
        <f t="shared" si="2"/>
        <v>#DIV/0!</v>
      </c>
      <c r="U3" s="11"/>
      <c r="V3" s="44" t="s">
        <v>103</v>
      </c>
      <c r="W3" s="41" t="str">
        <f>SUMPRODUCT(G3:I5, M3:O5) /$J$6</f>
        <v>#DIV/0!</v>
      </c>
      <c r="X3" s="43" t="s">
        <v>104</v>
      </c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13" t="str">
        <f>'Dishwasher Grader #1'!C4</f>
        <v/>
      </c>
      <c r="D4" s="13">
        <f>'Dishwasher Grader #2'!C4</f>
        <v>0</v>
      </c>
      <c r="E4" s="31"/>
      <c r="F4" s="40">
        <v>0.5</v>
      </c>
      <c r="G4" s="45">
        <f t="shared" ref="G4:I4" si="3">COUNTIFS($C$2:$C$48, $F4, $D$2:$D$48, G$2)</f>
        <v>0</v>
      </c>
      <c r="H4" s="11">
        <f t="shared" si="3"/>
        <v>0</v>
      </c>
      <c r="I4" s="46">
        <f t="shared" si="3"/>
        <v>0</v>
      </c>
      <c r="J4" s="11">
        <f t="shared" si="4"/>
        <v>0</v>
      </c>
      <c r="K4" s="11"/>
      <c r="L4" s="40">
        <v>0.5</v>
      </c>
      <c r="M4" s="45">
        <f t="shared" ref="M4:M5" si="6">ABS(G$2-$F4)/1</f>
        <v>0.5</v>
      </c>
      <c r="N4" s="11">
        <f>ABS(H$2-$F4)/3</f>
        <v>0</v>
      </c>
      <c r="O4" s="46">
        <f>ABS(I$2-$F4)/1</f>
        <v>0.5</v>
      </c>
      <c r="P4" s="11"/>
      <c r="Q4" s="40">
        <v>0.5</v>
      </c>
      <c r="R4" s="45" t="str">
        <f t="shared" ref="R4:T4" si="5">($J4/$J$6) * (G$6/$J$6)</f>
        <v>#DIV/0!</v>
      </c>
      <c r="S4" s="11" t="str">
        <f t="shared" si="5"/>
        <v>#DIV/0!</v>
      </c>
      <c r="T4" s="46" t="str">
        <f t="shared" si="5"/>
        <v>#DIV/0!</v>
      </c>
      <c r="U4" s="11"/>
      <c r="V4" s="44" t="s">
        <v>105</v>
      </c>
      <c r="W4" s="45" t="str">
        <f>SUMPRODUCT(R3:T5, M3:O5)</f>
        <v>#DIV/0!</v>
      </c>
      <c r="X4" s="46" t="s">
        <v>106</v>
      </c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13" t="str">
        <f>'Dishwasher Grader #1'!C5</f>
        <v/>
      </c>
      <c r="D5" s="13">
        <f>'Dishwasher Grader #2'!C5</f>
        <v>0</v>
      </c>
      <c r="E5" s="31"/>
      <c r="F5" s="40">
        <v>1.0</v>
      </c>
      <c r="G5" s="47">
        <f>COUNTIFS($C$2:$C$48, $F5, $D$2:$D$48, G$2)+MAX(C49-D49,0)+MAX(C50-D50,0)+MAX(C51-D51,0)+MAX(C52-D52,0)+MAX(C53-D53,0)+MAX(C54-D54,0)+MAX(C55-D55,0)</f>
        <v>0</v>
      </c>
      <c r="H5" s="48">
        <f>COUNTIFS($C$2:$C$48, $F5, $D$2:$D$48, H$2)</f>
        <v>0</v>
      </c>
      <c r="I5" s="49">
        <f>COUNTIFS($C$2:$C$48, $F5, $D$2:$D$48, I$2)+ SUM(MIN(C49,D49), MIN(C50,D50), MIN(C51,D51), MIN(C52,D52), MIN(C53,D53), MIN(C54,D54), MIN(C55,D55))</f>
        <v>0</v>
      </c>
      <c r="J5" s="11">
        <f t="shared" si="4"/>
        <v>0</v>
      </c>
      <c r="K5" s="11"/>
      <c r="L5" s="40">
        <v>1.0</v>
      </c>
      <c r="M5" s="47">
        <f t="shared" si="6"/>
        <v>1</v>
      </c>
      <c r="N5" s="48">
        <f t="shared" ref="N5:O5" si="7">ABS(H$2-$F5)/1</f>
        <v>0.5</v>
      </c>
      <c r="O5" s="49">
        <f t="shared" si="7"/>
        <v>0</v>
      </c>
      <c r="P5" s="11"/>
      <c r="Q5" s="40">
        <v>1.0</v>
      </c>
      <c r="R5" s="47" t="str">
        <f t="shared" ref="R5:T5" si="8">($J5/$J$6) * (G$6/$J$6)</f>
        <v>#DIV/0!</v>
      </c>
      <c r="S5" s="48" t="str">
        <f t="shared" si="8"/>
        <v>#DIV/0!</v>
      </c>
      <c r="T5" s="49" t="str">
        <f t="shared" si="8"/>
        <v>#DIV/0!</v>
      </c>
      <c r="U5" s="11"/>
      <c r="V5" s="44" t="s">
        <v>73</v>
      </c>
      <c r="W5" s="47" t="str">
        <f>1-W3/W4</f>
        <v>#DIV/0!</v>
      </c>
      <c r="X5" s="49" t="s">
        <v>107</v>
      </c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13" t="str">
        <f>'Dishwasher Grader #1'!C6</f>
        <v/>
      </c>
      <c r="D6" s="13">
        <f>'Dishwasher Grader #2'!C6</f>
        <v>0</v>
      </c>
      <c r="E6" s="31"/>
      <c r="F6" s="50" t="s">
        <v>87</v>
      </c>
      <c r="G6" s="11">
        <f t="shared" ref="G6:I6" si="9">SUM(G3:G5)</f>
        <v>0</v>
      </c>
      <c r="H6" s="11">
        <f t="shared" si="9"/>
        <v>0</v>
      </c>
      <c r="I6" s="11">
        <f t="shared" si="9"/>
        <v>0</v>
      </c>
      <c r="J6" s="11">
        <f>SUM(G3:I5)</f>
        <v>0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1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13" t="str">
        <f>'Dishwasher Grader #1'!C7</f>
        <v/>
      </c>
      <c r="D7" s="13">
        <f>'Dishwasher Grader #2'!C7</f>
        <v>0</v>
      </c>
      <c r="E7" s="31"/>
      <c r="L7" s="11"/>
      <c r="M7" s="11"/>
      <c r="N7" s="11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13" t="str">
        <f>'Dishwasher Grader #1'!C8</f>
        <v/>
      </c>
      <c r="D8" s="13">
        <f>'Dishwasher Grader #2'!C8</f>
        <v>0</v>
      </c>
      <c r="E8" s="31"/>
      <c r="F8" s="32" t="s">
        <v>88</v>
      </c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13" t="str">
        <f>'Dishwasher Grader #1'!C9</f>
        <v/>
      </c>
      <c r="D9" s="13">
        <f>'Dishwasher Grader #2'!C9</f>
        <v>0</v>
      </c>
      <c r="E9" s="31"/>
      <c r="F9" s="11" t="s">
        <v>6</v>
      </c>
      <c r="G9" s="52" t="s">
        <v>75</v>
      </c>
      <c r="H9" s="52" t="s">
        <v>76</v>
      </c>
      <c r="I9" s="52" t="s">
        <v>77</v>
      </c>
      <c r="J9" s="53" t="s">
        <v>78</v>
      </c>
      <c r="K9" s="11"/>
      <c r="L9" s="11" t="s">
        <v>74</v>
      </c>
      <c r="M9" s="52" t="s">
        <v>75</v>
      </c>
      <c r="N9" s="52" t="s">
        <v>76</v>
      </c>
      <c r="O9" s="52" t="s">
        <v>77</v>
      </c>
      <c r="P9" s="11"/>
      <c r="Q9" s="11" t="s">
        <v>74</v>
      </c>
      <c r="R9" s="52" t="s">
        <v>75</v>
      </c>
      <c r="S9" s="52" t="s">
        <v>76</v>
      </c>
      <c r="T9" s="52" t="s">
        <v>77</v>
      </c>
      <c r="V9" s="39" t="str">
        <f>"Metrics" &amp; " " &amp; F9
</f>
        <v>Metrics State</v>
      </c>
      <c r="W9" s="39" t="s">
        <v>80</v>
      </c>
      <c r="X9" s="39" t="s">
        <v>81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13" t="str">
        <f>'Dishwasher Grader #1'!C10</f>
        <v/>
      </c>
      <c r="D10" s="13">
        <f>'Dishwasher Grader #2'!C10</f>
        <v>0</v>
      </c>
      <c r="E10" s="31"/>
      <c r="F10" s="40">
        <v>0.0</v>
      </c>
      <c r="G10" s="41">
        <f t="shared" ref="G10:H10" si="10">COUNTIFS($A$2:$A$92,$F$9,$C$2:$C$92,$F10,$D$2:$D$92,G$9)</f>
        <v>0</v>
      </c>
      <c r="H10" s="42">
        <f t="shared" si="10"/>
        <v>0</v>
      </c>
      <c r="I10" s="43">
        <f>COUNTIFS($A$2:$A$48,$F$9,$C$2:$C$48,$F10,$D$2:$D$48,I$9)+MAX(D49-C49,0)</f>
        <v>0</v>
      </c>
      <c r="J10" s="11">
        <f t="shared" ref="J10:J12" si="14">SUM(G10:I10)</f>
        <v>0</v>
      </c>
      <c r="K10" s="11"/>
      <c r="L10" s="40">
        <v>0.0</v>
      </c>
      <c r="M10" s="41">
        <f t="shared" ref="M10:O10" si="11">ABS(G$2-$F10)/1</f>
        <v>0</v>
      </c>
      <c r="N10" s="42">
        <f t="shared" si="11"/>
        <v>0.5</v>
      </c>
      <c r="O10" s="43">
        <f t="shared" si="11"/>
        <v>1</v>
      </c>
      <c r="P10" s="11"/>
      <c r="Q10" s="40">
        <v>0.0</v>
      </c>
      <c r="R10" s="41" t="str">
        <f t="shared" ref="R10:T10" si="12">($J10/$J$13) * (G$13/$J$13)</f>
        <v>#DIV/0!</v>
      </c>
      <c r="S10" s="42" t="str">
        <f t="shared" si="12"/>
        <v>#DIV/0!</v>
      </c>
      <c r="T10" s="43" t="str">
        <f t="shared" si="12"/>
        <v>#DIV/0!</v>
      </c>
      <c r="U10" s="11"/>
      <c r="V10" s="44" t="s">
        <v>103</v>
      </c>
      <c r="W10" s="41" t="str">
        <f>SUMPRODUCT(G10:I12, M10:O12) /$J$13</f>
        <v>#DIV/0!</v>
      </c>
      <c r="X10" s="43" t="s">
        <v>104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13" t="str">
        <f>'Dishwasher Grader #1'!C11</f>
        <v/>
      </c>
      <c r="D11" s="13">
        <f>'Dishwasher Grader #2'!C11</f>
        <v>0</v>
      </c>
      <c r="E11" s="31"/>
      <c r="F11" s="40">
        <v>0.5</v>
      </c>
      <c r="G11" s="45">
        <f t="shared" ref="G11:I11" si="13">COUNTIFS($A$2:$A$92,$F$9,$C$2:$C$92,$F11,$D$2:$D$92,G$9)</f>
        <v>0</v>
      </c>
      <c r="H11" s="11">
        <f t="shared" si="13"/>
        <v>0</v>
      </c>
      <c r="I11" s="46">
        <f t="shared" si="13"/>
        <v>0</v>
      </c>
      <c r="J11" s="11">
        <f t="shared" si="14"/>
        <v>0</v>
      </c>
      <c r="K11" s="11"/>
      <c r="L11" s="40">
        <v>0.5</v>
      </c>
      <c r="M11" s="45">
        <f t="shared" ref="M11:M12" si="16">ABS(G$2-$F11)/1</f>
        <v>0.5</v>
      </c>
      <c r="N11" s="11">
        <f>ABS(H$2-$F11)/3</f>
        <v>0</v>
      </c>
      <c r="O11" s="46">
        <f>ABS(I$2-$F11)/1</f>
        <v>0.5</v>
      </c>
      <c r="P11" s="11"/>
      <c r="Q11" s="40">
        <v>0.5</v>
      </c>
      <c r="R11" s="45" t="str">
        <f t="shared" ref="R11:T11" si="15">($J11/$J$13) * (G$13/$J$13)</f>
        <v>#DIV/0!</v>
      </c>
      <c r="S11" s="11" t="str">
        <f t="shared" si="15"/>
        <v>#DIV/0!</v>
      </c>
      <c r="T11" s="46" t="str">
        <f t="shared" si="15"/>
        <v>#DIV/0!</v>
      </c>
      <c r="U11" s="11"/>
      <c r="V11" s="44" t="s">
        <v>105</v>
      </c>
      <c r="W11" s="45" t="str">
        <f>SUMPRODUCT(R10:T12, M10:O12)</f>
        <v>#DIV/0!</v>
      </c>
      <c r="X11" s="46" t="s">
        <v>106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13" t="str">
        <f>'Dishwasher Grader #1'!C12</f>
        <v/>
      </c>
      <c r="D12" s="13">
        <f>'Dishwasher Grader #2'!C12</f>
        <v>0</v>
      </c>
      <c r="E12" s="31"/>
      <c r="F12" s="40">
        <v>1.0</v>
      </c>
      <c r="G12" s="47">
        <f>COUNTIFS($A$2:$A$48,$F$9,$C$2:$C$48,$F12,$D$2:$D$48,G$9)+MAX(C49-D49,0)</f>
        <v>0</v>
      </c>
      <c r="H12" s="48">
        <f>COUNTIFS($A$2:$A$92,$F$9,$C$2:$C$92,$F12,$D$2:$D$92,H$9)</f>
        <v>0</v>
      </c>
      <c r="I12" s="49">
        <f>COUNTIFS($A$2:$A$48,$F$9,$C$2:$C$48,$F12,$D$2:$D$48,I$9)+MIN(C49-D49)</f>
        <v>0</v>
      </c>
      <c r="J12" s="11">
        <f t="shared" si="14"/>
        <v>0</v>
      </c>
      <c r="K12" s="11"/>
      <c r="L12" s="40">
        <v>1.0</v>
      </c>
      <c r="M12" s="47">
        <f t="shared" si="16"/>
        <v>1</v>
      </c>
      <c r="N12" s="48">
        <f t="shared" ref="N12:O12" si="17">ABS(H$2-$F12)/1</f>
        <v>0.5</v>
      </c>
      <c r="O12" s="49">
        <f t="shared" si="17"/>
        <v>0</v>
      </c>
      <c r="P12" s="11"/>
      <c r="Q12" s="40">
        <v>1.0</v>
      </c>
      <c r="R12" s="47" t="str">
        <f t="shared" ref="R12:T12" si="18">($J12/$J$13) * (G$13/$J$13)</f>
        <v>#DIV/0!</v>
      </c>
      <c r="S12" s="48" t="str">
        <f t="shared" si="18"/>
        <v>#DIV/0!</v>
      </c>
      <c r="T12" s="49" t="str">
        <f t="shared" si="18"/>
        <v>#DIV/0!</v>
      </c>
      <c r="U12" s="11"/>
      <c r="V12" s="44" t="s">
        <v>73</v>
      </c>
      <c r="W12" s="47" t="str">
        <f>1-W10/W11</f>
        <v>#DIV/0!</v>
      </c>
      <c r="X12" s="49" t="s">
        <v>107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13" t="str">
        <f>'Dishwasher Grader #1'!C13</f>
        <v/>
      </c>
      <c r="D13" s="13">
        <f>'Dishwasher Grader #2'!C13</f>
        <v>0</v>
      </c>
      <c r="E13" s="31"/>
      <c r="F13" s="50" t="s">
        <v>87</v>
      </c>
      <c r="G13" s="11">
        <f t="shared" ref="G13:I13" si="19">SUM(G10:G12)</f>
        <v>0</v>
      </c>
      <c r="H13" s="11">
        <f t="shared" si="19"/>
        <v>0</v>
      </c>
      <c r="I13" s="11">
        <f t="shared" si="19"/>
        <v>0</v>
      </c>
      <c r="J13" s="11">
        <f>SUM(G10:I12)</f>
        <v>0</v>
      </c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13" t="str">
        <f>'Dishwasher Grader #1'!C14</f>
        <v/>
      </c>
      <c r="D14" s="13">
        <f>'Dishwasher Grader #2'!C14</f>
        <v>0</v>
      </c>
      <c r="E14" s="31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13" t="str">
        <f>'Dishwasher Grader #1'!C15</f>
        <v/>
      </c>
      <c r="D15" s="13">
        <f>'Dishwasher Grader #2'!C15</f>
        <v>0</v>
      </c>
      <c r="E15" s="31"/>
      <c r="F15" s="32" t="s">
        <v>90</v>
      </c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13" t="str">
        <f>'Dishwasher Grader #1'!C16</f>
        <v/>
      </c>
      <c r="D16" s="13">
        <f>'Dishwasher Grader #2'!C16</f>
        <v>0</v>
      </c>
      <c r="E16" s="31"/>
      <c r="F16" s="11" t="s">
        <v>9</v>
      </c>
      <c r="G16" s="52" t="s">
        <v>75</v>
      </c>
      <c r="H16" s="52" t="s">
        <v>76</v>
      </c>
      <c r="I16" s="52" t="s">
        <v>77</v>
      </c>
      <c r="J16" s="53" t="s">
        <v>78</v>
      </c>
      <c r="K16" s="11"/>
      <c r="L16" s="11" t="s">
        <v>74</v>
      </c>
      <c r="M16" s="52" t="s">
        <v>75</v>
      </c>
      <c r="N16" s="52" t="s">
        <v>76</v>
      </c>
      <c r="O16" s="52" t="s">
        <v>77</v>
      </c>
      <c r="P16" s="11"/>
      <c r="Q16" s="11" t="s">
        <v>74</v>
      </c>
      <c r="R16" s="52" t="s">
        <v>75</v>
      </c>
      <c r="S16" s="52" t="s">
        <v>76</v>
      </c>
      <c r="T16" s="52" t="s">
        <v>77</v>
      </c>
      <c r="V16" s="39" t="str">
        <f>"Metrics" &amp; " " &amp; F16
</f>
        <v>Metrics Transition</v>
      </c>
      <c r="W16" s="39" t="s">
        <v>80</v>
      </c>
      <c r="X16" s="39" t="s">
        <v>81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13" t="str">
        <f>'Dishwasher Grader #1'!C17</f>
        <v/>
      </c>
      <c r="D17" s="13">
        <f>'Dishwasher Grader #2'!C17</f>
        <v>0</v>
      </c>
      <c r="E17" s="31"/>
      <c r="F17" s="40">
        <v>0.0</v>
      </c>
      <c r="G17" s="41">
        <f t="shared" ref="G17:H17" si="20">COUNTIFS($A$2:$A$92,$F$16,$C$2:$C$92,$F17,$D$2:$D$92,G$16)</f>
        <v>0</v>
      </c>
      <c r="H17" s="42">
        <f t="shared" si="20"/>
        <v>0</v>
      </c>
      <c r="I17" s="43">
        <f>COUNTIFS($A$2:$A$48,$F$16,$C$2:$C$48,$F17,$D$2:$D$48,I$16) + MAX(D50-C50,0)</f>
        <v>0</v>
      </c>
      <c r="J17" s="11">
        <f t="shared" ref="J17:J19" si="24">SUM(G17:I17)</f>
        <v>0</v>
      </c>
      <c r="K17" s="11"/>
      <c r="L17" s="40">
        <v>0.0</v>
      </c>
      <c r="M17" s="41">
        <f t="shared" ref="M17:O17" si="21">ABS(G$2-$F17)/1</f>
        <v>0</v>
      </c>
      <c r="N17" s="42">
        <f t="shared" si="21"/>
        <v>0.5</v>
      </c>
      <c r="O17" s="43">
        <f t="shared" si="21"/>
        <v>1</v>
      </c>
      <c r="P17" s="11"/>
      <c r="Q17" s="40">
        <v>0.0</v>
      </c>
      <c r="R17" s="41" t="str">
        <f t="shared" ref="R17:T17" si="22">($J17/$J$20) * (G$20/$J$20)</f>
        <v>#DIV/0!</v>
      </c>
      <c r="S17" s="42" t="str">
        <f t="shared" si="22"/>
        <v>#DIV/0!</v>
      </c>
      <c r="T17" s="43" t="str">
        <f t="shared" si="22"/>
        <v>#DIV/0!</v>
      </c>
      <c r="U17" s="11"/>
      <c r="V17" s="44" t="s">
        <v>103</v>
      </c>
      <c r="W17" s="41" t="str">
        <f>SUMPRODUCT(G17:I19, M17:O19) /$J$20</f>
        <v>#DIV/0!</v>
      </c>
      <c r="X17" s="43" t="s">
        <v>104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13" t="str">
        <f>'Dishwasher Grader #1'!C18</f>
        <v/>
      </c>
      <c r="D18" s="13">
        <f>'Dishwasher Grader #2'!C18</f>
        <v>0</v>
      </c>
      <c r="E18" s="31"/>
      <c r="F18" s="40">
        <v>0.5</v>
      </c>
      <c r="G18" s="45">
        <f t="shared" ref="G18:I18" si="23">COUNTIFS($A$2:$A$92,$F$16,$C$2:$C$92,$F18,$D$2:$D$92,G$16)</f>
        <v>0</v>
      </c>
      <c r="H18" s="11">
        <f t="shared" si="23"/>
        <v>0</v>
      </c>
      <c r="I18" s="46">
        <f t="shared" si="23"/>
        <v>0</v>
      </c>
      <c r="J18" s="11">
        <f t="shared" si="24"/>
        <v>0</v>
      </c>
      <c r="K18" s="11"/>
      <c r="L18" s="40">
        <v>0.5</v>
      </c>
      <c r="M18" s="45">
        <f t="shared" ref="M18:M19" si="26">ABS(G$2-$F18)/1</f>
        <v>0.5</v>
      </c>
      <c r="N18" s="11">
        <f>ABS(H$2-$F18)/3</f>
        <v>0</v>
      </c>
      <c r="O18" s="46">
        <f>ABS(I$2-$F18)/1</f>
        <v>0.5</v>
      </c>
      <c r="P18" s="11"/>
      <c r="Q18" s="40">
        <v>0.5</v>
      </c>
      <c r="R18" s="45" t="str">
        <f t="shared" ref="R18:T18" si="25">($J18/$J$20) * (G$20/$J$20)</f>
        <v>#DIV/0!</v>
      </c>
      <c r="S18" s="11" t="str">
        <f t="shared" si="25"/>
        <v>#DIV/0!</v>
      </c>
      <c r="T18" s="46" t="str">
        <f t="shared" si="25"/>
        <v>#DIV/0!</v>
      </c>
      <c r="U18" s="11"/>
      <c r="V18" s="44" t="s">
        <v>105</v>
      </c>
      <c r="W18" s="45" t="str">
        <f>SUMPRODUCT(R17:T19, M17:O19)</f>
        <v>#DIV/0!</v>
      </c>
      <c r="X18" s="46" t="s">
        <v>106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13" t="str">
        <f>'Dishwasher Grader #1'!C19</f>
        <v/>
      </c>
      <c r="D19" s="13">
        <f>'Dishwasher Grader #2'!C19</f>
        <v>0</v>
      </c>
      <c r="E19" s="31"/>
      <c r="F19" s="40">
        <v>1.0</v>
      </c>
      <c r="G19" s="47">
        <f>COUNTIFS($A$2:$A$48,$F$16,$C$2:$C$48,$F19,$D$2:$D$48,G$16)+MAX(C50-D50,0)</f>
        <v>0</v>
      </c>
      <c r="H19" s="48">
        <f>COUNTIFS($A$2:$A$92,$F$16,$C$2:$C$92,$F19,$D$2:$D$92,H$16)</f>
        <v>0</v>
      </c>
      <c r="I19" s="49">
        <f>COUNTIFS($A$2:$A$48,$F$16,$C$2:$C$48,$F19,$D$2:$D$48,I$16) + MIN(C50,D50)</f>
        <v>0</v>
      </c>
      <c r="J19" s="11">
        <f t="shared" si="24"/>
        <v>0</v>
      </c>
      <c r="K19" s="11"/>
      <c r="L19" s="40">
        <v>1.0</v>
      </c>
      <c r="M19" s="47">
        <f t="shared" si="26"/>
        <v>1</v>
      </c>
      <c r="N19" s="48">
        <f t="shared" ref="N19:O19" si="27">ABS(H$2-$F19)/1</f>
        <v>0.5</v>
      </c>
      <c r="O19" s="49">
        <f t="shared" si="27"/>
        <v>0</v>
      </c>
      <c r="P19" s="11"/>
      <c r="Q19" s="40">
        <v>1.0</v>
      </c>
      <c r="R19" s="47" t="str">
        <f t="shared" ref="R19:T19" si="28">($J19/$J$20) * (G$20/$J$20)</f>
        <v>#DIV/0!</v>
      </c>
      <c r="S19" s="48" t="str">
        <f t="shared" si="28"/>
        <v>#DIV/0!</v>
      </c>
      <c r="T19" s="49" t="str">
        <f t="shared" si="28"/>
        <v>#DIV/0!</v>
      </c>
      <c r="U19" s="11"/>
      <c r="V19" s="44" t="s">
        <v>73</v>
      </c>
      <c r="W19" s="47" t="str">
        <f>1-W17/W18</f>
        <v>#DIV/0!</v>
      </c>
      <c r="X19" s="49" t="s">
        <v>107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13" t="str">
        <f>'Dishwasher Grader #1'!C20</f>
        <v/>
      </c>
      <c r="D20" s="13">
        <f>'Dishwasher Grader #2'!C20</f>
        <v>0</v>
      </c>
      <c r="E20" s="31"/>
      <c r="F20" s="50" t="s">
        <v>87</v>
      </c>
      <c r="G20" s="11">
        <f t="shared" ref="G20:I20" si="29">SUM(G17:G19)</f>
        <v>0</v>
      </c>
      <c r="H20" s="11">
        <f t="shared" si="29"/>
        <v>0</v>
      </c>
      <c r="I20" s="11">
        <f t="shared" si="29"/>
        <v>0</v>
      </c>
      <c r="J20" s="11">
        <f>SUM(G17:I19)</f>
        <v>0</v>
      </c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13" t="str">
        <f>'Dishwasher Grader #1'!C21</f>
        <v/>
      </c>
      <c r="D21" s="13">
        <f>'Dishwasher Grader #2'!C21</f>
        <v>0</v>
      </c>
      <c r="E21" s="31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13" t="str">
        <f>'Dishwasher Grader #1'!C22</f>
        <v/>
      </c>
      <c r="D22" s="13">
        <f>'Dishwasher Grader #2'!C22</f>
        <v>0</v>
      </c>
      <c r="E22" s="31"/>
      <c r="F22" s="32" t="s">
        <v>92</v>
      </c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13" t="str">
        <f>'Dishwasher Grader #1'!C23</f>
        <v/>
      </c>
      <c r="D23" s="13">
        <f>'Dishwasher Grader #2'!C23</f>
        <v>0</v>
      </c>
      <c r="E23" s="31"/>
      <c r="F23" s="11" t="s">
        <v>2</v>
      </c>
      <c r="G23" s="52" t="s">
        <v>75</v>
      </c>
      <c r="H23" s="52" t="s">
        <v>76</v>
      </c>
      <c r="I23" s="52" t="s">
        <v>77</v>
      </c>
      <c r="J23" s="53" t="s">
        <v>78</v>
      </c>
      <c r="K23" s="11"/>
      <c r="L23" s="11" t="s">
        <v>74</v>
      </c>
      <c r="M23" s="52" t="s">
        <v>75</v>
      </c>
      <c r="N23" s="52" t="s">
        <v>76</v>
      </c>
      <c r="O23" s="52" t="s">
        <v>77</v>
      </c>
      <c r="P23" s="11"/>
      <c r="Q23" s="11" t="s">
        <v>74</v>
      </c>
      <c r="R23" s="52" t="s">
        <v>75</v>
      </c>
      <c r="S23" s="52" t="s">
        <v>76</v>
      </c>
      <c r="T23" s="52" t="s">
        <v>77</v>
      </c>
      <c r="V23" s="39" t="str">
        <f>"Metrics" &amp; " " &amp; F23
</f>
        <v>Metrics Composite State</v>
      </c>
      <c r="W23" s="39" t="s">
        <v>80</v>
      </c>
      <c r="X23" s="39" t="s">
        <v>81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13" t="str">
        <f>'Dishwasher Grader #1'!C24</f>
        <v/>
      </c>
      <c r="D24" s="13">
        <f>'Dishwasher Grader #2'!C24</f>
        <v>0</v>
      </c>
      <c r="E24" s="31"/>
      <c r="F24" s="40">
        <v>0.0</v>
      </c>
      <c r="G24" s="41">
        <f t="shared" ref="G24:H24" si="30">COUNTIFS($A$2:$A$92,$F$23,$C$2:$C$92,$F24,$D$2:$D$92,G$23)</f>
        <v>0</v>
      </c>
      <c r="H24" s="42">
        <f t="shared" si="30"/>
        <v>0</v>
      </c>
      <c r="I24" s="43">
        <f>COUNTIFS($A$2:$A$48,$F$23,$C$2:$C$48,$F24,$D$2:$D$48,I$23) + MAX(D53-C53,0)</f>
        <v>0</v>
      </c>
      <c r="J24" s="11">
        <f t="shared" ref="J24:J26" si="34">SUM(G24:I24)</f>
        <v>0</v>
      </c>
      <c r="K24" s="11"/>
      <c r="L24" s="40">
        <v>0.0</v>
      </c>
      <c r="M24" s="41">
        <f t="shared" ref="M24:O24" si="31">ABS(G$2-$F24)/1</f>
        <v>0</v>
      </c>
      <c r="N24" s="42">
        <f t="shared" si="31"/>
        <v>0.5</v>
      </c>
      <c r="O24" s="43">
        <f t="shared" si="31"/>
        <v>1</v>
      </c>
      <c r="P24" s="11"/>
      <c r="Q24" s="40">
        <v>0.0</v>
      </c>
      <c r="R24" s="41" t="str">
        <f t="shared" ref="R24:T24" si="32">($J24/$J$27) * (G$27/$J$27)</f>
        <v>#DIV/0!</v>
      </c>
      <c r="S24" s="42" t="str">
        <f t="shared" si="32"/>
        <v>#DIV/0!</v>
      </c>
      <c r="T24" s="43" t="str">
        <f t="shared" si="32"/>
        <v>#DIV/0!</v>
      </c>
      <c r="U24" s="11"/>
      <c r="V24" s="44" t="s">
        <v>103</v>
      </c>
      <c r="W24" s="41" t="str">
        <f>SUMPRODUCT(G24:I26, M24:O26) /$J$27</f>
        <v>#DIV/0!</v>
      </c>
      <c r="X24" s="43" t="s">
        <v>104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13" t="str">
        <f>'Dishwasher Grader #1'!C25</f>
        <v/>
      </c>
      <c r="D25" s="13">
        <f>'Dishwasher Grader #2'!C25</f>
        <v>0</v>
      </c>
      <c r="E25" s="31"/>
      <c r="F25" s="40">
        <v>0.5</v>
      </c>
      <c r="G25" s="45">
        <f t="shared" ref="G25:I25" si="33">COUNTIFS($A$2:$A$92,$F$23,$C$2:$C$92,$F25,$D$2:$D$92,G$23)</f>
        <v>0</v>
      </c>
      <c r="H25" s="11">
        <f t="shared" si="33"/>
        <v>0</v>
      </c>
      <c r="I25" s="46">
        <f t="shared" si="33"/>
        <v>0</v>
      </c>
      <c r="J25" s="11">
        <f t="shared" si="34"/>
        <v>0</v>
      </c>
      <c r="K25" s="11"/>
      <c r="L25" s="40">
        <v>0.5</v>
      </c>
      <c r="M25" s="45">
        <f t="shared" ref="M25:M26" si="36">ABS(G$2-$F25)/1</f>
        <v>0.5</v>
      </c>
      <c r="N25" s="11">
        <f>ABS(H$2-$F25)/3</f>
        <v>0</v>
      </c>
      <c r="O25" s="46">
        <f>ABS(I$2-$F25)/1</f>
        <v>0.5</v>
      </c>
      <c r="P25" s="11"/>
      <c r="Q25" s="40">
        <v>0.5</v>
      </c>
      <c r="R25" s="45" t="str">
        <f t="shared" ref="R25:T25" si="35">($J25/$J$27) * (G$27/$J$27)</f>
        <v>#DIV/0!</v>
      </c>
      <c r="S25" s="11" t="str">
        <f t="shared" si="35"/>
        <v>#DIV/0!</v>
      </c>
      <c r="T25" s="46" t="str">
        <f t="shared" si="35"/>
        <v>#DIV/0!</v>
      </c>
      <c r="U25" s="11"/>
      <c r="V25" s="44" t="s">
        <v>105</v>
      </c>
      <c r="W25" s="45" t="str">
        <f>SUMPRODUCT(R24:T26, M24:O26)</f>
        <v>#DIV/0!</v>
      </c>
      <c r="X25" s="46" t="s">
        <v>106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13" t="str">
        <f>'Dishwasher Grader #1'!C26</f>
        <v/>
      </c>
      <c r="D26" s="13">
        <f>'Dishwasher Grader #2'!C26</f>
        <v>0</v>
      </c>
      <c r="E26" s="31"/>
      <c r="F26" s="40">
        <v>1.0</v>
      </c>
      <c r="G26" s="47">
        <f>COUNTIFS($A$2:$A$48,$F$23,$C$2:$C$48,$F26,$D$2:$D$48,G$23) + MAX(C53-D53,0)</f>
        <v>0</v>
      </c>
      <c r="H26" s="48">
        <f>COUNTIFS($A$2:$A$92,$F$23,$C$2:$C$92,$F26,$D$2:$D$92,H$23)</f>
        <v>0</v>
      </c>
      <c r="I26" s="49">
        <f>COUNTIFS($A$2:$A$48,$F$23,$C$2:$C$48,$F26,$D$2:$D$48,I$23) + MIN(C53,D53)</f>
        <v>0</v>
      </c>
      <c r="J26" s="11">
        <f t="shared" si="34"/>
        <v>0</v>
      </c>
      <c r="K26" s="11"/>
      <c r="L26" s="40">
        <v>1.0</v>
      </c>
      <c r="M26" s="47">
        <f t="shared" si="36"/>
        <v>1</v>
      </c>
      <c r="N26" s="48">
        <f t="shared" ref="N26:O26" si="37">ABS(H$2-$F26)/1</f>
        <v>0.5</v>
      </c>
      <c r="O26" s="49">
        <f t="shared" si="37"/>
        <v>0</v>
      </c>
      <c r="P26" s="11"/>
      <c r="Q26" s="40">
        <v>1.0</v>
      </c>
      <c r="R26" s="47" t="str">
        <f t="shared" ref="R26:T26" si="38">($J26/$J$27) * (G$27/$J$27)</f>
        <v>#DIV/0!</v>
      </c>
      <c r="S26" s="48" t="str">
        <f t="shared" si="38"/>
        <v>#DIV/0!</v>
      </c>
      <c r="T26" s="49" t="str">
        <f t="shared" si="38"/>
        <v>#DIV/0!</v>
      </c>
      <c r="U26" s="11"/>
      <c r="V26" s="44" t="s">
        <v>73</v>
      </c>
      <c r="W26" s="47" t="str">
        <f>1-W24/W25</f>
        <v>#DIV/0!</v>
      </c>
      <c r="X26" s="49" t="s">
        <v>107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13" t="str">
        <f>'Dishwasher Grader #1'!C27</f>
        <v/>
      </c>
      <c r="D27" s="13">
        <f>'Dishwasher Grader #2'!C27</f>
        <v>0</v>
      </c>
      <c r="E27" s="31"/>
      <c r="F27" s="50" t="s">
        <v>87</v>
      </c>
      <c r="G27" s="11">
        <f t="shared" ref="G27:I27" si="39">SUM(G24:G26)</f>
        <v>0</v>
      </c>
      <c r="H27" s="11">
        <f t="shared" si="39"/>
        <v>0</v>
      </c>
      <c r="I27" s="11">
        <f t="shared" si="39"/>
        <v>0</v>
      </c>
      <c r="J27" s="11">
        <f>SUM(G24:I26)</f>
        <v>0</v>
      </c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13" t="str">
        <f>'Dishwasher Grader #1'!C28</f>
        <v/>
      </c>
      <c r="D28" s="13">
        <f>'Dishwasher Grader #2'!C28</f>
        <v>0</v>
      </c>
      <c r="E28" s="31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13" t="str">
        <f>'Dishwasher Grader #1'!C29</f>
        <v/>
      </c>
      <c r="D29" s="13">
        <f>'Dishwasher Grader #2'!C29</f>
        <v>0</v>
      </c>
      <c r="E29" s="31"/>
      <c r="F29" s="32" t="s">
        <v>94</v>
      </c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13" t="str">
        <f>'Dishwasher Grader #1'!C30</f>
        <v/>
      </c>
      <c r="D30" s="13">
        <f>'Dishwasher Grader #2'!C30</f>
        <v>0</v>
      </c>
      <c r="E30" s="31"/>
      <c r="F30" s="11" t="s">
        <v>21</v>
      </c>
      <c r="G30" s="52" t="s">
        <v>75</v>
      </c>
      <c r="H30" s="52" t="s">
        <v>76</v>
      </c>
      <c r="I30" s="52" t="s">
        <v>77</v>
      </c>
      <c r="J30" s="53" t="s">
        <v>78</v>
      </c>
      <c r="K30" s="11"/>
      <c r="L30" s="11" t="s">
        <v>74</v>
      </c>
      <c r="M30" s="52">
        <v>0.0</v>
      </c>
      <c r="N30" s="52" t="s">
        <v>76</v>
      </c>
      <c r="O30" s="52" t="s">
        <v>77</v>
      </c>
      <c r="P30" s="11"/>
      <c r="Q30" s="11" t="s">
        <v>74</v>
      </c>
      <c r="R30" s="52" t="s">
        <v>75</v>
      </c>
      <c r="S30" s="52" t="s">
        <v>76</v>
      </c>
      <c r="T30" s="52" t="s">
        <v>77</v>
      </c>
      <c r="V30" s="39" t="str">
        <f>"Metrics" &amp; " " &amp; F30
</f>
        <v>Metrics Guard</v>
      </c>
      <c r="W30" s="39" t="s">
        <v>80</v>
      </c>
      <c r="X30" s="39" t="s">
        <v>81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13" t="str">
        <f>'Dishwasher Grader #1'!C31</f>
        <v/>
      </c>
      <c r="D31" s="13">
        <f>'Dishwasher Grader #2'!C31</f>
        <v>0</v>
      </c>
      <c r="E31" s="31"/>
      <c r="F31" s="40">
        <v>0.0</v>
      </c>
      <c r="G31" s="41">
        <f t="shared" ref="G31:H31" si="40">COUNTIFS($A$2:$A$92,$F$30,$C$2:$C$92,$F31,$D$2:$D$92,G$30)</f>
        <v>0</v>
      </c>
      <c r="H31" s="42">
        <f t="shared" si="40"/>
        <v>0</v>
      </c>
      <c r="I31" s="43">
        <f>COUNTIFS($A$2:$A$48,$F$30,$C$2:$C$48,$F31,$D$2:$D$48,I$30) + MAX(D51-C51,0)</f>
        <v>0</v>
      </c>
      <c r="J31" s="11">
        <f t="shared" ref="J31:J33" si="44">SUM(G31:I31)</f>
        <v>0</v>
      </c>
      <c r="K31" s="11"/>
      <c r="L31" s="40">
        <v>0.0</v>
      </c>
      <c r="M31" s="41">
        <f t="shared" ref="M31:O31" si="41">ABS(G$2-$F31)/1</f>
        <v>0</v>
      </c>
      <c r="N31" s="42">
        <f t="shared" si="41"/>
        <v>0.5</v>
      </c>
      <c r="O31" s="43">
        <f t="shared" si="41"/>
        <v>1</v>
      </c>
      <c r="P31" s="11"/>
      <c r="Q31" s="40">
        <v>0.0</v>
      </c>
      <c r="R31" s="41" t="str">
        <f t="shared" ref="R31:T31" si="42">($J31/$J$34) * (G$34/$J$34)</f>
        <v>#DIV/0!</v>
      </c>
      <c r="S31" s="42" t="str">
        <f t="shared" si="42"/>
        <v>#DIV/0!</v>
      </c>
      <c r="T31" s="43" t="str">
        <f t="shared" si="42"/>
        <v>#DIV/0!</v>
      </c>
      <c r="U31" s="11"/>
      <c r="V31" s="44" t="s">
        <v>103</v>
      </c>
      <c r="W31" s="41" t="str">
        <f>SUMPRODUCT(G31:I33, M31:O33) /$J$34</f>
        <v>#DIV/0!</v>
      </c>
      <c r="X31" s="43" t="s">
        <v>104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13" t="str">
        <f>'Dishwasher Grader #1'!C32</f>
        <v/>
      </c>
      <c r="D32" s="13">
        <f>'Dishwasher Grader #2'!C32</f>
        <v>0</v>
      </c>
      <c r="E32" s="31"/>
      <c r="F32" s="40">
        <v>0.5</v>
      </c>
      <c r="G32" s="45">
        <f t="shared" ref="G32:I32" si="43">COUNTIFS($A$2:$A$92,$F$30,$C$2:$C$92,$F32,$D$2:$D$92,G$30)</f>
        <v>0</v>
      </c>
      <c r="H32" s="11">
        <f t="shared" si="43"/>
        <v>0</v>
      </c>
      <c r="I32" s="46">
        <f t="shared" si="43"/>
        <v>0</v>
      </c>
      <c r="J32" s="11">
        <f t="shared" si="44"/>
        <v>0</v>
      </c>
      <c r="K32" s="11"/>
      <c r="L32" s="40">
        <v>0.5</v>
      </c>
      <c r="M32" s="45">
        <f t="shared" ref="M32:M33" si="46">ABS(G$2-$F32)/1</f>
        <v>0.5</v>
      </c>
      <c r="N32" s="11">
        <f>ABS(H$2-$F32)/3</f>
        <v>0</v>
      </c>
      <c r="O32" s="46">
        <f>ABS(I$2-$F32)/1</f>
        <v>0.5</v>
      </c>
      <c r="P32" s="11"/>
      <c r="Q32" s="40">
        <v>0.5</v>
      </c>
      <c r="R32" s="45" t="str">
        <f t="shared" ref="R32:T32" si="45">($J32/$J$34) * (G$34/$J$34)</f>
        <v>#DIV/0!</v>
      </c>
      <c r="S32" s="11" t="str">
        <f t="shared" si="45"/>
        <v>#DIV/0!</v>
      </c>
      <c r="T32" s="46" t="str">
        <f t="shared" si="45"/>
        <v>#DIV/0!</v>
      </c>
      <c r="U32" s="11"/>
      <c r="V32" s="44" t="s">
        <v>105</v>
      </c>
      <c r="W32" s="45" t="str">
        <f>SUMPRODUCT(R31:T33, M31:O33)</f>
        <v>#DIV/0!</v>
      </c>
      <c r="X32" s="46" t="s">
        <v>106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13" t="str">
        <f>'Dishwasher Grader #1'!C33</f>
        <v/>
      </c>
      <c r="D33" s="13">
        <f>'Dishwasher Grader #2'!C33</f>
        <v>0</v>
      </c>
      <c r="E33" s="31"/>
      <c r="F33" s="40">
        <v>1.0</v>
      </c>
      <c r="G33" s="47">
        <f>COUNTIFS($A$2:$A$48,$F$30,$C$2:$C$48,$F33,$D$2:$D$48,G$30) + MAX(C51-D51,0)</f>
        <v>0</v>
      </c>
      <c r="H33" s="48">
        <f>COUNTIFS($A$2:$A$92,$F$30,$C$2:$C$92,$F33,$D$2:$D$92,H$30)</f>
        <v>0</v>
      </c>
      <c r="I33" s="49">
        <f>COUNTIFS($A$2:$A$48,$F$30,$C$2:$C$48,$F33,$D$2:$D$48,I$30) + MIN(C51,D51)</f>
        <v>0</v>
      </c>
      <c r="J33" s="11">
        <f t="shared" si="44"/>
        <v>0</v>
      </c>
      <c r="K33" s="11"/>
      <c r="L33" s="40">
        <v>1.0</v>
      </c>
      <c r="M33" s="47">
        <f t="shared" si="46"/>
        <v>1</v>
      </c>
      <c r="N33" s="48">
        <f t="shared" ref="N33:O33" si="47">ABS(H$2-$F33)/1</f>
        <v>0.5</v>
      </c>
      <c r="O33" s="49">
        <f t="shared" si="47"/>
        <v>0</v>
      </c>
      <c r="P33" s="11"/>
      <c r="Q33" s="40">
        <v>1.0</v>
      </c>
      <c r="R33" s="47" t="str">
        <f t="shared" ref="R33:T33" si="48">($J33/$J$34) * (G$34/$J$34)</f>
        <v>#DIV/0!</v>
      </c>
      <c r="S33" s="48" t="str">
        <f t="shared" si="48"/>
        <v>#DIV/0!</v>
      </c>
      <c r="T33" s="49" t="str">
        <f t="shared" si="48"/>
        <v>#DIV/0!</v>
      </c>
      <c r="U33" s="11"/>
      <c r="V33" s="44" t="s">
        <v>73</v>
      </c>
      <c r="W33" s="47" t="str">
        <f>1-W31/W32</f>
        <v>#DIV/0!</v>
      </c>
      <c r="X33" s="49" t="s">
        <v>107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13" t="str">
        <f>'Dishwasher Grader #1'!C34</f>
        <v/>
      </c>
      <c r="D34" s="13">
        <f>'Dishwasher Grader #2'!C34</f>
        <v>0</v>
      </c>
      <c r="E34" s="31"/>
      <c r="F34" s="50" t="s">
        <v>87</v>
      </c>
      <c r="G34" s="11">
        <f t="shared" ref="G34:I34" si="49">SUM(G31:G33)</f>
        <v>0</v>
      </c>
      <c r="H34" s="11">
        <f t="shared" si="49"/>
        <v>0</v>
      </c>
      <c r="I34" s="11">
        <f t="shared" si="49"/>
        <v>0</v>
      </c>
      <c r="J34" s="11">
        <f>SUM(G31:I33)</f>
        <v>0</v>
      </c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13" t="str">
        <f>'Dishwasher Grader #1'!C35</f>
        <v/>
      </c>
      <c r="D35" s="13">
        <f>'Dishwasher Grader #2'!C35</f>
        <v>0</v>
      </c>
      <c r="E35" s="31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13" t="str">
        <f>'Dishwasher Grader #1'!C36</f>
        <v/>
      </c>
      <c r="D36" s="13">
        <f>'Dishwasher Grader #2'!C36</f>
        <v>0</v>
      </c>
      <c r="E36" s="31"/>
      <c r="F36" s="32" t="s">
        <v>96</v>
      </c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13" t="str">
        <f>'Dishwasher Grader #1'!C37</f>
        <v/>
      </c>
      <c r="D37" s="13">
        <f>'Dishwasher Grader #2'!C37</f>
        <v>0</v>
      </c>
      <c r="E37" s="31"/>
      <c r="F37" s="11" t="s">
        <v>23</v>
      </c>
      <c r="G37" s="52" t="s">
        <v>75</v>
      </c>
      <c r="H37" s="52" t="s">
        <v>76</v>
      </c>
      <c r="I37" s="52" t="s">
        <v>77</v>
      </c>
      <c r="J37" s="53" t="s">
        <v>78</v>
      </c>
      <c r="K37" s="11"/>
      <c r="L37" s="11" t="s">
        <v>74</v>
      </c>
      <c r="M37" s="52" t="s">
        <v>75</v>
      </c>
      <c r="N37" s="52" t="s">
        <v>76</v>
      </c>
      <c r="O37" s="52" t="s">
        <v>77</v>
      </c>
      <c r="P37" s="11"/>
      <c r="Q37" s="56" t="s">
        <v>74</v>
      </c>
      <c r="R37" s="57" t="s">
        <v>75</v>
      </c>
      <c r="S37" s="57" t="s">
        <v>76</v>
      </c>
      <c r="T37" s="57" t="s">
        <v>77</v>
      </c>
      <c r="V37" s="39" t="str">
        <f>"Metrics" &amp; " " &amp; F37
</f>
        <v>Metrics Action</v>
      </c>
      <c r="W37" s="39" t="s">
        <v>80</v>
      </c>
      <c r="X37" s="39" t="s">
        <v>81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13" t="str">
        <f>'Dishwasher Grader #1'!C38</f>
        <v/>
      </c>
      <c r="D38" s="13">
        <f>'Dishwasher Grader #2'!C38</f>
        <v>0</v>
      </c>
      <c r="E38" s="31"/>
      <c r="F38" s="40">
        <v>0.0</v>
      </c>
      <c r="G38" s="41">
        <f t="shared" ref="G38:H38" si="50">COUNTIFS($A$2:$A$92,$F$37,$C$2:$C$92,$F38,$D$2:$D$92,G$37)</f>
        <v>0</v>
      </c>
      <c r="H38" s="42">
        <f t="shared" si="50"/>
        <v>0</v>
      </c>
      <c r="I38" s="43">
        <f>COUNTIFS($A$2:$A$48,$F$37,$C$2:$C$48,$F38,$D$2:$D$48,I$37)+MAX(D52-C52,0)</f>
        <v>0</v>
      </c>
      <c r="J38" s="11">
        <f t="shared" ref="J38:J40" si="54">SUM(G38:I38)</f>
        <v>0</v>
      </c>
      <c r="K38" s="11"/>
      <c r="L38" s="40">
        <v>0.0</v>
      </c>
      <c r="M38" s="41">
        <f t="shared" ref="M38:O38" si="51">ABS(G$2-$F38)/1</f>
        <v>0</v>
      </c>
      <c r="N38" s="42">
        <f t="shared" si="51"/>
        <v>0.5</v>
      </c>
      <c r="O38" s="43">
        <f t="shared" si="51"/>
        <v>1</v>
      </c>
      <c r="P38" s="11"/>
      <c r="Q38" s="58">
        <v>0.0</v>
      </c>
      <c r="R38" s="59" t="str">
        <f t="shared" ref="R38:T38" si="52">($J38/$J$41) * (G$41/$J$41)</f>
        <v>#DIV/0!</v>
      </c>
      <c r="S38" s="60" t="str">
        <f t="shared" si="52"/>
        <v>#DIV/0!</v>
      </c>
      <c r="T38" s="61" t="str">
        <f t="shared" si="52"/>
        <v>#DIV/0!</v>
      </c>
      <c r="U38" s="11"/>
      <c r="V38" s="44" t="s">
        <v>103</v>
      </c>
      <c r="W38" s="41" t="str">
        <f>SUMPRODUCT(G38:I40, M38:O40) /$J$41</f>
        <v>#DIV/0!</v>
      </c>
      <c r="X38" s="43" t="s">
        <v>104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13" t="str">
        <f>'Dishwasher Grader #1'!C39</f>
        <v/>
      </c>
      <c r="D39" s="13">
        <f>'Dishwasher Grader #2'!C39</f>
        <v>0</v>
      </c>
      <c r="E39" s="31"/>
      <c r="F39" s="40">
        <v>0.5</v>
      </c>
      <c r="G39" s="45">
        <f t="shared" ref="G39:I39" si="53">COUNTIFS($A$2:$A$92,$F$37,$C$2:$C$92,$F39,$D$2:$D$92,G$37)</f>
        <v>0</v>
      </c>
      <c r="H39" s="11">
        <f t="shared" si="53"/>
        <v>0</v>
      </c>
      <c r="I39" s="46">
        <f t="shared" si="53"/>
        <v>0</v>
      </c>
      <c r="J39" s="11">
        <f t="shared" si="54"/>
        <v>0</v>
      </c>
      <c r="K39" s="11"/>
      <c r="L39" s="40">
        <v>0.5</v>
      </c>
      <c r="M39" s="45">
        <f t="shared" ref="M39:M40" si="56">ABS(G$2-$F39)/1</f>
        <v>0.5</v>
      </c>
      <c r="N39" s="11">
        <f>ABS(H$2-$F39)/3</f>
        <v>0</v>
      </c>
      <c r="O39" s="46">
        <f>ABS(I$2-$F39)/1</f>
        <v>0.5</v>
      </c>
      <c r="P39" s="11"/>
      <c r="Q39" s="58">
        <v>0.5</v>
      </c>
      <c r="R39" s="62" t="str">
        <f t="shared" ref="R39:T39" si="55">($J39/$J$41) * (G$41/$J$41)</f>
        <v>#DIV/0!</v>
      </c>
      <c r="S39" s="56" t="str">
        <f t="shared" si="55"/>
        <v>#DIV/0!</v>
      </c>
      <c r="T39" s="63" t="str">
        <f t="shared" si="55"/>
        <v>#DIV/0!</v>
      </c>
      <c r="U39" s="11"/>
      <c r="V39" s="44" t="s">
        <v>105</v>
      </c>
      <c r="W39" s="45" t="str">
        <f>SUMPRODUCT(R38:T40, M38:O40)</f>
        <v>#DIV/0!</v>
      </c>
      <c r="X39" s="46" t="s">
        <v>106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13" t="str">
        <f>'Dishwasher Grader #1'!C40</f>
        <v/>
      </c>
      <c r="D40" s="13">
        <f>'Dishwasher Grader #2'!C40</f>
        <v>0</v>
      </c>
      <c r="E40" s="31"/>
      <c r="F40" s="40">
        <v>1.0</v>
      </c>
      <c r="G40" s="47">
        <f>COUNTIFS($A$2:$A$48,$F$37,$C$2:$C$48,$F40,$D$2:$D$48,G$37)+MAX(C52-D52,0)</f>
        <v>0</v>
      </c>
      <c r="H40" s="48">
        <f>COUNTIFS($A$2:$A$92,$F$37,$C$2:$C$92,$F40,$D$2:$D$92,H$37)</f>
        <v>0</v>
      </c>
      <c r="I40" s="49">
        <f>COUNTIFS($A$2:$A$48,$F$37,$C$2:$C$48,$F40,$D$2:$D$48,I$37) + MIN(C52,D52)</f>
        <v>0</v>
      </c>
      <c r="J40" s="11">
        <f t="shared" si="54"/>
        <v>0</v>
      </c>
      <c r="K40" s="11"/>
      <c r="L40" s="40">
        <v>1.0</v>
      </c>
      <c r="M40" s="47">
        <f t="shared" si="56"/>
        <v>1</v>
      </c>
      <c r="N40" s="48">
        <f t="shared" ref="N40:O40" si="57">ABS(H$2-$F40)/1</f>
        <v>0.5</v>
      </c>
      <c r="O40" s="49">
        <f t="shared" si="57"/>
        <v>0</v>
      </c>
      <c r="P40" s="11"/>
      <c r="Q40" s="58">
        <v>1.0</v>
      </c>
      <c r="R40" s="64" t="str">
        <f t="shared" ref="R40:T40" si="58">($J40/$J$41) * (G$41/$J$41)</f>
        <v>#DIV/0!</v>
      </c>
      <c r="S40" s="65" t="str">
        <f t="shared" si="58"/>
        <v>#DIV/0!</v>
      </c>
      <c r="T40" s="66" t="str">
        <f t="shared" si="58"/>
        <v>#DIV/0!</v>
      </c>
      <c r="U40" s="11"/>
      <c r="V40" s="44" t="s">
        <v>73</v>
      </c>
      <c r="W40" s="47" t="str">
        <f>1-W38/W39</f>
        <v>#DIV/0!</v>
      </c>
      <c r="X40" s="49" t="s">
        <v>107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13" t="str">
        <f>'Dishwasher Grader #1'!C41</f>
        <v/>
      </c>
      <c r="D41" s="13">
        <f>'Dishwasher Grader #2'!C41</f>
        <v>0</v>
      </c>
      <c r="E41" s="31"/>
      <c r="F41" s="50" t="s">
        <v>87</v>
      </c>
      <c r="G41" s="11">
        <f t="shared" ref="G41:I41" si="59">SUM(G38:G40)</f>
        <v>0</v>
      </c>
      <c r="H41" s="11">
        <f t="shared" si="59"/>
        <v>0</v>
      </c>
      <c r="I41" s="11">
        <f t="shared" si="59"/>
        <v>0</v>
      </c>
      <c r="J41" s="11">
        <f>SUM(G38:I40)</f>
        <v>0</v>
      </c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13" t="str">
        <f>'Dishwasher Grader #1'!C42</f>
        <v/>
      </c>
      <c r="D42" s="13">
        <f>'Dishwasher Grader #2'!C42</f>
        <v>0</v>
      </c>
      <c r="E42" s="31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13" t="str">
        <f>'Dishwasher Grader #1'!C43</f>
        <v/>
      </c>
      <c r="D43" s="13">
        <f>'Dishwasher Grader #2'!C43</f>
        <v>0</v>
      </c>
      <c r="E43" s="31"/>
      <c r="F43" s="32" t="s">
        <v>98</v>
      </c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13" t="str">
        <f>'Dishwasher Grader #1'!C44</f>
        <v/>
      </c>
      <c r="D44" s="13">
        <f>'Dishwasher Grader #2'!C44</f>
        <v>0</v>
      </c>
      <c r="E44" s="31"/>
      <c r="F44" s="11" t="s">
        <v>42</v>
      </c>
      <c r="G44" s="52" t="s">
        <v>75</v>
      </c>
      <c r="H44" s="52" t="s">
        <v>76</v>
      </c>
      <c r="I44" s="52" t="s">
        <v>77</v>
      </c>
      <c r="J44" s="53" t="s">
        <v>78</v>
      </c>
      <c r="K44" s="11"/>
      <c r="L44" s="11" t="s">
        <v>74</v>
      </c>
      <c r="M44" s="52" t="s">
        <v>75</v>
      </c>
      <c r="N44" s="52" t="s">
        <v>76</v>
      </c>
      <c r="O44" s="52" t="s">
        <v>77</v>
      </c>
      <c r="P44" s="11"/>
      <c r="Q44" s="11" t="s">
        <v>74</v>
      </c>
      <c r="R44" s="52" t="s">
        <v>75</v>
      </c>
      <c r="S44" s="52" t="s">
        <v>76</v>
      </c>
      <c r="T44" s="52" t="s">
        <v>77</v>
      </c>
      <c r="V44" s="39" t="str">
        <f>"Metrics" &amp; " " &amp; F44
</f>
        <v>Metrics History State</v>
      </c>
      <c r="W44" s="39" t="s">
        <v>80</v>
      </c>
      <c r="X44" s="39" t="s">
        <v>81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13" t="str">
        <f>'Dishwasher Grader #1'!C45</f>
        <v/>
      </c>
      <c r="D45" s="13">
        <f>'Dishwasher Grader #2'!C45</f>
        <v>0</v>
      </c>
      <c r="E45" s="31"/>
      <c r="F45" s="40">
        <v>0.0</v>
      </c>
      <c r="G45" s="41">
        <f t="shared" ref="G45:H45" si="60">COUNTIFS($A$2:$A$92,$F$44,$C$2:$C$92,$F45,$D$2:$D$92,G$44)</f>
        <v>0</v>
      </c>
      <c r="H45" s="42">
        <f t="shared" si="60"/>
        <v>0</v>
      </c>
      <c r="I45" s="43">
        <f>COUNTIFS($A$2:$A$48,$F$44,$C$2:$C$48,$F45,$D$2:$D$48,I$44) + MAX(D55-C55,0)</f>
        <v>0</v>
      </c>
      <c r="J45" s="11">
        <f t="shared" ref="J45:J47" si="64">SUM(G45:I45)</f>
        <v>0</v>
      </c>
      <c r="K45" s="11"/>
      <c r="L45" s="40">
        <v>0.0</v>
      </c>
      <c r="M45" s="41">
        <f t="shared" ref="M45:O45" si="61">ABS(G$2-$F45)/1</f>
        <v>0</v>
      </c>
      <c r="N45" s="42">
        <f t="shared" si="61"/>
        <v>0.5</v>
      </c>
      <c r="O45" s="43">
        <f t="shared" si="61"/>
        <v>1</v>
      </c>
      <c r="P45" s="11"/>
      <c r="Q45" s="40">
        <v>0.0</v>
      </c>
      <c r="R45" s="41" t="str">
        <f t="shared" ref="R45:T45" si="62">($J45/$J$48) * (G$48/$J$48)</f>
        <v>#DIV/0!</v>
      </c>
      <c r="S45" s="42" t="str">
        <f t="shared" si="62"/>
        <v>#DIV/0!</v>
      </c>
      <c r="T45" s="43" t="str">
        <f t="shared" si="62"/>
        <v>#DIV/0!</v>
      </c>
      <c r="U45" s="11"/>
      <c r="V45" s="44" t="s">
        <v>103</v>
      </c>
      <c r="W45" s="41" t="str">
        <f>SUMPRODUCT(G45:I47, M45:O47) /$J$48</f>
        <v>#DIV/0!</v>
      </c>
      <c r="X45" s="43" t="s">
        <v>104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13" t="str">
        <f>'Dishwasher Grader #1'!C46</f>
        <v/>
      </c>
      <c r="D46" s="13">
        <f>'Dishwasher Grader #2'!C46</f>
        <v>0</v>
      </c>
      <c r="E46" s="31"/>
      <c r="F46" s="40">
        <v>0.5</v>
      </c>
      <c r="G46" s="45">
        <f t="shared" ref="G46:I46" si="63">COUNTIFS($A$2:$A$92,$F$44,$C$2:$C$92,$F46,$D$2:$D$92,G$44)</f>
        <v>0</v>
      </c>
      <c r="H46" s="11">
        <f t="shared" si="63"/>
        <v>0</v>
      </c>
      <c r="I46" s="46">
        <f t="shared" si="63"/>
        <v>0</v>
      </c>
      <c r="J46" s="11">
        <f t="shared" si="64"/>
        <v>0</v>
      </c>
      <c r="K46" s="11"/>
      <c r="L46" s="40">
        <v>0.5</v>
      </c>
      <c r="M46" s="45">
        <f t="shared" ref="M46:M47" si="66">ABS(G$2-$F46)/1</f>
        <v>0.5</v>
      </c>
      <c r="N46" s="11">
        <f>ABS(H$2-$F46)/3</f>
        <v>0</v>
      </c>
      <c r="O46" s="46">
        <f>ABS(I$2-$F46)/1</f>
        <v>0.5</v>
      </c>
      <c r="P46" s="11"/>
      <c r="Q46" s="40">
        <v>0.5</v>
      </c>
      <c r="R46" s="45" t="str">
        <f t="shared" ref="R46:T46" si="65">($J46/$J$48) * (G$48/$J$48)</f>
        <v>#DIV/0!</v>
      </c>
      <c r="S46" s="11" t="str">
        <f t="shared" si="65"/>
        <v>#DIV/0!</v>
      </c>
      <c r="T46" s="46" t="str">
        <f t="shared" si="65"/>
        <v>#DIV/0!</v>
      </c>
      <c r="U46" s="11"/>
      <c r="V46" s="44" t="s">
        <v>105</v>
      </c>
      <c r="W46" s="45" t="str">
        <f>SUMPRODUCT(R45:T47, M45:O47)</f>
        <v>#DIV/0!</v>
      </c>
      <c r="X46" s="46" t="s">
        <v>106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13" t="str">
        <f>'Dishwasher Grader #1'!C47</f>
        <v/>
      </c>
      <c r="D47" s="13">
        <f>'Dishwasher Grader #2'!C47</f>
        <v>0</v>
      </c>
      <c r="E47" s="31"/>
      <c r="F47" s="40">
        <v>1.0</v>
      </c>
      <c r="G47" s="47">
        <f>COUNTIFS($A$2:$A$48,$F$44,$C$2:$C$48,$F47,$D$2:$D$48,G$44) + MAX(C55-D55,0)</f>
        <v>0</v>
      </c>
      <c r="H47" s="48">
        <f>COUNTIFS($A$2:$A$92,$F$44,$C$2:$C$92,$F47,$D$2:$D$92,H$44)</f>
        <v>0</v>
      </c>
      <c r="I47" s="49">
        <f>COUNTIFS($A$2:$A$48,$F$44,$C$2:$C$48,$F47,$D$2:$D$48,I$44) + MIN(C55,D55)</f>
        <v>0</v>
      </c>
      <c r="J47" s="11">
        <f t="shared" si="64"/>
        <v>0</v>
      </c>
      <c r="K47" s="11"/>
      <c r="L47" s="40">
        <v>1.0</v>
      </c>
      <c r="M47" s="47">
        <f t="shared" si="66"/>
        <v>1</v>
      </c>
      <c r="N47" s="48">
        <f t="shared" ref="N47:O47" si="67">ABS(H$2-$F47)/1</f>
        <v>0.5</v>
      </c>
      <c r="O47" s="49">
        <f t="shared" si="67"/>
        <v>0</v>
      </c>
      <c r="P47" s="11"/>
      <c r="Q47" s="40">
        <v>1.0</v>
      </c>
      <c r="R47" s="47" t="str">
        <f t="shared" ref="R47:T47" si="68">($J47/$J$48) * (G$48/$J$48)</f>
        <v>#DIV/0!</v>
      </c>
      <c r="S47" s="48" t="str">
        <f t="shared" si="68"/>
        <v>#DIV/0!</v>
      </c>
      <c r="T47" s="49" t="str">
        <f t="shared" si="68"/>
        <v>#DIV/0!</v>
      </c>
      <c r="U47" s="11"/>
      <c r="V47" s="44" t="s">
        <v>73</v>
      </c>
      <c r="W47" s="47" t="str">
        <f>1-W45/W46</f>
        <v>#DIV/0!</v>
      </c>
      <c r="X47" s="49" t="s">
        <v>107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13" t="str">
        <f>'Dishwasher Grader #1'!C48</f>
        <v/>
      </c>
      <c r="D48" s="13">
        <f>'Dishwasher Grader #2'!C48</f>
        <v>0</v>
      </c>
      <c r="E48" s="31"/>
      <c r="F48" s="50" t="s">
        <v>87</v>
      </c>
      <c r="G48" s="11">
        <f t="shared" ref="G48:I48" si="69">SUM(G45:G47)</f>
        <v>0</v>
      </c>
      <c r="H48" s="11">
        <f t="shared" si="69"/>
        <v>0</v>
      </c>
      <c r="I48" s="11">
        <f t="shared" si="69"/>
        <v>0</v>
      </c>
      <c r="J48" s="11">
        <f>SUM(G45:I47)</f>
        <v>0</v>
      </c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54" t="str">
        <f>'Dishwasher Grader #1'!C49</f>
        <v/>
      </c>
      <c r="D49" s="54">
        <f>'Dishwasher Grader #2'!C49</f>
        <v>0</v>
      </c>
      <c r="E49" s="31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13" t="str">
        <f>'Dishwasher Grader #1'!C50</f>
        <v/>
      </c>
      <c r="D50" s="13">
        <f>'Dishwasher Grader #2'!C50</f>
        <v>0</v>
      </c>
      <c r="E50" s="31"/>
      <c r="F50" s="32" t="s">
        <v>100</v>
      </c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13" t="str">
        <f>'Dishwasher Grader #1'!C51</f>
        <v/>
      </c>
      <c r="D51" s="13">
        <f>'Dishwasher Grader #2'!C51</f>
        <v>0</v>
      </c>
      <c r="E51" s="31"/>
      <c r="F51" s="11" t="s">
        <v>4</v>
      </c>
      <c r="G51" s="52" t="s">
        <v>75</v>
      </c>
      <c r="H51" s="52" t="s">
        <v>76</v>
      </c>
      <c r="I51" s="52" t="s">
        <v>77</v>
      </c>
      <c r="J51" s="53" t="s">
        <v>78</v>
      </c>
      <c r="K51" s="11"/>
      <c r="L51" s="11" t="s">
        <v>74</v>
      </c>
      <c r="M51" s="52" t="s">
        <v>75</v>
      </c>
      <c r="N51" s="52" t="s">
        <v>76</v>
      </c>
      <c r="O51" s="52" t="s">
        <v>77</v>
      </c>
      <c r="P51" s="11"/>
      <c r="Q51" s="11" t="s">
        <v>74</v>
      </c>
      <c r="R51" s="52" t="s">
        <v>75</v>
      </c>
      <c r="S51" s="52" t="s">
        <v>76</v>
      </c>
      <c r="T51" s="52" t="s">
        <v>77</v>
      </c>
      <c r="V51" s="39" t="str">
        <f>"Metrics" &amp; " " &amp; F51
</f>
        <v>Metrics Region</v>
      </c>
      <c r="W51" s="39" t="s">
        <v>80</v>
      </c>
      <c r="X51" s="39" t="s">
        <v>81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13" t="str">
        <f>'Dishwasher Grader #1'!C52</f>
        <v/>
      </c>
      <c r="D52" s="13">
        <f>'Dishwasher Grader #2'!C52</f>
        <v>0</v>
      </c>
      <c r="E52" s="31"/>
      <c r="F52" s="40">
        <v>0.0</v>
      </c>
      <c r="G52" s="41">
        <f t="shared" ref="G52:H52" si="70">COUNTIFS($A$2:$A$92,$F$51,$C$2:$C$92,$F52,$D$2:$D$92,G$51)</f>
        <v>0</v>
      </c>
      <c r="H52" s="42">
        <f t="shared" si="70"/>
        <v>0</v>
      </c>
      <c r="I52" s="43">
        <f>COUNTIFS($A$2:$A$48,$F$51,$C$2:$C$48,$F52,$D$2:$D$48,I$51)+MAX(D54-C54,0)</f>
        <v>0</v>
      </c>
      <c r="J52" s="11">
        <f t="shared" ref="J52:J54" si="74">SUM(G52:I52)</f>
        <v>0</v>
      </c>
      <c r="K52" s="11"/>
      <c r="L52" s="40">
        <v>0.0</v>
      </c>
      <c r="M52" s="41">
        <f t="shared" ref="M52:O52" si="71">ABS(G$2-$F52)/1</f>
        <v>0</v>
      </c>
      <c r="N52" s="42">
        <f t="shared" si="71"/>
        <v>0.5</v>
      </c>
      <c r="O52" s="43">
        <f t="shared" si="71"/>
        <v>1</v>
      </c>
      <c r="P52" s="11"/>
      <c r="Q52" s="40">
        <v>0.0</v>
      </c>
      <c r="R52" s="41" t="str">
        <f t="shared" ref="R52:T52" si="72">($J52/$J$55) * (G$55/$J$55)</f>
        <v>#DIV/0!</v>
      </c>
      <c r="S52" s="42" t="str">
        <f t="shared" si="72"/>
        <v>#DIV/0!</v>
      </c>
      <c r="T52" s="43" t="str">
        <f t="shared" si="72"/>
        <v>#DIV/0!</v>
      </c>
      <c r="U52" s="11"/>
      <c r="V52" s="44" t="s">
        <v>103</v>
      </c>
      <c r="W52" s="41" t="str">
        <f>SUMPRODUCT(G52:I54, M52:O54) /$J$55</f>
        <v>#DIV/0!</v>
      </c>
      <c r="X52" s="43" t="s">
        <v>104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13" t="str">
        <f>'Dishwasher Grader #1'!C53</f>
        <v/>
      </c>
      <c r="D53" s="13">
        <f>'Dishwasher Grader #2'!C53</f>
        <v>0</v>
      </c>
      <c r="E53" s="31"/>
      <c r="F53" s="40">
        <v>0.5</v>
      </c>
      <c r="G53" s="45">
        <f t="shared" ref="G53:I53" si="73">COUNTIFS($A$2:$A$92,$F$51,$C$2:$C$92,$F53,$D$2:$D$92,G$51)</f>
        <v>0</v>
      </c>
      <c r="H53" s="11">
        <f t="shared" si="73"/>
        <v>0</v>
      </c>
      <c r="I53" s="46">
        <f t="shared" si="73"/>
        <v>0</v>
      </c>
      <c r="J53" s="11">
        <f t="shared" si="74"/>
        <v>0</v>
      </c>
      <c r="K53" s="11"/>
      <c r="L53" s="40">
        <v>0.5</v>
      </c>
      <c r="M53" s="45">
        <f t="shared" ref="M53:M54" si="76">ABS(G$2-$F53)/1</f>
        <v>0.5</v>
      </c>
      <c r="N53" s="11">
        <f>ABS(H$2-$F53)/3</f>
        <v>0</v>
      </c>
      <c r="O53" s="46">
        <f>ABS(I$2-$F53)/1</f>
        <v>0.5</v>
      </c>
      <c r="P53" s="11"/>
      <c r="Q53" s="40">
        <v>0.5</v>
      </c>
      <c r="R53" s="45" t="str">
        <f t="shared" ref="R53:T53" si="75">($J53/$J$55) * (G$55/$J$55)</f>
        <v>#DIV/0!</v>
      </c>
      <c r="S53" s="11" t="str">
        <f t="shared" si="75"/>
        <v>#DIV/0!</v>
      </c>
      <c r="T53" s="46" t="str">
        <f t="shared" si="75"/>
        <v>#DIV/0!</v>
      </c>
      <c r="U53" s="11"/>
      <c r="V53" s="44" t="s">
        <v>105</v>
      </c>
      <c r="W53" s="45" t="str">
        <f>SUMPRODUCT(R52:T54, M52:O54)</f>
        <v>#DIV/0!</v>
      </c>
      <c r="X53" s="46" t="s">
        <v>106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13" t="str">
        <f>'Dishwasher Grader #1'!C54</f>
        <v/>
      </c>
      <c r="D54" s="13">
        <f>'Dishwasher Grader #2'!C54</f>
        <v>0</v>
      </c>
      <c r="E54" s="31"/>
      <c r="F54" s="40">
        <v>1.0</v>
      </c>
      <c r="G54" s="47">
        <f>COUNTIFS($A$2:$A$48,$F$51,$C$2:$C$48,$F54,$D$2:$D$48,G$51) + MAX(C54-D54,0)</f>
        <v>0</v>
      </c>
      <c r="H54" s="48">
        <f>COUNTIFS($A$2:$A$92,$F$51,$C$2:$C$92,$F54,$D$2:$D$92,H$51)</f>
        <v>0</v>
      </c>
      <c r="I54" s="49">
        <f>COUNTIFS($A$2:$A$48,$F$51,$C$2:$C$48,$F54,$D$2:$D$48,I$51)+MIN(C54,D54)</f>
        <v>0</v>
      </c>
      <c r="J54" s="11">
        <f t="shared" si="74"/>
        <v>0</v>
      </c>
      <c r="K54" s="11"/>
      <c r="L54" s="40">
        <v>1.0</v>
      </c>
      <c r="M54" s="47">
        <f t="shared" si="76"/>
        <v>1</v>
      </c>
      <c r="N54" s="48">
        <f t="shared" ref="N54:O54" si="77">ABS(H$2-$F54)/1</f>
        <v>0.5</v>
      </c>
      <c r="O54" s="49">
        <f t="shared" si="77"/>
        <v>0</v>
      </c>
      <c r="P54" s="11"/>
      <c r="Q54" s="40">
        <v>1.0</v>
      </c>
      <c r="R54" s="47" t="str">
        <f t="shared" ref="R54:T54" si="78">($J54/$J$55) * (G$55/$J$55)</f>
        <v>#DIV/0!</v>
      </c>
      <c r="S54" s="48" t="str">
        <f t="shared" si="78"/>
        <v>#DIV/0!</v>
      </c>
      <c r="T54" s="49" t="str">
        <f t="shared" si="78"/>
        <v>#DIV/0!</v>
      </c>
      <c r="U54" s="11"/>
      <c r="V54" s="44" t="s">
        <v>73</v>
      </c>
      <c r="W54" s="47" t="str">
        <f>1-W52/W53</f>
        <v>#DIV/0!</v>
      </c>
      <c r="X54" s="49" t="s">
        <v>107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13" t="str">
        <f>'Dishwasher Grader #1'!C55</f>
        <v/>
      </c>
      <c r="D55" s="13">
        <f>'Dishwasher Grader #2'!C55</f>
        <v>0</v>
      </c>
      <c r="E55" s="31"/>
      <c r="F55" s="50" t="s">
        <v>87</v>
      </c>
      <c r="G55" s="11">
        <f t="shared" ref="G55:I55" si="79">SUM(G52:G54)</f>
        <v>0</v>
      </c>
      <c r="H55" s="11">
        <f t="shared" si="79"/>
        <v>0</v>
      </c>
      <c r="I55" s="11">
        <f t="shared" si="79"/>
        <v>0</v>
      </c>
      <c r="J55" s="11">
        <f>SUM(G52:I54)</f>
        <v>0</v>
      </c>
      <c r="L55" s="11"/>
      <c r="M55" s="51"/>
    </row>
    <row r="56" ht="15.75" customHeight="1">
      <c r="A56" s="32"/>
      <c r="B56" s="55"/>
      <c r="C56" s="31"/>
      <c r="D56" s="31"/>
      <c r="E56" s="31"/>
    </row>
    <row r="57" ht="15.75" customHeight="1">
      <c r="A57" s="32"/>
      <c r="B57" s="55"/>
      <c r="C57" s="31"/>
      <c r="D57" s="31"/>
      <c r="E57" s="31"/>
    </row>
    <row r="58" ht="15.75" customHeight="1">
      <c r="A58" s="32"/>
      <c r="B58" s="55"/>
      <c r="C58" s="31"/>
      <c r="D58" s="31"/>
      <c r="E58" s="31"/>
    </row>
    <row r="59" ht="15.75" customHeight="1">
      <c r="A59" s="32"/>
      <c r="B59" s="55"/>
      <c r="C59" s="31"/>
      <c r="D59" s="31"/>
      <c r="E59" s="31"/>
    </row>
    <row r="60" ht="15.75" customHeight="1">
      <c r="A60" s="32"/>
      <c r="B60" s="55"/>
      <c r="C60" s="31"/>
      <c r="D60" s="31"/>
      <c r="E60" s="31"/>
    </row>
    <row r="61" ht="15.75" customHeight="1">
      <c r="A61" s="32"/>
      <c r="B61" s="55"/>
      <c r="C61" s="31"/>
      <c r="D61" s="31"/>
      <c r="E61" s="31"/>
    </row>
    <row r="62" ht="15.75" customHeight="1">
      <c r="A62" s="32"/>
      <c r="B62" s="55"/>
      <c r="C62" s="31"/>
      <c r="D62" s="31"/>
      <c r="E62" s="31"/>
    </row>
    <row r="63" ht="15.75" customHeight="1">
      <c r="A63" s="32"/>
      <c r="B63" s="55"/>
      <c r="C63" s="31"/>
      <c r="D63" s="31"/>
      <c r="E63" s="31"/>
    </row>
    <row r="64" ht="15.75" customHeight="1">
      <c r="A64" s="32"/>
      <c r="B64" s="55"/>
      <c r="C64" s="31"/>
      <c r="D64" s="31"/>
      <c r="E64" s="31"/>
    </row>
    <row r="65" ht="15.75" customHeight="1">
      <c r="A65" s="32"/>
      <c r="B65" s="55"/>
      <c r="C65" s="31"/>
      <c r="D65" s="31"/>
      <c r="E65" s="31"/>
    </row>
    <row r="66" ht="15.75" customHeight="1">
      <c r="A66" s="32"/>
      <c r="B66" s="55"/>
      <c r="C66" s="31"/>
      <c r="D66" s="31"/>
      <c r="E66" s="31"/>
    </row>
    <row r="67" ht="15.75" customHeight="1">
      <c r="A67" s="32"/>
      <c r="B67" s="55"/>
      <c r="C67" s="31"/>
      <c r="D67" s="31"/>
      <c r="E67" s="31"/>
    </row>
    <row r="68" ht="15.75" customHeight="1">
      <c r="A68" s="32"/>
      <c r="B68" s="55"/>
      <c r="C68" s="31"/>
      <c r="D68" s="31"/>
      <c r="E68" s="31"/>
    </row>
    <row r="69" ht="15.75" customHeight="1">
      <c r="A69" s="32"/>
      <c r="B69" s="55"/>
      <c r="C69" s="31"/>
      <c r="D69" s="31"/>
      <c r="E69" s="31"/>
    </row>
    <row r="70" ht="15.75" customHeight="1">
      <c r="A70" s="32"/>
      <c r="B70" s="55"/>
      <c r="C70" s="31"/>
      <c r="D70" s="31"/>
      <c r="E70" s="31"/>
    </row>
    <row r="71" ht="15.75" customHeight="1">
      <c r="A71" s="32"/>
      <c r="B71" s="55"/>
      <c r="C71" s="31"/>
      <c r="D71" s="31"/>
      <c r="E71" s="31"/>
    </row>
    <row r="72" ht="15.75" customHeight="1">
      <c r="A72" s="32"/>
      <c r="B72" s="55"/>
      <c r="C72" s="31"/>
      <c r="D72" s="31"/>
    </row>
    <row r="73" ht="15.75" customHeight="1">
      <c r="A73" s="32"/>
      <c r="B73" s="55"/>
      <c r="C73" s="31"/>
      <c r="D73" s="31"/>
    </row>
    <row r="74" ht="15.75" customHeight="1">
      <c r="A74" s="32"/>
      <c r="B74" s="55"/>
      <c r="C74" s="31"/>
      <c r="D74" s="31"/>
    </row>
    <row r="75" ht="15.75" customHeight="1">
      <c r="A75" s="32"/>
      <c r="B75" s="55"/>
      <c r="C75" s="31"/>
      <c r="D75" s="31"/>
    </row>
    <row r="76" ht="15.75" customHeight="1">
      <c r="A76" s="32"/>
      <c r="B76" s="55"/>
      <c r="C76" s="31"/>
      <c r="D76" s="31"/>
    </row>
    <row r="77" ht="15.75" customHeight="1">
      <c r="A77" s="32"/>
      <c r="B77" s="55"/>
      <c r="C77" s="31"/>
      <c r="D77" s="31"/>
    </row>
    <row r="78" ht="15.75" customHeight="1">
      <c r="A78" s="32"/>
      <c r="B78" s="55"/>
      <c r="C78" s="31"/>
      <c r="D78" s="31"/>
    </row>
    <row r="79" ht="15.75" customHeight="1">
      <c r="A79" s="32"/>
      <c r="B79" s="55"/>
      <c r="C79" s="31"/>
      <c r="D79" s="31"/>
    </row>
    <row r="80" ht="15.75" customHeight="1">
      <c r="A80" s="32"/>
      <c r="B80" s="55"/>
      <c r="C80" s="31"/>
      <c r="D80" s="31"/>
    </row>
    <row r="81" ht="15.75" customHeight="1">
      <c r="B81" s="55"/>
      <c r="D81" s="31"/>
    </row>
    <row r="82" ht="15.75" customHeight="1">
      <c r="B82" s="55"/>
      <c r="D82" s="31"/>
    </row>
    <row r="83" ht="15.75" customHeight="1">
      <c r="D83" s="3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