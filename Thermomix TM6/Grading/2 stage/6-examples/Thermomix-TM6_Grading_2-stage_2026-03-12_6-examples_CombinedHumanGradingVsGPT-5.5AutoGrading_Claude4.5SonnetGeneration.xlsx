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rmonix" sheetId="1" r:id="rId4"/>
    <sheet state="visible" name="CombinedHumanGrading" sheetId="2" r:id="rId5"/>
    <sheet state="visible" name="GPT-5.5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axv5ojxyC3FWZQbGdeXuvFHINl8XJS96gnPfFajAOdU="/>
    </ext>
  </extLst>
</workbook>
</file>

<file path=xl/sharedStrings.xml><?xml version="1.0" encoding="utf-8"?>
<sst xmlns="http://schemas.openxmlformats.org/spreadsheetml/2006/main" count="735" uniqueCount="165">
  <si>
    <t>Type</t>
  </si>
  <si>
    <t>Element</t>
  </si>
  <si>
    <t>State</t>
  </si>
  <si>
    <t>initial state (⇒ TransportationMode)</t>
  </si>
  <si>
    <t>TransportationMode</t>
  </si>
  <si>
    <t>Transition</t>
  </si>
  <si>
    <t>selectorPressed (TransportationMode ⇒ On)</t>
  </si>
  <si>
    <t>PreparingOff</t>
  </si>
  <si>
    <t>selectorReleased (PreparingOff ⇒ On)</t>
  </si>
  <si>
    <t>after 5sec (PreparingOff ⇒ Off)</t>
  </si>
  <si>
    <t>Off</t>
  </si>
  <si>
    <t>selectorPressed (Off ⇒ On)</t>
  </si>
  <si>
    <t>Composite State</t>
  </si>
  <si>
    <t>On</t>
  </si>
  <si>
    <t>History State</t>
  </si>
  <si>
    <t>History State for On</t>
  </si>
  <si>
    <t>selectorHeld (On ⇒ PreparingOff)</t>
  </si>
  <si>
    <t>bowlRemoved (On ⇒ On)</t>
  </si>
  <si>
    <t>Initial State (On ⇒  Home)</t>
  </si>
  <si>
    <t>Home</t>
  </si>
  <si>
    <t>after 14min 30sec (Home ⇒ Preparing Shutdown)</t>
  </si>
  <si>
    <t>start (Home ⇒ PromptToAdd)</t>
  </si>
  <si>
    <t>Guard</t>
  </si>
  <si>
    <t>[!bowlRemoved()]</t>
  </si>
  <si>
    <t>Action</t>
  </si>
  <si>
    <t>setIngredients()</t>
  </si>
  <si>
    <t>Preparing Shutdown</t>
  </si>
  <si>
    <t>after 30sec (Preparing Shutdown ⇒ Off)</t>
  </si>
  <si>
    <t>cancel (Preparing Shutdown ⇒ Home)</t>
  </si>
  <si>
    <t>PromptToAdd</t>
  </si>
  <si>
    <t>next (PromptToAdd ⇒ PromptToAdd)</t>
  </si>
  <si>
    <t>[weightCorrect() &amp;&amp; moreIngredientsRequired()]</t>
  </si>
  <si>
    <t>next (PromptToAdd ⇒ Chop)</t>
  </si>
  <si>
    <t>[weightCorrect() &amp;&amp; !moreIngredientsRequired()]</t>
  </si>
  <si>
    <t>setChoppingSpeedAndTime()</t>
  </si>
  <si>
    <t>Chop</t>
  </si>
  <si>
    <t>next (Chop ⇒ PromptToAdd)</t>
  </si>
  <si>
    <t>[choppingTimeDone &amp;&amp; moreIngredientsRequired()]</t>
  </si>
  <si>
    <t>next (Chop ⇒ Cook)</t>
  </si>
  <si>
    <t>[choppingTimeDone &amp;&amp; !moreIngredientsRequired()]</t>
  </si>
  <si>
    <t>setCookingSpeedAndTime()</t>
  </si>
  <si>
    <t>Cook</t>
  </si>
  <si>
    <t>after choppingTime (Cook ⇒ PromptToAdd)</t>
  </si>
  <si>
    <t>after cookingTime (Cook ⇒ Ready)</t>
  </si>
  <si>
    <t>[!moreIngredientsRequired()]</t>
  </si>
  <si>
    <t>Ready</t>
  </si>
  <si>
    <t>after 14min 30sec (Ready ⇒ Preparing Shutdown)</t>
  </si>
  <si>
    <t>additional elements</t>
  </si>
  <si>
    <t>Region</t>
  </si>
  <si>
    <t>Rater 1</t>
  </si>
  <si>
    <t>Notes</t>
  </si>
  <si>
    <t>goes to homescreen instead of on, same concept, problem doesnt specify a ON mode</t>
  </si>
  <si>
    <t>shutting down state</t>
  </si>
  <si>
    <t>goes back to homescreen</t>
  </si>
  <si>
    <t>shows shutdown message, then turns off</t>
  </si>
  <si>
    <t>same logic but shown with homescreen instead of on</t>
  </si>
  <si>
    <t>shown in [bowlplaced] (recipeselected =&gt; addingIngredients)</t>
  </si>
  <si>
    <t>select recipe</t>
  </si>
  <si>
    <t>correctAmount is not detailed enough</t>
  </si>
  <si>
    <t>GPT-5.5 Grading</t>
  </si>
  <si>
    <t>Initial pseudostate explicitly enters TransportationMode.</t>
  </si>
  <si>
    <t>TransportationMode state is explicitly modeled.</t>
  </si>
  <si>
    <t>selectorPressed leaves TransportationMode and shows HomeScreen which represents being on.</t>
  </si>
  <si>
    <t>ShuttingDown and ShutdownReady together represent the shutdown preparation behavior.</t>
  </si>
  <si>
    <t>Releasing during ShuttingDown before the five second threshold returns to HomeScreen.</t>
  </si>
  <si>
    <t>The five second threshold is modeled but it goes to ShutdownReady and requires selectorReleased before Off.</t>
  </si>
  <si>
    <t>Off state is explicitly modeled.</t>
  </si>
  <si>
    <t>selectorPressed from Off returns to HomeScreen.</t>
  </si>
  <si>
    <t>Operational on behavior is represented but there is no enclosing On composite state.</t>
  </si>
  <si>
    <t>No history pseudostate for returning to the previous on substate is modeled.</t>
  </si>
  <si>
    <t>selectorHeld starts shutdown only from HomeScreen rather than from all on states.</t>
  </si>
  <si>
    <t>bowlRemoved is handled in recipe execution and shutdown warning but not as a general on self transition.</t>
  </si>
  <si>
    <t>Initial State (On ⇒ Home)</t>
  </si>
  <si>
    <t>Entering the powered on behavior leads to HomeScreen.</t>
  </si>
  <si>
    <t>HomeScreen clearly represents the home state.</t>
  </si>
  <si>
    <t>HomeScreen transitions to AutoShutdownWarning after 14min30sec.</t>
  </si>
  <si>
    <t>Recipe selection followed by start reaches AddingIngredients for the first recipe step.</t>
  </si>
  <si>
    <t>The start transition requires bowlPlaced which is equivalent to the bowl not being removed.</t>
  </si>
  <si>
    <t>AddingIngredients is entered but no explicit action sets or prompts the ingredients.</t>
  </si>
  <si>
    <t>AutoShutdownWarning represents the automatic shutdown warning period.</t>
  </si>
  <si>
    <t>AutoShutdownWarning goes to Off after 30 seconds.</t>
  </si>
  <si>
    <t>cancel from AutoShutdownWarning returns to HomeScreen.</t>
  </si>
  <si>
    <t>AddingIngredients represents the prompt to add and weigh ingredients.</t>
  </si>
  <si>
    <t>No self transition for additional ingredients within the adding step is modeled.</t>
  </si>
  <si>
    <t>The model has no guard combining correct weight with more ingredients required for a self loop.</t>
  </si>
  <si>
    <t>No setIngredients action is shown for a repeated ingredient prompt.</t>
  </si>
  <si>
    <t>next from AddingIngredients reaches Chopping.</t>
  </si>
  <si>
    <t>The transition checks correctAmount but does not check that no more ingredients are required.</t>
  </si>
  <si>
    <t>Chopping has an entry note to startChopping but speed and time are not explicitly set.</t>
  </si>
  <si>
    <t>Chopping state is explicitly modeled.</t>
  </si>
  <si>
    <t>There is no transition from Chopping back to AddingIngredients.</t>
  </si>
  <si>
    <t>No corresponding guard exists on a Chop to ingredient prompt transition.</t>
  </si>
  <si>
    <t>No setIngredients action is shown after a chopping step.</t>
  </si>
  <si>
    <t>next from Chopping to Cooking is modeled.</t>
  </si>
  <si>
    <t>The Chopping to Cooking transition has no guard for chopping completion or ingredient need.</t>
  </si>
  <si>
    <t>Cooking has an entry note to startCooking but temperature and time are not explicitly set.</t>
  </si>
  <si>
    <t>Cooking state is explicitly modeled.</t>
  </si>
  <si>
    <t>Cooking transitions to AddingIngredients when done and more steps remain.</t>
  </si>
  <si>
    <t>The done event with moreSteps guard captures completion with further ingredients needed.</t>
  </si>
  <si>
    <t>Entering AddingIngredients implies prompting again but no explicit setIngredients action is shown.</t>
  </si>
  <si>
    <t>Cooking transitions to MealReady when done and no more steps remain.</t>
  </si>
  <si>
    <t>The !moreSteps guard captures no further ingredients or recipe steps needed.</t>
  </si>
  <si>
    <t>MealReady represents the ready to serve state.</t>
  </si>
  <si>
    <t>No automatic shutdown warning transition is modeled from MealReady.</t>
  </si>
  <si>
    <t>No fundamentally incorrect extra states are present.</t>
  </si>
  <si>
    <t>No fundamentally incorrect extra transitions are present.</t>
  </si>
  <si>
    <t>No fundamentally incorrect extra guards are present.</t>
  </si>
  <si>
    <t>No fundamentally incorrect extra actions are present.</t>
  </si>
  <si>
    <t>No fundamentally incorrect extra composite states are present.</t>
  </si>
  <si>
    <t>No fundamentally incorrect extra regions are present.</t>
  </si>
  <si>
    <t>No fundamentally incorrect extra history states are present.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</si>
  <si>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</si>
  <si>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</si>
  <si>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</si>
  <si>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</si>
  <si>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</si>
  <si>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</si>
  <si>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</si>
  <si>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</si>
  <si>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</si>
  <si>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May 6th, 2026</t>
  </si>
  <si>
    <t>Generation LLM</t>
  </si>
  <si>
    <t>Claude 4.5 Sonnet</t>
  </si>
  <si>
    <t>Grading LLMs</t>
  </si>
  <si>
    <t>GPT-5.5</t>
  </si>
  <si>
    <t>Overall Score</t>
  </si>
  <si>
    <t>Graded by GPT-5.5</t>
  </si>
  <si>
    <t>Composite state</t>
  </si>
  <si>
    <t>CombinedHumanGrading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</si>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</sst>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b/>
      <sz val="10.0"/>
      <color theme="1"/>
      <name val="Open Sans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/>
    <border>
      <left/>
      <righ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2" fontId="4" numFmtId="0" xfId="0" applyAlignment="1" applyBorder="1" applyFill="1" applyFont="1">
      <alignment horizontal="center"/>
    </xf>
    <xf borderId="1" fillId="2" fontId="3" numFmtId="0" xfId="0" applyBorder="1" applyFont="1"/>
    <xf borderId="1" fillId="3" fontId="4" numFmtId="0" xfId="0" applyAlignment="1" applyBorder="1" applyFill="1" applyFont="1">
      <alignment horizontal="center"/>
    </xf>
    <xf borderId="1" fillId="3" fontId="3" numFmtId="0" xfId="0" applyBorder="1" applyFont="1"/>
    <xf borderId="2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left"/>
    </xf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1" fillId="5" fontId="3" numFmtId="0" xfId="0" applyBorder="1" applyFill="1" applyFont="1"/>
    <xf borderId="1" fillId="3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3" fillId="2" fontId="3" numFmtId="0" xfId="0" applyAlignment="1" applyBorder="1" applyFont="1">
      <alignment horizontal="center"/>
    </xf>
    <xf borderId="3" fillId="2" fontId="3" numFmtId="0" xfId="0" applyBorder="1" applyFont="1"/>
    <xf borderId="1" fillId="5" fontId="3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ont="1">
      <alignment horizontal="center" readingOrder="0"/>
    </xf>
    <xf borderId="1" fillId="2" fontId="3" numFmtId="0" xfId="0" applyAlignment="1" applyBorder="1" applyFont="1">
      <alignment readingOrder="0"/>
    </xf>
    <xf borderId="1" fillId="3" fontId="4" numFmtId="0" xfId="0" applyAlignment="1" applyBorder="1" applyFont="1">
      <alignment horizontal="center" readingOrder="0"/>
    </xf>
    <xf borderId="1" fillId="3" fontId="3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left" readingOrder="0"/>
    </xf>
    <xf borderId="1" fillId="4" fontId="1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left" readingOrder="0"/>
    </xf>
    <xf borderId="0" fillId="0" fontId="2" numFmtId="0" xfId="0" applyAlignment="1" applyFont="1">
      <alignment horizontal="center"/>
    </xf>
    <xf borderId="4" fillId="6" fontId="1" numFmtId="0" xfId="0" applyAlignment="1" applyBorder="1" applyFill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1" fillId="7" fontId="3" numFmtId="0" xfId="0" applyBorder="1" applyFill="1" applyFont="1"/>
    <xf borderId="7" fillId="6" fontId="1" numFmtId="0" xfId="0" applyAlignment="1" applyBorder="1" applyFont="1">
      <alignment horizontal="center"/>
    </xf>
    <xf borderId="7" fillId="8" fontId="6" numFmtId="0" xfId="0" applyAlignment="1" applyBorder="1" applyFill="1" applyFont="1">
      <alignment shrinkToFit="0" vertical="center" wrapText="1"/>
    </xf>
    <xf borderId="7" fillId="0" fontId="3" numFmtId="0" xfId="0" applyBorder="1" applyFont="1"/>
    <xf borderId="7" fillId="0" fontId="2" numFmtId="0" xfId="0" applyBorder="1" applyFont="1"/>
    <xf borderId="7" fillId="0" fontId="1" numFmtId="0" xfId="0" applyBorder="1" applyFont="1"/>
    <xf borderId="0" fillId="0" fontId="7" numFmtId="0" xfId="0" applyFont="1"/>
    <xf borderId="2" fillId="0" fontId="2" numFmtId="0" xfId="0" applyBorder="1" applyFont="1"/>
    <xf borderId="1" fillId="5" fontId="4" numFmtId="0" xfId="0" applyAlignment="1" applyBorder="1" applyFont="1">
      <alignment horizontal="center" vertical="top"/>
    </xf>
    <xf borderId="0" fillId="0" fontId="4" numFmtId="0" xfId="0" applyAlignment="1" applyFont="1">
      <alignment horizontal="center"/>
    </xf>
    <xf borderId="8" fillId="0" fontId="4" numFmtId="0" xfId="0" applyAlignment="1" applyBorder="1" applyFont="1">
      <alignment horizontal="center"/>
    </xf>
    <xf borderId="8" fillId="0" fontId="5" numFmtId="0" xfId="0" applyBorder="1" applyFont="1"/>
    <xf borderId="0" fillId="0" fontId="3" numFmtId="0" xfId="0" applyAlignment="1" applyFont="1">
      <alignment horizontal="center"/>
    </xf>
    <xf borderId="9" fillId="9" fontId="3" numFmtId="0" xfId="0" applyAlignment="1" applyBorder="1" applyFill="1" applyFont="1">
      <alignment horizontal="center"/>
    </xf>
    <xf borderId="10" fillId="9" fontId="3" numFmtId="0" xfId="0" applyAlignment="1" applyBorder="1" applyFont="1">
      <alignment horizontal="center"/>
    </xf>
    <xf borderId="11" fillId="9" fontId="3" numFmtId="0" xfId="0" applyAlignment="1" applyBorder="1" applyFont="1">
      <alignment horizontal="center"/>
    </xf>
    <xf borderId="12" fillId="9" fontId="3" numFmtId="0" xfId="0" applyAlignment="1" applyBorder="1" applyFont="1">
      <alignment horizontal="center"/>
    </xf>
    <xf borderId="1" fillId="9" fontId="4" numFmtId="0" xfId="0" applyAlignment="1" applyBorder="1" applyFont="1">
      <alignment horizontal="center"/>
    </xf>
    <xf borderId="13" fillId="9" fontId="3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15" fillId="0" fontId="3" numFmtId="0" xfId="0" applyAlignment="1" applyBorder="1" applyFont="1">
      <alignment horizontal="center"/>
    </xf>
    <xf borderId="16" fillId="0" fontId="3" numFmtId="0" xfId="0" applyAlignment="1" applyBorder="1" applyFont="1">
      <alignment horizontal="center"/>
    </xf>
    <xf borderId="17" fillId="0" fontId="3" numFmtId="0" xfId="0" applyAlignment="1" applyBorder="1" applyFont="1">
      <alignment horizontal="center"/>
    </xf>
    <xf borderId="18" fillId="0" fontId="3" numFmtId="0" xfId="0" applyAlignment="1" applyBorder="1" applyFont="1">
      <alignment horizontal="center"/>
    </xf>
    <xf borderId="19" fillId="0" fontId="3" numFmtId="0" xfId="0" applyAlignment="1" applyBorder="1" applyFont="1">
      <alignment horizontal="center"/>
    </xf>
    <xf borderId="20" fillId="0" fontId="3" numFmtId="0" xfId="0" applyAlignment="1" applyBorder="1" applyFont="1">
      <alignment horizontal="center"/>
    </xf>
    <xf borderId="21" fillId="0" fontId="3" numFmtId="0" xfId="0" applyAlignment="1" applyBorder="1" applyFont="1">
      <alignment horizontal="center"/>
    </xf>
    <xf borderId="1" fillId="9" fontId="3" numFmtId="0" xfId="0" applyAlignment="1" applyBorder="1" applyFont="1">
      <alignment horizontal="center"/>
    </xf>
    <xf borderId="22" fillId="9" fontId="3" numFmtId="0" xfId="0" applyAlignment="1" applyBorder="1" applyFont="1">
      <alignment horizontal="center"/>
    </xf>
    <xf borderId="23" fillId="9" fontId="3" numFmtId="0" xfId="0" applyAlignment="1" applyBorder="1" applyFont="1">
      <alignment horizontal="center"/>
    </xf>
    <xf borderId="1" fillId="9" fontId="3" numFmtId="0" xfId="0" applyBorder="1" applyFont="1"/>
    <xf borderId="24" fillId="2" fontId="4" numFmtId="0" xfId="0" applyAlignment="1" applyBorder="1" applyFont="1">
      <alignment horizontal="center"/>
    </xf>
    <xf borderId="24" fillId="2" fontId="3" numFmtId="0" xfId="0" applyBorder="1" applyFont="1"/>
    <xf borderId="24" fillId="3" fontId="3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25" fillId="9" fontId="3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8">
    <tableStyle count="3" pivot="0" name="Thermonix-style">
      <tableStyleElement dxfId="1" type="headerRow"/>
      <tableStyleElement dxfId="2" type="firstRowStripe"/>
      <tableStyleElement dxfId="3" type="secondRowStripe"/>
    </tableStyle>
    <tableStyle count="3" pivot="0" name="CombinedHumanGrading-style">
      <tableStyleElement dxfId="1" type="headerRow"/>
      <tableStyleElement dxfId="2" type="firstRowStripe"/>
      <tableStyleElement dxfId="3" type="secondRowStripe"/>
    </tableStyle>
    <tableStyle count="3" pivot="0" name="GPT-5.5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1" displayName="Table_1" name="Table_1" id="1">
  <tableColumns count="2">
    <tableColumn name="Type" id="1"/>
    <tableColumn name="Element" id="2"/>
  </tableColumns>
  <tableStyleInfo name="Thermonix-style" showColumnStripes="0" showFirstColumn="1" showLastColumn="1" showRowStripes="1"/>
</table>
</file>

<file path=xl/tables/table2.xml><?xml version="1.0" encoding="utf-8"?>
<table xmlns="http://schemas.openxmlformats.org/spreadsheetml/2006/main" ref="A1:D51" displayName="Table_2" name="Table_2" id="2">
  <tableColumns count="4">
    <tableColumn name="Type" id="1"/>
    <tableColumn name="Element" id="2"/>
    <tableColumn name="Rater 1" id="3"/>
    <tableColumn name="Notes" id="4"/>
  </tableColumns>
  <tableStyleInfo name="CombinedHumanGrading-style" showColumnStripes="0" showFirstColumn="1" showLastColumn="1" showRowStripes="1"/>
</table>
</file>

<file path=xl/tables/table3.xml><?xml version="1.0" encoding="utf-8"?>
<table xmlns="http://schemas.openxmlformats.org/spreadsheetml/2006/main" ref="A1:D51" displayName="Table_3" name="Table_3" id="3">
  <tableColumns count="4">
    <tableColumn name="Type" id="1"/>
    <tableColumn name="Element" id="2"/>
    <tableColumn name="GPT-5.5 Grading" id="3"/>
    <tableColumn name="Notes" id="4"/>
  </tableColumns>
  <tableStyleInfo name="GPT-5.5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eneration LLM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ing LLMs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A1:D51" displayName="Table_7" name="Table_7" id="7">
  <tableColumns count="4">
    <tableColumn name="Type" id="1"/>
    <tableColumn name="Element" id="2"/>
    <tableColumn name="CombinedHumanGrading" id="3"/>
    <tableColumn name="GPT-5.5" id="4"/>
  </tableColumns>
  <tableStyleInfo name="Inter-rater-style" showColumnStripes="0" showFirstColumn="1" showLastColumn="1" showRowStripes="1"/>
</table>
</file>

<file path=xl/tables/table8.xml><?xml version="1.0" encoding="utf-8"?>
<table xmlns="http://schemas.openxmlformats.org/spreadsheetml/2006/main" ref="A1:D51" displayName="Table_8" name="Table_8" id="8">
  <tableColumns count="4">
    <tableColumn name="Type" id="1"/>
    <tableColumn name="Element" id="2"/>
    <tableColumn name="CombinedHumanGrading" id="3"/>
    <tableColumn name="GPT-5.5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22" width="10.63"/>
  </cols>
  <sheetData>
    <row r="1" ht="12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4" t="s">
        <v>2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4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4" t="s">
        <v>2</v>
      </c>
      <c r="B5" s="5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4" t="s">
        <v>5</v>
      </c>
      <c r="B6" s="5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4" t="s">
        <v>5</v>
      </c>
      <c r="B7" s="5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4" t="s">
        <v>2</v>
      </c>
      <c r="B8" s="5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4" t="s">
        <v>5</v>
      </c>
      <c r="B9" s="5" t="s">
        <v>11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4" t="s">
        <v>12</v>
      </c>
      <c r="B10" s="5" t="s">
        <v>13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4" t="s">
        <v>14</v>
      </c>
      <c r="B11" s="5" t="s">
        <v>15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4" t="s">
        <v>5</v>
      </c>
      <c r="B12" s="5" t="s">
        <v>16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4" t="s">
        <v>5</v>
      </c>
      <c r="B13" s="5" t="s">
        <v>17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4" t="s">
        <v>2</v>
      </c>
      <c r="B14" s="5" t="s">
        <v>18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4" t="s">
        <v>2</v>
      </c>
      <c r="B15" s="5" t="s">
        <v>19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5.0" customHeight="1">
      <c r="A16" s="4" t="s">
        <v>5</v>
      </c>
      <c r="B16" s="5" t="s">
        <v>20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12.75" customHeight="1">
      <c r="A17" s="4" t="s">
        <v>5</v>
      </c>
      <c r="B17" s="5" t="s">
        <v>21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2.75" customHeight="1">
      <c r="A18" s="4" t="s">
        <v>22</v>
      </c>
      <c r="B18" s="5" t="s">
        <v>23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7" t="s">
        <v>24</v>
      </c>
      <c r="B19" s="8" t="s">
        <v>25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4" t="s">
        <v>2</v>
      </c>
      <c r="B20" s="5" t="s">
        <v>26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4" t="s">
        <v>5</v>
      </c>
      <c r="B21" s="5" t="s">
        <v>27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4" t="s">
        <v>5</v>
      </c>
      <c r="B22" s="5" t="s">
        <v>28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2.75" customHeight="1">
      <c r="A23" s="4" t="s">
        <v>2</v>
      </c>
      <c r="B23" s="5" t="s">
        <v>29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2.75" customHeight="1">
      <c r="A24" s="4" t="s">
        <v>5</v>
      </c>
      <c r="B24" s="5" t="s">
        <v>30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4" t="s">
        <v>22</v>
      </c>
      <c r="B25" s="5" t="s">
        <v>31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2.75" customHeight="1">
      <c r="A26" s="4" t="s">
        <v>24</v>
      </c>
      <c r="B26" s="5" t="s">
        <v>25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4" t="s">
        <v>5</v>
      </c>
      <c r="B27" s="5" t="s">
        <v>32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4" t="s">
        <v>22</v>
      </c>
      <c r="B28" s="5" t="s">
        <v>33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4" t="s">
        <v>24</v>
      </c>
      <c r="B29" s="5" t="s">
        <v>34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4" t="s">
        <v>2</v>
      </c>
      <c r="B30" s="5" t="s">
        <v>35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2.75" customHeight="1">
      <c r="A31" s="4" t="s">
        <v>5</v>
      </c>
      <c r="B31" s="5" t="s">
        <v>36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2.75" customHeight="1">
      <c r="A32" s="4" t="s">
        <v>22</v>
      </c>
      <c r="B32" s="5" t="s">
        <v>37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7" t="s">
        <v>24</v>
      </c>
      <c r="B33" s="8" t="s">
        <v>25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2.75" customHeight="1">
      <c r="A34" s="4" t="s">
        <v>5</v>
      </c>
      <c r="B34" s="5" t="s">
        <v>38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0" customHeight="1">
      <c r="A35" s="4" t="s">
        <v>22</v>
      </c>
      <c r="B35" s="5" t="s">
        <v>39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0" customHeight="1">
      <c r="A36" s="4" t="s">
        <v>24</v>
      </c>
      <c r="B36" s="5" t="s">
        <v>40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0" customHeight="1">
      <c r="A37" s="4" t="s">
        <v>2</v>
      </c>
      <c r="B37" s="5" t="s">
        <v>41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5.0" customHeight="1">
      <c r="A38" s="4" t="s">
        <v>5</v>
      </c>
      <c r="B38" s="5" t="s">
        <v>42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0" customHeight="1">
      <c r="A39" s="9" t="s">
        <v>22</v>
      </c>
      <c r="B39" s="10" t="s">
        <v>37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7" t="s">
        <v>24</v>
      </c>
      <c r="B40" s="8" t="s">
        <v>25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4" t="s">
        <v>5</v>
      </c>
      <c r="B41" s="5" t="s">
        <v>43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4" t="s">
        <v>22</v>
      </c>
      <c r="B42" s="5" t="s">
        <v>44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4" t="s">
        <v>2</v>
      </c>
      <c r="B43" s="5" t="s">
        <v>45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11" t="s">
        <v>5</v>
      </c>
      <c r="B44" s="12" t="s">
        <v>46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2.75" customHeight="1">
      <c r="A45" s="13" t="s">
        <v>2</v>
      </c>
      <c r="B45" s="14" t="s">
        <v>47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2.75" customHeight="1">
      <c r="A46" s="13" t="s">
        <v>5</v>
      </c>
      <c r="B46" s="14" t="s">
        <v>47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2.75" customHeight="1">
      <c r="A47" s="4" t="s">
        <v>22</v>
      </c>
      <c r="B47" s="5" t="s">
        <v>47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2.75" customHeight="1">
      <c r="A48" s="13" t="s">
        <v>24</v>
      </c>
      <c r="B48" s="14" t="s">
        <v>47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2.75" customHeight="1">
      <c r="A49" s="4" t="s">
        <v>12</v>
      </c>
      <c r="B49" s="5" t="s">
        <v>47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2.75" customHeight="1">
      <c r="A50" s="13" t="s">
        <v>48</v>
      </c>
      <c r="B50" s="14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2.75" customHeight="1">
      <c r="A51" s="4" t="s">
        <v>14</v>
      </c>
      <c r="B51" s="5" t="s">
        <v>47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15"/>
      <c r="B52" s="1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15"/>
      <c r="B53" s="1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15"/>
      <c r="B54" s="1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15"/>
      <c r="B55" s="1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15"/>
      <c r="B56" s="1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15"/>
      <c r="B57" s="1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15"/>
      <c r="B58" s="1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15"/>
      <c r="B59" s="1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15"/>
      <c r="B60" s="1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15"/>
      <c r="B61" s="1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15"/>
      <c r="B62" s="1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15"/>
      <c r="B63" s="1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15"/>
      <c r="B64" s="1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15"/>
      <c r="B65" s="1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15"/>
      <c r="B66" s="1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15"/>
      <c r="B67" s="1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15"/>
      <c r="B68" s="1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15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15"/>
      <c r="B70" s="1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15"/>
      <c r="B71" s="1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15"/>
      <c r="B72" s="1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15"/>
      <c r="B73" s="1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15"/>
      <c r="B74" s="1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15"/>
      <c r="B75" s="1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15"/>
      <c r="B76" s="1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15"/>
      <c r="B77" s="1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15"/>
      <c r="B78" s="1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15"/>
      <c r="B79" s="1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15"/>
      <c r="B80" s="1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15"/>
      <c r="B81" s="1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15"/>
      <c r="B82" s="1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15"/>
      <c r="B83" s="1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15"/>
      <c r="B84" s="1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15"/>
      <c r="B85" s="1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15"/>
      <c r="B86" s="1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15"/>
      <c r="B87" s="1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15"/>
      <c r="B88" s="1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15"/>
      <c r="B89" s="1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15"/>
      <c r="B90" s="1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15"/>
      <c r="B91" s="1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15"/>
      <c r="B92" s="1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15"/>
      <c r="B93" s="1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15"/>
      <c r="B94" s="1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15"/>
      <c r="B95" s="1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15"/>
      <c r="B96" s="1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15"/>
      <c r="B97" s="1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15"/>
      <c r="B98" s="1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15"/>
      <c r="B99" s="1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15"/>
      <c r="B100" s="1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15"/>
      <c r="B101" s="1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15"/>
      <c r="B102" s="1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15"/>
      <c r="B103" s="1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15"/>
      <c r="B104" s="1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15"/>
      <c r="B105" s="1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15"/>
      <c r="B106" s="1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15"/>
      <c r="B107" s="1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15"/>
      <c r="B108" s="1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15"/>
      <c r="B109" s="1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15"/>
      <c r="B110" s="1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15"/>
      <c r="B111" s="1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15"/>
      <c r="B112" s="1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15"/>
      <c r="B113" s="1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15"/>
      <c r="B114" s="1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15"/>
      <c r="B115" s="1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15"/>
      <c r="B116" s="1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15"/>
      <c r="B117" s="1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15"/>
      <c r="B118" s="1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15"/>
      <c r="B119" s="1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15"/>
      <c r="B120" s="1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15"/>
      <c r="B121" s="1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15"/>
      <c r="B122" s="1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15"/>
      <c r="B123" s="1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15"/>
      <c r="B124" s="1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15"/>
      <c r="B125" s="1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15"/>
      <c r="B126" s="1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15"/>
      <c r="B127" s="1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15"/>
      <c r="B128" s="1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15"/>
      <c r="B129" s="1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15"/>
      <c r="B130" s="1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15"/>
      <c r="B131" s="1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15"/>
      <c r="B132" s="1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15"/>
      <c r="B133" s="1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15"/>
      <c r="B134" s="1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15"/>
      <c r="B135" s="1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15"/>
      <c r="B136" s="1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15"/>
      <c r="B137" s="1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15"/>
      <c r="B138" s="1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15"/>
      <c r="B139" s="1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15"/>
      <c r="B140" s="1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15"/>
      <c r="B141" s="1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15"/>
      <c r="B142" s="1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15"/>
      <c r="B143" s="1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15"/>
      <c r="B144" s="1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15"/>
      <c r="B145" s="1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15"/>
      <c r="B146" s="1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15"/>
      <c r="B147" s="1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15"/>
      <c r="B148" s="1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15"/>
      <c r="B149" s="1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15"/>
      <c r="B150" s="1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15"/>
      <c r="B151" s="1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15"/>
      <c r="B152" s="1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15"/>
      <c r="B153" s="1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15"/>
      <c r="B154" s="1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15"/>
      <c r="B155" s="1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15"/>
      <c r="B156" s="1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15"/>
      <c r="B157" s="1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15"/>
      <c r="B158" s="1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15"/>
      <c r="B159" s="1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15"/>
      <c r="B160" s="1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15"/>
      <c r="B161" s="1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15"/>
      <c r="B162" s="1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15"/>
      <c r="B163" s="1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15"/>
      <c r="B164" s="1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15"/>
      <c r="B165" s="1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15"/>
      <c r="B166" s="1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15"/>
      <c r="B167" s="1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15"/>
      <c r="B168" s="1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15"/>
      <c r="B169" s="1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15"/>
      <c r="B170" s="1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15"/>
      <c r="B171" s="1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15"/>
      <c r="B172" s="1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15"/>
      <c r="B173" s="1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15"/>
      <c r="B174" s="1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15"/>
      <c r="B175" s="1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15"/>
      <c r="B176" s="1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15"/>
      <c r="B177" s="1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15"/>
      <c r="B178" s="1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15"/>
      <c r="B179" s="1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15"/>
      <c r="B180" s="1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15"/>
      <c r="B181" s="1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15"/>
      <c r="B182" s="1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15"/>
      <c r="B183" s="1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15"/>
      <c r="B184" s="1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15"/>
      <c r="B185" s="1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15"/>
      <c r="B186" s="1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15"/>
      <c r="B187" s="1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15"/>
      <c r="B188" s="1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15"/>
      <c r="B189" s="1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15"/>
      <c r="B190" s="1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15"/>
      <c r="B191" s="1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15"/>
      <c r="B192" s="1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15"/>
      <c r="B193" s="1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15"/>
      <c r="B194" s="1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15"/>
      <c r="B195" s="1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15"/>
      <c r="B196" s="1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15"/>
      <c r="B197" s="1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15"/>
      <c r="B198" s="1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15"/>
      <c r="B199" s="1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15"/>
      <c r="B200" s="1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15"/>
      <c r="B201" s="1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15"/>
      <c r="B202" s="1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15"/>
      <c r="B203" s="1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15"/>
      <c r="B204" s="1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15"/>
      <c r="B205" s="1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15"/>
      <c r="B206" s="1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15"/>
      <c r="B207" s="1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15"/>
      <c r="B208" s="1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15"/>
      <c r="B209" s="1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15"/>
      <c r="B210" s="1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15"/>
      <c r="B211" s="1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15"/>
      <c r="B212" s="1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15"/>
      <c r="B213" s="1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15"/>
      <c r="B214" s="1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15"/>
      <c r="B215" s="1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15"/>
      <c r="B216" s="1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15"/>
      <c r="B217" s="1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15"/>
      <c r="B218" s="1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15"/>
      <c r="B219" s="1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15"/>
      <c r="B220" s="1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15"/>
      <c r="B221" s="1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15"/>
      <c r="B222" s="1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15"/>
      <c r="B223" s="1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15"/>
      <c r="B224" s="1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15"/>
      <c r="B225" s="1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15"/>
      <c r="B226" s="1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15"/>
      <c r="B227" s="1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15"/>
      <c r="B228" s="1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15"/>
      <c r="B229" s="1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15"/>
      <c r="B230" s="1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15"/>
      <c r="B231" s="1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15"/>
      <c r="B232" s="1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15"/>
      <c r="B233" s="1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15"/>
      <c r="B234" s="1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15"/>
      <c r="B235" s="1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15"/>
      <c r="B236" s="1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15"/>
      <c r="B237" s="1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15"/>
      <c r="B238" s="1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15"/>
      <c r="B239" s="1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15"/>
      <c r="B240" s="1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15"/>
      <c r="B241" s="1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15"/>
      <c r="B242" s="1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15"/>
      <c r="B243" s="1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15"/>
      <c r="B244" s="1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15"/>
      <c r="B245" s="1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2.75" customHeight="1">
      <c r="A246" s="15"/>
      <c r="B246" s="1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2.75" customHeight="1">
      <c r="A247" s="15"/>
      <c r="B247" s="1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2.75" customHeight="1">
      <c r="A248" s="15"/>
      <c r="B248" s="1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2.75" customHeight="1">
      <c r="A249" s="15"/>
      <c r="B249" s="1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2.75" customHeight="1">
      <c r="A250" s="15"/>
      <c r="B250" s="1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2.75" customHeight="1">
      <c r="A251" s="15"/>
      <c r="B251" s="1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54.63"/>
    <col customWidth="1" min="5" max="22" width="10.63"/>
  </cols>
  <sheetData>
    <row r="1" ht="12.75" customHeight="1">
      <c r="A1" s="1" t="s">
        <v>0</v>
      </c>
      <c r="B1" s="2" t="s">
        <v>1</v>
      </c>
      <c r="C1" s="17" t="s">
        <v>49</v>
      </c>
      <c r="D1" s="17" t="s">
        <v>50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4" t="s">
        <v>2</v>
      </c>
      <c r="B2" s="5" t="s">
        <v>3</v>
      </c>
      <c r="C2" s="18">
        <v>1.0</v>
      </c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4" t="s">
        <v>2</v>
      </c>
      <c r="B3" s="5" t="s">
        <v>4</v>
      </c>
      <c r="C3" s="19">
        <v>1.0</v>
      </c>
      <c r="D3" s="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4" t="s">
        <v>5</v>
      </c>
      <c r="B4" s="5" t="s">
        <v>6</v>
      </c>
      <c r="C4" s="18">
        <v>1.0</v>
      </c>
      <c r="D4" s="10" t="s">
        <v>51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4" t="s">
        <v>2</v>
      </c>
      <c r="B5" s="5" t="s">
        <v>7</v>
      </c>
      <c r="C5" s="19">
        <v>1.0</v>
      </c>
      <c r="D5" s="8" t="s">
        <v>52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4" t="s">
        <v>5</v>
      </c>
      <c r="B6" s="5" t="s">
        <v>8</v>
      </c>
      <c r="C6" s="18">
        <v>1.0</v>
      </c>
      <c r="D6" s="10" t="s">
        <v>53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4" t="s">
        <v>5</v>
      </c>
      <c r="B7" s="5" t="s">
        <v>9</v>
      </c>
      <c r="C7" s="19">
        <v>1.0</v>
      </c>
      <c r="D7" s="8" t="s">
        <v>54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4" t="s">
        <v>2</v>
      </c>
      <c r="B8" s="5" t="s">
        <v>10</v>
      </c>
      <c r="C8" s="18">
        <v>1.0</v>
      </c>
      <c r="D8" s="10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4" t="s">
        <v>5</v>
      </c>
      <c r="B9" s="5" t="s">
        <v>11</v>
      </c>
      <c r="C9" s="19">
        <v>1.0</v>
      </c>
      <c r="D9" s="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4" t="s">
        <v>12</v>
      </c>
      <c r="B10" s="5" t="s">
        <v>13</v>
      </c>
      <c r="C10" s="18">
        <v>0.0</v>
      </c>
      <c r="D10" s="10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4" t="s">
        <v>14</v>
      </c>
      <c r="B11" s="5" t="s">
        <v>15</v>
      </c>
      <c r="C11" s="19">
        <v>0.0</v>
      </c>
      <c r="D11" s="8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4" t="s">
        <v>5</v>
      </c>
      <c r="B12" s="5" t="s">
        <v>16</v>
      </c>
      <c r="C12" s="18">
        <v>1.0</v>
      </c>
      <c r="D12" s="10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4" t="s">
        <v>5</v>
      </c>
      <c r="B13" s="5" t="s">
        <v>17</v>
      </c>
      <c r="C13" s="19">
        <v>1.0</v>
      </c>
      <c r="D13" s="8" t="s">
        <v>55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4" t="s">
        <v>2</v>
      </c>
      <c r="B14" s="5" t="s">
        <v>18</v>
      </c>
      <c r="C14" s="18">
        <v>0.0</v>
      </c>
      <c r="D14" s="10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4" t="s">
        <v>2</v>
      </c>
      <c r="B15" s="5" t="s">
        <v>19</v>
      </c>
      <c r="C15" s="19">
        <v>1.0</v>
      </c>
      <c r="D15" s="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5.0" customHeight="1">
      <c r="A16" s="4" t="s">
        <v>5</v>
      </c>
      <c r="B16" s="5" t="s">
        <v>20</v>
      </c>
      <c r="C16" s="18">
        <v>1.0</v>
      </c>
      <c r="D16" s="10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12.75" customHeight="1">
      <c r="A17" s="4" t="s">
        <v>5</v>
      </c>
      <c r="B17" s="5" t="s">
        <v>21</v>
      </c>
      <c r="C17" s="19">
        <v>1.0</v>
      </c>
      <c r="D17" s="8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2.75" customHeight="1">
      <c r="A18" s="4" t="s">
        <v>22</v>
      </c>
      <c r="B18" s="5" t="s">
        <v>23</v>
      </c>
      <c r="C18" s="18">
        <v>1.0</v>
      </c>
      <c r="D18" s="10" t="s">
        <v>56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7" t="s">
        <v>24</v>
      </c>
      <c r="B19" s="8" t="s">
        <v>25</v>
      </c>
      <c r="C19" s="19">
        <v>1.0</v>
      </c>
      <c r="D19" s="8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4" t="s">
        <v>2</v>
      </c>
      <c r="B20" s="5" t="s">
        <v>26</v>
      </c>
      <c r="C20" s="18">
        <v>1.0</v>
      </c>
      <c r="D20" s="10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4" t="s">
        <v>5</v>
      </c>
      <c r="B21" s="5" t="s">
        <v>27</v>
      </c>
      <c r="C21" s="19">
        <v>1.0</v>
      </c>
      <c r="D21" s="8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4" t="s">
        <v>5</v>
      </c>
      <c r="B22" s="5" t="s">
        <v>28</v>
      </c>
      <c r="C22" s="18">
        <v>1.0</v>
      </c>
      <c r="D22" s="10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2.75" customHeight="1">
      <c r="A23" s="4" t="s">
        <v>2</v>
      </c>
      <c r="B23" s="5" t="s">
        <v>29</v>
      </c>
      <c r="C23" s="19">
        <v>0.0</v>
      </c>
      <c r="D23" s="8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2.75" customHeight="1">
      <c r="A24" s="4" t="s">
        <v>5</v>
      </c>
      <c r="B24" s="5" t="s">
        <v>30</v>
      </c>
      <c r="C24" s="18">
        <v>0.0</v>
      </c>
      <c r="D24" s="10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4" t="s">
        <v>22</v>
      </c>
      <c r="B25" s="5" t="s">
        <v>31</v>
      </c>
      <c r="C25" s="19">
        <v>0.0</v>
      </c>
      <c r="D25" s="8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2.75" customHeight="1">
      <c r="A26" s="4" t="s">
        <v>24</v>
      </c>
      <c r="B26" s="5" t="s">
        <v>25</v>
      </c>
      <c r="C26" s="19">
        <v>0.0</v>
      </c>
      <c r="D26" s="8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4" t="s">
        <v>5</v>
      </c>
      <c r="B27" s="5" t="s">
        <v>32</v>
      </c>
      <c r="C27" s="18">
        <v>1.0</v>
      </c>
      <c r="D27" s="10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4" t="s">
        <v>22</v>
      </c>
      <c r="B28" s="5" t="s">
        <v>33</v>
      </c>
      <c r="C28" s="19">
        <v>0.5</v>
      </c>
      <c r="D28" s="8" t="s">
        <v>58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4" t="s">
        <v>24</v>
      </c>
      <c r="B29" s="5" t="s">
        <v>34</v>
      </c>
      <c r="C29" s="18">
        <v>0.0</v>
      </c>
      <c r="D29" s="10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4" t="s">
        <v>2</v>
      </c>
      <c r="B30" s="5" t="s">
        <v>35</v>
      </c>
      <c r="C30" s="19">
        <v>1.0</v>
      </c>
      <c r="D30" s="8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2.75" customHeight="1">
      <c r="A31" s="4" t="s">
        <v>5</v>
      </c>
      <c r="B31" s="5" t="s">
        <v>36</v>
      </c>
      <c r="C31" s="18">
        <v>0.0</v>
      </c>
      <c r="D31" s="10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2.75" customHeight="1">
      <c r="A32" s="4" t="s">
        <v>22</v>
      </c>
      <c r="B32" s="5" t="s">
        <v>37</v>
      </c>
      <c r="C32" s="19">
        <v>0.0</v>
      </c>
      <c r="D32" s="8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7" t="s">
        <v>24</v>
      </c>
      <c r="B33" s="8" t="s">
        <v>25</v>
      </c>
      <c r="C33" s="18">
        <v>0.0</v>
      </c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2.75" customHeight="1">
      <c r="A34" s="4" t="s">
        <v>5</v>
      </c>
      <c r="B34" s="5" t="s">
        <v>38</v>
      </c>
      <c r="C34" s="19">
        <v>1.0</v>
      </c>
      <c r="D34" s="8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0" customHeight="1">
      <c r="A35" s="4" t="s">
        <v>22</v>
      </c>
      <c r="B35" s="5" t="s">
        <v>39</v>
      </c>
      <c r="C35" s="18">
        <v>0.0</v>
      </c>
      <c r="D35" s="10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0" customHeight="1">
      <c r="A36" s="4" t="s">
        <v>24</v>
      </c>
      <c r="B36" s="5" t="s">
        <v>40</v>
      </c>
      <c r="C36" s="19">
        <v>0.0</v>
      </c>
      <c r="D36" s="8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0" customHeight="1">
      <c r="A37" s="4" t="s">
        <v>2</v>
      </c>
      <c r="B37" s="5" t="s">
        <v>41</v>
      </c>
      <c r="C37" s="18">
        <v>1.0</v>
      </c>
      <c r="D37" s="10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5.0" customHeight="1">
      <c r="A38" s="4" t="s">
        <v>5</v>
      </c>
      <c r="B38" s="5" t="s">
        <v>42</v>
      </c>
      <c r="C38" s="19">
        <v>1.0</v>
      </c>
      <c r="D38" s="8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0" customHeight="1">
      <c r="A39" s="9" t="s">
        <v>22</v>
      </c>
      <c r="B39" s="10" t="s">
        <v>37</v>
      </c>
      <c r="C39" s="18">
        <v>0.5</v>
      </c>
      <c r="D39" s="10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7" t="s">
        <v>24</v>
      </c>
      <c r="B40" s="8" t="s">
        <v>25</v>
      </c>
      <c r="C40" s="19">
        <v>0.0</v>
      </c>
      <c r="D40" s="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4" t="s">
        <v>5</v>
      </c>
      <c r="B41" s="5" t="s">
        <v>43</v>
      </c>
      <c r="C41" s="18">
        <v>1.0</v>
      </c>
      <c r="D41" s="1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4" t="s">
        <v>22</v>
      </c>
      <c r="B42" s="5" t="s">
        <v>44</v>
      </c>
      <c r="C42" s="19">
        <v>1.0</v>
      </c>
      <c r="D42" s="8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4" t="s">
        <v>2</v>
      </c>
      <c r="B43" s="5" t="s">
        <v>45</v>
      </c>
      <c r="C43" s="18">
        <v>1.0</v>
      </c>
      <c r="D43" s="10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11" t="s">
        <v>5</v>
      </c>
      <c r="B44" s="12" t="s">
        <v>46</v>
      </c>
      <c r="C44" s="20">
        <v>0.0</v>
      </c>
      <c r="D44" s="21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2.75" customHeight="1">
      <c r="A45" s="13" t="s">
        <v>2</v>
      </c>
      <c r="B45" s="14" t="s">
        <v>47</v>
      </c>
      <c r="C45" s="18">
        <v>0.0</v>
      </c>
      <c r="D45" s="10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2.75" customHeight="1">
      <c r="A46" s="13" t="s">
        <v>5</v>
      </c>
      <c r="B46" s="14" t="s">
        <v>47</v>
      </c>
      <c r="C46" s="19">
        <v>0.0</v>
      </c>
      <c r="D46" s="8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2.75" customHeight="1">
      <c r="A47" s="4" t="s">
        <v>22</v>
      </c>
      <c r="B47" s="5" t="s">
        <v>47</v>
      </c>
      <c r="C47" s="18">
        <v>0.0</v>
      </c>
      <c r="D47" s="10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2.75" customHeight="1">
      <c r="A48" s="13" t="s">
        <v>24</v>
      </c>
      <c r="B48" s="14" t="s">
        <v>47</v>
      </c>
      <c r="C48" s="19">
        <v>0.0</v>
      </c>
      <c r="D48" s="8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2.75" customHeight="1">
      <c r="A49" s="4" t="s">
        <v>12</v>
      </c>
      <c r="B49" s="5" t="s">
        <v>47</v>
      </c>
      <c r="C49" s="18">
        <v>0.0</v>
      </c>
      <c r="D49" s="10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2.75" customHeight="1">
      <c r="A50" s="13" t="s">
        <v>48</v>
      </c>
      <c r="B50" s="14" t="s">
        <v>47</v>
      </c>
      <c r="C50" s="19">
        <v>0.0</v>
      </c>
      <c r="D50" s="8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2.75" customHeight="1">
      <c r="A51" s="4" t="s">
        <v>14</v>
      </c>
      <c r="B51" s="5" t="s">
        <v>47</v>
      </c>
      <c r="C51" s="18">
        <v>0.0</v>
      </c>
      <c r="D51" s="10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15"/>
      <c r="B52" s="1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15"/>
      <c r="B53" s="1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15"/>
      <c r="B54" s="1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15"/>
      <c r="B55" s="1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15"/>
      <c r="B56" s="1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15"/>
      <c r="B57" s="1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15"/>
      <c r="B58" s="1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15"/>
      <c r="B59" s="1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15"/>
      <c r="B60" s="1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15"/>
      <c r="B61" s="1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15"/>
      <c r="B62" s="1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15"/>
      <c r="B63" s="1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15"/>
      <c r="B64" s="1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15"/>
      <c r="B65" s="1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15"/>
      <c r="B66" s="1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15"/>
      <c r="B67" s="1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15"/>
      <c r="B68" s="1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15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15"/>
      <c r="B70" s="1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15"/>
      <c r="B71" s="1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15"/>
      <c r="B72" s="1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15"/>
      <c r="B73" s="1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15"/>
      <c r="B74" s="1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15"/>
      <c r="B75" s="1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15"/>
      <c r="B76" s="1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15"/>
      <c r="B77" s="1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15"/>
      <c r="B78" s="1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15"/>
      <c r="B79" s="1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15"/>
      <c r="B80" s="1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15"/>
      <c r="B81" s="1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15"/>
      <c r="B82" s="1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15"/>
      <c r="B83" s="1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15"/>
      <c r="B84" s="1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15"/>
      <c r="B85" s="1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15"/>
      <c r="B86" s="1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15"/>
      <c r="B87" s="1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15"/>
      <c r="B88" s="1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15"/>
      <c r="B89" s="1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15"/>
      <c r="B90" s="1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15"/>
      <c r="B91" s="1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15"/>
      <c r="B92" s="1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15"/>
      <c r="B93" s="1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15"/>
      <c r="B94" s="1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15"/>
      <c r="B95" s="1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15"/>
      <c r="B96" s="1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15"/>
      <c r="B97" s="1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15"/>
      <c r="B98" s="1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15"/>
      <c r="B99" s="1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15"/>
      <c r="B100" s="1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15"/>
      <c r="B101" s="1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15"/>
      <c r="B102" s="1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15"/>
      <c r="B103" s="1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15"/>
      <c r="B104" s="1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15"/>
      <c r="B105" s="1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15"/>
      <c r="B106" s="1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15"/>
      <c r="B107" s="1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15"/>
      <c r="B108" s="1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15"/>
      <c r="B109" s="1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15"/>
      <c r="B110" s="1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15"/>
      <c r="B111" s="1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15"/>
      <c r="B112" s="1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15"/>
      <c r="B113" s="1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15"/>
      <c r="B114" s="1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15"/>
      <c r="B115" s="1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15"/>
      <c r="B116" s="1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15"/>
      <c r="B117" s="1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15"/>
      <c r="B118" s="1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15"/>
      <c r="B119" s="1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15"/>
      <c r="B120" s="1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15"/>
      <c r="B121" s="1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15"/>
      <c r="B122" s="1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15"/>
      <c r="B123" s="1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15"/>
      <c r="B124" s="1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15"/>
      <c r="B125" s="1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15"/>
      <c r="B126" s="1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15"/>
      <c r="B127" s="1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15"/>
      <c r="B128" s="1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15"/>
      <c r="B129" s="1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15"/>
      <c r="B130" s="1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15"/>
      <c r="B131" s="1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15"/>
      <c r="B132" s="1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15"/>
      <c r="B133" s="1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15"/>
      <c r="B134" s="1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15"/>
      <c r="B135" s="1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15"/>
      <c r="B136" s="1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15"/>
      <c r="B137" s="1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15"/>
      <c r="B138" s="1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15"/>
      <c r="B139" s="1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15"/>
      <c r="B140" s="1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15"/>
      <c r="B141" s="1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15"/>
      <c r="B142" s="1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15"/>
      <c r="B143" s="1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15"/>
      <c r="B144" s="1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15"/>
      <c r="B145" s="1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15"/>
      <c r="B146" s="1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15"/>
      <c r="B147" s="1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15"/>
      <c r="B148" s="1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15"/>
      <c r="B149" s="1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15"/>
      <c r="B150" s="1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15"/>
      <c r="B151" s="1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15"/>
      <c r="B152" s="1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15"/>
      <c r="B153" s="1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15"/>
      <c r="B154" s="1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15"/>
      <c r="B155" s="1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15"/>
      <c r="B156" s="1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15"/>
      <c r="B157" s="1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15"/>
      <c r="B158" s="1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15"/>
      <c r="B159" s="1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15"/>
      <c r="B160" s="1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15"/>
      <c r="B161" s="1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15"/>
      <c r="B162" s="1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15"/>
      <c r="B163" s="1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15"/>
      <c r="B164" s="1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15"/>
      <c r="B165" s="1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15"/>
      <c r="B166" s="1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15"/>
      <c r="B167" s="1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15"/>
      <c r="B168" s="1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15"/>
      <c r="B169" s="1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15"/>
      <c r="B170" s="1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15"/>
      <c r="B171" s="1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15"/>
      <c r="B172" s="1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15"/>
      <c r="B173" s="1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15"/>
      <c r="B174" s="1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15"/>
      <c r="B175" s="1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15"/>
      <c r="B176" s="1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15"/>
      <c r="B177" s="1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15"/>
      <c r="B178" s="1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15"/>
      <c r="B179" s="1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15"/>
      <c r="B180" s="1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15"/>
      <c r="B181" s="1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15"/>
      <c r="B182" s="1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15"/>
      <c r="B183" s="1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15"/>
      <c r="B184" s="1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15"/>
      <c r="B185" s="1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15"/>
      <c r="B186" s="1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15"/>
      <c r="B187" s="1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15"/>
      <c r="B188" s="1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15"/>
      <c r="B189" s="1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15"/>
      <c r="B190" s="1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15"/>
      <c r="B191" s="1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15"/>
      <c r="B192" s="1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15"/>
      <c r="B193" s="1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15"/>
      <c r="B194" s="1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15"/>
      <c r="B195" s="1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15"/>
      <c r="B196" s="1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15"/>
      <c r="B197" s="1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15"/>
      <c r="B198" s="1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15"/>
      <c r="B199" s="1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15"/>
      <c r="B200" s="1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15"/>
      <c r="B201" s="1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15"/>
      <c r="B202" s="1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15"/>
      <c r="B203" s="1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15"/>
      <c r="B204" s="1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15"/>
      <c r="B205" s="1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15"/>
      <c r="B206" s="1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15"/>
      <c r="B207" s="1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15"/>
      <c r="B208" s="1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15"/>
      <c r="B209" s="1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15"/>
      <c r="B210" s="1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15"/>
      <c r="B211" s="1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15"/>
      <c r="B212" s="1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15"/>
      <c r="B213" s="1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15"/>
      <c r="B214" s="1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15"/>
      <c r="B215" s="1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15"/>
      <c r="B216" s="1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15"/>
      <c r="B217" s="1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15"/>
      <c r="B218" s="1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15"/>
      <c r="B219" s="1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15"/>
      <c r="B220" s="1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15"/>
      <c r="B221" s="1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15"/>
      <c r="B222" s="1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15"/>
      <c r="B223" s="1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15"/>
      <c r="B224" s="1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15"/>
      <c r="B225" s="1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15"/>
      <c r="B226" s="1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15"/>
      <c r="B227" s="1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15"/>
      <c r="B228" s="1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15"/>
      <c r="B229" s="1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15"/>
      <c r="B230" s="1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15"/>
      <c r="B231" s="1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15"/>
      <c r="B232" s="1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15"/>
      <c r="B233" s="1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15"/>
      <c r="B234" s="1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15"/>
      <c r="B235" s="1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15"/>
      <c r="B236" s="1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15"/>
      <c r="B237" s="1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15"/>
      <c r="B238" s="1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15"/>
      <c r="B239" s="1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15"/>
      <c r="B240" s="1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15"/>
      <c r="B241" s="1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15"/>
      <c r="B242" s="1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15"/>
      <c r="B243" s="1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15"/>
      <c r="B244" s="1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15"/>
      <c r="B245" s="1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2.75" customHeight="1">
      <c r="A246" s="15"/>
      <c r="B246" s="1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2.75" customHeight="1">
      <c r="A247" s="15"/>
      <c r="B247" s="1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2.75" customHeight="1">
      <c r="A248" s="15"/>
      <c r="B248" s="1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2.75" customHeight="1">
      <c r="A249" s="15"/>
      <c r="B249" s="1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2.75" customHeight="1">
      <c r="A250" s="15"/>
      <c r="B250" s="1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2.75" customHeight="1">
      <c r="A251" s="15"/>
      <c r="B251" s="1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77.5"/>
    <col customWidth="1" min="5" max="22" width="10.63"/>
  </cols>
  <sheetData>
    <row r="1" ht="12.75" customHeight="1">
      <c r="A1" s="1" t="s">
        <v>0</v>
      </c>
      <c r="B1" s="2" t="s">
        <v>1</v>
      </c>
      <c r="C1" s="22" t="s">
        <v>59</v>
      </c>
      <c r="D1" s="17" t="s">
        <v>50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23" t="s">
        <v>2</v>
      </c>
      <c r="B2" s="24" t="s">
        <v>3</v>
      </c>
      <c r="C2" s="25">
        <v>1.0</v>
      </c>
      <c r="D2" s="26" t="s">
        <v>60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23" t="s">
        <v>2</v>
      </c>
      <c r="B3" s="24" t="s">
        <v>4</v>
      </c>
      <c r="C3" s="25">
        <v>1.0</v>
      </c>
      <c r="D3" s="26" t="s">
        <v>61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23" t="s">
        <v>5</v>
      </c>
      <c r="B4" s="24" t="s">
        <v>6</v>
      </c>
      <c r="C4" s="25">
        <v>1.0</v>
      </c>
      <c r="D4" s="26" t="s">
        <v>62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23" t="s">
        <v>2</v>
      </c>
      <c r="B5" s="24" t="s">
        <v>7</v>
      </c>
      <c r="C5" s="25">
        <v>1.0</v>
      </c>
      <c r="D5" s="26" t="s">
        <v>63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23" t="s">
        <v>5</v>
      </c>
      <c r="B6" s="24" t="s">
        <v>8</v>
      </c>
      <c r="C6" s="25">
        <v>1.0</v>
      </c>
      <c r="D6" s="26" t="s">
        <v>64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23" t="s">
        <v>5</v>
      </c>
      <c r="B7" s="24" t="s">
        <v>9</v>
      </c>
      <c r="C7" s="25">
        <v>0.5</v>
      </c>
      <c r="D7" s="26" t="s">
        <v>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23" t="s">
        <v>2</v>
      </c>
      <c r="B8" s="24" t="s">
        <v>10</v>
      </c>
      <c r="C8" s="25">
        <v>1.0</v>
      </c>
      <c r="D8" s="26" t="s">
        <v>66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23" t="s">
        <v>5</v>
      </c>
      <c r="B9" s="24" t="s">
        <v>11</v>
      </c>
      <c r="C9" s="25">
        <v>1.0</v>
      </c>
      <c r="D9" s="26" t="s">
        <v>67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23" t="s">
        <v>12</v>
      </c>
      <c r="B10" s="24" t="s">
        <v>13</v>
      </c>
      <c r="C10" s="25">
        <v>0.5</v>
      </c>
      <c r="D10" s="26" t="s">
        <v>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23" t="s">
        <v>14</v>
      </c>
      <c r="B11" s="24" t="s">
        <v>15</v>
      </c>
      <c r="C11" s="25">
        <v>0.0</v>
      </c>
      <c r="D11" s="26" t="s">
        <v>69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23" t="s">
        <v>5</v>
      </c>
      <c r="B12" s="24" t="s">
        <v>16</v>
      </c>
      <c r="C12" s="25">
        <v>0.5</v>
      </c>
      <c r="D12" s="26" t="s">
        <v>70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23" t="s">
        <v>5</v>
      </c>
      <c r="B13" s="24" t="s">
        <v>17</v>
      </c>
      <c r="C13" s="25">
        <v>0.5</v>
      </c>
      <c r="D13" s="26" t="s">
        <v>71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23" t="s">
        <v>2</v>
      </c>
      <c r="B14" s="24" t="s">
        <v>72</v>
      </c>
      <c r="C14" s="25">
        <v>1.0</v>
      </c>
      <c r="D14" s="26" t="s">
        <v>73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23" t="s">
        <v>2</v>
      </c>
      <c r="B15" s="24" t="s">
        <v>19</v>
      </c>
      <c r="C15" s="25">
        <v>1.0</v>
      </c>
      <c r="D15" s="26" t="s">
        <v>74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5.0" customHeight="1">
      <c r="A16" s="23" t="s">
        <v>5</v>
      </c>
      <c r="B16" s="24" t="s">
        <v>20</v>
      </c>
      <c r="C16" s="25">
        <v>1.0</v>
      </c>
      <c r="D16" s="26" t="s">
        <v>75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12.75" customHeight="1">
      <c r="A17" s="23" t="s">
        <v>5</v>
      </c>
      <c r="B17" s="24" t="s">
        <v>21</v>
      </c>
      <c r="C17" s="25">
        <v>1.0</v>
      </c>
      <c r="D17" s="26" t="s">
        <v>76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2.75" customHeight="1">
      <c r="A18" s="23" t="s">
        <v>22</v>
      </c>
      <c r="B18" s="24" t="s">
        <v>23</v>
      </c>
      <c r="C18" s="25">
        <v>1.0</v>
      </c>
      <c r="D18" s="26" t="s">
        <v>77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27" t="s">
        <v>24</v>
      </c>
      <c r="B19" s="28" t="s">
        <v>25</v>
      </c>
      <c r="C19" s="25">
        <v>0.5</v>
      </c>
      <c r="D19" s="26" t="s">
        <v>78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23" t="s">
        <v>2</v>
      </c>
      <c r="B20" s="24" t="s">
        <v>26</v>
      </c>
      <c r="C20" s="25">
        <v>1.0</v>
      </c>
      <c r="D20" s="26" t="s">
        <v>79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23" t="s">
        <v>5</v>
      </c>
      <c r="B21" s="24" t="s">
        <v>27</v>
      </c>
      <c r="C21" s="25">
        <v>1.0</v>
      </c>
      <c r="D21" s="26" t="s">
        <v>80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23" t="s">
        <v>5</v>
      </c>
      <c r="B22" s="24" t="s">
        <v>28</v>
      </c>
      <c r="C22" s="25">
        <v>1.0</v>
      </c>
      <c r="D22" s="26" t="s">
        <v>81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2.75" customHeight="1">
      <c r="A23" s="23" t="s">
        <v>2</v>
      </c>
      <c r="B23" s="24" t="s">
        <v>29</v>
      </c>
      <c r="C23" s="25">
        <v>1.0</v>
      </c>
      <c r="D23" s="26" t="s">
        <v>82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2.75" customHeight="1">
      <c r="A24" s="23" t="s">
        <v>5</v>
      </c>
      <c r="B24" s="24" t="s">
        <v>30</v>
      </c>
      <c r="C24" s="25">
        <v>0.0</v>
      </c>
      <c r="D24" s="26" t="s">
        <v>83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23" t="s">
        <v>22</v>
      </c>
      <c r="B25" s="24" t="s">
        <v>31</v>
      </c>
      <c r="C25" s="25">
        <v>0.0</v>
      </c>
      <c r="D25" s="26" t="s">
        <v>84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2.75" customHeight="1">
      <c r="A26" s="23" t="s">
        <v>24</v>
      </c>
      <c r="B26" s="24" t="s">
        <v>25</v>
      </c>
      <c r="C26" s="25">
        <v>0.0</v>
      </c>
      <c r="D26" s="26" t="s">
        <v>85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23" t="s">
        <v>5</v>
      </c>
      <c r="B27" s="24" t="s">
        <v>32</v>
      </c>
      <c r="C27" s="25">
        <v>1.0</v>
      </c>
      <c r="D27" s="26" t="s">
        <v>86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23" t="s">
        <v>22</v>
      </c>
      <c r="B28" s="24" t="s">
        <v>33</v>
      </c>
      <c r="C28" s="25">
        <v>0.5</v>
      </c>
      <c r="D28" s="26" t="s">
        <v>87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23" t="s">
        <v>24</v>
      </c>
      <c r="B29" s="24" t="s">
        <v>34</v>
      </c>
      <c r="C29" s="25">
        <v>0.5</v>
      </c>
      <c r="D29" s="26" t="s">
        <v>88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23" t="s">
        <v>2</v>
      </c>
      <c r="B30" s="24" t="s">
        <v>35</v>
      </c>
      <c r="C30" s="25">
        <v>1.0</v>
      </c>
      <c r="D30" s="26" t="s">
        <v>89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2.75" customHeight="1">
      <c r="A31" s="23" t="s">
        <v>5</v>
      </c>
      <c r="B31" s="24" t="s">
        <v>36</v>
      </c>
      <c r="C31" s="25">
        <v>0.0</v>
      </c>
      <c r="D31" s="26" t="s">
        <v>90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2.75" customHeight="1">
      <c r="A32" s="23" t="s">
        <v>22</v>
      </c>
      <c r="B32" s="24" t="s">
        <v>37</v>
      </c>
      <c r="C32" s="25">
        <v>0.0</v>
      </c>
      <c r="D32" s="26" t="s">
        <v>91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27" t="s">
        <v>24</v>
      </c>
      <c r="B33" s="28" t="s">
        <v>25</v>
      </c>
      <c r="C33" s="25">
        <v>0.0</v>
      </c>
      <c r="D33" s="26" t="s">
        <v>92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2.75" customHeight="1">
      <c r="A34" s="23" t="s">
        <v>5</v>
      </c>
      <c r="B34" s="24" t="s">
        <v>38</v>
      </c>
      <c r="C34" s="25">
        <v>1.0</v>
      </c>
      <c r="D34" s="26" t="s">
        <v>93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0" customHeight="1">
      <c r="A35" s="23" t="s">
        <v>22</v>
      </c>
      <c r="B35" s="24" t="s">
        <v>39</v>
      </c>
      <c r="C35" s="25">
        <v>0.0</v>
      </c>
      <c r="D35" s="26" t="s">
        <v>94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0" customHeight="1">
      <c r="A36" s="23" t="s">
        <v>24</v>
      </c>
      <c r="B36" s="24" t="s">
        <v>40</v>
      </c>
      <c r="C36" s="25">
        <v>0.5</v>
      </c>
      <c r="D36" s="26" t="s">
        <v>95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0" customHeight="1">
      <c r="A37" s="23" t="s">
        <v>2</v>
      </c>
      <c r="B37" s="24" t="s">
        <v>41</v>
      </c>
      <c r="C37" s="25">
        <v>1.0</v>
      </c>
      <c r="D37" s="26" t="s">
        <v>96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5.0" customHeight="1">
      <c r="A38" s="23" t="s">
        <v>5</v>
      </c>
      <c r="B38" s="24" t="s">
        <v>42</v>
      </c>
      <c r="C38" s="25">
        <v>1.0</v>
      </c>
      <c r="D38" s="26" t="s">
        <v>97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0" customHeight="1">
      <c r="A39" s="29" t="s">
        <v>22</v>
      </c>
      <c r="B39" s="30" t="s">
        <v>37</v>
      </c>
      <c r="C39" s="25">
        <v>1.0</v>
      </c>
      <c r="D39" s="26" t="s">
        <v>98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27" t="s">
        <v>24</v>
      </c>
      <c r="B40" s="28" t="s">
        <v>25</v>
      </c>
      <c r="C40" s="25">
        <v>0.5</v>
      </c>
      <c r="D40" s="26" t="s">
        <v>99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23" t="s">
        <v>5</v>
      </c>
      <c r="B41" s="24" t="s">
        <v>43</v>
      </c>
      <c r="C41" s="25">
        <v>1.0</v>
      </c>
      <c r="D41" s="26" t="s">
        <v>100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23" t="s">
        <v>22</v>
      </c>
      <c r="B42" s="24" t="s">
        <v>44</v>
      </c>
      <c r="C42" s="25">
        <v>1.0</v>
      </c>
      <c r="D42" s="26" t="s">
        <v>101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23" t="s">
        <v>2</v>
      </c>
      <c r="B43" s="24" t="s">
        <v>45</v>
      </c>
      <c r="C43" s="25">
        <v>1.0</v>
      </c>
      <c r="D43" s="26" t="s">
        <v>102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31" t="s">
        <v>5</v>
      </c>
      <c r="B44" s="32" t="s">
        <v>46</v>
      </c>
      <c r="C44" s="25">
        <v>0.0</v>
      </c>
      <c r="D44" s="26" t="s">
        <v>103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2.75" customHeight="1">
      <c r="A45" s="33" t="s">
        <v>2</v>
      </c>
      <c r="B45" s="34" t="s">
        <v>47</v>
      </c>
      <c r="C45" s="25">
        <v>0.0</v>
      </c>
      <c r="D45" s="26" t="s">
        <v>104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2.75" customHeight="1">
      <c r="A46" s="33" t="s">
        <v>5</v>
      </c>
      <c r="B46" s="34" t="s">
        <v>47</v>
      </c>
      <c r="C46" s="25">
        <v>0.0</v>
      </c>
      <c r="D46" s="26" t="s">
        <v>105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2.75" customHeight="1">
      <c r="A47" s="23" t="s">
        <v>22</v>
      </c>
      <c r="B47" s="24" t="s">
        <v>47</v>
      </c>
      <c r="C47" s="25">
        <v>0.0</v>
      </c>
      <c r="D47" s="26" t="s">
        <v>106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2.75" customHeight="1">
      <c r="A48" s="33" t="s">
        <v>24</v>
      </c>
      <c r="B48" s="34" t="s">
        <v>47</v>
      </c>
      <c r="C48" s="25">
        <v>0.0</v>
      </c>
      <c r="D48" s="26" t="s">
        <v>107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2.75" customHeight="1">
      <c r="A49" s="23" t="s">
        <v>12</v>
      </c>
      <c r="B49" s="24" t="s">
        <v>47</v>
      </c>
      <c r="C49" s="25">
        <v>0.0</v>
      </c>
      <c r="D49" s="26" t="s">
        <v>108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2.75" customHeight="1">
      <c r="A50" s="33" t="s">
        <v>48</v>
      </c>
      <c r="B50" s="34" t="s">
        <v>47</v>
      </c>
      <c r="C50" s="25">
        <v>0.0</v>
      </c>
      <c r="D50" s="26" t="s">
        <v>109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2.75" customHeight="1">
      <c r="A51" s="23" t="s">
        <v>14</v>
      </c>
      <c r="B51" s="24" t="s">
        <v>47</v>
      </c>
      <c r="C51" s="25">
        <v>0.0</v>
      </c>
      <c r="D51" s="26" t="s">
        <v>110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15"/>
      <c r="B52" s="16"/>
      <c r="C52" s="3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15"/>
      <c r="B53" s="16"/>
      <c r="C53" s="3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15"/>
      <c r="B54" s="16"/>
      <c r="C54" s="35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15"/>
      <c r="B55" s="16"/>
      <c r="C55" s="35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15"/>
      <c r="B56" s="16"/>
      <c r="C56" s="35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15"/>
      <c r="B57" s="16"/>
      <c r="C57" s="35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15"/>
      <c r="B58" s="16"/>
      <c r="C58" s="35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15"/>
      <c r="B59" s="16"/>
      <c r="C59" s="35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15"/>
      <c r="B60" s="16"/>
      <c r="C60" s="35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15"/>
      <c r="B61" s="16"/>
      <c r="C61" s="35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15"/>
      <c r="B62" s="16"/>
      <c r="C62" s="35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15"/>
      <c r="B63" s="16"/>
      <c r="C63" s="35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15"/>
      <c r="B64" s="16"/>
      <c r="C64" s="35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15"/>
      <c r="B65" s="16"/>
      <c r="C65" s="35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15"/>
      <c r="B66" s="16"/>
      <c r="C66" s="35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15"/>
      <c r="B67" s="16"/>
      <c r="C67" s="35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15"/>
      <c r="B68" s="16"/>
      <c r="C68" s="3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15"/>
      <c r="B69" s="16"/>
      <c r="C69" s="3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15"/>
      <c r="B70" s="16"/>
      <c r="C70" s="35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15"/>
      <c r="B71" s="16"/>
      <c r="C71" s="3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15"/>
      <c r="B72" s="16"/>
      <c r="C72" s="35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15"/>
      <c r="B73" s="16"/>
      <c r="C73" s="35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15"/>
      <c r="B74" s="16"/>
      <c r="C74" s="35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15"/>
      <c r="B75" s="16"/>
      <c r="C75" s="35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15"/>
      <c r="B76" s="16"/>
      <c r="C76" s="35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15"/>
      <c r="B77" s="16"/>
      <c r="C77" s="35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15"/>
      <c r="B78" s="16"/>
      <c r="C78" s="35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15"/>
      <c r="B79" s="16"/>
      <c r="C79" s="35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15"/>
      <c r="B80" s="16"/>
      <c r="C80" s="35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15"/>
      <c r="B81" s="16"/>
      <c r="C81" s="35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15"/>
      <c r="B82" s="16"/>
      <c r="C82" s="35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15"/>
      <c r="B83" s="16"/>
      <c r="C83" s="35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15"/>
      <c r="B84" s="16"/>
      <c r="C84" s="35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15"/>
      <c r="B85" s="16"/>
      <c r="C85" s="35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15"/>
      <c r="B86" s="16"/>
      <c r="C86" s="35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15"/>
      <c r="B87" s="16"/>
      <c r="C87" s="35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15"/>
      <c r="B88" s="16"/>
      <c r="C88" s="35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15"/>
      <c r="B89" s="16"/>
      <c r="C89" s="35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15"/>
      <c r="B90" s="16"/>
      <c r="C90" s="35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15"/>
      <c r="B91" s="16"/>
      <c r="C91" s="35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15"/>
      <c r="B92" s="16"/>
      <c r="C92" s="35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15"/>
      <c r="B93" s="16"/>
      <c r="C93" s="35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15"/>
      <c r="B94" s="16"/>
      <c r="C94" s="35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15"/>
      <c r="B95" s="16"/>
      <c r="C95" s="35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15"/>
      <c r="B96" s="16"/>
      <c r="C96" s="35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15"/>
      <c r="B97" s="16"/>
      <c r="C97" s="3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15"/>
      <c r="B98" s="16"/>
      <c r="C98" s="35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15"/>
      <c r="B99" s="16"/>
      <c r="C99" s="3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15"/>
      <c r="B100" s="16"/>
      <c r="C100" s="3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15"/>
      <c r="B101" s="16"/>
      <c r="C101" s="3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15"/>
      <c r="B102" s="16"/>
      <c r="C102" s="3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15"/>
      <c r="B103" s="16"/>
      <c r="C103" s="3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15"/>
      <c r="B104" s="16"/>
      <c r="C104" s="3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15"/>
      <c r="B105" s="16"/>
      <c r="C105" s="3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15"/>
      <c r="B106" s="16"/>
      <c r="C106" s="35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15"/>
      <c r="B107" s="16"/>
      <c r="C107" s="3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15"/>
      <c r="B108" s="16"/>
      <c r="C108" s="35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15"/>
      <c r="B109" s="16"/>
      <c r="C109" s="3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15"/>
      <c r="B110" s="16"/>
      <c r="C110" s="35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15"/>
      <c r="B111" s="16"/>
      <c r="C111" s="3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15"/>
      <c r="B112" s="16"/>
      <c r="C112" s="35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15"/>
      <c r="B113" s="16"/>
      <c r="C113" s="3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15"/>
      <c r="B114" s="16"/>
      <c r="C114" s="35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15"/>
      <c r="B115" s="16"/>
      <c r="C115" s="3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15"/>
      <c r="B116" s="16"/>
      <c r="C116" s="35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15"/>
      <c r="B117" s="16"/>
      <c r="C117" s="3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15"/>
      <c r="B118" s="16"/>
      <c r="C118" s="35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15"/>
      <c r="B119" s="16"/>
      <c r="C119" s="3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15"/>
      <c r="B120" s="16"/>
      <c r="C120" s="3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15"/>
      <c r="B121" s="16"/>
      <c r="C121" s="3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15"/>
      <c r="B122" s="16"/>
      <c r="C122" s="35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15"/>
      <c r="B123" s="16"/>
      <c r="C123" s="3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15"/>
      <c r="B124" s="16"/>
      <c r="C124" s="35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15"/>
      <c r="B125" s="16"/>
      <c r="C125" s="3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15"/>
      <c r="B126" s="16"/>
      <c r="C126" s="35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15"/>
      <c r="B127" s="16"/>
      <c r="C127" s="3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15"/>
      <c r="B128" s="16"/>
      <c r="C128" s="35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15"/>
      <c r="B129" s="16"/>
      <c r="C129" s="3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15"/>
      <c r="B130" s="16"/>
      <c r="C130" s="3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15"/>
      <c r="B131" s="16"/>
      <c r="C131" s="3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15"/>
      <c r="B132" s="16"/>
      <c r="C132" s="35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15"/>
      <c r="B133" s="16"/>
      <c r="C133" s="3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15"/>
      <c r="B134" s="16"/>
      <c r="C134" s="35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15"/>
      <c r="B135" s="16"/>
      <c r="C135" s="3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15"/>
      <c r="B136" s="16"/>
      <c r="C136" s="35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15"/>
      <c r="B137" s="16"/>
      <c r="C137" s="3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15"/>
      <c r="B138" s="16"/>
      <c r="C138" s="3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15"/>
      <c r="B139" s="16"/>
      <c r="C139" s="3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15"/>
      <c r="B140" s="16"/>
      <c r="C140" s="35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15"/>
      <c r="B141" s="16"/>
      <c r="C141" s="3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15"/>
      <c r="B142" s="16"/>
      <c r="C142" s="35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15"/>
      <c r="B143" s="16"/>
      <c r="C143" s="3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15"/>
      <c r="B144" s="16"/>
      <c r="C144" s="35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15"/>
      <c r="B145" s="16"/>
      <c r="C145" s="35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15"/>
      <c r="B146" s="16"/>
      <c r="C146" s="35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15"/>
      <c r="B147" s="16"/>
      <c r="C147" s="3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15"/>
      <c r="B148" s="16"/>
      <c r="C148" s="35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15"/>
      <c r="B149" s="16"/>
      <c r="C149" s="35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15"/>
      <c r="B150" s="16"/>
      <c r="C150" s="35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15"/>
      <c r="B151" s="16"/>
      <c r="C151" s="3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15"/>
      <c r="B152" s="16"/>
      <c r="C152" s="35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15"/>
      <c r="B153" s="16"/>
      <c r="C153" s="3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15"/>
      <c r="B154" s="16"/>
      <c r="C154" s="35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15"/>
      <c r="B155" s="16"/>
      <c r="C155" s="35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15"/>
      <c r="B156" s="16"/>
      <c r="C156" s="35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15"/>
      <c r="B157" s="16"/>
      <c r="C157" s="35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15"/>
      <c r="B158" s="16"/>
      <c r="C158" s="35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15"/>
      <c r="B159" s="16"/>
      <c r="C159" s="35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15"/>
      <c r="B160" s="16"/>
      <c r="C160" s="35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15"/>
      <c r="B161" s="16"/>
      <c r="C161" s="3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15"/>
      <c r="B162" s="16"/>
      <c r="C162" s="35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15"/>
      <c r="B163" s="16"/>
      <c r="C163" s="35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15"/>
      <c r="B164" s="16"/>
      <c r="C164" s="35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15"/>
      <c r="B165" s="16"/>
      <c r="C165" s="35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15"/>
      <c r="B166" s="16"/>
      <c r="C166" s="35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15"/>
      <c r="B167" s="16"/>
      <c r="C167" s="35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15"/>
      <c r="B168" s="16"/>
      <c r="C168" s="35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15"/>
      <c r="B169" s="16"/>
      <c r="C169" s="35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15"/>
      <c r="B170" s="16"/>
      <c r="C170" s="3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15"/>
      <c r="B171" s="16"/>
      <c r="C171" s="35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15"/>
      <c r="B172" s="16"/>
      <c r="C172" s="35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15"/>
      <c r="B173" s="16"/>
      <c r="C173" s="35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15"/>
      <c r="B174" s="16"/>
      <c r="C174" s="35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15"/>
      <c r="B175" s="16"/>
      <c r="C175" s="35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15"/>
      <c r="B176" s="16"/>
      <c r="C176" s="3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15"/>
      <c r="B177" s="16"/>
      <c r="C177" s="35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15"/>
      <c r="B178" s="16"/>
      <c r="C178" s="35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15"/>
      <c r="B179" s="16"/>
      <c r="C179" s="3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15"/>
      <c r="B180" s="16"/>
      <c r="C180" s="35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15"/>
      <c r="B181" s="16"/>
      <c r="C181" s="35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15"/>
      <c r="B182" s="16"/>
      <c r="C182" s="35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15"/>
      <c r="B183" s="16"/>
      <c r="C183" s="35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15"/>
      <c r="B184" s="16"/>
      <c r="C184" s="35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15"/>
      <c r="B185" s="16"/>
      <c r="C185" s="3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15"/>
      <c r="B186" s="16"/>
      <c r="C186" s="35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15"/>
      <c r="B187" s="16"/>
      <c r="C187" s="3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15"/>
      <c r="B188" s="16"/>
      <c r="C188" s="35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15"/>
      <c r="B189" s="16"/>
      <c r="C189" s="3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15"/>
      <c r="B190" s="16"/>
      <c r="C190" s="35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15"/>
      <c r="B191" s="16"/>
      <c r="C191" s="3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15"/>
      <c r="B192" s="16"/>
      <c r="C192" s="35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15"/>
      <c r="B193" s="16"/>
      <c r="C193" s="3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15"/>
      <c r="B194" s="16"/>
      <c r="C194" s="35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15"/>
      <c r="B195" s="16"/>
      <c r="C195" s="3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15"/>
      <c r="B196" s="16"/>
      <c r="C196" s="3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15"/>
      <c r="B197" s="16"/>
      <c r="C197" s="3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15"/>
      <c r="B198" s="16"/>
      <c r="C198" s="35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15"/>
      <c r="B199" s="16"/>
      <c r="C199" s="3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15"/>
      <c r="B200" s="16"/>
      <c r="C200" s="35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15"/>
      <c r="B201" s="16"/>
      <c r="C201" s="3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15"/>
      <c r="B202" s="16"/>
      <c r="C202" s="3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15"/>
      <c r="B203" s="16"/>
      <c r="C203" s="3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15"/>
      <c r="B204" s="16"/>
      <c r="C204" s="3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15"/>
      <c r="B205" s="16"/>
      <c r="C205" s="3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15"/>
      <c r="B206" s="16"/>
      <c r="C206" s="35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15"/>
      <c r="B207" s="16"/>
      <c r="C207" s="3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15"/>
      <c r="B208" s="16"/>
      <c r="C208" s="35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15"/>
      <c r="B209" s="16"/>
      <c r="C209" s="3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15"/>
      <c r="B210" s="16"/>
      <c r="C210" s="35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15"/>
      <c r="B211" s="16"/>
      <c r="C211" s="3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15"/>
      <c r="B212" s="16"/>
      <c r="C212" s="35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15"/>
      <c r="B213" s="16"/>
      <c r="C213" s="3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15"/>
      <c r="B214" s="16"/>
      <c r="C214" s="35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15"/>
      <c r="B215" s="16"/>
      <c r="C215" s="3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15"/>
      <c r="B216" s="16"/>
      <c r="C216" s="35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15"/>
      <c r="B217" s="16"/>
      <c r="C217" s="3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15"/>
      <c r="B218" s="16"/>
      <c r="C218" s="35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15"/>
      <c r="B219" s="16"/>
      <c r="C219" s="3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15"/>
      <c r="B220" s="16"/>
      <c r="C220" s="35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15"/>
      <c r="B221" s="16"/>
      <c r="C221" s="3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15"/>
      <c r="B222" s="16"/>
      <c r="C222" s="3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15"/>
      <c r="B223" s="16"/>
      <c r="C223" s="3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15"/>
      <c r="B224" s="16"/>
      <c r="C224" s="35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15"/>
      <c r="B225" s="16"/>
      <c r="C225" s="3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15"/>
      <c r="B226" s="16"/>
      <c r="C226" s="35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15"/>
      <c r="B227" s="16"/>
      <c r="C227" s="3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15"/>
      <c r="B228" s="16"/>
      <c r="C228" s="3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15"/>
      <c r="B229" s="16"/>
      <c r="C229" s="3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15"/>
      <c r="B230" s="16"/>
      <c r="C230" s="35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15"/>
      <c r="B231" s="16"/>
      <c r="C231" s="3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15"/>
      <c r="B232" s="16"/>
      <c r="C232" s="35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15"/>
      <c r="B233" s="16"/>
      <c r="C233" s="3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15"/>
      <c r="B234" s="16"/>
      <c r="C234" s="35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15"/>
      <c r="B235" s="16"/>
      <c r="C235" s="3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15"/>
      <c r="B236" s="16"/>
      <c r="C236" s="3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15"/>
      <c r="B237" s="16"/>
      <c r="C237" s="3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15"/>
      <c r="B238" s="16"/>
      <c r="C238" s="35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15"/>
      <c r="B239" s="16"/>
      <c r="C239" s="3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15"/>
      <c r="B240" s="16"/>
      <c r="C240" s="35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15"/>
      <c r="B241" s="16"/>
      <c r="C241" s="3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15"/>
      <c r="B242" s="16"/>
      <c r="C242" s="35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15"/>
      <c r="B243" s="16"/>
      <c r="C243" s="3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15"/>
      <c r="B244" s="16"/>
      <c r="C244" s="35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15"/>
      <c r="B245" s="16"/>
      <c r="C245" s="3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2.75" customHeight="1">
      <c r="A246" s="15"/>
      <c r="B246" s="16"/>
      <c r="C246" s="35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2.75" customHeight="1">
      <c r="A247" s="15"/>
      <c r="B247" s="16"/>
      <c r="C247" s="3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2.75" customHeight="1">
      <c r="A248" s="15"/>
      <c r="B248" s="16"/>
      <c r="C248" s="35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2.75" customHeight="1">
      <c r="A249" s="15"/>
      <c r="B249" s="16"/>
      <c r="C249" s="3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2.75" customHeight="1">
      <c r="A250" s="15"/>
      <c r="B250" s="16"/>
      <c r="C250" s="35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2.75" customHeight="1">
      <c r="A251" s="15"/>
      <c r="B251" s="16"/>
      <c r="C251" s="3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3"/>
      <c r="B252" s="3"/>
      <c r="C252" s="35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3"/>
      <c r="B253" s="3"/>
      <c r="C253" s="3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5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5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5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5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5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5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5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5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5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5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5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5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5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5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5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5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5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5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5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5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5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5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5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5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5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5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5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5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5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5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5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5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5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5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5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5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5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5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5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5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5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5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5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5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5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5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5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5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5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5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5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5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5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5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5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5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5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5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5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5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5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5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5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5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5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5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5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5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5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5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5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5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5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5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5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5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5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5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5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5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5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5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5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5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5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5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5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5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5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5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5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5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5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5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5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5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5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5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5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5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5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5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5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5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5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5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5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5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5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5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5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5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5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5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5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5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5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5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5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5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5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5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5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5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5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5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5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5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5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5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5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5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5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5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5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5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5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5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5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5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5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5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5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5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5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5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5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5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5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5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5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5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5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5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5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5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5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5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5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5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5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5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5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5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5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5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5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5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5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5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5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5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5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5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5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5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5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5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5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5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5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5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5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5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5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5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5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5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5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5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5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5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5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5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5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5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5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5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5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5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5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5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5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5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5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5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5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5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5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5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5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5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5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5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5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5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5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5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5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5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5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5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5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5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5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5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5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5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5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5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5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5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5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5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5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5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5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5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5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5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5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5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5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5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5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5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5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5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5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5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5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5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5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5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5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5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5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5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5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5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5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5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5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5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5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5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5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5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5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5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5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5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5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5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5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5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5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5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5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5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5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5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5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5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5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5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5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5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5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5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5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5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5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5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5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5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5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5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5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5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5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5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5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5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5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5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5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5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5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5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5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5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5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5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5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5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5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5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5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5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5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5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5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5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5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5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5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5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5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5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5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5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5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5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5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5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5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5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5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5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5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5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5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5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5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5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5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5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5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5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5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5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5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5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5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5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5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5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5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5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5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5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5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5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5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5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5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5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5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5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5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5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5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5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5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5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5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5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5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5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5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5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5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5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5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5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5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5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5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5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5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5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5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5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5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5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5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5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5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5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5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5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5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5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5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5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5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5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5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5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5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5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5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5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5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5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5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5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5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5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5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5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5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5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5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5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5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5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5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5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5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5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5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5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5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5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5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5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5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5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5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5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5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5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5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5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5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5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5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5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5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5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5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5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5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5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5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5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5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5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5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5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5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5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5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5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5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5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5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5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5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5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5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5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5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5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5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5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5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5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5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5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5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5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5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5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5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5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5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5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5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5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5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5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5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5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5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5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5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5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5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5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5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5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5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5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5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5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5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5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5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5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5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5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5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5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5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5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5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5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5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5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5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5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5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5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5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5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5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5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5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5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5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5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5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5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5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5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5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5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5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5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5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5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5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5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5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5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5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7.13"/>
  </cols>
  <sheetData>
    <row r="1" ht="15.75" customHeight="1">
      <c r="A1" s="36" t="s">
        <v>111</v>
      </c>
      <c r="B1" s="37"/>
      <c r="C1" s="37"/>
      <c r="D1" s="37"/>
      <c r="E1" s="37"/>
      <c r="F1" s="37"/>
      <c r="G1" s="37"/>
      <c r="H1" s="38"/>
      <c r="J1" s="39" t="s">
        <v>112</v>
      </c>
    </row>
    <row r="2" ht="15.75" customHeight="1">
      <c r="A2" s="40" t="s">
        <v>0</v>
      </c>
      <c r="B2" s="40" t="s">
        <v>113</v>
      </c>
      <c r="C2" s="40" t="s">
        <v>114</v>
      </c>
      <c r="D2" s="40" t="s">
        <v>115</v>
      </c>
      <c r="E2" s="40" t="s">
        <v>116</v>
      </c>
      <c r="F2" s="40" t="s">
        <v>117</v>
      </c>
      <c r="G2" s="40" t="s">
        <v>118</v>
      </c>
      <c r="H2" s="40" t="s">
        <v>119</v>
      </c>
      <c r="J2" s="30" t="s">
        <v>120</v>
      </c>
    </row>
    <row r="3" ht="15.75" customHeight="1">
      <c r="A3" s="41" t="s">
        <v>12</v>
      </c>
      <c r="B3" s="42">
        <f>COUNTIF(Thermonix!$A$2:$A$44, A3)</f>
        <v>1</v>
      </c>
      <c r="C3" s="43">
        <f>SUMIF(CombinedHumanGrading!$A$2:$A$44, $A3, CombinedHumanGrading!$C$2:$C$44)</f>
        <v>0</v>
      </c>
      <c r="D3" s="43">
        <f>SUMIF(CombinedHumanGrading!$A$45:$A$51, $A3, CombinedHumanGrading!$C$45:$C$51)</f>
        <v>0</v>
      </c>
      <c r="E3" s="43">
        <f>COUNTIFS(CombinedHumanGrading!$A$2:$A$44, $A3, CombinedHumanGrading!$C$2:$C$44,0)</f>
        <v>1</v>
      </c>
      <c r="F3" s="43" t="str">
        <f t="shared" ref="F3:F10" si="1">IFERROR(C3 / (C3 + D3), "Not Available")</f>
        <v>Not Available</v>
      </c>
      <c r="G3" s="43">
        <f t="shared" ref="G3:G10" si="2">IFERROR(C3 / B3, "Not Available")</f>
        <v>0</v>
      </c>
      <c r="H3" s="43" t="str">
        <f t="shared" ref="H3:H10" si="3">IFERROR(2*((F3*G3)/(F3+G3)),"Not Available")</f>
        <v>Not Available</v>
      </c>
      <c r="J3" s="6"/>
    </row>
    <row r="4" ht="15.75" customHeight="1">
      <c r="A4" s="44" t="s">
        <v>2</v>
      </c>
      <c r="B4" s="42">
        <f>COUNTIF(Thermonix!$A$2:$A$44, A4)</f>
        <v>11</v>
      </c>
      <c r="C4" s="43">
        <f>SUMIF(CombinedHumanGrading!$A$2:$A$44, $A4, CombinedHumanGrading!$C$2:$C$44)</f>
        <v>9</v>
      </c>
      <c r="D4" s="43">
        <f>SUMIF(CombinedHumanGrading!$A$45:$A$51, $A4, CombinedHumanGrading!$C$45:$C$51)</f>
        <v>0</v>
      </c>
      <c r="E4" s="43">
        <f>COUNTIFS(CombinedHumanGrading!$A$2:$A$44, $A4, CombinedHumanGrading!$C$2:$C$44,0)</f>
        <v>2</v>
      </c>
      <c r="F4" s="43">
        <f t="shared" si="1"/>
        <v>1</v>
      </c>
      <c r="G4" s="43">
        <f t="shared" si="2"/>
        <v>0.8181818182</v>
      </c>
      <c r="H4" s="43">
        <f t="shared" si="3"/>
        <v>0.9</v>
      </c>
      <c r="J4" s="39" t="s">
        <v>121</v>
      </c>
    </row>
    <row r="5" ht="15.75" customHeight="1">
      <c r="A5" s="44" t="s">
        <v>5</v>
      </c>
      <c r="B5" s="42">
        <f>COUNTIF(Thermonix!$A$2:$A$44, A5)</f>
        <v>17</v>
      </c>
      <c r="C5" s="43">
        <f>SUMIF(CombinedHumanGrading!$A$2:$A$44, $A5, CombinedHumanGrading!$C$2:$C$44)</f>
        <v>14</v>
      </c>
      <c r="D5" s="43">
        <f>SUMIF(CombinedHumanGrading!$A$45:$A$51, $A5, CombinedHumanGrading!$C$45:$C$51)</f>
        <v>0</v>
      </c>
      <c r="E5" s="43">
        <f>COUNTIFS(CombinedHumanGrading!$A$2:$A$44, $A5, CombinedHumanGrading!$C$2:$C$44,0)</f>
        <v>3</v>
      </c>
      <c r="F5" s="43">
        <f t="shared" si="1"/>
        <v>1</v>
      </c>
      <c r="G5" s="43">
        <f t="shared" si="2"/>
        <v>0.8235294118</v>
      </c>
      <c r="H5" s="43">
        <f t="shared" si="3"/>
        <v>0.9032258065</v>
      </c>
      <c r="J5" s="10" t="s">
        <v>122</v>
      </c>
    </row>
    <row r="6" ht="15.75" customHeight="1">
      <c r="A6" s="44" t="s">
        <v>24</v>
      </c>
      <c r="B6" s="42">
        <f>COUNTIF(Thermonix!$A$2:$A$44, A6)</f>
        <v>6</v>
      </c>
      <c r="C6" s="43">
        <f>SUMIF(CombinedHumanGrading!$A$2:$A$44, $A6, CombinedHumanGrading!$C$2:$C$44)</f>
        <v>1</v>
      </c>
      <c r="D6" s="43">
        <f>SUMIF(CombinedHumanGrading!$A$45:$A$51, $A6, CombinedHumanGrading!$C$45:$C$51)</f>
        <v>0</v>
      </c>
      <c r="E6" s="43">
        <f>COUNTIFS(CombinedHumanGrading!$A$2:$A$44, $A6, CombinedHumanGrading!$C$2:$C$44,0)</f>
        <v>5</v>
      </c>
      <c r="F6" s="43">
        <f t="shared" si="1"/>
        <v>1</v>
      </c>
      <c r="G6" s="43">
        <f t="shared" si="2"/>
        <v>0.1666666667</v>
      </c>
      <c r="H6" s="43">
        <f t="shared" si="3"/>
        <v>0.2857142857</v>
      </c>
      <c r="J6" s="6"/>
    </row>
    <row r="7" ht="15.75" customHeight="1">
      <c r="A7" s="44" t="s">
        <v>48</v>
      </c>
      <c r="B7" s="42">
        <f>COUNTIF(Thermonix!$A$2:$A$44, A7)</f>
        <v>0</v>
      </c>
      <c r="C7" s="43">
        <f>SUMIF(CombinedHumanGrading!$A$2:$A$44, $A7, CombinedHumanGrading!$C$2:$C$44)</f>
        <v>0</v>
      </c>
      <c r="D7" s="43">
        <f>SUMIF(CombinedHumanGrading!$A$45:$A$51, $A7, CombinedHumanGrading!$C$45:$C$51)</f>
        <v>0</v>
      </c>
      <c r="E7" s="43">
        <f>COUNTIFS(CombinedHumanGrading!$A$2:$A$44, $A7, CombinedHumanGrading!$C$2:$C$44,0)</f>
        <v>0</v>
      </c>
      <c r="F7" s="43" t="str">
        <f t="shared" si="1"/>
        <v>Not Available</v>
      </c>
      <c r="G7" s="43" t="str">
        <f t="shared" si="2"/>
        <v>Not Available</v>
      </c>
      <c r="H7" s="43" t="str">
        <f t="shared" si="3"/>
        <v>Not Available</v>
      </c>
      <c r="J7" s="45" t="s">
        <v>123</v>
      </c>
    </row>
    <row r="8" ht="15.75" customHeight="1">
      <c r="A8" s="44" t="s">
        <v>14</v>
      </c>
      <c r="B8" s="42">
        <f>COUNTIF(Thermonix!$A$2:$A$44, A8)</f>
        <v>1</v>
      </c>
      <c r="C8" s="43">
        <f>SUMIF(CombinedHumanGrading!$A$2:$A$44, $A8, CombinedHumanGrading!$C$2:$C$44)</f>
        <v>0</v>
      </c>
      <c r="D8" s="43">
        <f>SUMIF(CombinedHumanGrading!$A$45:$A$51, $A8, CombinedHumanGrading!$C$45:$C$51)</f>
        <v>0</v>
      </c>
      <c r="E8" s="43">
        <f>COUNTIFS(CombinedHumanGrading!$A$2:$A$44, $A8, CombinedHumanGrading!$C$2:$C$44,0)</f>
        <v>1</v>
      </c>
      <c r="F8" s="43" t="str">
        <f t="shared" si="1"/>
        <v>Not Available</v>
      </c>
      <c r="G8" s="43">
        <f t="shared" si="2"/>
        <v>0</v>
      </c>
      <c r="H8" s="43" t="str">
        <f t="shared" si="3"/>
        <v>Not Available</v>
      </c>
      <c r="J8" s="45" t="s">
        <v>124</v>
      </c>
    </row>
    <row r="9" ht="15.75" customHeight="1">
      <c r="A9" s="44" t="s">
        <v>22</v>
      </c>
      <c r="B9" s="42">
        <f>COUNTIF(Thermonix!$A$2:$A$44, A9)</f>
        <v>7</v>
      </c>
      <c r="C9" s="43">
        <f>SUMIF(CombinedHumanGrading!$A$2:$A$44, $A9, CombinedHumanGrading!$C$2:$C$44)</f>
        <v>3</v>
      </c>
      <c r="D9" s="43">
        <f>SUMIF(CombinedHumanGrading!$A$45:$A$51, $A9, CombinedHumanGrading!$C$45:$C$51)</f>
        <v>0</v>
      </c>
      <c r="E9" s="43">
        <f>COUNTIFS(CombinedHumanGrading!$A$2:$A$44, $A9, CombinedHumanGrading!$C$2:$C$44,0)</f>
        <v>3</v>
      </c>
      <c r="F9" s="43">
        <f t="shared" si="1"/>
        <v>1</v>
      </c>
      <c r="G9" s="43">
        <f t="shared" si="2"/>
        <v>0.4285714286</v>
      </c>
      <c r="H9" s="43">
        <f t="shared" si="3"/>
        <v>0.6</v>
      </c>
    </row>
    <row r="10" ht="15.75" customHeight="1">
      <c r="A10" s="44" t="s">
        <v>125</v>
      </c>
      <c r="B10" s="46">
        <f t="shared" ref="B10:E10" si="4">SUM(B3:B9)</f>
        <v>43</v>
      </c>
      <c r="C10" s="46">
        <f t="shared" si="4"/>
        <v>27</v>
      </c>
      <c r="D10" s="46">
        <f t="shared" si="4"/>
        <v>0</v>
      </c>
      <c r="E10" s="46">
        <f t="shared" si="4"/>
        <v>15</v>
      </c>
      <c r="F10" s="43">
        <f t="shared" si="1"/>
        <v>1</v>
      </c>
      <c r="G10" s="43">
        <f t="shared" si="2"/>
        <v>0.6279069767</v>
      </c>
      <c r="H10" s="43">
        <f t="shared" si="3"/>
        <v>0.7714285714</v>
      </c>
    </row>
    <row r="11" ht="15.75" customHeight="1">
      <c r="A11" s="3"/>
      <c r="B11" s="3"/>
      <c r="C11" s="3"/>
      <c r="D11" s="3"/>
      <c r="E11" s="3"/>
      <c r="F11" s="3"/>
    </row>
    <row r="12" ht="15.75" customHeight="1">
      <c r="A12" s="36" t="s">
        <v>126</v>
      </c>
      <c r="B12" s="37"/>
      <c r="C12" s="37"/>
      <c r="D12" s="37"/>
      <c r="E12" s="37"/>
      <c r="F12" s="37"/>
      <c r="G12" s="37"/>
      <c r="H12" s="38"/>
    </row>
    <row r="13" ht="15.75" customHeight="1">
      <c r="A13" s="40" t="s">
        <v>0</v>
      </c>
      <c r="B13" s="40" t="s">
        <v>113</v>
      </c>
      <c r="C13" s="40" t="s">
        <v>114</v>
      </c>
      <c r="D13" s="40" t="s">
        <v>115</v>
      </c>
      <c r="E13" s="40" t="s">
        <v>116</v>
      </c>
      <c r="F13" s="40" t="s">
        <v>117</v>
      </c>
      <c r="G13" s="40" t="s">
        <v>118</v>
      </c>
      <c r="H13" s="40" t="s">
        <v>119</v>
      </c>
    </row>
    <row r="14" ht="15.75" customHeight="1">
      <c r="A14" s="41" t="s">
        <v>127</v>
      </c>
      <c r="B14" s="42">
        <f>COUNTIF(Thermonix!$A$2:$A$44, A14)</f>
        <v>1</v>
      </c>
      <c r="C14" s="43">
        <f>SUMIF('GPT-5.5 Grading'!$A$2:$A$44, $A14, 'GPT-5.5 Grading'!$C$2:$C$44)</f>
        <v>0.5</v>
      </c>
      <c r="D14" s="43">
        <f>SUMIF('GPT-5.5 Grading'!$A$45:$A$51, $A14, 'GPT-5.5 Grading'!$C$45:$C$51)</f>
        <v>0</v>
      </c>
      <c r="E14" s="43">
        <f>COUNTIFS('GPT-5.5 Grading'!$A$2:$A$44, $A14, 'GPT-5.5 Grading'!$C$2:$C$44,0)</f>
        <v>0</v>
      </c>
      <c r="F14" s="43">
        <f t="shared" ref="F14:F21" si="5">IFERROR(C14 / (C14 + D14), "Not Available")</f>
        <v>1</v>
      </c>
      <c r="G14" s="43">
        <f t="shared" ref="G14:G21" si="6">IFERROR(C14 / B14, "Not Available")</f>
        <v>0.5</v>
      </c>
      <c r="H14" s="43">
        <f t="shared" ref="H14:H21" si="7">IFERROR(2*((F14*G14)/(F14+G14)),"Not Available")</f>
        <v>0.6666666667</v>
      </c>
    </row>
    <row r="15" ht="15.75" customHeight="1">
      <c r="A15" s="44" t="s">
        <v>2</v>
      </c>
      <c r="B15" s="42">
        <f>COUNTIF(Thermonix!$A$2:$A$44, A15)</f>
        <v>11</v>
      </c>
      <c r="C15" s="43">
        <f>SUMIF('GPT-5.5 Grading'!$A$2:$A$44, $A15, 'GPT-5.5 Grading'!$C$2:$C$44)</f>
        <v>11</v>
      </c>
      <c r="D15" s="43">
        <f>SUMIF('GPT-5.5 Grading'!$A$45:$A$51, $A15, 'GPT-5.5 Grading'!$C$45:$C$51)</f>
        <v>0</v>
      </c>
      <c r="E15" s="43">
        <f>COUNTIFS('GPT-5.5 Grading'!$A$2:$A$44, $A15, 'GPT-5.5 Grading'!$C$2:$C$44,0)</f>
        <v>0</v>
      </c>
      <c r="F15" s="43">
        <f t="shared" si="5"/>
        <v>1</v>
      </c>
      <c r="G15" s="43">
        <f t="shared" si="6"/>
        <v>1</v>
      </c>
      <c r="H15" s="43">
        <f t="shared" si="7"/>
        <v>1</v>
      </c>
    </row>
    <row r="16" ht="15.75" customHeight="1">
      <c r="A16" s="44" t="s">
        <v>5</v>
      </c>
      <c r="B16" s="42">
        <f>COUNTIF(Thermonix!$A$2:$A$44, A16)</f>
        <v>17</v>
      </c>
      <c r="C16" s="43">
        <f>SUMIF('GPT-5.5 Grading'!$A$2:$A$44, $A16, 'GPT-5.5 Grading'!$C$2:$C$44)</f>
        <v>12.5</v>
      </c>
      <c r="D16" s="43">
        <f>SUMIF('GPT-5.5 Grading'!$A$45:$A$51, $A16, 'GPT-5.5 Grading'!$C$45:$C$51)</f>
        <v>0</v>
      </c>
      <c r="E16" s="43">
        <f>COUNTIFS('GPT-5.5 Grading'!$A$2:$A$44, $A16, 'GPT-5.5 Grading'!$C$2:$C$44,0)</f>
        <v>3</v>
      </c>
      <c r="F16" s="43">
        <f t="shared" si="5"/>
        <v>1</v>
      </c>
      <c r="G16" s="43">
        <f t="shared" si="6"/>
        <v>0.7352941176</v>
      </c>
      <c r="H16" s="43">
        <f t="shared" si="7"/>
        <v>0.8474576271</v>
      </c>
    </row>
    <row r="17" ht="15.75" customHeight="1">
      <c r="A17" s="44" t="s">
        <v>24</v>
      </c>
      <c r="B17" s="42">
        <f>COUNTIF(Thermonix!$A$2:$A$44, A17)</f>
        <v>6</v>
      </c>
      <c r="C17" s="43">
        <f>SUMIF('GPT-5.5 Grading'!$A$2:$A$44, $A17, 'GPT-5.5 Grading'!$C$2:$C$44)</f>
        <v>2</v>
      </c>
      <c r="D17" s="43">
        <f>SUMIF('GPT-5.5 Grading'!$A$45:$A$51, $A17, 'GPT-5.5 Grading'!$C$45:$C$51)</f>
        <v>0</v>
      </c>
      <c r="E17" s="43">
        <f>COUNTIFS('GPT-5.5 Grading'!$A$2:$A$44, $A17, 'GPT-5.5 Grading'!$C$2:$C$44,0)</f>
        <v>2</v>
      </c>
      <c r="F17" s="43">
        <f t="shared" si="5"/>
        <v>1</v>
      </c>
      <c r="G17" s="43">
        <f t="shared" si="6"/>
        <v>0.3333333333</v>
      </c>
      <c r="H17" s="43">
        <f t="shared" si="7"/>
        <v>0.5</v>
      </c>
    </row>
    <row r="18" ht="15.75" customHeight="1">
      <c r="A18" s="44" t="s">
        <v>48</v>
      </c>
      <c r="B18" s="42">
        <f>COUNTIF(Thermonix!$A$2:$A$44, A18)</f>
        <v>0</v>
      </c>
      <c r="C18" s="43">
        <f>SUMIF('GPT-5.5 Grading'!$A$2:$A$44, $A18, 'GPT-5.5 Grading'!$C$2:$C$44)</f>
        <v>0</v>
      </c>
      <c r="D18" s="43">
        <f>SUMIF('GPT-5.5 Grading'!$A$45:$A$51, $A18, 'GPT-5.5 Grading'!$C$45:$C$51)</f>
        <v>0</v>
      </c>
      <c r="E18" s="43">
        <f>COUNTIFS('GPT-5.5 Grading'!$A$2:$A$44, $A18, 'GPT-5.5 Grading'!$C$2:$C$44,0)</f>
        <v>0</v>
      </c>
      <c r="F18" s="43" t="str">
        <f t="shared" si="5"/>
        <v>Not Available</v>
      </c>
      <c r="G18" s="43" t="str">
        <f t="shared" si="6"/>
        <v>Not Available</v>
      </c>
      <c r="H18" s="43" t="str">
        <f t="shared" si="7"/>
        <v>Not Available</v>
      </c>
    </row>
    <row r="19" ht="15.75" customHeight="1">
      <c r="A19" s="44" t="s">
        <v>14</v>
      </c>
      <c r="B19" s="42">
        <f>COUNTIF(Thermonix!$A$2:$A$44, A19)</f>
        <v>1</v>
      </c>
      <c r="C19" s="43">
        <f>SUMIF('GPT-5.5 Grading'!$A$2:$A$44, $A19, 'GPT-5.5 Grading'!$C$2:$C$44)</f>
        <v>0</v>
      </c>
      <c r="D19" s="43">
        <f>SUMIF('GPT-5.5 Grading'!$A$45:$A$51, $A19, 'GPT-5.5 Grading'!$C$45:$C$51)</f>
        <v>0</v>
      </c>
      <c r="E19" s="43">
        <f>COUNTIFS('GPT-5.5 Grading'!$A$2:$A$44, $A19, 'GPT-5.5 Grading'!$C$2:$C$44,0)</f>
        <v>1</v>
      </c>
      <c r="F19" s="43" t="str">
        <f t="shared" si="5"/>
        <v>Not Available</v>
      </c>
      <c r="G19" s="43">
        <f t="shared" si="6"/>
        <v>0</v>
      </c>
      <c r="H19" s="43" t="str">
        <f t="shared" si="7"/>
        <v>Not Available</v>
      </c>
    </row>
    <row r="20" ht="15.75" customHeight="1">
      <c r="A20" s="44" t="s">
        <v>22</v>
      </c>
      <c r="B20" s="42">
        <f>COUNTIF(Thermonix!$A$2:$A$44, A20)</f>
        <v>7</v>
      </c>
      <c r="C20" s="43">
        <f>SUMIF('GPT-5.5 Grading'!$A$2:$A$44, $A20, 'GPT-5.5 Grading'!$C$2:$C$44)</f>
        <v>3.5</v>
      </c>
      <c r="D20" s="43">
        <f>SUMIF('GPT-5.5 Grading'!$A$45:$A$51, $A20, 'GPT-5.5 Grading'!$C$45:$C$51)</f>
        <v>0</v>
      </c>
      <c r="E20" s="43">
        <f>COUNTIFS('GPT-5.5 Grading'!$A$2:$A$44, $A20, 'GPT-5.5 Grading'!$C$2:$C$44,0)</f>
        <v>3</v>
      </c>
      <c r="F20" s="43">
        <f t="shared" si="5"/>
        <v>1</v>
      </c>
      <c r="G20" s="43">
        <f t="shared" si="6"/>
        <v>0.5</v>
      </c>
      <c r="H20" s="43">
        <f t="shared" si="7"/>
        <v>0.6666666667</v>
      </c>
    </row>
    <row r="21" ht="15.75" customHeight="1">
      <c r="A21" s="44" t="s">
        <v>125</v>
      </c>
      <c r="B21" s="43">
        <f t="shared" ref="B21:E21" si="8">SUM(B14:B20)</f>
        <v>43</v>
      </c>
      <c r="C21" s="43">
        <f t="shared" si="8"/>
        <v>29.5</v>
      </c>
      <c r="D21" s="43">
        <f t="shared" si="8"/>
        <v>0</v>
      </c>
      <c r="E21" s="43">
        <f t="shared" si="8"/>
        <v>9</v>
      </c>
      <c r="F21" s="43">
        <f t="shared" si="5"/>
        <v>1</v>
      </c>
      <c r="G21" s="43">
        <f t="shared" si="6"/>
        <v>0.6860465116</v>
      </c>
      <c r="H21" s="43">
        <f t="shared" si="7"/>
        <v>0.8137931034</v>
      </c>
    </row>
    <row r="22" ht="15.75" customHeight="1">
      <c r="A22" s="3"/>
      <c r="B22" s="3"/>
      <c r="C22" s="3"/>
      <c r="D22" s="3"/>
      <c r="E22" s="3"/>
      <c r="F22" s="3"/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10.88"/>
    <col customWidth="1" min="5" max="11" width="10.63"/>
    <col customWidth="1" min="12" max="12" width="27.63"/>
    <col customWidth="1" min="13" max="13" width="11.63"/>
    <col customWidth="1" min="14" max="14" width="50.0"/>
    <col customWidth="1" min="15" max="20" width="10.63"/>
  </cols>
  <sheetData>
    <row r="1" ht="12.75" customHeight="1">
      <c r="A1" s="47" t="s">
        <v>0</v>
      </c>
      <c r="B1" s="22" t="s">
        <v>1</v>
      </c>
      <c r="C1" s="22" t="s">
        <v>128</v>
      </c>
      <c r="D1" s="22" t="s">
        <v>124</v>
      </c>
      <c r="E1" s="6"/>
      <c r="F1" s="48" t="s">
        <v>129</v>
      </c>
      <c r="J1" s="6"/>
      <c r="K1" s="6"/>
      <c r="L1" s="49" t="s">
        <v>130</v>
      </c>
      <c r="M1" s="50"/>
      <c r="N1" s="50"/>
      <c r="O1" s="3"/>
      <c r="P1" s="3"/>
      <c r="Q1" s="3"/>
      <c r="R1" s="3"/>
      <c r="S1" s="3"/>
      <c r="T1" s="3"/>
    </row>
    <row r="2" ht="12.75" customHeight="1">
      <c r="A2" s="9" t="str">
        <f>Thermonix!A2</f>
        <v>State</v>
      </c>
      <c r="B2" s="10" t="str">
        <f>Thermonix!B2</f>
        <v>initial state (⇒ TransportationMode)</v>
      </c>
      <c r="C2" s="18">
        <f>CombinedHumanGrading!C2</f>
        <v>1</v>
      </c>
      <c r="D2" s="18">
        <f>'GPT-5.5 Grading'!C2</f>
        <v>1</v>
      </c>
      <c r="E2" s="6"/>
      <c r="F2" s="51" t="s">
        <v>131</v>
      </c>
      <c r="G2" s="52" t="s">
        <v>132</v>
      </c>
      <c r="H2" s="53" t="s">
        <v>133</v>
      </c>
      <c r="I2" s="54" t="s">
        <v>134</v>
      </c>
      <c r="J2" s="55" t="s">
        <v>135</v>
      </c>
      <c r="K2" s="6"/>
      <c r="L2" s="56" t="s">
        <v>136</v>
      </c>
      <c r="M2" s="56" t="s">
        <v>137</v>
      </c>
      <c r="N2" s="56" t="s">
        <v>138</v>
      </c>
      <c r="O2" s="3"/>
      <c r="P2" s="3"/>
      <c r="Q2" s="3"/>
      <c r="R2" s="3"/>
      <c r="S2" s="3"/>
      <c r="T2" s="3"/>
    </row>
    <row r="3" ht="12.75" customHeight="1">
      <c r="A3" s="7" t="str">
        <f>Thermonix!A3</f>
        <v>State</v>
      </c>
      <c r="B3" s="8" t="str">
        <f>Thermonix!B3</f>
        <v>TransportationMode</v>
      </c>
      <c r="C3" s="18">
        <f>CombinedHumanGrading!C3</f>
        <v>1</v>
      </c>
      <c r="D3" s="18">
        <f>'GPT-5.5 Grading'!C3</f>
        <v>1</v>
      </c>
      <c r="E3" s="6"/>
      <c r="F3" s="57">
        <v>0.0</v>
      </c>
      <c r="G3" s="58">
        <f>COUNTIFS($C$2:$C$84, $F3, $D$2:$D$84, G$2)</f>
        <v>16</v>
      </c>
      <c r="H3" s="59">
        <f>COUNTIFS($C$2:$C$44, $F3, $D$2:$D$44, H$2)</f>
        <v>4</v>
      </c>
      <c r="I3" s="60">
        <f>COUNTIFS($C$2:$C$44, $F3, $D$2:$D$44, I$2)+MAX(D45-C45,0)+MAX(D46-C46,0)+MAX(D47-C47,0)+MAX(D48-C48,0)+MAX(D49-C49,0)+MAX(D50-C50,0)+MAX(D51-C51,0)</f>
        <v>2</v>
      </c>
      <c r="J3" s="51">
        <f t="shared" ref="J3:J5" si="2">SUM(G3:I3)</f>
        <v>22</v>
      </c>
      <c r="K3" s="6"/>
      <c r="L3" s="56" t="s">
        <v>139</v>
      </c>
      <c r="M3" s="58">
        <f>(G3+H4+I5)/COUNTA($C$2:$C$94)</f>
        <v>0.78</v>
      </c>
      <c r="N3" s="60" t="s">
        <v>140</v>
      </c>
      <c r="O3" s="3"/>
      <c r="P3" s="3"/>
      <c r="Q3" s="3"/>
      <c r="R3" s="3"/>
      <c r="S3" s="3"/>
      <c r="T3" s="3"/>
    </row>
    <row r="4" ht="12.75" customHeight="1">
      <c r="A4" s="9" t="str">
        <f>Thermonix!A4</f>
        <v>Transition</v>
      </c>
      <c r="B4" s="10" t="str">
        <f>Thermonix!B4</f>
        <v>selectorPressed (TransportationMode ⇒ On)</v>
      </c>
      <c r="C4" s="18">
        <f>CombinedHumanGrading!C4</f>
        <v>1</v>
      </c>
      <c r="D4" s="18">
        <f>'GPT-5.5 Grading'!C4</f>
        <v>1</v>
      </c>
      <c r="E4" s="6"/>
      <c r="F4" s="57">
        <v>0.5</v>
      </c>
      <c r="G4" s="61">
        <f t="shared" ref="G4:I4" si="1">COUNTIFS($C$2:$C$44, $F4, $D$2:$D$44, G$2)</f>
        <v>0</v>
      </c>
      <c r="H4" s="51">
        <f t="shared" si="1"/>
        <v>1</v>
      </c>
      <c r="I4" s="62">
        <f t="shared" si="1"/>
        <v>1</v>
      </c>
      <c r="J4" s="51">
        <f t="shared" si="2"/>
        <v>2</v>
      </c>
      <c r="K4" s="6"/>
      <c r="L4" s="56" t="s">
        <v>141</v>
      </c>
      <c r="M4" s="61">
        <f t="array" ref="M4">SUMPRODUCT(J3:J5/COUNTA($C$2:$C$94), TRANSPOSE(G6:I6)/COUNTA($C$2:$C$94))</f>
        <v>0.408</v>
      </c>
      <c r="N4" s="62" t="s">
        <v>142</v>
      </c>
      <c r="O4" s="3"/>
      <c r="P4" s="3"/>
      <c r="Q4" s="3"/>
      <c r="R4" s="3"/>
      <c r="S4" s="3"/>
      <c r="T4" s="3"/>
    </row>
    <row r="5" ht="12.75" customHeight="1">
      <c r="A5" s="7" t="str">
        <f>Thermonix!A5</f>
        <v>State</v>
      </c>
      <c r="B5" s="8" t="str">
        <f>Thermonix!B5</f>
        <v>PreparingOff</v>
      </c>
      <c r="C5" s="18">
        <f>CombinedHumanGrading!C5</f>
        <v>1</v>
      </c>
      <c r="D5" s="18">
        <f>'GPT-5.5 Grading'!C5</f>
        <v>1</v>
      </c>
      <c r="E5" s="6"/>
      <c r="F5" s="57">
        <v>1.0</v>
      </c>
      <c r="G5" s="63">
        <f>COUNTIFS($C$2:$C$44, $F5, $D$2:$D$44, G$2)+MAX(C45-D45,0)+MAX(C46-D46,0)+MAX(C47-D47,0)+MAX(C48-D48,0)+MAX(C49-D49,0)+MAX(C50-D50,0)+MAX(C51-D51,0)</f>
        <v>0</v>
      </c>
      <c r="H5" s="64">
        <f>COUNTIFS($C$2:$C$44, $F5, $D$2:$D$44, H$2)</f>
        <v>4</v>
      </c>
      <c r="I5" s="65">
        <f>COUNTIFS($C$2:$C$44, $F5, $D$2:$D$44, I$2)+ SUM(MIN(C45,D45), MIN(C46,D46), MIN(C47,D47), MIN(C48,D48), MIN(C49,D49), MIN(C50,D50), MIN(C51,D51))</f>
        <v>22</v>
      </c>
      <c r="J5" s="51">
        <f t="shared" si="2"/>
        <v>26</v>
      </c>
      <c r="K5" s="6"/>
      <c r="L5" s="56" t="s">
        <v>130</v>
      </c>
      <c r="M5" s="63">
        <f>(M3-M4)/(1-M4)</f>
        <v>0.6283783784</v>
      </c>
      <c r="N5" s="65" t="s">
        <v>143</v>
      </c>
      <c r="O5" s="3"/>
      <c r="P5" s="3"/>
      <c r="Q5" s="3"/>
      <c r="R5" s="3"/>
      <c r="S5" s="3"/>
      <c r="T5" s="3"/>
    </row>
    <row r="6" ht="12.75" customHeight="1">
      <c r="A6" s="9" t="str">
        <f>Thermonix!A6</f>
        <v>Transition</v>
      </c>
      <c r="B6" s="10" t="str">
        <f>Thermonix!B6</f>
        <v>selectorReleased (PreparingOff ⇒ On)</v>
      </c>
      <c r="C6" s="18">
        <f>CombinedHumanGrading!C6</f>
        <v>1</v>
      </c>
      <c r="D6" s="18">
        <f>'GPT-5.5 Grading'!C6</f>
        <v>1</v>
      </c>
      <c r="E6" s="6"/>
      <c r="F6" s="66" t="s">
        <v>144</v>
      </c>
      <c r="G6" s="51">
        <f t="shared" ref="G6:I6" si="3">SUM(G3:G5)</f>
        <v>16</v>
      </c>
      <c r="H6" s="51">
        <f t="shared" si="3"/>
        <v>9</v>
      </c>
      <c r="I6" s="51">
        <f t="shared" si="3"/>
        <v>25</v>
      </c>
      <c r="J6" s="6"/>
      <c r="K6" s="6"/>
      <c r="L6" s="6"/>
      <c r="M6" s="6"/>
      <c r="N6" s="6"/>
      <c r="O6" s="3"/>
      <c r="P6" s="3"/>
      <c r="Q6" s="3"/>
      <c r="R6" s="3"/>
      <c r="S6" s="3"/>
      <c r="T6" s="3"/>
    </row>
    <row r="7" ht="12.75" customHeight="1">
      <c r="A7" s="7" t="str">
        <f>Thermonix!A7</f>
        <v>Transition</v>
      </c>
      <c r="B7" s="8" t="str">
        <f>Thermonix!B7</f>
        <v>after 5sec (PreparingOff ⇒ Off)</v>
      </c>
      <c r="C7" s="18">
        <f>CombinedHumanGrading!C7</f>
        <v>1</v>
      </c>
      <c r="D7" s="18">
        <f>'GPT-5.5 Grading'!C7</f>
        <v>0.5</v>
      </c>
      <c r="E7" s="6"/>
      <c r="F7" s="6"/>
      <c r="G7" s="6"/>
      <c r="H7" s="6"/>
      <c r="I7" s="6"/>
      <c r="J7" s="6"/>
      <c r="K7" s="6"/>
      <c r="L7" s="6"/>
      <c r="M7" s="6"/>
      <c r="N7" s="6"/>
      <c r="O7" s="3"/>
      <c r="P7" s="3"/>
      <c r="Q7" s="3"/>
      <c r="R7" s="3"/>
      <c r="S7" s="3"/>
      <c r="T7" s="3"/>
    </row>
    <row r="8" ht="12.75" customHeight="1">
      <c r="A8" s="9" t="str">
        <f>Thermonix!A8</f>
        <v>State</v>
      </c>
      <c r="B8" s="10" t="str">
        <f>Thermonix!B8</f>
        <v>Off</v>
      </c>
      <c r="C8" s="18">
        <f>CombinedHumanGrading!C8</f>
        <v>1</v>
      </c>
      <c r="D8" s="18">
        <f>'GPT-5.5 Grading'!C8</f>
        <v>1</v>
      </c>
      <c r="E8" s="6"/>
      <c r="F8" s="48" t="s">
        <v>145</v>
      </c>
      <c r="J8" s="6"/>
      <c r="K8" s="6"/>
      <c r="L8" s="49" t="s">
        <v>146</v>
      </c>
      <c r="M8" s="50"/>
      <c r="N8" s="50"/>
      <c r="O8" s="3"/>
      <c r="P8" s="3"/>
      <c r="Q8" s="3"/>
      <c r="R8" s="3"/>
      <c r="S8" s="3"/>
      <c r="T8" s="3"/>
    </row>
    <row r="9" ht="12.75" customHeight="1">
      <c r="A9" s="7" t="str">
        <f>Thermonix!A9</f>
        <v>Transition</v>
      </c>
      <c r="B9" s="8" t="str">
        <f>Thermonix!B9</f>
        <v>selectorPressed (Off ⇒ On)</v>
      </c>
      <c r="C9" s="18">
        <f>CombinedHumanGrading!C9</f>
        <v>1</v>
      </c>
      <c r="D9" s="18">
        <f>'GPT-5.5 Grading'!C9</f>
        <v>1</v>
      </c>
      <c r="E9" s="6"/>
      <c r="F9" s="51" t="s">
        <v>2</v>
      </c>
      <c r="G9" s="67" t="s">
        <v>132</v>
      </c>
      <c r="H9" s="67" t="s">
        <v>133</v>
      </c>
      <c r="I9" s="67" t="s">
        <v>134</v>
      </c>
      <c r="J9" s="68" t="s">
        <v>135</v>
      </c>
      <c r="K9" s="6"/>
      <c r="L9" s="56" t="s">
        <v>136</v>
      </c>
      <c r="M9" s="56" t="s">
        <v>137</v>
      </c>
      <c r="N9" s="56" t="s">
        <v>138</v>
      </c>
      <c r="O9" s="3"/>
      <c r="P9" s="3"/>
      <c r="Q9" s="3"/>
      <c r="R9" s="3"/>
      <c r="S9" s="3"/>
      <c r="T9" s="3"/>
    </row>
    <row r="10" ht="12.75" customHeight="1">
      <c r="A10" s="9" t="str">
        <f>Thermonix!A10</f>
        <v>Composite State</v>
      </c>
      <c r="B10" s="10" t="str">
        <f>Thermonix!B10</f>
        <v>On</v>
      </c>
      <c r="C10" s="18">
        <f>CombinedHumanGrading!C10</f>
        <v>0</v>
      </c>
      <c r="D10" s="18">
        <f>'GPT-5.5 Grading'!C10</f>
        <v>0.5</v>
      </c>
      <c r="E10" s="6"/>
      <c r="F10" s="66">
        <v>0.0</v>
      </c>
      <c r="G10" s="58">
        <f>COUNTIFS($A$2:$A$84,$F$9,$C$2:$C$84,$F10,$D$2:$D$84,G$16)</f>
        <v>1</v>
      </c>
      <c r="H10" s="59">
        <f>COUNTIFS($A$2:$A$84,$F$9,$C$2:$C$84,$F10,$D$2:$D$84,H$9)</f>
        <v>0</v>
      </c>
      <c r="I10" s="60">
        <f>COUNTIFS($A$2:$A$44,$F$9,$C$2:$C$44,$F10,$D$2:$D$44,I$16) + MAX(D39-C39,0)</f>
        <v>2.5</v>
      </c>
      <c r="J10" s="51">
        <f t="shared" ref="J10:J12" si="5">SUM(G10:I10)</f>
        <v>3.5</v>
      </c>
      <c r="K10" s="6"/>
      <c r="L10" s="69"/>
      <c r="M10" s="58">
        <f>(G10+H11+I12)/COUNTIF($A$2:$A$94,F9)</f>
        <v>0.8333333333</v>
      </c>
      <c r="N10" s="60" t="s">
        <v>140</v>
      </c>
      <c r="O10" s="3"/>
      <c r="P10" s="3"/>
      <c r="Q10" s="3"/>
      <c r="R10" s="3"/>
      <c r="S10" s="3"/>
      <c r="T10" s="3"/>
    </row>
    <row r="11" ht="12.75" customHeight="1">
      <c r="A11" s="7" t="str">
        <f>Thermonix!A11</f>
        <v>History State</v>
      </c>
      <c r="B11" s="8" t="str">
        <f>Thermonix!B11</f>
        <v>History State for On</v>
      </c>
      <c r="C11" s="18">
        <f>CombinedHumanGrading!C11</f>
        <v>0</v>
      </c>
      <c r="D11" s="18">
        <f>'GPT-5.5 Grading'!C11</f>
        <v>0</v>
      </c>
      <c r="E11" s="6"/>
      <c r="F11" s="57">
        <v>0.5</v>
      </c>
      <c r="G11" s="61">
        <f t="shared" ref="G11:I11" si="4">COUNTIFS($A$2:$A$84,$F$9,$C$2:$C$84,$F11,$D$2:$D$84,G$9)</f>
        <v>0</v>
      </c>
      <c r="H11" s="51">
        <f t="shared" si="4"/>
        <v>0</v>
      </c>
      <c r="I11" s="62">
        <f t="shared" si="4"/>
        <v>0</v>
      </c>
      <c r="J11" s="51">
        <f t="shared" si="5"/>
        <v>0</v>
      </c>
      <c r="K11" s="6"/>
      <c r="L11" s="56" t="s">
        <v>141</v>
      </c>
      <c r="M11" s="61">
        <f t="array" ref="M11">SUMPRODUCT(J10:J12/COUNTIF($A$2:$A$94,F9), TRANSPOSE(G13:I13)/COUNTIF($A$2:$A$94,F9))</f>
        <v>0.5625</v>
      </c>
      <c r="N11" s="62" t="s">
        <v>142</v>
      </c>
      <c r="O11" s="3"/>
      <c r="P11" s="3"/>
      <c r="Q11" s="3"/>
      <c r="R11" s="3"/>
      <c r="S11" s="3"/>
      <c r="T11" s="3"/>
    </row>
    <row r="12" ht="12.75" customHeight="1">
      <c r="A12" s="9" t="str">
        <f>Thermonix!A12</f>
        <v>Transition</v>
      </c>
      <c r="B12" s="10" t="str">
        <f>Thermonix!B12</f>
        <v>selectorHeld (On ⇒ PreparingOff)</v>
      </c>
      <c r="C12" s="18">
        <f>CombinedHumanGrading!C12</f>
        <v>1</v>
      </c>
      <c r="D12" s="18">
        <f>'GPT-5.5 Grading'!C12</f>
        <v>0.5</v>
      </c>
      <c r="E12" s="6"/>
      <c r="F12" s="57">
        <v>1.0</v>
      </c>
      <c r="G12" s="63">
        <f>COUNTIFS($A$2:$A$44,$F$9,$C$2:$C$44,$F12,$D$2:$D$44,G$9)+MAX(C45-D45,0)</f>
        <v>0</v>
      </c>
      <c r="H12" s="64">
        <f>COUNTIFS($A$2:$A$84,$F$9,$C$2:$C$84,$F12,$D$2:$D$84,H$9)</f>
        <v>0</v>
      </c>
      <c r="I12" s="65">
        <f>COUNTIFS($A$2:$A$44,$F$9,$C$2:$C$44,$F12,$D$2:$D$44,I$9)+MIN(C45-D45)</f>
        <v>9</v>
      </c>
      <c r="J12" s="51">
        <f t="shared" si="5"/>
        <v>9</v>
      </c>
      <c r="K12" s="6"/>
      <c r="L12" s="56" t="s">
        <v>130</v>
      </c>
      <c r="M12" s="63">
        <f>(M10-M11)/(1-M11)</f>
        <v>0.619047619</v>
      </c>
      <c r="N12" s="65" t="s">
        <v>143</v>
      </c>
      <c r="O12" s="3"/>
      <c r="P12" s="3"/>
      <c r="Q12" s="3"/>
      <c r="R12" s="3"/>
      <c r="S12" s="3"/>
      <c r="T12" s="3"/>
    </row>
    <row r="13" ht="12.75" customHeight="1">
      <c r="A13" s="7" t="str">
        <f>Thermonix!A13</f>
        <v>Transition</v>
      </c>
      <c r="B13" s="8" t="str">
        <f>Thermonix!B13</f>
        <v>bowlRemoved (On ⇒ On)</v>
      </c>
      <c r="C13" s="18">
        <f>CombinedHumanGrading!C13</f>
        <v>1</v>
      </c>
      <c r="D13" s="18">
        <f>'GPT-5.5 Grading'!C13</f>
        <v>0.5</v>
      </c>
      <c r="E13" s="6"/>
      <c r="F13" s="66" t="s">
        <v>144</v>
      </c>
      <c r="G13" s="51">
        <f t="shared" ref="G13:I13" si="6">SUM(G11:G12)</f>
        <v>0</v>
      </c>
      <c r="H13" s="51">
        <f t="shared" si="6"/>
        <v>0</v>
      </c>
      <c r="I13" s="51">
        <f t="shared" si="6"/>
        <v>9</v>
      </c>
      <c r="J13" s="6"/>
      <c r="K13" s="6"/>
      <c r="L13" s="6"/>
      <c r="M13" s="6"/>
      <c r="N13" s="6"/>
      <c r="O13" s="3"/>
      <c r="P13" s="3"/>
      <c r="Q13" s="3"/>
      <c r="R13" s="3"/>
      <c r="S13" s="3"/>
      <c r="T13" s="3"/>
    </row>
    <row r="14" ht="12.75" customHeight="1">
      <c r="A14" s="9" t="str">
        <f>Thermonix!A14</f>
        <v>State</v>
      </c>
      <c r="B14" s="10" t="str">
        <f>Thermonix!B14</f>
        <v>Initial State (On ⇒  Home)</v>
      </c>
      <c r="C14" s="18">
        <f>CombinedHumanGrading!C14</f>
        <v>0</v>
      </c>
      <c r="D14" s="18">
        <f>'GPT-5.5 Grading'!C14</f>
        <v>1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3"/>
      <c r="P14" s="3"/>
      <c r="Q14" s="3"/>
      <c r="R14" s="3"/>
      <c r="S14" s="3"/>
      <c r="T14" s="3"/>
    </row>
    <row r="15" ht="12.75" customHeight="1">
      <c r="A15" s="7" t="str">
        <f>Thermonix!A15</f>
        <v>State</v>
      </c>
      <c r="B15" s="8" t="str">
        <f>Thermonix!B15</f>
        <v>Home</v>
      </c>
      <c r="C15" s="18">
        <f>CombinedHumanGrading!C15</f>
        <v>1</v>
      </c>
      <c r="D15" s="18">
        <f>'GPT-5.5 Grading'!C15</f>
        <v>1</v>
      </c>
      <c r="E15" s="6"/>
      <c r="F15" s="48" t="s">
        <v>147</v>
      </c>
      <c r="J15" s="6"/>
      <c r="K15" s="6"/>
      <c r="L15" s="49" t="s">
        <v>148</v>
      </c>
      <c r="M15" s="50"/>
      <c r="N15" s="50"/>
      <c r="O15" s="3"/>
      <c r="P15" s="3"/>
      <c r="Q15" s="3"/>
      <c r="R15" s="3"/>
      <c r="S15" s="3"/>
      <c r="T15" s="3"/>
    </row>
    <row r="16" ht="15.0" customHeight="1">
      <c r="A16" s="9" t="str">
        <f>Thermonix!A16</f>
        <v>Transition</v>
      </c>
      <c r="B16" s="10" t="str">
        <f>Thermonix!B16</f>
        <v>after 14min 30sec (Home ⇒ Preparing Shutdown)</v>
      </c>
      <c r="C16" s="18">
        <f>CombinedHumanGrading!C16</f>
        <v>1</v>
      </c>
      <c r="D16" s="18">
        <f>'GPT-5.5 Grading'!C16</f>
        <v>1</v>
      </c>
      <c r="E16" s="6"/>
      <c r="F16" s="51" t="s">
        <v>5</v>
      </c>
      <c r="G16" s="67" t="s">
        <v>132</v>
      </c>
      <c r="H16" s="67" t="s">
        <v>133</v>
      </c>
      <c r="I16" s="67" t="s">
        <v>134</v>
      </c>
      <c r="J16" s="68" t="s">
        <v>135</v>
      </c>
      <c r="K16" s="6"/>
      <c r="L16" s="56" t="s">
        <v>136</v>
      </c>
      <c r="M16" s="56" t="s">
        <v>137</v>
      </c>
      <c r="N16" s="56" t="s">
        <v>138</v>
      </c>
      <c r="O16" s="6"/>
      <c r="P16" s="6"/>
      <c r="Q16" s="6"/>
      <c r="R16" s="6"/>
      <c r="S16" s="6"/>
      <c r="T16" s="6"/>
    </row>
    <row r="17" ht="12.75" customHeight="1">
      <c r="A17" s="7" t="str">
        <f>Thermonix!A17</f>
        <v>Transition</v>
      </c>
      <c r="B17" s="8" t="str">
        <f>Thermonix!B17</f>
        <v>start (Home ⇒ PromptToAdd)</v>
      </c>
      <c r="C17" s="18">
        <f>CombinedHumanGrading!C17</f>
        <v>1</v>
      </c>
      <c r="D17" s="18">
        <f>'GPT-5.5 Grading'!C17</f>
        <v>1</v>
      </c>
      <c r="E17" s="6"/>
      <c r="F17" s="57">
        <v>0.0</v>
      </c>
      <c r="G17" s="58">
        <f t="shared" ref="G17:H17" si="7">COUNTIFS($A$2:$A$84,$F$16,$C$2:$C$84,$F17,$D$2:$D$84,G$16)</f>
        <v>4</v>
      </c>
      <c r="H17" s="59">
        <f t="shared" si="7"/>
        <v>0</v>
      </c>
      <c r="I17" s="60">
        <f>COUNTIFS($A$2:$A$44,$F$16,$C$2:$C$44,$F17,$D$2:$D$44,I$16) + MAX(D46-C46,0)</f>
        <v>0</v>
      </c>
      <c r="J17" s="51">
        <f t="shared" ref="J17:J19" si="9">SUM(G17:I17)</f>
        <v>4</v>
      </c>
      <c r="K17" s="6"/>
      <c r="L17" s="56" t="s">
        <v>139</v>
      </c>
      <c r="M17" s="58">
        <f>(G17+H18+I19)/COUNTIF($A$2:$A$94,F16)</f>
        <v>0.8333333333</v>
      </c>
      <c r="N17" s="60" t="s">
        <v>140</v>
      </c>
      <c r="O17" s="3"/>
      <c r="P17" s="3"/>
      <c r="Q17" s="3"/>
      <c r="R17" s="3"/>
      <c r="S17" s="3"/>
      <c r="T17" s="3"/>
    </row>
    <row r="18" ht="12.75" customHeight="1">
      <c r="A18" s="9" t="str">
        <f>Thermonix!A18</f>
        <v>Guard</v>
      </c>
      <c r="B18" s="10" t="str">
        <f>Thermonix!B18</f>
        <v>[!bowlRemoved()]</v>
      </c>
      <c r="C18" s="18">
        <f>CombinedHumanGrading!C18</f>
        <v>1</v>
      </c>
      <c r="D18" s="18">
        <f>'GPT-5.5 Grading'!C18</f>
        <v>1</v>
      </c>
      <c r="E18" s="6"/>
      <c r="F18" s="57">
        <v>0.5</v>
      </c>
      <c r="G18" s="61">
        <f t="shared" ref="G18:I18" si="8">COUNTIFS($A$2:$A$84,$F$16,$C$2:$C$84,$F18,$D$2:$D$84,G$16)</f>
        <v>0</v>
      </c>
      <c r="H18" s="51">
        <f t="shared" si="8"/>
        <v>0</v>
      </c>
      <c r="I18" s="62">
        <f t="shared" si="8"/>
        <v>0</v>
      </c>
      <c r="J18" s="51">
        <f t="shared" si="9"/>
        <v>0</v>
      </c>
      <c r="K18" s="6"/>
      <c r="L18" s="56" t="s">
        <v>141</v>
      </c>
      <c r="M18" s="61">
        <f t="array" ref="M18">SUMPRODUCT(J17:J19/COUNTIF($A$2:$A$94,F16), TRANSPOSE(G20:I20)/COUNTIF($A$2:$A$94,F16))</f>
        <v>0.524691358</v>
      </c>
      <c r="N18" s="62" t="s">
        <v>142</v>
      </c>
      <c r="O18" s="3"/>
      <c r="P18" s="3"/>
      <c r="Q18" s="3"/>
      <c r="R18" s="3"/>
      <c r="S18" s="3"/>
      <c r="T18" s="3"/>
    </row>
    <row r="19" ht="12.75" customHeight="1">
      <c r="A19" s="7" t="str">
        <f>Thermonix!A19</f>
        <v>Action</v>
      </c>
      <c r="B19" s="8" t="str">
        <f>Thermonix!B19</f>
        <v>setIngredients()</v>
      </c>
      <c r="C19" s="18">
        <f>CombinedHumanGrading!C19</f>
        <v>1</v>
      </c>
      <c r="D19" s="18">
        <f>'GPT-5.5 Grading'!C19</f>
        <v>0.5</v>
      </c>
      <c r="E19" s="6"/>
      <c r="F19" s="57">
        <v>1.0</v>
      </c>
      <c r="G19" s="63">
        <f>COUNTIFS($A$2:$A$44,$F$16,$C$2:$C$44,$F19,$D$2:$D$44,G$16)+MAX(C46-D46,0)</f>
        <v>0</v>
      </c>
      <c r="H19" s="64">
        <f>COUNTIFS($A$2:$A$84,$F$16,$C$2:$C$84,$F19,$D$2:$D$84,H$16)</f>
        <v>3</v>
      </c>
      <c r="I19" s="65">
        <f>COUNTIFS($A$2:$A$44,$F$16,$C$2:$C$44,$F19,$D$2:$D$44,I$16) + MIN(C46,D46)</f>
        <v>11</v>
      </c>
      <c r="J19" s="51">
        <f t="shared" si="9"/>
        <v>14</v>
      </c>
      <c r="K19" s="6"/>
      <c r="L19" s="56" t="s">
        <v>130</v>
      </c>
      <c r="M19" s="63">
        <f>(M17-M18)/(1-M18)</f>
        <v>0.6493506494</v>
      </c>
      <c r="N19" s="65" t="s">
        <v>143</v>
      </c>
      <c r="O19" s="3"/>
      <c r="P19" s="3"/>
      <c r="Q19" s="3"/>
      <c r="R19" s="3"/>
      <c r="S19" s="3"/>
      <c r="T19" s="3"/>
    </row>
    <row r="20" ht="12.75" customHeight="1">
      <c r="A20" s="9" t="str">
        <f>Thermonix!A20</f>
        <v>State</v>
      </c>
      <c r="B20" s="10" t="str">
        <f>Thermonix!B20</f>
        <v>Preparing Shutdown</v>
      </c>
      <c r="C20" s="18">
        <f>CombinedHumanGrading!C20</f>
        <v>1</v>
      </c>
      <c r="D20" s="18">
        <f>'GPT-5.5 Grading'!C20</f>
        <v>1</v>
      </c>
      <c r="E20" s="6"/>
      <c r="F20" s="66" t="s">
        <v>144</v>
      </c>
      <c r="G20" s="51">
        <f t="shared" ref="G20:I20" si="10">SUM(G17:G19)</f>
        <v>4</v>
      </c>
      <c r="H20" s="51">
        <f t="shared" si="10"/>
        <v>3</v>
      </c>
      <c r="I20" s="51">
        <f t="shared" si="10"/>
        <v>11</v>
      </c>
      <c r="J20" s="6"/>
      <c r="K20" s="6"/>
      <c r="L20" s="6"/>
      <c r="M20" s="6"/>
      <c r="N20" s="6"/>
      <c r="O20" s="3"/>
      <c r="P20" s="3"/>
      <c r="Q20" s="3"/>
      <c r="R20" s="3"/>
      <c r="S20" s="3"/>
      <c r="T20" s="3"/>
    </row>
    <row r="21" ht="12.75" customHeight="1">
      <c r="A21" s="7" t="str">
        <f>Thermonix!A21</f>
        <v>Transition</v>
      </c>
      <c r="B21" s="8" t="str">
        <f>Thermonix!B21</f>
        <v>after 30sec (Preparing Shutdown ⇒ Off)</v>
      </c>
      <c r="C21" s="18">
        <f>CombinedHumanGrading!C21</f>
        <v>1</v>
      </c>
      <c r="D21" s="18">
        <f>'GPT-5.5 Grading'!C21</f>
        <v>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3"/>
      <c r="P21" s="3"/>
      <c r="Q21" s="3"/>
      <c r="R21" s="3"/>
      <c r="S21" s="3"/>
      <c r="T21" s="3"/>
    </row>
    <row r="22" ht="12.75" customHeight="1">
      <c r="A22" s="9" t="str">
        <f>Thermonix!A22</f>
        <v>Transition</v>
      </c>
      <c r="B22" s="10" t="str">
        <f>Thermonix!B22</f>
        <v>cancel (Preparing Shutdown ⇒ Home)</v>
      </c>
      <c r="C22" s="18">
        <f>CombinedHumanGrading!C22</f>
        <v>1</v>
      </c>
      <c r="D22" s="18">
        <f>'GPT-5.5 Grading'!C22</f>
        <v>1</v>
      </c>
      <c r="E22" s="6"/>
      <c r="F22" s="48" t="s">
        <v>149</v>
      </c>
      <c r="J22" s="6"/>
      <c r="K22" s="6"/>
      <c r="L22" s="49" t="s">
        <v>150</v>
      </c>
      <c r="M22" s="50"/>
      <c r="N22" s="50"/>
      <c r="O22" s="6"/>
      <c r="P22" s="6"/>
      <c r="Q22" s="6"/>
      <c r="R22" s="6"/>
      <c r="S22" s="6"/>
      <c r="T22" s="6"/>
    </row>
    <row r="23" ht="12.75" customHeight="1">
      <c r="A23" s="7" t="str">
        <f>Thermonix!A23</f>
        <v>State</v>
      </c>
      <c r="B23" s="8" t="str">
        <f>Thermonix!B23</f>
        <v>PromptToAdd</v>
      </c>
      <c r="C23" s="18">
        <f>CombinedHumanGrading!C23</f>
        <v>0</v>
      </c>
      <c r="D23" s="18">
        <f>'GPT-5.5 Grading'!C23</f>
        <v>1</v>
      </c>
      <c r="E23" s="6"/>
      <c r="F23" s="51" t="s">
        <v>12</v>
      </c>
      <c r="G23" s="67" t="s">
        <v>132</v>
      </c>
      <c r="H23" s="67" t="s">
        <v>133</v>
      </c>
      <c r="I23" s="67" t="s">
        <v>134</v>
      </c>
      <c r="J23" s="68" t="s">
        <v>135</v>
      </c>
      <c r="K23" s="6"/>
      <c r="L23" s="56" t="s">
        <v>136</v>
      </c>
      <c r="M23" s="56" t="s">
        <v>137</v>
      </c>
      <c r="N23" s="56" t="s">
        <v>138</v>
      </c>
      <c r="O23" s="3"/>
      <c r="P23" s="3"/>
      <c r="Q23" s="3"/>
      <c r="R23" s="3"/>
      <c r="S23" s="3"/>
      <c r="T23" s="3"/>
    </row>
    <row r="24" ht="12.75" customHeight="1">
      <c r="A24" s="9" t="str">
        <f>Thermonix!A24</f>
        <v>Transition</v>
      </c>
      <c r="B24" s="10" t="str">
        <f>Thermonix!B24</f>
        <v>next (PromptToAdd ⇒ PromptToAdd)</v>
      </c>
      <c r="C24" s="18">
        <f>CombinedHumanGrading!C24</f>
        <v>0</v>
      </c>
      <c r="D24" s="18">
        <f>'GPT-5.5 Grading'!C24</f>
        <v>0</v>
      </c>
      <c r="E24" s="6"/>
      <c r="F24" s="57">
        <v>0.0</v>
      </c>
      <c r="G24" s="58">
        <f t="shared" ref="G24:H24" si="11">COUNTIFS($A$2:$A$84,$F$23,$C$2:$C$84,$F24,$D$2:$D$84,G$23)</f>
        <v>1</v>
      </c>
      <c r="H24" s="59">
        <f t="shared" si="11"/>
        <v>1</v>
      </c>
      <c r="I24" s="60">
        <f>COUNTIFS($A$2:$A$44,$F$23,$C$2:$C$44,$F24,$D$2:$D$44,I$23) + MAX(D49-C49,0)</f>
        <v>0</v>
      </c>
      <c r="J24" s="51">
        <f t="shared" ref="J24:J26" si="13">SUM(G24:I24)</f>
        <v>2</v>
      </c>
      <c r="K24" s="6"/>
      <c r="L24" s="56" t="s">
        <v>139</v>
      </c>
      <c r="M24" s="58">
        <f>(G24+H25+I26)/COUNTIF($A$2:$A$94,F23)</f>
        <v>0.5</v>
      </c>
      <c r="N24" s="60" t="s">
        <v>140</v>
      </c>
      <c r="O24" s="3"/>
      <c r="P24" s="3"/>
      <c r="Q24" s="3"/>
      <c r="R24" s="3"/>
      <c r="S24" s="3"/>
      <c r="T24" s="3"/>
    </row>
    <row r="25" ht="12.75" customHeight="1">
      <c r="A25" s="7" t="str">
        <f>Thermonix!A25</f>
        <v>Guard</v>
      </c>
      <c r="B25" s="8" t="str">
        <f>Thermonix!B25</f>
        <v>[weightCorrect() &amp;&amp; moreIngredientsRequired()]</v>
      </c>
      <c r="C25" s="18">
        <f>CombinedHumanGrading!C25</f>
        <v>0</v>
      </c>
      <c r="D25" s="18">
        <f>'GPT-5.5 Grading'!C25</f>
        <v>0</v>
      </c>
      <c r="E25" s="6"/>
      <c r="F25" s="57">
        <v>0.5</v>
      </c>
      <c r="G25" s="61">
        <f t="shared" ref="G25:I25" si="12">COUNTIFS($A$2:$A$84,$F$23,$C$2:$C$84,$F25,$D$2:$D$84,G$23)</f>
        <v>0</v>
      </c>
      <c r="H25" s="51">
        <f t="shared" si="12"/>
        <v>0</v>
      </c>
      <c r="I25" s="62">
        <f t="shared" si="12"/>
        <v>0</v>
      </c>
      <c r="J25" s="51">
        <f t="shared" si="13"/>
        <v>0</v>
      </c>
      <c r="K25" s="6"/>
      <c r="L25" s="56" t="s">
        <v>141</v>
      </c>
      <c r="M25" s="61">
        <f t="array" ref="M25">SUMPRODUCT(J24:J26/COUNTIF($A$2:$A$94,F23), TRANSPOSE(G27:I27)/COUNTIF($A$2:$A$94,F23))</f>
        <v>0.5</v>
      </c>
      <c r="N25" s="62" t="s">
        <v>142</v>
      </c>
      <c r="O25" s="3"/>
      <c r="P25" s="3"/>
      <c r="Q25" s="3"/>
      <c r="R25" s="3"/>
      <c r="S25" s="3"/>
      <c r="T25" s="3"/>
    </row>
    <row r="26" ht="12.75" customHeight="1">
      <c r="A26" s="9" t="str">
        <f>Thermonix!A26</f>
        <v>Action</v>
      </c>
      <c r="B26" s="10" t="str">
        <f>Thermonix!B26</f>
        <v>setIngredients()</v>
      </c>
      <c r="C26" s="18">
        <f>CombinedHumanGrading!C26</f>
        <v>0</v>
      </c>
      <c r="D26" s="18">
        <f>'GPT-5.5 Grading'!C26</f>
        <v>0</v>
      </c>
      <c r="E26" s="6"/>
      <c r="F26" s="57">
        <v>1.0</v>
      </c>
      <c r="G26" s="63">
        <f>COUNTIFS($A$2:$A$44,$F$23,$C$2:$C$44,$F26,$D$2:$D$44,G$23) + MAX(C49-D49,0)</f>
        <v>0</v>
      </c>
      <c r="H26" s="64">
        <f>COUNTIFS($A$2:$A$84,$F$23,$C$2:$C$84,$F26,$D$2:$D$84,H$23)</f>
        <v>0</v>
      </c>
      <c r="I26" s="65">
        <f>COUNTIFS($A$2:$A$44,$F$23,$C$2:$C$44,$F26,$D$2:$D$44,I$23) + MIN(C49,D49)</f>
        <v>0</v>
      </c>
      <c r="J26" s="51">
        <f t="shared" si="13"/>
        <v>0</v>
      </c>
      <c r="K26" s="6"/>
      <c r="L26" s="56" t="s">
        <v>130</v>
      </c>
      <c r="M26" s="63">
        <f>(M24-M25)/(1-M25)</f>
        <v>0</v>
      </c>
      <c r="N26" s="65" t="s">
        <v>143</v>
      </c>
      <c r="O26" s="3"/>
      <c r="P26" s="3"/>
      <c r="Q26" s="3"/>
      <c r="R26" s="3"/>
      <c r="S26" s="3"/>
      <c r="T26" s="3"/>
    </row>
    <row r="27" ht="12.75" customHeight="1">
      <c r="A27" s="7" t="str">
        <f>Thermonix!A27</f>
        <v>Transition</v>
      </c>
      <c r="B27" s="8" t="str">
        <f>Thermonix!B27</f>
        <v>next (PromptToAdd ⇒ Chop)</v>
      </c>
      <c r="C27" s="18">
        <f>CombinedHumanGrading!C27</f>
        <v>1</v>
      </c>
      <c r="D27" s="18">
        <f>'GPT-5.5 Grading'!C27</f>
        <v>1</v>
      </c>
      <c r="E27" s="6"/>
      <c r="F27" s="66" t="s">
        <v>144</v>
      </c>
      <c r="G27" s="51">
        <f t="shared" ref="G27:I27" si="14">SUM(G24:G26)</f>
        <v>1</v>
      </c>
      <c r="H27" s="51">
        <f t="shared" si="14"/>
        <v>1</v>
      </c>
      <c r="I27" s="51">
        <f t="shared" si="14"/>
        <v>0</v>
      </c>
      <c r="J27" s="6"/>
      <c r="K27" s="6"/>
      <c r="L27" s="6"/>
      <c r="M27" s="6"/>
      <c r="N27" s="6"/>
      <c r="O27" s="3"/>
      <c r="P27" s="3"/>
      <c r="Q27" s="3"/>
      <c r="R27" s="3"/>
      <c r="S27" s="3"/>
      <c r="T27" s="3"/>
    </row>
    <row r="28" ht="12.75" customHeight="1">
      <c r="A28" s="9" t="str">
        <f>Thermonix!A28</f>
        <v>Guard</v>
      </c>
      <c r="B28" s="10" t="str">
        <f>Thermonix!B28</f>
        <v>[weightCorrect() &amp;&amp; !moreIngredientsRequired()]</v>
      </c>
      <c r="C28" s="18">
        <f>CombinedHumanGrading!C28</f>
        <v>0.5</v>
      </c>
      <c r="D28" s="18">
        <f>'GPT-5.5 Grading'!C28</f>
        <v>0.5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3"/>
      <c r="P28" s="3"/>
      <c r="Q28" s="3"/>
      <c r="R28" s="3"/>
      <c r="S28" s="3"/>
      <c r="T28" s="3"/>
    </row>
    <row r="29" ht="12.75" customHeight="1">
      <c r="A29" s="7" t="str">
        <f>Thermonix!A29</f>
        <v>Action</v>
      </c>
      <c r="B29" s="8" t="str">
        <f>Thermonix!B29</f>
        <v>setChoppingSpeedAndTime()</v>
      </c>
      <c r="C29" s="18">
        <f>CombinedHumanGrading!C29</f>
        <v>0</v>
      </c>
      <c r="D29" s="18">
        <f>'GPT-5.5 Grading'!C29</f>
        <v>0.5</v>
      </c>
      <c r="E29" s="6"/>
      <c r="F29" s="48" t="s">
        <v>151</v>
      </c>
      <c r="J29" s="6"/>
      <c r="K29" s="6"/>
      <c r="L29" s="49" t="s">
        <v>152</v>
      </c>
      <c r="M29" s="50"/>
      <c r="N29" s="50"/>
      <c r="O29" s="3"/>
      <c r="P29" s="3"/>
      <c r="Q29" s="3"/>
      <c r="R29" s="3"/>
      <c r="S29" s="3"/>
      <c r="T29" s="3"/>
    </row>
    <row r="30" ht="12.75" customHeight="1">
      <c r="A30" s="9" t="str">
        <f>Thermonix!A30</f>
        <v>State</v>
      </c>
      <c r="B30" s="10" t="str">
        <f>Thermonix!B30</f>
        <v>Chop</v>
      </c>
      <c r="C30" s="18">
        <f>CombinedHumanGrading!C30</f>
        <v>1</v>
      </c>
      <c r="D30" s="18">
        <f>'GPT-5.5 Grading'!C30</f>
        <v>1</v>
      </c>
      <c r="E30" s="6"/>
      <c r="F30" s="51" t="s">
        <v>22</v>
      </c>
      <c r="G30" s="67" t="s">
        <v>132</v>
      </c>
      <c r="H30" s="67" t="s">
        <v>133</v>
      </c>
      <c r="I30" s="67" t="s">
        <v>134</v>
      </c>
      <c r="J30" s="68" t="s">
        <v>135</v>
      </c>
      <c r="K30" s="6"/>
      <c r="L30" s="56" t="s">
        <v>136</v>
      </c>
      <c r="M30" s="56" t="s">
        <v>137</v>
      </c>
      <c r="N30" s="56" t="s">
        <v>138</v>
      </c>
      <c r="O30" s="3"/>
      <c r="P30" s="3"/>
      <c r="Q30" s="3"/>
      <c r="R30" s="3"/>
      <c r="S30" s="3"/>
      <c r="T30" s="3"/>
    </row>
    <row r="31" ht="12.75" customHeight="1">
      <c r="A31" s="7" t="str">
        <f>Thermonix!A31</f>
        <v>Transition</v>
      </c>
      <c r="B31" s="8" t="str">
        <f>Thermonix!B31</f>
        <v>next (Chop ⇒ PromptToAdd)</v>
      </c>
      <c r="C31" s="18">
        <f>CombinedHumanGrading!C31</f>
        <v>0</v>
      </c>
      <c r="D31" s="18">
        <f>'GPT-5.5 Grading'!C31</f>
        <v>0</v>
      </c>
      <c r="E31" s="6"/>
      <c r="F31" s="57">
        <v>0.0</v>
      </c>
      <c r="G31" s="58">
        <f t="shared" ref="G31:H31" si="15">COUNTIFS($A$2:$A$84,$F$30,$C$2:$C$84,$F31,$D$2:$D$84,G$30)</f>
        <v>4</v>
      </c>
      <c r="H31" s="59">
        <f t="shared" si="15"/>
        <v>0</v>
      </c>
      <c r="I31" s="60">
        <f>COUNTIFS($A$2:$A$44,$F$30,$C$2:$C$44,$F31,$D$2:$D$44,I$30) + MAX(D47-C47,0)</f>
        <v>0</v>
      </c>
      <c r="J31" s="51">
        <f t="shared" ref="J31:J33" si="17">SUM(G31:I31)</f>
        <v>4</v>
      </c>
      <c r="K31" s="6"/>
      <c r="L31" s="56" t="s">
        <v>139</v>
      </c>
      <c r="M31" s="58">
        <f>(G31+H32+I33)/COUNTIF($A$2:$A$94,F30)</f>
        <v>0.875</v>
      </c>
      <c r="N31" s="60" t="s">
        <v>140</v>
      </c>
      <c r="O31" s="3"/>
      <c r="P31" s="3"/>
      <c r="Q31" s="3"/>
      <c r="R31" s="3"/>
      <c r="S31" s="3"/>
      <c r="T31" s="3"/>
    </row>
    <row r="32" ht="12.75" customHeight="1">
      <c r="A32" s="9" t="str">
        <f>Thermonix!A32</f>
        <v>Guard</v>
      </c>
      <c r="B32" s="10" t="str">
        <f>Thermonix!B32</f>
        <v>[choppingTimeDone &amp;&amp; moreIngredientsRequired()]</v>
      </c>
      <c r="C32" s="18">
        <f>CombinedHumanGrading!C32</f>
        <v>0</v>
      </c>
      <c r="D32" s="18">
        <f>'GPT-5.5 Grading'!C32</f>
        <v>0</v>
      </c>
      <c r="E32" s="6"/>
      <c r="F32" s="57">
        <v>0.5</v>
      </c>
      <c r="G32" s="61">
        <f t="shared" ref="G32:I32" si="16">COUNTIFS($A$2:$A$84,$F$30,$C$2:$C$84,$F32,$D$2:$D$84,G$30)</f>
        <v>0</v>
      </c>
      <c r="H32" s="51">
        <f t="shared" si="16"/>
        <v>1</v>
      </c>
      <c r="I32" s="62">
        <f t="shared" si="16"/>
        <v>1</v>
      </c>
      <c r="J32" s="51">
        <f t="shared" si="17"/>
        <v>2</v>
      </c>
      <c r="K32" s="6"/>
      <c r="L32" s="56" t="s">
        <v>141</v>
      </c>
      <c r="M32" s="61">
        <f t="array" ref="M32">SUMPRODUCT(J31:J33/COUNTIF($A$2:$A$94,F30), TRANSPOSE(G34:I34)/COUNTIF($A$2:$A$94,F30))</f>
        <v>0.375</v>
      </c>
      <c r="N32" s="62" t="s">
        <v>142</v>
      </c>
      <c r="O32" s="3"/>
      <c r="P32" s="3"/>
      <c r="Q32" s="3"/>
      <c r="R32" s="3"/>
      <c r="S32" s="3"/>
      <c r="T32" s="3"/>
    </row>
    <row r="33" ht="12.75" customHeight="1">
      <c r="A33" s="7" t="str">
        <f>Thermonix!A33</f>
        <v>Action</v>
      </c>
      <c r="B33" s="8" t="str">
        <f>Thermonix!B33</f>
        <v>setIngredients()</v>
      </c>
      <c r="C33" s="18">
        <f>CombinedHumanGrading!C33</f>
        <v>0</v>
      </c>
      <c r="D33" s="18">
        <f>'GPT-5.5 Grading'!C33</f>
        <v>0</v>
      </c>
      <c r="E33" s="6"/>
      <c r="F33" s="57">
        <v>1.0</v>
      </c>
      <c r="G33" s="63">
        <f>COUNTIFS($A$2:$A$44,$F$30,$C$2:$C$44,$F33,$D$2:$D$44,G$30) + MAX(C47-D47,0)</f>
        <v>0</v>
      </c>
      <c r="H33" s="64">
        <f>COUNTIFS($A$2:$A$84,$F$30,$C$2:$C$84,$F33,$D$2:$D$84,H$30)</f>
        <v>0</v>
      </c>
      <c r="I33" s="65">
        <f>COUNTIFS($A$2:$A$44,$F$30,$C$2:$C$44,$F33,$D$2:$D$44,I$30) + MIN(C47,D47)</f>
        <v>2</v>
      </c>
      <c r="J33" s="51">
        <f t="shared" si="17"/>
        <v>2</v>
      </c>
      <c r="K33" s="6"/>
      <c r="L33" s="56" t="s">
        <v>130</v>
      </c>
      <c r="M33" s="63">
        <f>(M31-M32)/(1-M32)</f>
        <v>0.8</v>
      </c>
      <c r="N33" s="65" t="s">
        <v>143</v>
      </c>
      <c r="O33" s="6"/>
      <c r="P33" s="6"/>
      <c r="Q33" s="6"/>
      <c r="R33" s="6"/>
      <c r="S33" s="6"/>
      <c r="T33" s="6"/>
    </row>
    <row r="34" ht="12.75" customHeight="1">
      <c r="A34" s="9" t="str">
        <f>Thermonix!A34</f>
        <v>Transition</v>
      </c>
      <c r="B34" s="10" t="str">
        <f>Thermonix!B34</f>
        <v>next (Chop ⇒ Cook)</v>
      </c>
      <c r="C34" s="18">
        <f>CombinedHumanGrading!C34</f>
        <v>1</v>
      </c>
      <c r="D34" s="18">
        <f>'GPT-5.5 Grading'!C34</f>
        <v>1</v>
      </c>
      <c r="E34" s="6"/>
      <c r="F34" s="66" t="s">
        <v>144</v>
      </c>
      <c r="G34" s="51">
        <f t="shared" ref="G34:I34" si="18">SUM(G31:G33)</f>
        <v>4</v>
      </c>
      <c r="H34" s="51">
        <f t="shared" si="18"/>
        <v>1</v>
      </c>
      <c r="I34" s="51">
        <f t="shared" si="18"/>
        <v>3</v>
      </c>
      <c r="J34" s="6"/>
      <c r="K34" s="6"/>
      <c r="L34" s="6"/>
      <c r="M34" s="6"/>
      <c r="N34" s="6"/>
      <c r="O34" s="3"/>
      <c r="P34" s="3"/>
      <c r="Q34" s="3"/>
      <c r="R34" s="3"/>
      <c r="S34" s="3"/>
      <c r="T34" s="3"/>
    </row>
    <row r="35" ht="15.0" customHeight="1">
      <c r="A35" s="7" t="str">
        <f>Thermonix!A35</f>
        <v>Guard</v>
      </c>
      <c r="B35" s="8" t="str">
        <f>Thermonix!B35</f>
        <v>[choppingTimeDone &amp;&amp; !moreIngredientsRequired()]</v>
      </c>
      <c r="C35" s="18">
        <f>CombinedHumanGrading!C35</f>
        <v>0</v>
      </c>
      <c r="D35" s="18">
        <f>'GPT-5.5 Grading'!C35</f>
        <v>0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ht="15.0" customHeight="1">
      <c r="A36" s="9" t="str">
        <f>Thermonix!A36</f>
        <v>Action</v>
      </c>
      <c r="B36" s="10" t="str">
        <f>Thermonix!B36</f>
        <v>setCookingSpeedAndTime()</v>
      </c>
      <c r="C36" s="18">
        <f>CombinedHumanGrading!C36</f>
        <v>0</v>
      </c>
      <c r="D36" s="18">
        <f>'GPT-5.5 Grading'!C36</f>
        <v>0.5</v>
      </c>
      <c r="E36" s="6"/>
      <c r="F36" s="48" t="s">
        <v>153</v>
      </c>
      <c r="J36" s="6"/>
      <c r="K36" s="6"/>
      <c r="L36" s="49" t="s">
        <v>154</v>
      </c>
      <c r="M36" s="50"/>
      <c r="N36" s="50"/>
      <c r="O36" s="6"/>
      <c r="P36" s="6"/>
      <c r="Q36" s="6"/>
      <c r="R36" s="6"/>
      <c r="S36" s="6"/>
      <c r="T36" s="6"/>
    </row>
    <row r="37" ht="15.0" customHeight="1">
      <c r="A37" s="7" t="str">
        <f>Thermonix!A37</f>
        <v>State</v>
      </c>
      <c r="B37" s="8" t="str">
        <f>Thermonix!B37</f>
        <v>Cook</v>
      </c>
      <c r="C37" s="18">
        <f>CombinedHumanGrading!C37</f>
        <v>1</v>
      </c>
      <c r="D37" s="18">
        <f>'GPT-5.5 Grading'!C37</f>
        <v>1</v>
      </c>
      <c r="E37" s="6"/>
      <c r="F37" s="51" t="s">
        <v>24</v>
      </c>
      <c r="G37" s="67" t="s">
        <v>132</v>
      </c>
      <c r="H37" s="67" t="s">
        <v>133</v>
      </c>
      <c r="I37" s="67" t="s">
        <v>134</v>
      </c>
      <c r="J37" s="68" t="s">
        <v>135</v>
      </c>
      <c r="K37" s="6"/>
      <c r="L37" s="56" t="s">
        <v>136</v>
      </c>
      <c r="M37" s="56" t="s">
        <v>137</v>
      </c>
      <c r="N37" s="56" t="s">
        <v>138</v>
      </c>
      <c r="O37" s="6"/>
      <c r="P37" s="6"/>
      <c r="Q37" s="6"/>
      <c r="R37" s="6"/>
      <c r="S37" s="6"/>
      <c r="T37" s="6"/>
    </row>
    <row r="38" ht="15.0" customHeight="1">
      <c r="A38" s="9" t="str">
        <f>Thermonix!A38</f>
        <v>Transition</v>
      </c>
      <c r="B38" s="10" t="str">
        <f>Thermonix!B38</f>
        <v>after choppingTime (Cook ⇒ PromptToAdd)</v>
      </c>
      <c r="C38" s="18">
        <f>CombinedHumanGrading!C38</f>
        <v>1</v>
      </c>
      <c r="D38" s="18">
        <f>'GPT-5.5 Grading'!C38</f>
        <v>1</v>
      </c>
      <c r="E38" s="6"/>
      <c r="F38" s="57">
        <v>0.0</v>
      </c>
      <c r="G38" s="58">
        <f t="shared" ref="G38:H38" si="19">COUNTIFS($A$2:$A$84,$F$37,$C$2:$C$84,$F38,$D$2:$D$84,G$37)</f>
        <v>3</v>
      </c>
      <c r="H38" s="59">
        <f t="shared" si="19"/>
        <v>3</v>
      </c>
      <c r="I38" s="60">
        <f>COUNTIFS($A$2:$A$44,$F$37,$C$2:$C$44,$F38,$D$2:$D$44,I$37)+MAX(D48-C48,0)</f>
        <v>0</v>
      </c>
      <c r="J38" s="51">
        <f t="shared" ref="J38:J40" si="21">SUM(G38:I38)</f>
        <v>6</v>
      </c>
      <c r="K38" s="6"/>
      <c r="L38" s="56" t="s">
        <v>139</v>
      </c>
      <c r="M38" s="58">
        <f>(G38+H39+I40)/COUNTIF($A$2:$A$94,F37)</f>
        <v>0.4285714286</v>
      </c>
      <c r="N38" s="60" t="s">
        <v>140</v>
      </c>
      <c r="O38" s="6"/>
      <c r="P38" s="6"/>
      <c r="Q38" s="6"/>
      <c r="R38" s="6"/>
      <c r="S38" s="6"/>
      <c r="T38" s="6"/>
    </row>
    <row r="39" ht="15.0" customHeight="1">
      <c r="A39" s="7" t="str">
        <f>Thermonix!A39</f>
        <v>Guard</v>
      </c>
      <c r="B39" s="8" t="str">
        <f>Thermonix!B39</f>
        <v>[choppingTimeDone &amp;&amp; moreIngredientsRequired()]</v>
      </c>
      <c r="C39" s="18">
        <f>CombinedHumanGrading!C39</f>
        <v>0.5</v>
      </c>
      <c r="D39" s="18">
        <f>'GPT-5.5 Grading'!C39</f>
        <v>1</v>
      </c>
      <c r="E39" s="6"/>
      <c r="F39" s="57">
        <v>0.5</v>
      </c>
      <c r="G39" s="61">
        <f t="shared" ref="G39:I39" si="20">COUNTIFS($A$2:$A$84,$F$37,$C$2:$C$84,$F39,$D$2:$D$84,G$37)</f>
        <v>0</v>
      </c>
      <c r="H39" s="51">
        <f t="shared" si="20"/>
        <v>0</v>
      </c>
      <c r="I39" s="62">
        <f t="shared" si="20"/>
        <v>0</v>
      </c>
      <c r="J39" s="51">
        <f t="shared" si="21"/>
        <v>0</v>
      </c>
      <c r="K39" s="6"/>
      <c r="L39" s="56" t="s">
        <v>141</v>
      </c>
      <c r="M39" s="61">
        <f t="array" ref="M39">SUMPRODUCT(J38:J40/COUNTIF($A$2:$A$94,F37), TRANSPOSE(G41:I41)/COUNTIF($A$2:$A$94,F37))</f>
        <v>0.3673469388</v>
      </c>
      <c r="N39" s="62" t="s">
        <v>142</v>
      </c>
      <c r="O39" s="6"/>
      <c r="P39" s="6"/>
      <c r="Q39" s="6"/>
      <c r="R39" s="6"/>
      <c r="S39" s="6"/>
      <c r="T39" s="6"/>
    </row>
    <row r="40" ht="15.0" customHeight="1">
      <c r="A40" s="9" t="str">
        <f>Thermonix!A40</f>
        <v>Action</v>
      </c>
      <c r="B40" s="10" t="str">
        <f>Thermonix!B40</f>
        <v>setIngredients()</v>
      </c>
      <c r="C40" s="18">
        <f>CombinedHumanGrading!C40</f>
        <v>0</v>
      </c>
      <c r="D40" s="18">
        <f>'GPT-5.5 Grading'!C40</f>
        <v>0.5</v>
      </c>
      <c r="E40" s="6"/>
      <c r="F40" s="57">
        <v>1.0</v>
      </c>
      <c r="G40" s="63">
        <f>COUNTIFS($A$2:$A$44,$F$37,$C$2:$C$44,$F40,$D$2:$D$44,G$37)+MAX(C48-D48,0)</f>
        <v>0</v>
      </c>
      <c r="H40" s="64">
        <f>COUNTIFS($A$2:$A$84,$F$37,$C$2:$C$84,$F40,$D$2:$D$84,H$37)</f>
        <v>1</v>
      </c>
      <c r="I40" s="65">
        <f>COUNTIFS($A$2:$A$44,$F$37,$C$2:$C$44,$F40,$D$2:$D$44,I$37) + MIN(C48,D48)</f>
        <v>0</v>
      </c>
      <c r="J40" s="51">
        <f t="shared" si="21"/>
        <v>1</v>
      </c>
      <c r="K40" s="6"/>
      <c r="L40" s="56" t="s">
        <v>130</v>
      </c>
      <c r="M40" s="63">
        <f>(M38-M39)/(1-M39)</f>
        <v>0.09677419355</v>
      </c>
      <c r="N40" s="65" t="s">
        <v>143</v>
      </c>
      <c r="O40" s="6"/>
      <c r="P40" s="6"/>
      <c r="Q40" s="6"/>
      <c r="R40" s="6"/>
      <c r="S40" s="6"/>
      <c r="T40" s="6"/>
    </row>
    <row r="41" ht="15.0" customHeight="1">
      <c r="A41" s="7" t="str">
        <f>Thermonix!A41</f>
        <v>Transition</v>
      </c>
      <c r="B41" s="8" t="str">
        <f>Thermonix!B41</f>
        <v>after cookingTime (Cook ⇒ Ready)</v>
      </c>
      <c r="C41" s="18">
        <f>CombinedHumanGrading!C41</f>
        <v>1</v>
      </c>
      <c r="D41" s="18">
        <f>'GPT-5.5 Grading'!C41</f>
        <v>1</v>
      </c>
      <c r="E41" s="6"/>
      <c r="F41" s="66" t="s">
        <v>144</v>
      </c>
      <c r="G41" s="51">
        <f t="shared" ref="G41:I41" si="22">SUM(G38:G40)</f>
        <v>3</v>
      </c>
      <c r="H41" s="51">
        <f t="shared" si="22"/>
        <v>4</v>
      </c>
      <c r="I41" s="51">
        <f t="shared" si="22"/>
        <v>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ht="15.0" customHeight="1">
      <c r="A42" s="9" t="str">
        <f>Thermonix!A42</f>
        <v>Guard</v>
      </c>
      <c r="B42" s="10" t="str">
        <f>Thermonix!B42</f>
        <v>[!moreIngredientsRequired()]</v>
      </c>
      <c r="C42" s="18">
        <f>CombinedHumanGrading!C42</f>
        <v>1</v>
      </c>
      <c r="D42" s="18">
        <f>'GPT-5.5 Grading'!C42</f>
        <v>1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ht="15.0" customHeight="1">
      <c r="A43" s="7" t="str">
        <f>Thermonix!A43</f>
        <v>State</v>
      </c>
      <c r="B43" s="8" t="str">
        <f>Thermonix!B43</f>
        <v>Ready</v>
      </c>
      <c r="C43" s="18">
        <f>CombinedHumanGrading!C43</f>
        <v>1</v>
      </c>
      <c r="D43" s="18">
        <f>'GPT-5.5 Grading'!C43</f>
        <v>1</v>
      </c>
      <c r="E43" s="6"/>
      <c r="F43" s="48" t="s">
        <v>155</v>
      </c>
      <c r="J43" s="6"/>
      <c r="K43" s="6"/>
      <c r="L43" s="49" t="s">
        <v>156</v>
      </c>
      <c r="M43" s="50"/>
      <c r="N43" s="50"/>
      <c r="O43" s="6"/>
      <c r="P43" s="6"/>
      <c r="Q43" s="6"/>
      <c r="R43" s="6"/>
      <c r="S43" s="6"/>
      <c r="T43" s="6"/>
    </row>
    <row r="44" ht="15.0" customHeight="1">
      <c r="A44" s="9" t="str">
        <f>Thermonix!A44</f>
        <v>Transition</v>
      </c>
      <c r="B44" s="10" t="str">
        <f>Thermonix!B44</f>
        <v>after 14min 30sec (Ready ⇒ Preparing Shutdown)</v>
      </c>
      <c r="C44" s="18">
        <f>CombinedHumanGrading!C44</f>
        <v>0</v>
      </c>
      <c r="D44" s="18">
        <f>'GPT-5.5 Grading'!C44</f>
        <v>0</v>
      </c>
      <c r="E44" s="6"/>
      <c r="F44" s="51" t="s">
        <v>14</v>
      </c>
      <c r="G44" s="67" t="s">
        <v>132</v>
      </c>
      <c r="H44" s="67" t="s">
        <v>133</v>
      </c>
      <c r="I44" s="67" t="s">
        <v>134</v>
      </c>
      <c r="J44" s="68" t="s">
        <v>135</v>
      </c>
      <c r="K44" s="6"/>
      <c r="L44" s="56" t="s">
        <v>136</v>
      </c>
      <c r="M44" s="56" t="s">
        <v>137</v>
      </c>
      <c r="N44" s="56" t="s">
        <v>138</v>
      </c>
      <c r="O44" s="6"/>
      <c r="P44" s="6"/>
      <c r="Q44" s="6"/>
      <c r="R44" s="6"/>
      <c r="S44" s="6"/>
      <c r="T44" s="6"/>
    </row>
    <row r="45" ht="12.75" customHeight="1">
      <c r="A45" s="70" t="str">
        <f>Thermonix!A45</f>
        <v>State</v>
      </c>
      <c r="B45" s="71" t="str">
        <f>Thermonix!B45</f>
        <v>additional elements</v>
      </c>
      <c r="C45" s="72">
        <f>CombinedHumanGrading!C45</f>
        <v>0</v>
      </c>
      <c r="D45" s="72">
        <f>'GPT-5.5 Grading'!C45</f>
        <v>0</v>
      </c>
      <c r="E45" s="6"/>
      <c r="F45" s="57">
        <v>0.0</v>
      </c>
      <c r="G45" s="58">
        <f t="shared" ref="G45:H45" si="23">COUNTIFS($A$2:$A$84,$F$44,$C$2:$C$84,$F45,$D$2:$D$84,G$44)</f>
        <v>2</v>
      </c>
      <c r="H45" s="59">
        <f t="shared" si="23"/>
        <v>0</v>
      </c>
      <c r="I45" s="60">
        <f>COUNTIFS($A$2:$A$44,$F$44,$C$2:$C$44,$F45,$D$2:$D$44,I$44) + MAX(D51-C51,0)</f>
        <v>0</v>
      </c>
      <c r="J45" s="51">
        <f t="shared" ref="J45:J47" si="25">SUM(G45:I45)</f>
        <v>2</v>
      </c>
      <c r="K45" s="6"/>
      <c r="L45" s="56" t="s">
        <v>139</v>
      </c>
      <c r="M45" s="58">
        <f>(G45+H46+I47)/COUNTIF($A$2:$A$94,F44)</f>
        <v>1</v>
      </c>
      <c r="N45" s="60" t="s">
        <v>140</v>
      </c>
      <c r="O45" s="3"/>
      <c r="P45" s="3"/>
      <c r="Q45" s="3"/>
      <c r="R45" s="3"/>
      <c r="S45" s="3"/>
      <c r="T45" s="3"/>
    </row>
    <row r="46" ht="12.75" customHeight="1">
      <c r="A46" s="9" t="str">
        <f>Thermonix!A46</f>
        <v>Transition</v>
      </c>
      <c r="B46" s="10" t="str">
        <f>Thermonix!B46</f>
        <v>additional elements</v>
      </c>
      <c r="C46" s="18">
        <f>CombinedHumanGrading!C46</f>
        <v>0</v>
      </c>
      <c r="D46" s="18">
        <f>'GPT-5.5 Grading'!C46</f>
        <v>0</v>
      </c>
      <c r="E46" s="6"/>
      <c r="F46" s="57">
        <v>0.5</v>
      </c>
      <c r="G46" s="61">
        <f t="shared" ref="G46:I46" si="24">COUNTIFS($A$2:$A$84,$F$44,$C$2:$C$84,$F46,$D$2:$D$84,G$44)</f>
        <v>0</v>
      </c>
      <c r="H46" s="51">
        <f t="shared" si="24"/>
        <v>0</v>
      </c>
      <c r="I46" s="62">
        <f t="shared" si="24"/>
        <v>0</v>
      </c>
      <c r="J46" s="51">
        <f t="shared" si="25"/>
        <v>0</v>
      </c>
      <c r="K46" s="6"/>
      <c r="L46" s="56" t="s">
        <v>141</v>
      </c>
      <c r="M46" s="61">
        <f t="array" ref="M46">SUMPRODUCT(J45:J47/COUNTIF($A$2:$A$94,F44), TRANSPOSE(G48:I48)/COUNTIF($A$2:$A$94,F44))</f>
        <v>1</v>
      </c>
      <c r="N46" s="62" t="s">
        <v>142</v>
      </c>
      <c r="O46" s="3"/>
      <c r="P46" s="3"/>
      <c r="Q46" s="3"/>
      <c r="R46" s="3"/>
      <c r="S46" s="3"/>
      <c r="T46" s="3"/>
    </row>
    <row r="47" ht="12.75" customHeight="1">
      <c r="A47" s="7" t="str">
        <f>Thermonix!A47</f>
        <v>Guard</v>
      </c>
      <c r="B47" s="8" t="str">
        <f>Thermonix!B47</f>
        <v>additional elements</v>
      </c>
      <c r="C47" s="18">
        <f>CombinedHumanGrading!C47</f>
        <v>0</v>
      </c>
      <c r="D47" s="18">
        <f>'GPT-5.5 Grading'!C47</f>
        <v>0</v>
      </c>
      <c r="E47" s="6"/>
      <c r="F47" s="57">
        <v>1.0</v>
      </c>
      <c r="G47" s="63">
        <f>COUNTIFS($A$2:$A$44,$F$44,$C$2:$C$44,$F47,$D$2:$D$44,G$44) + MAX(C51-D51,0)</f>
        <v>0</v>
      </c>
      <c r="H47" s="64">
        <f>COUNTIFS($A$2:$A$84,$F$44,$C$2:$C$84,$F47,$D$2:$D$84,H$44)</f>
        <v>0</v>
      </c>
      <c r="I47" s="65">
        <f>COUNTIFS($A$2:$A$44,$F$44,$C$2:$C$44,$F47,$D$2:$D$44,I$44) + MIN(C51,D51)</f>
        <v>0</v>
      </c>
      <c r="J47" s="51">
        <f t="shared" si="25"/>
        <v>0</v>
      </c>
      <c r="K47" s="6"/>
      <c r="L47" s="56" t="s">
        <v>130</v>
      </c>
      <c r="M47" s="63" t="str">
        <f>(M45-M46)/(1-M46)</f>
        <v>#DIV/0!</v>
      </c>
      <c r="N47" s="65" t="s">
        <v>143</v>
      </c>
      <c r="O47" s="3"/>
      <c r="P47" s="3"/>
      <c r="Q47" s="3"/>
      <c r="R47" s="3"/>
      <c r="S47" s="3"/>
      <c r="T47" s="3"/>
    </row>
    <row r="48" ht="12.75" customHeight="1">
      <c r="A48" s="9" t="str">
        <f>Thermonix!A48</f>
        <v>Action</v>
      </c>
      <c r="B48" s="10" t="str">
        <f>Thermonix!B48</f>
        <v>additional elements</v>
      </c>
      <c r="C48" s="18">
        <f>CombinedHumanGrading!C48</f>
        <v>0</v>
      </c>
      <c r="D48" s="18">
        <f>'GPT-5.5 Grading'!C48</f>
        <v>0</v>
      </c>
      <c r="E48" s="6"/>
      <c r="F48" s="66" t="s">
        <v>144</v>
      </c>
      <c r="G48" s="51">
        <f t="shared" ref="G48:I48" si="26">SUM(G45:G47)</f>
        <v>2</v>
      </c>
      <c r="H48" s="51">
        <f t="shared" si="26"/>
        <v>0</v>
      </c>
      <c r="I48" s="51">
        <f t="shared" si="26"/>
        <v>0</v>
      </c>
      <c r="J48" s="6"/>
      <c r="K48" s="6"/>
      <c r="L48" s="6"/>
      <c r="M48" s="6"/>
      <c r="N48" s="6"/>
      <c r="O48" s="3"/>
      <c r="P48" s="3"/>
      <c r="Q48" s="3"/>
      <c r="R48" s="3"/>
      <c r="S48" s="3"/>
      <c r="T48" s="3"/>
    </row>
    <row r="49" ht="12.75" customHeight="1">
      <c r="A49" s="7" t="str">
        <f>Thermonix!A49</f>
        <v>Composite State</v>
      </c>
      <c r="B49" s="8" t="str">
        <f>Thermonix!B49</f>
        <v>additional elements</v>
      </c>
      <c r="C49" s="18">
        <f>CombinedHumanGrading!C49</f>
        <v>0</v>
      </c>
      <c r="D49" s="18">
        <f>'GPT-5.5 Grading'!C49</f>
        <v>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3"/>
      <c r="P49" s="3"/>
      <c r="Q49" s="3"/>
      <c r="R49" s="3"/>
      <c r="S49" s="3"/>
      <c r="T49" s="3"/>
    </row>
    <row r="50" ht="12.75" customHeight="1">
      <c r="A50" s="9" t="str">
        <f>Thermonix!A50</f>
        <v>Region</v>
      </c>
      <c r="B50" s="10" t="str">
        <f>Thermonix!B50</f>
        <v>additional elements</v>
      </c>
      <c r="C50" s="18">
        <f>CombinedHumanGrading!C50</f>
        <v>0</v>
      </c>
      <c r="D50" s="18">
        <f>'GPT-5.5 Grading'!C50</f>
        <v>0</v>
      </c>
      <c r="E50" s="6"/>
      <c r="F50" s="48" t="s">
        <v>157</v>
      </c>
      <c r="J50" s="6"/>
      <c r="K50" s="6"/>
      <c r="L50" s="49" t="s">
        <v>158</v>
      </c>
      <c r="M50" s="50"/>
      <c r="N50" s="50"/>
      <c r="O50" s="3"/>
      <c r="P50" s="3"/>
      <c r="Q50" s="3"/>
      <c r="R50" s="3"/>
      <c r="S50" s="3"/>
      <c r="T50" s="3"/>
    </row>
    <row r="51" ht="12.75" customHeight="1">
      <c r="A51" s="7" t="str">
        <f>Thermonix!A51</f>
        <v>History State</v>
      </c>
      <c r="B51" s="8" t="str">
        <f>Thermonix!B51</f>
        <v>additional elements</v>
      </c>
      <c r="C51" s="18">
        <f>CombinedHumanGrading!C51</f>
        <v>0</v>
      </c>
      <c r="D51" s="18">
        <f>'GPT-5.5 Grading'!C51</f>
        <v>0</v>
      </c>
      <c r="E51" s="6"/>
      <c r="F51" s="51" t="s">
        <v>48</v>
      </c>
      <c r="G51" s="67" t="s">
        <v>132</v>
      </c>
      <c r="H51" s="67" t="s">
        <v>133</v>
      </c>
      <c r="I51" s="67" t="s">
        <v>134</v>
      </c>
      <c r="J51" s="68" t="s">
        <v>135</v>
      </c>
      <c r="K51" s="6"/>
      <c r="L51" s="56" t="s">
        <v>136</v>
      </c>
      <c r="M51" s="56" t="s">
        <v>137</v>
      </c>
      <c r="N51" s="56" t="s">
        <v>138</v>
      </c>
      <c r="O51" s="3"/>
      <c r="P51" s="3"/>
      <c r="Q51" s="3"/>
      <c r="R51" s="3"/>
      <c r="S51" s="3"/>
      <c r="T51" s="3"/>
    </row>
    <row r="52" ht="12.75" customHeight="1">
      <c r="A52" s="73"/>
      <c r="B52" s="74"/>
      <c r="C52" s="6"/>
      <c r="D52" s="6"/>
      <c r="E52" s="6"/>
      <c r="F52" s="57">
        <v>0.0</v>
      </c>
      <c r="G52" s="58">
        <f t="shared" ref="G52:H52" si="27">COUNTIFS($A$2:$A$84,$F$51,$C$2:$C$84,$F52,$D$2:$D$84,G$51)</f>
        <v>1</v>
      </c>
      <c r="H52" s="59">
        <f t="shared" si="27"/>
        <v>0</v>
      </c>
      <c r="I52" s="60">
        <f>COUNTIFS($A$2:$A$44,$F$51,$C$2:$C$44,$F52,$D$2:$D$44,I$51)+MAX(D50-C50,0)</f>
        <v>0</v>
      </c>
      <c r="J52" s="51">
        <f t="shared" ref="J52:J54" si="29">SUM(G52:I52)</f>
        <v>1</v>
      </c>
      <c r="K52" s="6"/>
      <c r="L52" s="56" t="s">
        <v>139</v>
      </c>
      <c r="M52" s="58">
        <f>(G52+H53+I54)/COUNTIF($A$2:$A$94,F51)</f>
        <v>1</v>
      </c>
      <c r="N52" s="60" t="s">
        <v>140</v>
      </c>
      <c r="O52" s="3"/>
      <c r="P52" s="3"/>
      <c r="Q52" s="3"/>
      <c r="R52" s="3"/>
      <c r="S52" s="3"/>
      <c r="T52" s="3"/>
    </row>
    <row r="53" ht="12.75" customHeight="1">
      <c r="A53" s="73"/>
      <c r="B53" s="74"/>
      <c r="C53" s="6"/>
      <c r="D53" s="6"/>
      <c r="E53" s="6"/>
      <c r="F53" s="57">
        <v>0.5</v>
      </c>
      <c r="G53" s="61">
        <f t="shared" ref="G53:I53" si="28">COUNTIFS($A$2:$A$84,$F$51,$C$2:$C$84,$F53,$D$2:$D$84,G$51)</f>
        <v>0</v>
      </c>
      <c r="H53" s="51">
        <f t="shared" si="28"/>
        <v>0</v>
      </c>
      <c r="I53" s="62">
        <f t="shared" si="28"/>
        <v>0</v>
      </c>
      <c r="J53" s="51">
        <f t="shared" si="29"/>
        <v>0</v>
      </c>
      <c r="K53" s="6"/>
      <c r="L53" s="56" t="s">
        <v>141</v>
      </c>
      <c r="M53" s="61">
        <f t="array" ref="M53">SUMPRODUCT(J52:J54/COUNTIF($A$2:$A$94,F51), TRANSPOSE(G55:I55)/COUNTIF($A$2:$A$94,F51))</f>
        <v>1</v>
      </c>
      <c r="N53" s="62" t="s">
        <v>142</v>
      </c>
      <c r="O53" s="3"/>
      <c r="P53" s="3"/>
      <c r="Q53" s="3"/>
      <c r="R53" s="3"/>
      <c r="S53" s="3"/>
      <c r="T53" s="3"/>
    </row>
    <row r="54" ht="12.75" customHeight="1">
      <c r="A54" s="73"/>
      <c r="B54" s="74"/>
      <c r="C54" s="6"/>
      <c r="D54" s="6"/>
      <c r="E54" s="6"/>
      <c r="F54" s="57">
        <v>1.0</v>
      </c>
      <c r="G54" s="63">
        <f>COUNTIFS($A$2:$A$44,$F$51,$C$2:$C$44,$F54,$D$2:$D$44,G$51) + MAX(C50-D50,0)</f>
        <v>0</v>
      </c>
      <c r="H54" s="64">
        <f>COUNTIFS($A$2:$A$84,$F$51,$C$2:$C$84,$F54,$D$2:$D$84,H$51)</f>
        <v>0</v>
      </c>
      <c r="I54" s="65">
        <f>COUNTIFS($A$2:$A$44,$F$51,$C$2:$C$44,$F54,$D$2:$D$44,I$51)+MIN(C50,D50)</f>
        <v>0</v>
      </c>
      <c r="J54" s="51">
        <f t="shared" si="29"/>
        <v>0</v>
      </c>
      <c r="K54" s="6"/>
      <c r="L54" s="56" t="s">
        <v>130</v>
      </c>
      <c r="M54" s="63" t="str">
        <f>(M52-M53)/(1-M53)</f>
        <v>#DIV/0!</v>
      </c>
      <c r="N54" s="65" t="s">
        <v>143</v>
      </c>
      <c r="O54" s="3"/>
      <c r="P54" s="3"/>
      <c r="Q54" s="3"/>
      <c r="R54" s="3"/>
      <c r="S54" s="3"/>
      <c r="T54" s="3"/>
    </row>
    <row r="55" ht="12.75" customHeight="1">
      <c r="A55" s="73"/>
      <c r="B55" s="74"/>
      <c r="C55" s="6"/>
      <c r="D55" s="6"/>
      <c r="E55" s="6"/>
      <c r="F55" s="66" t="s">
        <v>144</v>
      </c>
      <c r="G55" s="51">
        <f t="shared" ref="G55:I55" si="30">SUM(G52:G54)</f>
        <v>1</v>
      </c>
      <c r="H55" s="51">
        <f t="shared" si="30"/>
        <v>0</v>
      </c>
      <c r="I55" s="51">
        <f t="shared" si="30"/>
        <v>0</v>
      </c>
      <c r="J55" s="6"/>
      <c r="K55" s="6"/>
      <c r="L55" s="6"/>
      <c r="M55" s="6"/>
      <c r="N55" s="6"/>
      <c r="O55" s="3"/>
      <c r="P55" s="3"/>
      <c r="Q55" s="3"/>
      <c r="R55" s="3"/>
      <c r="S55" s="3"/>
      <c r="T55" s="3"/>
    </row>
    <row r="56" ht="12.75" customHeight="1">
      <c r="A56" s="73"/>
      <c r="B56" s="74"/>
      <c r="C56" s="6"/>
      <c r="D56" s="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2.75" customHeight="1">
      <c r="A57" s="73"/>
      <c r="B57" s="74"/>
      <c r="C57" s="6"/>
      <c r="D57" s="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2.75" customHeight="1">
      <c r="A58" s="73"/>
      <c r="B58" s="74"/>
      <c r="C58" s="6"/>
      <c r="D58" s="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2.75" customHeight="1">
      <c r="A59" s="73"/>
      <c r="B59" s="74"/>
      <c r="C59" s="6"/>
      <c r="D59" s="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2.75" customHeight="1">
      <c r="A60" s="73"/>
      <c r="B60" s="74"/>
      <c r="C60" s="6"/>
      <c r="D60" s="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2.75" customHeight="1">
      <c r="A61" s="73"/>
      <c r="B61" s="74"/>
      <c r="C61" s="6"/>
      <c r="D61" s="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2.75" customHeight="1">
      <c r="A62" s="73"/>
      <c r="B62" s="74"/>
      <c r="C62" s="6"/>
      <c r="D62" s="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2.75" customHeight="1">
      <c r="A63" s="73"/>
      <c r="B63" s="74"/>
      <c r="C63" s="6"/>
      <c r="D63" s="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2.75" customHeight="1">
      <c r="A64" s="73"/>
      <c r="B64" s="74"/>
      <c r="C64" s="6"/>
      <c r="D64" s="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2.75" customHeight="1">
      <c r="A65" s="73"/>
      <c r="B65" s="74"/>
      <c r="C65" s="6"/>
      <c r="D65" s="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2.75" customHeight="1">
      <c r="A66" s="73"/>
      <c r="B66" s="74"/>
      <c r="C66" s="6"/>
      <c r="D66" s="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2.75" customHeight="1">
      <c r="A67" s="73"/>
      <c r="B67" s="74"/>
      <c r="C67" s="6"/>
      <c r="D67" s="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2.75" customHeight="1">
      <c r="A68" s="73"/>
      <c r="B68" s="74"/>
      <c r="C68" s="6"/>
      <c r="D68" s="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2.75" customHeight="1">
      <c r="A69" s="73"/>
      <c r="B69" s="74"/>
      <c r="C69" s="6"/>
      <c r="D69" s="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2.75" customHeight="1">
      <c r="A70" s="73"/>
      <c r="B70" s="74"/>
      <c r="C70" s="6"/>
      <c r="D70" s="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2.75" customHeight="1">
      <c r="A71" s="73"/>
      <c r="B71" s="74"/>
      <c r="C71" s="3"/>
      <c r="D71" s="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2.75" customHeight="1">
      <c r="A72" s="73"/>
      <c r="B72" s="74"/>
      <c r="C72" s="3"/>
      <c r="D72" s="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2.75" customHeight="1">
      <c r="A73" s="73"/>
      <c r="B73" s="74"/>
      <c r="C73" s="3"/>
      <c r="D73" s="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2.75" customHeight="1">
      <c r="A74" s="73"/>
      <c r="B74" s="74"/>
      <c r="C74" s="3"/>
      <c r="D74" s="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2.75" customHeight="1">
      <c r="A75" s="73"/>
      <c r="B75" s="74"/>
      <c r="C75" s="3"/>
      <c r="D75" s="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2.75" customHeight="1">
      <c r="A76" s="73"/>
      <c r="B76" s="74"/>
      <c r="C76" s="3"/>
      <c r="D76" s="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2.75" customHeight="1">
      <c r="A77" s="73"/>
      <c r="B77" s="74"/>
      <c r="C77" s="3"/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2.75" customHeight="1">
      <c r="A78" s="73"/>
      <c r="B78" s="74"/>
      <c r="C78" s="3"/>
      <c r="D78" s="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2.75" customHeight="1">
      <c r="A79" s="73"/>
      <c r="B79" s="74"/>
      <c r="C79" s="3"/>
      <c r="D79" s="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2.75" customHeight="1">
      <c r="A80" s="73"/>
      <c r="B80" s="7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2.75" customHeight="1">
      <c r="A81" s="15"/>
      <c r="B81" s="1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2.75" customHeight="1">
      <c r="A82" s="15"/>
      <c r="B82" s="1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2.75" customHeight="1">
      <c r="A83" s="15"/>
      <c r="B83" s="1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2.75" customHeight="1">
      <c r="A84" s="15"/>
      <c r="B84" s="1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2.75" customHeight="1">
      <c r="A85" s="15"/>
      <c r="B85" s="1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2.75" customHeight="1">
      <c r="A86" s="15"/>
      <c r="B86" s="1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2.75" customHeight="1">
      <c r="A87" s="15"/>
      <c r="B87" s="1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12.75" customHeight="1">
      <c r="A88" s="15"/>
      <c r="B88" s="1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12.75" customHeight="1">
      <c r="A89" s="15"/>
      <c r="B89" s="1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12.75" customHeight="1">
      <c r="A90" s="15"/>
      <c r="B90" s="1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12.75" customHeight="1">
      <c r="A91" s="15"/>
      <c r="B91" s="1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12.75" customHeight="1">
      <c r="A92" s="15"/>
      <c r="B92" s="1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12.75" customHeight="1">
      <c r="A93" s="15"/>
      <c r="B93" s="1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12.75" customHeight="1">
      <c r="A94" s="15"/>
      <c r="B94" s="1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12.75" customHeight="1">
      <c r="A95" s="15"/>
      <c r="B95" s="1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12.75" customHeight="1">
      <c r="A96" s="15"/>
      <c r="B96" s="1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12.75" customHeight="1">
      <c r="A97" s="15"/>
      <c r="B97" s="1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12.75" customHeight="1">
      <c r="A98" s="15"/>
      <c r="B98" s="1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12.75" customHeight="1">
      <c r="A99" s="15"/>
      <c r="B99" s="1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12.75" customHeight="1">
      <c r="A100" s="15"/>
      <c r="B100" s="1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12.75" customHeight="1">
      <c r="A101" s="15"/>
      <c r="B101" s="1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12.75" customHeight="1">
      <c r="A102" s="15"/>
      <c r="B102" s="1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12.75" customHeight="1">
      <c r="A103" s="15"/>
      <c r="B103" s="1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12.75" customHeight="1">
      <c r="A104" s="15"/>
      <c r="B104" s="1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12.75" customHeight="1">
      <c r="A105" s="15"/>
      <c r="B105" s="1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12.75" customHeight="1">
      <c r="A106" s="15"/>
      <c r="B106" s="1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12.75" customHeight="1">
      <c r="A107" s="15"/>
      <c r="B107" s="1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12.75" customHeight="1">
      <c r="A108" s="15"/>
      <c r="B108" s="1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12.75" customHeight="1">
      <c r="A109" s="15"/>
      <c r="B109" s="1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12.75" customHeight="1">
      <c r="A110" s="15"/>
      <c r="B110" s="1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12.75" customHeight="1">
      <c r="A111" s="15"/>
      <c r="B111" s="1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12.75" customHeight="1">
      <c r="A112" s="15"/>
      <c r="B112" s="1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12.75" customHeight="1">
      <c r="A113" s="15"/>
      <c r="B113" s="1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12.75" customHeight="1">
      <c r="A114" s="15"/>
      <c r="B114" s="1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12.75" customHeight="1">
      <c r="A115" s="15"/>
      <c r="B115" s="1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12.75" customHeight="1">
      <c r="A116" s="15"/>
      <c r="B116" s="1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12.75" customHeight="1">
      <c r="A117" s="15"/>
      <c r="B117" s="1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t="12.75" customHeight="1">
      <c r="A118" s="15"/>
      <c r="B118" s="1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t="12.75" customHeight="1">
      <c r="A119" s="15"/>
      <c r="B119" s="1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12.75" customHeight="1">
      <c r="A120" s="15"/>
      <c r="B120" s="1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ht="12.75" customHeight="1">
      <c r="A121" s="15"/>
      <c r="B121" s="1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12.75" customHeight="1">
      <c r="A122" s="15"/>
      <c r="B122" s="1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t="12.75" customHeight="1">
      <c r="A123" s="15"/>
      <c r="B123" s="1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t="12.75" customHeight="1">
      <c r="A124" s="15"/>
      <c r="B124" s="1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12.75" customHeight="1">
      <c r="A125" s="15"/>
      <c r="B125" s="1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12.75" customHeight="1">
      <c r="A126" s="15"/>
      <c r="B126" s="1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t="12.75" customHeight="1">
      <c r="A127" s="15"/>
      <c r="B127" s="1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t="12.75" customHeight="1">
      <c r="A128" s="15"/>
      <c r="B128" s="1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t="12.75" customHeight="1">
      <c r="A129" s="15"/>
      <c r="B129" s="1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t="12.75" customHeight="1">
      <c r="A130" s="15"/>
      <c r="B130" s="1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t="12.75" customHeight="1">
      <c r="A131" s="15"/>
      <c r="B131" s="1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t="12.75" customHeight="1">
      <c r="A132" s="15"/>
      <c r="B132" s="1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12.75" customHeight="1">
      <c r="A133" s="15"/>
      <c r="B133" s="1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t="12.75" customHeight="1">
      <c r="A134" s="15"/>
      <c r="B134" s="1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12.75" customHeight="1">
      <c r="A135" s="15"/>
      <c r="B135" s="1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t="12.75" customHeight="1">
      <c r="A136" s="15"/>
      <c r="B136" s="1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t="12.75" customHeight="1">
      <c r="A137" s="15"/>
      <c r="B137" s="1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t="12.75" customHeight="1">
      <c r="A138" s="15"/>
      <c r="B138" s="1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t="12.75" customHeight="1">
      <c r="A139" s="15"/>
      <c r="B139" s="1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12.75" customHeight="1">
      <c r="A140" s="15"/>
      <c r="B140" s="1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t="12.75" customHeight="1">
      <c r="A141" s="15"/>
      <c r="B141" s="1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t="12.75" customHeight="1">
      <c r="A142" s="15"/>
      <c r="B142" s="1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t="12.75" customHeight="1">
      <c r="A143" s="15"/>
      <c r="B143" s="1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t="12.75" customHeight="1">
      <c r="A144" s="15"/>
      <c r="B144" s="1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2.75" customHeight="1">
      <c r="A145" s="15"/>
      <c r="B145" s="1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t="12.75" customHeight="1">
      <c r="A146" s="15"/>
      <c r="B146" s="1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t="12.75" customHeight="1">
      <c r="A147" s="15"/>
      <c r="B147" s="1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t="12.75" customHeight="1">
      <c r="A148" s="15"/>
      <c r="B148" s="1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t="12.75" customHeight="1">
      <c r="A149" s="15"/>
      <c r="B149" s="1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t="12.75" customHeight="1">
      <c r="A150" s="15"/>
      <c r="B150" s="1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t="12.75" customHeight="1">
      <c r="A151" s="15"/>
      <c r="B151" s="1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12.75" customHeight="1">
      <c r="A152" s="15"/>
      <c r="B152" s="1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t="12.75" customHeight="1">
      <c r="A153" s="15"/>
      <c r="B153" s="1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12.75" customHeight="1">
      <c r="A154" s="15"/>
      <c r="B154" s="1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t="12.75" customHeight="1">
      <c r="A155" s="15"/>
      <c r="B155" s="1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12.75" customHeight="1">
      <c r="A156" s="15"/>
      <c r="B156" s="1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ht="12.75" customHeight="1">
      <c r="A157" s="15"/>
      <c r="B157" s="1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ht="12.75" customHeight="1">
      <c r="A158" s="15"/>
      <c r="B158" s="1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ht="12.75" customHeight="1">
      <c r="A159" s="15"/>
      <c r="B159" s="1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12.75" customHeight="1">
      <c r="A160" s="15"/>
      <c r="B160" s="1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ht="12.75" customHeight="1">
      <c r="A161" s="15"/>
      <c r="B161" s="1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ht="12.75" customHeight="1">
      <c r="A162" s="15"/>
      <c r="B162" s="1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ht="12.75" customHeight="1">
      <c r="A163" s="15"/>
      <c r="B163" s="1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ht="12.75" customHeight="1">
      <c r="A164" s="15"/>
      <c r="B164" s="1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ht="12.75" customHeight="1">
      <c r="A165" s="15"/>
      <c r="B165" s="1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ht="12.75" customHeight="1">
      <c r="A166" s="15"/>
      <c r="B166" s="1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ht="12.75" customHeight="1">
      <c r="A167" s="15"/>
      <c r="B167" s="1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ht="12.75" customHeight="1">
      <c r="A168" s="15"/>
      <c r="B168" s="1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ht="12.75" customHeight="1">
      <c r="A169" s="15"/>
      <c r="B169" s="1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12.75" customHeight="1">
      <c r="A170" s="15"/>
      <c r="B170" s="1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ht="12.75" customHeight="1">
      <c r="A171" s="15"/>
      <c r="B171" s="1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ht="12.75" customHeight="1">
      <c r="A172" s="15"/>
      <c r="B172" s="1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ht="12.75" customHeight="1">
      <c r="A173" s="15"/>
      <c r="B173" s="1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12.75" customHeight="1">
      <c r="A174" s="15"/>
      <c r="B174" s="1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12.75" customHeight="1">
      <c r="A175" s="15"/>
      <c r="B175" s="1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ht="12.75" customHeight="1">
      <c r="A176" s="15"/>
      <c r="B176" s="1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ht="12.75" customHeight="1">
      <c r="A177" s="15"/>
      <c r="B177" s="1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ht="12.75" customHeight="1">
      <c r="A178" s="15"/>
      <c r="B178" s="1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ht="12.75" customHeight="1">
      <c r="A179" s="15"/>
      <c r="B179" s="1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ht="12.75" customHeight="1">
      <c r="A180" s="15"/>
      <c r="B180" s="1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12.75" customHeight="1">
      <c r="A181" s="15"/>
      <c r="B181" s="1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12.75" customHeight="1">
      <c r="A182" s="15"/>
      <c r="B182" s="1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t="12.75" customHeight="1">
      <c r="A183" s="15"/>
      <c r="B183" s="1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12.75" customHeight="1">
      <c r="A184" s="15"/>
      <c r="B184" s="1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t="12.75" customHeight="1">
      <c r="A185" s="15"/>
      <c r="B185" s="1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ht="12.75" customHeight="1">
      <c r="A186" s="15"/>
      <c r="B186" s="1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ht="12.75" customHeight="1">
      <c r="A187" s="15"/>
      <c r="B187" s="1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ht="12.75" customHeight="1">
      <c r="A188" s="15"/>
      <c r="B188" s="1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ht="12.75" customHeight="1">
      <c r="A189" s="15"/>
      <c r="B189" s="1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t="12.75" customHeight="1">
      <c r="A190" s="15"/>
      <c r="B190" s="1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t="12.75" customHeight="1">
      <c r="A191" s="15"/>
      <c r="B191" s="1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ht="12.75" customHeight="1">
      <c r="A192" s="15"/>
      <c r="B192" s="1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ht="12.75" customHeight="1">
      <c r="A193" s="15"/>
      <c r="B193" s="1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ht="12.75" customHeight="1">
      <c r="A194" s="15"/>
      <c r="B194" s="1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ht="12.75" customHeight="1">
      <c r="A195" s="15"/>
      <c r="B195" s="1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ht="12.75" customHeight="1">
      <c r="A196" s="15"/>
      <c r="B196" s="1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ht="12.75" customHeight="1">
      <c r="A197" s="15"/>
      <c r="B197" s="1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ht="12.75" customHeight="1">
      <c r="A198" s="15"/>
      <c r="B198" s="1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ht="12.75" customHeight="1">
      <c r="A199" s="15"/>
      <c r="B199" s="1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ht="12.75" customHeight="1">
      <c r="A200" s="15"/>
      <c r="B200" s="1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ht="12.75" customHeight="1">
      <c r="A201" s="15"/>
      <c r="B201" s="1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ht="12.75" customHeight="1">
      <c r="A202" s="15"/>
      <c r="B202" s="1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ht="12.75" customHeight="1">
      <c r="A203" s="15"/>
      <c r="B203" s="1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ht="12.75" customHeight="1">
      <c r="A204" s="15"/>
      <c r="B204" s="1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ht="12.75" customHeight="1">
      <c r="A205" s="15"/>
      <c r="B205" s="1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ht="12.75" customHeight="1">
      <c r="A206" s="15"/>
      <c r="B206" s="1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ht="12.75" customHeight="1">
      <c r="A207" s="15"/>
      <c r="B207" s="1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ht="12.75" customHeight="1">
      <c r="A208" s="15"/>
      <c r="B208" s="1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ht="12.75" customHeight="1">
      <c r="A209" s="15"/>
      <c r="B209" s="1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ht="12.75" customHeight="1">
      <c r="A210" s="15"/>
      <c r="B210" s="1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ht="12.75" customHeight="1">
      <c r="A211" s="15"/>
      <c r="B211" s="1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ht="12.75" customHeight="1">
      <c r="A212" s="15"/>
      <c r="B212" s="1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ht="12.75" customHeight="1">
      <c r="A213" s="15"/>
      <c r="B213" s="1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ht="12.75" customHeight="1">
      <c r="A214" s="15"/>
      <c r="B214" s="1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ht="12.75" customHeight="1">
      <c r="A215" s="15"/>
      <c r="B215" s="1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ht="12.75" customHeight="1">
      <c r="A216" s="15"/>
      <c r="B216" s="1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ht="12.75" customHeight="1">
      <c r="A217" s="15"/>
      <c r="B217" s="1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ht="12.75" customHeight="1">
      <c r="A218" s="15"/>
      <c r="B218" s="1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ht="12.75" customHeight="1">
      <c r="A219" s="15"/>
      <c r="B219" s="1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ht="12.75" customHeight="1">
      <c r="A220" s="15"/>
      <c r="B220" s="1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ht="12.75" customHeight="1">
      <c r="A221" s="15"/>
      <c r="B221" s="1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ht="12.75" customHeight="1">
      <c r="A222" s="15"/>
      <c r="B222" s="1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ht="12.75" customHeight="1">
      <c r="A223" s="15"/>
      <c r="B223" s="1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ht="12.75" customHeight="1">
      <c r="A224" s="15"/>
      <c r="B224" s="1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ht="12.75" customHeight="1">
      <c r="A225" s="15"/>
      <c r="B225" s="1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ht="12.75" customHeight="1">
      <c r="A226" s="15"/>
      <c r="B226" s="1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ht="12.75" customHeight="1">
      <c r="A227" s="15"/>
      <c r="B227" s="1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ht="12.75" customHeight="1">
      <c r="A228" s="15"/>
      <c r="B228" s="1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ht="12.75" customHeight="1">
      <c r="A229" s="15"/>
      <c r="B229" s="1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ht="12.75" customHeight="1">
      <c r="A230" s="15"/>
      <c r="B230" s="1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ht="12.75" customHeight="1">
      <c r="A231" s="15"/>
      <c r="B231" s="1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ht="12.75" customHeight="1">
      <c r="A232" s="15"/>
      <c r="B232" s="1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ht="12.75" customHeight="1">
      <c r="A233" s="15"/>
      <c r="B233" s="1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ht="12.75" customHeight="1">
      <c r="A234" s="15"/>
      <c r="B234" s="1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ht="12.75" customHeight="1">
      <c r="A235" s="15"/>
      <c r="B235" s="1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ht="12.75" customHeight="1">
      <c r="A236" s="15"/>
      <c r="B236" s="1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ht="12.75" customHeight="1">
      <c r="A237" s="15"/>
      <c r="B237" s="1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ht="12.75" customHeight="1">
      <c r="A238" s="15"/>
      <c r="B238" s="1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ht="12.75" customHeight="1">
      <c r="A239" s="15"/>
      <c r="B239" s="1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ht="12.75" customHeight="1">
      <c r="A240" s="15"/>
      <c r="B240" s="1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ht="12.75" customHeight="1">
      <c r="A241" s="15"/>
      <c r="B241" s="1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ht="12.75" customHeight="1">
      <c r="A242" s="15"/>
      <c r="B242" s="1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ht="12.75" customHeight="1">
      <c r="A243" s="15"/>
      <c r="B243" s="1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ht="12.75" customHeight="1">
      <c r="A244" s="15"/>
      <c r="B244" s="1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ht="12.75" customHeight="1">
      <c r="A245" s="15"/>
      <c r="B245" s="1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ht="12.75" customHeight="1">
      <c r="A246" s="15"/>
      <c r="B246" s="1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ht="12.75" customHeight="1">
      <c r="A247" s="15"/>
      <c r="B247" s="1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ht="12.75" customHeight="1">
      <c r="A248" s="15"/>
      <c r="B248" s="1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ht="12.75" customHeight="1">
      <c r="A249" s="15"/>
      <c r="B249" s="1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ht="12.75" customHeight="1">
      <c r="A250" s="15"/>
      <c r="B250" s="1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ht="12.75" customHeight="1">
      <c r="A251" s="15"/>
      <c r="B251" s="1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ht="12.75" customHeight="1">
      <c r="A252" s="15"/>
      <c r="B252" s="1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ht="12.75" customHeight="1">
      <c r="A253" s="15"/>
      <c r="B253" s="1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ht="12.75" customHeight="1">
      <c r="A254" s="15"/>
      <c r="B254" s="1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ht="12.75" customHeight="1">
      <c r="A255" s="15"/>
      <c r="B255" s="1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10.88"/>
    <col customWidth="1" min="5" max="5" width="10.63"/>
    <col customWidth="1" min="6" max="6" width="29.38"/>
    <col customWidth="1" min="7" max="9" width="10.63"/>
    <col customWidth="1" min="11" max="11" width="10.63"/>
    <col customWidth="1" min="12" max="12" width="11.5"/>
    <col customWidth="1" min="13" max="13" width="11.63"/>
    <col customWidth="1" min="14" max="14" width="13.38"/>
    <col customWidth="1" min="15" max="17" width="10.63"/>
    <col customWidth="1" min="18" max="18" width="12.63"/>
    <col customWidth="1" min="22" max="22" width="36.38"/>
    <col customWidth="1" min="24" max="24" width="54.88"/>
  </cols>
  <sheetData>
    <row r="1" ht="12.75" customHeight="1">
      <c r="A1" s="47" t="s">
        <v>0</v>
      </c>
      <c r="B1" s="22" t="s">
        <v>1</v>
      </c>
      <c r="C1" s="22" t="s">
        <v>128</v>
      </c>
      <c r="D1" s="22" t="s">
        <v>124</v>
      </c>
      <c r="E1" s="6"/>
      <c r="F1" s="48" t="s">
        <v>129</v>
      </c>
      <c r="J1" s="6"/>
      <c r="K1" s="6"/>
      <c r="L1" s="48" t="s">
        <v>159</v>
      </c>
      <c r="P1" s="6"/>
      <c r="Q1" s="6"/>
      <c r="R1" s="6"/>
      <c r="S1" s="6"/>
      <c r="T1" s="6"/>
      <c r="V1" s="6"/>
      <c r="W1" s="6"/>
      <c r="X1" s="6"/>
    </row>
    <row r="2" ht="12.75" customHeight="1">
      <c r="A2" s="9" t="str">
        <f>Thermonix!A2</f>
        <v>State</v>
      </c>
      <c r="B2" s="10" t="str">
        <f>Thermonix!B2</f>
        <v>initial state (⇒ TransportationMode)</v>
      </c>
      <c r="C2" s="18">
        <f>CombinedHumanGrading!C2</f>
        <v>1</v>
      </c>
      <c r="D2" s="18">
        <f>'GPT-5.5 Grading'!C2</f>
        <v>1</v>
      </c>
      <c r="E2" s="6"/>
      <c r="F2" s="51" t="s">
        <v>131</v>
      </c>
      <c r="G2" s="52" t="s">
        <v>132</v>
      </c>
      <c r="H2" s="53" t="s">
        <v>133</v>
      </c>
      <c r="I2" s="54" t="s">
        <v>134</v>
      </c>
      <c r="J2" s="68" t="s">
        <v>135</v>
      </c>
      <c r="K2" s="6"/>
      <c r="L2" s="51" t="s">
        <v>131</v>
      </c>
      <c r="M2" s="67" t="s">
        <v>132</v>
      </c>
      <c r="N2" s="67" t="s">
        <v>133</v>
      </c>
      <c r="O2" s="67" t="s">
        <v>134</v>
      </c>
      <c r="P2" s="6"/>
      <c r="Q2" s="51" t="s">
        <v>131</v>
      </c>
      <c r="R2" s="67" t="s">
        <v>132</v>
      </c>
      <c r="S2" s="67" t="s">
        <v>133</v>
      </c>
      <c r="T2" s="67" t="s">
        <v>134</v>
      </c>
      <c r="V2" s="56" t="str">
        <f>"Metrics" &amp; " " &amp; F2</f>
        <v>Metrics Global</v>
      </c>
      <c r="W2" s="56" t="s">
        <v>137</v>
      </c>
      <c r="X2" s="56" t="s">
        <v>138</v>
      </c>
    </row>
    <row r="3" ht="12.75" customHeight="1">
      <c r="A3" s="7" t="str">
        <f>Thermonix!A3</f>
        <v>State</v>
      </c>
      <c r="B3" s="8" t="str">
        <f>Thermonix!B3</f>
        <v>TransportationMode</v>
      </c>
      <c r="C3" s="18">
        <f>CombinedHumanGrading!C3</f>
        <v>1</v>
      </c>
      <c r="D3" s="18">
        <f>'GPT-5.5 Grading'!C3</f>
        <v>1</v>
      </c>
      <c r="E3" s="6"/>
      <c r="F3" s="57">
        <v>0.0</v>
      </c>
      <c r="G3" s="58">
        <f>COUNTIFS($C$2:$C$84, $F3, $D$2:$D$84, G$2)</f>
        <v>16</v>
      </c>
      <c r="H3" s="59">
        <f>COUNTIFS($C$2:$C$44, $F3, $D$2:$D$44, H$2)</f>
        <v>4</v>
      </c>
      <c r="I3" s="60">
        <f>COUNTIFS($C$2:$C$44, $F3, $D$2:$D$44, I$2)+MAX(D45-C45,0)+MAX(D46-C46,0)+MAX(D47-C47,0)+MAX(D48-C48,0)+MAX(D49-C49,0)+MAX(D50-C50,0)+MAX(D51-C51,0)</f>
        <v>2</v>
      </c>
      <c r="J3" s="51">
        <f t="shared" ref="J3:J5" si="4">SUM(G3:I3)</f>
        <v>22</v>
      </c>
      <c r="K3" s="6"/>
      <c r="L3" s="57">
        <v>0.0</v>
      </c>
      <c r="M3" s="58">
        <f t="shared" ref="M3:O3" si="1">ABS(G$2-$F3)/1</f>
        <v>0</v>
      </c>
      <c r="N3" s="59">
        <f t="shared" si="1"/>
        <v>0.5</v>
      </c>
      <c r="O3" s="60">
        <f t="shared" si="1"/>
        <v>1</v>
      </c>
      <c r="P3" s="6"/>
      <c r="Q3" s="57">
        <v>0.0</v>
      </c>
      <c r="R3" s="58">
        <f t="shared" ref="R3:T3" si="2">($J3/$J$6) * (G$6/$J$6)</f>
        <v>0.1408</v>
      </c>
      <c r="S3" s="59">
        <f t="shared" si="2"/>
        <v>0.0792</v>
      </c>
      <c r="T3" s="60">
        <f t="shared" si="2"/>
        <v>0.22</v>
      </c>
      <c r="U3" s="16"/>
      <c r="V3" s="56" t="s">
        <v>160</v>
      </c>
      <c r="W3" s="58">
        <f>SUMPRODUCT(G3:I5, M3:O5) /$J$6</f>
        <v>0.13</v>
      </c>
      <c r="X3" s="60" t="s">
        <v>161</v>
      </c>
    </row>
    <row r="4" ht="12.75" customHeight="1">
      <c r="A4" s="9" t="str">
        <f>Thermonix!A4</f>
        <v>Transition</v>
      </c>
      <c r="B4" s="10" t="str">
        <f>Thermonix!B4</f>
        <v>selectorPressed (TransportationMode ⇒ On)</v>
      </c>
      <c r="C4" s="18">
        <f>CombinedHumanGrading!C4</f>
        <v>1</v>
      </c>
      <c r="D4" s="18">
        <f>'GPT-5.5 Grading'!C4</f>
        <v>1</v>
      </c>
      <c r="E4" s="6"/>
      <c r="F4" s="57">
        <v>0.5</v>
      </c>
      <c r="G4" s="61">
        <f t="shared" ref="G4:I4" si="3">COUNTIFS($C$2:$C$44, $F4, $D$2:$D$44, G$2)</f>
        <v>0</v>
      </c>
      <c r="H4" s="51">
        <f t="shared" si="3"/>
        <v>1</v>
      </c>
      <c r="I4" s="62">
        <f t="shared" si="3"/>
        <v>1</v>
      </c>
      <c r="J4" s="51">
        <f t="shared" si="4"/>
        <v>2</v>
      </c>
      <c r="K4" s="6"/>
      <c r="L4" s="57">
        <v>0.5</v>
      </c>
      <c r="M4" s="61">
        <f t="shared" ref="M4:M5" si="6">ABS(G$2-$F4)/1</f>
        <v>0.5</v>
      </c>
      <c r="N4" s="51">
        <f>ABS(H$2-$F4)/3</f>
        <v>0</v>
      </c>
      <c r="O4" s="62">
        <f>ABS(I$2-$F4)/1</f>
        <v>0.5</v>
      </c>
      <c r="P4" s="6"/>
      <c r="Q4" s="57">
        <v>0.5</v>
      </c>
      <c r="R4" s="61">
        <f t="shared" ref="R4:T4" si="5">($J4/$J$6) * (G$6/$J$6)</f>
        <v>0.0128</v>
      </c>
      <c r="S4" s="51">
        <f t="shared" si="5"/>
        <v>0.0072</v>
      </c>
      <c r="T4" s="62">
        <f t="shared" si="5"/>
        <v>0.02</v>
      </c>
      <c r="U4" s="16"/>
      <c r="V4" s="56" t="s">
        <v>162</v>
      </c>
      <c r="W4" s="61">
        <f>SUMPRODUCT(R3:T5, M3:O5)</f>
        <v>0.4892</v>
      </c>
      <c r="X4" s="62" t="s">
        <v>163</v>
      </c>
    </row>
    <row r="5" ht="12.75" customHeight="1">
      <c r="A5" s="7" t="str">
        <f>Thermonix!A5</f>
        <v>State</v>
      </c>
      <c r="B5" s="8" t="str">
        <f>Thermonix!B5</f>
        <v>PreparingOff</v>
      </c>
      <c r="C5" s="18">
        <f>CombinedHumanGrading!C5</f>
        <v>1</v>
      </c>
      <c r="D5" s="18">
        <f>'GPT-5.5 Grading'!C5</f>
        <v>1</v>
      </c>
      <c r="E5" s="6"/>
      <c r="F5" s="57">
        <v>1.0</v>
      </c>
      <c r="G5" s="63">
        <f>COUNTIFS($C$2:$C$44, $F5, $D$2:$D$44, G$2)+MAX(C45-D45,0)+MAX(C46-D46,0)+MAX(C47-D47,0)+MAX(C48-D48,0)+MAX(C49-D49,0)+MAX(C50-D50,0)+MAX(C51-D51,0)</f>
        <v>0</v>
      </c>
      <c r="H5" s="64">
        <f>COUNTIFS($C$2:$C$44, $F5, $D$2:$D$44, H$2)</f>
        <v>4</v>
      </c>
      <c r="I5" s="65">
        <f>COUNTIFS($C$2:$C$44, $F5, $D$2:$D$44, I$2)+ SUM(MIN(C45,D45), MIN(C46,D46), MIN(C47,D47), MIN(C48,D48), MIN(C49,D49), MIN(C50,D50), MIN(C51,D51))</f>
        <v>22</v>
      </c>
      <c r="J5" s="51">
        <f t="shared" si="4"/>
        <v>26</v>
      </c>
      <c r="K5" s="6"/>
      <c r="L5" s="57">
        <v>1.0</v>
      </c>
      <c r="M5" s="63">
        <f t="shared" si="6"/>
        <v>1</v>
      </c>
      <c r="N5" s="64">
        <f t="shared" ref="N5:O5" si="7">ABS(H$2-$F5)/1</f>
        <v>0.5</v>
      </c>
      <c r="O5" s="65">
        <f t="shared" si="7"/>
        <v>0</v>
      </c>
      <c r="P5" s="6"/>
      <c r="Q5" s="57">
        <v>1.0</v>
      </c>
      <c r="R5" s="63">
        <f t="shared" ref="R5:T5" si="8">($J5/$J$6) * (G$6/$J$6)</f>
        <v>0.1664</v>
      </c>
      <c r="S5" s="64">
        <f t="shared" si="8"/>
        <v>0.0936</v>
      </c>
      <c r="T5" s="65">
        <f t="shared" si="8"/>
        <v>0.26</v>
      </c>
      <c r="U5" s="16"/>
      <c r="V5" s="56" t="s">
        <v>130</v>
      </c>
      <c r="W5" s="63">
        <f>1-W3/W4</f>
        <v>0.7342600164</v>
      </c>
      <c r="X5" s="65" t="s">
        <v>164</v>
      </c>
    </row>
    <row r="6" ht="12.75" customHeight="1">
      <c r="A6" s="9" t="str">
        <f>Thermonix!A6</f>
        <v>Transition</v>
      </c>
      <c r="B6" s="10" t="str">
        <f>Thermonix!B6</f>
        <v>selectorReleased (PreparingOff ⇒ On)</v>
      </c>
      <c r="C6" s="18">
        <f>CombinedHumanGrading!C6</f>
        <v>1</v>
      </c>
      <c r="D6" s="18">
        <f>'GPT-5.5 Grading'!C6</f>
        <v>1</v>
      </c>
      <c r="E6" s="6"/>
      <c r="F6" s="66" t="s">
        <v>144</v>
      </c>
      <c r="G6" s="51">
        <f t="shared" ref="G6:I6" si="9">SUM(G3:G5)</f>
        <v>16</v>
      </c>
      <c r="H6" s="51">
        <f t="shared" si="9"/>
        <v>9</v>
      </c>
      <c r="I6" s="51">
        <f t="shared" si="9"/>
        <v>25</v>
      </c>
      <c r="J6" s="51">
        <f>SUM(G3:I5)</f>
        <v>50</v>
      </c>
      <c r="K6" s="6"/>
      <c r="L6" s="6"/>
      <c r="M6" s="6"/>
      <c r="N6" s="6"/>
      <c r="O6" s="6"/>
      <c r="P6" s="6"/>
      <c r="Q6" s="6"/>
      <c r="R6" s="6"/>
      <c r="S6" s="6"/>
      <c r="T6" s="6"/>
      <c r="V6" s="6"/>
      <c r="W6" s="6"/>
      <c r="X6" s="6"/>
    </row>
    <row r="7" ht="12.75" customHeight="1">
      <c r="A7" s="7" t="str">
        <f>Thermonix!A7</f>
        <v>Transition</v>
      </c>
      <c r="B7" s="8" t="str">
        <f>Thermonix!B7</f>
        <v>after 5sec (PreparingOff ⇒ Off)</v>
      </c>
      <c r="C7" s="18">
        <f>CombinedHumanGrading!C7</f>
        <v>1</v>
      </c>
      <c r="D7" s="18">
        <f>'GPT-5.5 Grading'!C7</f>
        <v>0.5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V7" s="6"/>
      <c r="W7" s="6"/>
      <c r="X7" s="6"/>
    </row>
    <row r="8" ht="12.75" customHeight="1">
      <c r="A8" s="9" t="str">
        <f>Thermonix!A8</f>
        <v>State</v>
      </c>
      <c r="B8" s="10" t="str">
        <f>Thermonix!B8</f>
        <v>Off</v>
      </c>
      <c r="C8" s="18">
        <f>CombinedHumanGrading!C8</f>
        <v>1</v>
      </c>
      <c r="D8" s="18">
        <f>'GPT-5.5 Grading'!C8</f>
        <v>1</v>
      </c>
      <c r="E8" s="6"/>
      <c r="F8" s="48" t="s">
        <v>145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V8" s="6"/>
      <c r="W8" s="6"/>
      <c r="X8" s="6"/>
    </row>
    <row r="9" ht="12.75" customHeight="1">
      <c r="A9" s="7" t="str">
        <f>Thermonix!A9</f>
        <v>Transition</v>
      </c>
      <c r="B9" s="8" t="str">
        <f>Thermonix!B9</f>
        <v>selectorPressed (Off ⇒ On)</v>
      </c>
      <c r="C9" s="18">
        <f>CombinedHumanGrading!C9</f>
        <v>1</v>
      </c>
      <c r="D9" s="18">
        <f>'GPT-5.5 Grading'!C9</f>
        <v>1</v>
      </c>
      <c r="E9" s="6"/>
      <c r="F9" s="51" t="s">
        <v>2</v>
      </c>
      <c r="G9" s="67" t="s">
        <v>132</v>
      </c>
      <c r="H9" s="67" t="s">
        <v>133</v>
      </c>
      <c r="I9" s="67" t="s">
        <v>134</v>
      </c>
      <c r="J9" s="68" t="s">
        <v>135</v>
      </c>
      <c r="K9" s="6"/>
      <c r="L9" s="51" t="s">
        <v>131</v>
      </c>
      <c r="M9" s="67" t="s">
        <v>132</v>
      </c>
      <c r="N9" s="67" t="s">
        <v>133</v>
      </c>
      <c r="O9" s="67" t="s">
        <v>134</v>
      </c>
      <c r="P9" s="6"/>
      <c r="Q9" s="51" t="s">
        <v>131</v>
      </c>
      <c r="R9" s="75" t="s">
        <v>132</v>
      </c>
      <c r="S9" s="75" t="s">
        <v>133</v>
      </c>
      <c r="T9" s="75" t="s">
        <v>134</v>
      </c>
      <c r="V9" s="56" t="str">
        <f>"Metrics" &amp; " " &amp; F9</f>
        <v>Metrics State</v>
      </c>
      <c r="W9" s="56" t="s">
        <v>137</v>
      </c>
      <c r="X9" s="56" t="s">
        <v>138</v>
      </c>
    </row>
    <row r="10" ht="12.75" customHeight="1">
      <c r="A10" s="9" t="str">
        <f>Thermonix!A10</f>
        <v>Composite State</v>
      </c>
      <c r="B10" s="10" t="str">
        <f>Thermonix!B10</f>
        <v>On</v>
      </c>
      <c r="C10" s="18">
        <f>CombinedHumanGrading!C10</f>
        <v>0</v>
      </c>
      <c r="D10" s="18">
        <f>'GPT-5.5 Grading'!C10</f>
        <v>0.5</v>
      </c>
      <c r="E10" s="6"/>
      <c r="F10" s="57">
        <v>0.0</v>
      </c>
      <c r="G10" s="58">
        <f t="shared" ref="G10:H10" si="10">COUNTIFS($A$2:$A$84,$F$9,$C$2:$C$84,$F10,$D$2:$D$84,G$16)</f>
        <v>1</v>
      </c>
      <c r="H10" s="59">
        <f t="shared" si="10"/>
        <v>0</v>
      </c>
      <c r="I10" s="60">
        <f>COUNTIFS($A$2:$A$44,$F$9,$C$2:$C$44,$F10,$D$2:$D$44,I$16) + MAX(D39-C39,0)</f>
        <v>2.5</v>
      </c>
      <c r="J10" s="51">
        <f t="shared" ref="J10:J12" si="14">SUM(G10:I10)</f>
        <v>3.5</v>
      </c>
      <c r="K10" s="6"/>
      <c r="L10" s="57">
        <v>0.0</v>
      </c>
      <c r="M10" s="58">
        <f t="shared" ref="M10:O10" si="11">ABS(G$2-$F10)/1</f>
        <v>0</v>
      </c>
      <c r="N10" s="59">
        <f t="shared" si="11"/>
        <v>0.5</v>
      </c>
      <c r="O10" s="60">
        <f t="shared" si="11"/>
        <v>1</v>
      </c>
      <c r="P10" s="6"/>
      <c r="Q10" s="57">
        <v>0.0</v>
      </c>
      <c r="R10" s="58">
        <f t="shared" ref="R10:T10" si="12">($J10/$J$13) * (G$13/$J$13)</f>
        <v>0</v>
      </c>
      <c r="S10" s="59">
        <f t="shared" si="12"/>
        <v>0</v>
      </c>
      <c r="T10" s="60">
        <f t="shared" si="12"/>
        <v>0.3888888889</v>
      </c>
      <c r="U10" s="16"/>
      <c r="V10" s="56" t="s">
        <v>160</v>
      </c>
      <c r="W10" s="58">
        <f>SUMPRODUCT(G10:I12, M10:O12) /$J$13</f>
        <v>0.2777777778</v>
      </c>
      <c r="X10" s="60" t="s">
        <v>161</v>
      </c>
    </row>
    <row r="11" ht="12.75" customHeight="1">
      <c r="A11" s="7" t="str">
        <f>Thermonix!A11</f>
        <v>History State</v>
      </c>
      <c r="B11" s="8" t="str">
        <f>Thermonix!B11</f>
        <v>History State for On</v>
      </c>
      <c r="C11" s="18">
        <f>CombinedHumanGrading!C11</f>
        <v>0</v>
      </c>
      <c r="D11" s="18">
        <f>'GPT-5.5 Grading'!C11</f>
        <v>0</v>
      </c>
      <c r="E11" s="6"/>
      <c r="F11" s="57">
        <v>0.5</v>
      </c>
      <c r="G11" s="61">
        <f t="shared" ref="G11:I11" si="13">COUNTIFS($A$2:$A$84,$F$9,$C$2:$C$84,$F11,$D$2:$D$84,G$9)</f>
        <v>0</v>
      </c>
      <c r="H11" s="51">
        <f t="shared" si="13"/>
        <v>0</v>
      </c>
      <c r="I11" s="62">
        <f t="shared" si="13"/>
        <v>0</v>
      </c>
      <c r="J11" s="51">
        <f t="shared" si="14"/>
        <v>0</v>
      </c>
      <c r="K11" s="6"/>
      <c r="L11" s="57">
        <v>0.5</v>
      </c>
      <c r="M11" s="61">
        <f t="shared" ref="M11:M12" si="16">ABS(G$2-$F11)/1</f>
        <v>0.5</v>
      </c>
      <c r="N11" s="51">
        <f>ABS(H$2-$F11)/3</f>
        <v>0</v>
      </c>
      <c r="O11" s="62">
        <f>ABS(I$2-$F11)/1</f>
        <v>0.5</v>
      </c>
      <c r="P11" s="6"/>
      <c r="Q11" s="57">
        <v>0.5</v>
      </c>
      <c r="R11" s="61">
        <f t="shared" ref="R11:T11" si="15">($J11/$J$13) * (G$13/$J$13)</f>
        <v>0</v>
      </c>
      <c r="S11" s="51">
        <f t="shared" si="15"/>
        <v>0</v>
      </c>
      <c r="T11" s="62">
        <f t="shared" si="15"/>
        <v>0</v>
      </c>
      <c r="U11" s="16"/>
      <c r="V11" s="56" t="s">
        <v>162</v>
      </c>
      <c r="W11" s="61">
        <f>SUMPRODUCT(R10:T12, M10:O12)</f>
        <v>0.3888888889</v>
      </c>
      <c r="X11" s="62" t="s">
        <v>163</v>
      </c>
    </row>
    <row r="12" ht="12.75" customHeight="1">
      <c r="A12" s="9" t="str">
        <f>Thermonix!A12</f>
        <v>Transition</v>
      </c>
      <c r="B12" s="10" t="str">
        <f>Thermonix!B12</f>
        <v>selectorHeld (On ⇒ PreparingOff)</v>
      </c>
      <c r="C12" s="18">
        <f>CombinedHumanGrading!C12</f>
        <v>1</v>
      </c>
      <c r="D12" s="18">
        <f>'GPT-5.5 Grading'!C12</f>
        <v>0.5</v>
      </c>
      <c r="E12" s="6"/>
      <c r="F12" s="57">
        <v>1.0</v>
      </c>
      <c r="G12" s="63">
        <f>COUNTIFS($A$2:$A$44,$F$9,$C$2:$C$44,$F12,$D$2:$D$44,G$9)+MAX(C45-D45,0)</f>
        <v>0</v>
      </c>
      <c r="H12" s="64">
        <f>COUNTIFS($A$2:$A$84,$F$9,$C$2:$C$84,$F12,$D$2:$D$84,H$9)</f>
        <v>0</v>
      </c>
      <c r="I12" s="65">
        <f>COUNTIFS($A$2:$A$44,$F$9,$C$2:$C$44,$F12,$D$2:$D$44,I$9)+MIN(C45-D45)</f>
        <v>9</v>
      </c>
      <c r="J12" s="51">
        <f t="shared" si="14"/>
        <v>9</v>
      </c>
      <c r="K12" s="6"/>
      <c r="L12" s="57">
        <v>1.0</v>
      </c>
      <c r="M12" s="63">
        <f t="shared" si="16"/>
        <v>1</v>
      </c>
      <c r="N12" s="64">
        <f t="shared" ref="N12:O12" si="17">ABS(H$2-$F12)/1</f>
        <v>0.5</v>
      </c>
      <c r="O12" s="65">
        <f t="shared" si="17"/>
        <v>0</v>
      </c>
      <c r="P12" s="6"/>
      <c r="Q12" s="57">
        <v>1.0</v>
      </c>
      <c r="R12" s="63">
        <f t="shared" ref="R12:T12" si="18">($J12/$J$13) * (G$13/$J$13)</f>
        <v>0</v>
      </c>
      <c r="S12" s="64">
        <f t="shared" si="18"/>
        <v>0</v>
      </c>
      <c r="T12" s="65">
        <f t="shared" si="18"/>
        <v>1</v>
      </c>
      <c r="V12" s="56" t="s">
        <v>130</v>
      </c>
      <c r="W12" s="63">
        <f>1-W10/W11</f>
        <v>0.2857142857</v>
      </c>
      <c r="X12" s="65" t="s">
        <v>164</v>
      </c>
    </row>
    <row r="13" ht="12.75" customHeight="1">
      <c r="A13" s="7" t="str">
        <f>Thermonix!A13</f>
        <v>Transition</v>
      </c>
      <c r="B13" s="8" t="str">
        <f>Thermonix!B13</f>
        <v>bowlRemoved (On ⇒ On)</v>
      </c>
      <c r="C13" s="18">
        <f>CombinedHumanGrading!C13</f>
        <v>1</v>
      </c>
      <c r="D13" s="18">
        <f>'GPT-5.5 Grading'!C13</f>
        <v>0.5</v>
      </c>
      <c r="E13" s="6"/>
      <c r="F13" s="66" t="s">
        <v>144</v>
      </c>
      <c r="G13" s="51">
        <f t="shared" ref="G13:I13" si="19">SUM(G11:G12)</f>
        <v>0</v>
      </c>
      <c r="H13" s="51">
        <f t="shared" si="19"/>
        <v>0</v>
      </c>
      <c r="I13" s="51">
        <f t="shared" si="19"/>
        <v>9</v>
      </c>
      <c r="J13" s="51">
        <f>SUM(G11:I12)</f>
        <v>9</v>
      </c>
      <c r="K13" s="6"/>
      <c r="L13" s="6"/>
      <c r="M13" s="6"/>
      <c r="N13" s="6"/>
      <c r="O13" s="6"/>
      <c r="P13" s="6"/>
      <c r="Q13" s="6"/>
      <c r="R13" s="6"/>
      <c r="S13" s="6"/>
      <c r="T13" s="6"/>
      <c r="V13" s="6"/>
      <c r="W13" s="6"/>
      <c r="X13" s="6"/>
    </row>
    <row r="14" ht="12.75" customHeight="1">
      <c r="A14" s="9" t="str">
        <f>Thermonix!A14</f>
        <v>State</v>
      </c>
      <c r="B14" s="10" t="str">
        <f>Thermonix!B14</f>
        <v>Initial State (On ⇒  Home)</v>
      </c>
      <c r="C14" s="18">
        <f>CombinedHumanGrading!C14</f>
        <v>0</v>
      </c>
      <c r="D14" s="18">
        <f>'GPT-5.5 Grading'!C14</f>
        <v>1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V14" s="6"/>
      <c r="W14" s="6"/>
      <c r="X14" s="6"/>
    </row>
    <row r="15" ht="12.75" customHeight="1">
      <c r="A15" s="7" t="str">
        <f>Thermonix!A15</f>
        <v>State</v>
      </c>
      <c r="B15" s="8" t="str">
        <f>Thermonix!B15</f>
        <v>Home</v>
      </c>
      <c r="C15" s="18">
        <f>CombinedHumanGrading!C15</f>
        <v>1</v>
      </c>
      <c r="D15" s="18">
        <f>'GPT-5.5 Grading'!C15</f>
        <v>1</v>
      </c>
      <c r="E15" s="6"/>
      <c r="F15" s="48" t="s">
        <v>147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V15" s="6"/>
      <c r="W15" s="6"/>
      <c r="X15" s="6"/>
    </row>
    <row r="16" ht="15.0" customHeight="1">
      <c r="A16" s="9" t="str">
        <f>Thermonix!A16</f>
        <v>Transition</v>
      </c>
      <c r="B16" s="10" t="str">
        <f>Thermonix!B16</f>
        <v>after 14min 30sec (Home ⇒ Preparing Shutdown)</v>
      </c>
      <c r="C16" s="18">
        <f>CombinedHumanGrading!C16</f>
        <v>1</v>
      </c>
      <c r="D16" s="18">
        <f>'GPT-5.5 Grading'!C16</f>
        <v>1</v>
      </c>
      <c r="E16" s="6"/>
      <c r="F16" s="51" t="s">
        <v>5</v>
      </c>
      <c r="G16" s="67" t="s">
        <v>132</v>
      </c>
      <c r="H16" s="67" t="s">
        <v>133</v>
      </c>
      <c r="I16" s="67" t="s">
        <v>134</v>
      </c>
      <c r="J16" s="68" t="s">
        <v>135</v>
      </c>
      <c r="K16" s="6"/>
      <c r="L16" s="51" t="s">
        <v>131</v>
      </c>
      <c r="M16" s="67" t="s">
        <v>132</v>
      </c>
      <c r="N16" s="67" t="s">
        <v>133</v>
      </c>
      <c r="O16" s="67" t="s">
        <v>134</v>
      </c>
      <c r="P16" s="6"/>
      <c r="Q16" s="51" t="s">
        <v>131</v>
      </c>
      <c r="R16" s="67" t="s">
        <v>132</v>
      </c>
      <c r="S16" s="67" t="s">
        <v>133</v>
      </c>
      <c r="T16" s="67" t="s">
        <v>134</v>
      </c>
      <c r="U16" s="16"/>
      <c r="V16" s="56" t="str">
        <f>"Metrics" &amp; " " &amp; F16</f>
        <v>Metrics Transition</v>
      </c>
      <c r="W16" s="56" t="s">
        <v>137</v>
      </c>
      <c r="X16" s="56" t="s">
        <v>138</v>
      </c>
    </row>
    <row r="17" ht="12.75" customHeight="1">
      <c r="A17" s="7" t="str">
        <f>Thermonix!A17</f>
        <v>Transition</v>
      </c>
      <c r="B17" s="8" t="str">
        <f>Thermonix!B17</f>
        <v>start (Home ⇒ PromptToAdd)</v>
      </c>
      <c r="C17" s="18">
        <f>CombinedHumanGrading!C17</f>
        <v>1</v>
      </c>
      <c r="D17" s="18">
        <f>'GPT-5.5 Grading'!C17</f>
        <v>1</v>
      </c>
      <c r="E17" s="6"/>
      <c r="F17" s="57">
        <v>0.0</v>
      </c>
      <c r="G17" s="58">
        <f t="shared" ref="G17:H17" si="20">COUNTIFS($A$2:$A$84,$F$16,$C$2:$C$84,$F17,$D$2:$D$84,G$16)</f>
        <v>4</v>
      </c>
      <c r="H17" s="59">
        <f t="shared" si="20"/>
        <v>0</v>
      </c>
      <c r="I17" s="60">
        <f>COUNTIFS($A$2:$A$44,$F$16,$C$2:$C$44,$F17,$D$2:$D$44,I$16) + MAX(D46-C46,0)</f>
        <v>0</v>
      </c>
      <c r="J17" s="51">
        <f t="shared" ref="J17:J19" si="24">SUM(G17:I17)</f>
        <v>4</v>
      </c>
      <c r="K17" s="6"/>
      <c r="L17" s="57">
        <v>0.0</v>
      </c>
      <c r="M17" s="58">
        <f t="shared" ref="M17:O17" si="21">ABS(G$2-$F17)/1</f>
        <v>0</v>
      </c>
      <c r="N17" s="59">
        <f t="shared" si="21"/>
        <v>0.5</v>
      </c>
      <c r="O17" s="60">
        <f t="shared" si="21"/>
        <v>1</v>
      </c>
      <c r="P17" s="6"/>
      <c r="Q17" s="57">
        <v>0.0</v>
      </c>
      <c r="R17" s="58">
        <f t="shared" ref="R17:T17" si="22">($J17/$J$20) * (G$20/$J$20)</f>
        <v>0.04938271605</v>
      </c>
      <c r="S17" s="59">
        <f t="shared" si="22"/>
        <v>0.03703703704</v>
      </c>
      <c r="T17" s="60">
        <f t="shared" si="22"/>
        <v>0.1358024691</v>
      </c>
      <c r="U17" s="16"/>
      <c r="V17" s="56" t="s">
        <v>160</v>
      </c>
      <c r="W17" s="58">
        <f>SUMPRODUCT(G17:I19, M17:O19) /$J$20</f>
        <v>0.08333333333</v>
      </c>
      <c r="X17" s="60" t="s">
        <v>161</v>
      </c>
    </row>
    <row r="18" ht="12.75" customHeight="1">
      <c r="A18" s="9" t="str">
        <f>Thermonix!A18</f>
        <v>Guard</v>
      </c>
      <c r="B18" s="10" t="str">
        <f>Thermonix!B18</f>
        <v>[!bowlRemoved()]</v>
      </c>
      <c r="C18" s="18">
        <f>CombinedHumanGrading!C18</f>
        <v>1</v>
      </c>
      <c r="D18" s="18">
        <f>'GPT-5.5 Grading'!C18</f>
        <v>1</v>
      </c>
      <c r="E18" s="6"/>
      <c r="F18" s="57">
        <v>0.5</v>
      </c>
      <c r="G18" s="61">
        <f t="shared" ref="G18:I18" si="23">COUNTIFS($A$2:$A$84,$F$16,$C$2:$C$84,$F18,$D$2:$D$84,G$16)</f>
        <v>0</v>
      </c>
      <c r="H18" s="51">
        <f t="shared" si="23"/>
        <v>0</v>
      </c>
      <c r="I18" s="62">
        <f t="shared" si="23"/>
        <v>0</v>
      </c>
      <c r="J18" s="51">
        <f t="shared" si="24"/>
        <v>0</v>
      </c>
      <c r="K18" s="6"/>
      <c r="L18" s="57">
        <v>0.5</v>
      </c>
      <c r="M18" s="61">
        <f t="shared" ref="M18:M19" si="26">ABS(G$2-$F18)/1</f>
        <v>0.5</v>
      </c>
      <c r="N18" s="51">
        <f>ABS(H$2-$F18)/3</f>
        <v>0</v>
      </c>
      <c r="O18" s="62">
        <f>ABS(I$2-$F18)/1</f>
        <v>0.5</v>
      </c>
      <c r="P18" s="6"/>
      <c r="Q18" s="57">
        <v>0.5</v>
      </c>
      <c r="R18" s="61">
        <f t="shared" ref="R18:T18" si="25">($J18/$J$20) * (G$20/$J$20)</f>
        <v>0</v>
      </c>
      <c r="S18" s="51">
        <f t="shared" si="25"/>
        <v>0</v>
      </c>
      <c r="T18" s="62">
        <f t="shared" si="25"/>
        <v>0</v>
      </c>
      <c r="U18" s="16"/>
      <c r="V18" s="56" t="s">
        <v>162</v>
      </c>
      <c r="W18" s="61">
        <f>SUMPRODUCT(R17:T19, M17:O19)</f>
        <v>0.3919753086</v>
      </c>
      <c r="X18" s="62" t="s">
        <v>163</v>
      </c>
    </row>
    <row r="19" ht="12.75" customHeight="1">
      <c r="A19" s="7" t="str">
        <f>Thermonix!A19</f>
        <v>Action</v>
      </c>
      <c r="B19" s="8" t="str">
        <f>Thermonix!B19</f>
        <v>setIngredients()</v>
      </c>
      <c r="C19" s="18">
        <f>CombinedHumanGrading!C19</f>
        <v>1</v>
      </c>
      <c r="D19" s="18">
        <f>'GPT-5.5 Grading'!C19</f>
        <v>0.5</v>
      </c>
      <c r="E19" s="6"/>
      <c r="F19" s="57">
        <v>1.0</v>
      </c>
      <c r="G19" s="63">
        <f>COUNTIFS($A$2:$A$44,$F$16,$C$2:$C$44,$F19,$D$2:$D$44,G$16)+MAX(C46-D46,0)</f>
        <v>0</v>
      </c>
      <c r="H19" s="64">
        <f>COUNTIFS($A$2:$A$84,$F$16,$C$2:$C$84,$F19,$D$2:$D$84,H$16)</f>
        <v>3</v>
      </c>
      <c r="I19" s="65">
        <f>COUNTIFS($A$2:$A$44,$F$16,$C$2:$C$44,$F19,$D$2:$D$44,I$16) + MIN(C46,D46)</f>
        <v>11</v>
      </c>
      <c r="J19" s="51">
        <f t="shared" si="24"/>
        <v>14</v>
      </c>
      <c r="K19" s="6"/>
      <c r="L19" s="57">
        <v>1.0</v>
      </c>
      <c r="M19" s="63">
        <f t="shared" si="26"/>
        <v>1</v>
      </c>
      <c r="N19" s="64">
        <f t="shared" ref="N19:O19" si="27">ABS(H$2-$F19)/1</f>
        <v>0.5</v>
      </c>
      <c r="O19" s="65">
        <f t="shared" si="27"/>
        <v>0</v>
      </c>
      <c r="P19" s="6"/>
      <c r="Q19" s="57">
        <v>1.0</v>
      </c>
      <c r="R19" s="63">
        <f t="shared" ref="R19:T19" si="28">($J19/$J$20) * (G$20/$J$20)</f>
        <v>0.1728395062</v>
      </c>
      <c r="S19" s="64">
        <f t="shared" si="28"/>
        <v>0.1296296296</v>
      </c>
      <c r="T19" s="65">
        <f t="shared" si="28"/>
        <v>0.475308642</v>
      </c>
      <c r="V19" s="56" t="s">
        <v>130</v>
      </c>
      <c r="W19" s="63">
        <f>1-W17/W18</f>
        <v>0.7874015748</v>
      </c>
      <c r="X19" s="65" t="s">
        <v>164</v>
      </c>
    </row>
    <row r="20" ht="12.75" customHeight="1">
      <c r="A20" s="9" t="str">
        <f>Thermonix!A20</f>
        <v>State</v>
      </c>
      <c r="B20" s="10" t="str">
        <f>Thermonix!B20</f>
        <v>Preparing Shutdown</v>
      </c>
      <c r="C20" s="18">
        <f>CombinedHumanGrading!C20</f>
        <v>1</v>
      </c>
      <c r="D20" s="18">
        <f>'GPT-5.5 Grading'!C20</f>
        <v>1</v>
      </c>
      <c r="E20" s="6"/>
      <c r="F20" s="66" t="s">
        <v>144</v>
      </c>
      <c r="G20" s="51">
        <f t="shared" ref="G20:I20" si="29">SUM(G17:G19)</f>
        <v>4</v>
      </c>
      <c r="H20" s="51">
        <f t="shared" si="29"/>
        <v>3</v>
      </c>
      <c r="I20" s="51">
        <f t="shared" si="29"/>
        <v>11</v>
      </c>
      <c r="J20" s="51">
        <f>SUM(G17:I19)</f>
        <v>18</v>
      </c>
      <c r="K20" s="6"/>
      <c r="L20" s="6"/>
      <c r="M20" s="6"/>
      <c r="N20" s="6"/>
      <c r="O20" s="6"/>
      <c r="P20" s="6"/>
      <c r="Q20" s="6"/>
      <c r="R20" s="6"/>
      <c r="S20" s="6"/>
      <c r="T20" s="6"/>
      <c r="V20" s="6"/>
      <c r="W20" s="6"/>
      <c r="X20" s="6"/>
    </row>
    <row r="21" ht="12.75" customHeight="1">
      <c r="A21" s="7" t="str">
        <f>Thermonix!A21</f>
        <v>Transition</v>
      </c>
      <c r="B21" s="8" t="str">
        <f>Thermonix!B21</f>
        <v>after 30sec (Preparing Shutdown ⇒ Off)</v>
      </c>
      <c r="C21" s="18">
        <f>CombinedHumanGrading!C21</f>
        <v>1</v>
      </c>
      <c r="D21" s="18">
        <f>'GPT-5.5 Grading'!C21</f>
        <v>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V21" s="6"/>
      <c r="W21" s="6"/>
      <c r="X21" s="6"/>
    </row>
    <row r="22" ht="12.75" customHeight="1">
      <c r="A22" s="9" t="str">
        <f>Thermonix!A22</f>
        <v>Transition</v>
      </c>
      <c r="B22" s="10" t="str">
        <f>Thermonix!B22</f>
        <v>cancel (Preparing Shutdown ⇒ Home)</v>
      </c>
      <c r="C22" s="18">
        <f>CombinedHumanGrading!C22</f>
        <v>1</v>
      </c>
      <c r="D22" s="18">
        <f>'GPT-5.5 Grading'!C22</f>
        <v>1</v>
      </c>
      <c r="E22" s="6"/>
      <c r="F22" s="48" t="s">
        <v>149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V22" s="6"/>
      <c r="W22" s="6"/>
      <c r="X22" s="6"/>
    </row>
    <row r="23" ht="12.75" customHeight="1">
      <c r="A23" s="7" t="str">
        <f>Thermonix!A23</f>
        <v>State</v>
      </c>
      <c r="B23" s="8" t="str">
        <f>Thermonix!B23</f>
        <v>PromptToAdd</v>
      </c>
      <c r="C23" s="18">
        <f>CombinedHumanGrading!C23</f>
        <v>0</v>
      </c>
      <c r="D23" s="18">
        <f>'GPT-5.5 Grading'!C23</f>
        <v>1</v>
      </c>
      <c r="E23" s="6"/>
      <c r="F23" s="51" t="s">
        <v>12</v>
      </c>
      <c r="G23" s="67" t="s">
        <v>132</v>
      </c>
      <c r="H23" s="67" t="s">
        <v>133</v>
      </c>
      <c r="I23" s="67" t="s">
        <v>134</v>
      </c>
      <c r="J23" s="68" t="s">
        <v>135</v>
      </c>
      <c r="K23" s="6"/>
      <c r="L23" s="51" t="s">
        <v>131</v>
      </c>
      <c r="M23" s="67" t="s">
        <v>132</v>
      </c>
      <c r="N23" s="67" t="s">
        <v>133</v>
      </c>
      <c r="O23" s="67" t="s">
        <v>134</v>
      </c>
      <c r="P23" s="6"/>
      <c r="Q23" s="51" t="s">
        <v>131</v>
      </c>
      <c r="R23" s="67" t="s">
        <v>132</v>
      </c>
      <c r="S23" s="67" t="s">
        <v>133</v>
      </c>
      <c r="T23" s="67" t="s">
        <v>134</v>
      </c>
      <c r="U23" s="16"/>
      <c r="V23" s="56" t="str">
        <f>"Metrics" &amp; " " &amp; F23</f>
        <v>Metrics Composite State</v>
      </c>
      <c r="W23" s="56" t="s">
        <v>137</v>
      </c>
      <c r="X23" s="56" t="s">
        <v>138</v>
      </c>
    </row>
    <row r="24" ht="12.75" customHeight="1">
      <c r="A24" s="9" t="str">
        <f>Thermonix!A24</f>
        <v>Transition</v>
      </c>
      <c r="B24" s="10" t="str">
        <f>Thermonix!B24</f>
        <v>next (PromptToAdd ⇒ PromptToAdd)</v>
      </c>
      <c r="C24" s="18">
        <f>CombinedHumanGrading!C24</f>
        <v>0</v>
      </c>
      <c r="D24" s="18">
        <f>'GPT-5.5 Grading'!C24</f>
        <v>0</v>
      </c>
      <c r="E24" s="6"/>
      <c r="F24" s="57">
        <v>0.0</v>
      </c>
      <c r="G24" s="58">
        <f t="shared" ref="G24:H24" si="30">COUNTIFS($A$2:$A$84,$F$23,$C$2:$C$84,$F24,$D$2:$D$84,G$23)</f>
        <v>1</v>
      </c>
      <c r="H24" s="59">
        <f t="shared" si="30"/>
        <v>1</v>
      </c>
      <c r="I24" s="60">
        <f>COUNTIFS($A$2:$A$44,$F$23,$C$2:$C$44,$F24,$D$2:$D$44,I$23) + MAX(D49-C49,0)</f>
        <v>0</v>
      </c>
      <c r="J24" s="51">
        <f t="shared" ref="J24:J26" si="34">SUM(G24:I24)</f>
        <v>2</v>
      </c>
      <c r="K24" s="6"/>
      <c r="L24" s="57">
        <v>0.0</v>
      </c>
      <c r="M24" s="58">
        <f t="shared" ref="M24:O24" si="31">ABS(G$2-$F24)/1</f>
        <v>0</v>
      </c>
      <c r="N24" s="59">
        <f t="shared" si="31"/>
        <v>0.5</v>
      </c>
      <c r="O24" s="60">
        <f t="shared" si="31"/>
        <v>1</v>
      </c>
      <c r="P24" s="6"/>
      <c r="Q24" s="57">
        <v>0.0</v>
      </c>
      <c r="R24" s="58">
        <f t="shared" ref="R24:T24" si="32">($J24/$J$27) * (G$27/$J$27)</f>
        <v>0.5</v>
      </c>
      <c r="S24" s="59">
        <f t="shared" si="32"/>
        <v>0.5</v>
      </c>
      <c r="T24" s="60">
        <f t="shared" si="32"/>
        <v>0</v>
      </c>
      <c r="U24" s="16"/>
      <c r="V24" s="56" t="s">
        <v>160</v>
      </c>
      <c r="W24" s="58">
        <f>SUMPRODUCT(G24:I26, M24:O26) /$J$27</f>
        <v>0.25</v>
      </c>
      <c r="X24" s="60" t="s">
        <v>161</v>
      </c>
    </row>
    <row r="25" ht="12.75" customHeight="1">
      <c r="A25" s="7" t="str">
        <f>Thermonix!A25</f>
        <v>Guard</v>
      </c>
      <c r="B25" s="8" t="str">
        <f>Thermonix!B25</f>
        <v>[weightCorrect() &amp;&amp; moreIngredientsRequired()]</v>
      </c>
      <c r="C25" s="18">
        <f>CombinedHumanGrading!C25</f>
        <v>0</v>
      </c>
      <c r="D25" s="18">
        <f>'GPT-5.5 Grading'!C25</f>
        <v>0</v>
      </c>
      <c r="E25" s="6"/>
      <c r="F25" s="57">
        <v>0.5</v>
      </c>
      <c r="G25" s="61">
        <f t="shared" ref="G25:I25" si="33">COUNTIFS($A$2:$A$84,$F$23,$C$2:$C$84,$F25,$D$2:$D$84,G$23)</f>
        <v>0</v>
      </c>
      <c r="H25" s="51">
        <f t="shared" si="33"/>
        <v>0</v>
      </c>
      <c r="I25" s="62">
        <f t="shared" si="33"/>
        <v>0</v>
      </c>
      <c r="J25" s="51">
        <f t="shared" si="34"/>
        <v>0</v>
      </c>
      <c r="K25" s="6"/>
      <c r="L25" s="57">
        <v>0.5</v>
      </c>
      <c r="M25" s="61">
        <f t="shared" ref="M25:M26" si="36">ABS(G$2-$F25)/1</f>
        <v>0.5</v>
      </c>
      <c r="N25" s="51">
        <f>ABS(H$2-$F25)/3</f>
        <v>0</v>
      </c>
      <c r="O25" s="62">
        <f>ABS(I$2-$F25)/1</f>
        <v>0.5</v>
      </c>
      <c r="P25" s="6"/>
      <c r="Q25" s="57">
        <v>0.5</v>
      </c>
      <c r="R25" s="61">
        <f t="shared" ref="R25:T25" si="35">($J25/$J$27) * (G$27/$J$27)</f>
        <v>0</v>
      </c>
      <c r="S25" s="51">
        <f t="shared" si="35"/>
        <v>0</v>
      </c>
      <c r="T25" s="62">
        <f t="shared" si="35"/>
        <v>0</v>
      </c>
      <c r="U25" s="16"/>
      <c r="V25" s="56" t="s">
        <v>162</v>
      </c>
      <c r="W25" s="61">
        <f>SUMPRODUCT(R24:T26, M24:O26)</f>
        <v>0.25</v>
      </c>
      <c r="X25" s="62" t="s">
        <v>163</v>
      </c>
    </row>
    <row r="26" ht="15.75" customHeight="1">
      <c r="A26" s="9" t="str">
        <f>Thermonix!A26</f>
        <v>Action</v>
      </c>
      <c r="B26" s="10" t="str">
        <f>Thermonix!B26</f>
        <v>setIngredients()</v>
      </c>
      <c r="C26" s="18">
        <f>CombinedHumanGrading!C26</f>
        <v>0</v>
      </c>
      <c r="D26" s="18">
        <f>'GPT-5.5 Grading'!C26</f>
        <v>0</v>
      </c>
      <c r="E26" s="6"/>
      <c r="F26" s="57">
        <v>1.0</v>
      </c>
      <c r="G26" s="63">
        <f>COUNTIFS($A$2:$A$44,$F$23,$C$2:$C$44,$F26,$D$2:$D$44,G$23) + MAX(C49-D49,0)</f>
        <v>0</v>
      </c>
      <c r="H26" s="64">
        <f>COUNTIFS($A$2:$A$84,$F$23,$C$2:$C$84,$F26,$D$2:$D$84,H$23)</f>
        <v>0</v>
      </c>
      <c r="I26" s="65">
        <f>COUNTIFS($A$2:$A$44,$F$23,$C$2:$C$44,$F26,$D$2:$D$44,I$23) + MIN(C49,D49)</f>
        <v>0</v>
      </c>
      <c r="J26" s="51">
        <f t="shared" si="34"/>
        <v>0</v>
      </c>
      <c r="K26" s="6"/>
      <c r="L26" s="57">
        <v>1.0</v>
      </c>
      <c r="M26" s="63">
        <f t="shared" si="36"/>
        <v>1</v>
      </c>
      <c r="N26" s="64">
        <f t="shared" ref="N26:O26" si="37">ABS(H$2-$F26)/1</f>
        <v>0.5</v>
      </c>
      <c r="O26" s="65">
        <f t="shared" si="37"/>
        <v>0</v>
      </c>
      <c r="P26" s="6"/>
      <c r="Q26" s="57">
        <v>1.0</v>
      </c>
      <c r="R26" s="63">
        <f t="shared" ref="R26:T26" si="38">($J26/$J$27) * (G$27/$J$27)</f>
        <v>0</v>
      </c>
      <c r="S26" s="64">
        <f t="shared" si="38"/>
        <v>0</v>
      </c>
      <c r="T26" s="65">
        <f t="shared" si="38"/>
        <v>0</v>
      </c>
      <c r="V26" s="56" t="s">
        <v>130</v>
      </c>
      <c r="W26" s="63">
        <f>1-W24/W25</f>
        <v>0</v>
      </c>
      <c r="X26" s="65" t="s">
        <v>164</v>
      </c>
    </row>
    <row r="27" ht="12.75" customHeight="1">
      <c r="A27" s="7" t="str">
        <f>Thermonix!A27</f>
        <v>Transition</v>
      </c>
      <c r="B27" s="8" t="str">
        <f>Thermonix!B27</f>
        <v>next (PromptToAdd ⇒ Chop)</v>
      </c>
      <c r="C27" s="18">
        <f>CombinedHumanGrading!C27</f>
        <v>1</v>
      </c>
      <c r="D27" s="18">
        <f>'GPT-5.5 Grading'!C27</f>
        <v>1</v>
      </c>
      <c r="E27" s="6"/>
      <c r="F27" s="66" t="s">
        <v>144</v>
      </c>
      <c r="G27" s="51">
        <f t="shared" ref="G27:I27" si="39">SUM(G24:G26)</f>
        <v>1</v>
      </c>
      <c r="H27" s="51">
        <f t="shared" si="39"/>
        <v>1</v>
      </c>
      <c r="I27" s="51">
        <f t="shared" si="39"/>
        <v>0</v>
      </c>
      <c r="J27" s="51">
        <f>SUM(G24:I26)</f>
        <v>2</v>
      </c>
      <c r="K27" s="6"/>
      <c r="L27" s="6"/>
      <c r="M27" s="6"/>
      <c r="N27" s="6"/>
      <c r="O27" s="6"/>
      <c r="P27" s="6"/>
      <c r="Q27" s="6"/>
      <c r="R27" s="6"/>
      <c r="S27" s="6"/>
      <c r="T27" s="6"/>
      <c r="V27" s="6"/>
      <c r="W27" s="6"/>
      <c r="X27" s="6"/>
    </row>
    <row r="28" ht="12.75" customHeight="1">
      <c r="A28" s="9" t="str">
        <f>Thermonix!A28</f>
        <v>Guard</v>
      </c>
      <c r="B28" s="10" t="str">
        <f>Thermonix!B28</f>
        <v>[weightCorrect() &amp;&amp; !moreIngredientsRequired()]</v>
      </c>
      <c r="C28" s="18">
        <f>CombinedHumanGrading!C28</f>
        <v>0.5</v>
      </c>
      <c r="D28" s="18">
        <f>'GPT-5.5 Grading'!C28</f>
        <v>0.5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V28" s="6"/>
      <c r="W28" s="6"/>
      <c r="X28" s="6"/>
    </row>
    <row r="29" ht="12.75" customHeight="1">
      <c r="A29" s="7" t="str">
        <f>Thermonix!A29</f>
        <v>Action</v>
      </c>
      <c r="B29" s="8" t="str">
        <f>Thermonix!B29</f>
        <v>setChoppingSpeedAndTime()</v>
      </c>
      <c r="C29" s="18">
        <f>CombinedHumanGrading!C29</f>
        <v>0</v>
      </c>
      <c r="D29" s="18">
        <f>'GPT-5.5 Grading'!C29</f>
        <v>0.5</v>
      </c>
      <c r="E29" s="6"/>
      <c r="F29" s="48" t="s">
        <v>151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V29" s="6"/>
      <c r="W29" s="6"/>
      <c r="X29" s="6"/>
    </row>
    <row r="30" ht="12.75" customHeight="1">
      <c r="A30" s="9" t="str">
        <f>Thermonix!A30</f>
        <v>State</v>
      </c>
      <c r="B30" s="10" t="str">
        <f>Thermonix!B30</f>
        <v>Chop</v>
      </c>
      <c r="C30" s="18">
        <f>CombinedHumanGrading!C30</f>
        <v>1</v>
      </c>
      <c r="D30" s="18">
        <f>'GPT-5.5 Grading'!C30</f>
        <v>1</v>
      </c>
      <c r="E30" s="6"/>
      <c r="F30" s="51" t="s">
        <v>22</v>
      </c>
      <c r="G30" s="67" t="s">
        <v>132</v>
      </c>
      <c r="H30" s="67" t="s">
        <v>133</v>
      </c>
      <c r="I30" s="67" t="s">
        <v>134</v>
      </c>
      <c r="J30" s="68" t="s">
        <v>135</v>
      </c>
      <c r="K30" s="6"/>
      <c r="L30" s="51" t="s">
        <v>131</v>
      </c>
      <c r="M30" s="67">
        <v>0.0</v>
      </c>
      <c r="N30" s="67" t="s">
        <v>133</v>
      </c>
      <c r="O30" s="67" t="s">
        <v>134</v>
      </c>
      <c r="P30" s="6"/>
      <c r="Q30" s="51" t="s">
        <v>131</v>
      </c>
      <c r="R30" s="67" t="s">
        <v>132</v>
      </c>
      <c r="S30" s="67" t="s">
        <v>133</v>
      </c>
      <c r="T30" s="67" t="s">
        <v>134</v>
      </c>
      <c r="U30" s="16"/>
      <c r="V30" s="56" t="str">
        <f>"Metrics" &amp; " " &amp; F30</f>
        <v>Metrics Guard</v>
      </c>
      <c r="W30" s="56" t="s">
        <v>137</v>
      </c>
      <c r="X30" s="56" t="s">
        <v>138</v>
      </c>
    </row>
    <row r="31" ht="12.75" customHeight="1">
      <c r="A31" s="7" t="str">
        <f>Thermonix!A31</f>
        <v>Transition</v>
      </c>
      <c r="B31" s="8" t="str">
        <f>Thermonix!B31</f>
        <v>next (Chop ⇒ PromptToAdd)</v>
      </c>
      <c r="C31" s="18">
        <f>CombinedHumanGrading!C31</f>
        <v>0</v>
      </c>
      <c r="D31" s="18">
        <f>'GPT-5.5 Grading'!C31</f>
        <v>0</v>
      </c>
      <c r="E31" s="6"/>
      <c r="F31" s="57">
        <v>0.0</v>
      </c>
      <c r="G31" s="58">
        <f t="shared" ref="G31:H31" si="40">COUNTIFS($A$2:$A$84,$F$30,$C$2:$C$84,$F31,$D$2:$D$84,G$30)</f>
        <v>4</v>
      </c>
      <c r="H31" s="59">
        <f t="shared" si="40"/>
        <v>0</v>
      </c>
      <c r="I31" s="60">
        <f>COUNTIFS($A$2:$A$44,$F$30,$C$2:$C$44,$F31,$D$2:$D$44,I$30) + MAX(D47-C47,0)</f>
        <v>0</v>
      </c>
      <c r="J31" s="51">
        <f t="shared" ref="J31:J33" si="44">SUM(G31:I31)</f>
        <v>4</v>
      </c>
      <c r="K31" s="6"/>
      <c r="L31" s="57">
        <v>0.0</v>
      </c>
      <c r="M31" s="58">
        <f t="shared" ref="M31:O31" si="41">ABS(G$2-$F31)/1</f>
        <v>0</v>
      </c>
      <c r="N31" s="59">
        <f t="shared" si="41"/>
        <v>0.5</v>
      </c>
      <c r="O31" s="60">
        <f t="shared" si="41"/>
        <v>1</v>
      </c>
      <c r="P31" s="6"/>
      <c r="Q31" s="57">
        <v>0.0</v>
      </c>
      <c r="R31" s="58">
        <f t="shared" ref="R31:T31" si="42">($J31/$J$34) * (G$34/$J$34)</f>
        <v>0.25</v>
      </c>
      <c r="S31" s="59">
        <f t="shared" si="42"/>
        <v>0.0625</v>
      </c>
      <c r="T31" s="60">
        <f t="shared" si="42"/>
        <v>0.1875</v>
      </c>
      <c r="U31" s="16"/>
      <c r="V31" s="56" t="s">
        <v>160</v>
      </c>
      <c r="W31" s="58">
        <f>SUMPRODUCT(G31:I33, M31:O33) /$J$34</f>
        <v>0.0625</v>
      </c>
      <c r="X31" s="60" t="s">
        <v>161</v>
      </c>
    </row>
    <row r="32" ht="12.75" customHeight="1">
      <c r="A32" s="9" t="str">
        <f>Thermonix!A32</f>
        <v>Guard</v>
      </c>
      <c r="B32" s="10" t="str">
        <f>Thermonix!B32</f>
        <v>[choppingTimeDone &amp;&amp; moreIngredientsRequired()]</v>
      </c>
      <c r="C32" s="18">
        <f>CombinedHumanGrading!C32</f>
        <v>0</v>
      </c>
      <c r="D32" s="18">
        <f>'GPT-5.5 Grading'!C32</f>
        <v>0</v>
      </c>
      <c r="E32" s="6"/>
      <c r="F32" s="57">
        <v>0.5</v>
      </c>
      <c r="G32" s="61">
        <f t="shared" ref="G32:I32" si="43">COUNTIFS($A$2:$A$84,$F$30,$C$2:$C$84,$F32,$D$2:$D$84,G$30)</f>
        <v>0</v>
      </c>
      <c r="H32" s="51">
        <f t="shared" si="43"/>
        <v>1</v>
      </c>
      <c r="I32" s="62">
        <f t="shared" si="43"/>
        <v>1</v>
      </c>
      <c r="J32" s="51">
        <f t="shared" si="44"/>
        <v>2</v>
      </c>
      <c r="K32" s="6"/>
      <c r="L32" s="57">
        <v>0.5</v>
      </c>
      <c r="M32" s="61">
        <f t="shared" ref="M32:M33" si="46">ABS(G$2-$F32)/1</f>
        <v>0.5</v>
      </c>
      <c r="N32" s="51">
        <f>ABS(H$2-$F32)/3</f>
        <v>0</v>
      </c>
      <c r="O32" s="62">
        <f>ABS(I$2-$F32)/1</f>
        <v>0.5</v>
      </c>
      <c r="P32" s="6"/>
      <c r="Q32" s="57">
        <v>0.5</v>
      </c>
      <c r="R32" s="61">
        <f t="shared" ref="R32:T32" si="45">($J32/$J$34) * (G$34/$J$34)</f>
        <v>0.125</v>
      </c>
      <c r="S32" s="51">
        <f t="shared" si="45"/>
        <v>0.03125</v>
      </c>
      <c r="T32" s="62">
        <f t="shared" si="45"/>
        <v>0.09375</v>
      </c>
      <c r="U32" s="16"/>
      <c r="V32" s="56" t="s">
        <v>162</v>
      </c>
      <c r="W32" s="61">
        <f>SUMPRODUCT(R31:T33, M31:O33)</f>
        <v>0.46875</v>
      </c>
      <c r="X32" s="62" t="s">
        <v>163</v>
      </c>
    </row>
    <row r="33" ht="12.75" customHeight="1">
      <c r="A33" s="7" t="str">
        <f>Thermonix!A33</f>
        <v>Action</v>
      </c>
      <c r="B33" s="8" t="str">
        <f>Thermonix!B33</f>
        <v>setIngredients()</v>
      </c>
      <c r="C33" s="18">
        <f>CombinedHumanGrading!C33</f>
        <v>0</v>
      </c>
      <c r="D33" s="18">
        <f>'GPT-5.5 Grading'!C33</f>
        <v>0</v>
      </c>
      <c r="E33" s="6"/>
      <c r="F33" s="57">
        <v>1.0</v>
      </c>
      <c r="G33" s="63">
        <f>COUNTIFS($A$2:$A$44,$F$30,$C$2:$C$44,$F33,$D$2:$D$44,G$30) + MAX(C47-D47,0)</f>
        <v>0</v>
      </c>
      <c r="H33" s="64">
        <f>COUNTIFS($A$2:$A$84,$F$30,$C$2:$C$84,$F33,$D$2:$D$84,H$30)</f>
        <v>0</v>
      </c>
      <c r="I33" s="65">
        <f>COUNTIFS($A$2:$A$44,$F$30,$C$2:$C$44,$F33,$D$2:$D$44,I$30) + MIN(C47,D47)</f>
        <v>2</v>
      </c>
      <c r="J33" s="51">
        <f t="shared" si="44"/>
        <v>2</v>
      </c>
      <c r="K33" s="6"/>
      <c r="L33" s="57">
        <v>1.0</v>
      </c>
      <c r="M33" s="63">
        <f t="shared" si="46"/>
        <v>1</v>
      </c>
      <c r="N33" s="64">
        <f t="shared" ref="N33:O33" si="47">ABS(H$2-$F33)/1</f>
        <v>0.5</v>
      </c>
      <c r="O33" s="65">
        <f t="shared" si="47"/>
        <v>0</v>
      </c>
      <c r="P33" s="6"/>
      <c r="Q33" s="57">
        <v>1.0</v>
      </c>
      <c r="R33" s="63">
        <f t="shared" ref="R33:T33" si="48">($J33/$J$34) * (G$34/$J$34)</f>
        <v>0.125</v>
      </c>
      <c r="S33" s="64">
        <f t="shared" si="48"/>
        <v>0.03125</v>
      </c>
      <c r="T33" s="65">
        <f t="shared" si="48"/>
        <v>0.09375</v>
      </c>
      <c r="V33" s="56" t="s">
        <v>130</v>
      </c>
      <c r="W33" s="63">
        <f>1-W31/W32</f>
        <v>0.8666666667</v>
      </c>
      <c r="X33" s="65" t="s">
        <v>164</v>
      </c>
    </row>
    <row r="34" ht="12.75" customHeight="1">
      <c r="A34" s="9" t="str">
        <f>Thermonix!A34</f>
        <v>Transition</v>
      </c>
      <c r="B34" s="10" t="str">
        <f>Thermonix!B34</f>
        <v>next (Chop ⇒ Cook)</v>
      </c>
      <c r="C34" s="18">
        <f>CombinedHumanGrading!C34</f>
        <v>1</v>
      </c>
      <c r="D34" s="18">
        <f>'GPT-5.5 Grading'!C34</f>
        <v>1</v>
      </c>
      <c r="E34" s="6"/>
      <c r="F34" s="66" t="s">
        <v>144</v>
      </c>
      <c r="G34" s="51">
        <f t="shared" ref="G34:I34" si="49">SUM(G31:G33)</f>
        <v>4</v>
      </c>
      <c r="H34" s="51">
        <f t="shared" si="49"/>
        <v>1</v>
      </c>
      <c r="I34" s="51">
        <f t="shared" si="49"/>
        <v>3</v>
      </c>
      <c r="J34" s="51">
        <f>SUM(G31:I33)</f>
        <v>8</v>
      </c>
      <c r="K34" s="6"/>
      <c r="L34" s="6"/>
      <c r="M34" s="6"/>
      <c r="N34" s="6"/>
      <c r="O34" s="6"/>
      <c r="P34" s="6"/>
      <c r="Q34" s="6"/>
      <c r="R34" s="6"/>
      <c r="S34" s="6"/>
      <c r="T34" s="6"/>
      <c r="V34" s="6"/>
      <c r="W34" s="6"/>
      <c r="X34" s="6"/>
    </row>
    <row r="35" ht="12.75" customHeight="1">
      <c r="A35" s="7" t="str">
        <f>Thermonix!A35</f>
        <v>Guard</v>
      </c>
      <c r="B35" s="8" t="str">
        <f>Thermonix!B35</f>
        <v>[choppingTimeDone &amp;&amp; !moreIngredientsRequired()]</v>
      </c>
      <c r="C35" s="18">
        <f>CombinedHumanGrading!C35</f>
        <v>0</v>
      </c>
      <c r="D35" s="18">
        <f>'GPT-5.5 Grading'!C35</f>
        <v>0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V35" s="6"/>
      <c r="W35" s="6"/>
      <c r="X35" s="6"/>
    </row>
    <row r="36" ht="15.0" customHeight="1">
      <c r="A36" s="9" t="str">
        <f>Thermonix!A36</f>
        <v>Action</v>
      </c>
      <c r="B36" s="10" t="str">
        <f>Thermonix!B36</f>
        <v>setCookingSpeedAndTime()</v>
      </c>
      <c r="C36" s="18">
        <f>CombinedHumanGrading!C36</f>
        <v>0</v>
      </c>
      <c r="D36" s="18">
        <f>'GPT-5.5 Grading'!C36</f>
        <v>0.5</v>
      </c>
      <c r="E36" s="6"/>
      <c r="F36" s="48" t="s">
        <v>153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V36" s="6"/>
      <c r="W36" s="6"/>
      <c r="X36" s="6"/>
    </row>
    <row r="37" ht="15.0" customHeight="1">
      <c r="A37" s="7" t="str">
        <f>Thermonix!A37</f>
        <v>State</v>
      </c>
      <c r="B37" s="8" t="str">
        <f>Thermonix!B37</f>
        <v>Cook</v>
      </c>
      <c r="C37" s="18">
        <f>CombinedHumanGrading!C37</f>
        <v>1</v>
      </c>
      <c r="D37" s="18">
        <f>'GPT-5.5 Grading'!C37</f>
        <v>1</v>
      </c>
      <c r="E37" s="6"/>
      <c r="F37" s="51" t="s">
        <v>24</v>
      </c>
      <c r="G37" s="67" t="s">
        <v>132</v>
      </c>
      <c r="H37" s="67" t="s">
        <v>133</v>
      </c>
      <c r="I37" s="67" t="s">
        <v>134</v>
      </c>
      <c r="J37" s="68" t="s">
        <v>135</v>
      </c>
      <c r="K37" s="6"/>
      <c r="L37" s="51" t="s">
        <v>131</v>
      </c>
      <c r="M37" s="67" t="s">
        <v>132</v>
      </c>
      <c r="N37" s="67" t="s">
        <v>133</v>
      </c>
      <c r="O37" s="67" t="s">
        <v>134</v>
      </c>
      <c r="P37" s="6"/>
      <c r="Q37" s="51" t="s">
        <v>131</v>
      </c>
      <c r="R37" s="67" t="s">
        <v>132</v>
      </c>
      <c r="S37" s="67" t="s">
        <v>133</v>
      </c>
      <c r="T37" s="67" t="s">
        <v>134</v>
      </c>
      <c r="U37" s="16"/>
      <c r="V37" s="56" t="str">
        <f>"Metrics" &amp; " " &amp; F37</f>
        <v>Metrics Action</v>
      </c>
      <c r="W37" s="56" t="s">
        <v>137</v>
      </c>
      <c r="X37" s="56" t="s">
        <v>138</v>
      </c>
    </row>
    <row r="38" ht="15.0" customHeight="1">
      <c r="A38" s="9" t="str">
        <f>Thermonix!A38</f>
        <v>Transition</v>
      </c>
      <c r="B38" s="10" t="str">
        <f>Thermonix!B38</f>
        <v>after choppingTime (Cook ⇒ PromptToAdd)</v>
      </c>
      <c r="C38" s="18">
        <f>CombinedHumanGrading!C38</f>
        <v>1</v>
      </c>
      <c r="D38" s="18">
        <f>'GPT-5.5 Grading'!C38</f>
        <v>1</v>
      </c>
      <c r="E38" s="6"/>
      <c r="F38" s="57">
        <v>0.0</v>
      </c>
      <c r="G38" s="58">
        <f t="shared" ref="G38:H38" si="50">COUNTIFS($A$2:$A$84,$F$37,$C$2:$C$84,$F38,$D$2:$D$84,G$37)</f>
        <v>3</v>
      </c>
      <c r="H38" s="59">
        <f t="shared" si="50"/>
        <v>3</v>
      </c>
      <c r="I38" s="60">
        <f>COUNTIFS($A$2:$A$44,$F$37,$C$2:$C$44,$F38,$D$2:$D$44,I$37)+MAX(D48-C48,0)</f>
        <v>0</v>
      </c>
      <c r="J38" s="51">
        <f t="shared" ref="J38:J40" si="54">SUM(G38:I38)</f>
        <v>6</v>
      </c>
      <c r="K38" s="6"/>
      <c r="L38" s="57">
        <v>0.0</v>
      </c>
      <c r="M38" s="58">
        <f t="shared" ref="M38:O38" si="51">ABS(G$2-$F38)/1</f>
        <v>0</v>
      </c>
      <c r="N38" s="59">
        <f t="shared" si="51"/>
        <v>0.5</v>
      </c>
      <c r="O38" s="60">
        <f t="shared" si="51"/>
        <v>1</v>
      </c>
      <c r="P38" s="6"/>
      <c r="Q38" s="57">
        <v>0.0</v>
      </c>
      <c r="R38" s="58">
        <f t="shared" ref="R38:T38" si="52">($J38/$J$41) * (G$41/$J$41)</f>
        <v>0.3673469388</v>
      </c>
      <c r="S38" s="59">
        <f t="shared" si="52"/>
        <v>0.4897959184</v>
      </c>
      <c r="T38" s="60">
        <f t="shared" si="52"/>
        <v>0</v>
      </c>
      <c r="U38" s="16"/>
      <c r="V38" s="56" t="s">
        <v>160</v>
      </c>
      <c r="W38" s="58">
        <f>SUMPRODUCT(G38:I40, M38:O40) /$J$41</f>
        <v>0.2857142857</v>
      </c>
      <c r="X38" s="60" t="s">
        <v>161</v>
      </c>
    </row>
    <row r="39" ht="15.0" customHeight="1">
      <c r="A39" s="7" t="str">
        <f>Thermonix!A39</f>
        <v>Guard</v>
      </c>
      <c r="B39" s="8" t="str">
        <f>Thermonix!B39</f>
        <v>[choppingTimeDone &amp;&amp; moreIngredientsRequired()]</v>
      </c>
      <c r="C39" s="18">
        <f>CombinedHumanGrading!C39</f>
        <v>0.5</v>
      </c>
      <c r="D39" s="18">
        <f>'GPT-5.5 Grading'!C39</f>
        <v>1</v>
      </c>
      <c r="E39" s="6"/>
      <c r="F39" s="57">
        <v>0.5</v>
      </c>
      <c r="G39" s="61">
        <f t="shared" ref="G39:I39" si="53">COUNTIFS($A$2:$A$84,$F$37,$C$2:$C$84,$F39,$D$2:$D$84,G$37)</f>
        <v>0</v>
      </c>
      <c r="H39" s="51">
        <f t="shared" si="53"/>
        <v>0</v>
      </c>
      <c r="I39" s="62">
        <f t="shared" si="53"/>
        <v>0</v>
      </c>
      <c r="J39" s="51">
        <f t="shared" si="54"/>
        <v>0</v>
      </c>
      <c r="K39" s="6"/>
      <c r="L39" s="57">
        <v>0.5</v>
      </c>
      <c r="M39" s="61">
        <f t="shared" ref="M39:M40" si="56">ABS(G$2-$F39)/1</f>
        <v>0.5</v>
      </c>
      <c r="N39" s="51">
        <f>ABS(H$2-$F39)/3</f>
        <v>0</v>
      </c>
      <c r="O39" s="62">
        <f>ABS(I$2-$F39)/1</f>
        <v>0.5</v>
      </c>
      <c r="P39" s="6"/>
      <c r="Q39" s="57">
        <v>0.5</v>
      </c>
      <c r="R39" s="61">
        <f t="shared" ref="R39:T39" si="55">($J39/$J$41) * (G$41/$J$41)</f>
        <v>0</v>
      </c>
      <c r="S39" s="51">
        <f t="shared" si="55"/>
        <v>0</v>
      </c>
      <c r="T39" s="62">
        <f t="shared" si="55"/>
        <v>0</v>
      </c>
      <c r="U39" s="16"/>
      <c r="V39" s="56" t="s">
        <v>162</v>
      </c>
      <c r="W39" s="61">
        <f>SUMPRODUCT(R38:T40, M38:O40)</f>
        <v>0.3469387755</v>
      </c>
      <c r="X39" s="62" t="s">
        <v>163</v>
      </c>
    </row>
    <row r="40" ht="15.0" customHeight="1">
      <c r="A40" s="9" t="str">
        <f>Thermonix!A40</f>
        <v>Action</v>
      </c>
      <c r="B40" s="10" t="str">
        <f>Thermonix!B40</f>
        <v>setIngredients()</v>
      </c>
      <c r="C40" s="18">
        <f>CombinedHumanGrading!C40</f>
        <v>0</v>
      </c>
      <c r="D40" s="18">
        <f>'GPT-5.5 Grading'!C40</f>
        <v>0.5</v>
      </c>
      <c r="E40" s="6"/>
      <c r="F40" s="57">
        <v>1.0</v>
      </c>
      <c r="G40" s="63">
        <f>COUNTIFS($A$2:$A$44,$F$37,$C$2:$C$44,$F40,$D$2:$D$44,G$37)+MAX(C48-D48,0)</f>
        <v>0</v>
      </c>
      <c r="H40" s="64">
        <f>COUNTIFS($A$2:$A$84,$F$37,$C$2:$C$84,$F40,$D$2:$D$84,H$37)</f>
        <v>1</v>
      </c>
      <c r="I40" s="65">
        <f>COUNTIFS($A$2:$A$44,$F$37,$C$2:$C$44,$F40,$D$2:$D$44,I$37) + MIN(C48,D48)</f>
        <v>0</v>
      </c>
      <c r="J40" s="51">
        <f t="shared" si="54"/>
        <v>1</v>
      </c>
      <c r="K40" s="6"/>
      <c r="L40" s="57">
        <v>1.0</v>
      </c>
      <c r="M40" s="63">
        <f t="shared" si="56"/>
        <v>1</v>
      </c>
      <c r="N40" s="64">
        <f t="shared" ref="N40:O40" si="57">ABS(H$2-$F40)/1</f>
        <v>0.5</v>
      </c>
      <c r="O40" s="65">
        <f t="shared" si="57"/>
        <v>0</v>
      </c>
      <c r="P40" s="6"/>
      <c r="Q40" s="57">
        <v>1.0</v>
      </c>
      <c r="R40" s="63">
        <f t="shared" ref="R40:T40" si="58">($J40/$J$41) * (G$41/$J$41)</f>
        <v>0.0612244898</v>
      </c>
      <c r="S40" s="64">
        <f t="shared" si="58"/>
        <v>0.08163265306</v>
      </c>
      <c r="T40" s="65">
        <f t="shared" si="58"/>
        <v>0</v>
      </c>
      <c r="V40" s="56" t="s">
        <v>130</v>
      </c>
      <c r="W40" s="63">
        <f>1-W38/W39</f>
        <v>0.1764705882</v>
      </c>
      <c r="X40" s="65" t="s">
        <v>164</v>
      </c>
    </row>
    <row r="41" ht="15.0" customHeight="1">
      <c r="A41" s="7" t="str">
        <f>Thermonix!A41</f>
        <v>Transition</v>
      </c>
      <c r="B41" s="8" t="str">
        <f>Thermonix!B41</f>
        <v>after cookingTime (Cook ⇒ Ready)</v>
      </c>
      <c r="C41" s="18">
        <f>CombinedHumanGrading!C41</f>
        <v>1</v>
      </c>
      <c r="D41" s="18">
        <f>'GPT-5.5 Grading'!C41</f>
        <v>1</v>
      </c>
      <c r="E41" s="6"/>
      <c r="F41" s="66" t="s">
        <v>144</v>
      </c>
      <c r="G41" s="51">
        <f t="shared" ref="G41:I41" si="59">SUM(G38:G40)</f>
        <v>3</v>
      </c>
      <c r="H41" s="51">
        <f t="shared" si="59"/>
        <v>4</v>
      </c>
      <c r="I41" s="51">
        <f t="shared" si="59"/>
        <v>0</v>
      </c>
      <c r="J41" s="51">
        <f>SUM(G38:I40)</f>
        <v>7</v>
      </c>
      <c r="K41" s="6"/>
      <c r="L41" s="6"/>
      <c r="M41" s="6"/>
      <c r="N41" s="6"/>
      <c r="O41" s="6"/>
      <c r="P41" s="6"/>
      <c r="Q41" s="6"/>
      <c r="R41" s="6"/>
      <c r="S41" s="6"/>
      <c r="T41" s="6"/>
      <c r="V41" s="6"/>
      <c r="W41" s="6"/>
      <c r="X41" s="6"/>
    </row>
    <row r="42" ht="15.0" customHeight="1">
      <c r="A42" s="9" t="str">
        <f>Thermonix!A42</f>
        <v>Guard</v>
      </c>
      <c r="B42" s="10" t="str">
        <f>Thermonix!B42</f>
        <v>[!moreIngredientsRequired()]</v>
      </c>
      <c r="C42" s="18">
        <f>CombinedHumanGrading!C42</f>
        <v>1</v>
      </c>
      <c r="D42" s="18">
        <f>'GPT-5.5 Grading'!C42</f>
        <v>1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V42" s="6"/>
      <c r="W42" s="6"/>
      <c r="X42" s="6"/>
    </row>
    <row r="43" ht="15.0" customHeight="1">
      <c r="A43" s="7" t="str">
        <f>Thermonix!A43</f>
        <v>State</v>
      </c>
      <c r="B43" s="8" t="str">
        <f>Thermonix!B43</f>
        <v>Ready</v>
      </c>
      <c r="C43" s="18">
        <f>CombinedHumanGrading!C43</f>
        <v>1</v>
      </c>
      <c r="D43" s="18">
        <f>'GPT-5.5 Grading'!C43</f>
        <v>1</v>
      </c>
      <c r="E43" s="6"/>
      <c r="F43" s="48" t="s">
        <v>155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V43" s="6"/>
      <c r="W43" s="6"/>
      <c r="X43" s="6"/>
    </row>
    <row r="44" ht="15.0" customHeight="1">
      <c r="A44" s="9" t="str">
        <f>Thermonix!A44</f>
        <v>Transition</v>
      </c>
      <c r="B44" s="10" t="str">
        <f>Thermonix!B44</f>
        <v>after 14min 30sec (Ready ⇒ Preparing Shutdown)</v>
      </c>
      <c r="C44" s="18">
        <f>CombinedHumanGrading!C44</f>
        <v>0</v>
      </c>
      <c r="D44" s="18">
        <f>'GPT-5.5 Grading'!C44</f>
        <v>0</v>
      </c>
      <c r="E44" s="6"/>
      <c r="F44" s="51" t="s">
        <v>14</v>
      </c>
      <c r="G44" s="67" t="s">
        <v>132</v>
      </c>
      <c r="H44" s="67" t="s">
        <v>133</v>
      </c>
      <c r="I44" s="67" t="s">
        <v>134</v>
      </c>
      <c r="J44" s="68" t="s">
        <v>135</v>
      </c>
      <c r="K44" s="6"/>
      <c r="L44" s="51" t="s">
        <v>131</v>
      </c>
      <c r="M44" s="67" t="s">
        <v>132</v>
      </c>
      <c r="N44" s="67" t="s">
        <v>133</v>
      </c>
      <c r="O44" s="67" t="s">
        <v>134</v>
      </c>
      <c r="P44" s="6"/>
      <c r="Q44" s="51" t="s">
        <v>131</v>
      </c>
      <c r="R44" s="67" t="s">
        <v>132</v>
      </c>
      <c r="S44" s="67" t="s">
        <v>133</v>
      </c>
      <c r="T44" s="67" t="s">
        <v>134</v>
      </c>
      <c r="U44" s="16"/>
      <c r="V44" s="56" t="str">
        <f>"Metrics" &amp; " " &amp; F44</f>
        <v>Metrics History State</v>
      </c>
      <c r="W44" s="56" t="s">
        <v>137</v>
      </c>
      <c r="X44" s="56" t="s">
        <v>138</v>
      </c>
    </row>
    <row r="45" ht="15.0" customHeight="1">
      <c r="A45" s="70" t="str">
        <f>Thermonix!A45</f>
        <v>State</v>
      </c>
      <c r="B45" s="71" t="str">
        <f>Thermonix!B45</f>
        <v>additional elements</v>
      </c>
      <c r="C45" s="72">
        <f>CombinedHumanGrading!C45</f>
        <v>0</v>
      </c>
      <c r="D45" s="72">
        <f>'GPT-5.5 Grading'!C45</f>
        <v>0</v>
      </c>
      <c r="E45" s="6"/>
      <c r="F45" s="57">
        <v>0.0</v>
      </c>
      <c r="G45" s="58">
        <f t="shared" ref="G45:H45" si="60">COUNTIFS($A$2:$A$84,$F$44,$C$2:$C$84,$F45,$D$2:$D$84,G$44)</f>
        <v>2</v>
      </c>
      <c r="H45" s="59">
        <f t="shared" si="60"/>
        <v>0</v>
      </c>
      <c r="I45" s="60">
        <f>COUNTIFS($A$2:$A$44,$F$44,$C$2:$C$44,$F45,$D$2:$D$44,I$44) + MAX(D51-C51,0)</f>
        <v>0</v>
      </c>
      <c r="J45" s="51">
        <f t="shared" ref="J45:J47" si="64">SUM(G45:I45)</f>
        <v>2</v>
      </c>
      <c r="K45" s="6"/>
      <c r="L45" s="57">
        <v>0.0</v>
      </c>
      <c r="M45" s="58">
        <f t="shared" ref="M45:O45" si="61">ABS(G$2-$F45)/1</f>
        <v>0</v>
      </c>
      <c r="N45" s="59">
        <f t="shared" si="61"/>
        <v>0.5</v>
      </c>
      <c r="O45" s="60">
        <f t="shared" si="61"/>
        <v>1</v>
      </c>
      <c r="P45" s="6"/>
      <c r="Q45" s="57">
        <v>0.0</v>
      </c>
      <c r="R45" s="58">
        <f t="shared" ref="R45:T45" si="62">($J45/$J$48) * (G$48/$J$48)</f>
        <v>1</v>
      </c>
      <c r="S45" s="59">
        <f t="shared" si="62"/>
        <v>0</v>
      </c>
      <c r="T45" s="60">
        <f t="shared" si="62"/>
        <v>0</v>
      </c>
      <c r="U45" s="16"/>
      <c r="V45" s="56" t="s">
        <v>160</v>
      </c>
      <c r="W45" s="58">
        <f>SUMPRODUCT(G45:I47, M45:O47) /$J$48</f>
        <v>0</v>
      </c>
      <c r="X45" s="60" t="s">
        <v>161</v>
      </c>
    </row>
    <row r="46" ht="12.75" customHeight="1">
      <c r="A46" s="9" t="str">
        <f>Thermonix!A46</f>
        <v>Transition</v>
      </c>
      <c r="B46" s="10" t="str">
        <f>Thermonix!B46</f>
        <v>additional elements</v>
      </c>
      <c r="C46" s="18">
        <f>CombinedHumanGrading!C46</f>
        <v>0</v>
      </c>
      <c r="D46" s="18">
        <f>'GPT-5.5 Grading'!C46</f>
        <v>0</v>
      </c>
      <c r="E46" s="6"/>
      <c r="F46" s="57">
        <v>0.5</v>
      </c>
      <c r="G46" s="61">
        <f t="shared" ref="G46:I46" si="63">COUNTIFS($A$2:$A$84,$F$44,$C$2:$C$84,$F46,$D$2:$D$84,G$44)</f>
        <v>0</v>
      </c>
      <c r="H46" s="51">
        <f t="shared" si="63"/>
        <v>0</v>
      </c>
      <c r="I46" s="62">
        <f t="shared" si="63"/>
        <v>0</v>
      </c>
      <c r="J46" s="51">
        <f t="shared" si="64"/>
        <v>0</v>
      </c>
      <c r="K46" s="6"/>
      <c r="L46" s="57">
        <v>0.5</v>
      </c>
      <c r="M46" s="61">
        <f t="shared" ref="M46:M47" si="66">ABS(G$2-$F46)/1</f>
        <v>0.5</v>
      </c>
      <c r="N46" s="51">
        <f>ABS(H$2-$F46)/3</f>
        <v>0</v>
      </c>
      <c r="O46" s="62">
        <f>ABS(I$2-$F46)/1</f>
        <v>0.5</v>
      </c>
      <c r="P46" s="6"/>
      <c r="Q46" s="57">
        <v>0.5</v>
      </c>
      <c r="R46" s="61">
        <f t="shared" ref="R46:T46" si="65">($J46/$J$48) * (G$48/$J$48)</f>
        <v>0</v>
      </c>
      <c r="S46" s="51">
        <f t="shared" si="65"/>
        <v>0</v>
      </c>
      <c r="T46" s="62">
        <f t="shared" si="65"/>
        <v>0</v>
      </c>
      <c r="U46" s="16"/>
      <c r="V46" s="56" t="s">
        <v>162</v>
      </c>
      <c r="W46" s="61">
        <f>SUMPRODUCT(R45:T47, M45:O47)</f>
        <v>0</v>
      </c>
      <c r="X46" s="62" t="s">
        <v>163</v>
      </c>
    </row>
    <row r="47" ht="12.75" customHeight="1">
      <c r="A47" s="7" t="str">
        <f>Thermonix!A47</f>
        <v>Guard</v>
      </c>
      <c r="B47" s="8" t="str">
        <f>Thermonix!B47</f>
        <v>additional elements</v>
      </c>
      <c r="C47" s="18">
        <f>CombinedHumanGrading!C47</f>
        <v>0</v>
      </c>
      <c r="D47" s="18">
        <f>'GPT-5.5 Grading'!C47</f>
        <v>0</v>
      </c>
      <c r="E47" s="6"/>
      <c r="F47" s="57">
        <v>1.0</v>
      </c>
      <c r="G47" s="63">
        <f>COUNTIFS($A$2:$A$44,$F$44,$C$2:$C$44,$F47,$D$2:$D$44,G$44) + MAX(C51-D51,0)</f>
        <v>0</v>
      </c>
      <c r="H47" s="64">
        <f>COUNTIFS($A$2:$A$84,$F$44,$C$2:$C$84,$F47,$D$2:$D$84,H$44)</f>
        <v>0</v>
      </c>
      <c r="I47" s="65">
        <f>COUNTIFS($A$2:$A$44,$F$44,$C$2:$C$44,$F47,$D$2:$D$44,I$44) + MIN(C51,D51)</f>
        <v>0</v>
      </c>
      <c r="J47" s="51">
        <f t="shared" si="64"/>
        <v>0</v>
      </c>
      <c r="K47" s="6"/>
      <c r="L47" s="57">
        <v>1.0</v>
      </c>
      <c r="M47" s="63">
        <f t="shared" si="66"/>
        <v>1</v>
      </c>
      <c r="N47" s="64">
        <f t="shared" ref="N47:O47" si="67">ABS(H$2-$F47)/1</f>
        <v>0.5</v>
      </c>
      <c r="O47" s="65">
        <f t="shared" si="67"/>
        <v>0</v>
      </c>
      <c r="P47" s="6"/>
      <c r="Q47" s="57">
        <v>1.0</v>
      </c>
      <c r="R47" s="63">
        <f t="shared" ref="R47:T47" si="68">($J47/$J$48) * (G$48/$J$48)</f>
        <v>0</v>
      </c>
      <c r="S47" s="64">
        <f t="shared" si="68"/>
        <v>0</v>
      </c>
      <c r="T47" s="65">
        <f t="shared" si="68"/>
        <v>0</v>
      </c>
      <c r="V47" s="56" t="s">
        <v>130</v>
      </c>
      <c r="W47" s="63" t="str">
        <f>1-W45/W46</f>
        <v>#DIV/0!</v>
      </c>
      <c r="X47" s="65" t="s">
        <v>164</v>
      </c>
    </row>
    <row r="48" ht="12.75" customHeight="1">
      <c r="A48" s="9" t="str">
        <f>Thermonix!A48</f>
        <v>Action</v>
      </c>
      <c r="B48" s="10" t="str">
        <f>Thermonix!B48</f>
        <v>additional elements</v>
      </c>
      <c r="C48" s="18">
        <f>CombinedHumanGrading!C48</f>
        <v>0</v>
      </c>
      <c r="D48" s="18">
        <f>'GPT-5.5 Grading'!C48</f>
        <v>0</v>
      </c>
      <c r="E48" s="6"/>
      <c r="F48" s="66" t="s">
        <v>144</v>
      </c>
      <c r="G48" s="51">
        <f t="shared" ref="G48:I48" si="69">SUM(G45:G47)</f>
        <v>2</v>
      </c>
      <c r="H48" s="51">
        <f t="shared" si="69"/>
        <v>0</v>
      </c>
      <c r="I48" s="51">
        <f t="shared" si="69"/>
        <v>0</v>
      </c>
      <c r="J48" s="51">
        <f>SUM(G45:I47)</f>
        <v>2</v>
      </c>
      <c r="K48" s="6"/>
      <c r="L48" s="6"/>
      <c r="M48" s="6"/>
      <c r="N48" s="6"/>
      <c r="O48" s="6"/>
      <c r="P48" s="6"/>
      <c r="Q48" s="6"/>
      <c r="R48" s="6"/>
      <c r="S48" s="6"/>
      <c r="T48" s="6"/>
      <c r="V48" s="6"/>
      <c r="W48" s="6"/>
      <c r="X48" s="6"/>
    </row>
    <row r="49" ht="12.75" customHeight="1">
      <c r="A49" s="7" t="str">
        <f>Thermonix!A49</f>
        <v>Composite State</v>
      </c>
      <c r="B49" s="8" t="str">
        <f>Thermonix!B49</f>
        <v>additional elements</v>
      </c>
      <c r="C49" s="18">
        <f>CombinedHumanGrading!C49</f>
        <v>0</v>
      </c>
      <c r="D49" s="18">
        <f>'GPT-5.5 Grading'!C49</f>
        <v>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V49" s="6"/>
      <c r="W49" s="6"/>
      <c r="X49" s="6"/>
    </row>
    <row r="50" ht="12.75" customHeight="1">
      <c r="A50" s="9" t="str">
        <f>Thermonix!A50</f>
        <v>Region</v>
      </c>
      <c r="B50" s="10" t="str">
        <f>Thermonix!B50</f>
        <v>additional elements</v>
      </c>
      <c r="C50" s="18">
        <f>CombinedHumanGrading!C50</f>
        <v>0</v>
      </c>
      <c r="D50" s="18">
        <f>'GPT-5.5 Grading'!C50</f>
        <v>0</v>
      </c>
      <c r="E50" s="6"/>
      <c r="F50" s="48" t="s">
        <v>157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V50" s="6"/>
      <c r="W50" s="6"/>
      <c r="X50" s="6"/>
    </row>
    <row r="51" ht="12.75" customHeight="1">
      <c r="A51" s="7" t="str">
        <f>Thermonix!A51</f>
        <v>History State</v>
      </c>
      <c r="B51" s="8" t="str">
        <f>Thermonix!B51</f>
        <v>additional elements</v>
      </c>
      <c r="C51" s="18">
        <f>CombinedHumanGrading!C51</f>
        <v>0</v>
      </c>
      <c r="D51" s="18">
        <f>'GPT-5.5 Grading'!C51</f>
        <v>0</v>
      </c>
      <c r="E51" s="6"/>
      <c r="F51" s="51" t="s">
        <v>48</v>
      </c>
      <c r="G51" s="67" t="s">
        <v>132</v>
      </c>
      <c r="H51" s="67" t="s">
        <v>133</v>
      </c>
      <c r="I51" s="67" t="s">
        <v>134</v>
      </c>
      <c r="J51" s="68" t="s">
        <v>135</v>
      </c>
      <c r="K51" s="6"/>
      <c r="L51" s="51" t="s">
        <v>131</v>
      </c>
      <c r="M51" s="67" t="s">
        <v>132</v>
      </c>
      <c r="N51" s="67" t="s">
        <v>133</v>
      </c>
      <c r="O51" s="67" t="s">
        <v>134</v>
      </c>
      <c r="P51" s="6"/>
      <c r="Q51" s="51" t="s">
        <v>131</v>
      </c>
      <c r="R51" s="67" t="s">
        <v>132</v>
      </c>
      <c r="S51" s="67" t="s">
        <v>133</v>
      </c>
      <c r="T51" s="67" t="s">
        <v>134</v>
      </c>
      <c r="U51" s="16"/>
      <c r="V51" s="56" t="str">
        <f>"Metrics" &amp; " " &amp; F51</f>
        <v>Metrics Region</v>
      </c>
      <c r="W51" s="56" t="s">
        <v>137</v>
      </c>
      <c r="X51" s="56" t="s">
        <v>138</v>
      </c>
    </row>
    <row r="52" ht="12.75" customHeight="1">
      <c r="A52" s="73"/>
      <c r="B52" s="74"/>
      <c r="C52" s="6"/>
      <c r="D52" s="6"/>
      <c r="E52" s="6"/>
      <c r="F52" s="57">
        <v>0.0</v>
      </c>
      <c r="G52" s="58">
        <f t="shared" ref="G52:H52" si="70">COUNTIFS($A$2:$A$84,$F$51,$C$2:$C$84,$F52,$D$2:$D$84,G$51)</f>
        <v>1</v>
      </c>
      <c r="H52" s="59">
        <f t="shared" si="70"/>
        <v>0</v>
      </c>
      <c r="I52" s="60">
        <f>COUNTIFS($A$2:$A$44,$F$51,$C$2:$C$44,$F52,$D$2:$D$44,I$51)+MAX(D50-C50,0)</f>
        <v>0</v>
      </c>
      <c r="J52" s="51">
        <f t="shared" ref="J52:J54" si="74">SUM(G52:I52)</f>
        <v>1</v>
      </c>
      <c r="K52" s="6"/>
      <c r="L52" s="57">
        <v>0.0</v>
      </c>
      <c r="M52" s="58">
        <f t="shared" ref="M52:O52" si="71">ABS(G$2-$F52)/1</f>
        <v>0</v>
      </c>
      <c r="N52" s="59">
        <f t="shared" si="71"/>
        <v>0.5</v>
      </c>
      <c r="O52" s="60">
        <f t="shared" si="71"/>
        <v>1</v>
      </c>
      <c r="P52" s="6"/>
      <c r="Q52" s="57">
        <v>0.0</v>
      </c>
      <c r="R52" s="58">
        <f t="shared" ref="R52:T52" si="72">($J52/$J$55) * (G$55/$J$55)</f>
        <v>1</v>
      </c>
      <c r="S52" s="59">
        <f t="shared" si="72"/>
        <v>0</v>
      </c>
      <c r="T52" s="60">
        <f t="shared" si="72"/>
        <v>0</v>
      </c>
      <c r="U52" s="16"/>
      <c r="V52" s="56" t="s">
        <v>160</v>
      </c>
      <c r="W52" s="58">
        <f>SUMPRODUCT(G52:I54, M52:O54) /$J$55</f>
        <v>0</v>
      </c>
      <c r="X52" s="60" t="s">
        <v>161</v>
      </c>
    </row>
    <row r="53" ht="12.75" customHeight="1">
      <c r="A53" s="73"/>
      <c r="B53" s="74"/>
      <c r="C53" s="6"/>
      <c r="D53" s="6"/>
      <c r="E53" s="6"/>
      <c r="F53" s="57">
        <v>0.5</v>
      </c>
      <c r="G53" s="61">
        <f t="shared" ref="G53:I53" si="73">COUNTIFS($A$2:$A$84,$F$51,$C$2:$C$84,$F53,$D$2:$D$84,G$51)</f>
        <v>0</v>
      </c>
      <c r="H53" s="51">
        <f t="shared" si="73"/>
        <v>0</v>
      </c>
      <c r="I53" s="62">
        <f t="shared" si="73"/>
        <v>0</v>
      </c>
      <c r="J53" s="51">
        <f t="shared" si="74"/>
        <v>0</v>
      </c>
      <c r="K53" s="6"/>
      <c r="L53" s="57">
        <v>0.5</v>
      </c>
      <c r="M53" s="61">
        <f t="shared" ref="M53:M54" si="76">ABS(G$2-$F53)/1</f>
        <v>0.5</v>
      </c>
      <c r="N53" s="51">
        <f>ABS(H$2-$F53)/3</f>
        <v>0</v>
      </c>
      <c r="O53" s="62">
        <f>ABS(I$2-$F53)/1</f>
        <v>0.5</v>
      </c>
      <c r="P53" s="6"/>
      <c r="Q53" s="57">
        <v>0.5</v>
      </c>
      <c r="R53" s="61">
        <f t="shared" ref="R53:T53" si="75">($J53/$J$55) * (G$55/$J$55)</f>
        <v>0</v>
      </c>
      <c r="S53" s="51">
        <f t="shared" si="75"/>
        <v>0</v>
      </c>
      <c r="T53" s="62">
        <f t="shared" si="75"/>
        <v>0</v>
      </c>
      <c r="U53" s="16"/>
      <c r="V53" s="56" t="s">
        <v>162</v>
      </c>
      <c r="W53" s="61">
        <f>SUMPRODUCT(R52:T54, M52:O54)</f>
        <v>0</v>
      </c>
      <c r="X53" s="62" t="s">
        <v>163</v>
      </c>
    </row>
    <row r="54" ht="12.75" customHeight="1">
      <c r="A54" s="73"/>
      <c r="B54" s="74"/>
      <c r="C54" s="6"/>
      <c r="D54" s="6"/>
      <c r="E54" s="6"/>
      <c r="F54" s="57">
        <v>1.0</v>
      </c>
      <c r="G54" s="63">
        <f>COUNTIFS($A$2:$A$44,$F$51,$C$2:$C$44,$F54,$D$2:$D$44,G$51) + MAX(C50-D50,0)</f>
        <v>0</v>
      </c>
      <c r="H54" s="64">
        <f>COUNTIFS($A$2:$A$84,$F$51,$C$2:$C$84,$F54,$D$2:$D$84,H$51)</f>
        <v>0</v>
      </c>
      <c r="I54" s="65">
        <f>COUNTIFS($A$2:$A$44,$F$51,$C$2:$C$44,$F54,$D$2:$D$44,I$51)+MIN(C50,D50)</f>
        <v>0</v>
      </c>
      <c r="J54" s="51">
        <f t="shared" si="74"/>
        <v>0</v>
      </c>
      <c r="K54" s="6"/>
      <c r="L54" s="57">
        <v>1.0</v>
      </c>
      <c r="M54" s="63">
        <f t="shared" si="76"/>
        <v>1</v>
      </c>
      <c r="N54" s="64">
        <f t="shared" ref="N54:O54" si="77">ABS(H$2-$F54)/1</f>
        <v>0.5</v>
      </c>
      <c r="O54" s="65">
        <f t="shared" si="77"/>
        <v>0</v>
      </c>
      <c r="P54" s="6"/>
      <c r="Q54" s="57">
        <v>1.0</v>
      </c>
      <c r="R54" s="63">
        <f t="shared" ref="R54:T54" si="78">($J54/$J$55) * (G$55/$J$55)</f>
        <v>0</v>
      </c>
      <c r="S54" s="64">
        <f t="shared" si="78"/>
        <v>0</v>
      </c>
      <c r="T54" s="65">
        <f t="shared" si="78"/>
        <v>0</v>
      </c>
      <c r="V54" s="56" t="s">
        <v>130</v>
      </c>
      <c r="W54" s="63" t="str">
        <f>1-W52/W53</f>
        <v>#DIV/0!</v>
      </c>
      <c r="X54" s="65" t="s">
        <v>164</v>
      </c>
    </row>
    <row r="55" ht="12.75" customHeight="1">
      <c r="A55" s="73"/>
      <c r="B55" s="74"/>
      <c r="C55" s="6"/>
      <c r="D55" s="6"/>
      <c r="E55" s="6"/>
      <c r="F55" s="66" t="s">
        <v>144</v>
      </c>
      <c r="G55" s="51">
        <f t="shared" ref="G55:I55" si="79">SUM(G52:G54)</f>
        <v>1</v>
      </c>
      <c r="H55" s="51">
        <f t="shared" si="79"/>
        <v>0</v>
      </c>
      <c r="I55" s="51">
        <f t="shared" si="79"/>
        <v>0</v>
      </c>
      <c r="J55" s="51">
        <f>SUM(G52:I54)</f>
        <v>1</v>
      </c>
      <c r="K55" s="6"/>
      <c r="L55" s="6"/>
      <c r="M55" s="6"/>
      <c r="N55" s="6"/>
      <c r="O55" s="6"/>
      <c r="P55" s="6"/>
      <c r="Q55" s="6"/>
      <c r="R55" s="6"/>
      <c r="S55" s="6"/>
      <c r="T55" s="6"/>
      <c r="V55" s="6"/>
      <c r="W55" s="6"/>
      <c r="X55" s="6"/>
    </row>
    <row r="56" ht="12.75" customHeight="1">
      <c r="A56" s="73"/>
      <c r="B56" s="74"/>
      <c r="C56" s="6"/>
      <c r="D56" s="6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R56" s="3"/>
      <c r="V56" s="3"/>
      <c r="X56" s="3"/>
    </row>
    <row r="57" ht="12.75" customHeight="1">
      <c r="A57" s="73"/>
      <c r="B57" s="74"/>
      <c r="C57" s="6"/>
      <c r="D57" s="6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R57" s="3"/>
      <c r="V57" s="3"/>
      <c r="X57" s="3"/>
    </row>
    <row r="58" ht="12.75" customHeight="1">
      <c r="A58" s="73"/>
      <c r="B58" s="74"/>
      <c r="C58" s="6"/>
      <c r="D58" s="6"/>
      <c r="E58" s="3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R58" s="3"/>
      <c r="V58" s="3"/>
      <c r="X58" s="3"/>
    </row>
    <row r="59" ht="12.75" customHeight="1">
      <c r="A59" s="73"/>
      <c r="B59" s="74"/>
      <c r="C59" s="6"/>
      <c r="D59" s="6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R59" s="3"/>
      <c r="V59" s="3"/>
      <c r="X59" s="3"/>
    </row>
    <row r="60" ht="12.75" customHeight="1">
      <c r="A60" s="73"/>
      <c r="B60" s="74"/>
      <c r="C60" s="6"/>
      <c r="D60" s="6"/>
      <c r="E60" s="3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R60" s="3"/>
      <c r="V60" s="3"/>
      <c r="X60" s="3"/>
    </row>
    <row r="61" ht="12.75" customHeight="1">
      <c r="A61" s="73"/>
      <c r="B61" s="74"/>
      <c r="C61" s="6"/>
      <c r="D61" s="6"/>
      <c r="E61" s="3"/>
      <c r="F61" s="3"/>
      <c r="G61" s="3"/>
      <c r="H61" s="3"/>
      <c r="I61" s="3"/>
      <c r="K61" s="3"/>
      <c r="L61" s="3"/>
      <c r="M61" s="3"/>
      <c r="N61" s="3"/>
      <c r="O61" s="3"/>
      <c r="P61" s="3"/>
      <c r="Q61" s="3"/>
      <c r="R61" s="3"/>
      <c r="V61" s="3"/>
      <c r="X61" s="3"/>
    </row>
    <row r="62" ht="12.75" customHeight="1">
      <c r="A62" s="73"/>
      <c r="B62" s="74"/>
      <c r="C62" s="6"/>
      <c r="D62" s="6"/>
      <c r="E62" s="3"/>
      <c r="F62" s="3"/>
      <c r="G62" s="3"/>
      <c r="H62" s="3"/>
      <c r="I62" s="3"/>
      <c r="K62" s="3"/>
      <c r="L62" s="3"/>
      <c r="M62" s="3"/>
      <c r="N62" s="3"/>
      <c r="O62" s="3"/>
      <c r="P62" s="3"/>
      <c r="Q62" s="3"/>
      <c r="R62" s="3"/>
      <c r="V62" s="3"/>
      <c r="X62" s="3"/>
    </row>
    <row r="63" ht="12.75" customHeight="1">
      <c r="A63" s="73"/>
      <c r="B63" s="74"/>
      <c r="C63" s="6"/>
      <c r="D63" s="6"/>
      <c r="E63" s="3"/>
      <c r="F63" s="3"/>
      <c r="G63" s="3"/>
      <c r="H63" s="3"/>
      <c r="I63" s="3"/>
      <c r="K63" s="3"/>
      <c r="L63" s="3"/>
      <c r="M63" s="3"/>
      <c r="N63" s="3"/>
      <c r="O63" s="3"/>
      <c r="P63" s="3"/>
      <c r="Q63" s="3"/>
      <c r="R63" s="3"/>
      <c r="V63" s="3"/>
      <c r="X63" s="3"/>
    </row>
    <row r="64" ht="12.75" customHeight="1">
      <c r="A64" s="73"/>
      <c r="B64" s="74"/>
      <c r="C64" s="6"/>
      <c r="D64" s="6"/>
      <c r="E64" s="3"/>
      <c r="F64" s="3"/>
      <c r="G64" s="3"/>
      <c r="H64" s="3"/>
      <c r="I64" s="3"/>
      <c r="K64" s="3"/>
      <c r="L64" s="3"/>
      <c r="M64" s="3"/>
      <c r="N64" s="3"/>
      <c r="O64" s="3"/>
      <c r="P64" s="3"/>
      <c r="Q64" s="3"/>
      <c r="R64" s="3"/>
      <c r="V64" s="3"/>
      <c r="X64" s="3"/>
    </row>
    <row r="65" ht="12.75" customHeight="1">
      <c r="A65" s="73"/>
      <c r="B65" s="74"/>
      <c r="C65" s="6"/>
      <c r="D65" s="6"/>
      <c r="E65" s="3"/>
      <c r="F65" s="3"/>
      <c r="G65" s="3"/>
      <c r="H65" s="3"/>
      <c r="I65" s="3"/>
      <c r="K65" s="3"/>
      <c r="L65" s="3"/>
      <c r="M65" s="3"/>
      <c r="N65" s="3"/>
      <c r="O65" s="3"/>
      <c r="P65" s="3"/>
      <c r="Q65" s="3"/>
      <c r="R65" s="3"/>
      <c r="V65" s="3"/>
      <c r="X65" s="3"/>
    </row>
    <row r="66" ht="12.75" customHeight="1">
      <c r="A66" s="73"/>
      <c r="B66" s="74"/>
      <c r="C66" s="6"/>
      <c r="D66" s="6"/>
      <c r="E66" s="3"/>
      <c r="F66" s="3"/>
      <c r="G66" s="3"/>
      <c r="H66" s="3"/>
      <c r="I66" s="3"/>
      <c r="K66" s="3"/>
      <c r="L66" s="3"/>
      <c r="M66" s="3"/>
      <c r="N66" s="3"/>
      <c r="O66" s="3"/>
      <c r="P66" s="3"/>
      <c r="Q66" s="3"/>
      <c r="R66" s="3"/>
      <c r="V66" s="3"/>
      <c r="X66" s="3"/>
    </row>
    <row r="67" ht="12.75" customHeight="1">
      <c r="A67" s="73"/>
      <c r="B67" s="74"/>
      <c r="C67" s="6"/>
      <c r="D67" s="6"/>
      <c r="E67" s="3"/>
      <c r="F67" s="3"/>
      <c r="G67" s="3"/>
      <c r="H67" s="3"/>
      <c r="I67" s="3"/>
      <c r="K67" s="3"/>
      <c r="L67" s="3"/>
      <c r="M67" s="3"/>
      <c r="N67" s="3"/>
      <c r="O67" s="3"/>
      <c r="P67" s="3"/>
      <c r="Q67" s="3"/>
      <c r="R67" s="3"/>
      <c r="V67" s="3"/>
      <c r="X67" s="3"/>
    </row>
    <row r="68" ht="12.75" customHeight="1">
      <c r="A68" s="73"/>
      <c r="B68" s="74"/>
      <c r="C68" s="6"/>
      <c r="D68" s="6"/>
      <c r="E68" s="3"/>
      <c r="F68" s="3"/>
      <c r="G68" s="3"/>
      <c r="H68" s="3"/>
      <c r="I68" s="3"/>
      <c r="K68" s="3"/>
      <c r="L68" s="3"/>
      <c r="M68" s="3"/>
      <c r="N68" s="3"/>
      <c r="O68" s="3"/>
      <c r="P68" s="3"/>
      <c r="Q68" s="3"/>
      <c r="R68" s="3"/>
      <c r="V68" s="3"/>
      <c r="X68" s="3"/>
    </row>
    <row r="69" ht="12.75" customHeight="1">
      <c r="A69" s="73"/>
      <c r="B69" s="74"/>
      <c r="C69" s="6"/>
      <c r="D69" s="6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V69" s="3"/>
      <c r="X69" s="3"/>
    </row>
    <row r="70" ht="12.75" customHeight="1">
      <c r="A70" s="73"/>
      <c r="B70" s="74"/>
      <c r="C70" s="6"/>
      <c r="D70" s="6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V70" s="3"/>
      <c r="X70" s="3"/>
    </row>
    <row r="71" ht="12.75" customHeight="1">
      <c r="A71" s="73"/>
      <c r="B71" s="74"/>
      <c r="C71" s="6"/>
      <c r="D71" s="6"/>
      <c r="E71" s="3"/>
      <c r="F71" s="3"/>
      <c r="G71" s="3"/>
      <c r="H71" s="3"/>
      <c r="I71" s="3"/>
      <c r="K71" s="3"/>
      <c r="L71" s="3"/>
      <c r="M71" s="3"/>
      <c r="N71" s="3"/>
      <c r="O71" s="3"/>
      <c r="P71" s="3"/>
      <c r="Q71" s="3"/>
      <c r="R71" s="3"/>
      <c r="V71" s="3"/>
      <c r="X71" s="3"/>
    </row>
    <row r="72" ht="12.75" customHeight="1">
      <c r="A72" s="73"/>
      <c r="B72" s="74"/>
      <c r="C72" s="3"/>
      <c r="D72" s="6"/>
      <c r="E72" s="3"/>
      <c r="F72" s="3"/>
      <c r="G72" s="3"/>
      <c r="H72" s="3"/>
      <c r="I72" s="3"/>
      <c r="K72" s="3"/>
      <c r="L72" s="3"/>
      <c r="M72" s="3"/>
      <c r="N72" s="3"/>
      <c r="O72" s="3"/>
      <c r="P72" s="3"/>
      <c r="Q72" s="3"/>
      <c r="R72" s="3"/>
      <c r="V72" s="3"/>
      <c r="X72" s="3"/>
    </row>
    <row r="73" ht="12.75" customHeight="1">
      <c r="A73" s="73"/>
      <c r="B73" s="74"/>
      <c r="C73" s="3"/>
      <c r="D73" s="6"/>
      <c r="E73" s="3"/>
      <c r="F73" s="3"/>
      <c r="G73" s="3"/>
      <c r="H73" s="3"/>
      <c r="I73" s="3"/>
      <c r="K73" s="3"/>
      <c r="L73" s="3"/>
      <c r="M73" s="3"/>
      <c r="N73" s="3"/>
      <c r="O73" s="3"/>
      <c r="P73" s="3"/>
      <c r="Q73" s="3"/>
      <c r="R73" s="3"/>
      <c r="V73" s="3"/>
      <c r="X73" s="3"/>
    </row>
    <row r="74" ht="12.75" customHeight="1">
      <c r="A74" s="73"/>
      <c r="B74" s="74"/>
      <c r="C74" s="3"/>
      <c r="D74" s="6"/>
      <c r="E74" s="3"/>
      <c r="F74" s="3"/>
      <c r="G74" s="3"/>
      <c r="H74" s="3"/>
      <c r="I74" s="3"/>
      <c r="K74" s="3"/>
      <c r="L74" s="3"/>
      <c r="M74" s="3"/>
      <c r="N74" s="3"/>
      <c r="O74" s="3"/>
      <c r="P74" s="3"/>
      <c r="Q74" s="3"/>
      <c r="R74" s="3"/>
      <c r="V74" s="3"/>
      <c r="X74" s="3"/>
    </row>
    <row r="75" ht="12.75" customHeight="1">
      <c r="A75" s="73"/>
      <c r="B75" s="74"/>
      <c r="C75" s="3"/>
      <c r="D75" s="6"/>
      <c r="E75" s="3"/>
      <c r="F75" s="3"/>
      <c r="G75" s="3"/>
      <c r="H75" s="3"/>
      <c r="I75" s="3"/>
      <c r="K75" s="3"/>
      <c r="L75" s="3"/>
      <c r="M75" s="3"/>
      <c r="N75" s="3"/>
      <c r="O75" s="3"/>
      <c r="P75" s="3"/>
      <c r="Q75" s="3"/>
      <c r="R75" s="3"/>
      <c r="V75" s="3"/>
      <c r="X75" s="3"/>
    </row>
    <row r="76" ht="12.75" customHeight="1">
      <c r="A76" s="73"/>
      <c r="B76" s="74"/>
      <c r="C76" s="3"/>
      <c r="D76" s="6"/>
      <c r="E76" s="3"/>
      <c r="F76" s="3"/>
      <c r="G76" s="3"/>
      <c r="H76" s="3"/>
      <c r="I76" s="3"/>
      <c r="K76" s="3"/>
      <c r="L76" s="3"/>
      <c r="M76" s="3"/>
      <c r="N76" s="3"/>
      <c r="O76" s="3"/>
      <c r="P76" s="3"/>
      <c r="Q76" s="3"/>
      <c r="R76" s="3"/>
      <c r="V76" s="3"/>
      <c r="X76" s="3"/>
    </row>
    <row r="77" ht="12.75" customHeight="1">
      <c r="A77" s="73"/>
      <c r="B77" s="74"/>
      <c r="C77" s="3"/>
      <c r="D77" s="6"/>
      <c r="E77" s="3"/>
      <c r="F77" s="3"/>
      <c r="G77" s="3"/>
      <c r="H77" s="3"/>
      <c r="I77" s="3"/>
      <c r="K77" s="3"/>
      <c r="L77" s="3"/>
      <c r="M77" s="3"/>
      <c r="N77" s="3"/>
      <c r="O77" s="3"/>
      <c r="P77" s="3"/>
      <c r="Q77" s="3"/>
      <c r="R77" s="3"/>
      <c r="V77" s="3"/>
      <c r="X77" s="3"/>
    </row>
    <row r="78" ht="12.75" customHeight="1">
      <c r="A78" s="73"/>
      <c r="B78" s="74"/>
      <c r="C78" s="3"/>
      <c r="D78" s="6"/>
      <c r="E78" s="3"/>
      <c r="F78" s="3"/>
      <c r="G78" s="3"/>
      <c r="H78" s="3"/>
      <c r="I78" s="3"/>
      <c r="K78" s="3"/>
      <c r="L78" s="3"/>
      <c r="M78" s="3"/>
      <c r="N78" s="3"/>
      <c r="O78" s="3"/>
      <c r="P78" s="3"/>
      <c r="Q78" s="3"/>
      <c r="R78" s="3"/>
      <c r="V78" s="3"/>
      <c r="X78" s="3"/>
    </row>
    <row r="79" ht="12.75" customHeight="1">
      <c r="A79" s="73"/>
      <c r="B79" s="74"/>
      <c r="C79" s="3"/>
      <c r="D79" s="6"/>
      <c r="E79" s="3"/>
      <c r="F79" s="3"/>
      <c r="G79" s="3"/>
      <c r="H79" s="3"/>
      <c r="I79" s="3"/>
      <c r="K79" s="3"/>
      <c r="L79" s="3"/>
      <c r="M79" s="3"/>
      <c r="N79" s="3"/>
      <c r="O79" s="3"/>
      <c r="P79" s="3"/>
      <c r="Q79" s="3"/>
      <c r="R79" s="3"/>
      <c r="V79" s="3"/>
      <c r="X79" s="3"/>
    </row>
    <row r="80" ht="12.75" customHeight="1">
      <c r="A80" s="73"/>
      <c r="B80" s="74"/>
      <c r="C80" s="3"/>
      <c r="D80" s="6"/>
      <c r="E80" s="3"/>
      <c r="F80" s="3"/>
      <c r="G80" s="3"/>
      <c r="H80" s="3"/>
      <c r="I80" s="3"/>
      <c r="K80" s="3"/>
      <c r="L80" s="3"/>
      <c r="M80" s="3"/>
      <c r="N80" s="3"/>
      <c r="O80" s="3"/>
      <c r="P80" s="3"/>
      <c r="Q80" s="3"/>
      <c r="R80" s="3"/>
      <c r="V80" s="3"/>
      <c r="X80" s="3"/>
    </row>
    <row r="81" ht="12.75" customHeight="1">
      <c r="A81" s="73"/>
      <c r="B81" s="74"/>
      <c r="C81" s="3"/>
      <c r="D81" s="3"/>
      <c r="E81" s="3"/>
      <c r="F81" s="3"/>
      <c r="G81" s="3"/>
      <c r="H81" s="3"/>
      <c r="I81" s="3"/>
      <c r="K81" s="3"/>
      <c r="L81" s="3"/>
      <c r="M81" s="3"/>
      <c r="N81" s="3"/>
      <c r="O81" s="3"/>
      <c r="P81" s="3"/>
      <c r="Q81" s="3"/>
      <c r="R81" s="3"/>
      <c r="V81" s="3"/>
      <c r="X81" s="3"/>
    </row>
    <row r="82" ht="12.75" customHeight="1">
      <c r="A82" s="15"/>
      <c r="B82" s="16"/>
      <c r="C82" s="3"/>
      <c r="D82" s="3"/>
      <c r="E82" s="3"/>
      <c r="F82" s="3"/>
      <c r="G82" s="3"/>
      <c r="H82" s="3"/>
      <c r="I82" s="3"/>
      <c r="K82" s="3"/>
      <c r="L82" s="3"/>
      <c r="M82" s="3"/>
      <c r="N82" s="3"/>
      <c r="O82" s="3"/>
      <c r="P82" s="3"/>
      <c r="Q82" s="3"/>
      <c r="R82" s="3"/>
      <c r="V82" s="3"/>
      <c r="X82" s="3"/>
    </row>
    <row r="83" ht="12.75" customHeight="1">
      <c r="A83" s="15"/>
      <c r="B83" s="16"/>
      <c r="C83" s="3"/>
      <c r="D83" s="3"/>
      <c r="E83" s="3"/>
      <c r="F83" s="3"/>
      <c r="G83" s="3"/>
      <c r="H83" s="3"/>
      <c r="I83" s="3"/>
      <c r="K83" s="3"/>
      <c r="L83" s="3"/>
      <c r="M83" s="3"/>
      <c r="N83" s="3"/>
      <c r="O83" s="3"/>
      <c r="P83" s="3"/>
      <c r="Q83" s="3"/>
      <c r="R83" s="3"/>
      <c r="V83" s="3"/>
      <c r="X83" s="3"/>
    </row>
    <row r="84" ht="12.75" customHeight="1">
      <c r="A84" s="15"/>
      <c r="B84" s="16"/>
      <c r="C84" s="3"/>
      <c r="D84" s="3"/>
      <c r="E84" s="3"/>
      <c r="F84" s="3"/>
      <c r="G84" s="3"/>
      <c r="H84" s="3"/>
      <c r="I84" s="3"/>
      <c r="K84" s="3"/>
      <c r="L84" s="3"/>
      <c r="M84" s="3"/>
      <c r="N84" s="3"/>
      <c r="O84" s="3"/>
      <c r="P84" s="3"/>
      <c r="Q84" s="3"/>
      <c r="R84" s="3"/>
      <c r="V84" s="3"/>
      <c r="X84" s="3"/>
    </row>
    <row r="85" ht="12.75" customHeight="1">
      <c r="A85" s="15"/>
      <c r="B85" s="16"/>
      <c r="C85" s="3"/>
      <c r="D85" s="3"/>
      <c r="E85" s="3"/>
      <c r="F85" s="3"/>
      <c r="G85" s="3"/>
      <c r="H85" s="3"/>
      <c r="I85" s="3"/>
      <c r="K85" s="3"/>
      <c r="L85" s="3"/>
      <c r="M85" s="3"/>
      <c r="N85" s="3"/>
      <c r="O85" s="3"/>
      <c r="P85" s="3"/>
      <c r="Q85" s="3"/>
      <c r="R85" s="3"/>
      <c r="V85" s="3"/>
      <c r="X85" s="3"/>
    </row>
    <row r="86" ht="12.75" customHeight="1">
      <c r="A86" s="15"/>
      <c r="B86" s="16"/>
      <c r="C86" s="3"/>
      <c r="D86" s="3"/>
      <c r="E86" s="3"/>
      <c r="F86" s="3"/>
      <c r="G86" s="3"/>
      <c r="H86" s="3"/>
      <c r="I86" s="3"/>
      <c r="K86" s="3"/>
      <c r="L86" s="3"/>
      <c r="M86" s="3"/>
      <c r="N86" s="3"/>
      <c r="O86" s="3"/>
      <c r="P86" s="3"/>
      <c r="Q86" s="3"/>
      <c r="R86" s="3"/>
      <c r="V86" s="3"/>
      <c r="X86" s="3"/>
    </row>
    <row r="87" ht="12.75" customHeight="1">
      <c r="A87" s="15"/>
      <c r="B87" s="16"/>
      <c r="C87" s="3"/>
      <c r="D87" s="3"/>
      <c r="E87" s="3"/>
      <c r="F87" s="3"/>
      <c r="G87" s="3"/>
      <c r="H87" s="3"/>
      <c r="I87" s="3"/>
      <c r="K87" s="3"/>
      <c r="L87" s="3"/>
      <c r="M87" s="3"/>
      <c r="N87" s="3"/>
      <c r="O87" s="3"/>
      <c r="P87" s="3"/>
      <c r="Q87" s="3"/>
      <c r="R87" s="3"/>
      <c r="V87" s="3"/>
      <c r="X87" s="3"/>
    </row>
    <row r="88" ht="12.75" customHeight="1">
      <c r="A88" s="15"/>
      <c r="B88" s="16"/>
      <c r="C88" s="3"/>
      <c r="D88" s="3"/>
      <c r="E88" s="3"/>
      <c r="F88" s="3"/>
      <c r="G88" s="3"/>
      <c r="H88" s="3"/>
      <c r="I88" s="3"/>
      <c r="K88" s="3"/>
      <c r="L88" s="3"/>
      <c r="M88" s="3"/>
      <c r="N88" s="3"/>
      <c r="O88" s="3"/>
      <c r="P88" s="3"/>
      <c r="Q88" s="3"/>
      <c r="R88" s="3"/>
      <c r="V88" s="3"/>
      <c r="X88" s="3"/>
    </row>
    <row r="89" ht="12.75" customHeight="1">
      <c r="A89" s="15"/>
      <c r="B89" s="16"/>
      <c r="C89" s="3"/>
      <c r="D89" s="3"/>
      <c r="E89" s="3"/>
      <c r="F89" s="3"/>
      <c r="G89" s="3"/>
      <c r="H89" s="3"/>
      <c r="I89" s="3"/>
      <c r="K89" s="3"/>
      <c r="L89" s="3"/>
      <c r="M89" s="3"/>
      <c r="N89" s="3"/>
      <c r="O89" s="3"/>
      <c r="P89" s="3"/>
      <c r="Q89" s="3"/>
      <c r="R89" s="3"/>
      <c r="V89" s="3"/>
      <c r="X89" s="3"/>
    </row>
    <row r="90" ht="12.75" customHeight="1">
      <c r="A90" s="15"/>
      <c r="B90" s="16"/>
      <c r="C90" s="3"/>
      <c r="D90" s="3"/>
      <c r="E90" s="3"/>
      <c r="F90" s="3"/>
      <c r="G90" s="3"/>
      <c r="H90" s="3"/>
      <c r="I90" s="3"/>
      <c r="K90" s="3"/>
      <c r="L90" s="3"/>
      <c r="M90" s="3"/>
      <c r="N90" s="3"/>
      <c r="O90" s="3"/>
      <c r="P90" s="3"/>
      <c r="Q90" s="3"/>
      <c r="R90" s="3"/>
      <c r="V90" s="3"/>
      <c r="X90" s="3"/>
    </row>
    <row r="91" ht="12.75" customHeight="1">
      <c r="A91" s="15"/>
      <c r="B91" s="16"/>
      <c r="C91" s="3"/>
      <c r="D91" s="3"/>
      <c r="E91" s="3"/>
      <c r="F91" s="3"/>
      <c r="G91" s="3"/>
      <c r="H91" s="3"/>
      <c r="I91" s="3"/>
      <c r="K91" s="3"/>
      <c r="L91" s="3"/>
      <c r="M91" s="3"/>
      <c r="N91" s="3"/>
      <c r="O91" s="3"/>
      <c r="P91" s="3"/>
      <c r="Q91" s="3"/>
      <c r="R91" s="3"/>
      <c r="V91" s="3"/>
      <c r="X91" s="3"/>
    </row>
    <row r="92" ht="12.75" customHeight="1">
      <c r="A92" s="15"/>
      <c r="B92" s="16"/>
      <c r="C92" s="3"/>
      <c r="D92" s="3"/>
      <c r="E92" s="3"/>
      <c r="F92" s="3"/>
      <c r="G92" s="3"/>
      <c r="H92" s="3"/>
      <c r="I92" s="3"/>
      <c r="K92" s="3"/>
      <c r="L92" s="3"/>
      <c r="M92" s="3"/>
      <c r="N92" s="3"/>
      <c r="O92" s="3"/>
      <c r="P92" s="3"/>
      <c r="Q92" s="3"/>
      <c r="R92" s="3"/>
      <c r="V92" s="3"/>
      <c r="X92" s="3"/>
    </row>
    <row r="93" ht="12.75" customHeight="1">
      <c r="A93" s="15"/>
      <c r="B93" s="16"/>
      <c r="C93" s="3"/>
      <c r="D93" s="3"/>
      <c r="E93" s="3"/>
      <c r="F93" s="3"/>
      <c r="G93" s="3"/>
      <c r="H93" s="3"/>
      <c r="I93" s="3"/>
      <c r="K93" s="3"/>
      <c r="L93" s="3"/>
      <c r="M93" s="3"/>
      <c r="N93" s="3"/>
      <c r="O93" s="3"/>
      <c r="P93" s="3"/>
      <c r="Q93" s="3"/>
      <c r="R93" s="3"/>
      <c r="V93" s="3"/>
      <c r="X93" s="3"/>
    </row>
    <row r="94" ht="12.75" customHeight="1">
      <c r="A94" s="15"/>
      <c r="B94" s="16"/>
      <c r="C94" s="3"/>
      <c r="D94" s="3"/>
      <c r="E94" s="3"/>
      <c r="F94" s="3"/>
      <c r="G94" s="3"/>
      <c r="H94" s="3"/>
      <c r="I94" s="3"/>
      <c r="K94" s="3"/>
      <c r="L94" s="3"/>
      <c r="M94" s="3"/>
      <c r="N94" s="3"/>
      <c r="O94" s="3"/>
      <c r="P94" s="3"/>
      <c r="Q94" s="3"/>
      <c r="R94" s="3"/>
      <c r="V94" s="3"/>
      <c r="X94" s="3"/>
    </row>
    <row r="95" ht="12.75" customHeight="1">
      <c r="A95" s="15"/>
      <c r="B95" s="16"/>
      <c r="C95" s="3"/>
      <c r="D95" s="3"/>
      <c r="E95" s="3"/>
      <c r="F95" s="3"/>
      <c r="G95" s="3"/>
      <c r="H95" s="3"/>
      <c r="I95" s="3"/>
      <c r="K95" s="3"/>
      <c r="L95" s="3"/>
      <c r="M95" s="3"/>
      <c r="N95" s="3"/>
      <c r="O95" s="3"/>
      <c r="P95" s="3"/>
      <c r="Q95" s="3"/>
      <c r="R95" s="3"/>
      <c r="V95" s="3"/>
      <c r="X95" s="3"/>
    </row>
    <row r="96" ht="12.75" customHeight="1">
      <c r="A96" s="15"/>
      <c r="B96" s="16"/>
      <c r="C96" s="3"/>
      <c r="D96" s="3"/>
      <c r="E96" s="3"/>
      <c r="F96" s="3"/>
      <c r="G96" s="3"/>
      <c r="H96" s="3"/>
      <c r="I96" s="3"/>
      <c r="K96" s="3"/>
      <c r="L96" s="3"/>
      <c r="M96" s="3"/>
      <c r="N96" s="3"/>
      <c r="O96" s="3"/>
      <c r="P96" s="3"/>
      <c r="Q96" s="3"/>
      <c r="R96" s="3"/>
      <c r="V96" s="3"/>
      <c r="X96" s="3"/>
    </row>
    <row r="97" ht="12.75" customHeight="1">
      <c r="A97" s="15"/>
      <c r="B97" s="16"/>
      <c r="C97" s="3"/>
      <c r="D97" s="3"/>
      <c r="E97" s="3"/>
      <c r="F97" s="3"/>
      <c r="G97" s="3"/>
      <c r="H97" s="3"/>
      <c r="I97" s="3"/>
      <c r="K97" s="3"/>
      <c r="L97" s="3"/>
      <c r="M97" s="3"/>
      <c r="N97" s="3"/>
      <c r="O97" s="3"/>
      <c r="P97" s="3"/>
      <c r="Q97" s="3"/>
      <c r="R97" s="3"/>
      <c r="V97" s="3"/>
      <c r="X97" s="3"/>
    </row>
    <row r="98" ht="12.75" customHeight="1">
      <c r="A98" s="15"/>
      <c r="B98" s="16"/>
      <c r="C98" s="3"/>
      <c r="D98" s="3"/>
      <c r="E98" s="3"/>
      <c r="F98" s="3"/>
      <c r="G98" s="3"/>
      <c r="H98" s="3"/>
      <c r="I98" s="3"/>
      <c r="K98" s="3"/>
      <c r="L98" s="3"/>
      <c r="M98" s="3"/>
      <c r="N98" s="3"/>
      <c r="O98" s="3"/>
      <c r="P98" s="3"/>
      <c r="Q98" s="3"/>
      <c r="R98" s="3"/>
      <c r="V98" s="3"/>
      <c r="X98" s="3"/>
    </row>
    <row r="99" ht="12.75" customHeight="1">
      <c r="A99" s="15"/>
      <c r="B99" s="16"/>
      <c r="C99" s="3"/>
      <c r="D99" s="3"/>
      <c r="E99" s="3"/>
      <c r="F99" s="3"/>
      <c r="G99" s="3"/>
      <c r="H99" s="3"/>
      <c r="I99" s="3"/>
      <c r="K99" s="3"/>
      <c r="L99" s="3"/>
      <c r="M99" s="3"/>
      <c r="N99" s="3"/>
      <c r="O99" s="3"/>
      <c r="P99" s="3"/>
      <c r="Q99" s="3"/>
      <c r="R99" s="3"/>
      <c r="V99" s="3"/>
      <c r="X99" s="3"/>
    </row>
    <row r="100" ht="12.75" customHeight="1">
      <c r="A100" s="15"/>
      <c r="B100" s="16"/>
      <c r="C100" s="3"/>
      <c r="D100" s="3"/>
      <c r="E100" s="3"/>
      <c r="F100" s="3"/>
      <c r="G100" s="3"/>
      <c r="H100" s="3"/>
      <c r="I100" s="3"/>
      <c r="K100" s="3"/>
      <c r="L100" s="3"/>
      <c r="M100" s="3"/>
      <c r="N100" s="3"/>
      <c r="O100" s="3"/>
      <c r="P100" s="3"/>
      <c r="Q100" s="3"/>
      <c r="R100" s="3"/>
      <c r="V100" s="3"/>
      <c r="X100" s="3"/>
    </row>
    <row r="101" ht="12.75" customHeight="1">
      <c r="A101" s="15"/>
      <c r="B101" s="16"/>
      <c r="C101" s="3"/>
      <c r="D101" s="3"/>
      <c r="E101" s="3"/>
      <c r="F101" s="3"/>
      <c r="G101" s="3"/>
      <c r="H101" s="3"/>
      <c r="I101" s="3"/>
      <c r="K101" s="3"/>
      <c r="L101" s="3"/>
      <c r="M101" s="3"/>
      <c r="N101" s="3"/>
      <c r="O101" s="3"/>
      <c r="P101" s="3"/>
      <c r="Q101" s="3"/>
      <c r="R101" s="3"/>
      <c r="V101" s="3"/>
      <c r="X101" s="3"/>
    </row>
    <row r="102" ht="12.75" customHeight="1">
      <c r="A102" s="15"/>
      <c r="B102" s="16"/>
      <c r="C102" s="3"/>
      <c r="D102" s="3"/>
      <c r="E102" s="3"/>
      <c r="F102" s="3"/>
      <c r="G102" s="3"/>
      <c r="H102" s="3"/>
      <c r="I102" s="3"/>
      <c r="K102" s="3"/>
      <c r="L102" s="3"/>
      <c r="M102" s="3"/>
      <c r="N102" s="3"/>
      <c r="O102" s="3"/>
      <c r="P102" s="3"/>
      <c r="Q102" s="3"/>
      <c r="R102" s="3"/>
      <c r="V102" s="3"/>
      <c r="X102" s="3"/>
    </row>
    <row r="103" ht="12.75" customHeight="1">
      <c r="A103" s="15"/>
      <c r="B103" s="16"/>
      <c r="C103" s="3"/>
      <c r="D103" s="3"/>
      <c r="E103" s="3"/>
      <c r="F103" s="3"/>
      <c r="G103" s="3"/>
      <c r="H103" s="3"/>
      <c r="I103" s="3"/>
      <c r="K103" s="3"/>
      <c r="L103" s="3"/>
      <c r="M103" s="3"/>
      <c r="N103" s="3"/>
      <c r="O103" s="3"/>
      <c r="P103" s="3"/>
      <c r="Q103" s="3"/>
      <c r="R103" s="3"/>
      <c r="V103" s="3"/>
      <c r="X103" s="3"/>
    </row>
    <row r="104" ht="12.75" customHeight="1">
      <c r="A104" s="15"/>
      <c r="B104" s="16"/>
      <c r="C104" s="3"/>
      <c r="D104" s="3"/>
      <c r="E104" s="3"/>
      <c r="F104" s="3"/>
      <c r="G104" s="3"/>
      <c r="H104" s="3"/>
      <c r="I104" s="3"/>
      <c r="K104" s="3"/>
      <c r="L104" s="3"/>
      <c r="M104" s="3"/>
      <c r="N104" s="3"/>
      <c r="O104" s="3"/>
      <c r="P104" s="3"/>
      <c r="Q104" s="3"/>
      <c r="R104" s="3"/>
      <c r="V104" s="3"/>
      <c r="X104" s="3"/>
    </row>
    <row r="105" ht="12.75" customHeight="1">
      <c r="A105" s="15"/>
      <c r="B105" s="16"/>
      <c r="C105" s="3"/>
      <c r="D105" s="3"/>
      <c r="E105" s="3"/>
      <c r="F105" s="3"/>
      <c r="G105" s="3"/>
      <c r="H105" s="3"/>
      <c r="I105" s="3"/>
      <c r="K105" s="3"/>
      <c r="L105" s="3"/>
      <c r="M105" s="3"/>
      <c r="N105" s="3"/>
      <c r="O105" s="3"/>
      <c r="P105" s="3"/>
      <c r="Q105" s="3"/>
      <c r="R105" s="3"/>
      <c r="V105" s="3"/>
      <c r="X105" s="3"/>
    </row>
    <row r="106" ht="12.75" customHeight="1">
      <c r="A106" s="15"/>
      <c r="B106" s="16"/>
      <c r="C106" s="3"/>
      <c r="D106" s="3"/>
      <c r="E106" s="3"/>
      <c r="F106" s="3"/>
      <c r="G106" s="3"/>
      <c r="H106" s="3"/>
      <c r="I106" s="3"/>
      <c r="K106" s="3"/>
      <c r="L106" s="3"/>
      <c r="M106" s="3"/>
      <c r="N106" s="3"/>
      <c r="O106" s="3"/>
      <c r="P106" s="3"/>
      <c r="Q106" s="3"/>
      <c r="R106" s="3"/>
      <c r="V106" s="3"/>
      <c r="X106" s="3"/>
    </row>
    <row r="107" ht="12.75" customHeight="1">
      <c r="A107" s="15"/>
      <c r="B107" s="16"/>
      <c r="C107" s="3"/>
      <c r="D107" s="3"/>
      <c r="E107" s="3"/>
      <c r="F107" s="3"/>
      <c r="G107" s="3"/>
      <c r="H107" s="3"/>
      <c r="I107" s="3"/>
      <c r="K107" s="3"/>
      <c r="L107" s="3"/>
      <c r="M107" s="3"/>
      <c r="N107" s="3"/>
      <c r="O107" s="3"/>
      <c r="P107" s="3"/>
      <c r="Q107" s="3"/>
      <c r="R107" s="3"/>
      <c r="V107" s="3"/>
      <c r="X107" s="3"/>
    </row>
    <row r="108" ht="12.75" customHeight="1">
      <c r="A108" s="15"/>
      <c r="B108" s="16"/>
      <c r="C108" s="3"/>
      <c r="D108" s="3"/>
      <c r="E108" s="3"/>
      <c r="F108" s="3"/>
      <c r="G108" s="3"/>
      <c r="H108" s="3"/>
      <c r="I108" s="3"/>
      <c r="K108" s="3"/>
      <c r="L108" s="3"/>
      <c r="M108" s="3"/>
      <c r="N108" s="3"/>
      <c r="O108" s="3"/>
      <c r="P108" s="3"/>
      <c r="Q108" s="3"/>
      <c r="R108" s="3"/>
      <c r="V108" s="3"/>
      <c r="X108" s="3"/>
    </row>
    <row r="109" ht="12.75" customHeight="1">
      <c r="A109" s="15"/>
      <c r="B109" s="16"/>
      <c r="C109" s="3"/>
      <c r="D109" s="3"/>
      <c r="E109" s="3"/>
      <c r="F109" s="3"/>
      <c r="G109" s="3"/>
      <c r="H109" s="3"/>
      <c r="I109" s="3"/>
      <c r="K109" s="3"/>
      <c r="L109" s="3"/>
      <c r="M109" s="3"/>
      <c r="N109" s="3"/>
      <c r="O109" s="3"/>
      <c r="P109" s="3"/>
      <c r="Q109" s="3"/>
      <c r="R109" s="3"/>
      <c r="V109" s="3"/>
      <c r="X109" s="3"/>
    </row>
    <row r="110" ht="12.75" customHeight="1">
      <c r="A110" s="15"/>
      <c r="B110" s="16"/>
      <c r="C110" s="3"/>
      <c r="D110" s="3"/>
      <c r="E110" s="3"/>
      <c r="F110" s="3"/>
      <c r="G110" s="3"/>
      <c r="H110" s="3"/>
      <c r="I110" s="3"/>
      <c r="K110" s="3"/>
      <c r="L110" s="3"/>
      <c r="M110" s="3"/>
      <c r="N110" s="3"/>
      <c r="O110" s="3"/>
      <c r="P110" s="3"/>
      <c r="Q110" s="3"/>
      <c r="R110" s="3"/>
      <c r="V110" s="3"/>
      <c r="X110" s="3"/>
    </row>
    <row r="111" ht="12.75" customHeight="1">
      <c r="A111" s="15"/>
      <c r="B111" s="16"/>
      <c r="C111" s="3"/>
      <c r="D111" s="3"/>
      <c r="E111" s="3"/>
      <c r="F111" s="3"/>
      <c r="G111" s="3"/>
      <c r="H111" s="3"/>
      <c r="I111" s="3"/>
      <c r="K111" s="3"/>
      <c r="L111" s="3"/>
      <c r="M111" s="3"/>
      <c r="N111" s="3"/>
      <c r="O111" s="3"/>
      <c r="P111" s="3"/>
      <c r="Q111" s="3"/>
      <c r="R111" s="3"/>
      <c r="V111" s="3"/>
      <c r="X111" s="3"/>
    </row>
    <row r="112" ht="12.75" customHeight="1">
      <c r="A112" s="15"/>
      <c r="B112" s="16"/>
      <c r="C112" s="3"/>
      <c r="D112" s="3"/>
      <c r="E112" s="3"/>
      <c r="F112" s="3"/>
      <c r="G112" s="3"/>
      <c r="H112" s="3"/>
      <c r="I112" s="3"/>
      <c r="K112" s="3"/>
      <c r="L112" s="3"/>
      <c r="M112" s="3"/>
      <c r="N112" s="3"/>
      <c r="O112" s="3"/>
      <c r="P112" s="3"/>
      <c r="Q112" s="3"/>
      <c r="R112" s="3"/>
      <c r="V112" s="3"/>
      <c r="X112" s="3"/>
    </row>
    <row r="113" ht="12.75" customHeight="1">
      <c r="A113" s="15"/>
      <c r="B113" s="16"/>
      <c r="C113" s="3"/>
      <c r="D113" s="3"/>
      <c r="E113" s="3"/>
      <c r="F113" s="3"/>
      <c r="G113" s="3"/>
      <c r="H113" s="3"/>
      <c r="I113" s="3"/>
      <c r="K113" s="3"/>
      <c r="L113" s="3"/>
      <c r="M113" s="3"/>
      <c r="N113" s="3"/>
      <c r="O113" s="3"/>
      <c r="P113" s="3"/>
      <c r="Q113" s="3"/>
      <c r="R113" s="3"/>
      <c r="V113" s="3"/>
      <c r="X113" s="3"/>
    </row>
    <row r="114" ht="12.75" customHeight="1">
      <c r="A114" s="15"/>
      <c r="B114" s="16"/>
      <c r="C114" s="3"/>
      <c r="D114" s="3"/>
      <c r="E114" s="3"/>
      <c r="F114" s="3"/>
      <c r="G114" s="3"/>
      <c r="H114" s="3"/>
      <c r="I114" s="3"/>
      <c r="K114" s="3"/>
      <c r="L114" s="3"/>
      <c r="M114" s="3"/>
      <c r="N114" s="3"/>
      <c r="O114" s="3"/>
      <c r="P114" s="3"/>
      <c r="Q114" s="3"/>
      <c r="R114" s="3"/>
      <c r="V114" s="3"/>
      <c r="X114" s="3"/>
    </row>
    <row r="115" ht="12.75" customHeight="1">
      <c r="A115" s="15"/>
      <c r="B115" s="16"/>
      <c r="C115" s="3"/>
      <c r="D115" s="3"/>
      <c r="E115" s="3"/>
      <c r="F115" s="3"/>
      <c r="G115" s="3"/>
      <c r="H115" s="3"/>
      <c r="I115" s="3"/>
      <c r="K115" s="3"/>
      <c r="L115" s="3"/>
      <c r="M115" s="3"/>
      <c r="N115" s="3"/>
      <c r="O115" s="3"/>
      <c r="P115" s="3"/>
      <c r="Q115" s="3"/>
      <c r="R115" s="3"/>
      <c r="V115" s="3"/>
      <c r="X115" s="3"/>
    </row>
    <row r="116" ht="12.75" customHeight="1">
      <c r="A116" s="15"/>
      <c r="B116" s="16"/>
      <c r="C116" s="3"/>
      <c r="D116" s="3"/>
      <c r="E116" s="3"/>
      <c r="F116" s="3"/>
      <c r="G116" s="3"/>
      <c r="H116" s="3"/>
      <c r="I116" s="3"/>
      <c r="K116" s="3"/>
      <c r="L116" s="3"/>
      <c r="M116" s="3"/>
      <c r="N116" s="3"/>
      <c r="O116" s="3"/>
      <c r="P116" s="3"/>
      <c r="Q116" s="3"/>
      <c r="R116" s="3"/>
      <c r="V116" s="3"/>
      <c r="X116" s="3"/>
    </row>
    <row r="117" ht="12.75" customHeight="1">
      <c r="A117" s="15"/>
      <c r="B117" s="16"/>
      <c r="C117" s="3"/>
      <c r="D117" s="3"/>
      <c r="E117" s="3"/>
      <c r="F117" s="3"/>
      <c r="G117" s="3"/>
      <c r="H117" s="3"/>
      <c r="I117" s="3"/>
      <c r="K117" s="3"/>
      <c r="L117" s="3"/>
      <c r="M117" s="3"/>
      <c r="N117" s="3"/>
      <c r="O117" s="3"/>
      <c r="P117" s="3"/>
      <c r="Q117" s="3"/>
      <c r="R117" s="3"/>
      <c r="V117" s="3"/>
      <c r="X117" s="3"/>
    </row>
    <row r="118" ht="12.75" customHeight="1">
      <c r="A118" s="15"/>
      <c r="B118" s="16"/>
      <c r="C118" s="3"/>
      <c r="D118" s="3"/>
      <c r="E118" s="3"/>
      <c r="F118" s="3"/>
      <c r="G118" s="3"/>
      <c r="H118" s="3"/>
      <c r="I118" s="3"/>
      <c r="K118" s="3"/>
      <c r="L118" s="3"/>
      <c r="M118" s="3"/>
      <c r="N118" s="3"/>
      <c r="O118" s="3"/>
      <c r="P118" s="3"/>
      <c r="Q118" s="3"/>
      <c r="R118" s="3"/>
      <c r="V118" s="3"/>
      <c r="X118" s="3"/>
    </row>
    <row r="119" ht="12.75" customHeight="1">
      <c r="A119" s="15"/>
      <c r="B119" s="16"/>
      <c r="C119" s="3"/>
      <c r="D119" s="3"/>
      <c r="E119" s="3"/>
      <c r="F119" s="3"/>
      <c r="G119" s="3"/>
      <c r="H119" s="3"/>
      <c r="I119" s="3"/>
      <c r="K119" s="3"/>
      <c r="L119" s="3"/>
      <c r="M119" s="3"/>
      <c r="N119" s="3"/>
      <c r="O119" s="3"/>
      <c r="P119" s="3"/>
      <c r="Q119" s="3"/>
      <c r="R119" s="3"/>
      <c r="V119" s="3"/>
      <c r="X119" s="3"/>
    </row>
    <row r="120" ht="12.75" customHeight="1">
      <c r="A120" s="15"/>
      <c r="B120" s="16"/>
      <c r="C120" s="3"/>
      <c r="D120" s="3"/>
      <c r="E120" s="3"/>
      <c r="F120" s="3"/>
      <c r="G120" s="3"/>
      <c r="H120" s="3"/>
      <c r="I120" s="3"/>
      <c r="K120" s="3"/>
      <c r="L120" s="3"/>
      <c r="M120" s="3"/>
      <c r="N120" s="3"/>
      <c r="O120" s="3"/>
      <c r="P120" s="3"/>
      <c r="Q120" s="3"/>
      <c r="R120" s="3"/>
      <c r="V120" s="3"/>
      <c r="X120" s="3"/>
    </row>
    <row r="121" ht="12.75" customHeight="1">
      <c r="A121" s="15"/>
      <c r="B121" s="16"/>
      <c r="C121" s="3"/>
      <c r="D121" s="3"/>
      <c r="E121" s="3"/>
      <c r="F121" s="3"/>
      <c r="G121" s="3"/>
      <c r="H121" s="3"/>
      <c r="I121" s="3"/>
      <c r="K121" s="3"/>
      <c r="L121" s="3"/>
      <c r="M121" s="3"/>
      <c r="N121" s="3"/>
      <c r="O121" s="3"/>
      <c r="P121" s="3"/>
      <c r="Q121" s="3"/>
      <c r="R121" s="3"/>
      <c r="V121" s="3"/>
      <c r="X121" s="3"/>
    </row>
    <row r="122" ht="12.75" customHeight="1">
      <c r="A122" s="15"/>
      <c r="B122" s="16"/>
      <c r="C122" s="3"/>
      <c r="D122" s="3"/>
      <c r="E122" s="3"/>
      <c r="F122" s="3"/>
      <c r="G122" s="3"/>
      <c r="H122" s="3"/>
      <c r="I122" s="3"/>
      <c r="K122" s="3"/>
      <c r="L122" s="3"/>
      <c r="M122" s="3"/>
      <c r="N122" s="3"/>
      <c r="O122" s="3"/>
      <c r="P122" s="3"/>
      <c r="Q122" s="3"/>
      <c r="R122" s="3"/>
      <c r="V122" s="3"/>
      <c r="X122" s="3"/>
    </row>
    <row r="123" ht="12.75" customHeight="1">
      <c r="A123" s="15"/>
      <c r="B123" s="16"/>
      <c r="C123" s="3"/>
      <c r="D123" s="3"/>
      <c r="E123" s="3"/>
      <c r="F123" s="3"/>
      <c r="G123" s="3"/>
      <c r="H123" s="3"/>
      <c r="I123" s="3"/>
      <c r="K123" s="3"/>
      <c r="L123" s="3"/>
      <c r="M123" s="3"/>
      <c r="N123" s="3"/>
      <c r="O123" s="3"/>
      <c r="P123" s="3"/>
      <c r="Q123" s="3"/>
      <c r="R123" s="3"/>
      <c r="V123" s="3"/>
      <c r="X123" s="3"/>
    </row>
    <row r="124" ht="12.75" customHeight="1">
      <c r="A124" s="15"/>
      <c r="B124" s="16"/>
      <c r="C124" s="3"/>
      <c r="D124" s="3"/>
      <c r="E124" s="3"/>
      <c r="F124" s="3"/>
      <c r="G124" s="3"/>
      <c r="H124" s="3"/>
      <c r="I124" s="3"/>
      <c r="K124" s="3"/>
      <c r="L124" s="3"/>
      <c r="M124" s="3"/>
      <c r="N124" s="3"/>
      <c r="O124" s="3"/>
      <c r="P124" s="3"/>
      <c r="Q124" s="3"/>
      <c r="R124" s="3"/>
      <c r="V124" s="3"/>
      <c r="X124" s="3"/>
    </row>
    <row r="125" ht="12.75" customHeight="1">
      <c r="A125" s="15"/>
      <c r="B125" s="16"/>
      <c r="C125" s="3"/>
      <c r="D125" s="3"/>
      <c r="E125" s="3"/>
      <c r="F125" s="3"/>
      <c r="G125" s="3"/>
      <c r="H125" s="3"/>
      <c r="I125" s="3"/>
      <c r="K125" s="3"/>
      <c r="L125" s="3"/>
      <c r="M125" s="3"/>
      <c r="N125" s="3"/>
      <c r="O125" s="3"/>
      <c r="P125" s="3"/>
      <c r="Q125" s="3"/>
      <c r="R125" s="3"/>
      <c r="V125" s="3"/>
      <c r="X125" s="3"/>
    </row>
    <row r="126" ht="12.75" customHeight="1">
      <c r="A126" s="15"/>
      <c r="B126" s="16"/>
      <c r="C126" s="3"/>
      <c r="D126" s="3"/>
      <c r="E126" s="3"/>
      <c r="F126" s="3"/>
      <c r="G126" s="3"/>
      <c r="H126" s="3"/>
      <c r="I126" s="3"/>
      <c r="K126" s="3"/>
      <c r="L126" s="3"/>
      <c r="M126" s="3"/>
      <c r="N126" s="3"/>
      <c r="O126" s="3"/>
      <c r="P126" s="3"/>
      <c r="Q126" s="3"/>
      <c r="R126" s="3"/>
      <c r="V126" s="3"/>
      <c r="X126" s="3"/>
    </row>
    <row r="127" ht="12.75" customHeight="1">
      <c r="A127" s="15"/>
      <c r="B127" s="16"/>
      <c r="C127" s="3"/>
      <c r="D127" s="3"/>
      <c r="E127" s="3"/>
      <c r="F127" s="3"/>
      <c r="G127" s="3"/>
      <c r="H127" s="3"/>
      <c r="I127" s="3"/>
      <c r="K127" s="3"/>
      <c r="L127" s="3"/>
      <c r="M127" s="3"/>
      <c r="N127" s="3"/>
      <c r="O127" s="3"/>
      <c r="P127" s="3"/>
      <c r="Q127" s="3"/>
      <c r="R127" s="3"/>
      <c r="V127" s="3"/>
      <c r="X127" s="3"/>
    </row>
    <row r="128" ht="12.75" customHeight="1">
      <c r="A128" s="15"/>
      <c r="B128" s="16"/>
      <c r="C128" s="3"/>
      <c r="D128" s="3"/>
      <c r="E128" s="3"/>
      <c r="F128" s="3"/>
      <c r="G128" s="3"/>
      <c r="H128" s="3"/>
      <c r="I128" s="3"/>
      <c r="K128" s="3"/>
      <c r="L128" s="3"/>
      <c r="M128" s="3"/>
      <c r="N128" s="3"/>
      <c r="O128" s="3"/>
      <c r="P128" s="3"/>
      <c r="Q128" s="3"/>
      <c r="R128" s="3"/>
      <c r="V128" s="3"/>
      <c r="X128" s="3"/>
    </row>
    <row r="129" ht="12.75" customHeight="1">
      <c r="A129" s="15"/>
      <c r="B129" s="16"/>
      <c r="C129" s="3"/>
      <c r="D129" s="3"/>
      <c r="E129" s="3"/>
      <c r="F129" s="3"/>
      <c r="G129" s="3"/>
      <c r="H129" s="3"/>
      <c r="I129" s="3"/>
      <c r="K129" s="3"/>
      <c r="L129" s="3"/>
      <c r="M129" s="3"/>
      <c r="N129" s="3"/>
      <c r="O129" s="3"/>
      <c r="P129" s="3"/>
      <c r="Q129" s="3"/>
      <c r="R129" s="3"/>
      <c r="V129" s="3"/>
      <c r="X129" s="3"/>
    </row>
    <row r="130" ht="12.75" customHeight="1">
      <c r="A130" s="15"/>
      <c r="B130" s="16"/>
      <c r="C130" s="3"/>
      <c r="D130" s="3"/>
      <c r="E130" s="3"/>
      <c r="F130" s="3"/>
      <c r="G130" s="3"/>
      <c r="H130" s="3"/>
      <c r="I130" s="3"/>
      <c r="K130" s="3"/>
      <c r="L130" s="3"/>
      <c r="M130" s="3"/>
      <c r="N130" s="3"/>
      <c r="O130" s="3"/>
      <c r="P130" s="3"/>
      <c r="Q130" s="3"/>
      <c r="R130" s="3"/>
      <c r="V130" s="3"/>
      <c r="X130" s="3"/>
    </row>
    <row r="131" ht="12.75" customHeight="1">
      <c r="A131" s="15"/>
      <c r="B131" s="16"/>
      <c r="C131" s="3"/>
      <c r="D131" s="3"/>
      <c r="E131" s="3"/>
      <c r="F131" s="3"/>
      <c r="G131" s="3"/>
      <c r="H131" s="3"/>
      <c r="I131" s="3"/>
      <c r="K131" s="3"/>
      <c r="L131" s="3"/>
      <c r="M131" s="3"/>
      <c r="N131" s="3"/>
      <c r="O131" s="3"/>
      <c r="P131" s="3"/>
      <c r="Q131" s="3"/>
      <c r="R131" s="3"/>
      <c r="V131" s="3"/>
      <c r="X131" s="3"/>
    </row>
    <row r="132" ht="12.75" customHeight="1">
      <c r="A132" s="15"/>
      <c r="B132" s="16"/>
      <c r="C132" s="3"/>
      <c r="D132" s="3"/>
      <c r="E132" s="3"/>
      <c r="F132" s="3"/>
      <c r="G132" s="3"/>
      <c r="H132" s="3"/>
      <c r="I132" s="3"/>
      <c r="K132" s="3"/>
      <c r="L132" s="3"/>
      <c r="M132" s="3"/>
      <c r="N132" s="3"/>
      <c r="O132" s="3"/>
      <c r="P132" s="3"/>
      <c r="Q132" s="3"/>
      <c r="R132" s="3"/>
      <c r="V132" s="3"/>
      <c r="X132" s="3"/>
    </row>
    <row r="133" ht="12.75" customHeight="1">
      <c r="A133" s="15"/>
      <c r="B133" s="16"/>
      <c r="C133" s="3"/>
      <c r="D133" s="3"/>
      <c r="E133" s="3"/>
      <c r="F133" s="3"/>
      <c r="G133" s="3"/>
      <c r="H133" s="3"/>
      <c r="I133" s="3"/>
      <c r="K133" s="3"/>
      <c r="L133" s="3"/>
      <c r="M133" s="3"/>
      <c r="N133" s="3"/>
      <c r="O133" s="3"/>
      <c r="P133" s="3"/>
      <c r="Q133" s="3"/>
      <c r="R133" s="3"/>
      <c r="V133" s="3"/>
      <c r="X133" s="3"/>
    </row>
    <row r="134" ht="12.75" customHeight="1">
      <c r="A134" s="15"/>
      <c r="B134" s="16"/>
      <c r="C134" s="3"/>
      <c r="D134" s="3"/>
      <c r="E134" s="3"/>
      <c r="F134" s="3"/>
      <c r="G134" s="3"/>
      <c r="H134" s="3"/>
      <c r="I134" s="3"/>
      <c r="K134" s="3"/>
      <c r="L134" s="3"/>
      <c r="M134" s="3"/>
      <c r="N134" s="3"/>
      <c r="O134" s="3"/>
      <c r="P134" s="3"/>
      <c r="Q134" s="3"/>
      <c r="R134" s="3"/>
      <c r="V134" s="3"/>
      <c r="X134" s="3"/>
    </row>
    <row r="135" ht="12.75" customHeight="1">
      <c r="A135" s="15"/>
      <c r="B135" s="16"/>
      <c r="C135" s="3"/>
      <c r="D135" s="3"/>
      <c r="E135" s="3"/>
      <c r="F135" s="3"/>
      <c r="G135" s="3"/>
      <c r="H135" s="3"/>
      <c r="I135" s="3"/>
      <c r="K135" s="3"/>
      <c r="L135" s="3"/>
      <c r="M135" s="3"/>
      <c r="N135" s="3"/>
      <c r="O135" s="3"/>
      <c r="P135" s="3"/>
      <c r="Q135" s="3"/>
      <c r="R135" s="3"/>
      <c r="V135" s="3"/>
      <c r="X135" s="3"/>
    </row>
    <row r="136" ht="12.75" customHeight="1">
      <c r="A136" s="15"/>
      <c r="B136" s="16"/>
      <c r="C136" s="3"/>
      <c r="D136" s="3"/>
      <c r="E136" s="3"/>
      <c r="F136" s="3"/>
      <c r="G136" s="3"/>
      <c r="H136" s="3"/>
      <c r="I136" s="3"/>
      <c r="K136" s="3"/>
      <c r="L136" s="3"/>
      <c r="M136" s="3"/>
      <c r="N136" s="3"/>
      <c r="O136" s="3"/>
      <c r="P136" s="3"/>
      <c r="Q136" s="3"/>
      <c r="R136" s="3"/>
      <c r="V136" s="3"/>
      <c r="X136" s="3"/>
    </row>
    <row r="137" ht="12.75" customHeight="1">
      <c r="A137" s="15"/>
      <c r="B137" s="16"/>
      <c r="C137" s="3"/>
      <c r="D137" s="3"/>
      <c r="E137" s="3"/>
      <c r="F137" s="3"/>
      <c r="G137" s="3"/>
      <c r="H137" s="3"/>
      <c r="I137" s="3"/>
      <c r="K137" s="3"/>
      <c r="L137" s="3"/>
      <c r="M137" s="3"/>
      <c r="N137" s="3"/>
      <c r="O137" s="3"/>
      <c r="P137" s="3"/>
      <c r="Q137" s="3"/>
      <c r="R137" s="3"/>
      <c r="V137" s="3"/>
      <c r="X137" s="3"/>
    </row>
    <row r="138" ht="12.75" customHeight="1">
      <c r="A138" s="15"/>
      <c r="B138" s="16"/>
      <c r="C138" s="3"/>
      <c r="D138" s="3"/>
      <c r="E138" s="3"/>
      <c r="F138" s="3"/>
      <c r="G138" s="3"/>
      <c r="H138" s="3"/>
      <c r="I138" s="3"/>
      <c r="K138" s="3"/>
      <c r="L138" s="3"/>
      <c r="M138" s="3"/>
      <c r="N138" s="3"/>
      <c r="O138" s="3"/>
      <c r="P138" s="3"/>
      <c r="Q138" s="3"/>
      <c r="R138" s="3"/>
      <c r="V138" s="3"/>
      <c r="X138" s="3"/>
    </row>
    <row r="139" ht="12.75" customHeight="1">
      <c r="A139" s="15"/>
      <c r="B139" s="16"/>
      <c r="C139" s="3"/>
      <c r="D139" s="3"/>
      <c r="E139" s="3"/>
      <c r="F139" s="3"/>
      <c r="G139" s="3"/>
      <c r="H139" s="3"/>
      <c r="I139" s="3"/>
      <c r="K139" s="3"/>
      <c r="L139" s="3"/>
      <c r="M139" s="3"/>
      <c r="N139" s="3"/>
      <c r="O139" s="3"/>
      <c r="P139" s="3"/>
      <c r="Q139" s="3"/>
      <c r="R139" s="3"/>
      <c r="V139" s="3"/>
      <c r="X139" s="3"/>
    </row>
    <row r="140" ht="12.75" customHeight="1">
      <c r="A140" s="15"/>
      <c r="B140" s="16"/>
      <c r="C140" s="3"/>
      <c r="D140" s="3"/>
      <c r="E140" s="3"/>
      <c r="F140" s="3"/>
      <c r="G140" s="3"/>
      <c r="H140" s="3"/>
      <c r="I140" s="3"/>
      <c r="K140" s="3"/>
      <c r="L140" s="3"/>
      <c r="M140" s="3"/>
      <c r="N140" s="3"/>
      <c r="O140" s="3"/>
      <c r="P140" s="3"/>
      <c r="Q140" s="3"/>
      <c r="R140" s="3"/>
      <c r="V140" s="3"/>
      <c r="X140" s="3"/>
    </row>
    <row r="141" ht="12.75" customHeight="1">
      <c r="A141" s="15"/>
      <c r="B141" s="16"/>
      <c r="C141" s="3"/>
      <c r="D141" s="3"/>
      <c r="E141" s="3"/>
      <c r="F141" s="3"/>
      <c r="G141" s="3"/>
      <c r="H141" s="3"/>
      <c r="I141" s="3"/>
      <c r="K141" s="3"/>
      <c r="L141" s="3"/>
      <c r="M141" s="3"/>
      <c r="N141" s="3"/>
      <c r="O141" s="3"/>
      <c r="P141" s="3"/>
      <c r="Q141" s="3"/>
      <c r="R141" s="3"/>
      <c r="V141" s="3"/>
      <c r="X141" s="3"/>
    </row>
    <row r="142" ht="12.75" customHeight="1">
      <c r="A142" s="15"/>
      <c r="B142" s="16"/>
      <c r="C142" s="3"/>
      <c r="D142" s="3"/>
      <c r="E142" s="3"/>
      <c r="F142" s="3"/>
      <c r="G142" s="3"/>
      <c r="H142" s="3"/>
      <c r="I142" s="3"/>
      <c r="K142" s="3"/>
      <c r="L142" s="3"/>
      <c r="M142" s="3"/>
      <c r="N142" s="3"/>
      <c r="O142" s="3"/>
      <c r="P142" s="3"/>
      <c r="Q142" s="3"/>
      <c r="R142" s="3"/>
      <c r="V142" s="3"/>
      <c r="X142" s="3"/>
    </row>
    <row r="143" ht="12.75" customHeight="1">
      <c r="A143" s="15"/>
      <c r="B143" s="16"/>
      <c r="C143" s="3"/>
      <c r="D143" s="3"/>
      <c r="E143" s="3"/>
      <c r="F143" s="3"/>
      <c r="G143" s="3"/>
      <c r="H143" s="3"/>
      <c r="I143" s="3"/>
      <c r="K143" s="3"/>
      <c r="L143" s="3"/>
      <c r="M143" s="3"/>
      <c r="N143" s="3"/>
      <c r="O143" s="3"/>
      <c r="P143" s="3"/>
      <c r="Q143" s="3"/>
      <c r="R143" s="3"/>
      <c r="V143" s="3"/>
      <c r="X143" s="3"/>
    </row>
    <row r="144" ht="12.75" customHeight="1">
      <c r="A144" s="15"/>
      <c r="B144" s="16"/>
      <c r="C144" s="3"/>
      <c r="D144" s="3"/>
      <c r="E144" s="3"/>
      <c r="F144" s="3"/>
      <c r="G144" s="3"/>
      <c r="H144" s="3"/>
      <c r="I144" s="3"/>
      <c r="K144" s="3"/>
      <c r="L144" s="3"/>
      <c r="M144" s="3"/>
      <c r="N144" s="3"/>
      <c r="O144" s="3"/>
      <c r="P144" s="3"/>
      <c r="Q144" s="3"/>
      <c r="R144" s="3"/>
      <c r="V144" s="3"/>
      <c r="X144" s="3"/>
    </row>
    <row r="145" ht="12.75" customHeight="1">
      <c r="A145" s="15"/>
      <c r="B145" s="16"/>
      <c r="C145" s="3"/>
      <c r="D145" s="3"/>
      <c r="E145" s="3"/>
      <c r="F145" s="3"/>
      <c r="G145" s="3"/>
      <c r="H145" s="3"/>
      <c r="I145" s="3"/>
      <c r="K145" s="3"/>
      <c r="L145" s="3"/>
      <c r="M145" s="3"/>
      <c r="N145" s="3"/>
      <c r="O145" s="3"/>
      <c r="P145" s="3"/>
      <c r="Q145" s="3"/>
      <c r="R145" s="3"/>
      <c r="V145" s="3"/>
      <c r="X145" s="3"/>
    </row>
    <row r="146" ht="12.75" customHeight="1">
      <c r="A146" s="15"/>
      <c r="B146" s="16"/>
      <c r="C146" s="3"/>
      <c r="D146" s="3"/>
      <c r="E146" s="3"/>
      <c r="F146" s="3"/>
      <c r="G146" s="3"/>
      <c r="H146" s="3"/>
      <c r="I146" s="3"/>
      <c r="K146" s="3"/>
      <c r="L146" s="3"/>
      <c r="M146" s="3"/>
      <c r="N146" s="3"/>
      <c r="O146" s="3"/>
      <c r="P146" s="3"/>
      <c r="Q146" s="3"/>
      <c r="R146" s="3"/>
      <c r="V146" s="3"/>
      <c r="X146" s="3"/>
    </row>
    <row r="147" ht="12.75" customHeight="1">
      <c r="A147" s="15"/>
      <c r="B147" s="16"/>
      <c r="C147" s="3"/>
      <c r="D147" s="3"/>
      <c r="E147" s="3"/>
      <c r="F147" s="3"/>
      <c r="G147" s="3"/>
      <c r="H147" s="3"/>
      <c r="I147" s="3"/>
      <c r="K147" s="3"/>
      <c r="L147" s="3"/>
      <c r="M147" s="3"/>
      <c r="N147" s="3"/>
      <c r="O147" s="3"/>
      <c r="P147" s="3"/>
      <c r="Q147" s="3"/>
      <c r="R147" s="3"/>
      <c r="V147" s="3"/>
      <c r="X147" s="3"/>
    </row>
    <row r="148" ht="12.75" customHeight="1">
      <c r="A148" s="15"/>
      <c r="B148" s="16"/>
      <c r="C148" s="3"/>
      <c r="D148" s="3"/>
      <c r="E148" s="3"/>
      <c r="F148" s="3"/>
      <c r="G148" s="3"/>
      <c r="H148" s="3"/>
      <c r="I148" s="3"/>
      <c r="K148" s="3"/>
      <c r="L148" s="3"/>
      <c r="M148" s="3"/>
      <c r="N148" s="3"/>
      <c r="O148" s="3"/>
      <c r="P148" s="3"/>
      <c r="Q148" s="3"/>
      <c r="R148" s="3"/>
      <c r="V148" s="3"/>
      <c r="X148" s="3"/>
    </row>
    <row r="149" ht="12.75" customHeight="1">
      <c r="A149" s="15"/>
      <c r="B149" s="16"/>
      <c r="C149" s="3"/>
      <c r="D149" s="3"/>
      <c r="E149" s="3"/>
      <c r="F149" s="3"/>
      <c r="G149" s="3"/>
      <c r="H149" s="3"/>
      <c r="I149" s="3"/>
      <c r="K149" s="3"/>
      <c r="L149" s="3"/>
      <c r="M149" s="3"/>
      <c r="N149" s="3"/>
      <c r="O149" s="3"/>
      <c r="P149" s="3"/>
      <c r="Q149" s="3"/>
      <c r="R149" s="3"/>
      <c r="V149" s="3"/>
      <c r="X149" s="3"/>
    </row>
    <row r="150" ht="12.75" customHeight="1">
      <c r="A150" s="15"/>
      <c r="B150" s="16"/>
      <c r="C150" s="3"/>
      <c r="D150" s="3"/>
      <c r="E150" s="3"/>
      <c r="F150" s="3"/>
      <c r="G150" s="3"/>
      <c r="H150" s="3"/>
      <c r="I150" s="3"/>
      <c r="K150" s="3"/>
      <c r="L150" s="3"/>
      <c r="M150" s="3"/>
      <c r="N150" s="3"/>
      <c r="O150" s="3"/>
      <c r="P150" s="3"/>
      <c r="Q150" s="3"/>
      <c r="R150" s="3"/>
      <c r="V150" s="3"/>
      <c r="X150" s="3"/>
    </row>
    <row r="151" ht="12.75" customHeight="1">
      <c r="A151" s="15"/>
      <c r="B151" s="16"/>
      <c r="C151" s="3"/>
      <c r="D151" s="3"/>
      <c r="E151" s="3"/>
      <c r="F151" s="3"/>
      <c r="G151" s="3"/>
      <c r="H151" s="3"/>
      <c r="I151" s="3"/>
      <c r="K151" s="3"/>
      <c r="L151" s="3"/>
      <c r="M151" s="3"/>
      <c r="N151" s="3"/>
      <c r="O151" s="3"/>
      <c r="P151" s="3"/>
      <c r="Q151" s="3"/>
      <c r="R151" s="3"/>
      <c r="V151" s="3"/>
      <c r="X151" s="3"/>
    </row>
    <row r="152" ht="12.75" customHeight="1">
      <c r="A152" s="15"/>
      <c r="B152" s="16"/>
      <c r="C152" s="3"/>
      <c r="D152" s="3"/>
      <c r="E152" s="3"/>
      <c r="F152" s="3"/>
      <c r="G152" s="3"/>
      <c r="H152" s="3"/>
      <c r="I152" s="3"/>
      <c r="K152" s="3"/>
      <c r="L152" s="3"/>
      <c r="M152" s="3"/>
      <c r="N152" s="3"/>
      <c r="O152" s="3"/>
      <c r="P152" s="3"/>
      <c r="Q152" s="3"/>
      <c r="R152" s="3"/>
      <c r="V152" s="3"/>
      <c r="X152" s="3"/>
    </row>
    <row r="153" ht="12.75" customHeight="1">
      <c r="A153" s="15"/>
      <c r="B153" s="16"/>
      <c r="C153" s="3"/>
      <c r="D153" s="3"/>
      <c r="E153" s="3"/>
      <c r="F153" s="3"/>
      <c r="G153" s="3"/>
      <c r="H153" s="3"/>
      <c r="I153" s="3"/>
      <c r="K153" s="3"/>
      <c r="L153" s="3"/>
      <c r="M153" s="3"/>
      <c r="N153" s="3"/>
      <c r="O153" s="3"/>
      <c r="P153" s="3"/>
      <c r="Q153" s="3"/>
      <c r="R153" s="3"/>
      <c r="V153" s="3"/>
      <c r="X153" s="3"/>
    </row>
    <row r="154" ht="12.75" customHeight="1">
      <c r="A154" s="15"/>
      <c r="B154" s="16"/>
      <c r="C154" s="3"/>
      <c r="D154" s="3"/>
      <c r="E154" s="3"/>
      <c r="F154" s="3"/>
      <c r="G154" s="3"/>
      <c r="H154" s="3"/>
      <c r="I154" s="3"/>
      <c r="K154" s="3"/>
      <c r="L154" s="3"/>
      <c r="M154" s="3"/>
      <c r="N154" s="3"/>
      <c r="O154" s="3"/>
      <c r="P154" s="3"/>
      <c r="Q154" s="3"/>
      <c r="R154" s="3"/>
      <c r="V154" s="3"/>
      <c r="X154" s="3"/>
    </row>
    <row r="155" ht="12.75" customHeight="1">
      <c r="A155" s="15"/>
      <c r="B155" s="16"/>
      <c r="C155" s="3"/>
      <c r="D155" s="3"/>
      <c r="E155" s="3"/>
      <c r="F155" s="3"/>
      <c r="G155" s="3"/>
      <c r="H155" s="3"/>
      <c r="I155" s="3"/>
      <c r="K155" s="3"/>
      <c r="L155" s="3"/>
      <c r="M155" s="3"/>
      <c r="N155" s="3"/>
      <c r="O155" s="3"/>
      <c r="P155" s="3"/>
      <c r="Q155" s="3"/>
      <c r="R155" s="3"/>
      <c r="V155" s="3"/>
      <c r="X155" s="3"/>
    </row>
    <row r="156" ht="12.75" customHeight="1">
      <c r="A156" s="15"/>
      <c r="B156" s="16"/>
      <c r="C156" s="3"/>
      <c r="D156" s="3"/>
      <c r="E156" s="3"/>
      <c r="F156" s="3"/>
      <c r="G156" s="3"/>
      <c r="H156" s="3"/>
      <c r="I156" s="3"/>
      <c r="K156" s="3"/>
      <c r="L156" s="3"/>
      <c r="M156" s="3"/>
      <c r="N156" s="3"/>
      <c r="O156" s="3"/>
      <c r="P156" s="3"/>
      <c r="Q156" s="3"/>
      <c r="R156" s="3"/>
      <c r="V156" s="3"/>
      <c r="X156" s="3"/>
    </row>
    <row r="157" ht="12.75" customHeight="1">
      <c r="A157" s="15"/>
      <c r="B157" s="16"/>
      <c r="C157" s="3"/>
      <c r="D157" s="3"/>
      <c r="E157" s="3"/>
      <c r="F157" s="3"/>
      <c r="G157" s="3"/>
      <c r="H157" s="3"/>
      <c r="I157" s="3"/>
      <c r="K157" s="3"/>
      <c r="L157" s="3"/>
      <c r="M157" s="3"/>
      <c r="N157" s="3"/>
      <c r="O157" s="3"/>
      <c r="P157" s="3"/>
      <c r="Q157" s="3"/>
      <c r="R157" s="3"/>
      <c r="V157" s="3"/>
      <c r="X157" s="3"/>
    </row>
    <row r="158" ht="12.75" customHeight="1">
      <c r="A158" s="15"/>
      <c r="B158" s="16"/>
      <c r="C158" s="3"/>
      <c r="D158" s="3"/>
      <c r="E158" s="3"/>
      <c r="F158" s="3"/>
      <c r="G158" s="3"/>
      <c r="H158" s="3"/>
      <c r="I158" s="3"/>
      <c r="K158" s="3"/>
      <c r="L158" s="3"/>
      <c r="M158" s="3"/>
      <c r="N158" s="3"/>
      <c r="O158" s="3"/>
      <c r="P158" s="3"/>
      <c r="Q158" s="3"/>
      <c r="R158" s="3"/>
      <c r="V158" s="3"/>
      <c r="X158" s="3"/>
    </row>
    <row r="159" ht="12.75" customHeight="1">
      <c r="A159" s="15"/>
      <c r="B159" s="16"/>
      <c r="C159" s="3"/>
      <c r="D159" s="3"/>
      <c r="E159" s="3"/>
      <c r="F159" s="3"/>
      <c r="G159" s="3"/>
      <c r="H159" s="3"/>
      <c r="I159" s="3"/>
      <c r="K159" s="3"/>
      <c r="L159" s="3"/>
      <c r="M159" s="3"/>
      <c r="N159" s="3"/>
      <c r="O159" s="3"/>
      <c r="P159" s="3"/>
      <c r="Q159" s="3"/>
      <c r="R159" s="3"/>
      <c r="V159" s="3"/>
      <c r="X159" s="3"/>
    </row>
    <row r="160" ht="12.75" customHeight="1">
      <c r="A160" s="15"/>
      <c r="B160" s="16"/>
      <c r="C160" s="3"/>
      <c r="D160" s="3"/>
      <c r="E160" s="3"/>
      <c r="F160" s="3"/>
      <c r="G160" s="3"/>
      <c r="H160" s="3"/>
      <c r="I160" s="3"/>
      <c r="K160" s="3"/>
      <c r="L160" s="3"/>
      <c r="M160" s="3"/>
      <c r="N160" s="3"/>
      <c r="O160" s="3"/>
      <c r="P160" s="3"/>
      <c r="Q160" s="3"/>
      <c r="R160" s="3"/>
      <c r="V160" s="3"/>
      <c r="X160" s="3"/>
    </row>
    <row r="161" ht="12.75" customHeight="1">
      <c r="A161" s="15"/>
      <c r="B161" s="16"/>
      <c r="C161" s="3"/>
      <c r="D161" s="3"/>
      <c r="E161" s="3"/>
      <c r="F161" s="3"/>
      <c r="G161" s="3"/>
      <c r="H161" s="3"/>
      <c r="I161" s="3"/>
      <c r="K161" s="3"/>
      <c r="L161" s="3"/>
      <c r="M161" s="3"/>
      <c r="N161" s="3"/>
      <c r="O161" s="3"/>
      <c r="P161" s="3"/>
      <c r="Q161" s="3"/>
      <c r="R161" s="3"/>
      <c r="V161" s="3"/>
      <c r="X161" s="3"/>
    </row>
    <row r="162" ht="12.75" customHeight="1">
      <c r="A162" s="15"/>
      <c r="B162" s="16"/>
      <c r="C162" s="3"/>
      <c r="D162" s="3"/>
      <c r="E162" s="3"/>
      <c r="F162" s="3"/>
      <c r="G162" s="3"/>
      <c r="H162" s="3"/>
      <c r="I162" s="3"/>
      <c r="K162" s="3"/>
      <c r="L162" s="3"/>
      <c r="M162" s="3"/>
      <c r="N162" s="3"/>
      <c r="O162" s="3"/>
      <c r="P162" s="3"/>
      <c r="Q162" s="3"/>
      <c r="R162" s="3"/>
      <c r="V162" s="3"/>
      <c r="X162" s="3"/>
    </row>
    <row r="163" ht="12.75" customHeight="1">
      <c r="A163" s="15"/>
      <c r="B163" s="16"/>
      <c r="C163" s="3"/>
      <c r="D163" s="3"/>
      <c r="E163" s="3"/>
      <c r="F163" s="3"/>
      <c r="G163" s="3"/>
      <c r="H163" s="3"/>
      <c r="I163" s="3"/>
      <c r="K163" s="3"/>
      <c r="L163" s="3"/>
      <c r="M163" s="3"/>
      <c r="N163" s="3"/>
      <c r="O163" s="3"/>
      <c r="P163" s="3"/>
      <c r="Q163" s="3"/>
      <c r="R163" s="3"/>
      <c r="V163" s="3"/>
      <c r="X163" s="3"/>
    </row>
    <row r="164" ht="12.75" customHeight="1">
      <c r="A164" s="15"/>
      <c r="B164" s="16"/>
      <c r="C164" s="3"/>
      <c r="D164" s="3"/>
      <c r="E164" s="3"/>
      <c r="F164" s="3"/>
      <c r="G164" s="3"/>
      <c r="H164" s="3"/>
      <c r="I164" s="3"/>
      <c r="K164" s="3"/>
      <c r="L164" s="3"/>
      <c r="M164" s="3"/>
      <c r="N164" s="3"/>
      <c r="O164" s="3"/>
      <c r="P164" s="3"/>
      <c r="Q164" s="3"/>
      <c r="R164" s="3"/>
      <c r="V164" s="3"/>
      <c r="X164" s="3"/>
    </row>
    <row r="165" ht="12.75" customHeight="1">
      <c r="A165" s="15"/>
      <c r="B165" s="16"/>
      <c r="C165" s="3"/>
      <c r="D165" s="3"/>
      <c r="E165" s="3"/>
      <c r="F165" s="3"/>
      <c r="G165" s="3"/>
      <c r="H165" s="3"/>
      <c r="I165" s="3"/>
      <c r="K165" s="3"/>
      <c r="L165" s="3"/>
      <c r="M165" s="3"/>
      <c r="N165" s="3"/>
      <c r="O165" s="3"/>
      <c r="P165" s="3"/>
      <c r="Q165" s="3"/>
      <c r="R165" s="3"/>
      <c r="V165" s="3"/>
      <c r="X165" s="3"/>
    </row>
    <row r="166" ht="12.75" customHeight="1">
      <c r="A166" s="15"/>
      <c r="B166" s="16"/>
      <c r="C166" s="3"/>
      <c r="D166" s="3"/>
      <c r="E166" s="3"/>
      <c r="F166" s="3"/>
      <c r="G166" s="3"/>
      <c r="H166" s="3"/>
      <c r="I166" s="3"/>
      <c r="K166" s="3"/>
      <c r="L166" s="3"/>
      <c r="M166" s="3"/>
      <c r="N166" s="3"/>
      <c r="O166" s="3"/>
      <c r="P166" s="3"/>
      <c r="Q166" s="3"/>
      <c r="R166" s="3"/>
      <c r="V166" s="3"/>
      <c r="X166" s="3"/>
    </row>
    <row r="167" ht="12.75" customHeight="1">
      <c r="A167" s="15"/>
      <c r="B167" s="16"/>
      <c r="C167" s="3"/>
      <c r="D167" s="3"/>
      <c r="E167" s="3"/>
      <c r="F167" s="3"/>
      <c r="G167" s="3"/>
      <c r="H167" s="3"/>
      <c r="I167" s="3"/>
      <c r="K167" s="3"/>
      <c r="L167" s="3"/>
      <c r="M167" s="3"/>
      <c r="N167" s="3"/>
      <c r="O167" s="3"/>
      <c r="P167" s="3"/>
      <c r="Q167" s="3"/>
      <c r="R167" s="3"/>
      <c r="V167" s="3"/>
      <c r="X167" s="3"/>
    </row>
    <row r="168" ht="12.75" customHeight="1">
      <c r="A168" s="15"/>
      <c r="B168" s="16"/>
      <c r="C168" s="3"/>
      <c r="D168" s="3"/>
      <c r="E168" s="3"/>
      <c r="F168" s="3"/>
      <c r="G168" s="3"/>
      <c r="H168" s="3"/>
      <c r="I168" s="3"/>
      <c r="K168" s="3"/>
      <c r="L168" s="3"/>
      <c r="M168" s="3"/>
      <c r="N168" s="3"/>
      <c r="O168" s="3"/>
      <c r="P168" s="3"/>
      <c r="Q168" s="3"/>
      <c r="R168" s="3"/>
      <c r="V168" s="3"/>
      <c r="X168" s="3"/>
    </row>
    <row r="169" ht="12.75" customHeight="1">
      <c r="A169" s="15"/>
      <c r="B169" s="16"/>
      <c r="C169" s="3"/>
      <c r="D169" s="3"/>
      <c r="E169" s="3"/>
      <c r="F169" s="3"/>
      <c r="G169" s="3"/>
      <c r="H169" s="3"/>
      <c r="I169" s="3"/>
      <c r="K169" s="3"/>
      <c r="L169" s="3"/>
      <c r="M169" s="3"/>
      <c r="N169" s="3"/>
      <c r="O169" s="3"/>
      <c r="P169" s="3"/>
      <c r="Q169" s="3"/>
      <c r="R169" s="3"/>
      <c r="V169" s="3"/>
      <c r="X169" s="3"/>
    </row>
    <row r="170" ht="12.75" customHeight="1">
      <c r="A170" s="15"/>
      <c r="B170" s="16"/>
      <c r="C170" s="3"/>
      <c r="D170" s="3"/>
      <c r="E170" s="3"/>
      <c r="F170" s="3"/>
      <c r="G170" s="3"/>
      <c r="H170" s="3"/>
      <c r="I170" s="3"/>
      <c r="K170" s="3"/>
      <c r="L170" s="3"/>
      <c r="M170" s="3"/>
      <c r="N170" s="3"/>
      <c r="O170" s="3"/>
      <c r="P170" s="3"/>
      <c r="Q170" s="3"/>
      <c r="R170" s="3"/>
      <c r="V170" s="3"/>
      <c r="X170" s="3"/>
    </row>
    <row r="171" ht="12.75" customHeight="1">
      <c r="A171" s="15"/>
      <c r="B171" s="16"/>
      <c r="C171" s="3"/>
      <c r="D171" s="3"/>
      <c r="E171" s="3"/>
      <c r="F171" s="3"/>
      <c r="G171" s="3"/>
      <c r="H171" s="3"/>
      <c r="I171" s="3"/>
      <c r="K171" s="3"/>
      <c r="L171" s="3"/>
      <c r="M171" s="3"/>
      <c r="N171" s="3"/>
      <c r="O171" s="3"/>
      <c r="P171" s="3"/>
      <c r="Q171" s="3"/>
      <c r="R171" s="3"/>
      <c r="V171" s="3"/>
      <c r="X171" s="3"/>
    </row>
    <row r="172" ht="12.75" customHeight="1">
      <c r="A172" s="15"/>
      <c r="B172" s="16"/>
      <c r="C172" s="3"/>
      <c r="D172" s="3"/>
      <c r="E172" s="3"/>
      <c r="F172" s="3"/>
      <c r="G172" s="3"/>
      <c r="H172" s="3"/>
      <c r="I172" s="3"/>
      <c r="K172" s="3"/>
      <c r="L172" s="3"/>
      <c r="M172" s="3"/>
      <c r="N172" s="3"/>
      <c r="O172" s="3"/>
      <c r="P172" s="3"/>
      <c r="Q172" s="3"/>
      <c r="R172" s="3"/>
      <c r="V172" s="3"/>
      <c r="X172" s="3"/>
    </row>
    <row r="173" ht="12.75" customHeight="1">
      <c r="A173" s="15"/>
      <c r="B173" s="16"/>
      <c r="C173" s="3"/>
      <c r="D173" s="3"/>
      <c r="E173" s="3"/>
      <c r="F173" s="3"/>
      <c r="G173" s="3"/>
      <c r="H173" s="3"/>
      <c r="I173" s="3"/>
      <c r="K173" s="3"/>
      <c r="L173" s="3"/>
      <c r="M173" s="3"/>
      <c r="N173" s="3"/>
      <c r="O173" s="3"/>
      <c r="P173" s="3"/>
      <c r="Q173" s="3"/>
      <c r="R173" s="3"/>
      <c r="V173" s="3"/>
      <c r="X173" s="3"/>
    </row>
    <row r="174" ht="12.75" customHeight="1">
      <c r="A174" s="15"/>
      <c r="B174" s="16"/>
      <c r="C174" s="3"/>
      <c r="D174" s="3"/>
      <c r="E174" s="3"/>
      <c r="F174" s="3"/>
      <c r="G174" s="3"/>
      <c r="H174" s="3"/>
      <c r="I174" s="3"/>
      <c r="K174" s="3"/>
      <c r="L174" s="3"/>
      <c r="M174" s="3"/>
      <c r="N174" s="3"/>
      <c r="O174" s="3"/>
      <c r="P174" s="3"/>
      <c r="Q174" s="3"/>
      <c r="R174" s="3"/>
      <c r="V174" s="3"/>
      <c r="X174" s="3"/>
    </row>
    <row r="175" ht="12.75" customHeight="1">
      <c r="A175" s="15"/>
      <c r="B175" s="16"/>
      <c r="C175" s="3"/>
      <c r="D175" s="3"/>
      <c r="E175" s="3"/>
      <c r="F175" s="3"/>
      <c r="G175" s="3"/>
      <c r="H175" s="3"/>
      <c r="I175" s="3"/>
      <c r="K175" s="3"/>
      <c r="L175" s="3"/>
      <c r="M175" s="3"/>
      <c r="N175" s="3"/>
      <c r="O175" s="3"/>
      <c r="P175" s="3"/>
      <c r="Q175" s="3"/>
      <c r="R175" s="3"/>
      <c r="V175" s="3"/>
      <c r="X175" s="3"/>
    </row>
    <row r="176" ht="12.75" customHeight="1">
      <c r="A176" s="15"/>
      <c r="B176" s="16"/>
      <c r="C176" s="3"/>
      <c r="D176" s="3"/>
      <c r="E176" s="3"/>
      <c r="F176" s="3"/>
      <c r="G176" s="3"/>
      <c r="H176" s="3"/>
      <c r="I176" s="3"/>
      <c r="K176" s="3"/>
      <c r="L176" s="3"/>
      <c r="M176" s="3"/>
      <c r="N176" s="3"/>
      <c r="O176" s="3"/>
      <c r="P176" s="3"/>
      <c r="Q176" s="3"/>
      <c r="R176" s="3"/>
      <c r="V176" s="3"/>
      <c r="X176" s="3"/>
    </row>
    <row r="177" ht="12.75" customHeight="1">
      <c r="A177" s="15"/>
      <c r="B177" s="16"/>
      <c r="C177" s="3"/>
      <c r="D177" s="3"/>
      <c r="E177" s="3"/>
      <c r="F177" s="3"/>
      <c r="G177" s="3"/>
      <c r="H177" s="3"/>
      <c r="I177" s="3"/>
      <c r="K177" s="3"/>
      <c r="L177" s="3"/>
      <c r="M177" s="3"/>
      <c r="N177" s="3"/>
      <c r="O177" s="3"/>
      <c r="P177" s="3"/>
      <c r="Q177" s="3"/>
      <c r="R177" s="3"/>
      <c r="V177" s="3"/>
      <c r="X177" s="3"/>
    </row>
    <row r="178" ht="12.75" customHeight="1">
      <c r="A178" s="15"/>
      <c r="B178" s="16"/>
      <c r="C178" s="3"/>
      <c r="D178" s="3"/>
      <c r="E178" s="3"/>
      <c r="F178" s="3"/>
      <c r="G178" s="3"/>
      <c r="H178" s="3"/>
      <c r="I178" s="3"/>
      <c r="K178" s="3"/>
      <c r="L178" s="3"/>
      <c r="M178" s="3"/>
      <c r="N178" s="3"/>
      <c r="O178" s="3"/>
      <c r="P178" s="3"/>
      <c r="Q178" s="3"/>
      <c r="R178" s="3"/>
      <c r="V178" s="3"/>
      <c r="X178" s="3"/>
    </row>
    <row r="179" ht="12.75" customHeight="1">
      <c r="A179" s="15"/>
      <c r="B179" s="16"/>
      <c r="C179" s="3"/>
      <c r="D179" s="3"/>
      <c r="E179" s="3"/>
      <c r="F179" s="3"/>
      <c r="G179" s="3"/>
      <c r="H179" s="3"/>
      <c r="I179" s="3"/>
      <c r="K179" s="3"/>
      <c r="L179" s="3"/>
      <c r="M179" s="3"/>
      <c r="N179" s="3"/>
      <c r="O179" s="3"/>
      <c r="P179" s="3"/>
      <c r="Q179" s="3"/>
      <c r="R179" s="3"/>
      <c r="V179" s="3"/>
      <c r="X179" s="3"/>
    </row>
    <row r="180" ht="12.75" customHeight="1">
      <c r="A180" s="15"/>
      <c r="B180" s="16"/>
      <c r="C180" s="3"/>
      <c r="D180" s="3"/>
      <c r="E180" s="3"/>
      <c r="F180" s="3"/>
      <c r="G180" s="3"/>
      <c r="H180" s="3"/>
      <c r="I180" s="3"/>
      <c r="K180" s="3"/>
      <c r="L180" s="3"/>
      <c r="M180" s="3"/>
      <c r="N180" s="3"/>
      <c r="O180" s="3"/>
      <c r="P180" s="3"/>
      <c r="Q180" s="3"/>
      <c r="R180" s="3"/>
      <c r="V180" s="3"/>
      <c r="X180" s="3"/>
    </row>
    <row r="181" ht="12.75" customHeight="1">
      <c r="A181" s="15"/>
      <c r="B181" s="16"/>
      <c r="C181" s="3"/>
      <c r="D181" s="3"/>
      <c r="E181" s="3"/>
      <c r="F181" s="3"/>
      <c r="G181" s="3"/>
      <c r="H181" s="3"/>
      <c r="I181" s="3"/>
      <c r="K181" s="3"/>
      <c r="L181" s="3"/>
      <c r="M181" s="3"/>
      <c r="N181" s="3"/>
      <c r="O181" s="3"/>
      <c r="P181" s="3"/>
      <c r="Q181" s="3"/>
      <c r="R181" s="3"/>
      <c r="V181" s="3"/>
      <c r="X181" s="3"/>
    </row>
    <row r="182" ht="12.75" customHeight="1">
      <c r="A182" s="15"/>
      <c r="B182" s="16"/>
      <c r="C182" s="3"/>
      <c r="D182" s="3"/>
      <c r="E182" s="3"/>
      <c r="F182" s="3"/>
      <c r="G182" s="3"/>
      <c r="H182" s="3"/>
      <c r="I182" s="3"/>
      <c r="K182" s="3"/>
      <c r="L182" s="3"/>
      <c r="M182" s="3"/>
      <c r="N182" s="3"/>
      <c r="O182" s="3"/>
      <c r="P182" s="3"/>
      <c r="Q182" s="3"/>
      <c r="R182" s="3"/>
      <c r="V182" s="3"/>
      <c r="X182" s="3"/>
    </row>
    <row r="183" ht="12.75" customHeight="1">
      <c r="A183" s="15"/>
      <c r="B183" s="16"/>
      <c r="C183" s="3"/>
      <c r="D183" s="3"/>
      <c r="E183" s="3"/>
      <c r="F183" s="3"/>
      <c r="G183" s="3"/>
      <c r="H183" s="3"/>
      <c r="I183" s="3"/>
      <c r="K183" s="3"/>
      <c r="L183" s="3"/>
      <c r="M183" s="3"/>
      <c r="N183" s="3"/>
      <c r="O183" s="3"/>
      <c r="P183" s="3"/>
      <c r="Q183" s="3"/>
      <c r="R183" s="3"/>
      <c r="V183" s="3"/>
      <c r="X183" s="3"/>
    </row>
    <row r="184" ht="12.75" customHeight="1">
      <c r="A184" s="15"/>
      <c r="B184" s="16"/>
      <c r="C184" s="3"/>
      <c r="D184" s="3"/>
      <c r="E184" s="3"/>
      <c r="F184" s="3"/>
      <c r="G184" s="3"/>
      <c r="H184" s="3"/>
      <c r="I184" s="3"/>
      <c r="K184" s="3"/>
      <c r="L184" s="3"/>
      <c r="M184" s="3"/>
      <c r="N184" s="3"/>
      <c r="O184" s="3"/>
      <c r="P184" s="3"/>
      <c r="Q184" s="3"/>
      <c r="R184" s="3"/>
      <c r="V184" s="3"/>
      <c r="X184" s="3"/>
    </row>
    <row r="185" ht="12.75" customHeight="1">
      <c r="A185" s="15"/>
      <c r="B185" s="16"/>
      <c r="C185" s="3"/>
      <c r="D185" s="3"/>
      <c r="E185" s="3"/>
      <c r="F185" s="3"/>
      <c r="G185" s="3"/>
      <c r="H185" s="3"/>
      <c r="I185" s="3"/>
      <c r="K185" s="3"/>
      <c r="L185" s="3"/>
      <c r="M185" s="3"/>
      <c r="N185" s="3"/>
      <c r="O185" s="3"/>
      <c r="P185" s="3"/>
      <c r="Q185" s="3"/>
      <c r="R185" s="3"/>
      <c r="V185" s="3"/>
      <c r="X185" s="3"/>
    </row>
    <row r="186" ht="12.75" customHeight="1">
      <c r="A186" s="15"/>
      <c r="B186" s="16"/>
      <c r="C186" s="3"/>
      <c r="D186" s="3"/>
      <c r="E186" s="3"/>
      <c r="F186" s="3"/>
      <c r="G186" s="3"/>
      <c r="H186" s="3"/>
      <c r="I186" s="3"/>
      <c r="K186" s="3"/>
      <c r="L186" s="3"/>
      <c r="M186" s="3"/>
      <c r="N186" s="3"/>
      <c r="O186" s="3"/>
      <c r="P186" s="3"/>
      <c r="Q186" s="3"/>
      <c r="R186" s="3"/>
      <c r="V186" s="3"/>
      <c r="X186" s="3"/>
    </row>
    <row r="187" ht="12.75" customHeight="1">
      <c r="A187" s="15"/>
      <c r="B187" s="16"/>
      <c r="C187" s="3"/>
      <c r="D187" s="3"/>
      <c r="E187" s="3"/>
      <c r="F187" s="3"/>
      <c r="G187" s="3"/>
      <c r="H187" s="3"/>
      <c r="I187" s="3"/>
      <c r="K187" s="3"/>
      <c r="L187" s="3"/>
      <c r="M187" s="3"/>
      <c r="N187" s="3"/>
      <c r="O187" s="3"/>
      <c r="P187" s="3"/>
      <c r="Q187" s="3"/>
      <c r="R187" s="3"/>
      <c r="V187" s="3"/>
      <c r="X187" s="3"/>
    </row>
    <row r="188" ht="12.75" customHeight="1">
      <c r="A188" s="15"/>
      <c r="B188" s="16"/>
      <c r="C188" s="3"/>
      <c r="D188" s="3"/>
      <c r="E188" s="3"/>
      <c r="F188" s="3"/>
      <c r="G188" s="3"/>
      <c r="H188" s="3"/>
      <c r="I188" s="3"/>
      <c r="K188" s="3"/>
      <c r="L188" s="3"/>
      <c r="M188" s="3"/>
      <c r="N188" s="3"/>
      <c r="O188" s="3"/>
      <c r="P188" s="3"/>
      <c r="Q188" s="3"/>
      <c r="R188" s="3"/>
      <c r="V188" s="3"/>
      <c r="X188" s="3"/>
    </row>
    <row r="189" ht="12.75" customHeight="1">
      <c r="A189" s="15"/>
      <c r="B189" s="16"/>
      <c r="C189" s="3"/>
      <c r="D189" s="3"/>
      <c r="E189" s="3"/>
      <c r="F189" s="3"/>
      <c r="G189" s="3"/>
      <c r="H189" s="3"/>
      <c r="I189" s="3"/>
      <c r="K189" s="3"/>
      <c r="L189" s="3"/>
      <c r="M189" s="3"/>
      <c r="N189" s="3"/>
      <c r="O189" s="3"/>
      <c r="P189" s="3"/>
      <c r="Q189" s="3"/>
      <c r="R189" s="3"/>
      <c r="V189" s="3"/>
      <c r="X189" s="3"/>
    </row>
    <row r="190" ht="12.75" customHeight="1">
      <c r="A190" s="15"/>
      <c r="B190" s="16"/>
      <c r="C190" s="3"/>
      <c r="D190" s="3"/>
      <c r="E190" s="3"/>
      <c r="F190" s="3"/>
      <c r="G190" s="3"/>
      <c r="H190" s="3"/>
      <c r="I190" s="3"/>
      <c r="K190" s="3"/>
      <c r="L190" s="3"/>
      <c r="M190" s="3"/>
      <c r="N190" s="3"/>
      <c r="O190" s="3"/>
      <c r="P190" s="3"/>
      <c r="Q190" s="3"/>
      <c r="R190" s="3"/>
      <c r="V190" s="3"/>
      <c r="X190" s="3"/>
    </row>
    <row r="191" ht="12.75" customHeight="1">
      <c r="A191" s="15"/>
      <c r="B191" s="16"/>
      <c r="C191" s="3"/>
      <c r="D191" s="3"/>
      <c r="E191" s="3"/>
      <c r="F191" s="3"/>
      <c r="G191" s="3"/>
      <c r="H191" s="3"/>
      <c r="I191" s="3"/>
      <c r="K191" s="3"/>
      <c r="L191" s="3"/>
      <c r="M191" s="3"/>
      <c r="N191" s="3"/>
      <c r="O191" s="3"/>
      <c r="P191" s="3"/>
      <c r="Q191" s="3"/>
      <c r="R191" s="3"/>
      <c r="V191" s="3"/>
      <c r="X191" s="3"/>
    </row>
    <row r="192" ht="12.75" customHeight="1">
      <c r="A192" s="15"/>
      <c r="B192" s="16"/>
      <c r="C192" s="3"/>
      <c r="D192" s="3"/>
      <c r="E192" s="3"/>
      <c r="F192" s="3"/>
      <c r="G192" s="3"/>
      <c r="H192" s="3"/>
      <c r="I192" s="3"/>
      <c r="K192" s="3"/>
      <c r="L192" s="3"/>
      <c r="M192" s="3"/>
      <c r="N192" s="3"/>
      <c r="O192" s="3"/>
      <c r="P192" s="3"/>
      <c r="Q192" s="3"/>
      <c r="R192" s="3"/>
      <c r="V192" s="3"/>
      <c r="X192" s="3"/>
    </row>
    <row r="193" ht="12.75" customHeight="1">
      <c r="A193" s="15"/>
      <c r="B193" s="16"/>
      <c r="C193" s="3"/>
      <c r="D193" s="3"/>
      <c r="E193" s="3"/>
      <c r="F193" s="3"/>
      <c r="G193" s="3"/>
      <c r="H193" s="3"/>
      <c r="I193" s="3"/>
      <c r="K193" s="3"/>
      <c r="L193" s="3"/>
      <c r="M193" s="3"/>
      <c r="N193" s="3"/>
      <c r="O193" s="3"/>
      <c r="P193" s="3"/>
      <c r="Q193" s="3"/>
      <c r="R193" s="3"/>
      <c r="V193" s="3"/>
      <c r="X193" s="3"/>
    </row>
    <row r="194" ht="12.75" customHeight="1">
      <c r="A194" s="15"/>
      <c r="B194" s="16"/>
      <c r="C194" s="3"/>
      <c r="D194" s="3"/>
      <c r="E194" s="3"/>
      <c r="F194" s="3"/>
      <c r="G194" s="3"/>
      <c r="H194" s="3"/>
      <c r="I194" s="3"/>
      <c r="K194" s="3"/>
      <c r="L194" s="3"/>
      <c r="M194" s="3"/>
      <c r="N194" s="3"/>
      <c r="O194" s="3"/>
      <c r="P194" s="3"/>
      <c r="Q194" s="3"/>
      <c r="R194" s="3"/>
      <c r="V194" s="3"/>
      <c r="X194" s="3"/>
    </row>
    <row r="195" ht="12.75" customHeight="1">
      <c r="A195" s="15"/>
      <c r="B195" s="16"/>
      <c r="C195" s="3"/>
      <c r="D195" s="3"/>
      <c r="E195" s="3"/>
      <c r="F195" s="3"/>
      <c r="G195" s="3"/>
      <c r="H195" s="3"/>
      <c r="I195" s="3"/>
      <c r="K195" s="3"/>
      <c r="L195" s="3"/>
      <c r="M195" s="3"/>
      <c r="N195" s="3"/>
      <c r="O195" s="3"/>
      <c r="P195" s="3"/>
      <c r="Q195" s="3"/>
      <c r="R195" s="3"/>
      <c r="V195" s="3"/>
      <c r="X195" s="3"/>
    </row>
    <row r="196" ht="12.75" customHeight="1">
      <c r="A196" s="15"/>
      <c r="B196" s="16"/>
      <c r="C196" s="3"/>
      <c r="D196" s="3"/>
      <c r="E196" s="3"/>
      <c r="F196" s="3"/>
      <c r="G196" s="3"/>
      <c r="H196" s="3"/>
      <c r="I196" s="3"/>
      <c r="K196" s="3"/>
      <c r="L196" s="3"/>
      <c r="M196" s="3"/>
      <c r="N196" s="3"/>
      <c r="O196" s="3"/>
      <c r="P196" s="3"/>
      <c r="Q196" s="3"/>
      <c r="R196" s="3"/>
      <c r="V196" s="3"/>
      <c r="X196" s="3"/>
    </row>
    <row r="197" ht="12.75" customHeight="1">
      <c r="A197" s="15"/>
      <c r="B197" s="16"/>
      <c r="C197" s="3"/>
      <c r="D197" s="3"/>
      <c r="E197" s="3"/>
      <c r="F197" s="3"/>
      <c r="G197" s="3"/>
      <c r="H197" s="3"/>
      <c r="I197" s="3"/>
      <c r="K197" s="3"/>
      <c r="L197" s="3"/>
      <c r="M197" s="3"/>
      <c r="N197" s="3"/>
      <c r="O197" s="3"/>
      <c r="P197" s="3"/>
      <c r="Q197" s="3"/>
      <c r="R197" s="3"/>
      <c r="V197" s="3"/>
      <c r="X197" s="3"/>
    </row>
    <row r="198" ht="12.75" customHeight="1">
      <c r="A198" s="15"/>
      <c r="B198" s="16"/>
      <c r="C198" s="3"/>
      <c r="D198" s="3"/>
      <c r="E198" s="3"/>
      <c r="F198" s="3"/>
      <c r="G198" s="3"/>
      <c r="H198" s="3"/>
      <c r="I198" s="3"/>
      <c r="K198" s="3"/>
      <c r="L198" s="3"/>
      <c r="M198" s="3"/>
      <c r="N198" s="3"/>
      <c r="O198" s="3"/>
      <c r="P198" s="3"/>
      <c r="Q198" s="3"/>
      <c r="R198" s="3"/>
      <c r="V198" s="3"/>
      <c r="X198" s="3"/>
    </row>
    <row r="199" ht="12.75" customHeight="1">
      <c r="A199" s="15"/>
      <c r="B199" s="16"/>
      <c r="C199" s="3"/>
      <c r="D199" s="3"/>
      <c r="E199" s="3"/>
      <c r="F199" s="3"/>
      <c r="G199" s="3"/>
      <c r="H199" s="3"/>
      <c r="I199" s="3"/>
      <c r="K199" s="3"/>
      <c r="L199" s="3"/>
      <c r="M199" s="3"/>
      <c r="N199" s="3"/>
      <c r="O199" s="3"/>
      <c r="P199" s="3"/>
      <c r="Q199" s="3"/>
      <c r="R199" s="3"/>
      <c r="V199" s="3"/>
      <c r="X199" s="3"/>
    </row>
    <row r="200" ht="12.75" customHeight="1">
      <c r="A200" s="15"/>
      <c r="B200" s="16"/>
      <c r="C200" s="3"/>
      <c r="D200" s="3"/>
      <c r="E200" s="3"/>
      <c r="F200" s="3"/>
      <c r="G200" s="3"/>
      <c r="H200" s="3"/>
      <c r="I200" s="3"/>
      <c r="K200" s="3"/>
      <c r="L200" s="3"/>
      <c r="M200" s="3"/>
      <c r="N200" s="3"/>
      <c r="O200" s="3"/>
      <c r="P200" s="3"/>
      <c r="Q200" s="3"/>
      <c r="R200" s="3"/>
      <c r="V200" s="3"/>
      <c r="X200" s="3"/>
    </row>
    <row r="201" ht="12.75" customHeight="1">
      <c r="A201" s="15"/>
      <c r="B201" s="16"/>
      <c r="C201" s="3"/>
      <c r="D201" s="3"/>
      <c r="E201" s="3"/>
      <c r="F201" s="3"/>
      <c r="G201" s="3"/>
      <c r="H201" s="3"/>
      <c r="I201" s="3"/>
      <c r="K201" s="3"/>
      <c r="L201" s="3"/>
      <c r="M201" s="3"/>
      <c r="N201" s="3"/>
      <c r="O201" s="3"/>
      <c r="P201" s="3"/>
      <c r="Q201" s="3"/>
      <c r="R201" s="3"/>
      <c r="V201" s="3"/>
      <c r="X201" s="3"/>
    </row>
    <row r="202" ht="12.75" customHeight="1">
      <c r="A202" s="15"/>
      <c r="B202" s="16"/>
      <c r="C202" s="3"/>
      <c r="D202" s="3"/>
      <c r="E202" s="3"/>
      <c r="F202" s="3"/>
      <c r="G202" s="3"/>
      <c r="H202" s="3"/>
      <c r="I202" s="3"/>
      <c r="K202" s="3"/>
      <c r="L202" s="3"/>
      <c r="M202" s="3"/>
      <c r="N202" s="3"/>
      <c r="O202" s="3"/>
      <c r="P202" s="3"/>
      <c r="Q202" s="3"/>
      <c r="R202" s="3"/>
      <c r="V202" s="3"/>
      <c r="X202" s="3"/>
    </row>
    <row r="203" ht="12.75" customHeight="1">
      <c r="A203" s="15"/>
      <c r="B203" s="16"/>
      <c r="C203" s="3"/>
      <c r="D203" s="3"/>
      <c r="E203" s="3"/>
      <c r="F203" s="3"/>
      <c r="G203" s="3"/>
      <c r="H203" s="3"/>
      <c r="I203" s="3"/>
      <c r="K203" s="3"/>
      <c r="L203" s="3"/>
      <c r="M203" s="3"/>
      <c r="N203" s="3"/>
      <c r="O203" s="3"/>
      <c r="P203" s="3"/>
      <c r="Q203" s="3"/>
      <c r="R203" s="3"/>
      <c r="V203" s="3"/>
      <c r="X203" s="3"/>
    </row>
    <row r="204" ht="12.75" customHeight="1">
      <c r="A204" s="15"/>
      <c r="B204" s="16"/>
      <c r="C204" s="3"/>
      <c r="D204" s="3"/>
      <c r="E204" s="3"/>
      <c r="F204" s="3"/>
      <c r="G204" s="3"/>
      <c r="H204" s="3"/>
      <c r="I204" s="3"/>
      <c r="K204" s="3"/>
      <c r="L204" s="3"/>
      <c r="M204" s="3"/>
      <c r="N204" s="3"/>
      <c r="O204" s="3"/>
      <c r="P204" s="3"/>
      <c r="Q204" s="3"/>
      <c r="R204" s="3"/>
      <c r="V204" s="3"/>
      <c r="X204" s="3"/>
    </row>
    <row r="205" ht="12.75" customHeight="1">
      <c r="A205" s="15"/>
      <c r="B205" s="16"/>
      <c r="C205" s="3"/>
      <c r="D205" s="3"/>
      <c r="E205" s="3"/>
      <c r="F205" s="3"/>
      <c r="G205" s="3"/>
      <c r="H205" s="3"/>
      <c r="I205" s="3"/>
      <c r="K205" s="3"/>
      <c r="L205" s="3"/>
      <c r="M205" s="3"/>
      <c r="N205" s="3"/>
      <c r="O205" s="3"/>
      <c r="P205" s="3"/>
      <c r="Q205" s="3"/>
      <c r="R205" s="3"/>
      <c r="V205" s="3"/>
      <c r="X205" s="3"/>
    </row>
    <row r="206" ht="12.75" customHeight="1">
      <c r="A206" s="15"/>
      <c r="B206" s="16"/>
      <c r="C206" s="3"/>
      <c r="D206" s="3"/>
      <c r="E206" s="3"/>
      <c r="F206" s="3"/>
      <c r="G206" s="3"/>
      <c r="H206" s="3"/>
      <c r="I206" s="3"/>
      <c r="K206" s="3"/>
      <c r="L206" s="3"/>
      <c r="M206" s="3"/>
      <c r="N206" s="3"/>
      <c r="O206" s="3"/>
      <c r="P206" s="3"/>
      <c r="Q206" s="3"/>
      <c r="R206" s="3"/>
      <c r="V206" s="3"/>
      <c r="X206" s="3"/>
    </row>
    <row r="207" ht="12.75" customHeight="1">
      <c r="A207" s="15"/>
      <c r="B207" s="16"/>
      <c r="C207" s="3"/>
      <c r="D207" s="3"/>
      <c r="E207" s="3"/>
      <c r="F207" s="3"/>
      <c r="G207" s="3"/>
      <c r="H207" s="3"/>
      <c r="I207" s="3"/>
      <c r="K207" s="3"/>
      <c r="L207" s="3"/>
      <c r="M207" s="3"/>
      <c r="N207" s="3"/>
      <c r="O207" s="3"/>
      <c r="P207" s="3"/>
      <c r="Q207" s="3"/>
      <c r="R207" s="3"/>
      <c r="V207" s="3"/>
      <c r="X207" s="3"/>
    </row>
    <row r="208" ht="12.75" customHeight="1">
      <c r="A208" s="15"/>
      <c r="B208" s="16"/>
      <c r="C208" s="3"/>
      <c r="D208" s="3"/>
      <c r="E208" s="3"/>
      <c r="F208" s="3"/>
      <c r="G208" s="3"/>
      <c r="H208" s="3"/>
      <c r="I208" s="3"/>
      <c r="K208" s="3"/>
      <c r="L208" s="3"/>
      <c r="M208" s="3"/>
      <c r="N208" s="3"/>
      <c r="O208" s="3"/>
      <c r="P208" s="3"/>
      <c r="Q208" s="3"/>
      <c r="R208" s="3"/>
      <c r="V208" s="3"/>
      <c r="X208" s="3"/>
    </row>
    <row r="209" ht="12.75" customHeight="1">
      <c r="A209" s="15"/>
      <c r="B209" s="16"/>
      <c r="C209" s="3"/>
      <c r="D209" s="3"/>
      <c r="E209" s="3"/>
      <c r="F209" s="3"/>
      <c r="G209" s="3"/>
      <c r="H209" s="3"/>
      <c r="I209" s="3"/>
      <c r="K209" s="3"/>
      <c r="L209" s="3"/>
      <c r="M209" s="3"/>
      <c r="N209" s="3"/>
      <c r="O209" s="3"/>
      <c r="P209" s="3"/>
      <c r="Q209" s="3"/>
      <c r="R209" s="3"/>
      <c r="V209" s="3"/>
      <c r="X209" s="3"/>
    </row>
    <row r="210" ht="12.75" customHeight="1">
      <c r="A210" s="15"/>
      <c r="B210" s="16"/>
      <c r="C210" s="3"/>
      <c r="D210" s="3"/>
      <c r="E210" s="3"/>
      <c r="F210" s="3"/>
      <c r="G210" s="3"/>
      <c r="H210" s="3"/>
      <c r="I210" s="3"/>
      <c r="K210" s="3"/>
      <c r="L210" s="3"/>
      <c r="M210" s="3"/>
      <c r="N210" s="3"/>
      <c r="O210" s="3"/>
      <c r="P210" s="3"/>
      <c r="Q210" s="3"/>
      <c r="R210" s="3"/>
      <c r="V210" s="3"/>
      <c r="X210" s="3"/>
    </row>
    <row r="211" ht="12.75" customHeight="1">
      <c r="A211" s="15"/>
      <c r="B211" s="16"/>
      <c r="C211" s="3"/>
      <c r="D211" s="3"/>
      <c r="E211" s="3"/>
      <c r="F211" s="3"/>
      <c r="G211" s="3"/>
      <c r="H211" s="3"/>
      <c r="I211" s="3"/>
      <c r="K211" s="3"/>
      <c r="L211" s="3"/>
      <c r="M211" s="3"/>
      <c r="N211" s="3"/>
      <c r="O211" s="3"/>
      <c r="P211" s="3"/>
      <c r="Q211" s="3"/>
      <c r="R211" s="3"/>
      <c r="V211" s="3"/>
      <c r="X211" s="3"/>
    </row>
    <row r="212" ht="12.75" customHeight="1">
      <c r="A212" s="15"/>
      <c r="B212" s="16"/>
      <c r="C212" s="3"/>
      <c r="D212" s="3"/>
      <c r="E212" s="3"/>
      <c r="F212" s="3"/>
      <c r="G212" s="3"/>
      <c r="H212" s="3"/>
      <c r="I212" s="3"/>
      <c r="K212" s="3"/>
      <c r="L212" s="3"/>
      <c r="M212" s="3"/>
      <c r="N212" s="3"/>
      <c r="O212" s="3"/>
      <c r="P212" s="3"/>
      <c r="Q212" s="3"/>
      <c r="R212" s="3"/>
      <c r="V212" s="3"/>
      <c r="X212" s="3"/>
    </row>
    <row r="213" ht="12.75" customHeight="1">
      <c r="A213" s="15"/>
      <c r="B213" s="16"/>
      <c r="C213" s="3"/>
      <c r="D213" s="3"/>
      <c r="E213" s="3"/>
      <c r="F213" s="3"/>
      <c r="G213" s="3"/>
      <c r="H213" s="3"/>
      <c r="I213" s="3"/>
      <c r="K213" s="3"/>
      <c r="L213" s="3"/>
      <c r="M213" s="3"/>
      <c r="N213" s="3"/>
      <c r="O213" s="3"/>
      <c r="P213" s="3"/>
      <c r="Q213" s="3"/>
      <c r="R213" s="3"/>
      <c r="V213" s="3"/>
      <c r="X213" s="3"/>
    </row>
    <row r="214" ht="12.75" customHeight="1">
      <c r="A214" s="15"/>
      <c r="B214" s="16"/>
      <c r="C214" s="3"/>
      <c r="D214" s="3"/>
      <c r="E214" s="3"/>
      <c r="F214" s="3"/>
      <c r="G214" s="3"/>
      <c r="H214" s="3"/>
      <c r="I214" s="3"/>
      <c r="K214" s="3"/>
      <c r="L214" s="3"/>
      <c r="M214" s="3"/>
      <c r="N214" s="3"/>
      <c r="O214" s="3"/>
      <c r="P214" s="3"/>
      <c r="Q214" s="3"/>
      <c r="R214" s="3"/>
      <c r="V214" s="3"/>
      <c r="X214" s="3"/>
    </row>
    <row r="215" ht="12.75" customHeight="1">
      <c r="A215" s="15"/>
      <c r="B215" s="16"/>
      <c r="C215" s="3"/>
      <c r="D215" s="3"/>
      <c r="E215" s="3"/>
      <c r="F215" s="3"/>
      <c r="G215" s="3"/>
      <c r="H215" s="3"/>
      <c r="I215" s="3"/>
      <c r="K215" s="3"/>
      <c r="L215" s="3"/>
      <c r="M215" s="3"/>
      <c r="N215" s="3"/>
      <c r="O215" s="3"/>
      <c r="P215" s="3"/>
      <c r="Q215" s="3"/>
      <c r="R215" s="3"/>
      <c r="V215" s="3"/>
      <c r="X215" s="3"/>
    </row>
    <row r="216" ht="12.75" customHeight="1">
      <c r="A216" s="15"/>
      <c r="B216" s="16"/>
      <c r="C216" s="3"/>
      <c r="D216" s="3"/>
      <c r="E216" s="3"/>
      <c r="F216" s="3"/>
      <c r="G216" s="3"/>
      <c r="H216" s="3"/>
      <c r="I216" s="3"/>
      <c r="K216" s="3"/>
      <c r="L216" s="3"/>
      <c r="M216" s="3"/>
      <c r="N216" s="3"/>
      <c r="O216" s="3"/>
      <c r="P216" s="3"/>
      <c r="Q216" s="3"/>
      <c r="R216" s="3"/>
      <c r="V216" s="3"/>
      <c r="X216" s="3"/>
    </row>
    <row r="217" ht="12.75" customHeight="1">
      <c r="A217" s="15"/>
      <c r="B217" s="16"/>
      <c r="C217" s="3"/>
      <c r="D217" s="3"/>
      <c r="E217" s="3"/>
      <c r="F217" s="3"/>
      <c r="G217" s="3"/>
      <c r="H217" s="3"/>
      <c r="I217" s="3"/>
      <c r="K217" s="3"/>
      <c r="L217" s="3"/>
      <c r="M217" s="3"/>
      <c r="N217" s="3"/>
      <c r="O217" s="3"/>
      <c r="P217" s="3"/>
      <c r="Q217" s="3"/>
      <c r="R217" s="3"/>
      <c r="V217" s="3"/>
      <c r="X217" s="3"/>
    </row>
    <row r="218" ht="12.75" customHeight="1">
      <c r="A218" s="15"/>
      <c r="B218" s="16"/>
      <c r="C218" s="3"/>
      <c r="D218" s="3"/>
      <c r="E218" s="3"/>
      <c r="F218" s="3"/>
      <c r="G218" s="3"/>
      <c r="H218" s="3"/>
      <c r="I218" s="3"/>
      <c r="K218" s="3"/>
      <c r="L218" s="3"/>
      <c r="M218" s="3"/>
      <c r="N218" s="3"/>
      <c r="O218" s="3"/>
      <c r="P218" s="3"/>
      <c r="Q218" s="3"/>
      <c r="R218" s="3"/>
      <c r="V218" s="3"/>
      <c r="X218" s="3"/>
    </row>
    <row r="219" ht="12.75" customHeight="1">
      <c r="A219" s="15"/>
      <c r="B219" s="16"/>
      <c r="C219" s="3"/>
      <c r="D219" s="3"/>
      <c r="E219" s="3"/>
      <c r="F219" s="3"/>
      <c r="G219" s="3"/>
      <c r="H219" s="3"/>
      <c r="I219" s="3"/>
      <c r="K219" s="3"/>
      <c r="L219" s="3"/>
      <c r="M219" s="3"/>
      <c r="N219" s="3"/>
      <c r="O219" s="3"/>
      <c r="P219" s="3"/>
      <c r="Q219" s="3"/>
      <c r="R219" s="3"/>
      <c r="V219" s="3"/>
      <c r="X219" s="3"/>
    </row>
    <row r="220" ht="12.75" customHeight="1">
      <c r="A220" s="15"/>
      <c r="B220" s="16"/>
      <c r="C220" s="3"/>
      <c r="D220" s="3"/>
      <c r="E220" s="3"/>
      <c r="F220" s="3"/>
      <c r="G220" s="3"/>
      <c r="H220" s="3"/>
      <c r="I220" s="3"/>
      <c r="K220" s="3"/>
      <c r="L220" s="3"/>
      <c r="M220" s="3"/>
      <c r="N220" s="3"/>
      <c r="O220" s="3"/>
      <c r="P220" s="3"/>
      <c r="Q220" s="3"/>
      <c r="R220" s="3"/>
      <c r="V220" s="3"/>
      <c r="X220" s="3"/>
    </row>
    <row r="221" ht="12.75" customHeight="1">
      <c r="A221" s="15"/>
      <c r="B221" s="16"/>
      <c r="C221" s="3"/>
      <c r="D221" s="3"/>
      <c r="E221" s="3"/>
      <c r="F221" s="3"/>
      <c r="G221" s="3"/>
      <c r="H221" s="3"/>
      <c r="I221" s="3"/>
      <c r="K221" s="3"/>
      <c r="L221" s="3"/>
      <c r="M221" s="3"/>
      <c r="N221" s="3"/>
      <c r="O221" s="3"/>
      <c r="P221" s="3"/>
      <c r="Q221" s="3"/>
      <c r="R221" s="3"/>
      <c r="V221" s="3"/>
      <c r="X221" s="3"/>
    </row>
    <row r="222" ht="12.75" customHeight="1">
      <c r="A222" s="15"/>
      <c r="B222" s="16"/>
      <c r="C222" s="3"/>
      <c r="D222" s="3"/>
      <c r="E222" s="3"/>
      <c r="F222" s="3"/>
      <c r="G222" s="3"/>
      <c r="H222" s="3"/>
      <c r="I222" s="3"/>
      <c r="K222" s="3"/>
      <c r="L222" s="3"/>
      <c r="M222" s="3"/>
      <c r="N222" s="3"/>
      <c r="O222" s="3"/>
      <c r="P222" s="3"/>
      <c r="Q222" s="3"/>
      <c r="R222" s="3"/>
      <c r="V222" s="3"/>
      <c r="X222" s="3"/>
    </row>
    <row r="223" ht="12.75" customHeight="1">
      <c r="A223" s="15"/>
      <c r="B223" s="16"/>
      <c r="C223" s="3"/>
      <c r="D223" s="3"/>
      <c r="E223" s="3"/>
      <c r="F223" s="3"/>
      <c r="G223" s="3"/>
      <c r="H223" s="3"/>
      <c r="I223" s="3"/>
      <c r="K223" s="3"/>
      <c r="L223" s="3"/>
      <c r="M223" s="3"/>
      <c r="N223" s="3"/>
      <c r="O223" s="3"/>
      <c r="P223" s="3"/>
      <c r="Q223" s="3"/>
      <c r="R223" s="3"/>
      <c r="V223" s="3"/>
      <c r="X223" s="3"/>
    </row>
    <row r="224" ht="12.75" customHeight="1">
      <c r="A224" s="15"/>
      <c r="B224" s="16"/>
      <c r="C224" s="3"/>
      <c r="D224" s="3"/>
      <c r="E224" s="3"/>
      <c r="F224" s="3"/>
      <c r="G224" s="3"/>
      <c r="H224" s="3"/>
      <c r="I224" s="3"/>
      <c r="K224" s="3"/>
      <c r="L224" s="3"/>
      <c r="M224" s="3"/>
      <c r="N224" s="3"/>
      <c r="O224" s="3"/>
      <c r="P224" s="3"/>
      <c r="Q224" s="3"/>
      <c r="R224" s="3"/>
      <c r="V224" s="3"/>
      <c r="X224" s="3"/>
    </row>
    <row r="225" ht="12.75" customHeight="1">
      <c r="A225" s="15"/>
      <c r="B225" s="16"/>
      <c r="C225" s="3"/>
      <c r="D225" s="3"/>
      <c r="E225" s="3"/>
      <c r="F225" s="3"/>
      <c r="G225" s="3"/>
      <c r="H225" s="3"/>
      <c r="I225" s="3"/>
      <c r="K225" s="3"/>
      <c r="L225" s="3"/>
      <c r="M225" s="3"/>
      <c r="N225" s="3"/>
      <c r="O225" s="3"/>
      <c r="P225" s="3"/>
      <c r="Q225" s="3"/>
      <c r="R225" s="3"/>
      <c r="V225" s="3"/>
      <c r="X225" s="3"/>
    </row>
    <row r="226" ht="12.75" customHeight="1">
      <c r="A226" s="15"/>
      <c r="B226" s="16"/>
      <c r="C226" s="3"/>
      <c r="D226" s="3"/>
      <c r="E226" s="3"/>
      <c r="F226" s="3"/>
      <c r="G226" s="3"/>
      <c r="H226" s="3"/>
      <c r="I226" s="3"/>
      <c r="K226" s="3"/>
      <c r="L226" s="3"/>
      <c r="M226" s="3"/>
      <c r="N226" s="3"/>
      <c r="O226" s="3"/>
      <c r="P226" s="3"/>
      <c r="Q226" s="3"/>
      <c r="R226" s="3"/>
      <c r="V226" s="3"/>
      <c r="X226" s="3"/>
    </row>
    <row r="227" ht="12.75" customHeight="1">
      <c r="A227" s="15"/>
      <c r="B227" s="16"/>
      <c r="C227" s="3"/>
      <c r="D227" s="3"/>
      <c r="E227" s="3"/>
      <c r="F227" s="3"/>
      <c r="G227" s="3"/>
      <c r="H227" s="3"/>
      <c r="I227" s="3"/>
      <c r="K227" s="3"/>
      <c r="L227" s="3"/>
      <c r="M227" s="3"/>
      <c r="N227" s="3"/>
      <c r="O227" s="3"/>
      <c r="P227" s="3"/>
      <c r="Q227" s="3"/>
      <c r="R227" s="3"/>
      <c r="V227" s="3"/>
      <c r="X227" s="3"/>
    </row>
    <row r="228" ht="12.75" customHeight="1">
      <c r="A228" s="15"/>
      <c r="B228" s="16"/>
      <c r="C228" s="3"/>
      <c r="D228" s="3"/>
      <c r="E228" s="3"/>
      <c r="F228" s="3"/>
      <c r="G228" s="3"/>
      <c r="H228" s="3"/>
      <c r="I228" s="3"/>
      <c r="K228" s="3"/>
      <c r="L228" s="3"/>
      <c r="M228" s="3"/>
      <c r="N228" s="3"/>
      <c r="O228" s="3"/>
      <c r="P228" s="3"/>
      <c r="Q228" s="3"/>
      <c r="R228" s="3"/>
      <c r="V228" s="3"/>
      <c r="X228" s="3"/>
    </row>
    <row r="229" ht="12.75" customHeight="1">
      <c r="A229" s="15"/>
      <c r="B229" s="16"/>
      <c r="C229" s="3"/>
      <c r="D229" s="3"/>
      <c r="E229" s="3"/>
      <c r="F229" s="3"/>
      <c r="G229" s="3"/>
      <c r="H229" s="3"/>
      <c r="I229" s="3"/>
      <c r="K229" s="3"/>
      <c r="L229" s="3"/>
      <c r="M229" s="3"/>
      <c r="N229" s="3"/>
      <c r="O229" s="3"/>
      <c r="P229" s="3"/>
      <c r="Q229" s="3"/>
      <c r="R229" s="3"/>
      <c r="V229" s="3"/>
      <c r="X229" s="3"/>
    </row>
    <row r="230" ht="12.75" customHeight="1">
      <c r="A230" s="15"/>
      <c r="B230" s="16"/>
      <c r="C230" s="3"/>
      <c r="D230" s="3"/>
      <c r="E230" s="3"/>
      <c r="F230" s="3"/>
      <c r="G230" s="3"/>
      <c r="H230" s="3"/>
      <c r="I230" s="3"/>
      <c r="K230" s="3"/>
      <c r="L230" s="3"/>
      <c r="M230" s="3"/>
      <c r="N230" s="3"/>
      <c r="O230" s="3"/>
      <c r="P230" s="3"/>
      <c r="Q230" s="3"/>
      <c r="R230" s="3"/>
      <c r="V230" s="3"/>
      <c r="X230" s="3"/>
    </row>
    <row r="231" ht="12.75" customHeight="1">
      <c r="A231" s="15"/>
      <c r="B231" s="16"/>
      <c r="C231" s="3"/>
      <c r="D231" s="3"/>
      <c r="E231" s="3"/>
      <c r="F231" s="3"/>
      <c r="G231" s="3"/>
      <c r="H231" s="3"/>
      <c r="I231" s="3"/>
      <c r="K231" s="3"/>
      <c r="L231" s="3"/>
      <c r="M231" s="3"/>
      <c r="N231" s="3"/>
      <c r="O231" s="3"/>
      <c r="P231" s="3"/>
      <c r="Q231" s="3"/>
      <c r="R231" s="3"/>
      <c r="V231" s="3"/>
      <c r="X231" s="3"/>
    </row>
    <row r="232" ht="12.75" customHeight="1">
      <c r="A232" s="15"/>
      <c r="B232" s="16"/>
      <c r="C232" s="3"/>
      <c r="D232" s="3"/>
      <c r="E232" s="3"/>
      <c r="F232" s="3"/>
      <c r="G232" s="3"/>
      <c r="H232" s="3"/>
      <c r="I232" s="3"/>
      <c r="K232" s="3"/>
      <c r="L232" s="3"/>
      <c r="M232" s="3"/>
      <c r="N232" s="3"/>
      <c r="O232" s="3"/>
      <c r="P232" s="3"/>
      <c r="Q232" s="3"/>
      <c r="R232" s="3"/>
      <c r="V232" s="3"/>
      <c r="X232" s="3"/>
    </row>
    <row r="233" ht="12.75" customHeight="1">
      <c r="A233" s="15"/>
      <c r="B233" s="16"/>
      <c r="C233" s="3"/>
      <c r="D233" s="3"/>
      <c r="E233" s="3"/>
      <c r="F233" s="3"/>
      <c r="G233" s="3"/>
      <c r="H233" s="3"/>
      <c r="I233" s="3"/>
      <c r="K233" s="3"/>
      <c r="L233" s="3"/>
      <c r="M233" s="3"/>
      <c r="N233" s="3"/>
      <c r="O233" s="3"/>
      <c r="P233" s="3"/>
      <c r="Q233" s="3"/>
      <c r="R233" s="3"/>
      <c r="V233" s="3"/>
      <c r="X233" s="3"/>
    </row>
    <row r="234" ht="12.75" customHeight="1">
      <c r="A234" s="15"/>
      <c r="B234" s="16"/>
      <c r="C234" s="3"/>
      <c r="D234" s="3"/>
      <c r="E234" s="3"/>
      <c r="F234" s="3"/>
      <c r="G234" s="3"/>
      <c r="H234" s="3"/>
      <c r="I234" s="3"/>
      <c r="K234" s="3"/>
      <c r="L234" s="3"/>
      <c r="M234" s="3"/>
      <c r="N234" s="3"/>
      <c r="O234" s="3"/>
      <c r="P234" s="3"/>
      <c r="Q234" s="3"/>
      <c r="R234" s="3"/>
      <c r="V234" s="3"/>
      <c r="X234" s="3"/>
    </row>
    <row r="235" ht="12.75" customHeight="1">
      <c r="A235" s="15"/>
      <c r="B235" s="16"/>
      <c r="C235" s="3"/>
      <c r="D235" s="3"/>
      <c r="E235" s="3"/>
      <c r="F235" s="3"/>
      <c r="G235" s="3"/>
      <c r="H235" s="3"/>
      <c r="I235" s="3"/>
      <c r="K235" s="3"/>
      <c r="L235" s="3"/>
      <c r="M235" s="3"/>
      <c r="N235" s="3"/>
      <c r="O235" s="3"/>
      <c r="P235" s="3"/>
      <c r="Q235" s="3"/>
      <c r="R235" s="3"/>
      <c r="V235" s="3"/>
      <c r="X235" s="3"/>
    </row>
    <row r="236" ht="12.75" customHeight="1">
      <c r="A236" s="15"/>
      <c r="B236" s="16"/>
      <c r="C236" s="3"/>
      <c r="D236" s="3"/>
      <c r="E236" s="3"/>
      <c r="F236" s="3"/>
      <c r="G236" s="3"/>
      <c r="H236" s="3"/>
      <c r="I236" s="3"/>
      <c r="K236" s="3"/>
      <c r="L236" s="3"/>
      <c r="M236" s="3"/>
      <c r="N236" s="3"/>
      <c r="O236" s="3"/>
      <c r="P236" s="3"/>
      <c r="Q236" s="3"/>
      <c r="R236" s="3"/>
      <c r="V236" s="3"/>
      <c r="X236" s="3"/>
    </row>
    <row r="237" ht="12.75" customHeight="1">
      <c r="A237" s="15"/>
      <c r="B237" s="16"/>
      <c r="C237" s="3"/>
      <c r="D237" s="3"/>
      <c r="E237" s="3"/>
      <c r="F237" s="3"/>
      <c r="G237" s="3"/>
      <c r="H237" s="3"/>
      <c r="I237" s="3"/>
      <c r="K237" s="3"/>
      <c r="L237" s="3"/>
      <c r="M237" s="3"/>
      <c r="N237" s="3"/>
      <c r="O237" s="3"/>
      <c r="P237" s="3"/>
      <c r="Q237" s="3"/>
      <c r="R237" s="3"/>
      <c r="V237" s="3"/>
      <c r="X237" s="3"/>
    </row>
    <row r="238" ht="12.75" customHeight="1">
      <c r="A238" s="15"/>
      <c r="B238" s="16"/>
      <c r="C238" s="3"/>
      <c r="D238" s="3"/>
      <c r="E238" s="3"/>
      <c r="F238" s="3"/>
      <c r="G238" s="3"/>
      <c r="H238" s="3"/>
      <c r="I238" s="3"/>
      <c r="K238" s="3"/>
      <c r="L238" s="3"/>
      <c r="M238" s="3"/>
      <c r="N238" s="3"/>
      <c r="O238" s="3"/>
      <c r="P238" s="3"/>
      <c r="Q238" s="3"/>
      <c r="R238" s="3"/>
      <c r="V238" s="3"/>
      <c r="X238" s="3"/>
    </row>
    <row r="239" ht="12.75" customHeight="1">
      <c r="A239" s="15"/>
      <c r="B239" s="16"/>
      <c r="C239" s="3"/>
      <c r="D239" s="3"/>
      <c r="E239" s="3"/>
      <c r="F239" s="3"/>
      <c r="G239" s="3"/>
      <c r="H239" s="3"/>
      <c r="I239" s="3"/>
      <c r="K239" s="3"/>
      <c r="L239" s="3"/>
      <c r="M239" s="3"/>
      <c r="N239" s="3"/>
      <c r="O239" s="3"/>
      <c r="P239" s="3"/>
      <c r="Q239" s="3"/>
      <c r="R239" s="3"/>
      <c r="V239" s="3"/>
      <c r="X239" s="3"/>
    </row>
    <row r="240" ht="12.75" customHeight="1">
      <c r="A240" s="15"/>
      <c r="B240" s="16"/>
      <c r="C240" s="3"/>
      <c r="D240" s="3"/>
      <c r="E240" s="3"/>
      <c r="F240" s="3"/>
      <c r="G240" s="3"/>
      <c r="H240" s="3"/>
      <c r="I240" s="3"/>
      <c r="K240" s="3"/>
      <c r="L240" s="3"/>
      <c r="M240" s="3"/>
      <c r="N240" s="3"/>
      <c r="O240" s="3"/>
      <c r="P240" s="3"/>
      <c r="Q240" s="3"/>
      <c r="R240" s="3"/>
      <c r="V240" s="3"/>
      <c r="X240" s="3"/>
    </row>
    <row r="241" ht="12.75" customHeight="1">
      <c r="A241" s="15"/>
      <c r="B241" s="16"/>
      <c r="C241" s="3"/>
      <c r="D241" s="3"/>
      <c r="E241" s="3"/>
      <c r="F241" s="3"/>
      <c r="G241" s="3"/>
      <c r="H241" s="3"/>
      <c r="I241" s="3"/>
      <c r="K241" s="3"/>
      <c r="L241" s="3"/>
      <c r="M241" s="3"/>
      <c r="N241" s="3"/>
      <c r="O241" s="3"/>
      <c r="P241" s="3"/>
      <c r="Q241" s="3"/>
      <c r="R241" s="3"/>
      <c r="V241" s="3"/>
      <c r="X241" s="3"/>
    </row>
    <row r="242" ht="12.75" customHeight="1">
      <c r="A242" s="15"/>
      <c r="B242" s="16"/>
      <c r="C242" s="3"/>
      <c r="D242" s="3"/>
      <c r="E242" s="3"/>
      <c r="F242" s="3"/>
      <c r="G242" s="3"/>
      <c r="H242" s="3"/>
      <c r="I242" s="3"/>
      <c r="K242" s="3"/>
      <c r="L242" s="3"/>
      <c r="M242" s="3"/>
      <c r="N242" s="3"/>
      <c r="O242" s="3"/>
      <c r="P242" s="3"/>
      <c r="Q242" s="3"/>
      <c r="R242" s="3"/>
      <c r="V242" s="3"/>
      <c r="X242" s="3"/>
    </row>
    <row r="243" ht="12.75" customHeight="1">
      <c r="A243" s="15"/>
      <c r="B243" s="16"/>
      <c r="C243" s="3"/>
      <c r="D243" s="3"/>
      <c r="E243" s="3"/>
      <c r="F243" s="3"/>
      <c r="G243" s="3"/>
      <c r="H243" s="3"/>
      <c r="I243" s="3"/>
      <c r="K243" s="3"/>
      <c r="L243" s="3"/>
      <c r="M243" s="3"/>
      <c r="N243" s="3"/>
      <c r="O243" s="3"/>
      <c r="P243" s="3"/>
      <c r="Q243" s="3"/>
      <c r="R243" s="3"/>
      <c r="V243" s="3"/>
      <c r="X243" s="3"/>
    </row>
    <row r="244" ht="12.75" customHeight="1">
      <c r="A244" s="15"/>
      <c r="B244" s="16"/>
      <c r="C244" s="3"/>
      <c r="D244" s="3"/>
      <c r="E244" s="3"/>
      <c r="F244" s="3"/>
      <c r="G244" s="3"/>
      <c r="H244" s="3"/>
      <c r="I244" s="3"/>
      <c r="K244" s="3"/>
      <c r="L244" s="3"/>
      <c r="M244" s="3"/>
      <c r="N244" s="3"/>
      <c r="O244" s="3"/>
      <c r="P244" s="3"/>
      <c r="Q244" s="3"/>
      <c r="R244" s="3"/>
      <c r="V244" s="3"/>
      <c r="X244" s="3"/>
    </row>
    <row r="245" ht="12.75" customHeight="1">
      <c r="A245" s="15"/>
      <c r="B245" s="16"/>
      <c r="C245" s="3"/>
      <c r="D245" s="3"/>
      <c r="E245" s="3"/>
      <c r="F245" s="3"/>
      <c r="G245" s="3"/>
      <c r="H245" s="3"/>
      <c r="I245" s="3"/>
      <c r="K245" s="3"/>
      <c r="L245" s="3"/>
      <c r="M245" s="3"/>
      <c r="N245" s="3"/>
      <c r="O245" s="3"/>
      <c r="P245" s="3"/>
      <c r="Q245" s="3"/>
      <c r="R245" s="3"/>
      <c r="V245" s="3"/>
      <c r="X245" s="3"/>
    </row>
    <row r="246" ht="12.75" customHeight="1">
      <c r="A246" s="15"/>
      <c r="B246" s="16"/>
      <c r="C246" s="3"/>
      <c r="D246" s="3"/>
      <c r="E246" s="3"/>
      <c r="F246" s="3"/>
      <c r="G246" s="3"/>
      <c r="H246" s="3"/>
      <c r="I246" s="3"/>
      <c r="K246" s="3"/>
      <c r="L246" s="3"/>
      <c r="M246" s="3"/>
      <c r="N246" s="3"/>
      <c r="O246" s="3"/>
      <c r="P246" s="3"/>
      <c r="Q246" s="3"/>
      <c r="R246" s="3"/>
      <c r="V246" s="3"/>
      <c r="X246" s="3"/>
    </row>
    <row r="247" ht="12.75" customHeight="1">
      <c r="A247" s="15"/>
      <c r="B247" s="16"/>
      <c r="C247" s="3"/>
      <c r="D247" s="3"/>
      <c r="E247" s="3"/>
      <c r="F247" s="3"/>
      <c r="G247" s="3"/>
      <c r="H247" s="3"/>
      <c r="I247" s="3"/>
      <c r="K247" s="3"/>
      <c r="L247" s="3"/>
      <c r="M247" s="3"/>
      <c r="N247" s="3"/>
      <c r="O247" s="3"/>
      <c r="P247" s="3"/>
      <c r="Q247" s="3"/>
      <c r="R247" s="3"/>
      <c r="V247" s="3"/>
      <c r="X247" s="3"/>
    </row>
    <row r="248" ht="12.75" customHeight="1">
      <c r="A248" s="15"/>
      <c r="B248" s="16"/>
      <c r="C248" s="3"/>
      <c r="D248" s="3"/>
      <c r="E248" s="3"/>
      <c r="F248" s="3"/>
      <c r="G248" s="3"/>
      <c r="H248" s="3"/>
      <c r="I248" s="3"/>
      <c r="K248" s="3"/>
      <c r="L248" s="3"/>
      <c r="M248" s="3"/>
      <c r="N248" s="3"/>
      <c r="O248" s="3"/>
      <c r="P248" s="3"/>
      <c r="Q248" s="3"/>
      <c r="R248" s="3"/>
      <c r="V248" s="3"/>
      <c r="X248" s="3"/>
    </row>
    <row r="249" ht="12.75" customHeight="1">
      <c r="A249" s="15"/>
      <c r="B249" s="16"/>
      <c r="C249" s="3"/>
      <c r="D249" s="3"/>
      <c r="E249" s="3"/>
      <c r="F249" s="3"/>
      <c r="G249" s="3"/>
      <c r="H249" s="3"/>
      <c r="I249" s="3"/>
      <c r="K249" s="3"/>
      <c r="L249" s="3"/>
      <c r="M249" s="3"/>
      <c r="N249" s="3"/>
      <c r="O249" s="3"/>
      <c r="P249" s="3"/>
      <c r="Q249" s="3"/>
      <c r="R249" s="3"/>
      <c r="V249" s="3"/>
      <c r="X249" s="3"/>
    </row>
    <row r="250" ht="12.75" customHeight="1">
      <c r="A250" s="15"/>
      <c r="B250" s="16"/>
      <c r="C250" s="3"/>
      <c r="D250" s="3"/>
      <c r="E250" s="3"/>
      <c r="F250" s="3"/>
      <c r="G250" s="3"/>
      <c r="H250" s="3"/>
      <c r="I250" s="3"/>
      <c r="K250" s="3"/>
      <c r="L250" s="3"/>
      <c r="M250" s="3"/>
      <c r="N250" s="3"/>
      <c r="O250" s="3"/>
      <c r="P250" s="3"/>
      <c r="Q250" s="3"/>
      <c r="R250" s="3"/>
      <c r="V250" s="3"/>
      <c r="X250" s="3"/>
    </row>
    <row r="251" ht="12.75" customHeight="1">
      <c r="A251" s="15"/>
      <c r="B251" s="16"/>
      <c r="C251" s="3"/>
      <c r="D251" s="3"/>
      <c r="E251" s="3"/>
      <c r="F251" s="3"/>
      <c r="G251" s="3"/>
      <c r="H251" s="3"/>
      <c r="I251" s="3"/>
      <c r="K251" s="3"/>
      <c r="L251" s="3"/>
      <c r="M251" s="3"/>
      <c r="N251" s="3"/>
      <c r="O251" s="3"/>
      <c r="P251" s="3"/>
      <c r="Q251" s="3"/>
      <c r="R251" s="3"/>
      <c r="V251" s="3"/>
      <c r="X251" s="3"/>
    </row>
    <row r="252" ht="12.75" customHeight="1">
      <c r="A252" s="15"/>
      <c r="B252" s="16"/>
      <c r="C252" s="3"/>
      <c r="D252" s="3"/>
      <c r="E252" s="3"/>
      <c r="F252" s="3"/>
      <c r="G252" s="3"/>
      <c r="H252" s="3"/>
      <c r="I252" s="3"/>
      <c r="K252" s="3"/>
      <c r="L252" s="3"/>
      <c r="M252" s="3"/>
      <c r="N252" s="3"/>
      <c r="O252" s="3"/>
      <c r="P252" s="3"/>
      <c r="Q252" s="3"/>
      <c r="R252" s="3"/>
      <c r="V252" s="3"/>
      <c r="X252" s="3"/>
    </row>
    <row r="253" ht="12.75" customHeight="1">
      <c r="A253" s="15"/>
      <c r="B253" s="16"/>
      <c r="C253" s="3"/>
      <c r="D253" s="3"/>
      <c r="E253" s="3"/>
      <c r="F253" s="3"/>
      <c r="G253" s="3"/>
      <c r="H253" s="3"/>
      <c r="I253" s="3"/>
      <c r="K253" s="3"/>
      <c r="L253" s="3"/>
      <c r="M253" s="3"/>
      <c r="N253" s="3"/>
      <c r="O253" s="3"/>
      <c r="P253" s="3"/>
      <c r="Q253" s="3"/>
      <c r="R253" s="3"/>
      <c r="V253" s="3"/>
      <c r="X253" s="3"/>
    </row>
    <row r="254" ht="12.75" customHeight="1">
      <c r="A254" s="15"/>
      <c r="B254" s="16"/>
      <c r="C254" s="3"/>
      <c r="D254" s="3"/>
      <c r="E254" s="3"/>
      <c r="F254" s="3"/>
      <c r="G254" s="3"/>
      <c r="H254" s="3"/>
      <c r="I254" s="3"/>
      <c r="K254" s="3"/>
      <c r="L254" s="3"/>
      <c r="M254" s="3"/>
      <c r="N254" s="3"/>
      <c r="O254" s="3"/>
      <c r="P254" s="3"/>
      <c r="Q254" s="3"/>
      <c r="R254" s="3"/>
      <c r="V254" s="3"/>
      <c r="X254" s="3"/>
    </row>
    <row r="255" ht="12.75" customHeight="1">
      <c r="A255" s="15"/>
      <c r="B255" s="16"/>
      <c r="C255" s="3"/>
      <c r="D255" s="3"/>
      <c r="E255" s="3"/>
      <c r="F255" s="3"/>
      <c r="G255" s="3"/>
      <c r="H255" s="3"/>
      <c r="I255" s="3"/>
      <c r="K255" s="3"/>
      <c r="L255" s="3"/>
      <c r="M255" s="3"/>
      <c r="N255" s="3"/>
      <c r="O255" s="3"/>
      <c r="P255" s="3"/>
      <c r="Q255" s="3"/>
      <c r="R255" s="3"/>
      <c r="V255" s="3"/>
      <c r="X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K256" s="3"/>
      <c r="L256" s="3"/>
      <c r="M256" s="3"/>
      <c r="N256" s="3"/>
      <c r="O256" s="3"/>
      <c r="P256" s="3"/>
      <c r="Q256" s="3"/>
      <c r="R256" s="3"/>
      <c r="V256" s="3"/>
      <c r="X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K257" s="3"/>
      <c r="L257" s="3"/>
      <c r="M257" s="3"/>
      <c r="N257" s="3"/>
      <c r="O257" s="3"/>
      <c r="P257" s="3"/>
      <c r="Q257" s="3"/>
      <c r="R257" s="3"/>
      <c r="V257" s="3"/>
      <c r="X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K258" s="3"/>
      <c r="L258" s="3"/>
      <c r="M258" s="3"/>
      <c r="N258" s="3"/>
      <c r="O258" s="3"/>
      <c r="P258" s="3"/>
      <c r="Q258" s="3"/>
      <c r="R258" s="3"/>
      <c r="V258" s="3"/>
      <c r="X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K259" s="3"/>
      <c r="L259" s="3"/>
      <c r="M259" s="3"/>
      <c r="N259" s="3"/>
      <c r="O259" s="3"/>
      <c r="P259" s="3"/>
      <c r="Q259" s="3"/>
      <c r="R259" s="3"/>
      <c r="V259" s="3"/>
      <c r="X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K260" s="3"/>
      <c r="L260" s="3"/>
      <c r="M260" s="3"/>
      <c r="N260" s="3"/>
      <c r="O260" s="3"/>
      <c r="P260" s="3"/>
      <c r="Q260" s="3"/>
      <c r="R260" s="3"/>
      <c r="V260" s="3"/>
      <c r="X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K261" s="3"/>
      <c r="L261" s="3"/>
      <c r="M261" s="3"/>
      <c r="N261" s="3"/>
      <c r="O261" s="3"/>
      <c r="P261" s="3"/>
      <c r="Q261" s="3"/>
      <c r="R261" s="3"/>
      <c r="V261" s="3"/>
      <c r="X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K262" s="3"/>
      <c r="L262" s="3"/>
      <c r="M262" s="3"/>
      <c r="N262" s="3"/>
      <c r="O262" s="3"/>
      <c r="P262" s="3"/>
      <c r="Q262" s="3"/>
      <c r="R262" s="3"/>
      <c r="V262" s="3"/>
      <c r="X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K263" s="3"/>
      <c r="L263" s="3"/>
      <c r="M263" s="3"/>
      <c r="N263" s="3"/>
      <c r="O263" s="3"/>
      <c r="P263" s="3"/>
      <c r="Q263" s="3"/>
      <c r="R263" s="3"/>
      <c r="V263" s="3"/>
      <c r="X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K264" s="3"/>
      <c r="L264" s="3"/>
      <c r="M264" s="3"/>
      <c r="N264" s="3"/>
      <c r="O264" s="3"/>
      <c r="P264" s="3"/>
      <c r="Q264" s="3"/>
      <c r="R264" s="3"/>
      <c r="V264" s="3"/>
      <c r="X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K265" s="3"/>
      <c r="L265" s="3"/>
      <c r="M265" s="3"/>
      <c r="N265" s="3"/>
      <c r="O265" s="3"/>
      <c r="P265" s="3"/>
      <c r="Q265" s="3"/>
      <c r="R265" s="3"/>
      <c r="V265" s="3"/>
      <c r="X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K266" s="3"/>
      <c r="L266" s="3"/>
      <c r="M266" s="3"/>
      <c r="N266" s="3"/>
      <c r="O266" s="3"/>
      <c r="P266" s="3"/>
      <c r="Q266" s="3"/>
      <c r="R266" s="3"/>
      <c r="V266" s="3"/>
      <c r="X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K267" s="3"/>
      <c r="L267" s="3"/>
      <c r="M267" s="3"/>
      <c r="N267" s="3"/>
      <c r="O267" s="3"/>
      <c r="P267" s="3"/>
      <c r="Q267" s="3"/>
      <c r="R267" s="3"/>
      <c r="V267" s="3"/>
      <c r="X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K268" s="3"/>
      <c r="L268" s="3"/>
      <c r="M268" s="3"/>
      <c r="N268" s="3"/>
      <c r="O268" s="3"/>
      <c r="P268" s="3"/>
      <c r="Q268" s="3"/>
      <c r="R268" s="3"/>
      <c r="V268" s="3"/>
      <c r="X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K269" s="3"/>
      <c r="L269" s="3"/>
      <c r="M269" s="3"/>
      <c r="N269" s="3"/>
      <c r="O269" s="3"/>
      <c r="P269" s="3"/>
      <c r="Q269" s="3"/>
      <c r="R269" s="3"/>
      <c r="V269" s="3"/>
      <c r="X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K270" s="3"/>
      <c r="L270" s="3"/>
      <c r="M270" s="3"/>
      <c r="N270" s="3"/>
      <c r="O270" s="3"/>
      <c r="P270" s="3"/>
      <c r="Q270" s="3"/>
      <c r="R270" s="3"/>
      <c r="V270" s="3"/>
      <c r="X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K271" s="3"/>
      <c r="L271" s="3"/>
      <c r="M271" s="3"/>
      <c r="N271" s="3"/>
      <c r="O271" s="3"/>
      <c r="P271" s="3"/>
      <c r="Q271" s="3"/>
      <c r="R271" s="3"/>
      <c r="V271" s="3"/>
      <c r="X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K272" s="3"/>
      <c r="L272" s="3"/>
      <c r="M272" s="3"/>
      <c r="N272" s="3"/>
      <c r="O272" s="3"/>
      <c r="P272" s="3"/>
      <c r="Q272" s="3"/>
      <c r="R272" s="3"/>
      <c r="V272" s="3"/>
      <c r="X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K273" s="3"/>
      <c r="L273" s="3"/>
      <c r="M273" s="3"/>
      <c r="N273" s="3"/>
      <c r="O273" s="3"/>
      <c r="P273" s="3"/>
      <c r="Q273" s="3"/>
      <c r="R273" s="3"/>
      <c r="V273" s="3"/>
      <c r="X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K274" s="3"/>
      <c r="L274" s="3"/>
      <c r="M274" s="3"/>
      <c r="N274" s="3"/>
      <c r="O274" s="3"/>
      <c r="P274" s="3"/>
      <c r="Q274" s="3"/>
      <c r="R274" s="3"/>
      <c r="V274" s="3"/>
      <c r="X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K275" s="3"/>
      <c r="L275" s="3"/>
      <c r="M275" s="3"/>
      <c r="N275" s="3"/>
      <c r="O275" s="3"/>
      <c r="P275" s="3"/>
      <c r="Q275" s="3"/>
      <c r="R275" s="3"/>
      <c r="V275" s="3"/>
      <c r="X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K276" s="3"/>
      <c r="L276" s="3"/>
      <c r="M276" s="3"/>
      <c r="N276" s="3"/>
      <c r="O276" s="3"/>
      <c r="P276" s="3"/>
      <c r="Q276" s="3"/>
      <c r="R276" s="3"/>
      <c r="V276" s="3"/>
      <c r="X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K277" s="3"/>
      <c r="L277" s="3"/>
      <c r="M277" s="3"/>
      <c r="N277" s="3"/>
      <c r="O277" s="3"/>
      <c r="P277" s="3"/>
      <c r="Q277" s="3"/>
      <c r="R277" s="3"/>
      <c r="V277" s="3"/>
      <c r="X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K278" s="3"/>
      <c r="L278" s="3"/>
      <c r="M278" s="3"/>
      <c r="N278" s="3"/>
      <c r="O278" s="3"/>
      <c r="P278" s="3"/>
      <c r="Q278" s="3"/>
      <c r="R278" s="3"/>
      <c r="V278" s="3"/>
      <c r="X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K279" s="3"/>
      <c r="L279" s="3"/>
      <c r="M279" s="3"/>
      <c r="N279" s="3"/>
      <c r="O279" s="3"/>
      <c r="P279" s="3"/>
      <c r="Q279" s="3"/>
      <c r="R279" s="3"/>
      <c r="V279" s="3"/>
      <c r="X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K280" s="3"/>
      <c r="L280" s="3"/>
      <c r="M280" s="3"/>
      <c r="N280" s="3"/>
      <c r="O280" s="3"/>
      <c r="P280" s="3"/>
      <c r="Q280" s="3"/>
      <c r="R280" s="3"/>
      <c r="V280" s="3"/>
      <c r="X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K281" s="3"/>
      <c r="L281" s="3"/>
      <c r="M281" s="3"/>
      <c r="N281" s="3"/>
      <c r="O281" s="3"/>
      <c r="P281" s="3"/>
      <c r="Q281" s="3"/>
      <c r="R281" s="3"/>
      <c r="V281" s="3"/>
      <c r="X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K282" s="3"/>
      <c r="L282" s="3"/>
      <c r="M282" s="3"/>
      <c r="N282" s="3"/>
      <c r="O282" s="3"/>
      <c r="P282" s="3"/>
      <c r="Q282" s="3"/>
      <c r="R282" s="3"/>
      <c r="V282" s="3"/>
      <c r="X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K283" s="3"/>
      <c r="L283" s="3"/>
      <c r="M283" s="3"/>
      <c r="N283" s="3"/>
      <c r="O283" s="3"/>
      <c r="P283" s="3"/>
      <c r="Q283" s="3"/>
      <c r="R283" s="3"/>
      <c r="V283" s="3"/>
      <c r="X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K284" s="3"/>
      <c r="L284" s="3"/>
      <c r="M284" s="3"/>
      <c r="N284" s="3"/>
      <c r="O284" s="3"/>
      <c r="P284" s="3"/>
      <c r="Q284" s="3"/>
      <c r="R284" s="3"/>
      <c r="V284" s="3"/>
      <c r="X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K285" s="3"/>
      <c r="L285" s="3"/>
      <c r="M285" s="3"/>
      <c r="N285" s="3"/>
      <c r="O285" s="3"/>
      <c r="P285" s="3"/>
      <c r="Q285" s="3"/>
      <c r="R285" s="3"/>
      <c r="V285" s="3"/>
      <c r="X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K286" s="3"/>
      <c r="L286" s="3"/>
      <c r="M286" s="3"/>
      <c r="N286" s="3"/>
      <c r="O286" s="3"/>
      <c r="P286" s="3"/>
      <c r="Q286" s="3"/>
      <c r="R286" s="3"/>
      <c r="V286" s="3"/>
      <c r="X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K287" s="3"/>
      <c r="L287" s="3"/>
      <c r="M287" s="3"/>
      <c r="N287" s="3"/>
      <c r="O287" s="3"/>
      <c r="P287" s="3"/>
      <c r="Q287" s="3"/>
      <c r="R287" s="3"/>
      <c r="V287" s="3"/>
      <c r="X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K288" s="3"/>
      <c r="L288" s="3"/>
      <c r="M288" s="3"/>
      <c r="N288" s="3"/>
      <c r="O288" s="3"/>
      <c r="P288" s="3"/>
      <c r="Q288" s="3"/>
      <c r="R288" s="3"/>
      <c r="V288" s="3"/>
      <c r="X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K289" s="3"/>
      <c r="L289" s="3"/>
      <c r="M289" s="3"/>
      <c r="N289" s="3"/>
      <c r="O289" s="3"/>
      <c r="P289" s="3"/>
      <c r="Q289" s="3"/>
      <c r="R289" s="3"/>
      <c r="V289" s="3"/>
      <c r="X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K290" s="3"/>
      <c r="L290" s="3"/>
      <c r="M290" s="3"/>
      <c r="N290" s="3"/>
      <c r="O290" s="3"/>
      <c r="P290" s="3"/>
      <c r="Q290" s="3"/>
      <c r="R290" s="3"/>
      <c r="V290" s="3"/>
      <c r="X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K291" s="3"/>
      <c r="L291" s="3"/>
      <c r="M291" s="3"/>
      <c r="N291" s="3"/>
      <c r="O291" s="3"/>
      <c r="P291" s="3"/>
      <c r="Q291" s="3"/>
      <c r="R291" s="3"/>
      <c r="V291" s="3"/>
      <c r="X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K292" s="3"/>
      <c r="L292" s="3"/>
      <c r="M292" s="3"/>
      <c r="N292" s="3"/>
      <c r="O292" s="3"/>
      <c r="P292" s="3"/>
      <c r="Q292" s="3"/>
      <c r="R292" s="3"/>
      <c r="V292" s="3"/>
      <c r="X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K293" s="3"/>
      <c r="L293" s="3"/>
      <c r="M293" s="3"/>
      <c r="N293" s="3"/>
      <c r="O293" s="3"/>
      <c r="P293" s="3"/>
      <c r="Q293" s="3"/>
      <c r="R293" s="3"/>
      <c r="V293" s="3"/>
      <c r="X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K294" s="3"/>
      <c r="L294" s="3"/>
      <c r="M294" s="3"/>
      <c r="N294" s="3"/>
      <c r="O294" s="3"/>
      <c r="P294" s="3"/>
      <c r="Q294" s="3"/>
      <c r="R294" s="3"/>
      <c r="V294" s="3"/>
      <c r="X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K295" s="3"/>
      <c r="L295" s="3"/>
      <c r="M295" s="3"/>
      <c r="N295" s="3"/>
      <c r="O295" s="3"/>
      <c r="P295" s="3"/>
      <c r="Q295" s="3"/>
      <c r="R295" s="3"/>
      <c r="V295" s="3"/>
      <c r="X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K296" s="3"/>
      <c r="L296" s="3"/>
      <c r="M296" s="3"/>
      <c r="N296" s="3"/>
      <c r="O296" s="3"/>
      <c r="P296" s="3"/>
      <c r="Q296" s="3"/>
      <c r="R296" s="3"/>
      <c r="V296" s="3"/>
      <c r="X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K297" s="3"/>
      <c r="L297" s="3"/>
      <c r="M297" s="3"/>
      <c r="N297" s="3"/>
      <c r="O297" s="3"/>
      <c r="P297" s="3"/>
      <c r="Q297" s="3"/>
      <c r="R297" s="3"/>
      <c r="V297" s="3"/>
      <c r="X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K298" s="3"/>
      <c r="L298" s="3"/>
      <c r="M298" s="3"/>
      <c r="N298" s="3"/>
      <c r="O298" s="3"/>
      <c r="P298" s="3"/>
      <c r="Q298" s="3"/>
      <c r="R298" s="3"/>
      <c r="V298" s="3"/>
      <c r="X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K299" s="3"/>
      <c r="L299" s="3"/>
      <c r="M299" s="3"/>
      <c r="N299" s="3"/>
      <c r="O299" s="3"/>
      <c r="P299" s="3"/>
      <c r="Q299" s="3"/>
      <c r="R299" s="3"/>
      <c r="V299" s="3"/>
      <c r="X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K300" s="3"/>
      <c r="L300" s="3"/>
      <c r="M300" s="3"/>
      <c r="N300" s="3"/>
      <c r="O300" s="3"/>
      <c r="P300" s="3"/>
      <c r="Q300" s="3"/>
      <c r="R300" s="3"/>
      <c r="V300" s="3"/>
      <c r="X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K301" s="3"/>
      <c r="L301" s="3"/>
      <c r="M301" s="3"/>
      <c r="N301" s="3"/>
      <c r="O301" s="3"/>
      <c r="P301" s="3"/>
      <c r="Q301" s="3"/>
      <c r="R301" s="3"/>
      <c r="V301" s="3"/>
      <c r="X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K302" s="3"/>
      <c r="L302" s="3"/>
      <c r="M302" s="3"/>
      <c r="N302" s="3"/>
      <c r="O302" s="3"/>
      <c r="P302" s="3"/>
      <c r="Q302" s="3"/>
      <c r="R302" s="3"/>
      <c r="V302" s="3"/>
      <c r="X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K303" s="3"/>
      <c r="L303" s="3"/>
      <c r="M303" s="3"/>
      <c r="N303" s="3"/>
      <c r="O303" s="3"/>
      <c r="P303" s="3"/>
      <c r="Q303" s="3"/>
      <c r="R303" s="3"/>
      <c r="V303" s="3"/>
      <c r="X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K304" s="3"/>
      <c r="L304" s="3"/>
      <c r="M304" s="3"/>
      <c r="N304" s="3"/>
      <c r="O304" s="3"/>
      <c r="P304" s="3"/>
      <c r="Q304" s="3"/>
      <c r="R304" s="3"/>
      <c r="V304" s="3"/>
      <c r="X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K305" s="3"/>
      <c r="L305" s="3"/>
      <c r="M305" s="3"/>
      <c r="N305" s="3"/>
      <c r="O305" s="3"/>
      <c r="P305" s="3"/>
      <c r="Q305" s="3"/>
      <c r="R305" s="3"/>
      <c r="V305" s="3"/>
      <c r="X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K306" s="3"/>
      <c r="L306" s="3"/>
      <c r="M306" s="3"/>
      <c r="N306" s="3"/>
      <c r="O306" s="3"/>
      <c r="P306" s="3"/>
      <c r="Q306" s="3"/>
      <c r="R306" s="3"/>
      <c r="V306" s="3"/>
      <c r="X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K307" s="3"/>
      <c r="L307" s="3"/>
      <c r="M307" s="3"/>
      <c r="N307" s="3"/>
      <c r="O307" s="3"/>
      <c r="P307" s="3"/>
      <c r="Q307" s="3"/>
      <c r="R307" s="3"/>
      <c r="V307" s="3"/>
      <c r="X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K308" s="3"/>
      <c r="L308" s="3"/>
      <c r="M308" s="3"/>
      <c r="N308" s="3"/>
      <c r="O308" s="3"/>
      <c r="P308" s="3"/>
      <c r="Q308" s="3"/>
      <c r="R308" s="3"/>
      <c r="V308" s="3"/>
      <c r="X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K309" s="3"/>
      <c r="L309" s="3"/>
      <c r="M309" s="3"/>
      <c r="N309" s="3"/>
      <c r="O309" s="3"/>
      <c r="P309" s="3"/>
      <c r="Q309" s="3"/>
      <c r="R309" s="3"/>
      <c r="V309" s="3"/>
      <c r="X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K310" s="3"/>
      <c r="L310" s="3"/>
      <c r="M310" s="3"/>
      <c r="N310" s="3"/>
      <c r="O310" s="3"/>
      <c r="P310" s="3"/>
      <c r="Q310" s="3"/>
      <c r="R310" s="3"/>
      <c r="V310" s="3"/>
      <c r="X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K311" s="3"/>
      <c r="L311" s="3"/>
      <c r="M311" s="3"/>
      <c r="N311" s="3"/>
      <c r="O311" s="3"/>
      <c r="P311" s="3"/>
      <c r="Q311" s="3"/>
      <c r="R311" s="3"/>
      <c r="V311" s="3"/>
      <c r="X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K312" s="3"/>
      <c r="L312" s="3"/>
      <c r="M312" s="3"/>
      <c r="N312" s="3"/>
      <c r="O312" s="3"/>
      <c r="P312" s="3"/>
      <c r="Q312" s="3"/>
      <c r="R312" s="3"/>
      <c r="V312" s="3"/>
      <c r="X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K313" s="3"/>
      <c r="L313" s="3"/>
      <c r="M313" s="3"/>
      <c r="N313" s="3"/>
      <c r="O313" s="3"/>
      <c r="P313" s="3"/>
      <c r="Q313" s="3"/>
      <c r="R313" s="3"/>
      <c r="V313" s="3"/>
      <c r="X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K314" s="3"/>
      <c r="L314" s="3"/>
      <c r="M314" s="3"/>
      <c r="N314" s="3"/>
      <c r="O314" s="3"/>
      <c r="P314" s="3"/>
      <c r="Q314" s="3"/>
      <c r="R314" s="3"/>
      <c r="V314" s="3"/>
      <c r="X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K315" s="3"/>
      <c r="L315" s="3"/>
      <c r="M315" s="3"/>
      <c r="N315" s="3"/>
      <c r="O315" s="3"/>
      <c r="P315" s="3"/>
      <c r="Q315" s="3"/>
      <c r="R315" s="3"/>
      <c r="V315" s="3"/>
      <c r="X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K316" s="3"/>
      <c r="L316" s="3"/>
      <c r="M316" s="3"/>
      <c r="N316" s="3"/>
      <c r="O316" s="3"/>
      <c r="P316" s="3"/>
      <c r="Q316" s="3"/>
      <c r="R316" s="3"/>
      <c r="V316" s="3"/>
      <c r="X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K317" s="3"/>
      <c r="L317" s="3"/>
      <c r="M317" s="3"/>
      <c r="N317" s="3"/>
      <c r="O317" s="3"/>
      <c r="P317" s="3"/>
      <c r="Q317" s="3"/>
      <c r="R317" s="3"/>
      <c r="V317" s="3"/>
      <c r="X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K318" s="3"/>
      <c r="L318" s="3"/>
      <c r="M318" s="3"/>
      <c r="N318" s="3"/>
      <c r="O318" s="3"/>
      <c r="P318" s="3"/>
      <c r="Q318" s="3"/>
      <c r="R318" s="3"/>
      <c r="V318" s="3"/>
      <c r="X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K319" s="3"/>
      <c r="L319" s="3"/>
      <c r="M319" s="3"/>
      <c r="N319" s="3"/>
      <c r="O319" s="3"/>
      <c r="P319" s="3"/>
      <c r="Q319" s="3"/>
      <c r="R319" s="3"/>
      <c r="V319" s="3"/>
      <c r="X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K320" s="3"/>
      <c r="L320" s="3"/>
      <c r="M320" s="3"/>
      <c r="N320" s="3"/>
      <c r="O320" s="3"/>
      <c r="P320" s="3"/>
      <c r="Q320" s="3"/>
      <c r="R320" s="3"/>
      <c r="V320" s="3"/>
      <c r="X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K321" s="3"/>
      <c r="L321" s="3"/>
      <c r="M321" s="3"/>
      <c r="N321" s="3"/>
      <c r="O321" s="3"/>
      <c r="P321" s="3"/>
      <c r="Q321" s="3"/>
      <c r="R321" s="3"/>
      <c r="V321" s="3"/>
      <c r="X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K322" s="3"/>
      <c r="L322" s="3"/>
      <c r="M322" s="3"/>
      <c r="N322" s="3"/>
      <c r="O322" s="3"/>
      <c r="P322" s="3"/>
      <c r="Q322" s="3"/>
      <c r="R322" s="3"/>
      <c r="V322" s="3"/>
      <c r="X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K323" s="3"/>
      <c r="L323" s="3"/>
      <c r="M323" s="3"/>
      <c r="N323" s="3"/>
      <c r="O323" s="3"/>
      <c r="P323" s="3"/>
      <c r="Q323" s="3"/>
      <c r="R323" s="3"/>
      <c r="V323" s="3"/>
      <c r="X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K324" s="3"/>
      <c r="L324" s="3"/>
      <c r="M324" s="3"/>
      <c r="N324" s="3"/>
      <c r="O324" s="3"/>
      <c r="P324" s="3"/>
      <c r="Q324" s="3"/>
      <c r="R324" s="3"/>
      <c r="V324" s="3"/>
      <c r="X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K325" s="3"/>
      <c r="L325" s="3"/>
      <c r="M325" s="3"/>
      <c r="N325" s="3"/>
      <c r="O325" s="3"/>
      <c r="P325" s="3"/>
      <c r="Q325" s="3"/>
      <c r="R325" s="3"/>
      <c r="V325" s="3"/>
      <c r="X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K326" s="3"/>
      <c r="L326" s="3"/>
      <c r="M326" s="3"/>
      <c r="N326" s="3"/>
      <c r="O326" s="3"/>
      <c r="P326" s="3"/>
      <c r="Q326" s="3"/>
      <c r="R326" s="3"/>
      <c r="V326" s="3"/>
      <c r="X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K327" s="3"/>
      <c r="L327" s="3"/>
      <c r="M327" s="3"/>
      <c r="N327" s="3"/>
      <c r="O327" s="3"/>
      <c r="P327" s="3"/>
      <c r="Q327" s="3"/>
      <c r="R327" s="3"/>
      <c r="V327" s="3"/>
      <c r="X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K328" s="3"/>
      <c r="L328" s="3"/>
      <c r="M328" s="3"/>
      <c r="N328" s="3"/>
      <c r="O328" s="3"/>
      <c r="P328" s="3"/>
      <c r="Q328" s="3"/>
      <c r="R328" s="3"/>
      <c r="V328" s="3"/>
      <c r="X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K329" s="3"/>
      <c r="L329" s="3"/>
      <c r="M329" s="3"/>
      <c r="N329" s="3"/>
      <c r="O329" s="3"/>
      <c r="P329" s="3"/>
      <c r="Q329" s="3"/>
      <c r="R329" s="3"/>
      <c r="V329" s="3"/>
      <c r="X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K330" s="3"/>
      <c r="L330" s="3"/>
      <c r="M330" s="3"/>
      <c r="N330" s="3"/>
      <c r="O330" s="3"/>
      <c r="P330" s="3"/>
      <c r="Q330" s="3"/>
      <c r="R330" s="3"/>
      <c r="V330" s="3"/>
      <c r="X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K331" s="3"/>
      <c r="L331" s="3"/>
      <c r="M331" s="3"/>
      <c r="N331" s="3"/>
      <c r="O331" s="3"/>
      <c r="P331" s="3"/>
      <c r="Q331" s="3"/>
      <c r="R331" s="3"/>
      <c r="V331" s="3"/>
      <c r="X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K332" s="3"/>
      <c r="L332" s="3"/>
      <c r="M332" s="3"/>
      <c r="N332" s="3"/>
      <c r="O332" s="3"/>
      <c r="P332" s="3"/>
      <c r="Q332" s="3"/>
      <c r="R332" s="3"/>
      <c r="V332" s="3"/>
      <c r="X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K333" s="3"/>
      <c r="L333" s="3"/>
      <c r="M333" s="3"/>
      <c r="N333" s="3"/>
      <c r="O333" s="3"/>
      <c r="P333" s="3"/>
      <c r="Q333" s="3"/>
      <c r="R333" s="3"/>
      <c r="V333" s="3"/>
      <c r="X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K334" s="3"/>
      <c r="L334" s="3"/>
      <c r="M334" s="3"/>
      <c r="N334" s="3"/>
      <c r="O334" s="3"/>
      <c r="P334" s="3"/>
      <c r="Q334" s="3"/>
      <c r="R334" s="3"/>
      <c r="V334" s="3"/>
      <c r="X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K335" s="3"/>
      <c r="L335" s="3"/>
      <c r="M335" s="3"/>
      <c r="N335" s="3"/>
      <c r="O335" s="3"/>
      <c r="P335" s="3"/>
      <c r="Q335" s="3"/>
      <c r="R335" s="3"/>
      <c r="V335" s="3"/>
      <c r="X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K336" s="3"/>
      <c r="L336" s="3"/>
      <c r="M336" s="3"/>
      <c r="N336" s="3"/>
      <c r="O336" s="3"/>
      <c r="P336" s="3"/>
      <c r="Q336" s="3"/>
      <c r="R336" s="3"/>
      <c r="V336" s="3"/>
      <c r="X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K337" s="3"/>
      <c r="L337" s="3"/>
      <c r="M337" s="3"/>
      <c r="N337" s="3"/>
      <c r="O337" s="3"/>
      <c r="P337" s="3"/>
      <c r="Q337" s="3"/>
      <c r="R337" s="3"/>
      <c r="V337" s="3"/>
      <c r="X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K338" s="3"/>
      <c r="L338" s="3"/>
      <c r="M338" s="3"/>
      <c r="N338" s="3"/>
      <c r="O338" s="3"/>
      <c r="P338" s="3"/>
      <c r="Q338" s="3"/>
      <c r="R338" s="3"/>
      <c r="V338" s="3"/>
      <c r="X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K339" s="3"/>
      <c r="L339" s="3"/>
      <c r="M339" s="3"/>
      <c r="N339" s="3"/>
      <c r="O339" s="3"/>
      <c r="P339" s="3"/>
      <c r="Q339" s="3"/>
      <c r="R339" s="3"/>
      <c r="V339" s="3"/>
      <c r="X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K340" s="3"/>
      <c r="L340" s="3"/>
      <c r="M340" s="3"/>
      <c r="N340" s="3"/>
      <c r="O340" s="3"/>
      <c r="P340" s="3"/>
      <c r="Q340" s="3"/>
      <c r="R340" s="3"/>
      <c r="V340" s="3"/>
      <c r="X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K341" s="3"/>
      <c r="L341" s="3"/>
      <c r="M341" s="3"/>
      <c r="N341" s="3"/>
      <c r="O341" s="3"/>
      <c r="P341" s="3"/>
      <c r="Q341" s="3"/>
      <c r="R341" s="3"/>
      <c r="V341" s="3"/>
      <c r="X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K342" s="3"/>
      <c r="L342" s="3"/>
      <c r="M342" s="3"/>
      <c r="N342" s="3"/>
      <c r="O342" s="3"/>
      <c r="P342" s="3"/>
      <c r="Q342" s="3"/>
      <c r="R342" s="3"/>
      <c r="V342" s="3"/>
      <c r="X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K343" s="3"/>
      <c r="L343" s="3"/>
      <c r="M343" s="3"/>
      <c r="N343" s="3"/>
      <c r="O343" s="3"/>
      <c r="P343" s="3"/>
      <c r="Q343" s="3"/>
      <c r="R343" s="3"/>
      <c r="V343" s="3"/>
      <c r="X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K344" s="3"/>
      <c r="L344" s="3"/>
      <c r="M344" s="3"/>
      <c r="N344" s="3"/>
      <c r="O344" s="3"/>
      <c r="P344" s="3"/>
      <c r="Q344" s="3"/>
      <c r="R344" s="3"/>
      <c r="V344" s="3"/>
      <c r="X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K345" s="3"/>
      <c r="L345" s="3"/>
      <c r="M345" s="3"/>
      <c r="N345" s="3"/>
      <c r="O345" s="3"/>
      <c r="P345" s="3"/>
      <c r="Q345" s="3"/>
      <c r="R345" s="3"/>
      <c r="V345" s="3"/>
      <c r="X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K346" s="3"/>
      <c r="L346" s="3"/>
      <c r="M346" s="3"/>
      <c r="N346" s="3"/>
      <c r="O346" s="3"/>
      <c r="P346" s="3"/>
      <c r="Q346" s="3"/>
      <c r="R346" s="3"/>
      <c r="V346" s="3"/>
      <c r="X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K347" s="3"/>
      <c r="L347" s="3"/>
      <c r="M347" s="3"/>
      <c r="N347" s="3"/>
      <c r="O347" s="3"/>
      <c r="P347" s="3"/>
      <c r="Q347" s="3"/>
      <c r="R347" s="3"/>
      <c r="V347" s="3"/>
      <c r="X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K348" s="3"/>
      <c r="L348" s="3"/>
      <c r="M348" s="3"/>
      <c r="N348" s="3"/>
      <c r="O348" s="3"/>
      <c r="P348" s="3"/>
      <c r="Q348" s="3"/>
      <c r="R348" s="3"/>
      <c r="V348" s="3"/>
      <c r="X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K349" s="3"/>
      <c r="L349" s="3"/>
      <c r="M349" s="3"/>
      <c r="N349" s="3"/>
      <c r="O349" s="3"/>
      <c r="P349" s="3"/>
      <c r="Q349" s="3"/>
      <c r="R349" s="3"/>
      <c r="V349" s="3"/>
      <c r="X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K350" s="3"/>
      <c r="L350" s="3"/>
      <c r="M350" s="3"/>
      <c r="N350" s="3"/>
      <c r="O350" s="3"/>
      <c r="P350" s="3"/>
      <c r="Q350" s="3"/>
      <c r="R350" s="3"/>
      <c r="V350" s="3"/>
      <c r="X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K351" s="3"/>
      <c r="L351" s="3"/>
      <c r="M351" s="3"/>
      <c r="N351" s="3"/>
      <c r="O351" s="3"/>
      <c r="P351" s="3"/>
      <c r="Q351" s="3"/>
      <c r="R351" s="3"/>
      <c r="V351" s="3"/>
      <c r="X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K352" s="3"/>
      <c r="L352" s="3"/>
      <c r="M352" s="3"/>
      <c r="N352" s="3"/>
      <c r="O352" s="3"/>
      <c r="P352" s="3"/>
      <c r="Q352" s="3"/>
      <c r="R352" s="3"/>
      <c r="V352" s="3"/>
      <c r="X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K353" s="3"/>
      <c r="L353" s="3"/>
      <c r="M353" s="3"/>
      <c r="N353" s="3"/>
      <c r="O353" s="3"/>
      <c r="P353" s="3"/>
      <c r="Q353" s="3"/>
      <c r="R353" s="3"/>
      <c r="V353" s="3"/>
      <c r="X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K354" s="3"/>
      <c r="L354" s="3"/>
      <c r="M354" s="3"/>
      <c r="N354" s="3"/>
      <c r="O354" s="3"/>
      <c r="P354" s="3"/>
      <c r="Q354" s="3"/>
      <c r="R354" s="3"/>
      <c r="V354" s="3"/>
      <c r="X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K355" s="3"/>
      <c r="L355" s="3"/>
      <c r="M355" s="3"/>
      <c r="N355" s="3"/>
      <c r="O355" s="3"/>
      <c r="P355" s="3"/>
      <c r="Q355" s="3"/>
      <c r="R355" s="3"/>
      <c r="V355" s="3"/>
      <c r="X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K356" s="3"/>
      <c r="L356" s="3"/>
      <c r="M356" s="3"/>
      <c r="N356" s="3"/>
      <c r="O356" s="3"/>
      <c r="P356" s="3"/>
      <c r="Q356" s="3"/>
      <c r="R356" s="3"/>
      <c r="V356" s="3"/>
      <c r="X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K357" s="3"/>
      <c r="L357" s="3"/>
      <c r="M357" s="3"/>
      <c r="N357" s="3"/>
      <c r="O357" s="3"/>
      <c r="P357" s="3"/>
      <c r="Q357" s="3"/>
      <c r="R357" s="3"/>
      <c r="V357" s="3"/>
      <c r="X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K358" s="3"/>
      <c r="L358" s="3"/>
      <c r="M358" s="3"/>
      <c r="N358" s="3"/>
      <c r="O358" s="3"/>
      <c r="P358" s="3"/>
      <c r="Q358" s="3"/>
      <c r="R358" s="3"/>
      <c r="V358" s="3"/>
      <c r="X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K359" s="3"/>
      <c r="L359" s="3"/>
      <c r="M359" s="3"/>
      <c r="N359" s="3"/>
      <c r="O359" s="3"/>
      <c r="P359" s="3"/>
      <c r="Q359" s="3"/>
      <c r="R359" s="3"/>
      <c r="V359" s="3"/>
      <c r="X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K360" s="3"/>
      <c r="L360" s="3"/>
      <c r="M360" s="3"/>
      <c r="N360" s="3"/>
      <c r="O360" s="3"/>
      <c r="P360" s="3"/>
      <c r="Q360" s="3"/>
      <c r="R360" s="3"/>
      <c r="V360" s="3"/>
      <c r="X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K361" s="3"/>
      <c r="L361" s="3"/>
      <c r="M361" s="3"/>
      <c r="N361" s="3"/>
      <c r="O361" s="3"/>
      <c r="P361" s="3"/>
      <c r="Q361" s="3"/>
      <c r="R361" s="3"/>
      <c r="V361" s="3"/>
      <c r="X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K362" s="3"/>
      <c r="L362" s="3"/>
      <c r="M362" s="3"/>
      <c r="N362" s="3"/>
      <c r="O362" s="3"/>
      <c r="P362" s="3"/>
      <c r="Q362" s="3"/>
      <c r="R362" s="3"/>
      <c r="V362" s="3"/>
      <c r="X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K363" s="3"/>
      <c r="L363" s="3"/>
      <c r="M363" s="3"/>
      <c r="N363" s="3"/>
      <c r="O363" s="3"/>
      <c r="P363" s="3"/>
      <c r="Q363" s="3"/>
      <c r="R363" s="3"/>
      <c r="V363" s="3"/>
      <c r="X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K364" s="3"/>
      <c r="L364" s="3"/>
      <c r="M364" s="3"/>
      <c r="N364" s="3"/>
      <c r="O364" s="3"/>
      <c r="P364" s="3"/>
      <c r="Q364" s="3"/>
      <c r="R364" s="3"/>
      <c r="V364" s="3"/>
      <c r="X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K365" s="3"/>
      <c r="L365" s="3"/>
      <c r="M365" s="3"/>
      <c r="N365" s="3"/>
      <c r="O365" s="3"/>
      <c r="P365" s="3"/>
      <c r="Q365" s="3"/>
      <c r="R365" s="3"/>
      <c r="V365" s="3"/>
      <c r="X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K366" s="3"/>
      <c r="L366" s="3"/>
      <c r="M366" s="3"/>
      <c r="N366" s="3"/>
      <c r="O366" s="3"/>
      <c r="P366" s="3"/>
      <c r="Q366" s="3"/>
      <c r="R366" s="3"/>
      <c r="V366" s="3"/>
      <c r="X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K367" s="3"/>
      <c r="L367" s="3"/>
      <c r="M367" s="3"/>
      <c r="N367" s="3"/>
      <c r="O367" s="3"/>
      <c r="P367" s="3"/>
      <c r="Q367" s="3"/>
      <c r="R367" s="3"/>
      <c r="V367" s="3"/>
      <c r="X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K368" s="3"/>
      <c r="L368" s="3"/>
      <c r="M368" s="3"/>
      <c r="N368" s="3"/>
      <c r="O368" s="3"/>
      <c r="P368" s="3"/>
      <c r="Q368" s="3"/>
      <c r="R368" s="3"/>
      <c r="V368" s="3"/>
      <c r="X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K369" s="3"/>
      <c r="L369" s="3"/>
      <c r="M369" s="3"/>
      <c r="N369" s="3"/>
      <c r="O369" s="3"/>
      <c r="P369" s="3"/>
      <c r="Q369" s="3"/>
      <c r="R369" s="3"/>
      <c r="V369" s="3"/>
      <c r="X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K370" s="3"/>
      <c r="L370" s="3"/>
      <c r="M370" s="3"/>
      <c r="N370" s="3"/>
      <c r="O370" s="3"/>
      <c r="P370" s="3"/>
      <c r="Q370" s="3"/>
      <c r="R370" s="3"/>
      <c r="V370" s="3"/>
      <c r="X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K371" s="3"/>
      <c r="L371" s="3"/>
      <c r="M371" s="3"/>
      <c r="N371" s="3"/>
      <c r="O371" s="3"/>
      <c r="P371" s="3"/>
      <c r="Q371" s="3"/>
      <c r="R371" s="3"/>
      <c r="V371" s="3"/>
      <c r="X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K372" s="3"/>
      <c r="L372" s="3"/>
      <c r="M372" s="3"/>
      <c r="N372" s="3"/>
      <c r="O372" s="3"/>
      <c r="P372" s="3"/>
      <c r="Q372" s="3"/>
      <c r="R372" s="3"/>
      <c r="V372" s="3"/>
      <c r="X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K373" s="3"/>
      <c r="L373" s="3"/>
      <c r="M373" s="3"/>
      <c r="N373" s="3"/>
      <c r="O373" s="3"/>
      <c r="P373" s="3"/>
      <c r="Q373" s="3"/>
      <c r="R373" s="3"/>
      <c r="V373" s="3"/>
      <c r="X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K374" s="3"/>
      <c r="L374" s="3"/>
      <c r="M374" s="3"/>
      <c r="N374" s="3"/>
      <c r="O374" s="3"/>
      <c r="P374" s="3"/>
      <c r="Q374" s="3"/>
      <c r="R374" s="3"/>
      <c r="V374" s="3"/>
      <c r="X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K375" s="3"/>
      <c r="L375" s="3"/>
      <c r="M375" s="3"/>
      <c r="N375" s="3"/>
      <c r="O375" s="3"/>
      <c r="P375" s="3"/>
      <c r="Q375" s="3"/>
      <c r="R375" s="3"/>
      <c r="V375" s="3"/>
      <c r="X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K376" s="3"/>
      <c r="L376" s="3"/>
      <c r="M376" s="3"/>
      <c r="N376" s="3"/>
      <c r="O376" s="3"/>
      <c r="P376" s="3"/>
      <c r="Q376" s="3"/>
      <c r="R376" s="3"/>
      <c r="V376" s="3"/>
      <c r="X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K377" s="3"/>
      <c r="L377" s="3"/>
      <c r="M377" s="3"/>
      <c r="N377" s="3"/>
      <c r="O377" s="3"/>
      <c r="P377" s="3"/>
      <c r="Q377" s="3"/>
      <c r="R377" s="3"/>
      <c r="V377" s="3"/>
      <c r="X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K378" s="3"/>
      <c r="L378" s="3"/>
      <c r="M378" s="3"/>
      <c r="N378" s="3"/>
      <c r="O378" s="3"/>
      <c r="P378" s="3"/>
      <c r="Q378" s="3"/>
      <c r="R378" s="3"/>
      <c r="V378" s="3"/>
      <c r="X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K379" s="3"/>
      <c r="L379" s="3"/>
      <c r="M379" s="3"/>
      <c r="N379" s="3"/>
      <c r="O379" s="3"/>
      <c r="P379" s="3"/>
      <c r="Q379" s="3"/>
      <c r="R379" s="3"/>
      <c r="V379" s="3"/>
      <c r="X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K380" s="3"/>
      <c r="L380" s="3"/>
      <c r="M380" s="3"/>
      <c r="N380" s="3"/>
      <c r="O380" s="3"/>
      <c r="P380" s="3"/>
      <c r="Q380" s="3"/>
      <c r="R380" s="3"/>
      <c r="V380" s="3"/>
      <c r="X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K381" s="3"/>
      <c r="L381" s="3"/>
      <c r="M381" s="3"/>
      <c r="N381" s="3"/>
      <c r="O381" s="3"/>
      <c r="P381" s="3"/>
      <c r="Q381" s="3"/>
      <c r="R381" s="3"/>
      <c r="V381" s="3"/>
      <c r="X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K382" s="3"/>
      <c r="L382" s="3"/>
      <c r="M382" s="3"/>
      <c r="N382" s="3"/>
      <c r="O382" s="3"/>
      <c r="P382" s="3"/>
      <c r="Q382" s="3"/>
      <c r="R382" s="3"/>
      <c r="V382" s="3"/>
      <c r="X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K383" s="3"/>
      <c r="L383" s="3"/>
      <c r="M383" s="3"/>
      <c r="N383" s="3"/>
      <c r="O383" s="3"/>
      <c r="P383" s="3"/>
      <c r="Q383" s="3"/>
      <c r="R383" s="3"/>
      <c r="V383" s="3"/>
      <c r="X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K384" s="3"/>
      <c r="L384" s="3"/>
      <c r="M384" s="3"/>
      <c r="N384" s="3"/>
      <c r="O384" s="3"/>
      <c r="P384" s="3"/>
      <c r="Q384" s="3"/>
      <c r="R384" s="3"/>
      <c r="V384" s="3"/>
      <c r="X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K385" s="3"/>
      <c r="L385" s="3"/>
      <c r="M385" s="3"/>
      <c r="N385" s="3"/>
      <c r="O385" s="3"/>
      <c r="P385" s="3"/>
      <c r="Q385" s="3"/>
      <c r="R385" s="3"/>
      <c r="V385" s="3"/>
      <c r="X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K386" s="3"/>
      <c r="L386" s="3"/>
      <c r="M386" s="3"/>
      <c r="N386" s="3"/>
      <c r="O386" s="3"/>
      <c r="P386" s="3"/>
      <c r="Q386" s="3"/>
      <c r="R386" s="3"/>
      <c r="V386" s="3"/>
      <c r="X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K387" s="3"/>
      <c r="L387" s="3"/>
      <c r="M387" s="3"/>
      <c r="N387" s="3"/>
      <c r="O387" s="3"/>
      <c r="P387" s="3"/>
      <c r="Q387" s="3"/>
      <c r="R387" s="3"/>
      <c r="V387" s="3"/>
      <c r="X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K388" s="3"/>
      <c r="L388" s="3"/>
      <c r="M388" s="3"/>
      <c r="N388" s="3"/>
      <c r="O388" s="3"/>
      <c r="P388" s="3"/>
      <c r="Q388" s="3"/>
      <c r="R388" s="3"/>
      <c r="V388" s="3"/>
      <c r="X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K389" s="3"/>
      <c r="L389" s="3"/>
      <c r="M389" s="3"/>
      <c r="N389" s="3"/>
      <c r="O389" s="3"/>
      <c r="P389" s="3"/>
      <c r="Q389" s="3"/>
      <c r="R389" s="3"/>
      <c r="V389" s="3"/>
      <c r="X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K390" s="3"/>
      <c r="L390" s="3"/>
      <c r="M390" s="3"/>
      <c r="N390" s="3"/>
      <c r="O390" s="3"/>
      <c r="P390" s="3"/>
      <c r="Q390" s="3"/>
      <c r="R390" s="3"/>
      <c r="V390" s="3"/>
      <c r="X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K391" s="3"/>
      <c r="L391" s="3"/>
      <c r="M391" s="3"/>
      <c r="N391" s="3"/>
      <c r="O391" s="3"/>
      <c r="P391" s="3"/>
      <c r="Q391" s="3"/>
      <c r="R391" s="3"/>
      <c r="V391" s="3"/>
      <c r="X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K392" s="3"/>
      <c r="L392" s="3"/>
      <c r="M392" s="3"/>
      <c r="N392" s="3"/>
      <c r="O392" s="3"/>
      <c r="P392" s="3"/>
      <c r="Q392" s="3"/>
      <c r="R392" s="3"/>
      <c r="V392" s="3"/>
      <c r="X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K393" s="3"/>
      <c r="L393" s="3"/>
      <c r="M393" s="3"/>
      <c r="N393" s="3"/>
      <c r="O393" s="3"/>
      <c r="P393" s="3"/>
      <c r="Q393" s="3"/>
      <c r="R393" s="3"/>
      <c r="V393" s="3"/>
      <c r="X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K394" s="3"/>
      <c r="L394" s="3"/>
      <c r="M394" s="3"/>
      <c r="N394" s="3"/>
      <c r="O394" s="3"/>
      <c r="P394" s="3"/>
      <c r="Q394" s="3"/>
      <c r="R394" s="3"/>
      <c r="V394" s="3"/>
      <c r="X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K395" s="3"/>
      <c r="L395" s="3"/>
      <c r="M395" s="3"/>
      <c r="N395" s="3"/>
      <c r="O395" s="3"/>
      <c r="P395" s="3"/>
      <c r="Q395" s="3"/>
      <c r="R395" s="3"/>
      <c r="V395" s="3"/>
      <c r="X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K396" s="3"/>
      <c r="L396" s="3"/>
      <c r="M396" s="3"/>
      <c r="N396" s="3"/>
      <c r="O396" s="3"/>
      <c r="P396" s="3"/>
      <c r="Q396" s="3"/>
      <c r="R396" s="3"/>
      <c r="V396" s="3"/>
      <c r="X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K397" s="3"/>
      <c r="L397" s="3"/>
      <c r="M397" s="3"/>
      <c r="N397" s="3"/>
      <c r="O397" s="3"/>
      <c r="P397" s="3"/>
      <c r="Q397" s="3"/>
      <c r="R397" s="3"/>
      <c r="V397" s="3"/>
      <c r="X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K398" s="3"/>
      <c r="L398" s="3"/>
      <c r="M398" s="3"/>
      <c r="N398" s="3"/>
      <c r="O398" s="3"/>
      <c r="P398" s="3"/>
      <c r="Q398" s="3"/>
      <c r="R398" s="3"/>
      <c r="V398" s="3"/>
      <c r="X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K399" s="3"/>
      <c r="L399" s="3"/>
      <c r="M399" s="3"/>
      <c r="N399" s="3"/>
      <c r="O399" s="3"/>
      <c r="P399" s="3"/>
      <c r="Q399" s="3"/>
      <c r="R399" s="3"/>
      <c r="V399" s="3"/>
      <c r="X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K400" s="3"/>
      <c r="L400" s="3"/>
      <c r="M400" s="3"/>
      <c r="N400" s="3"/>
      <c r="O400" s="3"/>
      <c r="P400" s="3"/>
      <c r="Q400" s="3"/>
      <c r="R400" s="3"/>
      <c r="V400" s="3"/>
      <c r="X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K401" s="3"/>
      <c r="L401" s="3"/>
      <c r="M401" s="3"/>
      <c r="N401" s="3"/>
      <c r="O401" s="3"/>
      <c r="P401" s="3"/>
      <c r="Q401" s="3"/>
      <c r="R401" s="3"/>
      <c r="V401" s="3"/>
      <c r="X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K402" s="3"/>
      <c r="L402" s="3"/>
      <c r="M402" s="3"/>
      <c r="N402" s="3"/>
      <c r="O402" s="3"/>
      <c r="P402" s="3"/>
      <c r="Q402" s="3"/>
      <c r="R402" s="3"/>
      <c r="V402" s="3"/>
      <c r="X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K403" s="3"/>
      <c r="L403" s="3"/>
      <c r="M403" s="3"/>
      <c r="N403" s="3"/>
      <c r="O403" s="3"/>
      <c r="P403" s="3"/>
      <c r="Q403" s="3"/>
      <c r="R403" s="3"/>
      <c r="V403" s="3"/>
      <c r="X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K404" s="3"/>
      <c r="L404" s="3"/>
      <c r="M404" s="3"/>
      <c r="N404" s="3"/>
      <c r="O404" s="3"/>
      <c r="P404" s="3"/>
      <c r="Q404" s="3"/>
      <c r="R404" s="3"/>
      <c r="V404" s="3"/>
      <c r="X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K405" s="3"/>
      <c r="L405" s="3"/>
      <c r="M405" s="3"/>
      <c r="N405" s="3"/>
      <c r="O405" s="3"/>
      <c r="P405" s="3"/>
      <c r="Q405" s="3"/>
      <c r="R405" s="3"/>
      <c r="V405" s="3"/>
      <c r="X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K406" s="3"/>
      <c r="L406" s="3"/>
      <c r="M406" s="3"/>
      <c r="N406" s="3"/>
      <c r="O406" s="3"/>
      <c r="P406" s="3"/>
      <c r="Q406" s="3"/>
      <c r="R406" s="3"/>
      <c r="V406" s="3"/>
      <c r="X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K407" s="3"/>
      <c r="L407" s="3"/>
      <c r="M407" s="3"/>
      <c r="N407" s="3"/>
      <c r="O407" s="3"/>
      <c r="P407" s="3"/>
      <c r="Q407" s="3"/>
      <c r="R407" s="3"/>
      <c r="V407" s="3"/>
      <c r="X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K408" s="3"/>
      <c r="L408" s="3"/>
      <c r="M408" s="3"/>
      <c r="N408" s="3"/>
      <c r="O408" s="3"/>
      <c r="P408" s="3"/>
      <c r="Q408" s="3"/>
      <c r="R408" s="3"/>
      <c r="V408" s="3"/>
      <c r="X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K409" s="3"/>
      <c r="L409" s="3"/>
      <c r="M409" s="3"/>
      <c r="N409" s="3"/>
      <c r="O409" s="3"/>
      <c r="P409" s="3"/>
      <c r="Q409" s="3"/>
      <c r="R409" s="3"/>
      <c r="V409" s="3"/>
      <c r="X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K410" s="3"/>
      <c r="L410" s="3"/>
      <c r="M410" s="3"/>
      <c r="N410" s="3"/>
      <c r="O410" s="3"/>
      <c r="P410" s="3"/>
      <c r="Q410" s="3"/>
      <c r="R410" s="3"/>
      <c r="V410" s="3"/>
      <c r="X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K411" s="3"/>
      <c r="L411" s="3"/>
      <c r="M411" s="3"/>
      <c r="N411" s="3"/>
      <c r="O411" s="3"/>
      <c r="P411" s="3"/>
      <c r="Q411" s="3"/>
      <c r="R411" s="3"/>
      <c r="V411" s="3"/>
      <c r="X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K412" s="3"/>
      <c r="L412" s="3"/>
      <c r="M412" s="3"/>
      <c r="N412" s="3"/>
      <c r="O412" s="3"/>
      <c r="P412" s="3"/>
      <c r="Q412" s="3"/>
      <c r="R412" s="3"/>
      <c r="V412" s="3"/>
      <c r="X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K413" s="3"/>
      <c r="L413" s="3"/>
      <c r="M413" s="3"/>
      <c r="N413" s="3"/>
      <c r="O413" s="3"/>
      <c r="P413" s="3"/>
      <c r="Q413" s="3"/>
      <c r="R413" s="3"/>
      <c r="V413" s="3"/>
      <c r="X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K414" s="3"/>
      <c r="L414" s="3"/>
      <c r="M414" s="3"/>
      <c r="N414" s="3"/>
      <c r="O414" s="3"/>
      <c r="P414" s="3"/>
      <c r="Q414" s="3"/>
      <c r="R414" s="3"/>
      <c r="V414" s="3"/>
      <c r="X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K415" s="3"/>
      <c r="L415" s="3"/>
      <c r="M415" s="3"/>
      <c r="N415" s="3"/>
      <c r="O415" s="3"/>
      <c r="P415" s="3"/>
      <c r="Q415" s="3"/>
      <c r="R415" s="3"/>
      <c r="V415" s="3"/>
      <c r="X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K416" s="3"/>
      <c r="L416" s="3"/>
      <c r="M416" s="3"/>
      <c r="N416" s="3"/>
      <c r="O416" s="3"/>
      <c r="P416" s="3"/>
      <c r="Q416" s="3"/>
      <c r="R416" s="3"/>
      <c r="V416" s="3"/>
      <c r="X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K417" s="3"/>
      <c r="L417" s="3"/>
      <c r="M417" s="3"/>
      <c r="N417" s="3"/>
      <c r="O417" s="3"/>
      <c r="P417" s="3"/>
      <c r="Q417" s="3"/>
      <c r="R417" s="3"/>
      <c r="V417" s="3"/>
      <c r="X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K418" s="3"/>
      <c r="L418" s="3"/>
      <c r="M418" s="3"/>
      <c r="N418" s="3"/>
      <c r="O418" s="3"/>
      <c r="P418" s="3"/>
      <c r="Q418" s="3"/>
      <c r="R418" s="3"/>
      <c r="V418" s="3"/>
      <c r="X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K419" s="3"/>
      <c r="L419" s="3"/>
      <c r="M419" s="3"/>
      <c r="N419" s="3"/>
      <c r="O419" s="3"/>
      <c r="P419" s="3"/>
      <c r="Q419" s="3"/>
      <c r="R419" s="3"/>
      <c r="V419" s="3"/>
      <c r="X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K420" s="3"/>
      <c r="L420" s="3"/>
      <c r="M420" s="3"/>
      <c r="N420" s="3"/>
      <c r="O420" s="3"/>
      <c r="P420" s="3"/>
      <c r="Q420" s="3"/>
      <c r="R420" s="3"/>
      <c r="V420" s="3"/>
      <c r="X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K421" s="3"/>
      <c r="L421" s="3"/>
      <c r="M421" s="3"/>
      <c r="N421" s="3"/>
      <c r="O421" s="3"/>
      <c r="P421" s="3"/>
      <c r="Q421" s="3"/>
      <c r="R421" s="3"/>
      <c r="V421" s="3"/>
      <c r="X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K422" s="3"/>
      <c r="L422" s="3"/>
      <c r="M422" s="3"/>
      <c r="N422" s="3"/>
      <c r="O422" s="3"/>
      <c r="P422" s="3"/>
      <c r="Q422" s="3"/>
      <c r="R422" s="3"/>
      <c r="V422" s="3"/>
      <c r="X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K423" s="3"/>
      <c r="L423" s="3"/>
      <c r="M423" s="3"/>
      <c r="N423" s="3"/>
      <c r="O423" s="3"/>
      <c r="P423" s="3"/>
      <c r="Q423" s="3"/>
      <c r="R423" s="3"/>
      <c r="V423" s="3"/>
      <c r="X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K424" s="3"/>
      <c r="L424" s="3"/>
      <c r="M424" s="3"/>
      <c r="N424" s="3"/>
      <c r="O424" s="3"/>
      <c r="P424" s="3"/>
      <c r="Q424" s="3"/>
      <c r="R424" s="3"/>
      <c r="V424" s="3"/>
      <c r="X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K425" s="3"/>
      <c r="L425" s="3"/>
      <c r="M425" s="3"/>
      <c r="N425" s="3"/>
      <c r="O425" s="3"/>
      <c r="P425" s="3"/>
      <c r="Q425" s="3"/>
      <c r="R425" s="3"/>
      <c r="V425" s="3"/>
      <c r="X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K426" s="3"/>
      <c r="L426" s="3"/>
      <c r="M426" s="3"/>
      <c r="N426" s="3"/>
      <c r="O426" s="3"/>
      <c r="P426" s="3"/>
      <c r="Q426" s="3"/>
      <c r="R426" s="3"/>
      <c r="V426" s="3"/>
      <c r="X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K427" s="3"/>
      <c r="L427" s="3"/>
      <c r="M427" s="3"/>
      <c r="N427" s="3"/>
      <c r="O427" s="3"/>
      <c r="P427" s="3"/>
      <c r="Q427" s="3"/>
      <c r="R427" s="3"/>
      <c r="V427" s="3"/>
      <c r="X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K428" s="3"/>
      <c r="L428" s="3"/>
      <c r="M428" s="3"/>
      <c r="N428" s="3"/>
      <c r="O428" s="3"/>
      <c r="P428" s="3"/>
      <c r="Q428" s="3"/>
      <c r="R428" s="3"/>
      <c r="V428" s="3"/>
      <c r="X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K429" s="3"/>
      <c r="L429" s="3"/>
      <c r="M429" s="3"/>
      <c r="N429" s="3"/>
      <c r="O429" s="3"/>
      <c r="P429" s="3"/>
      <c r="Q429" s="3"/>
      <c r="R429" s="3"/>
      <c r="V429" s="3"/>
      <c r="X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K430" s="3"/>
      <c r="L430" s="3"/>
      <c r="M430" s="3"/>
      <c r="N430" s="3"/>
      <c r="O430" s="3"/>
      <c r="P430" s="3"/>
      <c r="Q430" s="3"/>
      <c r="R430" s="3"/>
      <c r="V430" s="3"/>
      <c r="X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K431" s="3"/>
      <c r="L431" s="3"/>
      <c r="M431" s="3"/>
      <c r="N431" s="3"/>
      <c r="O431" s="3"/>
      <c r="P431" s="3"/>
      <c r="Q431" s="3"/>
      <c r="R431" s="3"/>
      <c r="V431" s="3"/>
      <c r="X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K432" s="3"/>
      <c r="L432" s="3"/>
      <c r="M432" s="3"/>
      <c r="N432" s="3"/>
      <c r="O432" s="3"/>
      <c r="P432" s="3"/>
      <c r="Q432" s="3"/>
      <c r="R432" s="3"/>
      <c r="V432" s="3"/>
      <c r="X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K433" s="3"/>
      <c r="L433" s="3"/>
      <c r="M433" s="3"/>
      <c r="N433" s="3"/>
      <c r="O433" s="3"/>
      <c r="P433" s="3"/>
      <c r="Q433" s="3"/>
      <c r="R433" s="3"/>
      <c r="V433" s="3"/>
      <c r="X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K434" s="3"/>
      <c r="L434" s="3"/>
      <c r="M434" s="3"/>
      <c r="N434" s="3"/>
      <c r="O434" s="3"/>
      <c r="P434" s="3"/>
      <c r="Q434" s="3"/>
      <c r="R434" s="3"/>
      <c r="V434" s="3"/>
      <c r="X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K435" s="3"/>
      <c r="L435" s="3"/>
      <c r="M435" s="3"/>
      <c r="N435" s="3"/>
      <c r="O435" s="3"/>
      <c r="P435" s="3"/>
      <c r="Q435" s="3"/>
      <c r="R435" s="3"/>
      <c r="V435" s="3"/>
      <c r="X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K436" s="3"/>
      <c r="L436" s="3"/>
      <c r="M436" s="3"/>
      <c r="N436" s="3"/>
      <c r="O436" s="3"/>
      <c r="P436" s="3"/>
      <c r="Q436" s="3"/>
      <c r="R436" s="3"/>
      <c r="V436" s="3"/>
      <c r="X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K437" s="3"/>
      <c r="L437" s="3"/>
      <c r="M437" s="3"/>
      <c r="N437" s="3"/>
      <c r="O437" s="3"/>
      <c r="P437" s="3"/>
      <c r="Q437" s="3"/>
      <c r="R437" s="3"/>
      <c r="V437" s="3"/>
      <c r="X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K438" s="3"/>
      <c r="L438" s="3"/>
      <c r="M438" s="3"/>
      <c r="N438" s="3"/>
      <c r="O438" s="3"/>
      <c r="P438" s="3"/>
      <c r="Q438" s="3"/>
      <c r="R438" s="3"/>
      <c r="V438" s="3"/>
      <c r="X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K439" s="3"/>
      <c r="L439" s="3"/>
      <c r="M439" s="3"/>
      <c r="N439" s="3"/>
      <c r="O439" s="3"/>
      <c r="P439" s="3"/>
      <c r="Q439" s="3"/>
      <c r="R439" s="3"/>
      <c r="V439" s="3"/>
      <c r="X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K440" s="3"/>
      <c r="L440" s="3"/>
      <c r="M440" s="3"/>
      <c r="N440" s="3"/>
      <c r="O440" s="3"/>
      <c r="P440" s="3"/>
      <c r="Q440" s="3"/>
      <c r="R440" s="3"/>
      <c r="V440" s="3"/>
      <c r="X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K441" s="3"/>
      <c r="L441" s="3"/>
      <c r="M441" s="3"/>
      <c r="N441" s="3"/>
      <c r="O441" s="3"/>
      <c r="P441" s="3"/>
      <c r="Q441" s="3"/>
      <c r="R441" s="3"/>
      <c r="V441" s="3"/>
      <c r="X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K442" s="3"/>
      <c r="L442" s="3"/>
      <c r="M442" s="3"/>
      <c r="N442" s="3"/>
      <c r="O442" s="3"/>
      <c r="P442" s="3"/>
      <c r="Q442" s="3"/>
      <c r="R442" s="3"/>
      <c r="V442" s="3"/>
      <c r="X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K443" s="3"/>
      <c r="L443" s="3"/>
      <c r="M443" s="3"/>
      <c r="N443" s="3"/>
      <c r="O443" s="3"/>
      <c r="P443" s="3"/>
      <c r="Q443" s="3"/>
      <c r="R443" s="3"/>
      <c r="V443" s="3"/>
      <c r="X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K444" s="3"/>
      <c r="L444" s="3"/>
      <c r="M444" s="3"/>
      <c r="N444" s="3"/>
      <c r="O444" s="3"/>
      <c r="P444" s="3"/>
      <c r="Q444" s="3"/>
      <c r="R444" s="3"/>
      <c r="V444" s="3"/>
      <c r="X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K445" s="3"/>
      <c r="L445" s="3"/>
      <c r="M445" s="3"/>
      <c r="N445" s="3"/>
      <c r="O445" s="3"/>
      <c r="P445" s="3"/>
      <c r="Q445" s="3"/>
      <c r="R445" s="3"/>
      <c r="V445" s="3"/>
      <c r="X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K446" s="3"/>
      <c r="L446" s="3"/>
      <c r="M446" s="3"/>
      <c r="N446" s="3"/>
      <c r="O446" s="3"/>
      <c r="P446" s="3"/>
      <c r="Q446" s="3"/>
      <c r="R446" s="3"/>
      <c r="V446" s="3"/>
      <c r="X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K447" s="3"/>
      <c r="L447" s="3"/>
      <c r="M447" s="3"/>
      <c r="N447" s="3"/>
      <c r="O447" s="3"/>
      <c r="P447" s="3"/>
      <c r="Q447" s="3"/>
      <c r="R447" s="3"/>
      <c r="V447" s="3"/>
      <c r="X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K448" s="3"/>
      <c r="L448" s="3"/>
      <c r="M448" s="3"/>
      <c r="N448" s="3"/>
      <c r="O448" s="3"/>
      <c r="P448" s="3"/>
      <c r="Q448" s="3"/>
      <c r="R448" s="3"/>
      <c r="V448" s="3"/>
      <c r="X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K449" s="3"/>
      <c r="L449" s="3"/>
      <c r="M449" s="3"/>
      <c r="N449" s="3"/>
      <c r="O449" s="3"/>
      <c r="P449" s="3"/>
      <c r="Q449" s="3"/>
      <c r="R449" s="3"/>
      <c r="V449" s="3"/>
      <c r="X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K450" s="3"/>
      <c r="L450" s="3"/>
      <c r="M450" s="3"/>
      <c r="N450" s="3"/>
      <c r="O450" s="3"/>
      <c r="P450" s="3"/>
      <c r="Q450" s="3"/>
      <c r="R450" s="3"/>
      <c r="V450" s="3"/>
      <c r="X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K451" s="3"/>
      <c r="L451" s="3"/>
      <c r="M451" s="3"/>
      <c r="N451" s="3"/>
      <c r="O451" s="3"/>
      <c r="P451" s="3"/>
      <c r="Q451" s="3"/>
      <c r="R451" s="3"/>
      <c r="V451" s="3"/>
      <c r="X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K452" s="3"/>
      <c r="L452" s="3"/>
      <c r="M452" s="3"/>
      <c r="N452" s="3"/>
      <c r="O452" s="3"/>
      <c r="P452" s="3"/>
      <c r="Q452" s="3"/>
      <c r="R452" s="3"/>
      <c r="V452" s="3"/>
      <c r="X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K453" s="3"/>
      <c r="L453" s="3"/>
      <c r="M453" s="3"/>
      <c r="N453" s="3"/>
      <c r="O453" s="3"/>
      <c r="P453" s="3"/>
      <c r="Q453" s="3"/>
      <c r="R453" s="3"/>
      <c r="V453" s="3"/>
      <c r="X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K454" s="3"/>
      <c r="L454" s="3"/>
      <c r="M454" s="3"/>
      <c r="N454" s="3"/>
      <c r="O454" s="3"/>
      <c r="P454" s="3"/>
      <c r="Q454" s="3"/>
      <c r="R454" s="3"/>
      <c r="V454" s="3"/>
      <c r="X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K455" s="3"/>
      <c r="L455" s="3"/>
      <c r="M455" s="3"/>
      <c r="N455" s="3"/>
      <c r="O455" s="3"/>
      <c r="P455" s="3"/>
      <c r="Q455" s="3"/>
      <c r="R455" s="3"/>
      <c r="V455" s="3"/>
      <c r="X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K456" s="3"/>
      <c r="L456" s="3"/>
      <c r="M456" s="3"/>
      <c r="N456" s="3"/>
      <c r="O456" s="3"/>
      <c r="P456" s="3"/>
      <c r="Q456" s="3"/>
      <c r="R456" s="3"/>
      <c r="V456" s="3"/>
      <c r="X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K457" s="3"/>
      <c r="L457" s="3"/>
      <c r="M457" s="3"/>
      <c r="N457" s="3"/>
      <c r="O457" s="3"/>
      <c r="P457" s="3"/>
      <c r="Q457" s="3"/>
      <c r="R457" s="3"/>
      <c r="V457" s="3"/>
      <c r="X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K458" s="3"/>
      <c r="L458" s="3"/>
      <c r="M458" s="3"/>
      <c r="N458" s="3"/>
      <c r="O458" s="3"/>
      <c r="P458" s="3"/>
      <c r="Q458" s="3"/>
      <c r="R458" s="3"/>
      <c r="V458" s="3"/>
      <c r="X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K459" s="3"/>
      <c r="L459" s="3"/>
      <c r="M459" s="3"/>
      <c r="N459" s="3"/>
      <c r="O459" s="3"/>
      <c r="P459" s="3"/>
      <c r="Q459" s="3"/>
      <c r="R459" s="3"/>
      <c r="V459" s="3"/>
      <c r="X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K460" s="3"/>
      <c r="L460" s="3"/>
      <c r="M460" s="3"/>
      <c r="N460" s="3"/>
      <c r="O460" s="3"/>
      <c r="P460" s="3"/>
      <c r="Q460" s="3"/>
      <c r="R460" s="3"/>
      <c r="V460" s="3"/>
      <c r="X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K461" s="3"/>
      <c r="L461" s="3"/>
      <c r="M461" s="3"/>
      <c r="N461" s="3"/>
      <c r="O461" s="3"/>
      <c r="P461" s="3"/>
      <c r="Q461" s="3"/>
      <c r="R461" s="3"/>
      <c r="V461" s="3"/>
      <c r="X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K462" s="3"/>
      <c r="L462" s="3"/>
      <c r="M462" s="3"/>
      <c r="N462" s="3"/>
      <c r="O462" s="3"/>
      <c r="P462" s="3"/>
      <c r="Q462" s="3"/>
      <c r="R462" s="3"/>
      <c r="V462" s="3"/>
      <c r="X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K463" s="3"/>
      <c r="L463" s="3"/>
      <c r="M463" s="3"/>
      <c r="N463" s="3"/>
      <c r="O463" s="3"/>
      <c r="P463" s="3"/>
      <c r="Q463" s="3"/>
      <c r="R463" s="3"/>
      <c r="V463" s="3"/>
      <c r="X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K464" s="3"/>
      <c r="L464" s="3"/>
      <c r="M464" s="3"/>
      <c r="N464" s="3"/>
      <c r="O464" s="3"/>
      <c r="P464" s="3"/>
      <c r="Q464" s="3"/>
      <c r="R464" s="3"/>
      <c r="V464" s="3"/>
      <c r="X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K465" s="3"/>
      <c r="L465" s="3"/>
      <c r="M465" s="3"/>
      <c r="N465" s="3"/>
      <c r="O465" s="3"/>
      <c r="P465" s="3"/>
      <c r="Q465" s="3"/>
      <c r="R465" s="3"/>
      <c r="V465" s="3"/>
      <c r="X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K466" s="3"/>
      <c r="L466" s="3"/>
      <c r="M466" s="3"/>
      <c r="N466" s="3"/>
      <c r="O466" s="3"/>
      <c r="P466" s="3"/>
      <c r="Q466" s="3"/>
      <c r="R466" s="3"/>
      <c r="V466" s="3"/>
      <c r="X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K467" s="3"/>
      <c r="L467" s="3"/>
      <c r="M467" s="3"/>
      <c r="N467" s="3"/>
      <c r="O467" s="3"/>
      <c r="P467" s="3"/>
      <c r="Q467" s="3"/>
      <c r="R467" s="3"/>
      <c r="V467" s="3"/>
      <c r="X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K468" s="3"/>
      <c r="L468" s="3"/>
      <c r="M468" s="3"/>
      <c r="N468" s="3"/>
      <c r="O468" s="3"/>
      <c r="P468" s="3"/>
      <c r="Q468" s="3"/>
      <c r="R468" s="3"/>
      <c r="V468" s="3"/>
      <c r="X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K469" s="3"/>
      <c r="L469" s="3"/>
      <c r="M469" s="3"/>
      <c r="N469" s="3"/>
      <c r="O469" s="3"/>
      <c r="P469" s="3"/>
      <c r="Q469" s="3"/>
      <c r="R469" s="3"/>
      <c r="V469" s="3"/>
      <c r="X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K470" s="3"/>
      <c r="L470" s="3"/>
      <c r="M470" s="3"/>
      <c r="N470" s="3"/>
      <c r="O470" s="3"/>
      <c r="P470" s="3"/>
      <c r="Q470" s="3"/>
      <c r="R470" s="3"/>
      <c r="V470" s="3"/>
      <c r="X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K471" s="3"/>
      <c r="L471" s="3"/>
      <c r="M471" s="3"/>
      <c r="N471" s="3"/>
      <c r="O471" s="3"/>
      <c r="P471" s="3"/>
      <c r="Q471" s="3"/>
      <c r="R471" s="3"/>
      <c r="V471" s="3"/>
      <c r="X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K472" s="3"/>
      <c r="L472" s="3"/>
      <c r="M472" s="3"/>
      <c r="N472" s="3"/>
      <c r="O472" s="3"/>
      <c r="P472" s="3"/>
      <c r="Q472" s="3"/>
      <c r="R472" s="3"/>
      <c r="V472" s="3"/>
      <c r="X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K473" s="3"/>
      <c r="L473" s="3"/>
      <c r="M473" s="3"/>
      <c r="N473" s="3"/>
      <c r="O473" s="3"/>
      <c r="P473" s="3"/>
      <c r="Q473" s="3"/>
      <c r="R473" s="3"/>
      <c r="V473" s="3"/>
      <c r="X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K474" s="3"/>
      <c r="L474" s="3"/>
      <c r="M474" s="3"/>
      <c r="N474" s="3"/>
      <c r="O474" s="3"/>
      <c r="P474" s="3"/>
      <c r="Q474" s="3"/>
      <c r="R474" s="3"/>
      <c r="V474" s="3"/>
      <c r="X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K475" s="3"/>
      <c r="L475" s="3"/>
      <c r="M475" s="3"/>
      <c r="N475" s="3"/>
      <c r="O475" s="3"/>
      <c r="P475" s="3"/>
      <c r="Q475" s="3"/>
      <c r="R475" s="3"/>
      <c r="V475" s="3"/>
      <c r="X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K476" s="3"/>
      <c r="L476" s="3"/>
      <c r="M476" s="3"/>
      <c r="N476" s="3"/>
      <c r="O476" s="3"/>
      <c r="P476" s="3"/>
      <c r="Q476" s="3"/>
      <c r="R476" s="3"/>
      <c r="V476" s="3"/>
      <c r="X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K477" s="3"/>
      <c r="L477" s="3"/>
      <c r="M477" s="3"/>
      <c r="N477" s="3"/>
      <c r="O477" s="3"/>
      <c r="P477" s="3"/>
      <c r="Q477" s="3"/>
      <c r="R477" s="3"/>
      <c r="V477" s="3"/>
      <c r="X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K478" s="3"/>
      <c r="L478" s="3"/>
      <c r="M478" s="3"/>
      <c r="N478" s="3"/>
      <c r="O478" s="3"/>
      <c r="P478" s="3"/>
      <c r="Q478" s="3"/>
      <c r="R478" s="3"/>
      <c r="V478" s="3"/>
      <c r="X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K479" s="3"/>
      <c r="L479" s="3"/>
      <c r="M479" s="3"/>
      <c r="N479" s="3"/>
      <c r="O479" s="3"/>
      <c r="P479" s="3"/>
      <c r="Q479" s="3"/>
      <c r="R479" s="3"/>
      <c r="V479" s="3"/>
      <c r="X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K480" s="3"/>
      <c r="L480" s="3"/>
      <c r="M480" s="3"/>
      <c r="N480" s="3"/>
      <c r="O480" s="3"/>
      <c r="P480" s="3"/>
      <c r="Q480" s="3"/>
      <c r="R480" s="3"/>
      <c r="V480" s="3"/>
      <c r="X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K481" s="3"/>
      <c r="L481" s="3"/>
      <c r="M481" s="3"/>
      <c r="N481" s="3"/>
      <c r="O481" s="3"/>
      <c r="P481" s="3"/>
      <c r="Q481" s="3"/>
      <c r="R481" s="3"/>
      <c r="V481" s="3"/>
      <c r="X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K482" s="3"/>
      <c r="L482" s="3"/>
      <c r="M482" s="3"/>
      <c r="N482" s="3"/>
      <c r="O482" s="3"/>
      <c r="P482" s="3"/>
      <c r="Q482" s="3"/>
      <c r="R482" s="3"/>
      <c r="V482" s="3"/>
      <c r="X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K483" s="3"/>
      <c r="L483" s="3"/>
      <c r="M483" s="3"/>
      <c r="N483" s="3"/>
      <c r="O483" s="3"/>
      <c r="P483" s="3"/>
      <c r="Q483" s="3"/>
      <c r="R483" s="3"/>
      <c r="V483" s="3"/>
      <c r="X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K484" s="3"/>
      <c r="L484" s="3"/>
      <c r="M484" s="3"/>
      <c r="N484" s="3"/>
      <c r="O484" s="3"/>
      <c r="P484" s="3"/>
      <c r="Q484" s="3"/>
      <c r="R484" s="3"/>
      <c r="V484" s="3"/>
      <c r="X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K485" s="3"/>
      <c r="L485" s="3"/>
      <c r="M485" s="3"/>
      <c r="N485" s="3"/>
      <c r="O485" s="3"/>
      <c r="P485" s="3"/>
      <c r="Q485" s="3"/>
      <c r="R485" s="3"/>
      <c r="V485" s="3"/>
      <c r="X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K486" s="3"/>
      <c r="L486" s="3"/>
      <c r="M486" s="3"/>
      <c r="N486" s="3"/>
      <c r="O486" s="3"/>
      <c r="P486" s="3"/>
      <c r="Q486" s="3"/>
      <c r="R486" s="3"/>
      <c r="V486" s="3"/>
      <c r="X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K487" s="3"/>
      <c r="L487" s="3"/>
      <c r="M487" s="3"/>
      <c r="N487" s="3"/>
      <c r="O487" s="3"/>
      <c r="P487" s="3"/>
      <c r="Q487" s="3"/>
      <c r="R487" s="3"/>
      <c r="V487" s="3"/>
      <c r="X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K488" s="3"/>
      <c r="L488" s="3"/>
      <c r="M488" s="3"/>
      <c r="N488" s="3"/>
      <c r="O488" s="3"/>
      <c r="P488" s="3"/>
      <c r="Q488" s="3"/>
      <c r="R488" s="3"/>
      <c r="V488" s="3"/>
      <c r="X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K489" s="3"/>
      <c r="L489" s="3"/>
      <c r="M489" s="3"/>
      <c r="N489" s="3"/>
      <c r="O489" s="3"/>
      <c r="P489" s="3"/>
      <c r="Q489" s="3"/>
      <c r="R489" s="3"/>
      <c r="V489" s="3"/>
      <c r="X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K490" s="3"/>
      <c r="L490" s="3"/>
      <c r="M490" s="3"/>
      <c r="N490" s="3"/>
      <c r="O490" s="3"/>
      <c r="P490" s="3"/>
      <c r="Q490" s="3"/>
      <c r="R490" s="3"/>
      <c r="V490" s="3"/>
      <c r="X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K491" s="3"/>
      <c r="L491" s="3"/>
      <c r="M491" s="3"/>
      <c r="N491" s="3"/>
      <c r="O491" s="3"/>
      <c r="P491" s="3"/>
      <c r="Q491" s="3"/>
      <c r="R491" s="3"/>
      <c r="V491" s="3"/>
      <c r="X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K492" s="3"/>
      <c r="L492" s="3"/>
      <c r="M492" s="3"/>
      <c r="N492" s="3"/>
      <c r="O492" s="3"/>
      <c r="P492" s="3"/>
      <c r="Q492" s="3"/>
      <c r="R492" s="3"/>
      <c r="V492" s="3"/>
      <c r="X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K493" s="3"/>
      <c r="L493" s="3"/>
      <c r="M493" s="3"/>
      <c r="N493" s="3"/>
      <c r="O493" s="3"/>
      <c r="P493" s="3"/>
      <c r="Q493" s="3"/>
      <c r="R493" s="3"/>
      <c r="V493" s="3"/>
      <c r="X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K494" s="3"/>
      <c r="L494" s="3"/>
      <c r="M494" s="3"/>
      <c r="N494" s="3"/>
      <c r="O494" s="3"/>
      <c r="P494" s="3"/>
      <c r="Q494" s="3"/>
      <c r="R494" s="3"/>
      <c r="V494" s="3"/>
      <c r="X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K495" s="3"/>
      <c r="L495" s="3"/>
      <c r="M495" s="3"/>
      <c r="N495" s="3"/>
      <c r="O495" s="3"/>
      <c r="P495" s="3"/>
      <c r="Q495" s="3"/>
      <c r="R495" s="3"/>
      <c r="V495" s="3"/>
      <c r="X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K496" s="3"/>
      <c r="L496" s="3"/>
      <c r="M496" s="3"/>
      <c r="N496" s="3"/>
      <c r="O496" s="3"/>
      <c r="P496" s="3"/>
      <c r="Q496" s="3"/>
      <c r="R496" s="3"/>
      <c r="V496" s="3"/>
      <c r="X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K497" s="3"/>
      <c r="L497" s="3"/>
      <c r="M497" s="3"/>
      <c r="N497" s="3"/>
      <c r="O497" s="3"/>
      <c r="P497" s="3"/>
      <c r="Q497" s="3"/>
      <c r="R497" s="3"/>
      <c r="V497" s="3"/>
      <c r="X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K498" s="3"/>
      <c r="L498" s="3"/>
      <c r="M498" s="3"/>
      <c r="N498" s="3"/>
      <c r="O498" s="3"/>
      <c r="P498" s="3"/>
      <c r="Q498" s="3"/>
      <c r="R498" s="3"/>
      <c r="V498" s="3"/>
      <c r="X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K499" s="3"/>
      <c r="L499" s="3"/>
      <c r="M499" s="3"/>
      <c r="N499" s="3"/>
      <c r="O499" s="3"/>
      <c r="P499" s="3"/>
      <c r="Q499" s="3"/>
      <c r="R499" s="3"/>
      <c r="V499" s="3"/>
      <c r="X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K500" s="3"/>
      <c r="L500" s="3"/>
      <c r="M500" s="3"/>
      <c r="N500" s="3"/>
      <c r="O500" s="3"/>
      <c r="P500" s="3"/>
      <c r="Q500" s="3"/>
      <c r="R500" s="3"/>
      <c r="V500" s="3"/>
      <c r="X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K501" s="3"/>
      <c r="L501" s="3"/>
      <c r="M501" s="3"/>
      <c r="N501" s="3"/>
      <c r="O501" s="3"/>
      <c r="P501" s="3"/>
      <c r="Q501" s="3"/>
      <c r="R501" s="3"/>
      <c r="V501" s="3"/>
      <c r="X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K502" s="3"/>
      <c r="L502" s="3"/>
      <c r="M502" s="3"/>
      <c r="N502" s="3"/>
      <c r="O502" s="3"/>
      <c r="P502" s="3"/>
      <c r="Q502" s="3"/>
      <c r="R502" s="3"/>
      <c r="V502" s="3"/>
      <c r="X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K503" s="3"/>
      <c r="L503" s="3"/>
      <c r="M503" s="3"/>
      <c r="N503" s="3"/>
      <c r="O503" s="3"/>
      <c r="P503" s="3"/>
      <c r="Q503" s="3"/>
      <c r="R503" s="3"/>
      <c r="V503" s="3"/>
      <c r="X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K504" s="3"/>
      <c r="L504" s="3"/>
      <c r="M504" s="3"/>
      <c r="N504" s="3"/>
      <c r="O504" s="3"/>
      <c r="P504" s="3"/>
      <c r="Q504" s="3"/>
      <c r="R504" s="3"/>
      <c r="V504" s="3"/>
      <c r="X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K505" s="3"/>
      <c r="L505" s="3"/>
      <c r="M505" s="3"/>
      <c r="N505" s="3"/>
      <c r="O505" s="3"/>
      <c r="P505" s="3"/>
      <c r="Q505" s="3"/>
      <c r="R505" s="3"/>
      <c r="V505" s="3"/>
      <c r="X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K506" s="3"/>
      <c r="L506" s="3"/>
      <c r="M506" s="3"/>
      <c r="N506" s="3"/>
      <c r="O506" s="3"/>
      <c r="P506" s="3"/>
      <c r="Q506" s="3"/>
      <c r="R506" s="3"/>
      <c r="V506" s="3"/>
      <c r="X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K507" s="3"/>
      <c r="L507" s="3"/>
      <c r="M507" s="3"/>
      <c r="N507" s="3"/>
      <c r="O507" s="3"/>
      <c r="P507" s="3"/>
      <c r="Q507" s="3"/>
      <c r="R507" s="3"/>
      <c r="V507" s="3"/>
      <c r="X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K508" s="3"/>
      <c r="L508" s="3"/>
      <c r="M508" s="3"/>
      <c r="N508" s="3"/>
      <c r="O508" s="3"/>
      <c r="P508" s="3"/>
      <c r="Q508" s="3"/>
      <c r="R508" s="3"/>
      <c r="V508" s="3"/>
      <c r="X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K509" s="3"/>
      <c r="L509" s="3"/>
      <c r="M509" s="3"/>
      <c r="N509" s="3"/>
      <c r="O509" s="3"/>
      <c r="P509" s="3"/>
      <c r="Q509" s="3"/>
      <c r="R509" s="3"/>
      <c r="V509" s="3"/>
      <c r="X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K510" s="3"/>
      <c r="L510" s="3"/>
      <c r="M510" s="3"/>
      <c r="N510" s="3"/>
      <c r="O510" s="3"/>
      <c r="P510" s="3"/>
      <c r="Q510" s="3"/>
      <c r="R510" s="3"/>
      <c r="V510" s="3"/>
      <c r="X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K511" s="3"/>
      <c r="L511" s="3"/>
      <c r="M511" s="3"/>
      <c r="N511" s="3"/>
      <c r="O511" s="3"/>
      <c r="P511" s="3"/>
      <c r="Q511" s="3"/>
      <c r="R511" s="3"/>
      <c r="V511" s="3"/>
      <c r="X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K512" s="3"/>
      <c r="L512" s="3"/>
      <c r="M512" s="3"/>
      <c r="N512" s="3"/>
      <c r="O512" s="3"/>
      <c r="P512" s="3"/>
      <c r="Q512" s="3"/>
      <c r="R512" s="3"/>
      <c r="V512" s="3"/>
      <c r="X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K513" s="3"/>
      <c r="L513" s="3"/>
      <c r="M513" s="3"/>
      <c r="N513" s="3"/>
      <c r="O513" s="3"/>
      <c r="P513" s="3"/>
      <c r="Q513" s="3"/>
      <c r="R513" s="3"/>
      <c r="V513" s="3"/>
      <c r="X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K514" s="3"/>
      <c r="L514" s="3"/>
      <c r="M514" s="3"/>
      <c r="N514" s="3"/>
      <c r="O514" s="3"/>
      <c r="P514" s="3"/>
      <c r="Q514" s="3"/>
      <c r="R514" s="3"/>
      <c r="V514" s="3"/>
      <c r="X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K515" s="3"/>
      <c r="L515" s="3"/>
      <c r="M515" s="3"/>
      <c r="N515" s="3"/>
      <c r="O515" s="3"/>
      <c r="P515" s="3"/>
      <c r="Q515" s="3"/>
      <c r="R515" s="3"/>
      <c r="V515" s="3"/>
      <c r="X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K516" s="3"/>
      <c r="L516" s="3"/>
      <c r="M516" s="3"/>
      <c r="N516" s="3"/>
      <c r="O516" s="3"/>
      <c r="P516" s="3"/>
      <c r="Q516" s="3"/>
      <c r="R516" s="3"/>
      <c r="V516" s="3"/>
      <c r="X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K517" s="3"/>
      <c r="L517" s="3"/>
      <c r="M517" s="3"/>
      <c r="N517" s="3"/>
      <c r="O517" s="3"/>
      <c r="P517" s="3"/>
      <c r="Q517" s="3"/>
      <c r="R517" s="3"/>
      <c r="V517" s="3"/>
      <c r="X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K518" s="3"/>
      <c r="L518" s="3"/>
      <c r="M518" s="3"/>
      <c r="N518" s="3"/>
      <c r="O518" s="3"/>
      <c r="P518" s="3"/>
      <c r="Q518" s="3"/>
      <c r="R518" s="3"/>
      <c r="V518" s="3"/>
      <c r="X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K519" s="3"/>
      <c r="L519" s="3"/>
      <c r="M519" s="3"/>
      <c r="N519" s="3"/>
      <c r="O519" s="3"/>
      <c r="P519" s="3"/>
      <c r="Q519" s="3"/>
      <c r="R519" s="3"/>
      <c r="V519" s="3"/>
      <c r="X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K520" s="3"/>
      <c r="L520" s="3"/>
      <c r="M520" s="3"/>
      <c r="N520" s="3"/>
      <c r="O520" s="3"/>
      <c r="P520" s="3"/>
      <c r="Q520" s="3"/>
      <c r="R520" s="3"/>
      <c r="V520" s="3"/>
      <c r="X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K521" s="3"/>
      <c r="L521" s="3"/>
      <c r="M521" s="3"/>
      <c r="N521" s="3"/>
      <c r="O521" s="3"/>
      <c r="P521" s="3"/>
      <c r="Q521" s="3"/>
      <c r="R521" s="3"/>
      <c r="V521" s="3"/>
      <c r="X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K522" s="3"/>
      <c r="L522" s="3"/>
      <c r="M522" s="3"/>
      <c r="N522" s="3"/>
      <c r="O522" s="3"/>
      <c r="P522" s="3"/>
      <c r="Q522" s="3"/>
      <c r="R522" s="3"/>
      <c r="V522" s="3"/>
      <c r="X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K523" s="3"/>
      <c r="L523" s="3"/>
      <c r="M523" s="3"/>
      <c r="N523" s="3"/>
      <c r="O523" s="3"/>
      <c r="P523" s="3"/>
      <c r="Q523" s="3"/>
      <c r="R523" s="3"/>
      <c r="V523" s="3"/>
      <c r="X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K524" s="3"/>
      <c r="L524" s="3"/>
      <c r="M524" s="3"/>
      <c r="N524" s="3"/>
      <c r="O524" s="3"/>
      <c r="P524" s="3"/>
      <c r="Q524" s="3"/>
      <c r="R524" s="3"/>
      <c r="V524" s="3"/>
      <c r="X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K525" s="3"/>
      <c r="L525" s="3"/>
      <c r="M525" s="3"/>
      <c r="N525" s="3"/>
      <c r="O525" s="3"/>
      <c r="P525" s="3"/>
      <c r="Q525" s="3"/>
      <c r="R525" s="3"/>
      <c r="V525" s="3"/>
      <c r="X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K526" s="3"/>
      <c r="L526" s="3"/>
      <c r="M526" s="3"/>
      <c r="N526" s="3"/>
      <c r="O526" s="3"/>
      <c r="P526" s="3"/>
      <c r="Q526" s="3"/>
      <c r="R526" s="3"/>
      <c r="V526" s="3"/>
      <c r="X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K527" s="3"/>
      <c r="L527" s="3"/>
      <c r="M527" s="3"/>
      <c r="N527" s="3"/>
      <c r="O527" s="3"/>
      <c r="P527" s="3"/>
      <c r="Q527" s="3"/>
      <c r="R527" s="3"/>
      <c r="V527" s="3"/>
      <c r="X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K528" s="3"/>
      <c r="L528" s="3"/>
      <c r="M528" s="3"/>
      <c r="N528" s="3"/>
      <c r="O528" s="3"/>
      <c r="P528" s="3"/>
      <c r="Q528" s="3"/>
      <c r="R528" s="3"/>
      <c r="V528" s="3"/>
      <c r="X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K529" s="3"/>
      <c r="L529" s="3"/>
      <c r="M529" s="3"/>
      <c r="N529" s="3"/>
      <c r="O529" s="3"/>
      <c r="P529" s="3"/>
      <c r="Q529" s="3"/>
      <c r="R529" s="3"/>
      <c r="V529" s="3"/>
      <c r="X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K530" s="3"/>
      <c r="L530" s="3"/>
      <c r="M530" s="3"/>
      <c r="N530" s="3"/>
      <c r="O530" s="3"/>
      <c r="P530" s="3"/>
      <c r="Q530" s="3"/>
      <c r="R530" s="3"/>
      <c r="V530" s="3"/>
      <c r="X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K531" s="3"/>
      <c r="L531" s="3"/>
      <c r="M531" s="3"/>
      <c r="N531" s="3"/>
      <c r="O531" s="3"/>
      <c r="P531" s="3"/>
      <c r="Q531" s="3"/>
      <c r="R531" s="3"/>
      <c r="V531" s="3"/>
      <c r="X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K532" s="3"/>
      <c r="L532" s="3"/>
      <c r="M532" s="3"/>
      <c r="N532" s="3"/>
      <c r="O532" s="3"/>
      <c r="P532" s="3"/>
      <c r="Q532" s="3"/>
      <c r="R532" s="3"/>
      <c r="V532" s="3"/>
      <c r="X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K533" s="3"/>
      <c r="L533" s="3"/>
      <c r="M533" s="3"/>
      <c r="N533" s="3"/>
      <c r="O533" s="3"/>
      <c r="P533" s="3"/>
      <c r="Q533" s="3"/>
      <c r="R533" s="3"/>
      <c r="V533" s="3"/>
      <c r="X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K534" s="3"/>
      <c r="L534" s="3"/>
      <c r="M534" s="3"/>
      <c r="N534" s="3"/>
      <c r="O534" s="3"/>
      <c r="P534" s="3"/>
      <c r="Q534" s="3"/>
      <c r="R534" s="3"/>
      <c r="V534" s="3"/>
      <c r="X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K535" s="3"/>
      <c r="L535" s="3"/>
      <c r="M535" s="3"/>
      <c r="N535" s="3"/>
      <c r="O535" s="3"/>
      <c r="P535" s="3"/>
      <c r="Q535" s="3"/>
      <c r="R535" s="3"/>
      <c r="V535" s="3"/>
      <c r="X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K536" s="3"/>
      <c r="L536" s="3"/>
      <c r="M536" s="3"/>
      <c r="N536" s="3"/>
      <c r="O536" s="3"/>
      <c r="P536" s="3"/>
      <c r="Q536" s="3"/>
      <c r="R536" s="3"/>
      <c r="V536" s="3"/>
      <c r="X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K537" s="3"/>
      <c r="L537" s="3"/>
      <c r="M537" s="3"/>
      <c r="N537" s="3"/>
      <c r="O537" s="3"/>
      <c r="P537" s="3"/>
      <c r="Q537" s="3"/>
      <c r="R537" s="3"/>
      <c r="V537" s="3"/>
      <c r="X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K538" s="3"/>
      <c r="L538" s="3"/>
      <c r="M538" s="3"/>
      <c r="N538" s="3"/>
      <c r="O538" s="3"/>
      <c r="P538" s="3"/>
      <c r="Q538" s="3"/>
      <c r="R538" s="3"/>
      <c r="V538" s="3"/>
      <c r="X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K539" s="3"/>
      <c r="L539" s="3"/>
      <c r="M539" s="3"/>
      <c r="N539" s="3"/>
      <c r="O539" s="3"/>
      <c r="P539" s="3"/>
      <c r="Q539" s="3"/>
      <c r="R539" s="3"/>
      <c r="V539" s="3"/>
      <c r="X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K540" s="3"/>
      <c r="L540" s="3"/>
      <c r="M540" s="3"/>
      <c r="N540" s="3"/>
      <c r="O540" s="3"/>
      <c r="P540" s="3"/>
      <c r="Q540" s="3"/>
      <c r="R540" s="3"/>
      <c r="V540" s="3"/>
      <c r="X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K541" s="3"/>
      <c r="L541" s="3"/>
      <c r="M541" s="3"/>
      <c r="N541" s="3"/>
      <c r="O541" s="3"/>
      <c r="P541" s="3"/>
      <c r="Q541" s="3"/>
      <c r="R541" s="3"/>
      <c r="V541" s="3"/>
      <c r="X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K542" s="3"/>
      <c r="L542" s="3"/>
      <c r="M542" s="3"/>
      <c r="N542" s="3"/>
      <c r="O542" s="3"/>
      <c r="P542" s="3"/>
      <c r="Q542" s="3"/>
      <c r="R542" s="3"/>
      <c r="V542" s="3"/>
      <c r="X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K543" s="3"/>
      <c r="L543" s="3"/>
      <c r="M543" s="3"/>
      <c r="N543" s="3"/>
      <c r="O543" s="3"/>
      <c r="P543" s="3"/>
      <c r="Q543" s="3"/>
      <c r="R543" s="3"/>
      <c r="V543" s="3"/>
      <c r="X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K544" s="3"/>
      <c r="L544" s="3"/>
      <c r="M544" s="3"/>
      <c r="N544" s="3"/>
      <c r="O544" s="3"/>
      <c r="P544" s="3"/>
      <c r="Q544" s="3"/>
      <c r="R544" s="3"/>
      <c r="V544" s="3"/>
      <c r="X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K545" s="3"/>
      <c r="L545" s="3"/>
      <c r="M545" s="3"/>
      <c r="N545" s="3"/>
      <c r="O545" s="3"/>
      <c r="P545" s="3"/>
      <c r="Q545" s="3"/>
      <c r="R545" s="3"/>
      <c r="V545" s="3"/>
      <c r="X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K546" s="3"/>
      <c r="L546" s="3"/>
      <c r="M546" s="3"/>
      <c r="N546" s="3"/>
      <c r="O546" s="3"/>
      <c r="P546" s="3"/>
      <c r="Q546" s="3"/>
      <c r="R546" s="3"/>
      <c r="V546" s="3"/>
      <c r="X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K547" s="3"/>
      <c r="L547" s="3"/>
      <c r="M547" s="3"/>
      <c r="N547" s="3"/>
      <c r="O547" s="3"/>
      <c r="P547" s="3"/>
      <c r="Q547" s="3"/>
      <c r="R547" s="3"/>
      <c r="V547" s="3"/>
      <c r="X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K548" s="3"/>
      <c r="L548" s="3"/>
      <c r="M548" s="3"/>
      <c r="N548" s="3"/>
      <c r="O548" s="3"/>
      <c r="P548" s="3"/>
      <c r="Q548" s="3"/>
      <c r="R548" s="3"/>
      <c r="V548" s="3"/>
      <c r="X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K549" s="3"/>
      <c r="L549" s="3"/>
      <c r="M549" s="3"/>
      <c r="N549" s="3"/>
      <c r="O549" s="3"/>
      <c r="P549" s="3"/>
      <c r="Q549" s="3"/>
      <c r="R549" s="3"/>
      <c r="V549" s="3"/>
      <c r="X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K550" s="3"/>
      <c r="L550" s="3"/>
      <c r="M550" s="3"/>
      <c r="N550" s="3"/>
      <c r="O550" s="3"/>
      <c r="P550" s="3"/>
      <c r="Q550" s="3"/>
      <c r="R550" s="3"/>
      <c r="V550" s="3"/>
      <c r="X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K551" s="3"/>
      <c r="L551" s="3"/>
      <c r="M551" s="3"/>
      <c r="N551" s="3"/>
      <c r="O551" s="3"/>
      <c r="P551" s="3"/>
      <c r="Q551" s="3"/>
      <c r="R551" s="3"/>
      <c r="V551" s="3"/>
      <c r="X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K552" s="3"/>
      <c r="L552" s="3"/>
      <c r="M552" s="3"/>
      <c r="N552" s="3"/>
      <c r="O552" s="3"/>
      <c r="P552" s="3"/>
      <c r="Q552" s="3"/>
      <c r="R552" s="3"/>
      <c r="V552" s="3"/>
      <c r="X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K553" s="3"/>
      <c r="L553" s="3"/>
      <c r="M553" s="3"/>
      <c r="N553" s="3"/>
      <c r="O553" s="3"/>
      <c r="P553" s="3"/>
      <c r="Q553" s="3"/>
      <c r="R553" s="3"/>
      <c r="V553" s="3"/>
      <c r="X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K554" s="3"/>
      <c r="L554" s="3"/>
      <c r="M554" s="3"/>
      <c r="N554" s="3"/>
      <c r="O554" s="3"/>
      <c r="P554" s="3"/>
      <c r="Q554" s="3"/>
      <c r="R554" s="3"/>
      <c r="V554" s="3"/>
      <c r="X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K555" s="3"/>
      <c r="L555" s="3"/>
      <c r="M555" s="3"/>
      <c r="N555" s="3"/>
      <c r="O555" s="3"/>
      <c r="P555" s="3"/>
      <c r="Q555" s="3"/>
      <c r="R555" s="3"/>
      <c r="V555" s="3"/>
      <c r="X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K556" s="3"/>
      <c r="L556" s="3"/>
      <c r="M556" s="3"/>
      <c r="N556" s="3"/>
      <c r="O556" s="3"/>
      <c r="P556" s="3"/>
      <c r="Q556" s="3"/>
      <c r="R556" s="3"/>
      <c r="V556" s="3"/>
      <c r="X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K557" s="3"/>
      <c r="L557" s="3"/>
      <c r="M557" s="3"/>
      <c r="N557" s="3"/>
      <c r="O557" s="3"/>
      <c r="P557" s="3"/>
      <c r="Q557" s="3"/>
      <c r="R557" s="3"/>
      <c r="V557" s="3"/>
      <c r="X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K558" s="3"/>
      <c r="L558" s="3"/>
      <c r="M558" s="3"/>
      <c r="N558" s="3"/>
      <c r="O558" s="3"/>
      <c r="P558" s="3"/>
      <c r="Q558" s="3"/>
      <c r="R558" s="3"/>
      <c r="V558" s="3"/>
      <c r="X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K559" s="3"/>
      <c r="L559" s="3"/>
      <c r="M559" s="3"/>
      <c r="N559" s="3"/>
      <c r="O559" s="3"/>
      <c r="P559" s="3"/>
      <c r="Q559" s="3"/>
      <c r="R559" s="3"/>
      <c r="V559" s="3"/>
      <c r="X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K560" s="3"/>
      <c r="L560" s="3"/>
      <c r="M560" s="3"/>
      <c r="N560" s="3"/>
      <c r="O560" s="3"/>
      <c r="P560" s="3"/>
      <c r="Q560" s="3"/>
      <c r="R560" s="3"/>
      <c r="V560" s="3"/>
      <c r="X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K561" s="3"/>
      <c r="L561" s="3"/>
      <c r="M561" s="3"/>
      <c r="N561" s="3"/>
      <c r="O561" s="3"/>
      <c r="P561" s="3"/>
      <c r="Q561" s="3"/>
      <c r="R561" s="3"/>
      <c r="V561" s="3"/>
      <c r="X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K562" s="3"/>
      <c r="L562" s="3"/>
      <c r="M562" s="3"/>
      <c r="N562" s="3"/>
      <c r="O562" s="3"/>
      <c r="P562" s="3"/>
      <c r="Q562" s="3"/>
      <c r="R562" s="3"/>
      <c r="V562" s="3"/>
      <c r="X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K563" s="3"/>
      <c r="L563" s="3"/>
      <c r="M563" s="3"/>
      <c r="N563" s="3"/>
      <c r="O563" s="3"/>
      <c r="P563" s="3"/>
      <c r="Q563" s="3"/>
      <c r="R563" s="3"/>
      <c r="V563" s="3"/>
      <c r="X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K564" s="3"/>
      <c r="L564" s="3"/>
      <c r="M564" s="3"/>
      <c r="N564" s="3"/>
      <c r="O564" s="3"/>
      <c r="P564" s="3"/>
      <c r="Q564" s="3"/>
      <c r="R564" s="3"/>
      <c r="V564" s="3"/>
      <c r="X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K565" s="3"/>
      <c r="L565" s="3"/>
      <c r="M565" s="3"/>
      <c r="N565" s="3"/>
      <c r="O565" s="3"/>
      <c r="P565" s="3"/>
      <c r="Q565" s="3"/>
      <c r="R565" s="3"/>
      <c r="V565" s="3"/>
      <c r="X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K566" s="3"/>
      <c r="L566" s="3"/>
      <c r="M566" s="3"/>
      <c r="N566" s="3"/>
      <c r="O566" s="3"/>
      <c r="P566" s="3"/>
      <c r="Q566" s="3"/>
      <c r="R566" s="3"/>
      <c r="V566" s="3"/>
      <c r="X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K567" s="3"/>
      <c r="L567" s="3"/>
      <c r="M567" s="3"/>
      <c r="N567" s="3"/>
      <c r="O567" s="3"/>
      <c r="P567" s="3"/>
      <c r="Q567" s="3"/>
      <c r="R567" s="3"/>
      <c r="V567" s="3"/>
      <c r="X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K568" s="3"/>
      <c r="L568" s="3"/>
      <c r="M568" s="3"/>
      <c r="N568" s="3"/>
      <c r="O568" s="3"/>
      <c r="P568" s="3"/>
      <c r="Q568" s="3"/>
      <c r="R568" s="3"/>
      <c r="V568" s="3"/>
      <c r="X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K569" s="3"/>
      <c r="L569" s="3"/>
      <c r="M569" s="3"/>
      <c r="N569" s="3"/>
      <c r="O569" s="3"/>
      <c r="P569" s="3"/>
      <c r="Q569" s="3"/>
      <c r="R569" s="3"/>
      <c r="V569" s="3"/>
      <c r="X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K570" s="3"/>
      <c r="L570" s="3"/>
      <c r="M570" s="3"/>
      <c r="N570" s="3"/>
      <c r="O570" s="3"/>
      <c r="P570" s="3"/>
      <c r="Q570" s="3"/>
      <c r="R570" s="3"/>
      <c r="V570" s="3"/>
      <c r="X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K571" s="3"/>
      <c r="L571" s="3"/>
      <c r="M571" s="3"/>
      <c r="N571" s="3"/>
      <c r="O571" s="3"/>
      <c r="P571" s="3"/>
      <c r="Q571" s="3"/>
      <c r="R571" s="3"/>
      <c r="V571" s="3"/>
      <c r="X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K572" s="3"/>
      <c r="L572" s="3"/>
      <c r="M572" s="3"/>
      <c r="N572" s="3"/>
      <c r="O572" s="3"/>
      <c r="P572" s="3"/>
      <c r="Q572" s="3"/>
      <c r="R572" s="3"/>
      <c r="V572" s="3"/>
      <c r="X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K573" s="3"/>
      <c r="L573" s="3"/>
      <c r="M573" s="3"/>
      <c r="N573" s="3"/>
      <c r="O573" s="3"/>
      <c r="P573" s="3"/>
      <c r="Q573" s="3"/>
      <c r="R573" s="3"/>
      <c r="V573" s="3"/>
      <c r="X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K574" s="3"/>
      <c r="L574" s="3"/>
      <c r="M574" s="3"/>
      <c r="N574" s="3"/>
      <c r="O574" s="3"/>
      <c r="P574" s="3"/>
      <c r="Q574" s="3"/>
      <c r="R574" s="3"/>
      <c r="V574" s="3"/>
      <c r="X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K575" s="3"/>
      <c r="L575" s="3"/>
      <c r="M575" s="3"/>
      <c r="N575" s="3"/>
      <c r="O575" s="3"/>
      <c r="P575" s="3"/>
      <c r="Q575" s="3"/>
      <c r="R575" s="3"/>
      <c r="V575" s="3"/>
      <c r="X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K576" s="3"/>
      <c r="L576" s="3"/>
      <c r="M576" s="3"/>
      <c r="N576" s="3"/>
      <c r="O576" s="3"/>
      <c r="P576" s="3"/>
      <c r="Q576" s="3"/>
      <c r="R576" s="3"/>
      <c r="V576" s="3"/>
      <c r="X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K577" s="3"/>
      <c r="L577" s="3"/>
      <c r="M577" s="3"/>
      <c r="N577" s="3"/>
      <c r="O577" s="3"/>
      <c r="P577" s="3"/>
      <c r="Q577" s="3"/>
      <c r="R577" s="3"/>
      <c r="V577" s="3"/>
      <c r="X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K578" s="3"/>
      <c r="L578" s="3"/>
      <c r="M578" s="3"/>
      <c r="N578" s="3"/>
      <c r="O578" s="3"/>
      <c r="P578" s="3"/>
      <c r="Q578" s="3"/>
      <c r="R578" s="3"/>
      <c r="V578" s="3"/>
      <c r="X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K579" s="3"/>
      <c r="L579" s="3"/>
      <c r="M579" s="3"/>
      <c r="N579" s="3"/>
      <c r="O579" s="3"/>
      <c r="P579" s="3"/>
      <c r="Q579" s="3"/>
      <c r="R579" s="3"/>
      <c r="V579" s="3"/>
      <c r="X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K580" s="3"/>
      <c r="L580" s="3"/>
      <c r="M580" s="3"/>
      <c r="N580" s="3"/>
      <c r="O580" s="3"/>
      <c r="P580" s="3"/>
      <c r="Q580" s="3"/>
      <c r="R580" s="3"/>
      <c r="V580" s="3"/>
      <c r="X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K581" s="3"/>
      <c r="L581" s="3"/>
      <c r="M581" s="3"/>
      <c r="N581" s="3"/>
      <c r="O581" s="3"/>
      <c r="P581" s="3"/>
      <c r="Q581" s="3"/>
      <c r="R581" s="3"/>
      <c r="V581" s="3"/>
      <c r="X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K582" s="3"/>
      <c r="L582" s="3"/>
      <c r="M582" s="3"/>
      <c r="N582" s="3"/>
      <c r="O582" s="3"/>
      <c r="P582" s="3"/>
      <c r="Q582" s="3"/>
      <c r="R582" s="3"/>
      <c r="V582" s="3"/>
      <c r="X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K583" s="3"/>
      <c r="L583" s="3"/>
      <c r="M583" s="3"/>
      <c r="N583" s="3"/>
      <c r="O583" s="3"/>
      <c r="P583" s="3"/>
      <c r="Q583" s="3"/>
      <c r="R583" s="3"/>
      <c r="V583" s="3"/>
      <c r="X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K584" s="3"/>
      <c r="L584" s="3"/>
      <c r="M584" s="3"/>
      <c r="N584" s="3"/>
      <c r="O584" s="3"/>
      <c r="P584" s="3"/>
      <c r="Q584" s="3"/>
      <c r="R584" s="3"/>
      <c r="V584" s="3"/>
      <c r="X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K585" s="3"/>
      <c r="L585" s="3"/>
      <c r="M585" s="3"/>
      <c r="N585" s="3"/>
      <c r="O585" s="3"/>
      <c r="P585" s="3"/>
      <c r="Q585" s="3"/>
      <c r="R585" s="3"/>
      <c r="V585" s="3"/>
      <c r="X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K586" s="3"/>
      <c r="L586" s="3"/>
      <c r="M586" s="3"/>
      <c r="N586" s="3"/>
      <c r="O586" s="3"/>
      <c r="P586" s="3"/>
      <c r="Q586" s="3"/>
      <c r="R586" s="3"/>
      <c r="V586" s="3"/>
      <c r="X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K587" s="3"/>
      <c r="L587" s="3"/>
      <c r="M587" s="3"/>
      <c r="N587" s="3"/>
      <c r="O587" s="3"/>
      <c r="P587" s="3"/>
      <c r="Q587" s="3"/>
      <c r="R587" s="3"/>
      <c r="V587" s="3"/>
      <c r="X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K588" s="3"/>
      <c r="L588" s="3"/>
      <c r="M588" s="3"/>
      <c r="N588" s="3"/>
      <c r="O588" s="3"/>
      <c r="P588" s="3"/>
      <c r="Q588" s="3"/>
      <c r="R588" s="3"/>
      <c r="V588" s="3"/>
      <c r="X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K589" s="3"/>
      <c r="L589" s="3"/>
      <c r="M589" s="3"/>
      <c r="N589" s="3"/>
      <c r="O589" s="3"/>
      <c r="P589" s="3"/>
      <c r="Q589" s="3"/>
      <c r="R589" s="3"/>
      <c r="V589" s="3"/>
      <c r="X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K590" s="3"/>
      <c r="L590" s="3"/>
      <c r="M590" s="3"/>
      <c r="N590" s="3"/>
      <c r="O590" s="3"/>
      <c r="P590" s="3"/>
      <c r="Q590" s="3"/>
      <c r="R590" s="3"/>
      <c r="V590" s="3"/>
      <c r="X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K591" s="3"/>
      <c r="L591" s="3"/>
      <c r="M591" s="3"/>
      <c r="N591" s="3"/>
      <c r="O591" s="3"/>
      <c r="P591" s="3"/>
      <c r="Q591" s="3"/>
      <c r="R591" s="3"/>
      <c r="V591" s="3"/>
      <c r="X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K592" s="3"/>
      <c r="L592" s="3"/>
      <c r="M592" s="3"/>
      <c r="N592" s="3"/>
      <c r="O592" s="3"/>
      <c r="P592" s="3"/>
      <c r="Q592" s="3"/>
      <c r="R592" s="3"/>
      <c r="V592" s="3"/>
      <c r="X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K593" s="3"/>
      <c r="L593" s="3"/>
      <c r="M593" s="3"/>
      <c r="N593" s="3"/>
      <c r="O593" s="3"/>
      <c r="P593" s="3"/>
      <c r="Q593" s="3"/>
      <c r="R593" s="3"/>
      <c r="V593" s="3"/>
      <c r="X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K594" s="3"/>
      <c r="L594" s="3"/>
      <c r="M594" s="3"/>
      <c r="N594" s="3"/>
      <c r="O594" s="3"/>
      <c r="P594" s="3"/>
      <c r="Q594" s="3"/>
      <c r="R594" s="3"/>
      <c r="V594" s="3"/>
      <c r="X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K595" s="3"/>
      <c r="L595" s="3"/>
      <c r="M595" s="3"/>
      <c r="N595" s="3"/>
      <c r="O595" s="3"/>
      <c r="P595" s="3"/>
      <c r="Q595" s="3"/>
      <c r="R595" s="3"/>
      <c r="V595" s="3"/>
      <c r="X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K596" s="3"/>
      <c r="L596" s="3"/>
      <c r="M596" s="3"/>
      <c r="N596" s="3"/>
      <c r="O596" s="3"/>
      <c r="P596" s="3"/>
      <c r="Q596" s="3"/>
      <c r="R596" s="3"/>
      <c r="V596" s="3"/>
      <c r="X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K597" s="3"/>
      <c r="L597" s="3"/>
      <c r="M597" s="3"/>
      <c r="N597" s="3"/>
      <c r="O597" s="3"/>
      <c r="P597" s="3"/>
      <c r="Q597" s="3"/>
      <c r="R597" s="3"/>
      <c r="V597" s="3"/>
      <c r="X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K598" s="3"/>
      <c r="L598" s="3"/>
      <c r="M598" s="3"/>
      <c r="N598" s="3"/>
      <c r="O598" s="3"/>
      <c r="P598" s="3"/>
      <c r="Q598" s="3"/>
      <c r="R598" s="3"/>
      <c r="V598" s="3"/>
      <c r="X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K599" s="3"/>
      <c r="L599" s="3"/>
      <c r="M599" s="3"/>
      <c r="N599" s="3"/>
      <c r="O599" s="3"/>
      <c r="P599" s="3"/>
      <c r="Q599" s="3"/>
      <c r="R599" s="3"/>
      <c r="V599" s="3"/>
      <c r="X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K600" s="3"/>
      <c r="L600" s="3"/>
      <c r="M600" s="3"/>
      <c r="N600" s="3"/>
      <c r="O600" s="3"/>
      <c r="P600" s="3"/>
      <c r="Q600" s="3"/>
      <c r="R600" s="3"/>
      <c r="V600" s="3"/>
      <c r="X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K601" s="3"/>
      <c r="L601" s="3"/>
      <c r="M601" s="3"/>
      <c r="N601" s="3"/>
      <c r="O601" s="3"/>
      <c r="P601" s="3"/>
      <c r="Q601" s="3"/>
      <c r="R601" s="3"/>
      <c r="V601" s="3"/>
      <c r="X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K602" s="3"/>
      <c r="L602" s="3"/>
      <c r="M602" s="3"/>
      <c r="N602" s="3"/>
      <c r="O602" s="3"/>
      <c r="P602" s="3"/>
      <c r="Q602" s="3"/>
      <c r="R602" s="3"/>
      <c r="V602" s="3"/>
      <c r="X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K603" s="3"/>
      <c r="L603" s="3"/>
      <c r="M603" s="3"/>
      <c r="N603" s="3"/>
      <c r="O603" s="3"/>
      <c r="P603" s="3"/>
      <c r="Q603" s="3"/>
      <c r="R603" s="3"/>
      <c r="V603" s="3"/>
      <c r="X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K604" s="3"/>
      <c r="L604" s="3"/>
      <c r="M604" s="3"/>
      <c r="N604" s="3"/>
      <c r="O604" s="3"/>
      <c r="P604" s="3"/>
      <c r="Q604" s="3"/>
      <c r="R604" s="3"/>
      <c r="V604" s="3"/>
      <c r="X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K605" s="3"/>
      <c r="L605" s="3"/>
      <c r="M605" s="3"/>
      <c r="N605" s="3"/>
      <c r="O605" s="3"/>
      <c r="P605" s="3"/>
      <c r="Q605" s="3"/>
      <c r="R605" s="3"/>
      <c r="V605" s="3"/>
      <c r="X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K606" s="3"/>
      <c r="L606" s="3"/>
      <c r="M606" s="3"/>
      <c r="N606" s="3"/>
      <c r="O606" s="3"/>
      <c r="P606" s="3"/>
      <c r="Q606" s="3"/>
      <c r="R606" s="3"/>
      <c r="V606" s="3"/>
      <c r="X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K607" s="3"/>
      <c r="L607" s="3"/>
      <c r="M607" s="3"/>
      <c r="N607" s="3"/>
      <c r="O607" s="3"/>
      <c r="P607" s="3"/>
      <c r="Q607" s="3"/>
      <c r="R607" s="3"/>
      <c r="V607" s="3"/>
      <c r="X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K608" s="3"/>
      <c r="L608" s="3"/>
      <c r="M608" s="3"/>
      <c r="N608" s="3"/>
      <c r="O608" s="3"/>
      <c r="P608" s="3"/>
      <c r="Q608" s="3"/>
      <c r="R608" s="3"/>
      <c r="V608" s="3"/>
      <c r="X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K609" s="3"/>
      <c r="L609" s="3"/>
      <c r="M609" s="3"/>
      <c r="N609" s="3"/>
      <c r="O609" s="3"/>
      <c r="P609" s="3"/>
      <c r="Q609" s="3"/>
      <c r="R609" s="3"/>
      <c r="V609" s="3"/>
      <c r="X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K610" s="3"/>
      <c r="L610" s="3"/>
      <c r="M610" s="3"/>
      <c r="N610" s="3"/>
      <c r="O610" s="3"/>
      <c r="P610" s="3"/>
      <c r="Q610" s="3"/>
      <c r="R610" s="3"/>
      <c r="V610" s="3"/>
      <c r="X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K611" s="3"/>
      <c r="L611" s="3"/>
      <c r="M611" s="3"/>
      <c r="N611" s="3"/>
      <c r="O611" s="3"/>
      <c r="P611" s="3"/>
      <c r="Q611" s="3"/>
      <c r="R611" s="3"/>
      <c r="V611" s="3"/>
      <c r="X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K612" s="3"/>
      <c r="L612" s="3"/>
      <c r="M612" s="3"/>
      <c r="N612" s="3"/>
      <c r="O612" s="3"/>
      <c r="P612" s="3"/>
      <c r="Q612" s="3"/>
      <c r="R612" s="3"/>
      <c r="V612" s="3"/>
      <c r="X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K613" s="3"/>
      <c r="L613" s="3"/>
      <c r="M613" s="3"/>
      <c r="N613" s="3"/>
      <c r="O613" s="3"/>
      <c r="P613" s="3"/>
      <c r="Q613" s="3"/>
      <c r="R613" s="3"/>
      <c r="V613" s="3"/>
      <c r="X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K614" s="3"/>
      <c r="L614" s="3"/>
      <c r="M614" s="3"/>
      <c r="N614" s="3"/>
      <c r="O614" s="3"/>
      <c r="P614" s="3"/>
      <c r="Q614" s="3"/>
      <c r="R614" s="3"/>
      <c r="V614" s="3"/>
      <c r="X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K615" s="3"/>
      <c r="L615" s="3"/>
      <c r="M615" s="3"/>
      <c r="N615" s="3"/>
      <c r="O615" s="3"/>
      <c r="P615" s="3"/>
      <c r="Q615" s="3"/>
      <c r="R615" s="3"/>
      <c r="V615" s="3"/>
      <c r="X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K616" s="3"/>
      <c r="L616" s="3"/>
      <c r="M616" s="3"/>
      <c r="N616" s="3"/>
      <c r="O616" s="3"/>
      <c r="P616" s="3"/>
      <c r="Q616" s="3"/>
      <c r="R616" s="3"/>
      <c r="V616" s="3"/>
      <c r="X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K617" s="3"/>
      <c r="L617" s="3"/>
      <c r="M617" s="3"/>
      <c r="N617" s="3"/>
      <c r="O617" s="3"/>
      <c r="P617" s="3"/>
      <c r="Q617" s="3"/>
      <c r="R617" s="3"/>
      <c r="V617" s="3"/>
      <c r="X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K618" s="3"/>
      <c r="L618" s="3"/>
      <c r="M618" s="3"/>
      <c r="N618" s="3"/>
      <c r="O618" s="3"/>
      <c r="P618" s="3"/>
      <c r="Q618" s="3"/>
      <c r="R618" s="3"/>
      <c r="V618" s="3"/>
      <c r="X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K619" s="3"/>
      <c r="L619" s="3"/>
      <c r="M619" s="3"/>
      <c r="N619" s="3"/>
      <c r="O619" s="3"/>
      <c r="P619" s="3"/>
      <c r="Q619" s="3"/>
      <c r="R619" s="3"/>
      <c r="V619" s="3"/>
      <c r="X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K620" s="3"/>
      <c r="L620" s="3"/>
      <c r="M620" s="3"/>
      <c r="N620" s="3"/>
      <c r="O620" s="3"/>
      <c r="P620" s="3"/>
      <c r="Q620" s="3"/>
      <c r="R620" s="3"/>
      <c r="V620" s="3"/>
      <c r="X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K621" s="3"/>
      <c r="L621" s="3"/>
      <c r="M621" s="3"/>
      <c r="N621" s="3"/>
      <c r="O621" s="3"/>
      <c r="P621" s="3"/>
      <c r="Q621" s="3"/>
      <c r="R621" s="3"/>
      <c r="V621" s="3"/>
      <c r="X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K622" s="3"/>
      <c r="L622" s="3"/>
      <c r="M622" s="3"/>
      <c r="N622" s="3"/>
      <c r="O622" s="3"/>
      <c r="P622" s="3"/>
      <c r="Q622" s="3"/>
      <c r="R622" s="3"/>
      <c r="V622" s="3"/>
      <c r="X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K623" s="3"/>
      <c r="L623" s="3"/>
      <c r="M623" s="3"/>
      <c r="N623" s="3"/>
      <c r="O623" s="3"/>
      <c r="P623" s="3"/>
      <c r="Q623" s="3"/>
      <c r="R623" s="3"/>
      <c r="V623" s="3"/>
      <c r="X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K624" s="3"/>
      <c r="L624" s="3"/>
      <c r="M624" s="3"/>
      <c r="N624" s="3"/>
      <c r="O624" s="3"/>
      <c r="P624" s="3"/>
      <c r="Q624" s="3"/>
      <c r="R624" s="3"/>
      <c r="V624" s="3"/>
      <c r="X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K625" s="3"/>
      <c r="L625" s="3"/>
      <c r="M625" s="3"/>
      <c r="N625" s="3"/>
      <c r="O625" s="3"/>
      <c r="P625" s="3"/>
      <c r="Q625" s="3"/>
      <c r="R625" s="3"/>
      <c r="V625" s="3"/>
      <c r="X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K626" s="3"/>
      <c r="L626" s="3"/>
      <c r="M626" s="3"/>
      <c r="N626" s="3"/>
      <c r="O626" s="3"/>
      <c r="P626" s="3"/>
      <c r="Q626" s="3"/>
      <c r="R626" s="3"/>
      <c r="V626" s="3"/>
      <c r="X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K627" s="3"/>
      <c r="L627" s="3"/>
      <c r="M627" s="3"/>
      <c r="N627" s="3"/>
      <c r="O627" s="3"/>
      <c r="P627" s="3"/>
      <c r="Q627" s="3"/>
      <c r="R627" s="3"/>
      <c r="V627" s="3"/>
      <c r="X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K628" s="3"/>
      <c r="L628" s="3"/>
      <c r="M628" s="3"/>
      <c r="N628" s="3"/>
      <c r="O628" s="3"/>
      <c r="P628" s="3"/>
      <c r="Q628" s="3"/>
      <c r="R628" s="3"/>
      <c r="V628" s="3"/>
      <c r="X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K629" s="3"/>
      <c r="L629" s="3"/>
      <c r="M629" s="3"/>
      <c r="N629" s="3"/>
      <c r="O629" s="3"/>
      <c r="P629" s="3"/>
      <c r="Q629" s="3"/>
      <c r="R629" s="3"/>
      <c r="V629" s="3"/>
      <c r="X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K630" s="3"/>
      <c r="L630" s="3"/>
      <c r="M630" s="3"/>
      <c r="N630" s="3"/>
      <c r="O630" s="3"/>
      <c r="P630" s="3"/>
      <c r="Q630" s="3"/>
      <c r="R630" s="3"/>
      <c r="V630" s="3"/>
      <c r="X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K631" s="3"/>
      <c r="L631" s="3"/>
      <c r="M631" s="3"/>
      <c r="N631" s="3"/>
      <c r="O631" s="3"/>
      <c r="P631" s="3"/>
      <c r="Q631" s="3"/>
      <c r="R631" s="3"/>
      <c r="V631" s="3"/>
      <c r="X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K632" s="3"/>
      <c r="L632" s="3"/>
      <c r="M632" s="3"/>
      <c r="N632" s="3"/>
      <c r="O632" s="3"/>
      <c r="P632" s="3"/>
      <c r="Q632" s="3"/>
      <c r="R632" s="3"/>
      <c r="V632" s="3"/>
      <c r="X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K633" s="3"/>
      <c r="L633" s="3"/>
      <c r="M633" s="3"/>
      <c r="N633" s="3"/>
      <c r="O633" s="3"/>
      <c r="P633" s="3"/>
      <c r="Q633" s="3"/>
      <c r="R633" s="3"/>
      <c r="V633" s="3"/>
      <c r="X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K634" s="3"/>
      <c r="L634" s="3"/>
      <c r="M634" s="3"/>
      <c r="N634" s="3"/>
      <c r="O634" s="3"/>
      <c r="P634" s="3"/>
      <c r="Q634" s="3"/>
      <c r="R634" s="3"/>
      <c r="V634" s="3"/>
      <c r="X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K635" s="3"/>
      <c r="L635" s="3"/>
      <c r="M635" s="3"/>
      <c r="N635" s="3"/>
      <c r="O635" s="3"/>
      <c r="P635" s="3"/>
      <c r="Q635" s="3"/>
      <c r="R635" s="3"/>
      <c r="V635" s="3"/>
      <c r="X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K636" s="3"/>
      <c r="L636" s="3"/>
      <c r="M636" s="3"/>
      <c r="N636" s="3"/>
      <c r="O636" s="3"/>
      <c r="P636" s="3"/>
      <c r="Q636" s="3"/>
      <c r="R636" s="3"/>
      <c r="V636" s="3"/>
      <c r="X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K637" s="3"/>
      <c r="L637" s="3"/>
      <c r="M637" s="3"/>
      <c r="N637" s="3"/>
      <c r="O637" s="3"/>
      <c r="P637" s="3"/>
      <c r="Q637" s="3"/>
      <c r="R637" s="3"/>
      <c r="V637" s="3"/>
      <c r="X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K638" s="3"/>
      <c r="L638" s="3"/>
      <c r="M638" s="3"/>
      <c r="N638" s="3"/>
      <c r="O638" s="3"/>
      <c r="P638" s="3"/>
      <c r="Q638" s="3"/>
      <c r="R638" s="3"/>
      <c r="V638" s="3"/>
      <c r="X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K639" s="3"/>
      <c r="L639" s="3"/>
      <c r="M639" s="3"/>
      <c r="N639" s="3"/>
      <c r="O639" s="3"/>
      <c r="P639" s="3"/>
      <c r="Q639" s="3"/>
      <c r="R639" s="3"/>
      <c r="V639" s="3"/>
      <c r="X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K640" s="3"/>
      <c r="L640" s="3"/>
      <c r="M640" s="3"/>
      <c r="N640" s="3"/>
      <c r="O640" s="3"/>
      <c r="P640" s="3"/>
      <c r="Q640" s="3"/>
      <c r="R640" s="3"/>
      <c r="V640" s="3"/>
      <c r="X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K641" s="3"/>
      <c r="L641" s="3"/>
      <c r="M641" s="3"/>
      <c r="N641" s="3"/>
      <c r="O641" s="3"/>
      <c r="P641" s="3"/>
      <c r="Q641" s="3"/>
      <c r="R641" s="3"/>
      <c r="V641" s="3"/>
      <c r="X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K642" s="3"/>
      <c r="L642" s="3"/>
      <c r="M642" s="3"/>
      <c r="N642" s="3"/>
      <c r="O642" s="3"/>
      <c r="P642" s="3"/>
      <c r="Q642" s="3"/>
      <c r="R642" s="3"/>
      <c r="V642" s="3"/>
      <c r="X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K643" s="3"/>
      <c r="L643" s="3"/>
      <c r="M643" s="3"/>
      <c r="N643" s="3"/>
      <c r="O643" s="3"/>
      <c r="P643" s="3"/>
      <c r="Q643" s="3"/>
      <c r="R643" s="3"/>
      <c r="V643" s="3"/>
      <c r="X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K644" s="3"/>
      <c r="L644" s="3"/>
      <c r="M644" s="3"/>
      <c r="N644" s="3"/>
      <c r="O644" s="3"/>
      <c r="P644" s="3"/>
      <c r="Q644" s="3"/>
      <c r="R644" s="3"/>
      <c r="V644" s="3"/>
      <c r="X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K645" s="3"/>
      <c r="L645" s="3"/>
      <c r="M645" s="3"/>
      <c r="N645" s="3"/>
      <c r="O645" s="3"/>
      <c r="P645" s="3"/>
      <c r="Q645" s="3"/>
      <c r="R645" s="3"/>
      <c r="V645" s="3"/>
      <c r="X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K646" s="3"/>
      <c r="L646" s="3"/>
      <c r="M646" s="3"/>
      <c r="N646" s="3"/>
      <c r="O646" s="3"/>
      <c r="P646" s="3"/>
      <c r="Q646" s="3"/>
      <c r="R646" s="3"/>
      <c r="V646" s="3"/>
      <c r="X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K647" s="3"/>
      <c r="L647" s="3"/>
      <c r="M647" s="3"/>
      <c r="N647" s="3"/>
      <c r="O647" s="3"/>
      <c r="P647" s="3"/>
      <c r="Q647" s="3"/>
      <c r="R647" s="3"/>
      <c r="V647" s="3"/>
      <c r="X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K648" s="3"/>
      <c r="L648" s="3"/>
      <c r="M648" s="3"/>
      <c r="N648" s="3"/>
      <c r="O648" s="3"/>
      <c r="P648" s="3"/>
      <c r="Q648" s="3"/>
      <c r="R648" s="3"/>
      <c r="V648" s="3"/>
      <c r="X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K649" s="3"/>
      <c r="L649" s="3"/>
      <c r="M649" s="3"/>
      <c r="N649" s="3"/>
      <c r="O649" s="3"/>
      <c r="P649" s="3"/>
      <c r="Q649" s="3"/>
      <c r="R649" s="3"/>
      <c r="V649" s="3"/>
      <c r="X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K650" s="3"/>
      <c r="L650" s="3"/>
      <c r="M650" s="3"/>
      <c r="N650" s="3"/>
      <c r="O650" s="3"/>
      <c r="P650" s="3"/>
      <c r="Q650" s="3"/>
      <c r="R650" s="3"/>
      <c r="V650" s="3"/>
      <c r="X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K651" s="3"/>
      <c r="L651" s="3"/>
      <c r="M651" s="3"/>
      <c r="N651" s="3"/>
      <c r="O651" s="3"/>
      <c r="P651" s="3"/>
      <c r="Q651" s="3"/>
      <c r="R651" s="3"/>
      <c r="V651" s="3"/>
      <c r="X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K652" s="3"/>
      <c r="L652" s="3"/>
      <c r="M652" s="3"/>
      <c r="N652" s="3"/>
      <c r="O652" s="3"/>
      <c r="P652" s="3"/>
      <c r="Q652" s="3"/>
      <c r="R652" s="3"/>
      <c r="V652" s="3"/>
      <c r="X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K653" s="3"/>
      <c r="L653" s="3"/>
      <c r="M653" s="3"/>
      <c r="N653" s="3"/>
      <c r="O653" s="3"/>
      <c r="P653" s="3"/>
      <c r="Q653" s="3"/>
      <c r="R653" s="3"/>
      <c r="V653" s="3"/>
      <c r="X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K654" s="3"/>
      <c r="L654" s="3"/>
      <c r="M654" s="3"/>
      <c r="N654" s="3"/>
      <c r="O654" s="3"/>
      <c r="P654" s="3"/>
      <c r="Q654" s="3"/>
      <c r="R654" s="3"/>
      <c r="V654" s="3"/>
      <c r="X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K655" s="3"/>
      <c r="L655" s="3"/>
      <c r="M655" s="3"/>
      <c r="N655" s="3"/>
      <c r="O655" s="3"/>
      <c r="P655" s="3"/>
      <c r="Q655" s="3"/>
      <c r="R655" s="3"/>
      <c r="V655" s="3"/>
      <c r="X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K656" s="3"/>
      <c r="L656" s="3"/>
      <c r="M656" s="3"/>
      <c r="N656" s="3"/>
      <c r="O656" s="3"/>
      <c r="P656" s="3"/>
      <c r="Q656" s="3"/>
      <c r="R656" s="3"/>
      <c r="V656" s="3"/>
      <c r="X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K657" s="3"/>
      <c r="L657" s="3"/>
      <c r="M657" s="3"/>
      <c r="N657" s="3"/>
      <c r="O657" s="3"/>
      <c r="P657" s="3"/>
      <c r="Q657" s="3"/>
      <c r="R657" s="3"/>
      <c r="V657" s="3"/>
      <c r="X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K658" s="3"/>
      <c r="L658" s="3"/>
      <c r="M658" s="3"/>
      <c r="N658" s="3"/>
      <c r="O658" s="3"/>
      <c r="P658" s="3"/>
      <c r="Q658" s="3"/>
      <c r="R658" s="3"/>
      <c r="V658" s="3"/>
      <c r="X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K659" s="3"/>
      <c r="L659" s="3"/>
      <c r="M659" s="3"/>
      <c r="N659" s="3"/>
      <c r="O659" s="3"/>
      <c r="P659" s="3"/>
      <c r="Q659" s="3"/>
      <c r="R659" s="3"/>
      <c r="V659" s="3"/>
      <c r="X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K660" s="3"/>
      <c r="L660" s="3"/>
      <c r="M660" s="3"/>
      <c r="N660" s="3"/>
      <c r="O660" s="3"/>
      <c r="P660" s="3"/>
      <c r="Q660" s="3"/>
      <c r="R660" s="3"/>
      <c r="V660" s="3"/>
      <c r="X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K661" s="3"/>
      <c r="L661" s="3"/>
      <c r="M661" s="3"/>
      <c r="N661" s="3"/>
      <c r="O661" s="3"/>
      <c r="P661" s="3"/>
      <c r="Q661" s="3"/>
      <c r="R661" s="3"/>
      <c r="V661" s="3"/>
      <c r="X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K662" s="3"/>
      <c r="L662" s="3"/>
      <c r="M662" s="3"/>
      <c r="N662" s="3"/>
      <c r="O662" s="3"/>
      <c r="P662" s="3"/>
      <c r="Q662" s="3"/>
      <c r="R662" s="3"/>
      <c r="V662" s="3"/>
      <c r="X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K663" s="3"/>
      <c r="L663" s="3"/>
      <c r="M663" s="3"/>
      <c r="N663" s="3"/>
      <c r="O663" s="3"/>
      <c r="P663" s="3"/>
      <c r="Q663" s="3"/>
      <c r="R663" s="3"/>
      <c r="V663" s="3"/>
      <c r="X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K664" s="3"/>
      <c r="L664" s="3"/>
      <c r="M664" s="3"/>
      <c r="N664" s="3"/>
      <c r="O664" s="3"/>
      <c r="P664" s="3"/>
      <c r="Q664" s="3"/>
      <c r="R664" s="3"/>
      <c r="V664" s="3"/>
      <c r="X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K665" s="3"/>
      <c r="L665" s="3"/>
      <c r="M665" s="3"/>
      <c r="N665" s="3"/>
      <c r="O665" s="3"/>
      <c r="P665" s="3"/>
      <c r="Q665" s="3"/>
      <c r="R665" s="3"/>
      <c r="V665" s="3"/>
      <c r="X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K666" s="3"/>
      <c r="L666" s="3"/>
      <c r="M666" s="3"/>
      <c r="N666" s="3"/>
      <c r="O666" s="3"/>
      <c r="P666" s="3"/>
      <c r="Q666" s="3"/>
      <c r="R666" s="3"/>
      <c r="V666" s="3"/>
      <c r="X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K667" s="3"/>
      <c r="L667" s="3"/>
      <c r="M667" s="3"/>
      <c r="N667" s="3"/>
      <c r="O667" s="3"/>
      <c r="P667" s="3"/>
      <c r="Q667" s="3"/>
      <c r="R667" s="3"/>
      <c r="V667" s="3"/>
      <c r="X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K668" s="3"/>
      <c r="L668" s="3"/>
      <c r="M668" s="3"/>
      <c r="N668" s="3"/>
      <c r="O668" s="3"/>
      <c r="P668" s="3"/>
      <c r="Q668" s="3"/>
      <c r="R668" s="3"/>
      <c r="V668" s="3"/>
      <c r="X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K669" s="3"/>
      <c r="L669" s="3"/>
      <c r="M669" s="3"/>
      <c r="N669" s="3"/>
      <c r="O669" s="3"/>
      <c r="P669" s="3"/>
      <c r="Q669" s="3"/>
      <c r="R669" s="3"/>
      <c r="V669" s="3"/>
      <c r="X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K670" s="3"/>
      <c r="L670" s="3"/>
      <c r="M670" s="3"/>
      <c r="N670" s="3"/>
      <c r="O670" s="3"/>
      <c r="P670" s="3"/>
      <c r="Q670" s="3"/>
      <c r="R670" s="3"/>
      <c r="V670" s="3"/>
      <c r="X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K671" s="3"/>
      <c r="L671" s="3"/>
      <c r="M671" s="3"/>
      <c r="N671" s="3"/>
      <c r="O671" s="3"/>
      <c r="P671" s="3"/>
      <c r="Q671" s="3"/>
      <c r="R671" s="3"/>
      <c r="V671" s="3"/>
      <c r="X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K672" s="3"/>
      <c r="L672" s="3"/>
      <c r="M672" s="3"/>
      <c r="N672" s="3"/>
      <c r="O672" s="3"/>
      <c r="P672" s="3"/>
      <c r="Q672" s="3"/>
      <c r="R672" s="3"/>
      <c r="V672" s="3"/>
      <c r="X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K673" s="3"/>
      <c r="L673" s="3"/>
      <c r="M673" s="3"/>
      <c r="N673" s="3"/>
      <c r="O673" s="3"/>
      <c r="P673" s="3"/>
      <c r="Q673" s="3"/>
      <c r="R673" s="3"/>
      <c r="V673" s="3"/>
      <c r="X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K674" s="3"/>
      <c r="L674" s="3"/>
      <c r="M674" s="3"/>
      <c r="N674" s="3"/>
      <c r="O674" s="3"/>
      <c r="P674" s="3"/>
      <c r="Q674" s="3"/>
      <c r="R674" s="3"/>
      <c r="V674" s="3"/>
      <c r="X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K675" s="3"/>
      <c r="L675" s="3"/>
      <c r="M675" s="3"/>
      <c r="N675" s="3"/>
      <c r="O675" s="3"/>
      <c r="P675" s="3"/>
      <c r="Q675" s="3"/>
      <c r="R675" s="3"/>
      <c r="V675" s="3"/>
      <c r="X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K676" s="3"/>
      <c r="L676" s="3"/>
      <c r="M676" s="3"/>
      <c r="N676" s="3"/>
      <c r="O676" s="3"/>
      <c r="P676" s="3"/>
      <c r="Q676" s="3"/>
      <c r="R676" s="3"/>
      <c r="V676" s="3"/>
      <c r="X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K677" s="3"/>
      <c r="L677" s="3"/>
      <c r="M677" s="3"/>
      <c r="N677" s="3"/>
      <c r="O677" s="3"/>
      <c r="P677" s="3"/>
      <c r="Q677" s="3"/>
      <c r="R677" s="3"/>
      <c r="V677" s="3"/>
      <c r="X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K678" s="3"/>
      <c r="L678" s="3"/>
      <c r="M678" s="3"/>
      <c r="N678" s="3"/>
      <c r="O678" s="3"/>
      <c r="P678" s="3"/>
      <c r="Q678" s="3"/>
      <c r="R678" s="3"/>
      <c r="V678" s="3"/>
      <c r="X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K679" s="3"/>
      <c r="L679" s="3"/>
      <c r="M679" s="3"/>
      <c r="N679" s="3"/>
      <c r="O679" s="3"/>
      <c r="P679" s="3"/>
      <c r="Q679" s="3"/>
      <c r="R679" s="3"/>
      <c r="V679" s="3"/>
      <c r="X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K680" s="3"/>
      <c r="L680" s="3"/>
      <c r="M680" s="3"/>
      <c r="N680" s="3"/>
      <c r="O680" s="3"/>
      <c r="P680" s="3"/>
      <c r="Q680" s="3"/>
      <c r="R680" s="3"/>
      <c r="V680" s="3"/>
      <c r="X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K681" s="3"/>
      <c r="L681" s="3"/>
      <c r="M681" s="3"/>
      <c r="N681" s="3"/>
      <c r="O681" s="3"/>
      <c r="P681" s="3"/>
      <c r="Q681" s="3"/>
      <c r="R681" s="3"/>
      <c r="V681" s="3"/>
      <c r="X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K682" s="3"/>
      <c r="L682" s="3"/>
      <c r="M682" s="3"/>
      <c r="N682" s="3"/>
      <c r="O682" s="3"/>
      <c r="P682" s="3"/>
      <c r="Q682" s="3"/>
      <c r="R682" s="3"/>
      <c r="V682" s="3"/>
      <c r="X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K683" s="3"/>
      <c r="L683" s="3"/>
      <c r="M683" s="3"/>
      <c r="N683" s="3"/>
      <c r="O683" s="3"/>
      <c r="P683" s="3"/>
      <c r="Q683" s="3"/>
      <c r="R683" s="3"/>
      <c r="V683" s="3"/>
      <c r="X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K684" s="3"/>
      <c r="L684" s="3"/>
      <c r="M684" s="3"/>
      <c r="N684" s="3"/>
      <c r="O684" s="3"/>
      <c r="P684" s="3"/>
      <c r="Q684" s="3"/>
      <c r="R684" s="3"/>
      <c r="V684" s="3"/>
      <c r="X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K685" s="3"/>
      <c r="L685" s="3"/>
      <c r="M685" s="3"/>
      <c r="N685" s="3"/>
      <c r="O685" s="3"/>
      <c r="P685" s="3"/>
      <c r="Q685" s="3"/>
      <c r="R685" s="3"/>
      <c r="V685" s="3"/>
      <c r="X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K686" s="3"/>
      <c r="L686" s="3"/>
      <c r="M686" s="3"/>
      <c r="N686" s="3"/>
      <c r="O686" s="3"/>
      <c r="P686" s="3"/>
      <c r="Q686" s="3"/>
      <c r="R686" s="3"/>
      <c r="V686" s="3"/>
      <c r="X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K687" s="3"/>
      <c r="L687" s="3"/>
      <c r="M687" s="3"/>
      <c r="N687" s="3"/>
      <c r="O687" s="3"/>
      <c r="P687" s="3"/>
      <c r="Q687" s="3"/>
      <c r="R687" s="3"/>
      <c r="V687" s="3"/>
      <c r="X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K688" s="3"/>
      <c r="L688" s="3"/>
      <c r="M688" s="3"/>
      <c r="N688" s="3"/>
      <c r="O688" s="3"/>
      <c r="P688" s="3"/>
      <c r="Q688" s="3"/>
      <c r="R688" s="3"/>
      <c r="V688" s="3"/>
      <c r="X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K689" s="3"/>
      <c r="L689" s="3"/>
      <c r="M689" s="3"/>
      <c r="N689" s="3"/>
      <c r="O689" s="3"/>
      <c r="P689" s="3"/>
      <c r="Q689" s="3"/>
      <c r="R689" s="3"/>
      <c r="V689" s="3"/>
      <c r="X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K690" s="3"/>
      <c r="L690" s="3"/>
      <c r="M690" s="3"/>
      <c r="N690" s="3"/>
      <c r="O690" s="3"/>
      <c r="P690" s="3"/>
      <c r="Q690" s="3"/>
      <c r="R690" s="3"/>
      <c r="V690" s="3"/>
      <c r="X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K691" s="3"/>
      <c r="L691" s="3"/>
      <c r="M691" s="3"/>
      <c r="N691" s="3"/>
      <c r="O691" s="3"/>
      <c r="P691" s="3"/>
      <c r="Q691" s="3"/>
      <c r="R691" s="3"/>
      <c r="V691" s="3"/>
      <c r="X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K692" s="3"/>
      <c r="L692" s="3"/>
      <c r="M692" s="3"/>
      <c r="N692" s="3"/>
      <c r="O692" s="3"/>
      <c r="P692" s="3"/>
      <c r="Q692" s="3"/>
      <c r="R692" s="3"/>
      <c r="V692" s="3"/>
      <c r="X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K693" s="3"/>
      <c r="L693" s="3"/>
      <c r="M693" s="3"/>
      <c r="N693" s="3"/>
      <c r="O693" s="3"/>
      <c r="P693" s="3"/>
      <c r="Q693" s="3"/>
      <c r="R693" s="3"/>
      <c r="V693" s="3"/>
      <c r="X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K694" s="3"/>
      <c r="L694" s="3"/>
      <c r="M694" s="3"/>
      <c r="N694" s="3"/>
      <c r="O694" s="3"/>
      <c r="P694" s="3"/>
      <c r="Q694" s="3"/>
      <c r="R694" s="3"/>
      <c r="V694" s="3"/>
      <c r="X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K695" s="3"/>
      <c r="L695" s="3"/>
      <c r="M695" s="3"/>
      <c r="N695" s="3"/>
      <c r="O695" s="3"/>
      <c r="P695" s="3"/>
      <c r="Q695" s="3"/>
      <c r="R695" s="3"/>
      <c r="V695" s="3"/>
      <c r="X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K696" s="3"/>
      <c r="L696" s="3"/>
      <c r="M696" s="3"/>
      <c r="N696" s="3"/>
      <c r="O696" s="3"/>
      <c r="P696" s="3"/>
      <c r="Q696" s="3"/>
      <c r="R696" s="3"/>
      <c r="V696" s="3"/>
      <c r="X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K697" s="3"/>
      <c r="L697" s="3"/>
      <c r="M697" s="3"/>
      <c r="N697" s="3"/>
      <c r="O697" s="3"/>
      <c r="P697" s="3"/>
      <c r="Q697" s="3"/>
      <c r="R697" s="3"/>
      <c r="V697" s="3"/>
      <c r="X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K698" s="3"/>
      <c r="L698" s="3"/>
      <c r="M698" s="3"/>
      <c r="N698" s="3"/>
      <c r="O698" s="3"/>
      <c r="P698" s="3"/>
      <c r="Q698" s="3"/>
      <c r="R698" s="3"/>
      <c r="V698" s="3"/>
      <c r="X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K699" s="3"/>
      <c r="L699" s="3"/>
      <c r="M699" s="3"/>
      <c r="N699" s="3"/>
      <c r="O699" s="3"/>
      <c r="P699" s="3"/>
      <c r="Q699" s="3"/>
      <c r="R699" s="3"/>
      <c r="V699" s="3"/>
      <c r="X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K700" s="3"/>
      <c r="L700" s="3"/>
      <c r="M700" s="3"/>
      <c r="N700" s="3"/>
      <c r="O700" s="3"/>
      <c r="P700" s="3"/>
      <c r="Q700" s="3"/>
      <c r="R700" s="3"/>
      <c r="V700" s="3"/>
      <c r="X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K701" s="3"/>
      <c r="L701" s="3"/>
      <c r="M701" s="3"/>
      <c r="N701" s="3"/>
      <c r="O701" s="3"/>
      <c r="P701" s="3"/>
      <c r="Q701" s="3"/>
      <c r="R701" s="3"/>
      <c r="V701" s="3"/>
      <c r="X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K702" s="3"/>
      <c r="L702" s="3"/>
      <c r="M702" s="3"/>
      <c r="N702" s="3"/>
      <c r="O702" s="3"/>
      <c r="P702" s="3"/>
      <c r="Q702" s="3"/>
      <c r="R702" s="3"/>
      <c r="V702" s="3"/>
      <c r="X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K703" s="3"/>
      <c r="L703" s="3"/>
      <c r="M703" s="3"/>
      <c r="N703" s="3"/>
      <c r="O703" s="3"/>
      <c r="P703" s="3"/>
      <c r="Q703" s="3"/>
      <c r="R703" s="3"/>
      <c r="V703" s="3"/>
      <c r="X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K704" s="3"/>
      <c r="L704" s="3"/>
      <c r="M704" s="3"/>
      <c r="N704" s="3"/>
      <c r="O704" s="3"/>
      <c r="P704" s="3"/>
      <c r="Q704" s="3"/>
      <c r="R704" s="3"/>
      <c r="V704" s="3"/>
      <c r="X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K705" s="3"/>
      <c r="L705" s="3"/>
      <c r="M705" s="3"/>
      <c r="N705" s="3"/>
      <c r="O705" s="3"/>
      <c r="P705" s="3"/>
      <c r="Q705" s="3"/>
      <c r="R705" s="3"/>
      <c r="V705" s="3"/>
      <c r="X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K706" s="3"/>
      <c r="L706" s="3"/>
      <c r="M706" s="3"/>
      <c r="N706" s="3"/>
      <c r="O706" s="3"/>
      <c r="P706" s="3"/>
      <c r="Q706" s="3"/>
      <c r="R706" s="3"/>
      <c r="V706" s="3"/>
      <c r="X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K707" s="3"/>
      <c r="L707" s="3"/>
      <c r="M707" s="3"/>
      <c r="N707" s="3"/>
      <c r="O707" s="3"/>
      <c r="P707" s="3"/>
      <c r="Q707" s="3"/>
      <c r="R707" s="3"/>
      <c r="V707" s="3"/>
      <c r="X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K708" s="3"/>
      <c r="L708" s="3"/>
      <c r="M708" s="3"/>
      <c r="N708" s="3"/>
      <c r="O708" s="3"/>
      <c r="P708" s="3"/>
      <c r="Q708" s="3"/>
      <c r="R708" s="3"/>
      <c r="V708" s="3"/>
      <c r="X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K709" s="3"/>
      <c r="L709" s="3"/>
      <c r="M709" s="3"/>
      <c r="N709" s="3"/>
      <c r="O709" s="3"/>
      <c r="P709" s="3"/>
      <c r="Q709" s="3"/>
      <c r="R709" s="3"/>
      <c r="V709" s="3"/>
      <c r="X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K710" s="3"/>
      <c r="L710" s="3"/>
      <c r="M710" s="3"/>
      <c r="N710" s="3"/>
      <c r="O710" s="3"/>
      <c r="P710" s="3"/>
      <c r="Q710" s="3"/>
      <c r="R710" s="3"/>
      <c r="V710" s="3"/>
      <c r="X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K711" s="3"/>
      <c r="L711" s="3"/>
      <c r="M711" s="3"/>
      <c r="N711" s="3"/>
      <c r="O711" s="3"/>
      <c r="P711" s="3"/>
      <c r="Q711" s="3"/>
      <c r="R711" s="3"/>
      <c r="V711" s="3"/>
      <c r="X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K712" s="3"/>
      <c r="L712" s="3"/>
      <c r="M712" s="3"/>
      <c r="N712" s="3"/>
      <c r="O712" s="3"/>
      <c r="P712" s="3"/>
      <c r="Q712" s="3"/>
      <c r="R712" s="3"/>
      <c r="V712" s="3"/>
      <c r="X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K713" s="3"/>
      <c r="L713" s="3"/>
      <c r="M713" s="3"/>
      <c r="N713" s="3"/>
      <c r="O713" s="3"/>
      <c r="P713" s="3"/>
      <c r="Q713" s="3"/>
      <c r="R713" s="3"/>
      <c r="V713" s="3"/>
      <c r="X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K714" s="3"/>
      <c r="L714" s="3"/>
      <c r="M714" s="3"/>
      <c r="N714" s="3"/>
      <c r="O714" s="3"/>
      <c r="P714" s="3"/>
      <c r="Q714" s="3"/>
      <c r="R714" s="3"/>
      <c r="V714" s="3"/>
      <c r="X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K715" s="3"/>
      <c r="L715" s="3"/>
      <c r="M715" s="3"/>
      <c r="N715" s="3"/>
      <c r="O715" s="3"/>
      <c r="P715" s="3"/>
      <c r="Q715" s="3"/>
      <c r="R715" s="3"/>
      <c r="V715" s="3"/>
      <c r="X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K716" s="3"/>
      <c r="L716" s="3"/>
      <c r="M716" s="3"/>
      <c r="N716" s="3"/>
      <c r="O716" s="3"/>
      <c r="P716" s="3"/>
      <c r="Q716" s="3"/>
      <c r="R716" s="3"/>
      <c r="V716" s="3"/>
      <c r="X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K717" s="3"/>
      <c r="L717" s="3"/>
      <c r="M717" s="3"/>
      <c r="N717" s="3"/>
      <c r="O717" s="3"/>
      <c r="P717" s="3"/>
      <c r="Q717" s="3"/>
      <c r="R717" s="3"/>
      <c r="V717" s="3"/>
      <c r="X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K718" s="3"/>
      <c r="L718" s="3"/>
      <c r="M718" s="3"/>
      <c r="N718" s="3"/>
      <c r="O718" s="3"/>
      <c r="P718" s="3"/>
      <c r="Q718" s="3"/>
      <c r="R718" s="3"/>
      <c r="V718" s="3"/>
      <c r="X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K719" s="3"/>
      <c r="L719" s="3"/>
      <c r="M719" s="3"/>
      <c r="N719" s="3"/>
      <c r="O719" s="3"/>
      <c r="P719" s="3"/>
      <c r="Q719" s="3"/>
      <c r="R719" s="3"/>
      <c r="V719" s="3"/>
      <c r="X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K720" s="3"/>
      <c r="L720" s="3"/>
      <c r="M720" s="3"/>
      <c r="N720" s="3"/>
      <c r="O720" s="3"/>
      <c r="P720" s="3"/>
      <c r="Q720" s="3"/>
      <c r="R720" s="3"/>
      <c r="V720" s="3"/>
      <c r="X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K721" s="3"/>
      <c r="L721" s="3"/>
      <c r="M721" s="3"/>
      <c r="N721" s="3"/>
      <c r="O721" s="3"/>
      <c r="P721" s="3"/>
      <c r="Q721" s="3"/>
      <c r="R721" s="3"/>
      <c r="V721" s="3"/>
      <c r="X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K722" s="3"/>
      <c r="L722" s="3"/>
      <c r="M722" s="3"/>
      <c r="N722" s="3"/>
      <c r="O722" s="3"/>
      <c r="P722" s="3"/>
      <c r="Q722" s="3"/>
      <c r="R722" s="3"/>
      <c r="V722" s="3"/>
      <c r="X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K723" s="3"/>
      <c r="L723" s="3"/>
      <c r="M723" s="3"/>
      <c r="N723" s="3"/>
      <c r="O723" s="3"/>
      <c r="P723" s="3"/>
      <c r="Q723" s="3"/>
      <c r="R723" s="3"/>
      <c r="V723" s="3"/>
      <c r="X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K724" s="3"/>
      <c r="L724" s="3"/>
      <c r="M724" s="3"/>
      <c r="N724" s="3"/>
      <c r="O724" s="3"/>
      <c r="P724" s="3"/>
      <c r="Q724" s="3"/>
      <c r="R724" s="3"/>
      <c r="V724" s="3"/>
      <c r="X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K725" s="3"/>
      <c r="L725" s="3"/>
      <c r="M725" s="3"/>
      <c r="N725" s="3"/>
      <c r="O725" s="3"/>
      <c r="P725" s="3"/>
      <c r="Q725" s="3"/>
      <c r="R725" s="3"/>
      <c r="V725" s="3"/>
      <c r="X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K726" s="3"/>
      <c r="L726" s="3"/>
      <c r="M726" s="3"/>
      <c r="N726" s="3"/>
      <c r="O726" s="3"/>
      <c r="P726" s="3"/>
      <c r="Q726" s="3"/>
      <c r="R726" s="3"/>
      <c r="V726" s="3"/>
      <c r="X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K727" s="3"/>
      <c r="L727" s="3"/>
      <c r="M727" s="3"/>
      <c r="N727" s="3"/>
      <c r="O727" s="3"/>
      <c r="P727" s="3"/>
      <c r="Q727" s="3"/>
      <c r="R727" s="3"/>
      <c r="V727" s="3"/>
      <c r="X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K728" s="3"/>
      <c r="L728" s="3"/>
      <c r="M728" s="3"/>
      <c r="N728" s="3"/>
      <c r="O728" s="3"/>
      <c r="P728" s="3"/>
      <c r="Q728" s="3"/>
      <c r="R728" s="3"/>
      <c r="V728" s="3"/>
      <c r="X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K729" s="3"/>
      <c r="L729" s="3"/>
      <c r="M729" s="3"/>
      <c r="N729" s="3"/>
      <c r="O729" s="3"/>
      <c r="P729" s="3"/>
      <c r="Q729" s="3"/>
      <c r="R729" s="3"/>
      <c r="V729" s="3"/>
      <c r="X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K730" s="3"/>
      <c r="L730" s="3"/>
      <c r="M730" s="3"/>
      <c r="N730" s="3"/>
      <c r="O730" s="3"/>
      <c r="P730" s="3"/>
      <c r="Q730" s="3"/>
      <c r="R730" s="3"/>
      <c r="V730" s="3"/>
      <c r="X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K731" s="3"/>
      <c r="L731" s="3"/>
      <c r="M731" s="3"/>
      <c r="N731" s="3"/>
      <c r="O731" s="3"/>
      <c r="P731" s="3"/>
      <c r="Q731" s="3"/>
      <c r="R731" s="3"/>
      <c r="V731" s="3"/>
      <c r="X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K732" s="3"/>
      <c r="L732" s="3"/>
      <c r="M732" s="3"/>
      <c r="N732" s="3"/>
      <c r="O732" s="3"/>
      <c r="P732" s="3"/>
      <c r="Q732" s="3"/>
      <c r="R732" s="3"/>
      <c r="V732" s="3"/>
      <c r="X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K733" s="3"/>
      <c r="L733" s="3"/>
      <c r="M733" s="3"/>
      <c r="N733" s="3"/>
      <c r="O733" s="3"/>
      <c r="P733" s="3"/>
      <c r="Q733" s="3"/>
      <c r="R733" s="3"/>
      <c r="V733" s="3"/>
      <c r="X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K734" s="3"/>
      <c r="L734" s="3"/>
      <c r="M734" s="3"/>
      <c r="N734" s="3"/>
      <c r="O734" s="3"/>
      <c r="P734" s="3"/>
      <c r="Q734" s="3"/>
      <c r="R734" s="3"/>
      <c r="V734" s="3"/>
      <c r="X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K735" s="3"/>
      <c r="L735" s="3"/>
      <c r="M735" s="3"/>
      <c r="N735" s="3"/>
      <c r="O735" s="3"/>
      <c r="P735" s="3"/>
      <c r="Q735" s="3"/>
      <c r="R735" s="3"/>
      <c r="V735" s="3"/>
      <c r="X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K736" s="3"/>
      <c r="L736" s="3"/>
      <c r="M736" s="3"/>
      <c r="N736" s="3"/>
      <c r="O736" s="3"/>
      <c r="P736" s="3"/>
      <c r="Q736" s="3"/>
      <c r="R736" s="3"/>
      <c r="V736" s="3"/>
      <c r="X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K737" s="3"/>
      <c r="L737" s="3"/>
      <c r="M737" s="3"/>
      <c r="N737" s="3"/>
      <c r="O737" s="3"/>
      <c r="P737" s="3"/>
      <c r="Q737" s="3"/>
      <c r="R737" s="3"/>
      <c r="V737" s="3"/>
      <c r="X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K738" s="3"/>
      <c r="L738" s="3"/>
      <c r="M738" s="3"/>
      <c r="N738" s="3"/>
      <c r="O738" s="3"/>
      <c r="P738" s="3"/>
      <c r="Q738" s="3"/>
      <c r="R738" s="3"/>
      <c r="V738" s="3"/>
      <c r="X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K739" s="3"/>
      <c r="L739" s="3"/>
      <c r="M739" s="3"/>
      <c r="N739" s="3"/>
      <c r="O739" s="3"/>
      <c r="P739" s="3"/>
      <c r="Q739" s="3"/>
      <c r="R739" s="3"/>
      <c r="V739" s="3"/>
      <c r="X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K740" s="3"/>
      <c r="L740" s="3"/>
      <c r="M740" s="3"/>
      <c r="N740" s="3"/>
      <c r="O740" s="3"/>
      <c r="P740" s="3"/>
      <c r="Q740" s="3"/>
      <c r="R740" s="3"/>
      <c r="V740" s="3"/>
      <c r="X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K741" s="3"/>
      <c r="L741" s="3"/>
      <c r="M741" s="3"/>
      <c r="N741" s="3"/>
      <c r="O741" s="3"/>
      <c r="P741" s="3"/>
      <c r="Q741" s="3"/>
      <c r="R741" s="3"/>
      <c r="V741" s="3"/>
      <c r="X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K742" s="3"/>
      <c r="L742" s="3"/>
      <c r="M742" s="3"/>
      <c r="N742" s="3"/>
      <c r="O742" s="3"/>
      <c r="P742" s="3"/>
      <c r="Q742" s="3"/>
      <c r="R742" s="3"/>
      <c r="V742" s="3"/>
      <c r="X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K743" s="3"/>
      <c r="L743" s="3"/>
      <c r="M743" s="3"/>
      <c r="N743" s="3"/>
      <c r="O743" s="3"/>
      <c r="P743" s="3"/>
      <c r="Q743" s="3"/>
      <c r="R743" s="3"/>
      <c r="V743" s="3"/>
      <c r="X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K744" s="3"/>
      <c r="L744" s="3"/>
      <c r="M744" s="3"/>
      <c r="N744" s="3"/>
      <c r="O744" s="3"/>
      <c r="P744" s="3"/>
      <c r="Q744" s="3"/>
      <c r="R744" s="3"/>
      <c r="V744" s="3"/>
      <c r="X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K745" s="3"/>
      <c r="L745" s="3"/>
      <c r="M745" s="3"/>
      <c r="N745" s="3"/>
      <c r="O745" s="3"/>
      <c r="P745" s="3"/>
      <c r="Q745" s="3"/>
      <c r="R745" s="3"/>
      <c r="V745" s="3"/>
      <c r="X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K746" s="3"/>
      <c r="L746" s="3"/>
      <c r="M746" s="3"/>
      <c r="N746" s="3"/>
      <c r="O746" s="3"/>
      <c r="P746" s="3"/>
      <c r="Q746" s="3"/>
      <c r="R746" s="3"/>
      <c r="V746" s="3"/>
      <c r="X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K747" s="3"/>
      <c r="L747" s="3"/>
      <c r="M747" s="3"/>
      <c r="N747" s="3"/>
      <c r="O747" s="3"/>
      <c r="P747" s="3"/>
      <c r="Q747" s="3"/>
      <c r="R747" s="3"/>
      <c r="V747" s="3"/>
      <c r="X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K748" s="3"/>
      <c r="L748" s="3"/>
      <c r="M748" s="3"/>
      <c r="N748" s="3"/>
      <c r="O748" s="3"/>
      <c r="P748" s="3"/>
      <c r="Q748" s="3"/>
      <c r="R748" s="3"/>
      <c r="V748" s="3"/>
      <c r="X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K749" s="3"/>
      <c r="L749" s="3"/>
      <c r="M749" s="3"/>
      <c r="N749" s="3"/>
      <c r="O749" s="3"/>
      <c r="P749" s="3"/>
      <c r="Q749" s="3"/>
      <c r="R749" s="3"/>
      <c r="V749" s="3"/>
      <c r="X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K750" s="3"/>
      <c r="L750" s="3"/>
      <c r="M750" s="3"/>
      <c r="N750" s="3"/>
      <c r="O750" s="3"/>
      <c r="P750" s="3"/>
      <c r="Q750" s="3"/>
      <c r="R750" s="3"/>
      <c r="V750" s="3"/>
      <c r="X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K751" s="3"/>
      <c r="L751" s="3"/>
      <c r="M751" s="3"/>
      <c r="N751" s="3"/>
      <c r="O751" s="3"/>
      <c r="P751" s="3"/>
      <c r="Q751" s="3"/>
      <c r="R751" s="3"/>
      <c r="V751" s="3"/>
      <c r="X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K752" s="3"/>
      <c r="L752" s="3"/>
      <c r="M752" s="3"/>
      <c r="N752" s="3"/>
      <c r="O752" s="3"/>
      <c r="P752" s="3"/>
      <c r="Q752" s="3"/>
      <c r="R752" s="3"/>
      <c r="V752" s="3"/>
      <c r="X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K753" s="3"/>
      <c r="L753" s="3"/>
      <c r="M753" s="3"/>
      <c r="N753" s="3"/>
      <c r="O753" s="3"/>
      <c r="P753" s="3"/>
      <c r="Q753" s="3"/>
      <c r="R753" s="3"/>
      <c r="V753" s="3"/>
      <c r="X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K754" s="3"/>
      <c r="L754" s="3"/>
      <c r="M754" s="3"/>
      <c r="N754" s="3"/>
      <c r="O754" s="3"/>
      <c r="P754" s="3"/>
      <c r="Q754" s="3"/>
      <c r="R754" s="3"/>
      <c r="V754" s="3"/>
      <c r="X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K755" s="3"/>
      <c r="L755" s="3"/>
      <c r="M755" s="3"/>
      <c r="N755" s="3"/>
      <c r="O755" s="3"/>
      <c r="P755" s="3"/>
      <c r="Q755" s="3"/>
      <c r="R755" s="3"/>
      <c r="V755" s="3"/>
      <c r="X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K756" s="3"/>
      <c r="L756" s="3"/>
      <c r="M756" s="3"/>
      <c r="N756" s="3"/>
      <c r="O756" s="3"/>
      <c r="P756" s="3"/>
      <c r="Q756" s="3"/>
      <c r="R756" s="3"/>
      <c r="V756" s="3"/>
      <c r="X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K757" s="3"/>
      <c r="L757" s="3"/>
      <c r="M757" s="3"/>
      <c r="N757" s="3"/>
      <c r="O757" s="3"/>
      <c r="P757" s="3"/>
      <c r="Q757" s="3"/>
      <c r="R757" s="3"/>
      <c r="V757" s="3"/>
      <c r="X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K758" s="3"/>
      <c r="L758" s="3"/>
      <c r="M758" s="3"/>
      <c r="N758" s="3"/>
      <c r="O758" s="3"/>
      <c r="P758" s="3"/>
      <c r="Q758" s="3"/>
      <c r="R758" s="3"/>
      <c r="V758" s="3"/>
      <c r="X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K759" s="3"/>
      <c r="L759" s="3"/>
      <c r="M759" s="3"/>
      <c r="N759" s="3"/>
      <c r="O759" s="3"/>
      <c r="P759" s="3"/>
      <c r="Q759" s="3"/>
      <c r="R759" s="3"/>
      <c r="V759" s="3"/>
      <c r="X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K760" s="3"/>
      <c r="L760" s="3"/>
      <c r="M760" s="3"/>
      <c r="N760" s="3"/>
      <c r="O760" s="3"/>
      <c r="P760" s="3"/>
      <c r="Q760" s="3"/>
      <c r="R760" s="3"/>
      <c r="V760" s="3"/>
      <c r="X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K761" s="3"/>
      <c r="L761" s="3"/>
      <c r="M761" s="3"/>
      <c r="N761" s="3"/>
      <c r="O761" s="3"/>
      <c r="P761" s="3"/>
      <c r="Q761" s="3"/>
      <c r="R761" s="3"/>
      <c r="V761" s="3"/>
      <c r="X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K762" s="3"/>
      <c r="L762" s="3"/>
      <c r="M762" s="3"/>
      <c r="N762" s="3"/>
      <c r="O762" s="3"/>
      <c r="P762" s="3"/>
      <c r="Q762" s="3"/>
      <c r="R762" s="3"/>
      <c r="V762" s="3"/>
      <c r="X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K763" s="3"/>
      <c r="L763" s="3"/>
      <c r="M763" s="3"/>
      <c r="N763" s="3"/>
      <c r="O763" s="3"/>
      <c r="P763" s="3"/>
      <c r="Q763" s="3"/>
      <c r="R763" s="3"/>
      <c r="V763" s="3"/>
      <c r="X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K764" s="3"/>
      <c r="L764" s="3"/>
      <c r="M764" s="3"/>
      <c r="N764" s="3"/>
      <c r="O764" s="3"/>
      <c r="P764" s="3"/>
      <c r="Q764" s="3"/>
      <c r="R764" s="3"/>
      <c r="V764" s="3"/>
      <c r="X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K765" s="3"/>
      <c r="L765" s="3"/>
      <c r="M765" s="3"/>
      <c r="N765" s="3"/>
      <c r="O765" s="3"/>
      <c r="P765" s="3"/>
      <c r="Q765" s="3"/>
      <c r="R765" s="3"/>
      <c r="V765" s="3"/>
      <c r="X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K766" s="3"/>
      <c r="L766" s="3"/>
      <c r="M766" s="3"/>
      <c r="N766" s="3"/>
      <c r="O766" s="3"/>
      <c r="P766" s="3"/>
      <c r="Q766" s="3"/>
      <c r="R766" s="3"/>
      <c r="V766" s="3"/>
      <c r="X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K767" s="3"/>
      <c r="L767" s="3"/>
      <c r="M767" s="3"/>
      <c r="N767" s="3"/>
      <c r="O767" s="3"/>
      <c r="P767" s="3"/>
      <c r="Q767" s="3"/>
      <c r="R767" s="3"/>
      <c r="V767" s="3"/>
      <c r="X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K768" s="3"/>
      <c r="L768" s="3"/>
      <c r="M768" s="3"/>
      <c r="N768" s="3"/>
      <c r="O768" s="3"/>
      <c r="P768" s="3"/>
      <c r="Q768" s="3"/>
      <c r="R768" s="3"/>
      <c r="V768" s="3"/>
      <c r="X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K769" s="3"/>
      <c r="L769" s="3"/>
      <c r="M769" s="3"/>
      <c r="N769" s="3"/>
      <c r="O769" s="3"/>
      <c r="P769" s="3"/>
      <c r="Q769" s="3"/>
      <c r="R769" s="3"/>
      <c r="V769" s="3"/>
      <c r="X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K770" s="3"/>
      <c r="L770" s="3"/>
      <c r="M770" s="3"/>
      <c r="N770" s="3"/>
      <c r="O770" s="3"/>
      <c r="P770" s="3"/>
      <c r="Q770" s="3"/>
      <c r="R770" s="3"/>
      <c r="V770" s="3"/>
      <c r="X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K771" s="3"/>
      <c r="L771" s="3"/>
      <c r="M771" s="3"/>
      <c r="N771" s="3"/>
      <c r="O771" s="3"/>
      <c r="P771" s="3"/>
      <c r="Q771" s="3"/>
      <c r="R771" s="3"/>
      <c r="V771" s="3"/>
      <c r="X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K772" s="3"/>
      <c r="L772" s="3"/>
      <c r="M772" s="3"/>
      <c r="N772" s="3"/>
      <c r="O772" s="3"/>
      <c r="P772" s="3"/>
      <c r="Q772" s="3"/>
      <c r="R772" s="3"/>
      <c r="V772" s="3"/>
      <c r="X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K773" s="3"/>
      <c r="L773" s="3"/>
      <c r="M773" s="3"/>
      <c r="N773" s="3"/>
      <c r="O773" s="3"/>
      <c r="P773" s="3"/>
      <c r="Q773" s="3"/>
      <c r="R773" s="3"/>
      <c r="V773" s="3"/>
      <c r="X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K774" s="3"/>
      <c r="L774" s="3"/>
      <c r="M774" s="3"/>
      <c r="N774" s="3"/>
      <c r="O774" s="3"/>
      <c r="P774" s="3"/>
      <c r="Q774" s="3"/>
      <c r="R774" s="3"/>
      <c r="V774" s="3"/>
      <c r="X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K775" s="3"/>
      <c r="L775" s="3"/>
      <c r="M775" s="3"/>
      <c r="N775" s="3"/>
      <c r="O775" s="3"/>
      <c r="P775" s="3"/>
      <c r="Q775" s="3"/>
      <c r="R775" s="3"/>
      <c r="V775" s="3"/>
      <c r="X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K776" s="3"/>
      <c r="L776" s="3"/>
      <c r="M776" s="3"/>
      <c r="N776" s="3"/>
      <c r="O776" s="3"/>
      <c r="P776" s="3"/>
      <c r="Q776" s="3"/>
      <c r="R776" s="3"/>
      <c r="V776" s="3"/>
      <c r="X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K777" s="3"/>
      <c r="L777" s="3"/>
      <c r="M777" s="3"/>
      <c r="N777" s="3"/>
      <c r="O777" s="3"/>
      <c r="P777" s="3"/>
      <c r="Q777" s="3"/>
      <c r="R777" s="3"/>
      <c r="V777" s="3"/>
      <c r="X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K778" s="3"/>
      <c r="L778" s="3"/>
      <c r="M778" s="3"/>
      <c r="N778" s="3"/>
      <c r="O778" s="3"/>
      <c r="P778" s="3"/>
      <c r="Q778" s="3"/>
      <c r="R778" s="3"/>
      <c r="V778" s="3"/>
      <c r="X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K779" s="3"/>
      <c r="L779" s="3"/>
      <c r="M779" s="3"/>
      <c r="N779" s="3"/>
      <c r="O779" s="3"/>
      <c r="P779" s="3"/>
      <c r="Q779" s="3"/>
      <c r="R779" s="3"/>
      <c r="V779" s="3"/>
      <c r="X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K780" s="3"/>
      <c r="L780" s="3"/>
      <c r="M780" s="3"/>
      <c r="N780" s="3"/>
      <c r="O780" s="3"/>
      <c r="P780" s="3"/>
      <c r="Q780" s="3"/>
      <c r="R780" s="3"/>
      <c r="V780" s="3"/>
      <c r="X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K781" s="3"/>
      <c r="L781" s="3"/>
      <c r="M781" s="3"/>
      <c r="N781" s="3"/>
      <c r="O781" s="3"/>
      <c r="P781" s="3"/>
      <c r="Q781" s="3"/>
      <c r="R781" s="3"/>
      <c r="V781" s="3"/>
      <c r="X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K782" s="3"/>
      <c r="L782" s="3"/>
      <c r="M782" s="3"/>
      <c r="N782" s="3"/>
      <c r="O782" s="3"/>
      <c r="P782" s="3"/>
      <c r="Q782" s="3"/>
      <c r="R782" s="3"/>
      <c r="V782" s="3"/>
      <c r="X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K783" s="3"/>
      <c r="L783" s="3"/>
      <c r="M783" s="3"/>
      <c r="N783" s="3"/>
      <c r="O783" s="3"/>
      <c r="P783" s="3"/>
      <c r="Q783" s="3"/>
      <c r="R783" s="3"/>
      <c r="V783" s="3"/>
      <c r="X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K784" s="3"/>
      <c r="L784" s="3"/>
      <c r="M784" s="3"/>
      <c r="N784" s="3"/>
      <c r="O784" s="3"/>
      <c r="P784" s="3"/>
      <c r="Q784" s="3"/>
      <c r="R784" s="3"/>
      <c r="V784" s="3"/>
      <c r="X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K785" s="3"/>
      <c r="L785" s="3"/>
      <c r="M785" s="3"/>
      <c r="N785" s="3"/>
      <c r="O785" s="3"/>
      <c r="P785" s="3"/>
      <c r="Q785" s="3"/>
      <c r="R785" s="3"/>
      <c r="V785" s="3"/>
      <c r="X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K786" s="3"/>
      <c r="L786" s="3"/>
      <c r="M786" s="3"/>
      <c r="N786" s="3"/>
      <c r="O786" s="3"/>
      <c r="P786" s="3"/>
      <c r="Q786" s="3"/>
      <c r="R786" s="3"/>
      <c r="V786" s="3"/>
      <c r="X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K787" s="3"/>
      <c r="L787" s="3"/>
      <c r="M787" s="3"/>
      <c r="N787" s="3"/>
      <c r="O787" s="3"/>
      <c r="P787" s="3"/>
      <c r="Q787" s="3"/>
      <c r="R787" s="3"/>
      <c r="V787" s="3"/>
      <c r="X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K788" s="3"/>
      <c r="L788" s="3"/>
      <c r="M788" s="3"/>
      <c r="N788" s="3"/>
      <c r="O788" s="3"/>
      <c r="P788" s="3"/>
      <c r="Q788" s="3"/>
      <c r="R788" s="3"/>
      <c r="V788" s="3"/>
      <c r="X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K789" s="3"/>
      <c r="L789" s="3"/>
      <c r="M789" s="3"/>
      <c r="N789" s="3"/>
      <c r="O789" s="3"/>
      <c r="P789" s="3"/>
      <c r="Q789" s="3"/>
      <c r="R789" s="3"/>
      <c r="V789" s="3"/>
      <c r="X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K790" s="3"/>
      <c r="L790" s="3"/>
      <c r="M790" s="3"/>
      <c r="N790" s="3"/>
      <c r="O790" s="3"/>
      <c r="P790" s="3"/>
      <c r="Q790" s="3"/>
      <c r="R790" s="3"/>
      <c r="V790" s="3"/>
      <c r="X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K791" s="3"/>
      <c r="L791" s="3"/>
      <c r="M791" s="3"/>
      <c r="N791" s="3"/>
      <c r="O791" s="3"/>
      <c r="P791" s="3"/>
      <c r="Q791" s="3"/>
      <c r="R791" s="3"/>
      <c r="V791" s="3"/>
      <c r="X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K792" s="3"/>
      <c r="L792" s="3"/>
      <c r="M792" s="3"/>
      <c r="N792" s="3"/>
      <c r="O792" s="3"/>
      <c r="P792" s="3"/>
      <c r="Q792" s="3"/>
      <c r="R792" s="3"/>
      <c r="V792" s="3"/>
      <c r="X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K793" s="3"/>
      <c r="L793" s="3"/>
      <c r="M793" s="3"/>
      <c r="N793" s="3"/>
      <c r="O793" s="3"/>
      <c r="P793" s="3"/>
      <c r="Q793" s="3"/>
      <c r="R793" s="3"/>
      <c r="V793" s="3"/>
      <c r="X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K794" s="3"/>
      <c r="L794" s="3"/>
      <c r="M794" s="3"/>
      <c r="N794" s="3"/>
      <c r="O794" s="3"/>
      <c r="P794" s="3"/>
      <c r="Q794" s="3"/>
      <c r="R794" s="3"/>
      <c r="V794" s="3"/>
      <c r="X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K795" s="3"/>
      <c r="L795" s="3"/>
      <c r="M795" s="3"/>
      <c r="N795" s="3"/>
      <c r="O795" s="3"/>
      <c r="P795" s="3"/>
      <c r="Q795" s="3"/>
      <c r="R795" s="3"/>
      <c r="V795" s="3"/>
      <c r="X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K796" s="3"/>
      <c r="L796" s="3"/>
      <c r="M796" s="3"/>
      <c r="N796" s="3"/>
      <c r="O796" s="3"/>
      <c r="P796" s="3"/>
      <c r="Q796" s="3"/>
      <c r="R796" s="3"/>
      <c r="V796" s="3"/>
      <c r="X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K797" s="3"/>
      <c r="L797" s="3"/>
      <c r="M797" s="3"/>
      <c r="N797" s="3"/>
      <c r="O797" s="3"/>
      <c r="P797" s="3"/>
      <c r="Q797" s="3"/>
      <c r="R797" s="3"/>
      <c r="V797" s="3"/>
      <c r="X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K798" s="3"/>
      <c r="L798" s="3"/>
      <c r="M798" s="3"/>
      <c r="N798" s="3"/>
      <c r="O798" s="3"/>
      <c r="P798" s="3"/>
      <c r="Q798" s="3"/>
      <c r="R798" s="3"/>
      <c r="V798" s="3"/>
      <c r="X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K799" s="3"/>
      <c r="L799" s="3"/>
      <c r="M799" s="3"/>
      <c r="N799" s="3"/>
      <c r="O799" s="3"/>
      <c r="P799" s="3"/>
      <c r="Q799" s="3"/>
      <c r="R799" s="3"/>
      <c r="V799" s="3"/>
      <c r="X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K800" s="3"/>
      <c r="L800" s="3"/>
      <c r="M800" s="3"/>
      <c r="N800" s="3"/>
      <c r="O800" s="3"/>
      <c r="P800" s="3"/>
      <c r="Q800" s="3"/>
      <c r="R800" s="3"/>
      <c r="V800" s="3"/>
      <c r="X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K801" s="3"/>
      <c r="L801" s="3"/>
      <c r="M801" s="3"/>
      <c r="N801" s="3"/>
      <c r="O801" s="3"/>
      <c r="P801" s="3"/>
      <c r="Q801" s="3"/>
      <c r="R801" s="3"/>
      <c r="V801" s="3"/>
      <c r="X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K802" s="3"/>
      <c r="L802" s="3"/>
      <c r="M802" s="3"/>
      <c r="N802" s="3"/>
      <c r="O802" s="3"/>
      <c r="P802" s="3"/>
      <c r="Q802" s="3"/>
      <c r="R802" s="3"/>
      <c r="V802" s="3"/>
      <c r="X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K803" s="3"/>
      <c r="L803" s="3"/>
      <c r="M803" s="3"/>
      <c r="N803" s="3"/>
      <c r="O803" s="3"/>
      <c r="P803" s="3"/>
      <c r="Q803" s="3"/>
      <c r="R803" s="3"/>
      <c r="V803" s="3"/>
      <c r="X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K804" s="3"/>
      <c r="L804" s="3"/>
      <c r="M804" s="3"/>
      <c r="N804" s="3"/>
      <c r="O804" s="3"/>
      <c r="P804" s="3"/>
      <c r="Q804" s="3"/>
      <c r="R804" s="3"/>
      <c r="V804" s="3"/>
      <c r="X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K805" s="3"/>
      <c r="L805" s="3"/>
      <c r="M805" s="3"/>
      <c r="N805" s="3"/>
      <c r="O805" s="3"/>
      <c r="P805" s="3"/>
      <c r="Q805" s="3"/>
      <c r="R805" s="3"/>
      <c r="V805" s="3"/>
      <c r="X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K806" s="3"/>
      <c r="L806" s="3"/>
      <c r="M806" s="3"/>
      <c r="N806" s="3"/>
      <c r="O806" s="3"/>
      <c r="P806" s="3"/>
      <c r="Q806" s="3"/>
      <c r="R806" s="3"/>
      <c r="V806" s="3"/>
      <c r="X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K807" s="3"/>
      <c r="L807" s="3"/>
      <c r="M807" s="3"/>
      <c r="N807" s="3"/>
      <c r="O807" s="3"/>
      <c r="P807" s="3"/>
      <c r="Q807" s="3"/>
      <c r="R807" s="3"/>
      <c r="V807" s="3"/>
      <c r="X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K808" s="3"/>
      <c r="L808" s="3"/>
      <c r="M808" s="3"/>
      <c r="N808" s="3"/>
      <c r="O808" s="3"/>
      <c r="P808" s="3"/>
      <c r="Q808" s="3"/>
      <c r="R808" s="3"/>
      <c r="V808" s="3"/>
      <c r="X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K809" s="3"/>
      <c r="L809" s="3"/>
      <c r="M809" s="3"/>
      <c r="N809" s="3"/>
      <c r="O809" s="3"/>
      <c r="P809" s="3"/>
      <c r="Q809" s="3"/>
      <c r="R809" s="3"/>
      <c r="V809" s="3"/>
      <c r="X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K810" s="3"/>
      <c r="L810" s="3"/>
      <c r="M810" s="3"/>
      <c r="N810" s="3"/>
      <c r="O810" s="3"/>
      <c r="P810" s="3"/>
      <c r="Q810" s="3"/>
      <c r="R810" s="3"/>
      <c r="V810" s="3"/>
      <c r="X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K811" s="3"/>
      <c r="L811" s="3"/>
      <c r="M811" s="3"/>
      <c r="N811" s="3"/>
      <c r="O811" s="3"/>
      <c r="P811" s="3"/>
      <c r="Q811" s="3"/>
      <c r="R811" s="3"/>
      <c r="V811" s="3"/>
      <c r="X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K812" s="3"/>
      <c r="L812" s="3"/>
      <c r="M812" s="3"/>
      <c r="N812" s="3"/>
      <c r="O812" s="3"/>
      <c r="P812" s="3"/>
      <c r="Q812" s="3"/>
      <c r="R812" s="3"/>
      <c r="V812" s="3"/>
      <c r="X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K813" s="3"/>
      <c r="L813" s="3"/>
      <c r="M813" s="3"/>
      <c r="N813" s="3"/>
      <c r="O813" s="3"/>
      <c r="P813" s="3"/>
      <c r="Q813" s="3"/>
      <c r="R813" s="3"/>
      <c r="V813" s="3"/>
      <c r="X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K814" s="3"/>
      <c r="L814" s="3"/>
      <c r="M814" s="3"/>
      <c r="N814" s="3"/>
      <c r="O814" s="3"/>
      <c r="P814" s="3"/>
      <c r="Q814" s="3"/>
      <c r="R814" s="3"/>
      <c r="V814" s="3"/>
      <c r="X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K815" s="3"/>
      <c r="L815" s="3"/>
      <c r="M815" s="3"/>
      <c r="N815" s="3"/>
      <c r="O815" s="3"/>
      <c r="P815" s="3"/>
      <c r="Q815" s="3"/>
      <c r="R815" s="3"/>
      <c r="V815" s="3"/>
      <c r="X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K816" s="3"/>
      <c r="L816" s="3"/>
      <c r="M816" s="3"/>
      <c r="N816" s="3"/>
      <c r="O816" s="3"/>
      <c r="P816" s="3"/>
      <c r="Q816" s="3"/>
      <c r="R816" s="3"/>
      <c r="V816" s="3"/>
      <c r="X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K817" s="3"/>
      <c r="L817" s="3"/>
      <c r="M817" s="3"/>
      <c r="N817" s="3"/>
      <c r="O817" s="3"/>
      <c r="P817" s="3"/>
      <c r="Q817" s="3"/>
      <c r="R817" s="3"/>
      <c r="V817" s="3"/>
      <c r="X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K818" s="3"/>
      <c r="L818" s="3"/>
      <c r="M818" s="3"/>
      <c r="N818" s="3"/>
      <c r="O818" s="3"/>
      <c r="P818" s="3"/>
      <c r="Q818" s="3"/>
      <c r="R818" s="3"/>
      <c r="V818" s="3"/>
      <c r="X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K819" s="3"/>
      <c r="L819" s="3"/>
      <c r="M819" s="3"/>
      <c r="N819" s="3"/>
      <c r="O819" s="3"/>
      <c r="P819" s="3"/>
      <c r="Q819" s="3"/>
      <c r="R819" s="3"/>
      <c r="V819" s="3"/>
      <c r="X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K820" s="3"/>
      <c r="L820" s="3"/>
      <c r="M820" s="3"/>
      <c r="N820" s="3"/>
      <c r="O820" s="3"/>
      <c r="P820" s="3"/>
      <c r="Q820" s="3"/>
      <c r="R820" s="3"/>
      <c r="V820" s="3"/>
      <c r="X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K821" s="3"/>
      <c r="L821" s="3"/>
      <c r="M821" s="3"/>
      <c r="N821" s="3"/>
      <c r="O821" s="3"/>
      <c r="P821" s="3"/>
      <c r="Q821" s="3"/>
      <c r="R821" s="3"/>
      <c r="V821" s="3"/>
      <c r="X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K822" s="3"/>
      <c r="L822" s="3"/>
      <c r="M822" s="3"/>
      <c r="N822" s="3"/>
      <c r="O822" s="3"/>
      <c r="P822" s="3"/>
      <c r="Q822" s="3"/>
      <c r="R822" s="3"/>
      <c r="V822" s="3"/>
      <c r="X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K823" s="3"/>
      <c r="L823" s="3"/>
      <c r="M823" s="3"/>
      <c r="N823" s="3"/>
      <c r="O823" s="3"/>
      <c r="P823" s="3"/>
      <c r="Q823" s="3"/>
      <c r="R823" s="3"/>
      <c r="V823" s="3"/>
      <c r="X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K824" s="3"/>
      <c r="L824" s="3"/>
      <c r="M824" s="3"/>
      <c r="N824" s="3"/>
      <c r="O824" s="3"/>
      <c r="P824" s="3"/>
      <c r="Q824" s="3"/>
      <c r="R824" s="3"/>
      <c r="V824" s="3"/>
      <c r="X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K825" s="3"/>
      <c r="L825" s="3"/>
      <c r="M825" s="3"/>
      <c r="N825" s="3"/>
      <c r="O825" s="3"/>
      <c r="P825" s="3"/>
      <c r="Q825" s="3"/>
      <c r="R825" s="3"/>
      <c r="V825" s="3"/>
      <c r="X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K826" s="3"/>
      <c r="L826" s="3"/>
      <c r="M826" s="3"/>
      <c r="N826" s="3"/>
      <c r="O826" s="3"/>
      <c r="P826" s="3"/>
      <c r="Q826" s="3"/>
      <c r="R826" s="3"/>
      <c r="V826" s="3"/>
      <c r="X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K827" s="3"/>
      <c r="L827" s="3"/>
      <c r="M827" s="3"/>
      <c r="N827" s="3"/>
      <c r="O827" s="3"/>
      <c r="P827" s="3"/>
      <c r="Q827" s="3"/>
      <c r="R827" s="3"/>
      <c r="V827" s="3"/>
      <c r="X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K828" s="3"/>
      <c r="L828" s="3"/>
      <c r="M828" s="3"/>
      <c r="N828" s="3"/>
      <c r="O828" s="3"/>
      <c r="P828" s="3"/>
      <c r="Q828" s="3"/>
      <c r="R828" s="3"/>
      <c r="V828" s="3"/>
      <c r="X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K829" s="3"/>
      <c r="L829" s="3"/>
      <c r="M829" s="3"/>
      <c r="N829" s="3"/>
      <c r="O829" s="3"/>
      <c r="P829" s="3"/>
      <c r="Q829" s="3"/>
      <c r="R829" s="3"/>
      <c r="V829" s="3"/>
      <c r="X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K830" s="3"/>
      <c r="L830" s="3"/>
      <c r="M830" s="3"/>
      <c r="N830" s="3"/>
      <c r="O830" s="3"/>
      <c r="P830" s="3"/>
      <c r="Q830" s="3"/>
      <c r="R830" s="3"/>
      <c r="V830" s="3"/>
      <c r="X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K831" s="3"/>
      <c r="L831" s="3"/>
      <c r="M831" s="3"/>
      <c r="N831" s="3"/>
      <c r="O831" s="3"/>
      <c r="P831" s="3"/>
      <c r="Q831" s="3"/>
      <c r="R831" s="3"/>
      <c r="V831" s="3"/>
      <c r="X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K832" s="3"/>
      <c r="L832" s="3"/>
      <c r="M832" s="3"/>
      <c r="N832" s="3"/>
      <c r="O832" s="3"/>
      <c r="P832" s="3"/>
      <c r="Q832" s="3"/>
      <c r="R832" s="3"/>
      <c r="V832" s="3"/>
      <c r="X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K833" s="3"/>
      <c r="L833" s="3"/>
      <c r="M833" s="3"/>
      <c r="N833" s="3"/>
      <c r="O833" s="3"/>
      <c r="P833" s="3"/>
      <c r="Q833" s="3"/>
      <c r="R833" s="3"/>
      <c r="V833" s="3"/>
      <c r="X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K834" s="3"/>
      <c r="L834" s="3"/>
      <c r="M834" s="3"/>
      <c r="N834" s="3"/>
      <c r="O834" s="3"/>
      <c r="P834" s="3"/>
      <c r="Q834" s="3"/>
      <c r="R834" s="3"/>
      <c r="V834" s="3"/>
      <c r="X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K835" s="3"/>
      <c r="L835" s="3"/>
      <c r="M835" s="3"/>
      <c r="N835" s="3"/>
      <c r="O835" s="3"/>
      <c r="P835" s="3"/>
      <c r="Q835" s="3"/>
      <c r="R835" s="3"/>
      <c r="V835" s="3"/>
      <c r="X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K836" s="3"/>
      <c r="L836" s="3"/>
      <c r="M836" s="3"/>
      <c r="N836" s="3"/>
      <c r="O836" s="3"/>
      <c r="P836" s="3"/>
      <c r="Q836" s="3"/>
      <c r="R836" s="3"/>
      <c r="V836" s="3"/>
      <c r="X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K837" s="3"/>
      <c r="L837" s="3"/>
      <c r="M837" s="3"/>
      <c r="N837" s="3"/>
      <c r="O837" s="3"/>
      <c r="P837" s="3"/>
      <c r="Q837" s="3"/>
      <c r="R837" s="3"/>
      <c r="V837" s="3"/>
      <c r="X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K838" s="3"/>
      <c r="L838" s="3"/>
      <c r="M838" s="3"/>
      <c r="N838" s="3"/>
      <c r="O838" s="3"/>
      <c r="P838" s="3"/>
      <c r="Q838" s="3"/>
      <c r="R838" s="3"/>
      <c r="V838" s="3"/>
      <c r="X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K839" s="3"/>
      <c r="L839" s="3"/>
      <c r="M839" s="3"/>
      <c r="N839" s="3"/>
      <c r="O839" s="3"/>
      <c r="P839" s="3"/>
      <c r="Q839" s="3"/>
      <c r="R839" s="3"/>
      <c r="V839" s="3"/>
      <c r="X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K840" s="3"/>
      <c r="L840" s="3"/>
      <c r="M840" s="3"/>
      <c r="N840" s="3"/>
      <c r="O840" s="3"/>
      <c r="P840" s="3"/>
      <c r="Q840" s="3"/>
      <c r="R840" s="3"/>
      <c r="V840" s="3"/>
      <c r="X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K841" s="3"/>
      <c r="L841" s="3"/>
      <c r="M841" s="3"/>
      <c r="N841" s="3"/>
      <c r="O841" s="3"/>
      <c r="P841" s="3"/>
      <c r="Q841" s="3"/>
      <c r="R841" s="3"/>
      <c r="V841" s="3"/>
      <c r="X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K842" s="3"/>
      <c r="L842" s="3"/>
      <c r="M842" s="3"/>
      <c r="N842" s="3"/>
      <c r="O842" s="3"/>
      <c r="P842" s="3"/>
      <c r="Q842" s="3"/>
      <c r="R842" s="3"/>
      <c r="V842" s="3"/>
      <c r="X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K843" s="3"/>
      <c r="L843" s="3"/>
      <c r="M843" s="3"/>
      <c r="N843" s="3"/>
      <c r="O843" s="3"/>
      <c r="P843" s="3"/>
      <c r="Q843" s="3"/>
      <c r="R843" s="3"/>
      <c r="V843" s="3"/>
      <c r="X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K844" s="3"/>
      <c r="L844" s="3"/>
      <c r="M844" s="3"/>
      <c r="N844" s="3"/>
      <c r="O844" s="3"/>
      <c r="P844" s="3"/>
      <c r="Q844" s="3"/>
      <c r="R844" s="3"/>
      <c r="V844" s="3"/>
      <c r="X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K845" s="3"/>
      <c r="L845" s="3"/>
      <c r="M845" s="3"/>
      <c r="N845" s="3"/>
      <c r="O845" s="3"/>
      <c r="P845" s="3"/>
      <c r="Q845" s="3"/>
      <c r="R845" s="3"/>
      <c r="V845" s="3"/>
      <c r="X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K846" s="3"/>
      <c r="L846" s="3"/>
      <c r="M846" s="3"/>
      <c r="N846" s="3"/>
      <c r="O846" s="3"/>
      <c r="P846" s="3"/>
      <c r="Q846" s="3"/>
      <c r="R846" s="3"/>
      <c r="V846" s="3"/>
      <c r="X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K847" s="3"/>
      <c r="L847" s="3"/>
      <c r="M847" s="3"/>
      <c r="N847" s="3"/>
      <c r="O847" s="3"/>
      <c r="P847" s="3"/>
      <c r="Q847" s="3"/>
      <c r="R847" s="3"/>
      <c r="V847" s="3"/>
      <c r="X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K848" s="3"/>
      <c r="L848" s="3"/>
      <c r="M848" s="3"/>
      <c r="N848" s="3"/>
      <c r="O848" s="3"/>
      <c r="P848" s="3"/>
      <c r="Q848" s="3"/>
      <c r="R848" s="3"/>
      <c r="V848" s="3"/>
      <c r="X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K849" s="3"/>
      <c r="L849" s="3"/>
      <c r="M849" s="3"/>
      <c r="N849" s="3"/>
      <c r="O849" s="3"/>
      <c r="P849" s="3"/>
      <c r="Q849" s="3"/>
      <c r="R849" s="3"/>
      <c r="V849" s="3"/>
      <c r="X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K850" s="3"/>
      <c r="L850" s="3"/>
      <c r="M850" s="3"/>
      <c r="N850" s="3"/>
      <c r="O850" s="3"/>
      <c r="P850" s="3"/>
      <c r="Q850" s="3"/>
      <c r="R850" s="3"/>
      <c r="V850" s="3"/>
      <c r="X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K851" s="3"/>
      <c r="L851" s="3"/>
      <c r="M851" s="3"/>
      <c r="N851" s="3"/>
      <c r="O851" s="3"/>
      <c r="P851" s="3"/>
      <c r="Q851" s="3"/>
      <c r="R851" s="3"/>
      <c r="V851" s="3"/>
      <c r="X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K852" s="3"/>
      <c r="L852" s="3"/>
      <c r="M852" s="3"/>
      <c r="N852" s="3"/>
      <c r="O852" s="3"/>
      <c r="P852" s="3"/>
      <c r="Q852" s="3"/>
      <c r="R852" s="3"/>
      <c r="V852" s="3"/>
      <c r="X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K853" s="3"/>
      <c r="L853" s="3"/>
      <c r="M853" s="3"/>
      <c r="N853" s="3"/>
      <c r="O853" s="3"/>
      <c r="P853" s="3"/>
      <c r="Q853" s="3"/>
      <c r="R853" s="3"/>
      <c r="V853" s="3"/>
      <c r="X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K854" s="3"/>
      <c r="L854" s="3"/>
      <c r="M854" s="3"/>
      <c r="N854" s="3"/>
      <c r="O854" s="3"/>
      <c r="P854" s="3"/>
      <c r="Q854" s="3"/>
      <c r="R854" s="3"/>
      <c r="V854" s="3"/>
      <c r="X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K855" s="3"/>
      <c r="L855" s="3"/>
      <c r="M855" s="3"/>
      <c r="N855" s="3"/>
      <c r="O855" s="3"/>
      <c r="P855" s="3"/>
      <c r="Q855" s="3"/>
      <c r="R855" s="3"/>
      <c r="V855" s="3"/>
      <c r="X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K856" s="3"/>
      <c r="L856" s="3"/>
      <c r="M856" s="3"/>
      <c r="N856" s="3"/>
      <c r="O856" s="3"/>
      <c r="P856" s="3"/>
      <c r="Q856" s="3"/>
      <c r="R856" s="3"/>
      <c r="V856" s="3"/>
      <c r="X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K857" s="3"/>
      <c r="L857" s="3"/>
      <c r="M857" s="3"/>
      <c r="N857" s="3"/>
      <c r="O857" s="3"/>
      <c r="P857" s="3"/>
      <c r="Q857" s="3"/>
      <c r="R857" s="3"/>
      <c r="V857" s="3"/>
      <c r="X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K858" s="3"/>
      <c r="L858" s="3"/>
      <c r="M858" s="3"/>
      <c r="N858" s="3"/>
      <c r="O858" s="3"/>
      <c r="P858" s="3"/>
      <c r="Q858" s="3"/>
      <c r="R858" s="3"/>
      <c r="V858" s="3"/>
      <c r="X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K859" s="3"/>
      <c r="L859" s="3"/>
      <c r="M859" s="3"/>
      <c r="N859" s="3"/>
      <c r="O859" s="3"/>
      <c r="P859" s="3"/>
      <c r="Q859" s="3"/>
      <c r="R859" s="3"/>
      <c r="V859" s="3"/>
      <c r="X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K860" s="3"/>
      <c r="L860" s="3"/>
      <c r="M860" s="3"/>
      <c r="N860" s="3"/>
      <c r="O860" s="3"/>
      <c r="P860" s="3"/>
      <c r="Q860" s="3"/>
      <c r="R860" s="3"/>
      <c r="V860" s="3"/>
      <c r="X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K861" s="3"/>
      <c r="L861" s="3"/>
      <c r="M861" s="3"/>
      <c r="N861" s="3"/>
      <c r="O861" s="3"/>
      <c r="P861" s="3"/>
      <c r="Q861" s="3"/>
      <c r="R861" s="3"/>
      <c r="V861" s="3"/>
      <c r="X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K862" s="3"/>
      <c r="L862" s="3"/>
      <c r="M862" s="3"/>
      <c r="N862" s="3"/>
      <c r="O862" s="3"/>
      <c r="P862" s="3"/>
      <c r="Q862" s="3"/>
      <c r="R862" s="3"/>
      <c r="V862" s="3"/>
      <c r="X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K863" s="3"/>
      <c r="L863" s="3"/>
      <c r="M863" s="3"/>
      <c r="N863" s="3"/>
      <c r="O863" s="3"/>
      <c r="P863" s="3"/>
      <c r="Q863" s="3"/>
      <c r="R863" s="3"/>
      <c r="V863" s="3"/>
      <c r="X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K864" s="3"/>
      <c r="L864" s="3"/>
      <c r="M864" s="3"/>
      <c r="N864" s="3"/>
      <c r="O864" s="3"/>
      <c r="P864" s="3"/>
      <c r="Q864" s="3"/>
      <c r="R864" s="3"/>
      <c r="V864" s="3"/>
      <c r="X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K865" s="3"/>
      <c r="L865" s="3"/>
      <c r="M865" s="3"/>
      <c r="N865" s="3"/>
      <c r="O865" s="3"/>
      <c r="P865" s="3"/>
      <c r="Q865" s="3"/>
      <c r="R865" s="3"/>
      <c r="V865" s="3"/>
      <c r="X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K866" s="3"/>
      <c r="L866" s="3"/>
      <c r="M866" s="3"/>
      <c r="N866" s="3"/>
      <c r="O866" s="3"/>
      <c r="P866" s="3"/>
      <c r="Q866" s="3"/>
      <c r="R866" s="3"/>
      <c r="V866" s="3"/>
      <c r="X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K867" s="3"/>
      <c r="L867" s="3"/>
      <c r="M867" s="3"/>
      <c r="N867" s="3"/>
      <c r="O867" s="3"/>
      <c r="P867" s="3"/>
      <c r="Q867" s="3"/>
      <c r="R867" s="3"/>
      <c r="V867" s="3"/>
      <c r="X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K868" s="3"/>
      <c r="L868" s="3"/>
      <c r="M868" s="3"/>
      <c r="N868" s="3"/>
      <c r="O868" s="3"/>
      <c r="P868" s="3"/>
      <c r="Q868" s="3"/>
      <c r="R868" s="3"/>
      <c r="V868" s="3"/>
      <c r="X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K869" s="3"/>
      <c r="L869" s="3"/>
      <c r="M869" s="3"/>
      <c r="N869" s="3"/>
      <c r="O869" s="3"/>
      <c r="P869" s="3"/>
      <c r="Q869" s="3"/>
      <c r="R869" s="3"/>
      <c r="V869" s="3"/>
      <c r="X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K870" s="3"/>
      <c r="L870" s="3"/>
      <c r="M870" s="3"/>
      <c r="N870" s="3"/>
      <c r="O870" s="3"/>
      <c r="P870" s="3"/>
      <c r="Q870" s="3"/>
      <c r="R870" s="3"/>
      <c r="V870" s="3"/>
      <c r="X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K871" s="3"/>
      <c r="L871" s="3"/>
      <c r="M871" s="3"/>
      <c r="N871" s="3"/>
      <c r="O871" s="3"/>
      <c r="P871" s="3"/>
      <c r="Q871" s="3"/>
      <c r="R871" s="3"/>
      <c r="V871" s="3"/>
      <c r="X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K872" s="3"/>
      <c r="L872" s="3"/>
      <c r="M872" s="3"/>
      <c r="N872" s="3"/>
      <c r="O872" s="3"/>
      <c r="P872" s="3"/>
      <c r="Q872" s="3"/>
      <c r="R872" s="3"/>
      <c r="V872" s="3"/>
      <c r="X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K873" s="3"/>
      <c r="L873" s="3"/>
      <c r="M873" s="3"/>
      <c r="N873" s="3"/>
      <c r="O873" s="3"/>
      <c r="P873" s="3"/>
      <c r="Q873" s="3"/>
      <c r="R873" s="3"/>
      <c r="V873" s="3"/>
      <c r="X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K874" s="3"/>
      <c r="L874" s="3"/>
      <c r="M874" s="3"/>
      <c r="N874" s="3"/>
      <c r="O874" s="3"/>
      <c r="P874" s="3"/>
      <c r="Q874" s="3"/>
      <c r="R874" s="3"/>
      <c r="V874" s="3"/>
      <c r="X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K875" s="3"/>
      <c r="L875" s="3"/>
      <c r="M875" s="3"/>
      <c r="N875" s="3"/>
      <c r="O875" s="3"/>
      <c r="P875" s="3"/>
      <c r="Q875" s="3"/>
      <c r="R875" s="3"/>
      <c r="V875" s="3"/>
      <c r="X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K876" s="3"/>
      <c r="L876" s="3"/>
      <c r="M876" s="3"/>
      <c r="N876" s="3"/>
      <c r="O876" s="3"/>
      <c r="P876" s="3"/>
      <c r="Q876" s="3"/>
      <c r="R876" s="3"/>
      <c r="V876" s="3"/>
      <c r="X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K877" s="3"/>
      <c r="L877" s="3"/>
      <c r="M877" s="3"/>
      <c r="N877" s="3"/>
      <c r="O877" s="3"/>
      <c r="P877" s="3"/>
      <c r="Q877" s="3"/>
      <c r="R877" s="3"/>
      <c r="V877" s="3"/>
      <c r="X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K878" s="3"/>
      <c r="L878" s="3"/>
      <c r="M878" s="3"/>
      <c r="N878" s="3"/>
      <c r="O878" s="3"/>
      <c r="P878" s="3"/>
      <c r="Q878" s="3"/>
      <c r="R878" s="3"/>
      <c r="V878" s="3"/>
      <c r="X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K879" s="3"/>
      <c r="L879" s="3"/>
      <c r="M879" s="3"/>
      <c r="N879" s="3"/>
      <c r="O879" s="3"/>
      <c r="P879" s="3"/>
      <c r="Q879" s="3"/>
      <c r="R879" s="3"/>
      <c r="V879" s="3"/>
      <c r="X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K880" s="3"/>
      <c r="L880" s="3"/>
      <c r="M880" s="3"/>
      <c r="N880" s="3"/>
      <c r="O880" s="3"/>
      <c r="P880" s="3"/>
      <c r="Q880" s="3"/>
      <c r="R880" s="3"/>
      <c r="V880" s="3"/>
      <c r="X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K881" s="3"/>
      <c r="L881" s="3"/>
      <c r="M881" s="3"/>
      <c r="N881" s="3"/>
      <c r="O881" s="3"/>
      <c r="P881" s="3"/>
      <c r="Q881" s="3"/>
      <c r="R881" s="3"/>
      <c r="V881" s="3"/>
      <c r="X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K882" s="3"/>
      <c r="L882" s="3"/>
      <c r="M882" s="3"/>
      <c r="N882" s="3"/>
      <c r="O882" s="3"/>
      <c r="P882" s="3"/>
      <c r="Q882" s="3"/>
      <c r="R882" s="3"/>
      <c r="V882" s="3"/>
      <c r="X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K883" s="3"/>
      <c r="L883" s="3"/>
      <c r="M883" s="3"/>
      <c r="N883" s="3"/>
      <c r="O883" s="3"/>
      <c r="P883" s="3"/>
      <c r="Q883" s="3"/>
      <c r="R883" s="3"/>
      <c r="V883" s="3"/>
      <c r="X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K884" s="3"/>
      <c r="L884" s="3"/>
      <c r="M884" s="3"/>
      <c r="N884" s="3"/>
      <c r="O884" s="3"/>
      <c r="P884" s="3"/>
      <c r="Q884" s="3"/>
      <c r="R884" s="3"/>
      <c r="V884" s="3"/>
      <c r="X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K885" s="3"/>
      <c r="L885" s="3"/>
      <c r="M885" s="3"/>
      <c r="N885" s="3"/>
      <c r="O885" s="3"/>
      <c r="P885" s="3"/>
      <c r="Q885" s="3"/>
      <c r="R885" s="3"/>
      <c r="V885" s="3"/>
      <c r="X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K886" s="3"/>
      <c r="L886" s="3"/>
      <c r="M886" s="3"/>
      <c r="N886" s="3"/>
      <c r="O886" s="3"/>
      <c r="P886" s="3"/>
      <c r="Q886" s="3"/>
      <c r="R886" s="3"/>
      <c r="V886" s="3"/>
      <c r="X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K887" s="3"/>
      <c r="L887" s="3"/>
      <c r="M887" s="3"/>
      <c r="N887" s="3"/>
      <c r="O887" s="3"/>
      <c r="P887" s="3"/>
      <c r="Q887" s="3"/>
      <c r="R887" s="3"/>
      <c r="V887" s="3"/>
      <c r="X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K888" s="3"/>
      <c r="L888" s="3"/>
      <c r="M888" s="3"/>
      <c r="N888" s="3"/>
      <c r="O888" s="3"/>
      <c r="P888" s="3"/>
      <c r="Q888" s="3"/>
      <c r="R888" s="3"/>
      <c r="V888" s="3"/>
      <c r="X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K889" s="3"/>
      <c r="L889" s="3"/>
      <c r="M889" s="3"/>
      <c r="N889" s="3"/>
      <c r="O889" s="3"/>
      <c r="P889" s="3"/>
      <c r="Q889" s="3"/>
      <c r="R889" s="3"/>
      <c r="V889" s="3"/>
      <c r="X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K890" s="3"/>
      <c r="L890" s="3"/>
      <c r="M890" s="3"/>
      <c r="N890" s="3"/>
      <c r="O890" s="3"/>
      <c r="P890" s="3"/>
      <c r="Q890" s="3"/>
      <c r="R890" s="3"/>
      <c r="V890" s="3"/>
      <c r="X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K891" s="3"/>
      <c r="L891" s="3"/>
      <c r="M891" s="3"/>
      <c r="N891" s="3"/>
      <c r="O891" s="3"/>
      <c r="P891" s="3"/>
      <c r="Q891" s="3"/>
      <c r="R891" s="3"/>
      <c r="V891" s="3"/>
      <c r="X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K892" s="3"/>
      <c r="L892" s="3"/>
      <c r="M892" s="3"/>
      <c r="N892" s="3"/>
      <c r="O892" s="3"/>
      <c r="P892" s="3"/>
      <c r="Q892" s="3"/>
      <c r="R892" s="3"/>
      <c r="V892" s="3"/>
      <c r="X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K893" s="3"/>
      <c r="L893" s="3"/>
      <c r="M893" s="3"/>
      <c r="N893" s="3"/>
      <c r="O893" s="3"/>
      <c r="P893" s="3"/>
      <c r="Q893" s="3"/>
      <c r="R893" s="3"/>
      <c r="V893" s="3"/>
      <c r="X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K894" s="3"/>
      <c r="L894" s="3"/>
      <c r="M894" s="3"/>
      <c r="N894" s="3"/>
      <c r="O894" s="3"/>
      <c r="P894" s="3"/>
      <c r="Q894" s="3"/>
      <c r="R894" s="3"/>
      <c r="V894" s="3"/>
      <c r="X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K895" s="3"/>
      <c r="L895" s="3"/>
      <c r="M895" s="3"/>
      <c r="N895" s="3"/>
      <c r="O895" s="3"/>
      <c r="P895" s="3"/>
      <c r="Q895" s="3"/>
      <c r="R895" s="3"/>
      <c r="V895" s="3"/>
      <c r="X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K896" s="3"/>
      <c r="L896" s="3"/>
      <c r="M896" s="3"/>
      <c r="N896" s="3"/>
      <c r="O896" s="3"/>
      <c r="P896" s="3"/>
      <c r="Q896" s="3"/>
      <c r="R896" s="3"/>
      <c r="V896" s="3"/>
      <c r="X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K897" s="3"/>
      <c r="L897" s="3"/>
      <c r="M897" s="3"/>
      <c r="N897" s="3"/>
      <c r="O897" s="3"/>
      <c r="P897" s="3"/>
      <c r="Q897" s="3"/>
      <c r="R897" s="3"/>
      <c r="V897" s="3"/>
      <c r="X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K898" s="3"/>
      <c r="L898" s="3"/>
      <c r="M898" s="3"/>
      <c r="N898" s="3"/>
      <c r="O898" s="3"/>
      <c r="P898" s="3"/>
      <c r="Q898" s="3"/>
      <c r="R898" s="3"/>
      <c r="V898" s="3"/>
      <c r="X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K899" s="3"/>
      <c r="L899" s="3"/>
      <c r="M899" s="3"/>
      <c r="N899" s="3"/>
      <c r="O899" s="3"/>
      <c r="P899" s="3"/>
      <c r="Q899" s="3"/>
      <c r="R899" s="3"/>
      <c r="V899" s="3"/>
      <c r="X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K900" s="3"/>
      <c r="L900" s="3"/>
      <c r="M900" s="3"/>
      <c r="N900" s="3"/>
      <c r="O900" s="3"/>
      <c r="P900" s="3"/>
      <c r="Q900" s="3"/>
      <c r="R900" s="3"/>
      <c r="V900" s="3"/>
      <c r="X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K901" s="3"/>
      <c r="L901" s="3"/>
      <c r="M901" s="3"/>
      <c r="N901" s="3"/>
      <c r="O901" s="3"/>
      <c r="P901" s="3"/>
      <c r="Q901" s="3"/>
      <c r="R901" s="3"/>
      <c r="V901" s="3"/>
      <c r="X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K902" s="3"/>
      <c r="L902" s="3"/>
      <c r="M902" s="3"/>
      <c r="N902" s="3"/>
      <c r="O902" s="3"/>
      <c r="P902" s="3"/>
      <c r="Q902" s="3"/>
      <c r="R902" s="3"/>
      <c r="V902" s="3"/>
      <c r="X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K903" s="3"/>
      <c r="L903" s="3"/>
      <c r="M903" s="3"/>
      <c r="N903" s="3"/>
      <c r="O903" s="3"/>
      <c r="P903" s="3"/>
      <c r="Q903" s="3"/>
      <c r="R903" s="3"/>
      <c r="V903" s="3"/>
      <c r="X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K904" s="3"/>
      <c r="L904" s="3"/>
      <c r="M904" s="3"/>
      <c r="N904" s="3"/>
      <c r="O904" s="3"/>
      <c r="P904" s="3"/>
      <c r="Q904" s="3"/>
      <c r="R904" s="3"/>
      <c r="V904" s="3"/>
      <c r="X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K905" s="3"/>
      <c r="L905" s="3"/>
      <c r="M905" s="3"/>
      <c r="N905" s="3"/>
      <c r="O905" s="3"/>
      <c r="P905" s="3"/>
      <c r="Q905" s="3"/>
      <c r="R905" s="3"/>
      <c r="V905" s="3"/>
      <c r="X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K906" s="3"/>
      <c r="L906" s="3"/>
      <c r="M906" s="3"/>
      <c r="N906" s="3"/>
      <c r="O906" s="3"/>
      <c r="P906" s="3"/>
      <c r="Q906" s="3"/>
      <c r="R906" s="3"/>
      <c r="V906" s="3"/>
      <c r="X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K907" s="3"/>
      <c r="L907" s="3"/>
      <c r="M907" s="3"/>
      <c r="N907" s="3"/>
      <c r="O907" s="3"/>
      <c r="P907" s="3"/>
      <c r="Q907" s="3"/>
      <c r="R907" s="3"/>
      <c r="V907" s="3"/>
      <c r="X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K908" s="3"/>
      <c r="L908" s="3"/>
      <c r="M908" s="3"/>
      <c r="N908" s="3"/>
      <c r="O908" s="3"/>
      <c r="P908" s="3"/>
      <c r="Q908" s="3"/>
      <c r="R908" s="3"/>
      <c r="V908" s="3"/>
      <c r="X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K909" s="3"/>
      <c r="L909" s="3"/>
      <c r="M909" s="3"/>
      <c r="N909" s="3"/>
      <c r="O909" s="3"/>
      <c r="P909" s="3"/>
      <c r="Q909" s="3"/>
      <c r="R909" s="3"/>
      <c r="V909" s="3"/>
      <c r="X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K910" s="3"/>
      <c r="L910" s="3"/>
      <c r="M910" s="3"/>
      <c r="N910" s="3"/>
      <c r="O910" s="3"/>
      <c r="P910" s="3"/>
      <c r="Q910" s="3"/>
      <c r="R910" s="3"/>
      <c r="V910" s="3"/>
      <c r="X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K911" s="3"/>
      <c r="L911" s="3"/>
      <c r="M911" s="3"/>
      <c r="N911" s="3"/>
      <c r="O911" s="3"/>
      <c r="P911" s="3"/>
      <c r="Q911" s="3"/>
      <c r="R911" s="3"/>
      <c r="V911" s="3"/>
      <c r="X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K912" s="3"/>
      <c r="L912" s="3"/>
      <c r="M912" s="3"/>
      <c r="N912" s="3"/>
      <c r="O912" s="3"/>
      <c r="P912" s="3"/>
      <c r="Q912" s="3"/>
      <c r="R912" s="3"/>
      <c r="V912" s="3"/>
      <c r="X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K913" s="3"/>
      <c r="L913" s="3"/>
      <c r="M913" s="3"/>
      <c r="N913" s="3"/>
      <c r="O913" s="3"/>
      <c r="P913" s="3"/>
      <c r="Q913" s="3"/>
      <c r="R913" s="3"/>
      <c r="V913" s="3"/>
      <c r="X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K914" s="3"/>
      <c r="L914" s="3"/>
      <c r="M914" s="3"/>
      <c r="N914" s="3"/>
      <c r="O914" s="3"/>
      <c r="P914" s="3"/>
      <c r="Q914" s="3"/>
      <c r="R914" s="3"/>
      <c r="V914" s="3"/>
      <c r="X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K915" s="3"/>
      <c r="L915" s="3"/>
      <c r="M915" s="3"/>
      <c r="N915" s="3"/>
      <c r="O915" s="3"/>
      <c r="P915" s="3"/>
      <c r="Q915" s="3"/>
      <c r="R915" s="3"/>
      <c r="V915" s="3"/>
      <c r="X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K916" s="3"/>
      <c r="L916" s="3"/>
      <c r="M916" s="3"/>
      <c r="N916" s="3"/>
      <c r="O916" s="3"/>
      <c r="P916" s="3"/>
      <c r="Q916" s="3"/>
      <c r="R916" s="3"/>
      <c r="V916" s="3"/>
      <c r="X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K917" s="3"/>
      <c r="L917" s="3"/>
      <c r="M917" s="3"/>
      <c r="N917" s="3"/>
      <c r="O917" s="3"/>
      <c r="P917" s="3"/>
      <c r="Q917" s="3"/>
      <c r="R917" s="3"/>
      <c r="V917" s="3"/>
      <c r="X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K918" s="3"/>
      <c r="L918" s="3"/>
      <c r="M918" s="3"/>
      <c r="N918" s="3"/>
      <c r="O918" s="3"/>
      <c r="P918" s="3"/>
      <c r="Q918" s="3"/>
      <c r="R918" s="3"/>
      <c r="V918" s="3"/>
      <c r="X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K919" s="3"/>
      <c r="L919" s="3"/>
      <c r="M919" s="3"/>
      <c r="N919" s="3"/>
      <c r="O919" s="3"/>
      <c r="P919" s="3"/>
      <c r="Q919" s="3"/>
      <c r="R919" s="3"/>
      <c r="V919" s="3"/>
      <c r="X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K920" s="3"/>
      <c r="L920" s="3"/>
      <c r="M920" s="3"/>
      <c r="N920" s="3"/>
      <c r="O920" s="3"/>
      <c r="P920" s="3"/>
      <c r="Q920" s="3"/>
      <c r="R920" s="3"/>
      <c r="V920" s="3"/>
      <c r="X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K921" s="3"/>
      <c r="L921" s="3"/>
      <c r="M921" s="3"/>
      <c r="N921" s="3"/>
      <c r="O921" s="3"/>
      <c r="P921" s="3"/>
      <c r="Q921" s="3"/>
      <c r="R921" s="3"/>
      <c r="V921" s="3"/>
      <c r="X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K922" s="3"/>
      <c r="L922" s="3"/>
      <c r="M922" s="3"/>
      <c r="N922" s="3"/>
      <c r="O922" s="3"/>
      <c r="P922" s="3"/>
      <c r="Q922" s="3"/>
      <c r="R922" s="3"/>
      <c r="V922" s="3"/>
      <c r="X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K923" s="3"/>
      <c r="L923" s="3"/>
      <c r="M923" s="3"/>
      <c r="N923" s="3"/>
      <c r="O923" s="3"/>
      <c r="P923" s="3"/>
      <c r="Q923" s="3"/>
      <c r="R923" s="3"/>
      <c r="V923" s="3"/>
      <c r="X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K924" s="3"/>
      <c r="L924" s="3"/>
      <c r="M924" s="3"/>
      <c r="N924" s="3"/>
      <c r="O924" s="3"/>
      <c r="P924" s="3"/>
      <c r="Q924" s="3"/>
      <c r="R924" s="3"/>
      <c r="V924" s="3"/>
      <c r="X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K925" s="3"/>
      <c r="L925" s="3"/>
      <c r="M925" s="3"/>
      <c r="N925" s="3"/>
      <c r="O925" s="3"/>
      <c r="P925" s="3"/>
      <c r="Q925" s="3"/>
      <c r="R925" s="3"/>
      <c r="V925" s="3"/>
      <c r="X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K926" s="3"/>
      <c r="L926" s="3"/>
      <c r="M926" s="3"/>
      <c r="N926" s="3"/>
      <c r="O926" s="3"/>
      <c r="P926" s="3"/>
      <c r="Q926" s="3"/>
      <c r="R926" s="3"/>
      <c r="V926" s="3"/>
      <c r="X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K927" s="3"/>
      <c r="L927" s="3"/>
      <c r="M927" s="3"/>
      <c r="N927" s="3"/>
      <c r="O927" s="3"/>
      <c r="P927" s="3"/>
      <c r="Q927" s="3"/>
      <c r="R927" s="3"/>
      <c r="V927" s="3"/>
      <c r="X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K928" s="3"/>
      <c r="L928" s="3"/>
      <c r="M928" s="3"/>
      <c r="N928" s="3"/>
      <c r="O928" s="3"/>
      <c r="P928" s="3"/>
      <c r="Q928" s="3"/>
      <c r="R928" s="3"/>
      <c r="V928" s="3"/>
      <c r="X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K929" s="3"/>
      <c r="L929" s="3"/>
      <c r="M929" s="3"/>
      <c r="N929" s="3"/>
      <c r="O929" s="3"/>
      <c r="P929" s="3"/>
      <c r="Q929" s="3"/>
      <c r="R929" s="3"/>
      <c r="V929" s="3"/>
      <c r="X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K930" s="3"/>
      <c r="L930" s="3"/>
      <c r="M930" s="3"/>
      <c r="N930" s="3"/>
      <c r="O930" s="3"/>
      <c r="P930" s="3"/>
      <c r="Q930" s="3"/>
      <c r="R930" s="3"/>
      <c r="V930" s="3"/>
      <c r="X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K931" s="3"/>
      <c r="L931" s="3"/>
      <c r="M931" s="3"/>
      <c r="N931" s="3"/>
      <c r="O931" s="3"/>
      <c r="P931" s="3"/>
      <c r="Q931" s="3"/>
      <c r="R931" s="3"/>
      <c r="V931" s="3"/>
      <c r="X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K932" s="3"/>
      <c r="L932" s="3"/>
      <c r="M932" s="3"/>
      <c r="N932" s="3"/>
      <c r="O932" s="3"/>
      <c r="P932" s="3"/>
      <c r="Q932" s="3"/>
      <c r="R932" s="3"/>
      <c r="V932" s="3"/>
      <c r="X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K933" s="3"/>
      <c r="L933" s="3"/>
      <c r="M933" s="3"/>
      <c r="N933" s="3"/>
      <c r="O933" s="3"/>
      <c r="P933" s="3"/>
      <c r="Q933" s="3"/>
      <c r="R933" s="3"/>
      <c r="V933" s="3"/>
      <c r="X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K934" s="3"/>
      <c r="L934" s="3"/>
      <c r="M934" s="3"/>
      <c r="N934" s="3"/>
      <c r="O934" s="3"/>
      <c r="P934" s="3"/>
      <c r="Q934" s="3"/>
      <c r="R934" s="3"/>
      <c r="V934" s="3"/>
      <c r="X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K935" s="3"/>
      <c r="L935" s="3"/>
      <c r="M935" s="3"/>
      <c r="N935" s="3"/>
      <c r="O935" s="3"/>
      <c r="P935" s="3"/>
      <c r="Q935" s="3"/>
      <c r="R935" s="3"/>
      <c r="V935" s="3"/>
      <c r="X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K936" s="3"/>
      <c r="L936" s="3"/>
      <c r="M936" s="3"/>
      <c r="N936" s="3"/>
      <c r="O936" s="3"/>
      <c r="P936" s="3"/>
      <c r="Q936" s="3"/>
      <c r="R936" s="3"/>
      <c r="V936" s="3"/>
      <c r="X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K937" s="3"/>
      <c r="L937" s="3"/>
      <c r="M937" s="3"/>
      <c r="N937" s="3"/>
      <c r="O937" s="3"/>
      <c r="P937" s="3"/>
      <c r="Q937" s="3"/>
      <c r="R937" s="3"/>
      <c r="V937" s="3"/>
      <c r="X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K938" s="3"/>
      <c r="L938" s="3"/>
      <c r="M938" s="3"/>
      <c r="N938" s="3"/>
      <c r="O938" s="3"/>
      <c r="P938" s="3"/>
      <c r="Q938" s="3"/>
      <c r="R938" s="3"/>
      <c r="V938" s="3"/>
      <c r="X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K939" s="3"/>
      <c r="L939" s="3"/>
      <c r="M939" s="3"/>
      <c r="N939" s="3"/>
      <c r="O939" s="3"/>
      <c r="P939" s="3"/>
      <c r="Q939" s="3"/>
      <c r="R939" s="3"/>
      <c r="V939" s="3"/>
      <c r="X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K940" s="3"/>
      <c r="L940" s="3"/>
      <c r="M940" s="3"/>
      <c r="N940" s="3"/>
      <c r="O940" s="3"/>
      <c r="P940" s="3"/>
      <c r="Q940" s="3"/>
      <c r="R940" s="3"/>
      <c r="V940" s="3"/>
      <c r="X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K941" s="3"/>
      <c r="L941" s="3"/>
      <c r="M941" s="3"/>
      <c r="N941" s="3"/>
      <c r="O941" s="3"/>
      <c r="P941" s="3"/>
      <c r="Q941" s="3"/>
      <c r="R941" s="3"/>
      <c r="V941" s="3"/>
      <c r="X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K942" s="3"/>
      <c r="L942" s="3"/>
      <c r="M942" s="3"/>
      <c r="N942" s="3"/>
      <c r="O942" s="3"/>
      <c r="P942" s="3"/>
      <c r="Q942" s="3"/>
      <c r="R942" s="3"/>
      <c r="V942" s="3"/>
      <c r="X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K943" s="3"/>
      <c r="L943" s="3"/>
      <c r="M943" s="3"/>
      <c r="N943" s="3"/>
      <c r="O943" s="3"/>
      <c r="P943" s="3"/>
      <c r="Q943" s="3"/>
      <c r="R943" s="3"/>
      <c r="V943" s="3"/>
      <c r="X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K944" s="3"/>
      <c r="L944" s="3"/>
      <c r="M944" s="3"/>
      <c r="N944" s="3"/>
      <c r="O944" s="3"/>
      <c r="P944" s="3"/>
      <c r="Q944" s="3"/>
      <c r="R944" s="3"/>
      <c r="V944" s="3"/>
      <c r="X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K945" s="3"/>
      <c r="L945" s="3"/>
      <c r="M945" s="3"/>
      <c r="N945" s="3"/>
      <c r="O945" s="3"/>
      <c r="P945" s="3"/>
      <c r="Q945" s="3"/>
      <c r="R945" s="3"/>
      <c r="V945" s="3"/>
      <c r="X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K946" s="3"/>
      <c r="L946" s="3"/>
      <c r="M946" s="3"/>
      <c r="N946" s="3"/>
      <c r="O946" s="3"/>
      <c r="P946" s="3"/>
      <c r="Q946" s="3"/>
      <c r="R946" s="3"/>
      <c r="V946" s="3"/>
      <c r="X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K947" s="3"/>
      <c r="L947" s="3"/>
      <c r="M947" s="3"/>
      <c r="N947" s="3"/>
      <c r="O947" s="3"/>
      <c r="P947" s="3"/>
      <c r="Q947" s="3"/>
      <c r="R947" s="3"/>
      <c r="V947" s="3"/>
      <c r="X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K948" s="3"/>
      <c r="L948" s="3"/>
      <c r="M948" s="3"/>
      <c r="N948" s="3"/>
      <c r="O948" s="3"/>
      <c r="P948" s="3"/>
      <c r="Q948" s="3"/>
      <c r="R948" s="3"/>
      <c r="V948" s="3"/>
      <c r="X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K949" s="3"/>
      <c r="L949" s="3"/>
      <c r="M949" s="3"/>
      <c r="N949" s="3"/>
      <c r="O949" s="3"/>
      <c r="P949" s="3"/>
      <c r="Q949" s="3"/>
      <c r="R949" s="3"/>
      <c r="V949" s="3"/>
      <c r="X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K950" s="3"/>
      <c r="L950" s="3"/>
      <c r="M950" s="3"/>
      <c r="N950" s="3"/>
      <c r="O950" s="3"/>
      <c r="P950" s="3"/>
      <c r="Q950" s="3"/>
      <c r="R950" s="3"/>
      <c r="V950" s="3"/>
      <c r="X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K951" s="3"/>
      <c r="L951" s="3"/>
      <c r="M951" s="3"/>
      <c r="N951" s="3"/>
      <c r="O951" s="3"/>
      <c r="P951" s="3"/>
      <c r="Q951" s="3"/>
      <c r="R951" s="3"/>
      <c r="V951" s="3"/>
      <c r="X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K952" s="3"/>
      <c r="L952" s="3"/>
      <c r="M952" s="3"/>
      <c r="N952" s="3"/>
      <c r="O952" s="3"/>
      <c r="P952" s="3"/>
      <c r="Q952" s="3"/>
      <c r="R952" s="3"/>
      <c r="V952" s="3"/>
      <c r="X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K953" s="3"/>
      <c r="L953" s="3"/>
      <c r="M953" s="3"/>
      <c r="N953" s="3"/>
      <c r="O953" s="3"/>
      <c r="P953" s="3"/>
      <c r="Q953" s="3"/>
      <c r="R953" s="3"/>
      <c r="V953" s="3"/>
      <c r="X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K954" s="3"/>
      <c r="L954" s="3"/>
      <c r="M954" s="3"/>
      <c r="N954" s="3"/>
      <c r="O954" s="3"/>
      <c r="P954" s="3"/>
      <c r="Q954" s="3"/>
      <c r="R954" s="3"/>
      <c r="V954" s="3"/>
      <c r="X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K955" s="3"/>
      <c r="L955" s="3"/>
      <c r="M955" s="3"/>
      <c r="N955" s="3"/>
      <c r="O955" s="3"/>
      <c r="P955" s="3"/>
      <c r="Q955" s="3"/>
      <c r="R955" s="3"/>
      <c r="V955" s="3"/>
      <c r="X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K956" s="3"/>
      <c r="L956" s="3"/>
      <c r="M956" s="3"/>
      <c r="N956" s="3"/>
      <c r="O956" s="3"/>
      <c r="P956" s="3"/>
      <c r="Q956" s="3"/>
      <c r="R956" s="3"/>
      <c r="V956" s="3"/>
      <c r="X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K957" s="3"/>
      <c r="L957" s="3"/>
      <c r="M957" s="3"/>
      <c r="N957" s="3"/>
      <c r="O957" s="3"/>
      <c r="P957" s="3"/>
      <c r="Q957" s="3"/>
      <c r="R957" s="3"/>
      <c r="V957" s="3"/>
      <c r="X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K958" s="3"/>
      <c r="L958" s="3"/>
      <c r="M958" s="3"/>
      <c r="N958" s="3"/>
      <c r="O958" s="3"/>
      <c r="P958" s="3"/>
      <c r="Q958" s="3"/>
      <c r="R958" s="3"/>
      <c r="V958" s="3"/>
      <c r="X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K959" s="3"/>
      <c r="L959" s="3"/>
      <c r="M959" s="3"/>
      <c r="N959" s="3"/>
      <c r="O959" s="3"/>
      <c r="P959" s="3"/>
      <c r="Q959" s="3"/>
      <c r="R959" s="3"/>
      <c r="V959" s="3"/>
      <c r="X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K960" s="3"/>
      <c r="L960" s="3"/>
      <c r="M960" s="3"/>
      <c r="N960" s="3"/>
      <c r="O960" s="3"/>
      <c r="P960" s="3"/>
      <c r="Q960" s="3"/>
      <c r="R960" s="3"/>
      <c r="V960" s="3"/>
      <c r="X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K961" s="3"/>
      <c r="L961" s="3"/>
      <c r="M961" s="3"/>
      <c r="N961" s="3"/>
      <c r="O961" s="3"/>
      <c r="P961" s="3"/>
      <c r="Q961" s="3"/>
      <c r="R961" s="3"/>
      <c r="V961" s="3"/>
      <c r="X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K962" s="3"/>
      <c r="L962" s="3"/>
      <c r="M962" s="3"/>
      <c r="N962" s="3"/>
      <c r="O962" s="3"/>
      <c r="P962" s="3"/>
      <c r="Q962" s="3"/>
      <c r="R962" s="3"/>
      <c r="V962" s="3"/>
      <c r="X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K963" s="3"/>
      <c r="L963" s="3"/>
      <c r="M963" s="3"/>
      <c r="N963" s="3"/>
      <c r="O963" s="3"/>
      <c r="P963" s="3"/>
      <c r="Q963" s="3"/>
      <c r="R963" s="3"/>
      <c r="V963" s="3"/>
      <c r="X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K964" s="3"/>
      <c r="L964" s="3"/>
      <c r="M964" s="3"/>
      <c r="N964" s="3"/>
      <c r="O964" s="3"/>
      <c r="P964" s="3"/>
      <c r="Q964" s="3"/>
      <c r="R964" s="3"/>
      <c r="V964" s="3"/>
      <c r="X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K965" s="3"/>
      <c r="L965" s="3"/>
      <c r="M965" s="3"/>
      <c r="N965" s="3"/>
      <c r="O965" s="3"/>
      <c r="P965" s="3"/>
      <c r="Q965" s="3"/>
      <c r="R965" s="3"/>
      <c r="V965" s="3"/>
      <c r="X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K966" s="3"/>
      <c r="L966" s="3"/>
      <c r="M966" s="3"/>
      <c r="N966" s="3"/>
      <c r="O966" s="3"/>
      <c r="P966" s="3"/>
      <c r="Q966" s="3"/>
      <c r="R966" s="3"/>
      <c r="V966" s="3"/>
      <c r="X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K967" s="3"/>
      <c r="L967" s="3"/>
      <c r="M967" s="3"/>
      <c r="N967" s="3"/>
      <c r="O967" s="3"/>
      <c r="P967" s="3"/>
      <c r="Q967" s="3"/>
      <c r="R967" s="3"/>
      <c r="V967" s="3"/>
      <c r="X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K968" s="3"/>
      <c r="L968" s="3"/>
      <c r="M968" s="3"/>
      <c r="N968" s="3"/>
      <c r="O968" s="3"/>
      <c r="P968" s="3"/>
      <c r="Q968" s="3"/>
      <c r="R968" s="3"/>
      <c r="V968" s="3"/>
      <c r="X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K969" s="3"/>
      <c r="L969" s="3"/>
      <c r="M969" s="3"/>
      <c r="N969" s="3"/>
      <c r="O969" s="3"/>
      <c r="P969" s="3"/>
      <c r="Q969" s="3"/>
      <c r="R969" s="3"/>
      <c r="V969" s="3"/>
      <c r="X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K970" s="3"/>
      <c r="L970" s="3"/>
      <c r="M970" s="3"/>
      <c r="N970" s="3"/>
      <c r="O970" s="3"/>
      <c r="P970" s="3"/>
      <c r="Q970" s="3"/>
      <c r="R970" s="3"/>
      <c r="V970" s="3"/>
      <c r="X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K971" s="3"/>
      <c r="L971" s="3"/>
      <c r="M971" s="3"/>
      <c r="N971" s="3"/>
      <c r="O971" s="3"/>
      <c r="P971" s="3"/>
      <c r="Q971" s="3"/>
      <c r="R971" s="3"/>
      <c r="V971" s="3"/>
      <c r="X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K972" s="3"/>
      <c r="L972" s="3"/>
      <c r="M972" s="3"/>
      <c r="N972" s="3"/>
      <c r="O972" s="3"/>
      <c r="P972" s="3"/>
      <c r="Q972" s="3"/>
      <c r="R972" s="3"/>
      <c r="V972" s="3"/>
      <c r="X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K973" s="3"/>
      <c r="L973" s="3"/>
      <c r="M973" s="3"/>
      <c r="N973" s="3"/>
      <c r="O973" s="3"/>
      <c r="P973" s="3"/>
      <c r="Q973" s="3"/>
      <c r="R973" s="3"/>
      <c r="V973" s="3"/>
      <c r="X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K974" s="3"/>
      <c r="L974" s="3"/>
      <c r="M974" s="3"/>
      <c r="N974" s="3"/>
      <c r="O974" s="3"/>
      <c r="P974" s="3"/>
      <c r="Q974" s="3"/>
      <c r="R974" s="3"/>
      <c r="V974" s="3"/>
      <c r="X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K975" s="3"/>
      <c r="L975" s="3"/>
      <c r="M975" s="3"/>
      <c r="N975" s="3"/>
      <c r="O975" s="3"/>
      <c r="P975" s="3"/>
      <c r="Q975" s="3"/>
      <c r="R975" s="3"/>
      <c r="V975" s="3"/>
      <c r="X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K976" s="3"/>
      <c r="L976" s="3"/>
      <c r="M976" s="3"/>
      <c r="N976" s="3"/>
      <c r="O976" s="3"/>
      <c r="P976" s="3"/>
      <c r="Q976" s="3"/>
      <c r="R976" s="3"/>
      <c r="V976" s="3"/>
      <c r="X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K977" s="3"/>
      <c r="L977" s="3"/>
      <c r="M977" s="3"/>
      <c r="N977" s="3"/>
      <c r="O977" s="3"/>
      <c r="P977" s="3"/>
      <c r="Q977" s="3"/>
      <c r="R977" s="3"/>
      <c r="V977" s="3"/>
      <c r="X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K978" s="3"/>
      <c r="L978" s="3"/>
      <c r="M978" s="3"/>
      <c r="N978" s="3"/>
      <c r="O978" s="3"/>
      <c r="P978" s="3"/>
      <c r="Q978" s="3"/>
      <c r="R978" s="3"/>
      <c r="V978" s="3"/>
      <c r="X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K979" s="3"/>
      <c r="L979" s="3"/>
      <c r="M979" s="3"/>
      <c r="N979" s="3"/>
      <c r="O979" s="3"/>
      <c r="P979" s="3"/>
      <c r="Q979" s="3"/>
      <c r="R979" s="3"/>
      <c r="V979" s="3"/>
      <c r="X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K980" s="3"/>
      <c r="L980" s="3"/>
      <c r="M980" s="3"/>
      <c r="N980" s="3"/>
      <c r="O980" s="3"/>
      <c r="P980" s="3"/>
      <c r="Q980" s="3"/>
      <c r="R980" s="3"/>
      <c r="V980" s="3"/>
      <c r="X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K981" s="3"/>
      <c r="L981" s="3"/>
      <c r="M981" s="3"/>
      <c r="N981" s="3"/>
      <c r="O981" s="3"/>
      <c r="P981" s="3"/>
      <c r="Q981" s="3"/>
      <c r="R981" s="3"/>
      <c r="V981" s="3"/>
      <c r="X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K982" s="3"/>
      <c r="L982" s="3"/>
      <c r="M982" s="3"/>
      <c r="N982" s="3"/>
      <c r="O982" s="3"/>
      <c r="P982" s="3"/>
      <c r="Q982" s="3"/>
      <c r="R982" s="3"/>
      <c r="V982" s="3"/>
      <c r="X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K983" s="3"/>
      <c r="L983" s="3"/>
      <c r="M983" s="3"/>
      <c r="N983" s="3"/>
      <c r="O983" s="3"/>
      <c r="P983" s="3"/>
      <c r="Q983" s="3"/>
      <c r="R983" s="3"/>
      <c r="V983" s="3"/>
      <c r="X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K984" s="3"/>
      <c r="L984" s="3"/>
      <c r="M984" s="3"/>
      <c r="N984" s="3"/>
      <c r="O984" s="3"/>
      <c r="P984" s="3"/>
      <c r="Q984" s="3"/>
      <c r="R984" s="3"/>
      <c r="V984" s="3"/>
      <c r="X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K985" s="3"/>
      <c r="L985" s="3"/>
      <c r="M985" s="3"/>
      <c r="N985" s="3"/>
      <c r="O985" s="3"/>
      <c r="P985" s="3"/>
      <c r="Q985" s="3"/>
      <c r="R985" s="3"/>
      <c r="V985" s="3"/>
      <c r="X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K986" s="3"/>
      <c r="L986" s="3"/>
      <c r="M986" s="3"/>
      <c r="N986" s="3"/>
      <c r="O986" s="3"/>
      <c r="P986" s="3"/>
      <c r="Q986" s="3"/>
      <c r="R986" s="3"/>
      <c r="V986" s="3"/>
      <c r="X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K987" s="3"/>
      <c r="L987" s="3"/>
      <c r="M987" s="3"/>
      <c r="N987" s="3"/>
      <c r="O987" s="3"/>
      <c r="P987" s="3"/>
      <c r="Q987" s="3"/>
      <c r="R987" s="3"/>
      <c r="V987" s="3"/>
      <c r="X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K988" s="3"/>
      <c r="L988" s="3"/>
      <c r="M988" s="3"/>
      <c r="N988" s="3"/>
      <c r="O988" s="3"/>
      <c r="P988" s="3"/>
      <c r="Q988" s="3"/>
      <c r="R988" s="3"/>
      <c r="V988" s="3"/>
      <c r="X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K989" s="3"/>
      <c r="L989" s="3"/>
      <c r="M989" s="3"/>
      <c r="N989" s="3"/>
      <c r="O989" s="3"/>
      <c r="P989" s="3"/>
      <c r="Q989" s="3"/>
      <c r="R989" s="3"/>
      <c r="V989" s="3"/>
      <c r="X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K990" s="3"/>
      <c r="L990" s="3"/>
      <c r="M990" s="3"/>
      <c r="N990" s="3"/>
      <c r="O990" s="3"/>
      <c r="P990" s="3"/>
      <c r="Q990" s="3"/>
      <c r="R990" s="3"/>
      <c r="V990" s="3"/>
      <c r="X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K991" s="3"/>
      <c r="L991" s="3"/>
      <c r="M991" s="3"/>
      <c r="N991" s="3"/>
      <c r="O991" s="3"/>
      <c r="P991" s="3"/>
      <c r="Q991" s="3"/>
      <c r="R991" s="3"/>
      <c r="V991" s="3"/>
      <c r="X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K992" s="3"/>
      <c r="L992" s="3"/>
      <c r="M992" s="3"/>
      <c r="N992" s="3"/>
      <c r="O992" s="3"/>
      <c r="P992" s="3"/>
      <c r="Q992" s="3"/>
      <c r="R992" s="3"/>
      <c r="V992" s="3"/>
      <c r="X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K993" s="3"/>
      <c r="L993" s="3"/>
      <c r="M993" s="3"/>
      <c r="N993" s="3"/>
      <c r="O993" s="3"/>
      <c r="P993" s="3"/>
      <c r="Q993" s="3"/>
      <c r="R993" s="3"/>
      <c r="V993" s="3"/>
      <c r="X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K994" s="3"/>
      <c r="L994" s="3"/>
      <c r="M994" s="3"/>
      <c r="N994" s="3"/>
      <c r="O994" s="3"/>
      <c r="P994" s="3"/>
      <c r="Q994" s="3"/>
      <c r="R994" s="3"/>
      <c r="V994" s="3"/>
      <c r="X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K995" s="3"/>
      <c r="L995" s="3"/>
      <c r="M995" s="3"/>
      <c r="N995" s="3"/>
      <c r="O995" s="3"/>
      <c r="P995" s="3"/>
      <c r="Q995" s="3"/>
      <c r="R995" s="3"/>
      <c r="V995" s="3"/>
      <c r="X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K996" s="3"/>
      <c r="L996" s="3"/>
      <c r="M996" s="3"/>
      <c r="N996" s="3"/>
      <c r="O996" s="3"/>
      <c r="P996" s="3"/>
      <c r="Q996" s="3"/>
      <c r="R996" s="3"/>
      <c r="V996" s="3"/>
      <c r="X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K997" s="3"/>
      <c r="L997" s="3"/>
      <c r="M997" s="3"/>
      <c r="N997" s="3"/>
      <c r="O997" s="3"/>
      <c r="P997" s="3"/>
      <c r="Q997" s="3"/>
      <c r="R997" s="3"/>
      <c r="V997" s="3"/>
      <c r="X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K998" s="3"/>
      <c r="L998" s="3"/>
      <c r="M998" s="3"/>
      <c r="N998" s="3"/>
      <c r="O998" s="3"/>
      <c r="P998" s="3"/>
      <c r="Q998" s="3"/>
      <c r="R998" s="3"/>
      <c r="V998" s="3"/>
      <c r="X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K999" s="3"/>
      <c r="L999" s="3"/>
      <c r="M999" s="3"/>
      <c r="N999" s="3"/>
      <c r="O999" s="3"/>
      <c r="P999" s="3"/>
      <c r="Q999" s="3"/>
      <c r="R999" s="3"/>
      <c r="V999" s="3"/>
      <c r="X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K1000" s="3"/>
      <c r="L1000" s="3"/>
      <c r="M1000" s="3"/>
      <c r="N1000" s="3"/>
      <c r="O1000" s="3"/>
      <c r="P1000" s="3"/>
      <c r="Q1000" s="3"/>
      <c r="R1000" s="3"/>
      <c r="V1000" s="3"/>
      <c r="X1000" s="3"/>
    </row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  <dc:creator>openpyxl</dc:creator>
</cp:coreProperties>
</file>