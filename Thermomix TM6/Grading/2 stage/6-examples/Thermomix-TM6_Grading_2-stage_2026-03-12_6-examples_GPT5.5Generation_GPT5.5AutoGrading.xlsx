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hermomix TM6/Grading/2 stage/6-examples/"/>
    </mc:Choice>
  </mc:AlternateContent>
  <xr:revisionPtr revIDLastSave="0" documentId="8_{78A42806-9850-8C49-9479-AC0239B58439}" xr6:coauthVersionLast="47" xr6:coauthVersionMax="47" xr10:uidLastSave="{00000000-0000-0000-0000-000000000000}"/>
  <bookViews>
    <workbookView xWindow="16180" yWindow="-21000" windowWidth="38400" windowHeight="21000" activeTab="2" xr2:uid="{00000000-000D-0000-FFFF-FFFF00000000}"/>
  </bookViews>
  <sheets>
    <sheet name="Thermonix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F8" i="3" l="1"/>
  <c r="G3" i="3"/>
  <c r="F6" i="3"/>
  <c r="G9" i="3"/>
  <c r="G5" i="3"/>
  <c r="B10" i="3"/>
  <c r="E10" i="3"/>
  <c r="G4" i="3"/>
  <c r="G7" i="3"/>
  <c r="F4" i="3"/>
  <c r="H4" i="3" s="1"/>
  <c r="G8" i="3"/>
  <c r="H8" i="3" s="1"/>
  <c r="F7" i="3"/>
  <c r="D10" i="3"/>
  <c r="C10" i="3"/>
  <c r="F10" i="3" s="1"/>
  <c r="G6" i="3"/>
  <c r="H6" i="3" s="1"/>
  <c r="F9" i="3"/>
  <c r="H9" i="3" s="1"/>
  <c r="F5" i="3"/>
  <c r="H5" i="3" s="1"/>
  <c r="F3" i="3"/>
  <c r="H3" i="3" s="1"/>
  <c r="H7" i="3" l="1"/>
  <c r="G10" i="3"/>
  <c r="H10" i="3" s="1"/>
</calcChain>
</file>

<file path=xl/sharedStrings.xml><?xml version="1.0" encoding="utf-8"?>
<sst xmlns="http://schemas.openxmlformats.org/spreadsheetml/2006/main" count="279" uniqueCount="115">
  <si>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</si>
  <si>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</si>
  <si>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</si>
  <si>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</si>
  <si>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</si>
  <si>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</si>
  <si>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</si>
  <si>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</si>
  <si>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</si>
  <si>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</si>
  <si>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</si>
  <si>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</si>
  <si>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</si>
  <si>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</si>
  <si>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</si>
  <si>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</si>
  <si>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</si>
  <si>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</si>
  <si>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</si>
  <si>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</si>
  <si>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</si>
  <si>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</si>
  <si>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</si>
  <si>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</si>
  <si>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</si>
  <si>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</si>
  <si>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</si>
  <si>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</si>
  <si>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</si>
  <si>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</si>
  <si>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</si>
  <si>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</si>
  <si>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</si>
  <si>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</si>
  <si>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</si>
  <si>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</si>
  <si>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</si>
  <si>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</si>
  <si>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</si>
  <si>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</si>
  <si>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</si>
  <si>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</si>
  <si>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</si>
  <si>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</si>
  <si>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</si>
  <si>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</si>
  <si>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</si>
  <si>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</si>
  <si>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</si>
  <si>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GPT-5</t>
  </si>
  <si>
    <t>Notes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</si>
  <si>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</si>
  <si>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</si>
  <si>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</si>
  <si>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</si>
  <si>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</si>
  <si>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</si>
  <si>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</si>
  <si>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</si>
  <si>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</si>
  <si>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</si>
  <si>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</si>
  <si>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</si>
  <si>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</si>
  <si>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Initial pseudostate transitions to TransportationMode.</t>
  </si>
  <si>
    <t>TransportationMode is explicitly modeled.</t>
  </si>
  <si>
    <t>selectorPressed leaves transportation mode and enters On with deactivation action.</t>
  </si>
  <si>
    <t>Shutdown holding is represented by several HoldingFrom states rather than one common preparing off state.</t>
  </si>
  <si>
    <t>Short hold release returns to prior operating states in several cases but not as one general On history transition.</t>
  </si>
  <si>
    <t>After 5 seconds shows ShutdownMessage and only reaches Off after selectorReleased.</t>
  </si>
  <si>
    <t>Off state is explicitly modeled.</t>
  </si>
  <si>
    <t>selectorPressed from Off to On is modeled.</t>
  </si>
  <si>
    <t>On is modeled as a composite state.</t>
  </si>
  <si>
    <t>A history-like H is used only inside RecipeExecution rather than as a general On history.</t>
  </si>
  <si>
    <t>selectorHeld is handled from On substates by transitions to holding states.</t>
  </si>
  <si>
    <t>bowlRemoved is modeled to cancel shutdown warning and to return from meal ready to home.</t>
  </si>
  <si>
    <t>On enters Operating and then Home initially.</t>
  </si>
  <si>
    <t>Home state is explicitly modeled.</t>
  </si>
  <si>
    <t>Inactivity after 14min30sec leads from Operating including Home to AutoShutdownWarning.</t>
  </si>
  <si>
    <t>Recipe start after recipe selection enters RecipeExecution with AddIngredients as the initial prompt.</t>
  </si>
  <si>
    <t>Start requires bowlPlaced which is equivalent to the bowl not being removed.</t>
  </si>
  <si>
    <t>Entering AddIngredients instructs ingredient addition and weighing.</t>
  </si>
  <si>
    <t>AutoShutdownWarning represents the final shutdown warning period.</t>
  </si>
  <si>
    <t>AutoShutdownWarning goes to Off after 30 seconds with powerOff.</t>
  </si>
  <si>
    <t>Cancel leaves warning to Operating which re-enters Home.</t>
  </si>
  <si>
    <t>AddIngredients represents prompting the user to add ingredients.</t>
  </si>
  <si>
    <t>No next self-transition for additional ingredients before chopping is modeled.</t>
  </si>
  <si>
    <t>The combined weight-correct and more-ingredients guard for repeating ingredient prompts is absent.</t>
  </si>
  <si>
    <t>Ingredient prompting occurs on AddIngredients entry but not on the expected self-transition.</t>
  </si>
  <si>
    <t>After correct amount is confirmed selecting next leads to Chopping.</t>
  </si>
  <si>
    <t>Correct amount is represented but the no-more-ingredients condition is not explicit.</t>
  </si>
  <si>
    <t>Chopping entry starts chopping with recipe speed and time.</t>
  </si>
  <si>
    <t>Chopping state is explicitly modeled.</t>
  </si>
  <si>
    <t>There is no transition from Chopping back to AddIngredients for more ingredients.</t>
  </si>
  <si>
    <t>No guard combining chopping completion with more ingredients after chopping is modeled.</t>
  </si>
  <si>
    <t>No ingredient setup action occurs from the chopping completion path.</t>
  </si>
  <si>
    <t>After choppingDone the model waits for next and then enters Cooking.</t>
  </si>
  <si>
    <t>Chopping completion is represented but the no-more-ingredients condition is not explicit.</t>
  </si>
  <si>
    <t>Cooking entry starts cooking with recipe temperature and time.</t>
  </si>
  <si>
    <t>Cooking state is explicitly modeled.</t>
  </si>
  <si>
    <t>CookingDone with hasMoreRecipeSteps returns to AddIngredients for further recipe steps.</t>
  </si>
  <si>
    <t>cookingDone with hasMoreRecipeSteps captures completion of the timed step and need for more ingredients.</t>
  </si>
  <si>
    <t>Returning to AddIngredients triggers ingredient instructions for the next step.</t>
  </si>
  <si>
    <t>CookingDone on the last step transitions to MealReady.</t>
  </si>
  <si>
    <t>isLastRecipeStep is equivalent to no further ingredients or steps required.</t>
  </si>
  <si>
    <t>MealReady represents the ready-to-serve state.</t>
  </si>
  <si>
    <t>The Operating inactivity transition also applies while in MealReady.</t>
  </si>
  <si>
    <t>Extra states add reasonable detail such as selection and shutdown messages.</t>
  </si>
  <si>
    <t>Extra transitions are reasonable refinements and do not contradict the description.</t>
  </si>
  <si>
    <t>Extra guards such as bowlPlaced and heldLessThan5sec are appropriate.</t>
  </si>
  <si>
    <t>Extra actions are descriptive prompts or timer controls consistent with behavior.</t>
  </si>
  <si>
    <t>Additional composite structure is a reasonable decomposition.</t>
  </si>
  <si>
    <t>No incorrect additional regions are present.</t>
  </si>
  <si>
    <t>The extra H usage is intended as a reasonable history-like return mechanism.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</si>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</sst>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37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0" borderId="0" xfId="0" applyFont="1" applyBorder="1"/>
    <xf numFmtId="0" fontId="5" fillId="7" borderId="0" xfId="0" applyFont="1" applyFill="1" applyBorder="1"/>
    <xf numFmtId="0" fontId="1" fillId="6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vertical="center" wrapText="1"/>
    </xf>
    <xf numFmtId="0" fontId="3" fillId="0" borderId="4" xfId="0" applyFont="1" applyBorder="1"/>
    <xf numFmtId="0" fontId="2" fillId="0" borderId="4" xfId="0" applyFont="1" applyBorder="1"/>
    <xf numFmtId="0" fontId="1" fillId="0" borderId="4" xfId="0" applyFont="1" applyBorder="1"/>
    <xf numFmtId="0" fontId="2" fillId="0" borderId="2" xfId="0" applyFont="1" applyBorder="1"/>
    <xf numFmtId="0" fontId="0" fillId="10" borderId="0" xfId="0" applyFill="1" applyBorder="1"/>
    <xf numFmtId="0" fontId="7" fillId="9" borderId="0" xfId="0" applyFont="1" applyFill="1" applyBorder="1"/>
    <xf numFmtId="0" fontId="3" fillId="3" borderId="0" xfId="0" applyFont="1" applyFill="1" applyBorder="1"/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1">
  <tableColumns count="2">
    <tableColumn id="1" xr3:uid="{00000000-0010-0000-0000-000001000000}" name="Type"/>
    <tableColumn id="2" xr3:uid="{00000000-0010-0000-0000-000002000000}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1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PT-5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22" width="10.6640625" customWidth="1"/>
  </cols>
  <sheetData>
    <row r="1" spans="1:22" ht="12.75" customHeight="1" x14ac:dyDescent="0.15">
      <c r="A1" s="1" t="s">
        <v>0</v>
      </c>
      <c r="B1" s="2" t="s">
        <v>1</v>
      </c>
    </row>
    <row r="2" spans="1:22" ht="12.75" customHeight="1" x14ac:dyDescent="0.15">
      <c r="A2" s="3" t="s">
        <v>2</v>
      </c>
      <c r="B2" s="4" t="s">
        <v>3</v>
      </c>
    </row>
    <row r="3" spans="1:22" ht="12.75" customHeight="1" x14ac:dyDescent="0.15">
      <c r="A3" s="3" t="s">
        <v>2</v>
      </c>
      <c r="B3" s="4" t="s">
        <v>4</v>
      </c>
    </row>
    <row r="4" spans="1:22" ht="12.75" customHeight="1" x14ac:dyDescent="0.15">
      <c r="A4" s="3" t="s">
        <v>5</v>
      </c>
      <c r="B4" s="4" t="s">
        <v>6</v>
      </c>
    </row>
    <row r="5" spans="1:22" ht="12.75" customHeight="1" x14ac:dyDescent="0.15">
      <c r="A5" s="3" t="s">
        <v>2</v>
      </c>
      <c r="B5" s="4" t="s">
        <v>7</v>
      </c>
    </row>
    <row r="6" spans="1:22" ht="12.75" customHeight="1" x14ac:dyDescent="0.15">
      <c r="A6" s="3" t="s">
        <v>5</v>
      </c>
      <c r="B6" s="4" t="s">
        <v>8</v>
      </c>
    </row>
    <row r="7" spans="1:22" ht="12.75" customHeight="1" x14ac:dyDescent="0.15">
      <c r="A7" s="3" t="s">
        <v>5</v>
      </c>
      <c r="B7" s="4" t="s">
        <v>9</v>
      </c>
    </row>
    <row r="8" spans="1:22" ht="12.75" customHeight="1" x14ac:dyDescent="0.15">
      <c r="A8" s="3" t="s">
        <v>2</v>
      </c>
      <c r="B8" s="4" t="s">
        <v>10</v>
      </c>
    </row>
    <row r="9" spans="1:22" ht="12.75" customHeight="1" x14ac:dyDescent="0.15">
      <c r="A9" s="3" t="s">
        <v>5</v>
      </c>
      <c r="B9" s="4" t="s">
        <v>11</v>
      </c>
    </row>
    <row r="10" spans="1:22" ht="12.75" customHeight="1" x14ac:dyDescent="0.15">
      <c r="A10" s="3" t="s">
        <v>12</v>
      </c>
      <c r="B10" s="4" t="s">
        <v>13</v>
      </c>
    </row>
    <row r="11" spans="1:22" ht="12.75" customHeight="1" x14ac:dyDescent="0.15">
      <c r="A11" s="3" t="s">
        <v>14</v>
      </c>
      <c r="B11" s="4" t="s">
        <v>15</v>
      </c>
    </row>
    <row r="12" spans="1:22" ht="12.75" customHeight="1" x14ac:dyDescent="0.15">
      <c r="A12" s="3" t="s">
        <v>5</v>
      </c>
      <c r="B12" s="4" t="s">
        <v>16</v>
      </c>
    </row>
    <row r="13" spans="1:22" ht="12.75" customHeight="1" x14ac:dyDescent="0.15">
      <c r="A13" s="3" t="s">
        <v>5</v>
      </c>
      <c r="B13" s="4" t="s">
        <v>17</v>
      </c>
    </row>
    <row r="14" spans="1:22" ht="12.75" customHeight="1" x14ac:dyDescent="0.15">
      <c r="A14" s="3" t="s">
        <v>2</v>
      </c>
      <c r="B14" s="4" t="s">
        <v>18</v>
      </c>
    </row>
    <row r="15" spans="1:22" ht="12.75" customHeight="1" x14ac:dyDescent="0.15">
      <c r="A15" s="3" t="s">
        <v>2</v>
      </c>
      <c r="B15" s="4" t="s">
        <v>19</v>
      </c>
    </row>
    <row r="16" spans="1:22" ht="15" customHeight="1" x14ac:dyDescent="0.15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</row>
    <row r="18" spans="1:22" ht="12.75" customHeight="1" x14ac:dyDescent="0.15">
      <c r="A18" s="3" t="s">
        <v>22</v>
      </c>
      <c r="B18" s="4" t="s">
        <v>23</v>
      </c>
    </row>
    <row r="19" spans="1:22" ht="12.75" customHeight="1" x14ac:dyDescent="0.15">
      <c r="A19" s="6" t="s">
        <v>24</v>
      </c>
      <c r="B19" s="7" t="s">
        <v>25</v>
      </c>
    </row>
    <row r="20" spans="1:22" ht="12.75" customHeight="1" x14ac:dyDescent="0.15">
      <c r="A20" s="3" t="s">
        <v>2</v>
      </c>
      <c r="B20" s="4" t="s">
        <v>26</v>
      </c>
    </row>
    <row r="21" spans="1:22" ht="12.75" customHeight="1" x14ac:dyDescent="0.15">
      <c r="A21" s="3" t="s">
        <v>5</v>
      </c>
      <c r="B21" s="4" t="s">
        <v>27</v>
      </c>
    </row>
    <row r="22" spans="1:22" ht="12.75" customHeight="1" x14ac:dyDescent="0.15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</row>
    <row r="24" spans="1:22" ht="12.75" customHeight="1" x14ac:dyDescent="0.15">
      <c r="A24" s="3" t="s">
        <v>5</v>
      </c>
      <c r="B24" s="4" t="s">
        <v>30</v>
      </c>
    </row>
    <row r="25" spans="1:22" ht="13" customHeight="1" x14ac:dyDescent="0.15">
      <c r="A25" s="3" t="s">
        <v>22</v>
      </c>
      <c r="B25" s="4" t="s">
        <v>31</v>
      </c>
    </row>
    <row r="26" spans="1:22" ht="12.75" customHeight="1" x14ac:dyDescent="0.15">
      <c r="A26" s="3" t="s">
        <v>24</v>
      </c>
      <c r="B26" s="4" t="s">
        <v>25</v>
      </c>
    </row>
    <row r="27" spans="1:22" ht="12.75" customHeight="1" x14ac:dyDescent="0.15">
      <c r="A27" s="3" t="s">
        <v>5</v>
      </c>
      <c r="B27" s="4" t="s">
        <v>32</v>
      </c>
    </row>
    <row r="28" spans="1:22" ht="12.75" customHeight="1" x14ac:dyDescent="0.15">
      <c r="A28" s="3" t="s">
        <v>22</v>
      </c>
      <c r="B28" s="4" t="s">
        <v>33</v>
      </c>
    </row>
    <row r="29" spans="1:22" ht="12.75" customHeight="1" x14ac:dyDescent="0.15">
      <c r="A29" s="3" t="s">
        <v>24</v>
      </c>
      <c r="B29" s="4" t="s">
        <v>34</v>
      </c>
    </row>
    <row r="30" spans="1:22" ht="12.75" customHeight="1" x14ac:dyDescent="0.15">
      <c r="A30" s="3" t="s">
        <v>2</v>
      </c>
      <c r="B30" s="4" t="s">
        <v>35</v>
      </c>
    </row>
    <row r="31" spans="1:22" ht="12.75" customHeight="1" x14ac:dyDescent="0.15">
      <c r="A31" s="3" t="s">
        <v>5</v>
      </c>
      <c r="B31" s="4" t="s">
        <v>36</v>
      </c>
    </row>
    <row r="32" spans="1:22" ht="12.75" customHeight="1" x14ac:dyDescent="0.15">
      <c r="A32" s="3" t="s">
        <v>22</v>
      </c>
      <c r="B32" s="4" t="s">
        <v>37</v>
      </c>
    </row>
    <row r="33" spans="1:22" ht="12.75" customHeight="1" x14ac:dyDescent="0.15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</row>
    <row r="35" spans="1:22" ht="15" customHeight="1" x14ac:dyDescent="0.15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</row>
    <row r="46" spans="1:22" ht="12.75" customHeight="1" x14ac:dyDescent="0.15">
      <c r="A46" s="12" t="s">
        <v>5</v>
      </c>
      <c r="B46" s="13" t="s">
        <v>47</v>
      </c>
    </row>
    <row r="47" spans="1:22" ht="12.75" customHeight="1" x14ac:dyDescent="0.15">
      <c r="A47" s="3" t="s">
        <v>22</v>
      </c>
      <c r="B47" s="4" t="s">
        <v>47</v>
      </c>
    </row>
    <row r="48" spans="1:22" ht="12.75" customHeight="1" x14ac:dyDescent="0.15">
      <c r="A48" s="12" t="s">
        <v>24</v>
      </c>
      <c r="B48" s="13" t="s">
        <v>47</v>
      </c>
    </row>
    <row r="49" spans="1:2" ht="12.75" customHeight="1" x14ac:dyDescent="0.15">
      <c r="A49" s="3" t="s">
        <v>12</v>
      </c>
      <c r="B49" s="4" t="s">
        <v>47</v>
      </c>
    </row>
    <row r="50" spans="1:2" ht="12.75" customHeight="1" x14ac:dyDescent="0.15">
      <c r="A50" s="12" t="s">
        <v>48</v>
      </c>
      <c r="B50" s="13" t="s">
        <v>47</v>
      </c>
    </row>
    <row r="51" spans="1:2" ht="12.75" customHeight="1" x14ac:dyDescent="0.15">
      <c r="A51" s="3" t="s">
        <v>14</v>
      </c>
      <c r="B51" s="4" t="s">
        <v>47</v>
      </c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workbookViewId="0">
      <selection activeCell="D37" sqref="D37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12.33203125" bestFit="1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49</v>
      </c>
      <c r="D1" s="14" t="s">
        <v>50</v>
      </c>
    </row>
    <row r="2" spans="1:22" ht="12.75" customHeight="1" x14ac:dyDescent="0.15">
      <c r="A2" s="3" t="s">
        <v>2</v>
      </c>
      <c r="B2" s="4" t="s">
        <v>3</v>
      </c>
      <c r="C2" s="15">
        <v>1</v>
      </c>
      <c r="D2" s="16" t="s">
        <v>64</v>
      </c>
    </row>
    <row r="3" spans="1:22" ht="12.75" customHeight="1" x14ac:dyDescent="0.15">
      <c r="A3" s="3" t="s">
        <v>2</v>
      </c>
      <c r="B3" s="4" t="s">
        <v>4</v>
      </c>
      <c r="C3" s="17">
        <v>1</v>
      </c>
      <c r="D3" s="18" t="s">
        <v>65</v>
      </c>
    </row>
    <row r="4" spans="1:22" ht="12.75" customHeight="1" x14ac:dyDescent="0.15">
      <c r="A4" s="3" t="s">
        <v>5</v>
      </c>
      <c r="B4" s="4" t="s">
        <v>6</v>
      </c>
      <c r="C4" s="15">
        <v>1</v>
      </c>
      <c r="D4" s="16" t="s">
        <v>66</v>
      </c>
    </row>
    <row r="5" spans="1:22" ht="12.75" customHeight="1" x14ac:dyDescent="0.15">
      <c r="A5" s="3" t="s">
        <v>2</v>
      </c>
      <c r="B5" s="4" t="s">
        <v>7</v>
      </c>
      <c r="C5" s="17">
        <v>0.5</v>
      </c>
      <c r="D5" s="18" t="s">
        <v>67</v>
      </c>
    </row>
    <row r="6" spans="1:22" ht="12.75" customHeight="1" x14ac:dyDescent="0.15">
      <c r="A6" s="3" t="s">
        <v>5</v>
      </c>
      <c r="B6" s="4" t="s">
        <v>8</v>
      </c>
      <c r="C6" s="15">
        <v>0.5</v>
      </c>
      <c r="D6" s="16" t="s">
        <v>68</v>
      </c>
    </row>
    <row r="7" spans="1:22" ht="12.75" customHeight="1" x14ac:dyDescent="0.15">
      <c r="A7" s="3" t="s">
        <v>5</v>
      </c>
      <c r="B7" s="4" t="s">
        <v>9</v>
      </c>
      <c r="C7" s="17">
        <v>0.5</v>
      </c>
      <c r="D7" s="18" t="s">
        <v>69</v>
      </c>
    </row>
    <row r="8" spans="1:22" ht="12.75" customHeight="1" x14ac:dyDescent="0.15">
      <c r="A8" s="3" t="s">
        <v>2</v>
      </c>
      <c r="B8" s="4" t="s">
        <v>10</v>
      </c>
      <c r="C8" s="15">
        <v>1</v>
      </c>
      <c r="D8" s="16" t="s">
        <v>70</v>
      </c>
    </row>
    <row r="9" spans="1:22" ht="12.75" customHeight="1" x14ac:dyDescent="0.15">
      <c r="A9" s="3" t="s">
        <v>5</v>
      </c>
      <c r="B9" s="4" t="s">
        <v>11</v>
      </c>
      <c r="C9" s="17">
        <v>1</v>
      </c>
      <c r="D9" s="18" t="s">
        <v>71</v>
      </c>
    </row>
    <row r="10" spans="1:22" ht="12.75" customHeight="1" x14ac:dyDescent="0.15">
      <c r="A10" s="3" t="s">
        <v>12</v>
      </c>
      <c r="B10" s="4" t="s">
        <v>13</v>
      </c>
      <c r="C10" s="15">
        <v>1</v>
      </c>
      <c r="D10" s="16" t="s">
        <v>72</v>
      </c>
    </row>
    <row r="11" spans="1:22" ht="12.75" customHeight="1" x14ac:dyDescent="0.15">
      <c r="A11" s="3" t="s">
        <v>14</v>
      </c>
      <c r="B11" s="4" t="s">
        <v>15</v>
      </c>
      <c r="C11" s="17">
        <v>0.5</v>
      </c>
      <c r="D11" s="18" t="s">
        <v>73</v>
      </c>
    </row>
    <row r="12" spans="1:22" ht="12.75" customHeight="1" x14ac:dyDescent="0.15">
      <c r="A12" s="3" t="s">
        <v>5</v>
      </c>
      <c r="B12" s="4" t="s">
        <v>16</v>
      </c>
      <c r="C12" s="15">
        <v>1</v>
      </c>
      <c r="D12" s="16" t="s">
        <v>74</v>
      </c>
    </row>
    <row r="13" spans="1:22" ht="12.75" customHeight="1" x14ac:dyDescent="0.15">
      <c r="A13" s="3" t="s">
        <v>5</v>
      </c>
      <c r="B13" s="4" t="s">
        <v>17</v>
      </c>
      <c r="C13" s="17">
        <v>1</v>
      </c>
      <c r="D13" s="18" t="s">
        <v>75</v>
      </c>
    </row>
    <row r="14" spans="1:22" ht="12.75" customHeight="1" x14ac:dyDescent="0.15">
      <c r="A14" s="3" t="s">
        <v>2</v>
      </c>
      <c r="B14" s="4" t="s">
        <v>18</v>
      </c>
      <c r="C14" s="15">
        <v>1</v>
      </c>
      <c r="D14" s="16" t="s">
        <v>76</v>
      </c>
    </row>
    <row r="15" spans="1:22" ht="12.75" customHeight="1" x14ac:dyDescent="0.15">
      <c r="A15" s="3" t="s">
        <v>2</v>
      </c>
      <c r="B15" s="4" t="s">
        <v>19</v>
      </c>
      <c r="C15" s="17">
        <v>1</v>
      </c>
      <c r="D15" s="18" t="s">
        <v>77</v>
      </c>
    </row>
    <row r="16" spans="1:22" ht="15" customHeight="1" x14ac:dyDescent="0.15">
      <c r="A16" s="3" t="s">
        <v>5</v>
      </c>
      <c r="B16" s="4" t="s">
        <v>20</v>
      </c>
      <c r="C16" s="15">
        <v>1</v>
      </c>
      <c r="D16" s="16" t="s">
        <v>78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  <c r="C17" s="17">
        <v>1</v>
      </c>
      <c r="D17" s="18" t="s">
        <v>79</v>
      </c>
    </row>
    <row r="18" spans="1:22" ht="12.75" customHeight="1" x14ac:dyDescent="0.15">
      <c r="A18" s="3" t="s">
        <v>22</v>
      </c>
      <c r="B18" s="4" t="s">
        <v>23</v>
      </c>
      <c r="C18" s="15">
        <v>1</v>
      </c>
      <c r="D18" s="16" t="s">
        <v>80</v>
      </c>
    </row>
    <row r="19" spans="1:22" ht="12.75" customHeight="1" x14ac:dyDescent="0.15">
      <c r="A19" s="6" t="s">
        <v>24</v>
      </c>
      <c r="B19" s="7" t="s">
        <v>25</v>
      </c>
      <c r="C19" s="17">
        <v>1</v>
      </c>
      <c r="D19" s="18" t="s">
        <v>81</v>
      </c>
    </row>
    <row r="20" spans="1:22" ht="12.75" customHeight="1" x14ac:dyDescent="0.15">
      <c r="A20" s="3" t="s">
        <v>2</v>
      </c>
      <c r="B20" s="4" t="s">
        <v>26</v>
      </c>
      <c r="C20" s="15">
        <v>1</v>
      </c>
      <c r="D20" s="16" t="s">
        <v>82</v>
      </c>
    </row>
    <row r="21" spans="1:22" ht="12.75" customHeight="1" x14ac:dyDescent="0.15">
      <c r="A21" s="3" t="s">
        <v>5</v>
      </c>
      <c r="B21" s="4" t="s">
        <v>27</v>
      </c>
      <c r="C21" s="17">
        <v>1</v>
      </c>
      <c r="D21" s="18" t="s">
        <v>83</v>
      </c>
    </row>
    <row r="22" spans="1:22" ht="12.75" customHeight="1" x14ac:dyDescent="0.15">
      <c r="A22" s="3" t="s">
        <v>5</v>
      </c>
      <c r="B22" s="4" t="s">
        <v>28</v>
      </c>
      <c r="C22" s="15">
        <v>1</v>
      </c>
      <c r="D22" s="16" t="s">
        <v>84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  <c r="C23" s="17">
        <v>1</v>
      </c>
      <c r="D23" s="18" t="s">
        <v>85</v>
      </c>
    </row>
    <row r="24" spans="1:22" ht="12.75" customHeight="1" x14ac:dyDescent="0.15">
      <c r="A24" s="3" t="s">
        <v>5</v>
      </c>
      <c r="B24" s="4" t="s">
        <v>30</v>
      </c>
      <c r="C24" s="15">
        <v>0</v>
      </c>
      <c r="D24" s="16" t="s">
        <v>86</v>
      </c>
    </row>
    <row r="25" spans="1:22" ht="12.75" customHeight="1" x14ac:dyDescent="0.15">
      <c r="A25" s="3" t="s">
        <v>22</v>
      </c>
      <c r="B25" s="4" t="s">
        <v>31</v>
      </c>
      <c r="C25" s="17">
        <v>0</v>
      </c>
      <c r="D25" s="18" t="s">
        <v>87</v>
      </c>
    </row>
    <row r="26" spans="1:22" ht="12.75" customHeight="1" x14ac:dyDescent="0.15">
      <c r="A26" s="3" t="s">
        <v>24</v>
      </c>
      <c r="B26" s="4" t="s">
        <v>25</v>
      </c>
      <c r="C26" s="17">
        <v>0.5</v>
      </c>
      <c r="D26" s="18" t="s">
        <v>88</v>
      </c>
    </row>
    <row r="27" spans="1:22" ht="12.75" customHeight="1" x14ac:dyDescent="0.15">
      <c r="A27" s="3" t="s">
        <v>5</v>
      </c>
      <c r="B27" s="4" t="s">
        <v>32</v>
      </c>
      <c r="C27" s="15">
        <v>1</v>
      </c>
      <c r="D27" s="16" t="s">
        <v>89</v>
      </c>
    </row>
    <row r="28" spans="1:22" ht="12.75" customHeight="1" x14ac:dyDescent="0.15">
      <c r="A28" s="3" t="s">
        <v>22</v>
      </c>
      <c r="B28" s="4" t="s">
        <v>33</v>
      </c>
      <c r="C28" s="17">
        <v>0.5</v>
      </c>
      <c r="D28" s="18" t="s">
        <v>90</v>
      </c>
    </row>
    <row r="29" spans="1:22" ht="12.75" customHeight="1" x14ac:dyDescent="0.15">
      <c r="A29" s="3" t="s">
        <v>24</v>
      </c>
      <c r="B29" s="4" t="s">
        <v>34</v>
      </c>
      <c r="C29" s="15">
        <v>1</v>
      </c>
      <c r="D29" s="16" t="s">
        <v>91</v>
      </c>
    </row>
    <row r="30" spans="1:22" ht="12.75" customHeight="1" x14ac:dyDescent="0.15">
      <c r="A30" s="3" t="s">
        <v>2</v>
      </c>
      <c r="B30" s="4" t="s">
        <v>35</v>
      </c>
      <c r="C30" s="17">
        <v>1</v>
      </c>
      <c r="D30" s="18" t="s">
        <v>92</v>
      </c>
    </row>
    <row r="31" spans="1:22" ht="12.75" customHeight="1" x14ac:dyDescent="0.15">
      <c r="A31" s="3" t="s">
        <v>5</v>
      </c>
      <c r="B31" s="4" t="s">
        <v>36</v>
      </c>
      <c r="C31" s="15">
        <v>0</v>
      </c>
      <c r="D31" s="16" t="s">
        <v>93</v>
      </c>
    </row>
    <row r="32" spans="1:22" ht="12.75" customHeight="1" x14ac:dyDescent="0.15">
      <c r="A32" s="3" t="s">
        <v>22</v>
      </c>
      <c r="B32" s="4" t="s">
        <v>37</v>
      </c>
      <c r="C32" s="17">
        <v>0</v>
      </c>
      <c r="D32" s="18" t="s">
        <v>94</v>
      </c>
    </row>
    <row r="33" spans="1:22" ht="12.75" customHeight="1" x14ac:dyDescent="0.15">
      <c r="A33" s="6" t="s">
        <v>24</v>
      </c>
      <c r="B33" s="7" t="s">
        <v>25</v>
      </c>
      <c r="C33" s="15">
        <v>0</v>
      </c>
      <c r="D33" s="16" t="s">
        <v>95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  <c r="C34" s="17">
        <v>1</v>
      </c>
      <c r="D34" s="18" t="s">
        <v>96</v>
      </c>
    </row>
    <row r="35" spans="1:22" ht="15" customHeight="1" x14ac:dyDescent="0.15">
      <c r="A35" s="3" t="s">
        <v>22</v>
      </c>
      <c r="B35" s="4" t="s">
        <v>39</v>
      </c>
      <c r="C35" s="15">
        <v>0.5</v>
      </c>
      <c r="D35" s="16" t="s">
        <v>97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17">
        <v>1</v>
      </c>
      <c r="D36" s="18" t="s">
        <v>98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15">
        <v>1</v>
      </c>
      <c r="D37" s="16" t="s">
        <v>99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17">
        <v>1</v>
      </c>
      <c r="D38" s="18" t="s">
        <v>100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15">
        <v>1</v>
      </c>
      <c r="D39" s="16" t="s">
        <v>101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17">
        <v>1</v>
      </c>
      <c r="D40" s="18" t="s">
        <v>102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15">
        <v>1</v>
      </c>
      <c r="D41" s="16" t="s">
        <v>103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17">
        <v>1</v>
      </c>
      <c r="D42" s="18" t="s">
        <v>104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15">
        <v>1</v>
      </c>
      <c r="D43" s="16" t="s">
        <v>105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19">
        <v>1</v>
      </c>
      <c r="D44" s="20" t="s">
        <v>106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  <c r="C45" s="21">
        <v>0</v>
      </c>
      <c r="D45" s="22" t="s">
        <v>107</v>
      </c>
    </row>
    <row r="46" spans="1:22" ht="12.75" customHeight="1" x14ac:dyDescent="0.15">
      <c r="A46" s="12" t="s">
        <v>5</v>
      </c>
      <c r="B46" s="13" t="s">
        <v>47</v>
      </c>
      <c r="C46" s="23">
        <v>0</v>
      </c>
      <c r="D46" s="24" t="s">
        <v>108</v>
      </c>
    </row>
    <row r="47" spans="1:22" ht="12.75" customHeight="1" x14ac:dyDescent="0.15">
      <c r="A47" s="3" t="s">
        <v>22</v>
      </c>
      <c r="B47" s="4" t="s">
        <v>47</v>
      </c>
      <c r="C47" s="21">
        <v>0</v>
      </c>
      <c r="D47" s="22" t="s">
        <v>109</v>
      </c>
    </row>
    <row r="48" spans="1:22" ht="12.75" customHeight="1" x14ac:dyDescent="0.15">
      <c r="A48" s="12" t="s">
        <v>24</v>
      </c>
      <c r="B48" s="13" t="s">
        <v>47</v>
      </c>
      <c r="C48" s="23">
        <v>0</v>
      </c>
      <c r="D48" s="24" t="s">
        <v>110</v>
      </c>
    </row>
    <row r="49" spans="1:4" ht="12.75" customHeight="1" x14ac:dyDescent="0.15">
      <c r="A49" s="3" t="s">
        <v>12</v>
      </c>
      <c r="B49" s="4" t="s">
        <v>47</v>
      </c>
      <c r="C49" s="21">
        <v>0</v>
      </c>
      <c r="D49" s="22" t="s">
        <v>111</v>
      </c>
    </row>
    <row r="50" spans="1:4" ht="12.75" customHeight="1" x14ac:dyDescent="0.15">
      <c r="A50" s="12" t="s">
        <v>48</v>
      </c>
      <c r="B50" s="13" t="s">
        <v>47</v>
      </c>
      <c r="C50" s="23">
        <v>0</v>
      </c>
      <c r="D50" s="24" t="s">
        <v>112</v>
      </c>
    </row>
    <row r="51" spans="1:4" ht="12.75" customHeight="1" x14ac:dyDescent="0.15">
      <c r="A51" s="3" t="s">
        <v>14</v>
      </c>
      <c r="B51" s="4" t="s">
        <v>47</v>
      </c>
      <c r="C51" s="21">
        <v>0</v>
      </c>
      <c r="D51" s="22" t="s">
        <v>113</v>
      </c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F17" sqref="F17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36" t="s">
        <v>51</v>
      </c>
      <c r="B1" s="36"/>
      <c r="C1" s="36"/>
      <c r="D1" s="36"/>
      <c r="E1" s="36"/>
      <c r="F1" s="36"/>
      <c r="G1" s="36"/>
      <c r="H1" s="36"/>
      <c r="J1" s="26" t="s">
        <v>52</v>
      </c>
    </row>
    <row r="2" spans="1:10" ht="15.75" customHeight="1" x14ac:dyDescent="0.15">
      <c r="A2" s="27" t="s">
        <v>0</v>
      </c>
      <c r="B2" s="27" t="s">
        <v>53</v>
      </c>
      <c r="C2" s="27" t="s">
        <v>54</v>
      </c>
      <c r="D2" s="27" t="s">
        <v>55</v>
      </c>
      <c r="E2" s="27" t="s">
        <v>56</v>
      </c>
      <c r="F2" s="27" t="s">
        <v>57</v>
      </c>
      <c r="G2" s="27" t="s">
        <v>58</v>
      </c>
      <c r="H2" s="27" t="s">
        <v>59</v>
      </c>
      <c r="J2" s="22" t="s">
        <v>60</v>
      </c>
    </row>
    <row r="3" spans="1:10" ht="15.75" customHeight="1" x14ac:dyDescent="0.15">
      <c r="A3" s="28" t="s">
        <v>12</v>
      </c>
      <c r="B3" s="29">
        <f>COUNTIF(Thermonix!$A$2:$A$44, A3)</f>
        <v>1</v>
      </c>
      <c r="C3" s="30">
        <f>SUMIF('GPT-5 Generation'!$A$2:$A$44, $A3, 'GPT-5 Generation'!$C$2:$C$44)</f>
        <v>1</v>
      </c>
      <c r="D3" s="30">
        <f>SUMIF('GPT-5 Generation'!$A$45:$A$51, $A3, 'GPT-5 Generation'!$C$45:$C$51)</f>
        <v>0</v>
      </c>
      <c r="E3" s="30">
        <f>COUNTIFS('GPT-5 Generation'!$A$2:$A$44, $A3, 'GPT-5 Generation'!$C$2:$C$44,0)</f>
        <v>0</v>
      </c>
      <c r="F3" s="30">
        <f t="shared" ref="F3:F10" si="0">IFERROR(C3 / (C3 + D3), "Not Available")</f>
        <v>1</v>
      </c>
      <c r="G3" s="30">
        <f t="shared" ref="G3:G10" si="1">IFERROR(C3 / B3, "Not Available")</f>
        <v>1</v>
      </c>
      <c r="H3" s="30">
        <f t="shared" ref="H3:H10" si="2">IFERROR(2*((F3*G3)/(F3+G3)),"Not Available")</f>
        <v>1</v>
      </c>
      <c r="J3" s="25"/>
    </row>
    <row r="4" spans="1:10" ht="15.75" customHeight="1" x14ac:dyDescent="0.15">
      <c r="A4" s="31" t="s">
        <v>2</v>
      </c>
      <c r="B4" s="29">
        <f>COUNTIF(Thermonix!$A$2:$A$44, A4)</f>
        <v>11</v>
      </c>
      <c r="C4" s="30">
        <f>SUMIF('GPT-5 Generation'!$A$2:$A$44, $A4, 'GPT-5 Generation'!$C$2:$C$44)</f>
        <v>10.5</v>
      </c>
      <c r="D4" s="30">
        <f>SUMIF('GPT-5 Generation'!$A$45:$A$51, $A4, 'GPT-5 Generation'!$C$45:$C$51)</f>
        <v>0</v>
      </c>
      <c r="E4" s="30">
        <f>COUNTIFS('GPT-5 Generation'!$A$2:$A$44, $A4, 'GPT-5 Generation'!$C$2:$C$44,0)</f>
        <v>0</v>
      </c>
      <c r="F4" s="30">
        <f t="shared" si="0"/>
        <v>1</v>
      </c>
      <c r="G4" s="30">
        <f t="shared" si="1"/>
        <v>0.95454545454545459</v>
      </c>
      <c r="H4" s="30">
        <f t="shared" si="2"/>
        <v>0.9767441860465117</v>
      </c>
      <c r="J4" s="26" t="s">
        <v>61</v>
      </c>
    </row>
    <row r="5" spans="1:10" ht="15.75" customHeight="1" x14ac:dyDescent="0.15">
      <c r="A5" s="31" t="s">
        <v>5</v>
      </c>
      <c r="B5" s="29">
        <f>COUNTIF(Thermonix!$A$2:$A$44, A5)</f>
        <v>17</v>
      </c>
      <c r="C5" s="30">
        <f>SUMIF('GPT-5 Generation'!$A$2:$A$44, $A5, 'GPT-5 Generation'!$C$2:$C$44)</f>
        <v>14</v>
      </c>
      <c r="D5" s="30">
        <f>SUMIF('GPT-5 Generation'!$A$45:$A$51, $A5, 'GPT-5 Generation'!$C$45:$C$51)</f>
        <v>0</v>
      </c>
      <c r="E5" s="30">
        <f>COUNTIFS('GPT-5 Generation'!$A$2:$A$44, $A5, 'GPT-5 Generation'!$C$2:$C$44,0)</f>
        <v>2</v>
      </c>
      <c r="F5" s="30">
        <f t="shared" si="0"/>
        <v>1</v>
      </c>
      <c r="G5" s="30">
        <f t="shared" si="1"/>
        <v>0.82352941176470584</v>
      </c>
      <c r="H5" s="30">
        <f t="shared" si="2"/>
        <v>0.90322580645161288</v>
      </c>
      <c r="J5" s="35" t="s">
        <v>114</v>
      </c>
    </row>
    <row r="6" spans="1:10" ht="15.75" customHeight="1" x14ac:dyDescent="0.15">
      <c r="A6" s="31" t="s">
        <v>24</v>
      </c>
      <c r="B6" s="29">
        <f>COUNTIF(Thermonix!$A$2:$A$44, A6)</f>
        <v>6</v>
      </c>
      <c r="C6" s="30">
        <f>SUMIF('GPT-5 Generation'!$A$2:$A$44, $A6, 'GPT-5 Generation'!$C$2:$C$44)</f>
        <v>4.5</v>
      </c>
      <c r="D6" s="30">
        <f>SUMIF('GPT-5 Generation'!$A$45:$A$51, $A6, 'GPT-5 Generation'!$C$45:$C$51)</f>
        <v>0</v>
      </c>
      <c r="E6" s="30">
        <f>COUNTIFS('GPT-5 Generation'!$A$2:$A$44, $A6, 'GPT-5 Generation'!$C$2:$C$44,0)</f>
        <v>1</v>
      </c>
      <c r="F6" s="30">
        <f t="shared" si="0"/>
        <v>1</v>
      </c>
      <c r="G6" s="30">
        <f t="shared" si="1"/>
        <v>0.75</v>
      </c>
      <c r="H6" s="30">
        <f t="shared" si="2"/>
        <v>0.8571428571428571</v>
      </c>
      <c r="J6" s="25"/>
    </row>
    <row r="7" spans="1:10" ht="15.75" customHeight="1" x14ac:dyDescent="0.15">
      <c r="A7" s="31" t="s">
        <v>48</v>
      </c>
      <c r="B7" s="29">
        <f>COUNTIF(Thermonix!$A$2:$A$44, A7)</f>
        <v>0</v>
      </c>
      <c r="C7" s="30">
        <f>SUMIF('GPT-5 Generation'!$A$2:$A$44, $A7, 'GPT-5 Generation'!$C$2:$C$44)</f>
        <v>0</v>
      </c>
      <c r="D7" s="30">
        <f>SUMIF('GPT-5 Generation'!$A$45:$A$51, $A7, 'GPT-5 Generation'!$C$45:$C$51)</f>
        <v>0</v>
      </c>
      <c r="E7" s="30">
        <f>COUNTIFS('GPT-5 Generation'!$A$2:$A$44, $A7, 'GPT-5 Generation'!$C$2:$C$44,0)</f>
        <v>0</v>
      </c>
      <c r="F7" s="30" t="str">
        <f t="shared" si="0"/>
        <v>Not Available</v>
      </c>
      <c r="G7" s="30" t="str">
        <f t="shared" si="1"/>
        <v>Not Available</v>
      </c>
      <c r="H7" s="30" t="str">
        <f t="shared" si="2"/>
        <v>Not Available</v>
      </c>
      <c r="J7" s="33" t="s">
        <v>62</v>
      </c>
    </row>
    <row r="8" spans="1:10" ht="15.75" customHeight="1" x14ac:dyDescent="0.15">
      <c r="A8" s="31" t="s">
        <v>14</v>
      </c>
      <c r="B8" s="29">
        <f>COUNTIF(Thermonix!$A$2:$A$44, A8)</f>
        <v>1</v>
      </c>
      <c r="C8" s="30">
        <f>SUMIF('GPT-5 Generation'!$A$2:$A$44, $A8, 'GPT-5 Generation'!$C$2:$C$44)</f>
        <v>0.5</v>
      </c>
      <c r="D8" s="30">
        <f>SUMIF('GPT-5 Generation'!$A$45:$A$51, $A8, 'GPT-5 Generation'!$C$45:$C$51)</f>
        <v>0</v>
      </c>
      <c r="E8" s="30">
        <f>COUNTIFS('GPT-5 Generation'!$A$2:$A$44, $A8, 'GPT-5 Generation'!$C$2:$C$44,0)</f>
        <v>0</v>
      </c>
      <c r="F8" s="30">
        <f t="shared" si="0"/>
        <v>1</v>
      </c>
      <c r="G8" s="30">
        <f t="shared" si="1"/>
        <v>0.5</v>
      </c>
      <c r="H8" s="30">
        <f t="shared" si="2"/>
        <v>0.66666666666666663</v>
      </c>
      <c r="J8" s="34" t="s">
        <v>114</v>
      </c>
    </row>
    <row r="9" spans="1:10" ht="15.75" customHeight="1" x14ac:dyDescent="0.15">
      <c r="A9" s="31" t="s">
        <v>22</v>
      </c>
      <c r="B9" s="29">
        <f>COUNTIF(Thermonix!$A$2:$A$44, A9)</f>
        <v>7</v>
      </c>
      <c r="C9" s="30">
        <f>SUMIF('GPT-5 Generation'!$A$2:$A$44, $A9, 'GPT-5 Generation'!$C$2:$C$44)</f>
        <v>4</v>
      </c>
      <c r="D9" s="30">
        <f>SUMIF('GPT-5 Generation'!$A$45:$A$51, $A9, 'GPT-5 Generation'!$C$45:$C$51)</f>
        <v>0</v>
      </c>
      <c r="E9" s="30">
        <f>COUNTIFS('GPT-5 Generation'!$A$2:$A$44, $A9, 'GPT-5 Generation'!$C$2:$C$44,0)</f>
        <v>2</v>
      </c>
      <c r="F9" s="30">
        <f t="shared" si="0"/>
        <v>1</v>
      </c>
      <c r="G9" s="30">
        <f t="shared" si="1"/>
        <v>0.5714285714285714</v>
      </c>
      <c r="H9" s="30">
        <f t="shared" si="2"/>
        <v>0.72727272727272729</v>
      </c>
    </row>
    <row r="10" spans="1:10" ht="15.75" customHeight="1" x14ac:dyDescent="0.15">
      <c r="A10" s="31" t="s">
        <v>63</v>
      </c>
      <c r="B10" s="32">
        <f>SUM(B3:B9)</f>
        <v>43</v>
      </c>
      <c r="C10" s="32">
        <f>SUM(C3:C9)</f>
        <v>34.5</v>
      </c>
      <c r="D10" s="32">
        <f>SUM(D3:D9)</f>
        <v>0</v>
      </c>
      <c r="E10" s="32">
        <f>SUM(E3:E9)</f>
        <v>5</v>
      </c>
      <c r="F10" s="30">
        <f t="shared" si="0"/>
        <v>1</v>
      </c>
      <c r="G10" s="30">
        <f t="shared" si="1"/>
        <v>0.80232558139534882</v>
      </c>
      <c r="H10" s="30">
        <f t="shared" si="2"/>
        <v>0.89032258064516123</v>
      </c>
    </row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Thermonix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2026-05-13T16:51:27Z</dcterms:modified>
</cp:coreProperties>
</file>