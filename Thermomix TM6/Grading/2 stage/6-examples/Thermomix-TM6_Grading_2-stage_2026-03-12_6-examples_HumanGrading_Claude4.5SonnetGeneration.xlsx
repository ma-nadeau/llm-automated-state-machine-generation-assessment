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rmonix" sheetId="1" r:id="rId4"/>
    <sheet state="visible" name="Thermonix Grader #1" sheetId="2" r:id="rId5"/>
    <sheet state="visible" name="Thermonix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HyMqerJUI+/Fl0eBFn1V7Ac6131cqreMDWVLwQsYFNw="/>
    </ext>
  </extLst>
</workbook>
</file>

<file path=xl/sharedStrings.xml><?xml version="1.0" encoding="utf-8"?>
<sst xmlns="http://schemas.openxmlformats.org/spreadsheetml/2006/main" count="692" uniqueCount="118">
  <si>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</si>
  <si>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</si>
  <si>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</si>
  <si>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</si>
  <si>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</si>
  <si>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</si>
  <si>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</si>
  <si>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</si>
  <si>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</si>
  <si>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</si>
  <si>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</si>
  <si>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</si>
  <si>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</si>
  <si>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</si>
  <si>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</si>
  <si>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</si>
  <si>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</si>
  <si>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</si>
  <si>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</si>
  <si>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</si>
  <si>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</si>
  <si>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</si>
  <si>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</si>
  <si>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</si>
  <si>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</si>
  <si>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</si>
  <si>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</si>
  <si>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</si>
  <si>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</si>
  <si>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</si>
  <si>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</si>
  <si>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</si>
  <si>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</si>
  <si>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</si>
  <si>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</si>
  <si>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</si>
  <si>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</si>
  <si>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</si>
  <si>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</si>
  <si>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</si>
  <si>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</si>
  <si>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</si>
  <si>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</si>
  <si>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</si>
  <si>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</si>
  <si>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</si>
  <si>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</si>
  <si>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</si>
  <si>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</si>
  <si>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</si>
  <si>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</si>
  <si>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goes to homescreen instead of on, same concept, problem doesnt specify a ON mode</t>
  </si>
  <si>
    <t>shutting down state</t>
  </si>
  <si>
    <t>goes back to homescreen</t>
  </si>
  <si>
    <t>shows shutdown message, then turns off</t>
  </si>
  <si>
    <t>same logic but shown with homescreen instead of on</t>
  </si>
  <si>
    <t>shown in [bowlplaced] (recipeselected =&gt; addingIngredients)</t>
  </si>
  <si>
    <t>select recipe</t>
  </si>
  <si>
    <t>correctAmount is not detailed enough</t>
  </si>
  <si>
    <t>Rater 2</t>
  </si>
  <si>
    <t>RecipeExecution</t>
  </si>
  <si>
    <t>home screen</t>
  </si>
  <si>
    <t>shutdown -&gt; homescreen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</si>
  <si>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</si>
  <si>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</si>
  <si>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</si>
  <si>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</si>
  <si>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</si>
  <si>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</si>
  <si>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</si>
  <si>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</si>
  <si>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</si>
  <si>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</si>
  <si>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</si>
  <si>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</si>
  <si>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</si>
  <si>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</si>
  <si>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</si>
  <si>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</si>
  <si>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</si>
  <si>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Rater1</t>
  </si>
  <si>
    <t>Rater2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</si>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</sst>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/>
    <font>
      <b/>
      <sz val="10.0"/>
      <color theme="1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</border>
    <border>
      <top style="thin">
        <color rgb="FF000000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2" fontId="3" numFmtId="0" xfId="0" applyBorder="1" applyFont="1"/>
    <xf borderId="1" fillId="3" fontId="4" numFmtId="0" xfId="0" applyAlignment="1" applyBorder="1" applyFill="1" applyFont="1">
      <alignment horizontal="center"/>
    </xf>
    <xf borderId="1" fillId="3" fontId="3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1" fillId="5" fontId="3" numFmtId="0" xfId="0" applyBorder="1" applyFill="1" applyFont="1"/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vertical="bottom"/>
    </xf>
    <xf borderId="1" fillId="3" fontId="5" numFmtId="0" xfId="0" applyAlignment="1" applyBorder="1" applyFont="1">
      <alignment readingOrder="0" vertical="bottom"/>
    </xf>
    <xf borderId="1" fillId="2" fontId="5" numFmtId="0" xfId="0" applyAlignment="1" applyBorder="1" applyFont="1">
      <alignment readingOrder="0" vertical="bottom"/>
    </xf>
    <xf borderId="3" fillId="2" fontId="5" numFmtId="0" xfId="0" applyAlignment="1" applyBorder="1" applyFont="1">
      <alignment horizontal="center" readingOrder="0" vertical="bottom"/>
    </xf>
    <xf borderId="3" fillId="2" fontId="5" numFmtId="0" xfId="0" applyAlignment="1" applyBorder="1" applyFont="1">
      <alignment vertical="bottom"/>
    </xf>
    <xf borderId="0" fillId="3" fontId="5" numFmtId="0" xfId="0" applyAlignment="1" applyFont="1">
      <alignment horizontal="center" readingOrder="0" vertical="bottom"/>
    </xf>
    <xf borderId="0" fillId="3" fontId="5" numFmtId="0" xfId="0" applyAlignment="1" applyFont="1">
      <alignment vertical="bottom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vertical="bottom"/>
    </xf>
    <xf borderId="1" fillId="2" fontId="3" numFmtId="0" xfId="0" applyAlignment="1" applyBorder="1" applyFont="1">
      <alignment readingOrder="0"/>
    </xf>
    <xf borderId="3" fillId="3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4" fillId="6" fontId="1" numFmtId="0" xfId="0" applyAlignment="1" applyBorder="1" applyFill="1" applyFont="1">
      <alignment horizontal="center"/>
    </xf>
    <xf borderId="5" fillId="0" fontId="6" numFmtId="0" xfId="0" applyBorder="1" applyFont="1"/>
    <xf borderId="0" fillId="7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6" fillId="6" fontId="1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6" fillId="8" fontId="7" numFmtId="0" xfId="0" applyAlignment="1" applyBorder="1" applyFill="1" applyFont="1">
      <alignment shrinkToFit="0" vertical="center" wrapText="1"/>
    </xf>
    <xf borderId="6" fillId="0" fontId="3" numFmtId="0" xfId="0" applyBorder="1" applyFont="1"/>
    <xf borderId="6" fillId="0" fontId="2" numFmtId="0" xfId="0" applyBorder="1" applyFont="1"/>
    <xf borderId="6" fillId="0" fontId="1" numFmtId="0" xfId="0" applyBorder="1" applyFont="1"/>
    <xf borderId="0" fillId="3" fontId="5" numFmtId="0" xfId="0" applyAlignment="1" applyFont="1">
      <alignment horizontal="right" readingOrder="0" vertical="bottom"/>
    </xf>
    <xf borderId="2" fillId="0" fontId="2" numFmtId="0" xfId="0" applyBorder="1" applyFont="1"/>
    <xf borderId="1" fillId="5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6" numFmtId="0" xfId="0" applyBorder="1" applyFont="1"/>
    <xf borderId="1" fillId="3" fontId="3" numFmtId="0" xfId="0" applyAlignment="1" applyBorder="1" applyFont="1">
      <alignment horizontal="center"/>
    </xf>
    <xf borderId="8" fillId="9" fontId="2" numFmtId="0" xfId="0" applyAlignment="1" applyBorder="1" applyFill="1" applyFont="1">
      <alignment horizontal="center" vertical="center"/>
    </xf>
    <xf borderId="9" fillId="9" fontId="2" numFmtId="0" xfId="0" applyAlignment="1" applyBorder="1" applyFont="1">
      <alignment horizontal="center" vertical="center"/>
    </xf>
    <xf borderId="10" fillId="9" fontId="2" numFmtId="0" xfId="0" applyAlignment="1" applyBorder="1" applyFont="1">
      <alignment horizontal="center" vertical="center"/>
    </xf>
    <xf borderId="11" fillId="9" fontId="2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9" fontId="2" numFmtId="0" xfId="0" applyAlignment="1" applyBorder="1" applyFont="1">
      <alignment horizontal="center" vertical="center"/>
    </xf>
    <xf borderId="22" fillId="9" fontId="2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24" fillId="0" fontId="2" numFmtId="0" xfId="0" applyAlignment="1" applyBorder="1" applyFont="1">
      <alignment horizontal="left"/>
    </xf>
    <xf borderId="25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Thermonix-style">
      <tableStyleElement dxfId="1" type="headerRow"/>
      <tableStyleElement dxfId="2" type="firstRowStripe"/>
      <tableStyleElement dxfId="3" type="secondRowStripe"/>
    </tableStyle>
    <tableStyle count="3" pivot="0" name="Thermonix Grader #1-style">
      <tableStyleElement dxfId="1" type="headerRow"/>
      <tableStyleElement dxfId="2" type="firstRowStripe"/>
      <tableStyleElement dxfId="3" type="secondRowStripe"/>
    </tableStyle>
    <tableStyle count="3" pivot="0" name="Thermonix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1" displayName="Table_1" name="Table_1" id="1">
  <tableColumns count="2">
    <tableColumn name="Type" id="1"/>
    <tableColumn name="Element" id="2"/>
  </tableColumns>
  <tableStyleInfo name="Thermonix-style" showColumnStripes="0" showFirstColumn="1" showLastColumn="1" showRowStripes="1"/>
</table>
</file>

<file path=xl/tables/table2.xml><?xml version="1.0" encoding="utf-8"?>
<table xmlns="http://schemas.openxmlformats.org/spreadsheetml/2006/main" ref="A1:D51" displayName="Table_2" name="Table_2" id="2">
  <tableColumns count="4">
    <tableColumn name="Type" id="1"/>
    <tableColumn name="Element" id="2"/>
    <tableColumn name="Rater 1" id="3"/>
    <tableColumn name="Notes" id="4"/>
  </tableColumns>
  <tableStyleInfo name="Thermonix Grader #1-style" showColumnStripes="0" showFirstColumn="1" showLastColumn="1" showRowStripes="1"/>
</table>
</file>

<file path=xl/tables/table3.xml><?xml version="1.0" encoding="utf-8"?>
<table xmlns="http://schemas.openxmlformats.org/spreadsheetml/2006/main" ref="A1:D51" displayName="Table_3" name="Table_3" id="3">
  <tableColumns count="4">
    <tableColumn name="Type" id="1"/>
    <tableColumn name="Element" id="2"/>
    <tableColumn name="Rater 2" id="3"/>
    <tableColumn name="Notes" id="4"/>
  </tableColumns>
  <tableStyleInfo name="Thermonix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1" displayName="Table_8" name="Table_8" id="8">
  <tableColumns count="4">
    <tableColumn name="Type" id="1"/>
    <tableColumn name="Element" id="2"/>
    <tableColumn name="Rater1" id="3"/>
    <tableColumn name="Rater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2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2</v>
      </c>
      <c r="B3" s="4" t="s">
        <v>4</v>
      </c>
    </row>
    <row r="4" ht="12.75" customHeight="1">
      <c r="A4" s="3" t="s">
        <v>5</v>
      </c>
      <c r="B4" s="4" t="s">
        <v>6</v>
      </c>
    </row>
    <row r="5" ht="12.75" customHeight="1">
      <c r="A5" s="3" t="s">
        <v>2</v>
      </c>
      <c r="B5" s="4" t="s">
        <v>7</v>
      </c>
    </row>
    <row r="6" ht="12.75" customHeight="1">
      <c r="A6" s="3" t="s">
        <v>5</v>
      </c>
      <c r="B6" s="4" t="s">
        <v>8</v>
      </c>
    </row>
    <row r="7" ht="12.75" customHeight="1">
      <c r="A7" s="3" t="s">
        <v>5</v>
      </c>
      <c r="B7" s="4" t="s">
        <v>9</v>
      </c>
    </row>
    <row r="8" ht="12.75" customHeight="1">
      <c r="A8" s="3" t="s">
        <v>2</v>
      </c>
      <c r="B8" s="4" t="s">
        <v>10</v>
      </c>
    </row>
    <row r="9" ht="12.75" customHeight="1">
      <c r="A9" s="3" t="s">
        <v>5</v>
      </c>
      <c r="B9" s="4" t="s">
        <v>11</v>
      </c>
    </row>
    <row r="10" ht="12.75" customHeight="1">
      <c r="A10" s="3" t="s">
        <v>12</v>
      </c>
      <c r="B10" s="4" t="s">
        <v>13</v>
      </c>
    </row>
    <row r="11" ht="12.75" customHeight="1">
      <c r="A11" s="3" t="s">
        <v>14</v>
      </c>
      <c r="B11" s="4" t="s">
        <v>15</v>
      </c>
    </row>
    <row r="12" ht="12.75" customHeight="1">
      <c r="A12" s="3" t="s">
        <v>5</v>
      </c>
      <c r="B12" s="4" t="s">
        <v>16</v>
      </c>
    </row>
    <row r="13" ht="12.75" customHeight="1">
      <c r="A13" s="3" t="s">
        <v>5</v>
      </c>
      <c r="B13" s="4" t="s">
        <v>17</v>
      </c>
    </row>
    <row r="14" ht="12.75" customHeight="1">
      <c r="A14" s="3" t="s">
        <v>2</v>
      </c>
      <c r="B14" s="4" t="s">
        <v>18</v>
      </c>
    </row>
    <row r="15" ht="12.75" customHeight="1">
      <c r="A15" s="3" t="s">
        <v>2</v>
      </c>
      <c r="B15" s="4" t="s">
        <v>19</v>
      </c>
    </row>
    <row r="16" ht="15.0" customHeight="1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</row>
    <row r="18" ht="12.75" customHeight="1">
      <c r="A18" s="3" t="s">
        <v>22</v>
      </c>
      <c r="B18" s="4" t="s">
        <v>23</v>
      </c>
    </row>
    <row r="19" ht="12.75" customHeight="1">
      <c r="A19" s="6" t="s">
        <v>24</v>
      </c>
      <c r="B19" s="7" t="s">
        <v>25</v>
      </c>
    </row>
    <row r="20" ht="12.75" customHeight="1">
      <c r="A20" s="3" t="s">
        <v>2</v>
      </c>
      <c r="B20" s="4" t="s">
        <v>26</v>
      </c>
    </row>
    <row r="21" ht="12.75" customHeight="1">
      <c r="A21" s="3" t="s">
        <v>5</v>
      </c>
      <c r="B21" s="4" t="s">
        <v>27</v>
      </c>
    </row>
    <row r="22" ht="12.75" customHeight="1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</row>
    <row r="24" ht="12.75" customHeight="1">
      <c r="A24" s="3" t="s">
        <v>5</v>
      </c>
      <c r="B24" s="4" t="s">
        <v>30</v>
      </c>
    </row>
    <row r="25">
      <c r="A25" s="3" t="s">
        <v>22</v>
      </c>
      <c r="B25" s="4" t="s">
        <v>31</v>
      </c>
    </row>
    <row r="26" ht="12.75" customHeight="1">
      <c r="A26" s="3" t="s">
        <v>24</v>
      </c>
      <c r="B26" s="4" t="s">
        <v>25</v>
      </c>
    </row>
    <row r="27" ht="12.75" customHeight="1">
      <c r="A27" s="3" t="s">
        <v>5</v>
      </c>
      <c r="B27" s="4" t="s">
        <v>32</v>
      </c>
    </row>
    <row r="28" ht="12.75" customHeight="1">
      <c r="A28" s="3" t="s">
        <v>22</v>
      </c>
      <c r="B28" s="4" t="s">
        <v>33</v>
      </c>
    </row>
    <row r="29" ht="12.75" customHeight="1">
      <c r="A29" s="3" t="s">
        <v>24</v>
      </c>
      <c r="B29" s="4" t="s">
        <v>34</v>
      </c>
    </row>
    <row r="30" ht="12.75" customHeight="1">
      <c r="A30" s="3" t="s">
        <v>2</v>
      </c>
      <c r="B30" s="4" t="s">
        <v>35</v>
      </c>
    </row>
    <row r="31" ht="12.75" customHeight="1">
      <c r="A31" s="3" t="s">
        <v>5</v>
      </c>
      <c r="B31" s="4" t="s">
        <v>36</v>
      </c>
    </row>
    <row r="32" ht="12.75" customHeight="1">
      <c r="A32" s="3" t="s">
        <v>22</v>
      </c>
      <c r="B32" s="4" t="s">
        <v>37</v>
      </c>
    </row>
    <row r="33" ht="12.75" customHeight="1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</row>
    <row r="35" ht="15.0" customHeight="1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</row>
    <row r="46" ht="12.75" customHeight="1">
      <c r="A46" s="12" t="s">
        <v>5</v>
      </c>
      <c r="B46" s="13" t="s">
        <v>47</v>
      </c>
    </row>
    <row r="47" ht="12.75" customHeight="1">
      <c r="A47" s="3" t="s">
        <v>22</v>
      </c>
      <c r="B47" s="4" t="s">
        <v>47</v>
      </c>
    </row>
    <row r="48" ht="12.75" customHeight="1">
      <c r="A48" s="12" t="s">
        <v>24</v>
      </c>
      <c r="B48" s="13" t="s">
        <v>47</v>
      </c>
    </row>
    <row r="49" ht="12.75" customHeight="1">
      <c r="A49" s="3" t="s">
        <v>12</v>
      </c>
      <c r="B49" s="4" t="s">
        <v>47</v>
      </c>
    </row>
    <row r="50" ht="12.75" customHeight="1">
      <c r="A50" s="12" t="s">
        <v>48</v>
      </c>
      <c r="B50" s="13" t="s">
        <v>47</v>
      </c>
    </row>
    <row r="51" ht="12.75" customHeight="1">
      <c r="A51" s="3" t="s">
        <v>14</v>
      </c>
      <c r="B51" s="4" t="s">
        <v>47</v>
      </c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54.63"/>
    <col customWidth="1" min="5" max="22" width="10.63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50</v>
      </c>
    </row>
    <row r="2" ht="12.75" customHeight="1">
      <c r="A2" s="3" t="s">
        <v>2</v>
      </c>
      <c r="B2" s="4" t="s">
        <v>3</v>
      </c>
      <c r="C2" s="17">
        <v>1.0</v>
      </c>
      <c r="D2" s="18"/>
    </row>
    <row r="3" ht="12.75" customHeight="1">
      <c r="A3" s="3" t="s">
        <v>2</v>
      </c>
      <c r="B3" s="4" t="s">
        <v>4</v>
      </c>
      <c r="C3" s="19">
        <v>1.0</v>
      </c>
      <c r="D3" s="20"/>
    </row>
    <row r="4" ht="12.75" customHeight="1">
      <c r="A4" s="3" t="s">
        <v>5</v>
      </c>
      <c r="B4" s="4" t="s">
        <v>6</v>
      </c>
      <c r="C4" s="17">
        <v>1.0</v>
      </c>
      <c r="D4" s="21" t="s">
        <v>51</v>
      </c>
    </row>
    <row r="5" ht="12.75" customHeight="1">
      <c r="A5" s="3" t="s">
        <v>2</v>
      </c>
      <c r="B5" s="4" t="s">
        <v>7</v>
      </c>
      <c r="C5" s="19">
        <v>1.0</v>
      </c>
      <c r="D5" s="22" t="s">
        <v>52</v>
      </c>
    </row>
    <row r="6" ht="12.75" customHeight="1">
      <c r="A6" s="3" t="s">
        <v>5</v>
      </c>
      <c r="B6" s="4" t="s">
        <v>8</v>
      </c>
      <c r="C6" s="17">
        <v>1.0</v>
      </c>
      <c r="D6" s="21" t="s">
        <v>53</v>
      </c>
    </row>
    <row r="7" ht="12.75" customHeight="1">
      <c r="A7" s="3" t="s">
        <v>5</v>
      </c>
      <c r="B7" s="4" t="s">
        <v>9</v>
      </c>
      <c r="C7" s="19">
        <v>1.0</v>
      </c>
      <c r="D7" s="22" t="s">
        <v>54</v>
      </c>
    </row>
    <row r="8" ht="12.75" customHeight="1">
      <c r="A8" s="3" t="s">
        <v>2</v>
      </c>
      <c r="B8" s="4" t="s">
        <v>10</v>
      </c>
      <c r="C8" s="17">
        <v>1.0</v>
      </c>
      <c r="D8" s="18"/>
    </row>
    <row r="9" ht="12.75" customHeight="1">
      <c r="A9" s="3" t="s">
        <v>5</v>
      </c>
      <c r="B9" s="4" t="s">
        <v>11</v>
      </c>
      <c r="C9" s="19">
        <v>1.0</v>
      </c>
      <c r="D9" s="20"/>
    </row>
    <row r="10" ht="12.75" customHeight="1">
      <c r="A10" s="3" t="s">
        <v>12</v>
      </c>
      <c r="B10" s="4" t="s">
        <v>13</v>
      </c>
      <c r="C10" s="17">
        <v>0.0</v>
      </c>
      <c r="D10" s="18"/>
    </row>
    <row r="11" ht="12.75" customHeight="1">
      <c r="A11" s="3" t="s">
        <v>14</v>
      </c>
      <c r="B11" s="4" t="s">
        <v>15</v>
      </c>
      <c r="C11" s="19">
        <v>0.0</v>
      </c>
      <c r="D11" s="20"/>
    </row>
    <row r="12" ht="12.75" customHeight="1">
      <c r="A12" s="3" t="s">
        <v>5</v>
      </c>
      <c r="B12" s="4" t="s">
        <v>16</v>
      </c>
      <c r="C12" s="17">
        <v>1.0</v>
      </c>
      <c r="D12" s="18"/>
    </row>
    <row r="13" ht="12.75" customHeight="1">
      <c r="A13" s="3" t="s">
        <v>5</v>
      </c>
      <c r="B13" s="4" t="s">
        <v>17</v>
      </c>
      <c r="C13" s="19">
        <v>1.0</v>
      </c>
      <c r="D13" s="22" t="s">
        <v>55</v>
      </c>
    </row>
    <row r="14" ht="12.75" customHeight="1">
      <c r="A14" s="3" t="s">
        <v>2</v>
      </c>
      <c r="B14" s="4" t="s">
        <v>18</v>
      </c>
      <c r="C14" s="17">
        <v>0.0</v>
      </c>
      <c r="D14" s="18"/>
    </row>
    <row r="15" ht="12.75" customHeight="1">
      <c r="A15" s="3" t="s">
        <v>2</v>
      </c>
      <c r="B15" s="4" t="s">
        <v>19</v>
      </c>
      <c r="C15" s="19">
        <v>1.0</v>
      </c>
      <c r="D15" s="20"/>
    </row>
    <row r="16" ht="15.0" customHeight="1">
      <c r="A16" s="3" t="s">
        <v>5</v>
      </c>
      <c r="B16" s="4" t="s">
        <v>20</v>
      </c>
      <c r="C16" s="17">
        <v>1.0</v>
      </c>
      <c r="D16" s="1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  <c r="C17" s="19">
        <v>1.0</v>
      </c>
      <c r="D17" s="20"/>
    </row>
    <row r="18" ht="12.75" customHeight="1">
      <c r="A18" s="3" t="s">
        <v>22</v>
      </c>
      <c r="B18" s="4" t="s">
        <v>23</v>
      </c>
      <c r="C18" s="17">
        <v>1.0</v>
      </c>
      <c r="D18" s="21" t="s">
        <v>56</v>
      </c>
    </row>
    <row r="19" ht="12.75" customHeight="1">
      <c r="A19" s="6" t="s">
        <v>24</v>
      </c>
      <c r="B19" s="7" t="s">
        <v>25</v>
      </c>
      <c r="C19" s="19">
        <v>1.0</v>
      </c>
      <c r="D19" s="22" t="s">
        <v>57</v>
      </c>
    </row>
    <row r="20" ht="12.75" customHeight="1">
      <c r="A20" s="3" t="s">
        <v>2</v>
      </c>
      <c r="B20" s="4" t="s">
        <v>26</v>
      </c>
      <c r="C20" s="17">
        <v>1.0</v>
      </c>
      <c r="D20" s="18"/>
    </row>
    <row r="21" ht="12.75" customHeight="1">
      <c r="A21" s="3" t="s">
        <v>5</v>
      </c>
      <c r="B21" s="4" t="s">
        <v>27</v>
      </c>
      <c r="C21" s="19">
        <v>1.0</v>
      </c>
      <c r="D21" s="20"/>
    </row>
    <row r="22" ht="12.75" customHeight="1">
      <c r="A22" s="3" t="s">
        <v>5</v>
      </c>
      <c r="B22" s="4" t="s">
        <v>28</v>
      </c>
      <c r="C22" s="17">
        <v>1.0</v>
      </c>
      <c r="D22" s="1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  <c r="C23" s="19">
        <v>0.0</v>
      </c>
      <c r="D23" s="20"/>
    </row>
    <row r="24" ht="12.75" customHeight="1">
      <c r="A24" s="3" t="s">
        <v>5</v>
      </c>
      <c r="B24" s="4" t="s">
        <v>30</v>
      </c>
      <c r="C24" s="17">
        <v>0.0</v>
      </c>
      <c r="D24" s="18"/>
    </row>
    <row r="25" ht="12.75" customHeight="1">
      <c r="A25" s="3" t="s">
        <v>22</v>
      </c>
      <c r="B25" s="4" t="s">
        <v>31</v>
      </c>
      <c r="C25" s="19">
        <v>0.0</v>
      </c>
      <c r="D25" s="20"/>
    </row>
    <row r="26" ht="12.75" customHeight="1">
      <c r="A26" s="3" t="s">
        <v>24</v>
      </c>
      <c r="B26" s="4" t="s">
        <v>25</v>
      </c>
      <c r="C26" s="19">
        <v>0.0</v>
      </c>
      <c r="D26" s="20"/>
    </row>
    <row r="27" ht="12.75" customHeight="1">
      <c r="A27" s="3" t="s">
        <v>5</v>
      </c>
      <c r="B27" s="4" t="s">
        <v>32</v>
      </c>
      <c r="C27" s="17">
        <v>1.0</v>
      </c>
      <c r="D27" s="18"/>
    </row>
    <row r="28" ht="12.75" customHeight="1">
      <c r="A28" s="3" t="s">
        <v>22</v>
      </c>
      <c r="B28" s="4" t="s">
        <v>33</v>
      </c>
      <c r="C28" s="19">
        <v>0.5</v>
      </c>
      <c r="D28" s="22" t="s">
        <v>58</v>
      </c>
    </row>
    <row r="29" ht="12.75" customHeight="1">
      <c r="A29" s="3" t="s">
        <v>24</v>
      </c>
      <c r="B29" s="4" t="s">
        <v>34</v>
      </c>
      <c r="C29" s="17">
        <v>0.0</v>
      </c>
      <c r="D29" s="18"/>
    </row>
    <row r="30" ht="12.75" customHeight="1">
      <c r="A30" s="3" t="s">
        <v>2</v>
      </c>
      <c r="B30" s="4" t="s">
        <v>35</v>
      </c>
      <c r="C30" s="19">
        <v>1.0</v>
      </c>
      <c r="D30" s="20"/>
    </row>
    <row r="31" ht="12.75" customHeight="1">
      <c r="A31" s="3" t="s">
        <v>5</v>
      </c>
      <c r="B31" s="4" t="s">
        <v>36</v>
      </c>
      <c r="C31" s="17">
        <v>0.0</v>
      </c>
      <c r="D31" s="18"/>
    </row>
    <row r="32" ht="12.75" customHeight="1">
      <c r="A32" s="3" t="s">
        <v>22</v>
      </c>
      <c r="B32" s="4" t="s">
        <v>37</v>
      </c>
      <c r="C32" s="19">
        <v>0.0</v>
      </c>
      <c r="D32" s="20"/>
    </row>
    <row r="33" ht="12.75" customHeight="1">
      <c r="A33" s="6" t="s">
        <v>24</v>
      </c>
      <c r="B33" s="7" t="s">
        <v>25</v>
      </c>
      <c r="C33" s="17">
        <v>0.0</v>
      </c>
      <c r="D33" s="1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  <c r="C34" s="19">
        <v>1.0</v>
      </c>
      <c r="D34" s="20"/>
    </row>
    <row r="35" ht="15.0" customHeight="1">
      <c r="A35" s="3" t="s">
        <v>22</v>
      </c>
      <c r="B35" s="4" t="s">
        <v>39</v>
      </c>
      <c r="C35" s="17">
        <v>0.0</v>
      </c>
      <c r="D35" s="1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19">
        <v>0.0</v>
      </c>
      <c r="D36" s="2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17">
        <v>1.0</v>
      </c>
      <c r="D37" s="1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19">
        <v>1.0</v>
      </c>
      <c r="D38" s="2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17">
        <v>0.5</v>
      </c>
      <c r="D39" s="1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19">
        <v>0.0</v>
      </c>
      <c r="D40" s="2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17">
        <v>1.0</v>
      </c>
      <c r="D41" s="1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19">
        <v>1.0</v>
      </c>
      <c r="D42" s="2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17">
        <v>1.0</v>
      </c>
      <c r="D43" s="1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23">
        <v>0.0</v>
      </c>
      <c r="D44" s="2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  <c r="C45" s="25">
        <v>0.0</v>
      </c>
      <c r="D45" s="26"/>
    </row>
    <row r="46" ht="12.75" customHeight="1">
      <c r="A46" s="12" t="s">
        <v>5</v>
      </c>
      <c r="B46" s="13" t="s">
        <v>47</v>
      </c>
      <c r="C46" s="27">
        <v>0.0</v>
      </c>
      <c r="D46" s="28"/>
    </row>
    <row r="47" ht="12.75" customHeight="1">
      <c r="A47" s="3" t="s">
        <v>22</v>
      </c>
      <c r="B47" s="4" t="s">
        <v>47</v>
      </c>
      <c r="C47" s="25">
        <v>0.0</v>
      </c>
      <c r="D47" s="26"/>
    </row>
    <row r="48" ht="12.75" customHeight="1">
      <c r="A48" s="12" t="s">
        <v>24</v>
      </c>
      <c r="B48" s="13" t="s">
        <v>47</v>
      </c>
      <c r="C48" s="27">
        <v>0.0</v>
      </c>
      <c r="D48" s="28"/>
    </row>
    <row r="49" ht="12.75" customHeight="1">
      <c r="A49" s="3" t="s">
        <v>12</v>
      </c>
      <c r="B49" s="4" t="s">
        <v>47</v>
      </c>
      <c r="C49" s="25">
        <v>0.0</v>
      </c>
      <c r="D49" s="26"/>
    </row>
    <row r="50" ht="12.75" customHeight="1">
      <c r="A50" s="12" t="s">
        <v>48</v>
      </c>
      <c r="B50" s="13" t="s">
        <v>47</v>
      </c>
      <c r="C50" s="27">
        <v>0.0</v>
      </c>
      <c r="D50" s="28"/>
    </row>
    <row r="51" ht="12.75" customHeight="1">
      <c r="A51" s="3" t="s">
        <v>14</v>
      </c>
      <c r="B51" s="4" t="s">
        <v>47</v>
      </c>
      <c r="C51" s="25">
        <v>0.0</v>
      </c>
      <c r="D51" s="26"/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28.5"/>
    <col customWidth="1" min="5" max="22" width="10.63"/>
  </cols>
  <sheetData>
    <row r="1" ht="12.75" customHeight="1">
      <c r="A1" s="1" t="s">
        <v>0</v>
      </c>
      <c r="B1" s="2" t="s">
        <v>1</v>
      </c>
      <c r="C1" s="16" t="s">
        <v>59</v>
      </c>
      <c r="D1" s="16" t="s">
        <v>50</v>
      </c>
    </row>
    <row r="2" ht="12.75" customHeight="1">
      <c r="A2" s="3" t="s">
        <v>2</v>
      </c>
      <c r="B2" s="4" t="s">
        <v>3</v>
      </c>
      <c r="C2" s="17">
        <v>1.0</v>
      </c>
      <c r="D2" s="9"/>
    </row>
    <row r="3" ht="12.75" customHeight="1">
      <c r="A3" s="3" t="s">
        <v>2</v>
      </c>
      <c r="B3" s="4" t="s">
        <v>4</v>
      </c>
      <c r="C3" s="19">
        <v>1.0</v>
      </c>
      <c r="D3" s="7"/>
    </row>
    <row r="4" ht="12.75" customHeight="1">
      <c r="A4" s="3" t="s">
        <v>5</v>
      </c>
      <c r="B4" s="4" t="s">
        <v>6</v>
      </c>
      <c r="C4" s="17">
        <v>1.0</v>
      </c>
      <c r="D4" s="9"/>
    </row>
    <row r="5" ht="12.75" customHeight="1">
      <c r="A5" s="3" t="s">
        <v>2</v>
      </c>
      <c r="B5" s="4" t="s">
        <v>7</v>
      </c>
      <c r="C5" s="19">
        <v>1.0</v>
      </c>
      <c r="D5" s="7"/>
    </row>
    <row r="6" ht="12.75" customHeight="1">
      <c r="A6" s="3" t="s">
        <v>5</v>
      </c>
      <c r="B6" s="4" t="s">
        <v>8</v>
      </c>
      <c r="C6" s="17">
        <v>1.0</v>
      </c>
      <c r="D6" s="9"/>
    </row>
    <row r="7" ht="12.75" customHeight="1">
      <c r="A7" s="3" t="s">
        <v>5</v>
      </c>
      <c r="B7" s="4" t="s">
        <v>9</v>
      </c>
      <c r="C7" s="19">
        <v>1.0</v>
      </c>
      <c r="D7" s="7"/>
    </row>
    <row r="8" ht="12.75" customHeight="1">
      <c r="A8" s="3" t="s">
        <v>2</v>
      </c>
      <c r="B8" s="4" t="s">
        <v>10</v>
      </c>
      <c r="C8" s="17">
        <v>1.0</v>
      </c>
      <c r="D8" s="9"/>
    </row>
    <row r="9" ht="12.75" customHeight="1">
      <c r="A9" s="3" t="s">
        <v>5</v>
      </c>
      <c r="B9" s="4" t="s">
        <v>11</v>
      </c>
      <c r="C9" s="19">
        <v>1.0</v>
      </c>
      <c r="D9" s="7"/>
    </row>
    <row r="10" ht="12.75" customHeight="1">
      <c r="A10" s="3" t="s">
        <v>12</v>
      </c>
      <c r="B10" s="4" t="s">
        <v>13</v>
      </c>
      <c r="C10" s="17">
        <v>1.0</v>
      </c>
      <c r="D10" s="29" t="s">
        <v>60</v>
      </c>
    </row>
    <row r="11" ht="12.75" customHeight="1">
      <c r="A11" s="3" t="s">
        <v>14</v>
      </c>
      <c r="B11" s="4" t="s">
        <v>15</v>
      </c>
      <c r="C11" s="19">
        <v>0.0</v>
      </c>
      <c r="D11" s="9"/>
    </row>
    <row r="12" ht="12.75" customHeight="1">
      <c r="A12" s="3" t="s">
        <v>5</v>
      </c>
      <c r="B12" s="4" t="s">
        <v>16</v>
      </c>
      <c r="C12" s="17">
        <v>0.5</v>
      </c>
      <c r="D12" s="29" t="s">
        <v>61</v>
      </c>
    </row>
    <row r="13" ht="12.75" customHeight="1">
      <c r="A13" s="3" t="s">
        <v>5</v>
      </c>
      <c r="B13" s="4" t="s">
        <v>17</v>
      </c>
      <c r="C13" s="19">
        <v>1.0</v>
      </c>
      <c r="D13" s="9"/>
    </row>
    <row r="14" ht="12.75" customHeight="1">
      <c r="A14" s="3" t="s">
        <v>2</v>
      </c>
      <c r="B14" s="4" t="s">
        <v>18</v>
      </c>
      <c r="C14" s="17">
        <v>0.0</v>
      </c>
      <c r="D14" s="7"/>
    </row>
    <row r="15" ht="12.75" customHeight="1">
      <c r="A15" s="3" t="s">
        <v>2</v>
      </c>
      <c r="B15" s="4" t="s">
        <v>19</v>
      </c>
      <c r="C15" s="19">
        <v>1.0</v>
      </c>
      <c r="D15" s="9"/>
    </row>
    <row r="16" ht="15.0" customHeight="1">
      <c r="A16" s="3" t="s">
        <v>5</v>
      </c>
      <c r="B16" s="4" t="s">
        <v>20</v>
      </c>
      <c r="C16" s="17">
        <v>1.0</v>
      </c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  <c r="C17" s="19">
        <v>1.0</v>
      </c>
      <c r="D17" s="9"/>
    </row>
    <row r="18" ht="12.75" customHeight="1">
      <c r="A18" s="3" t="s">
        <v>22</v>
      </c>
      <c r="B18" s="4" t="s">
        <v>23</v>
      </c>
      <c r="C18" s="17">
        <v>1.0</v>
      </c>
      <c r="D18" s="7"/>
    </row>
    <row r="19" ht="12.75" customHeight="1">
      <c r="A19" s="6" t="s">
        <v>24</v>
      </c>
      <c r="B19" s="7" t="s">
        <v>25</v>
      </c>
      <c r="C19" s="19">
        <v>1.0</v>
      </c>
      <c r="D19" s="9"/>
    </row>
    <row r="20" ht="12.75" customHeight="1">
      <c r="A20" s="3" t="s">
        <v>2</v>
      </c>
      <c r="B20" s="4" t="s">
        <v>26</v>
      </c>
      <c r="C20" s="17">
        <v>1.0</v>
      </c>
      <c r="D20" s="7"/>
    </row>
    <row r="21" ht="12.75" customHeight="1">
      <c r="A21" s="3" t="s">
        <v>5</v>
      </c>
      <c r="B21" s="4" t="s">
        <v>27</v>
      </c>
      <c r="C21" s="19">
        <v>1.0</v>
      </c>
      <c r="D21" s="9"/>
    </row>
    <row r="22" ht="12.75" customHeight="1">
      <c r="A22" s="3" t="s">
        <v>5</v>
      </c>
      <c r="B22" s="4" t="s">
        <v>28</v>
      </c>
      <c r="C22" s="17">
        <v>1.0</v>
      </c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  <c r="C23" s="19">
        <v>0.0</v>
      </c>
      <c r="D23" s="9"/>
    </row>
    <row r="24" ht="12.75" customHeight="1">
      <c r="A24" s="3" t="s">
        <v>5</v>
      </c>
      <c r="B24" s="4" t="s">
        <v>30</v>
      </c>
      <c r="C24" s="17">
        <v>0.0</v>
      </c>
      <c r="D24" s="7"/>
    </row>
    <row r="25">
      <c r="A25" s="3" t="s">
        <v>22</v>
      </c>
      <c r="B25" s="4" t="s">
        <v>31</v>
      </c>
      <c r="C25" s="19">
        <v>0.0</v>
      </c>
      <c r="D25" s="9"/>
    </row>
    <row r="26" ht="12.75" customHeight="1">
      <c r="A26" s="3" t="s">
        <v>24</v>
      </c>
      <c r="B26" s="4" t="s">
        <v>25</v>
      </c>
      <c r="C26" s="19">
        <v>0.0</v>
      </c>
      <c r="D26" s="9"/>
    </row>
    <row r="27" ht="12.75" customHeight="1">
      <c r="A27" s="3" t="s">
        <v>5</v>
      </c>
      <c r="B27" s="4" t="s">
        <v>32</v>
      </c>
      <c r="C27" s="17">
        <v>1.0</v>
      </c>
      <c r="D27" s="7"/>
    </row>
    <row r="28" ht="12.75" customHeight="1">
      <c r="A28" s="3" t="s">
        <v>22</v>
      </c>
      <c r="B28" s="4" t="s">
        <v>33</v>
      </c>
      <c r="C28" s="19">
        <v>0.0</v>
      </c>
      <c r="D28" s="9"/>
    </row>
    <row r="29" ht="12.75" customHeight="1">
      <c r="A29" s="3" t="s">
        <v>24</v>
      </c>
      <c r="B29" s="4" t="s">
        <v>34</v>
      </c>
      <c r="C29" s="17">
        <v>0.0</v>
      </c>
      <c r="D29" s="7"/>
    </row>
    <row r="30" ht="12.75" customHeight="1">
      <c r="A30" s="3" t="s">
        <v>2</v>
      </c>
      <c r="B30" s="4" t="s">
        <v>35</v>
      </c>
      <c r="C30" s="19">
        <v>1.0</v>
      </c>
      <c r="D30" s="9"/>
    </row>
    <row r="31" ht="12.75" customHeight="1">
      <c r="A31" s="3" t="s">
        <v>5</v>
      </c>
      <c r="B31" s="4" t="s">
        <v>36</v>
      </c>
      <c r="C31" s="17">
        <v>0.0</v>
      </c>
      <c r="D31" s="7"/>
    </row>
    <row r="32" ht="12.75" customHeight="1">
      <c r="A32" s="3" t="s">
        <v>22</v>
      </c>
      <c r="B32" s="4" t="s">
        <v>37</v>
      </c>
      <c r="C32" s="19">
        <v>0.0</v>
      </c>
      <c r="D32" s="9"/>
    </row>
    <row r="33" ht="12.75" customHeight="1">
      <c r="A33" s="6" t="s">
        <v>24</v>
      </c>
      <c r="B33" s="7" t="s">
        <v>25</v>
      </c>
      <c r="C33" s="17">
        <v>0.0</v>
      </c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  <c r="C34" s="19">
        <v>1.0</v>
      </c>
      <c r="D34" s="9"/>
    </row>
    <row r="35" ht="15.0" customHeight="1">
      <c r="A35" s="3" t="s">
        <v>22</v>
      </c>
      <c r="B35" s="4" t="s">
        <v>39</v>
      </c>
      <c r="C35" s="17">
        <v>0.0</v>
      </c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19">
        <v>0.0</v>
      </c>
      <c r="D36" s="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17">
        <v>1.0</v>
      </c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19">
        <v>1.0</v>
      </c>
      <c r="D38" s="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17">
        <v>1.0</v>
      </c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19">
        <v>0.0</v>
      </c>
      <c r="D40" s="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17">
        <v>1.0</v>
      </c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19">
        <v>1.0</v>
      </c>
      <c r="D42" s="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17">
        <v>1.0</v>
      </c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23">
        <v>0.5</v>
      </c>
      <c r="D44" s="30" t="s">
        <v>62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  <c r="C45" s="31">
        <v>0.0</v>
      </c>
      <c r="D45" s="32"/>
    </row>
    <row r="46" ht="12.75" customHeight="1">
      <c r="A46" s="12" t="s">
        <v>5</v>
      </c>
      <c r="B46" s="13" t="s">
        <v>47</v>
      </c>
      <c r="C46" s="31">
        <v>0.0</v>
      </c>
      <c r="D46" s="32"/>
    </row>
    <row r="47" ht="12.75" customHeight="1">
      <c r="A47" s="3" t="s">
        <v>22</v>
      </c>
      <c r="B47" s="4" t="s">
        <v>47</v>
      </c>
      <c r="C47" s="31">
        <v>0.0</v>
      </c>
      <c r="D47" s="32"/>
    </row>
    <row r="48" ht="12.75" customHeight="1">
      <c r="A48" s="12" t="s">
        <v>24</v>
      </c>
      <c r="B48" s="13" t="s">
        <v>47</v>
      </c>
      <c r="C48" s="31">
        <v>0.0</v>
      </c>
      <c r="D48" s="32"/>
    </row>
    <row r="49" ht="12.75" customHeight="1">
      <c r="A49" s="3" t="s">
        <v>12</v>
      </c>
      <c r="B49" s="4" t="s">
        <v>47</v>
      </c>
      <c r="C49" s="31">
        <v>0.0</v>
      </c>
      <c r="D49" s="32"/>
    </row>
    <row r="50" ht="12.75" customHeight="1">
      <c r="A50" s="12" t="s">
        <v>48</v>
      </c>
      <c r="B50" s="13" t="s">
        <v>47</v>
      </c>
      <c r="C50" s="31">
        <v>0.0</v>
      </c>
      <c r="D50" s="32"/>
    </row>
    <row r="51" ht="12.75" customHeight="1">
      <c r="A51" s="3" t="s">
        <v>14</v>
      </c>
      <c r="B51" s="4" t="s">
        <v>47</v>
      </c>
      <c r="C51" s="31">
        <v>0.0</v>
      </c>
      <c r="D51" s="32"/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3" t="s">
        <v>63</v>
      </c>
      <c r="B1" s="34"/>
      <c r="C1" s="34"/>
      <c r="D1" s="34"/>
      <c r="E1" s="34"/>
      <c r="F1" s="34"/>
      <c r="G1" s="34"/>
      <c r="H1" s="34"/>
      <c r="J1" s="35" t="s">
        <v>64</v>
      </c>
      <c r="K1" s="36"/>
    </row>
    <row r="2" ht="15.75" customHeight="1">
      <c r="A2" s="37" t="s">
        <v>0</v>
      </c>
      <c r="B2" s="37" t="s">
        <v>65</v>
      </c>
      <c r="C2" s="37" t="s">
        <v>66</v>
      </c>
      <c r="D2" s="37" t="s">
        <v>67</v>
      </c>
      <c r="E2" s="37" t="s">
        <v>68</v>
      </c>
      <c r="F2" s="37" t="s">
        <v>69</v>
      </c>
      <c r="G2" s="37" t="s">
        <v>70</v>
      </c>
      <c r="H2" s="37" t="s">
        <v>71</v>
      </c>
      <c r="J2" s="38" t="s">
        <v>72</v>
      </c>
      <c r="K2" s="36"/>
    </row>
    <row r="3" ht="15.75" customHeight="1">
      <c r="A3" s="39" t="s">
        <v>12</v>
      </c>
      <c r="B3" s="40">
        <f>COUNTIF(Thermonix!$A$2:$A$44, A3)</f>
        <v>1</v>
      </c>
      <c r="C3" s="41">
        <f>SUMIF('Thermonix Grader #1'!$A$2:$A$44, $A3, 'Thermonix Grader #1'!$C$2:$C$44)</f>
        <v>0</v>
      </c>
      <c r="D3" s="41">
        <f>SUMIF('Thermonix Grader #1'!$A$45:$A$51, $A3, 'Thermonix Grader #1'!$C$45:$C$51)</f>
        <v>0</v>
      </c>
      <c r="E3" s="41">
        <f>COUNTIFS('Thermonix Grader #1'!$A$2:$A$44, $A3, 'Thermonix Grader #1'!$C$2:$C$44,0)</f>
        <v>1</v>
      </c>
      <c r="F3" s="41" t="str">
        <f t="shared" ref="F3:F10" si="1">IFERROR(C3 / (C3 + D3), "Not Available")</f>
        <v>Not Available</v>
      </c>
      <c r="G3" s="41">
        <f t="shared" ref="G3:G10" si="2">IFERROR(C3 / B3, "Not Available")</f>
        <v>0</v>
      </c>
      <c r="H3" s="41" t="str">
        <f t="shared" ref="H3:H10" si="3">IFERROR(2*((F3*G3)/(F3+G3)),"Not Available")</f>
        <v>Not Available</v>
      </c>
      <c r="J3" s="36"/>
      <c r="K3" s="36"/>
    </row>
    <row r="4" ht="15.75" customHeight="1">
      <c r="A4" s="42" t="s">
        <v>2</v>
      </c>
      <c r="B4" s="40">
        <f>COUNTIF(Thermonix!$A$2:$A$44, A4)</f>
        <v>11</v>
      </c>
      <c r="C4" s="41">
        <f>SUMIF('Thermonix Grader #1'!$A$2:$A$44, $A4, 'Thermonix Grader #1'!$C$2:$C$44)</f>
        <v>9</v>
      </c>
      <c r="D4" s="41">
        <f>SUMIF('Thermonix Grader #1'!$A$45:$A$51, $A4, 'Thermonix Grader #1'!$C$45:$C$51)</f>
        <v>0</v>
      </c>
      <c r="E4" s="41">
        <f>COUNTIFS('Thermonix Grader #1'!$A$2:$A$44, $A4, 'Thermonix Grader #1'!$C$2:$C$44,0)</f>
        <v>2</v>
      </c>
      <c r="F4" s="41">
        <f t="shared" si="1"/>
        <v>1</v>
      </c>
      <c r="G4" s="41">
        <f t="shared" si="2"/>
        <v>0.8181818182</v>
      </c>
      <c r="H4" s="41">
        <f t="shared" si="3"/>
        <v>0.9</v>
      </c>
      <c r="J4" s="35" t="s">
        <v>73</v>
      </c>
      <c r="K4" s="36"/>
    </row>
    <row r="5" ht="15.75" customHeight="1">
      <c r="A5" s="42" t="s">
        <v>5</v>
      </c>
      <c r="B5" s="40">
        <f>COUNTIF(Thermonix!$A$2:$A$44, A5)</f>
        <v>17</v>
      </c>
      <c r="C5" s="41">
        <f>SUMIF('Thermonix Grader #1'!$A$2:$A$44, $A5, 'Thermonix Grader #1'!$C$2:$C$44)</f>
        <v>14</v>
      </c>
      <c r="D5" s="41">
        <f>SUMIF('Thermonix Grader #1'!$A$45:$A$51, $A5, 'Thermonix Grader #1'!$C$45:$C$51)</f>
        <v>0</v>
      </c>
      <c r="E5" s="41">
        <f>COUNTIFS('Thermonix Grader #1'!$A$2:$A$44, $A5, 'Thermonix Grader #1'!$C$2:$C$44,0)</f>
        <v>3</v>
      </c>
      <c r="F5" s="41">
        <f t="shared" si="1"/>
        <v>1</v>
      </c>
      <c r="G5" s="41">
        <f t="shared" si="2"/>
        <v>0.8235294118</v>
      </c>
      <c r="H5" s="41">
        <f t="shared" si="3"/>
        <v>0.9032258065</v>
      </c>
      <c r="J5" s="43">
        <v>2.0</v>
      </c>
      <c r="K5" s="36"/>
    </row>
    <row r="6" ht="15.75" customHeight="1">
      <c r="A6" s="42" t="s">
        <v>24</v>
      </c>
      <c r="B6" s="40">
        <f>COUNTIF(Thermonix!$A$2:$A$44, A6)</f>
        <v>6</v>
      </c>
      <c r="C6" s="41">
        <f>SUMIF('Thermonix Grader #1'!$A$2:$A$44, $A6, 'Thermonix Grader #1'!$C$2:$C$44)</f>
        <v>1</v>
      </c>
      <c r="D6" s="41">
        <f>SUMIF('Thermonix Grader #1'!$A$45:$A$51, $A6, 'Thermonix Grader #1'!$C$45:$C$51)</f>
        <v>0</v>
      </c>
      <c r="E6" s="41">
        <f>COUNTIFS('Thermonix Grader #1'!$A$2:$A$44, $A6, 'Thermonix Grader #1'!$C$2:$C$44,0)</f>
        <v>5</v>
      </c>
      <c r="F6" s="41">
        <f t="shared" si="1"/>
        <v>1</v>
      </c>
      <c r="G6" s="41">
        <f t="shared" si="2"/>
        <v>0.1666666667</v>
      </c>
      <c r="H6" s="41">
        <f t="shared" si="3"/>
        <v>0.2857142857</v>
      </c>
      <c r="J6" s="36"/>
      <c r="K6" s="36"/>
    </row>
    <row r="7" ht="15.75" customHeight="1">
      <c r="A7" s="42" t="s">
        <v>48</v>
      </c>
      <c r="B7" s="40">
        <f>COUNTIF(Thermonix!$A$2:$A$44, A7)</f>
        <v>0</v>
      </c>
      <c r="C7" s="41">
        <f>SUMIF('Thermonix Grader #1'!$A$2:$A$44, $A7, 'Thermonix Grader #1'!$C$2:$C$44)</f>
        <v>0</v>
      </c>
      <c r="D7" s="41">
        <f>SUMIF('Thermonix Grader #1'!$A$45:$A$51, $A7, 'Thermonix Grader #1'!$C$45:$C$51)</f>
        <v>0</v>
      </c>
      <c r="E7" s="41">
        <f>COUNTIFS('Thermonix Grader #1'!$A$2:$A$44, $A7, 'Thermonix Grader #1'!$C$2:$C$44,0)</f>
        <v>0</v>
      </c>
      <c r="F7" s="41" t="str">
        <f t="shared" si="1"/>
        <v>Not Available</v>
      </c>
      <c r="G7" s="41" t="str">
        <f t="shared" si="2"/>
        <v>Not Available</v>
      </c>
      <c r="H7" s="41" t="str">
        <f t="shared" si="3"/>
        <v>Not Available</v>
      </c>
      <c r="J7" s="35" t="s">
        <v>74</v>
      </c>
      <c r="K7" s="36"/>
    </row>
    <row r="8" ht="15.75" customHeight="1">
      <c r="A8" s="42" t="s">
        <v>14</v>
      </c>
      <c r="B8" s="40">
        <f>COUNTIF(Thermonix!$A$2:$A$44, A8)</f>
        <v>1</v>
      </c>
      <c r="C8" s="41">
        <f>SUMIF('Thermonix Grader #1'!$A$2:$A$44, $A8, 'Thermonix Grader #1'!$C$2:$C$44)</f>
        <v>0</v>
      </c>
      <c r="D8" s="41">
        <f>SUMIF('Thermonix Grader #1'!$A$45:$A$51, $A8, 'Thermonix Grader #1'!$C$45:$C$51)</f>
        <v>0</v>
      </c>
      <c r="E8" s="41">
        <f>COUNTIFS('Thermonix Grader #1'!$A$2:$A$44, $A8, 'Thermonix Grader #1'!$C$2:$C$44,0)</f>
        <v>1</v>
      </c>
      <c r="F8" s="41" t="str">
        <f t="shared" si="1"/>
        <v>Not Available</v>
      </c>
      <c r="G8" s="41">
        <f t="shared" si="2"/>
        <v>0</v>
      </c>
      <c r="H8" s="41" t="str">
        <f t="shared" si="3"/>
        <v>Not Available</v>
      </c>
      <c r="J8" s="43">
        <v>4.0</v>
      </c>
      <c r="K8" s="36"/>
    </row>
    <row r="9" ht="15.75" customHeight="1">
      <c r="A9" s="42" t="s">
        <v>22</v>
      </c>
      <c r="B9" s="40">
        <f>COUNTIF(Thermonix!$A$2:$A$44, A9)</f>
        <v>7</v>
      </c>
      <c r="C9" s="41">
        <f>SUMIF('Thermonix Grader #1'!$A$2:$A$44, $A9, 'Thermonix Grader #1'!$C$2:$C$44)</f>
        <v>3</v>
      </c>
      <c r="D9" s="41">
        <f>SUMIF('Thermonix Grader #1'!$A$45:$A$51, $A9, 'Thermonix Grader #1'!$C$45:$C$51)</f>
        <v>0</v>
      </c>
      <c r="E9" s="41">
        <f>COUNTIFS('Thermonix Grader #1'!$A$2:$A$44, $A9, 'Thermonix Grader #1'!$C$2:$C$44,0)</f>
        <v>3</v>
      </c>
      <c r="F9" s="41">
        <f t="shared" si="1"/>
        <v>1</v>
      </c>
      <c r="G9" s="41">
        <f t="shared" si="2"/>
        <v>0.4285714286</v>
      </c>
      <c r="H9" s="41">
        <f t="shared" si="3"/>
        <v>0.6</v>
      </c>
      <c r="J9" s="36"/>
      <c r="K9" s="36"/>
    </row>
    <row r="10" ht="15.75" customHeight="1">
      <c r="A10" s="42" t="s">
        <v>75</v>
      </c>
      <c r="B10" s="44">
        <f t="shared" ref="B10:E10" si="4">SUM(B3:B9)</f>
        <v>43</v>
      </c>
      <c r="C10" s="44">
        <f t="shared" si="4"/>
        <v>27</v>
      </c>
      <c r="D10" s="44">
        <f t="shared" si="4"/>
        <v>0</v>
      </c>
      <c r="E10" s="44">
        <f t="shared" si="4"/>
        <v>15</v>
      </c>
      <c r="F10" s="41">
        <f t="shared" si="1"/>
        <v>1</v>
      </c>
      <c r="G10" s="41">
        <f t="shared" si="2"/>
        <v>0.6279069767</v>
      </c>
      <c r="H10" s="41">
        <f t="shared" si="3"/>
        <v>0.7714285714</v>
      </c>
      <c r="J10" s="35" t="s">
        <v>76</v>
      </c>
      <c r="K10" s="36"/>
    </row>
    <row r="11" ht="15.75" customHeight="1">
      <c r="J11" s="38" t="s">
        <v>77</v>
      </c>
      <c r="K11" s="36"/>
    </row>
    <row r="12" ht="15.75" customHeight="1">
      <c r="A12" s="33" t="s">
        <v>78</v>
      </c>
      <c r="B12" s="34"/>
      <c r="C12" s="34"/>
      <c r="D12" s="34"/>
      <c r="E12" s="34"/>
      <c r="F12" s="34"/>
      <c r="G12" s="34"/>
      <c r="H12" s="34"/>
      <c r="J12" s="36"/>
      <c r="K12" s="36"/>
    </row>
    <row r="13" ht="15.75" customHeight="1">
      <c r="A13" s="37" t="s">
        <v>0</v>
      </c>
      <c r="B13" s="37" t="s">
        <v>65</v>
      </c>
      <c r="C13" s="37" t="s">
        <v>66</v>
      </c>
      <c r="D13" s="37" t="s">
        <v>67</v>
      </c>
      <c r="E13" s="37" t="s">
        <v>68</v>
      </c>
      <c r="F13" s="37" t="s">
        <v>69</v>
      </c>
      <c r="G13" s="37" t="s">
        <v>70</v>
      </c>
      <c r="H13" s="37" t="s">
        <v>71</v>
      </c>
    </row>
    <row r="14" ht="15.75" customHeight="1">
      <c r="A14" s="39" t="s">
        <v>79</v>
      </c>
      <c r="B14" s="40">
        <f>COUNTIF(Thermonix!$A$2:$A$44, A14)</f>
        <v>1</v>
      </c>
      <c r="C14" s="41">
        <f>SUMIF('Thermonix Grader #2'!$A$2:$A$44, $A14, 'Thermonix Grader #2'!$C$2:$C$44)</f>
        <v>1</v>
      </c>
      <c r="D14" s="41">
        <f>SUMIF('Thermonix Grader #2'!$A$45:$A$51, $A14, 'Thermonix Grader #2'!$C$45:$C$51)</f>
        <v>0</v>
      </c>
      <c r="E14" s="41">
        <f>COUNTIFS('Thermonix Grader #2'!$A$2:$A$44, $A14, 'Thermonix Grader #2'!$C$2:$C$44,0)</f>
        <v>0</v>
      </c>
      <c r="F14" s="41">
        <f t="shared" ref="F14:F21" si="5">IFERROR(C14 / (C14 + D14), "Not Available")</f>
        <v>1</v>
      </c>
      <c r="G14" s="41">
        <f t="shared" ref="G14:G21" si="6">IFERROR(C14 / B14, "Not Available")</f>
        <v>1</v>
      </c>
      <c r="H14" s="41">
        <f t="shared" ref="H14:H21" si="7">IFERROR(2*((F14*G14)/(F14+G14)),"Not Available")</f>
        <v>1</v>
      </c>
    </row>
    <row r="15" ht="15.75" customHeight="1">
      <c r="A15" s="42" t="s">
        <v>2</v>
      </c>
      <c r="B15" s="40">
        <f>COUNTIF(Thermonix!$A$2:$A$44, A15)</f>
        <v>11</v>
      </c>
      <c r="C15" s="41">
        <f>SUMIF('Thermonix Grader #2'!$A$2:$A$44, $A15, 'Thermonix Grader #2'!$C$2:$C$44)</f>
        <v>9</v>
      </c>
      <c r="D15" s="41">
        <f>SUMIF('Thermonix Grader #2'!$A$45:$A$51, $A15, 'Thermonix Grader #2'!$C$45:$C$51)</f>
        <v>0</v>
      </c>
      <c r="E15" s="41">
        <f>COUNTIFS('Thermonix Grader #2'!$A$2:$A$44, $A15, 'Thermonix Grader #2'!$C$2:$C$44,0)</f>
        <v>2</v>
      </c>
      <c r="F15" s="41">
        <f t="shared" si="5"/>
        <v>1</v>
      </c>
      <c r="G15" s="41">
        <f t="shared" si="6"/>
        <v>0.8181818182</v>
      </c>
      <c r="H15" s="41">
        <f t="shared" si="7"/>
        <v>0.9</v>
      </c>
    </row>
    <row r="16" ht="15.75" customHeight="1">
      <c r="A16" s="42" t="s">
        <v>5</v>
      </c>
      <c r="B16" s="40">
        <f>COUNTIF(Thermonix!$A$2:$A$44, A16)</f>
        <v>17</v>
      </c>
      <c r="C16" s="41">
        <f>SUMIF('Thermonix Grader #2'!$A$2:$A$44, $A16, 'Thermonix Grader #2'!$C$2:$C$44)</f>
        <v>14</v>
      </c>
      <c r="D16" s="41">
        <f>SUMIF('Thermonix Grader #2'!$A$45:$A$51, $A16, 'Thermonix Grader #2'!$C$45:$C$51)</f>
        <v>0</v>
      </c>
      <c r="E16" s="41">
        <f>COUNTIFS('Thermonix Grader #2'!$A$2:$A$44, $A16, 'Thermonix Grader #2'!$C$2:$C$44,0)</f>
        <v>2</v>
      </c>
      <c r="F16" s="41">
        <f t="shared" si="5"/>
        <v>1</v>
      </c>
      <c r="G16" s="41">
        <f t="shared" si="6"/>
        <v>0.8235294118</v>
      </c>
      <c r="H16" s="41">
        <f t="shared" si="7"/>
        <v>0.9032258065</v>
      </c>
    </row>
    <row r="17" ht="15.75" customHeight="1">
      <c r="A17" s="42" t="s">
        <v>24</v>
      </c>
      <c r="B17" s="40">
        <f>COUNTIF(Thermonix!$A$2:$A$44, A17)</f>
        <v>6</v>
      </c>
      <c r="C17" s="41">
        <f>SUMIF('Thermonix Grader #2'!$A$2:$A$44, $A17, 'Thermonix Grader #2'!$C$2:$C$44)</f>
        <v>1</v>
      </c>
      <c r="D17" s="41">
        <f>SUMIF('Thermonix Grader #2'!$A$45:$A$51, $A17, 'Thermonix Grader #2'!$C$45:$C$51)</f>
        <v>0</v>
      </c>
      <c r="E17" s="41">
        <f>COUNTIFS('Thermonix Grader #2'!$A$2:$A$44, $A17, 'Thermonix Grader #2'!$C$2:$C$44,0)</f>
        <v>5</v>
      </c>
      <c r="F17" s="41">
        <f t="shared" si="5"/>
        <v>1</v>
      </c>
      <c r="G17" s="41">
        <f t="shared" si="6"/>
        <v>0.1666666667</v>
      </c>
      <c r="H17" s="41">
        <f t="shared" si="7"/>
        <v>0.2857142857</v>
      </c>
    </row>
    <row r="18" ht="15.75" customHeight="1">
      <c r="A18" s="42" t="s">
        <v>48</v>
      </c>
      <c r="B18" s="40">
        <f>COUNTIF(Thermonix!$A$2:$A$44, A18)</f>
        <v>0</v>
      </c>
      <c r="C18" s="41">
        <f>SUMIF('Thermonix Grader #2'!$A$2:$A$44, $A18, 'Thermonix Grader #2'!$C$2:$C$44)</f>
        <v>0</v>
      </c>
      <c r="D18" s="41">
        <f>SUMIF('Thermonix Grader #2'!$A$45:$A$51, $A18, 'Thermonix Grader #2'!$C$45:$C$51)</f>
        <v>0</v>
      </c>
      <c r="E18" s="41">
        <f>COUNTIFS('Thermonix Grader #2'!$A$2:$A$44, $A18, 'Thermonix Grader #2'!$C$2:$C$44,0)</f>
        <v>0</v>
      </c>
      <c r="F18" s="41" t="str">
        <f t="shared" si="5"/>
        <v>Not Available</v>
      </c>
      <c r="G18" s="41" t="str">
        <f t="shared" si="6"/>
        <v>Not Available</v>
      </c>
      <c r="H18" s="41" t="str">
        <f t="shared" si="7"/>
        <v>Not Available</v>
      </c>
    </row>
    <row r="19" ht="15.75" customHeight="1">
      <c r="A19" s="42" t="s">
        <v>14</v>
      </c>
      <c r="B19" s="40">
        <f>COUNTIF(Thermonix!$A$2:$A$44, A19)</f>
        <v>1</v>
      </c>
      <c r="C19" s="41">
        <f>SUMIF('Thermonix Grader #2'!$A$2:$A$44, $A19, 'Thermonix Grader #2'!$C$2:$C$44)</f>
        <v>0</v>
      </c>
      <c r="D19" s="41">
        <f>SUMIF('Thermonix Grader #2'!$A$45:$A$51, $A19, 'Thermonix Grader #2'!$C$45:$C$51)</f>
        <v>0</v>
      </c>
      <c r="E19" s="41">
        <f>COUNTIFS('Thermonix Grader #2'!$A$2:$A$44, $A19, 'Thermonix Grader #2'!$C$2:$C$44,0)</f>
        <v>1</v>
      </c>
      <c r="F19" s="41" t="str">
        <f t="shared" si="5"/>
        <v>Not Available</v>
      </c>
      <c r="G19" s="41">
        <f t="shared" si="6"/>
        <v>0</v>
      </c>
      <c r="H19" s="41" t="str">
        <f t="shared" si="7"/>
        <v>Not Available</v>
      </c>
    </row>
    <row r="20" ht="15.75" customHeight="1">
      <c r="A20" s="42" t="s">
        <v>22</v>
      </c>
      <c r="B20" s="40">
        <f>COUNTIF(Thermonix!$A$2:$A$44, A20)</f>
        <v>7</v>
      </c>
      <c r="C20" s="41">
        <f>SUMIF('Thermonix Grader #2'!$A$2:$A$44, $A20, 'Thermonix Grader #2'!$C$2:$C$44)</f>
        <v>3</v>
      </c>
      <c r="D20" s="41">
        <f>SUMIF('Thermonix Grader #2'!$A$45:$A$51, $A20, 'Thermonix Grader #2'!$C$45:$C$51)</f>
        <v>0</v>
      </c>
      <c r="E20" s="41">
        <f>COUNTIFS('Thermonix Grader #2'!$A$2:$A$44, $A20, 'Thermonix Grader #2'!$C$2:$C$44,0)</f>
        <v>4</v>
      </c>
      <c r="F20" s="41">
        <f t="shared" si="5"/>
        <v>1</v>
      </c>
      <c r="G20" s="41">
        <f t="shared" si="6"/>
        <v>0.4285714286</v>
      </c>
      <c r="H20" s="41">
        <f t="shared" si="7"/>
        <v>0.6</v>
      </c>
    </row>
    <row r="21" ht="15.75" customHeight="1">
      <c r="A21" s="42" t="s">
        <v>75</v>
      </c>
      <c r="B21" s="41">
        <f t="shared" ref="B21:E21" si="8">SUM(B14:B20)</f>
        <v>43</v>
      </c>
      <c r="C21" s="41">
        <f t="shared" si="8"/>
        <v>28</v>
      </c>
      <c r="D21" s="41">
        <f t="shared" si="8"/>
        <v>0</v>
      </c>
      <c r="E21" s="41">
        <f t="shared" si="8"/>
        <v>14</v>
      </c>
      <c r="F21" s="41">
        <f t="shared" si="5"/>
        <v>1</v>
      </c>
      <c r="G21" s="41">
        <f t="shared" si="6"/>
        <v>0.6511627907</v>
      </c>
      <c r="H21" s="41">
        <f t="shared" si="7"/>
        <v>0.7887323944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11" width="10.63"/>
    <col customWidth="1" min="12" max="12" width="27.63"/>
    <col customWidth="1" min="13" max="13" width="10.63"/>
    <col customWidth="1" min="14" max="14" width="50.0"/>
    <col customWidth="1" min="15" max="20" width="10.63"/>
  </cols>
  <sheetData>
    <row r="1" ht="12.75" customHeight="1">
      <c r="A1" s="1" t="s">
        <v>0</v>
      </c>
      <c r="B1" s="2" t="s">
        <v>1</v>
      </c>
      <c r="C1" s="45" t="s">
        <v>80</v>
      </c>
      <c r="D1" s="45" t="s">
        <v>81</v>
      </c>
      <c r="F1" s="46" t="s">
        <v>82</v>
      </c>
      <c r="L1" s="47" t="s">
        <v>83</v>
      </c>
      <c r="M1" s="48"/>
      <c r="N1" s="48"/>
    </row>
    <row r="2" ht="12.75" customHeight="1">
      <c r="A2" s="3" t="str">
        <f>Thermonix!A2</f>
        <v>State</v>
      </c>
      <c r="B2" s="4" t="str">
        <f>Thermonix!B2</f>
        <v>initial state (⇒ TransportationMode)</v>
      </c>
      <c r="C2" s="49">
        <f>'Thermonix Grader #1'!C2</f>
        <v>1</v>
      </c>
      <c r="D2" s="49">
        <f>'Thermonix Grader #2'!C2</f>
        <v>1</v>
      </c>
      <c r="F2" s="15" t="s">
        <v>84</v>
      </c>
      <c r="G2" s="50" t="s">
        <v>85</v>
      </c>
      <c r="H2" s="51" t="s">
        <v>86</v>
      </c>
      <c r="I2" s="52" t="s">
        <v>87</v>
      </c>
      <c r="J2" s="53" t="s">
        <v>88</v>
      </c>
      <c r="K2" s="15"/>
      <c r="L2" s="54" t="s">
        <v>89</v>
      </c>
      <c r="M2" s="54" t="s">
        <v>90</v>
      </c>
      <c r="N2" s="54" t="s">
        <v>91</v>
      </c>
    </row>
    <row r="3" ht="12.75" customHeight="1">
      <c r="A3" s="3" t="str">
        <f>Thermonix!A3</f>
        <v>State</v>
      </c>
      <c r="B3" s="4" t="str">
        <f>Thermonix!B3</f>
        <v>TransportationMode</v>
      </c>
      <c r="C3" s="49">
        <f>'Thermonix Grader #1'!C3</f>
        <v>1</v>
      </c>
      <c r="D3" s="49">
        <f>'Thermonix Grader #2'!C3</f>
        <v>1</v>
      </c>
      <c r="F3" s="55">
        <v>0.0</v>
      </c>
      <c r="G3" s="56">
        <f>COUNTIFS($C$2:$C$88, $F3, $D$2:$D$88, G$2)</f>
        <v>20</v>
      </c>
      <c r="H3" s="57">
        <f>COUNTIFS($C$2:$C$44, $F3, $D$2:$D$44, H$2)</f>
        <v>1</v>
      </c>
      <c r="I3" s="58">
        <f>COUNTIFS($C$2:$C$44, $F3, $D$2:$D$44, I$2)+MAX(D45-C45,0)+MAX(D46-C46,0)+MAX(D47-C47,0)+MAX(D48-C48,0)+MAX(D49-C49,0)+MAX(D50-C50,0)+MAX(D51-C51,0)</f>
        <v>1</v>
      </c>
      <c r="J3" s="15">
        <f t="shared" ref="J3:J5" si="2">SUM(G3:I3)</f>
        <v>22</v>
      </c>
      <c r="K3" s="15"/>
      <c r="L3" s="59" t="s">
        <v>92</v>
      </c>
      <c r="M3" s="56">
        <f>(G3+H4+I5)/COUNTA($C$2:$C$98)</f>
        <v>0.9</v>
      </c>
      <c r="N3" s="58" t="s">
        <v>93</v>
      </c>
    </row>
    <row r="4" ht="12.75" customHeight="1">
      <c r="A4" s="3" t="str">
        <f>Thermonix!A4</f>
        <v>Transition</v>
      </c>
      <c r="B4" s="4" t="str">
        <f>Thermonix!B4</f>
        <v>selectorPressed (TransportationMode ⇒ On)</v>
      </c>
      <c r="C4" s="49">
        <f>'Thermonix Grader #1'!C4</f>
        <v>1</v>
      </c>
      <c r="D4" s="49">
        <f>'Thermonix Grader #2'!C4</f>
        <v>1</v>
      </c>
      <c r="F4" s="55">
        <v>0.5</v>
      </c>
      <c r="G4" s="60">
        <f t="shared" ref="G4:I4" si="1">COUNTIFS($C$2:$C$44, $F4, $D$2:$D$44, G$2)</f>
        <v>1</v>
      </c>
      <c r="H4" s="15">
        <f t="shared" si="1"/>
        <v>0</v>
      </c>
      <c r="I4" s="61">
        <f t="shared" si="1"/>
        <v>1</v>
      </c>
      <c r="J4" s="15">
        <f t="shared" si="2"/>
        <v>2</v>
      </c>
      <c r="K4" s="15"/>
      <c r="L4" s="59" t="s">
        <v>94</v>
      </c>
      <c r="M4" s="60">
        <f t="array" ref="M4">SUMPRODUCT(J3:J5/COUNTA($C$2:$C$98), TRANSPOSE(G6:I6)/COUNTA($C$2:$C$98))</f>
        <v>0.4672</v>
      </c>
      <c r="N4" s="61" t="s">
        <v>95</v>
      </c>
    </row>
    <row r="5" ht="12.75" customHeight="1">
      <c r="A5" s="3" t="str">
        <f>Thermonix!A5</f>
        <v>State</v>
      </c>
      <c r="B5" s="4" t="str">
        <f>Thermonix!B5</f>
        <v>PreparingOff</v>
      </c>
      <c r="C5" s="49">
        <f>'Thermonix Grader #1'!C5</f>
        <v>1</v>
      </c>
      <c r="D5" s="49">
        <f>'Thermonix Grader #2'!C5</f>
        <v>1</v>
      </c>
      <c r="F5" s="55">
        <v>1.0</v>
      </c>
      <c r="G5" s="62">
        <f>COUNTIFS($C$2:$C$44, $F5, $D$2:$D$44, G$2)+MAX(C45-D45,0)+MAX(C46-D46,0)+MAX(C47-D47,0)+MAX(C48-D48,0)+MAX(C49-D49,0)+MAX(C50-D50,0)+MAX(C51-D51,0)</f>
        <v>0</v>
      </c>
      <c r="H5" s="63">
        <f>COUNTIFS($C$2:$C$44, $F5, $D$2:$D$44, H$2)</f>
        <v>1</v>
      </c>
      <c r="I5" s="64">
        <f>COUNTIFS($C$2:$C$44, $F5, $D$2:$D$44, I$2)+ SUM(MIN(C45,D45), MIN(C46,D46), MIN(C47,D47), MIN(C48,D48), MIN(C49,D49), MIN(C50,D50), MIN(C51,D51))</f>
        <v>25</v>
      </c>
      <c r="J5" s="15">
        <f t="shared" si="2"/>
        <v>26</v>
      </c>
      <c r="K5" s="15"/>
      <c r="L5" s="59" t="s">
        <v>83</v>
      </c>
      <c r="M5" s="62">
        <f>(M3-M4)/(1-M4)</f>
        <v>0.8123123123</v>
      </c>
      <c r="N5" s="64" t="s">
        <v>96</v>
      </c>
    </row>
    <row r="6" ht="12.75" customHeight="1">
      <c r="A6" s="3" t="str">
        <f>Thermonix!A6</f>
        <v>Transition</v>
      </c>
      <c r="B6" s="4" t="str">
        <f>Thermonix!B6</f>
        <v>selectorReleased (PreparingOff ⇒ On)</v>
      </c>
      <c r="C6" s="49">
        <f>'Thermonix Grader #1'!C6</f>
        <v>1</v>
      </c>
      <c r="D6" s="49">
        <f>'Thermonix Grader #2'!C6</f>
        <v>1</v>
      </c>
      <c r="F6" s="65" t="s">
        <v>97</v>
      </c>
      <c r="G6" s="15">
        <f t="shared" ref="G6:I6" si="3">SUM(G3:G5)</f>
        <v>21</v>
      </c>
      <c r="H6" s="15">
        <f t="shared" si="3"/>
        <v>2</v>
      </c>
      <c r="I6" s="15">
        <f t="shared" si="3"/>
        <v>27</v>
      </c>
      <c r="J6" s="15"/>
      <c r="L6" s="15"/>
      <c r="M6" s="66"/>
    </row>
    <row r="7" ht="12.75" customHeight="1">
      <c r="A7" s="3" t="str">
        <f>Thermonix!A7</f>
        <v>Transition</v>
      </c>
      <c r="B7" s="4" t="str">
        <f>Thermonix!B7</f>
        <v>after 5sec (PreparingOff ⇒ Off)</v>
      </c>
      <c r="C7" s="49">
        <f>'Thermonix Grader #1'!C7</f>
        <v>1</v>
      </c>
      <c r="D7" s="49">
        <f>'Thermonix Grader #2'!C7</f>
        <v>1</v>
      </c>
      <c r="L7" s="15"/>
      <c r="M7" s="15"/>
      <c r="N7" s="15"/>
    </row>
    <row r="8" ht="12.75" customHeight="1">
      <c r="A8" s="3" t="str">
        <f>Thermonix!A8</f>
        <v>State</v>
      </c>
      <c r="B8" s="4" t="str">
        <f>Thermonix!B8</f>
        <v>Off</v>
      </c>
      <c r="C8" s="49">
        <f>'Thermonix Grader #1'!C8</f>
        <v>1</v>
      </c>
      <c r="D8" s="49">
        <f>'Thermonix Grader #2'!C8</f>
        <v>1</v>
      </c>
      <c r="F8" s="46" t="s">
        <v>98</v>
      </c>
      <c r="L8" s="47" t="s">
        <v>99</v>
      </c>
      <c r="M8" s="48"/>
      <c r="N8" s="48"/>
    </row>
    <row r="9" ht="12.75" customHeight="1">
      <c r="A9" s="3" t="str">
        <f>Thermonix!A9</f>
        <v>Transition</v>
      </c>
      <c r="B9" s="4" t="str">
        <f>Thermonix!B9</f>
        <v>selectorPressed (Off ⇒ On)</v>
      </c>
      <c r="C9" s="49">
        <f>'Thermonix Grader #1'!C9</f>
        <v>1</v>
      </c>
      <c r="D9" s="49">
        <f>'Thermonix Grader #2'!C9</f>
        <v>1</v>
      </c>
      <c r="F9" s="15" t="s">
        <v>2</v>
      </c>
      <c r="G9" s="67" t="s">
        <v>85</v>
      </c>
      <c r="H9" s="67" t="s">
        <v>86</v>
      </c>
      <c r="I9" s="67" t="s">
        <v>87</v>
      </c>
      <c r="J9" s="68" t="s">
        <v>88</v>
      </c>
      <c r="K9" s="15"/>
      <c r="L9" s="54" t="s">
        <v>89</v>
      </c>
      <c r="M9" s="54" t="s">
        <v>90</v>
      </c>
      <c r="N9" s="54" t="s">
        <v>91</v>
      </c>
    </row>
    <row r="10" ht="12.75" customHeight="1">
      <c r="A10" s="3" t="str">
        <f>Thermonix!A10</f>
        <v>Composite State</v>
      </c>
      <c r="B10" s="4" t="str">
        <f>Thermonix!B10</f>
        <v>On</v>
      </c>
      <c r="C10" s="49">
        <f>'Thermonix Grader #1'!C10</f>
        <v>0</v>
      </c>
      <c r="D10" s="49">
        <f>'Thermonix Grader #2'!C10</f>
        <v>1</v>
      </c>
      <c r="F10" s="55">
        <v>0.5</v>
      </c>
      <c r="G10" s="60">
        <f t="shared" ref="G10:I10" si="4">COUNTIFS($A$2:$A$88,$F$9,$C$2:$C$88,$F10,$D$2:$D$88,G$9)</f>
        <v>0</v>
      </c>
      <c r="H10" s="15">
        <f t="shared" si="4"/>
        <v>0</v>
      </c>
      <c r="I10" s="61">
        <f t="shared" si="4"/>
        <v>0</v>
      </c>
      <c r="J10" s="15">
        <f t="shared" ref="J10:J11" si="5">SUM(G10:I10)</f>
        <v>0</v>
      </c>
      <c r="K10" s="15"/>
      <c r="L10" s="59" t="s">
        <v>94</v>
      </c>
      <c r="M10" s="60" t="str">
        <f t="array" ref="M10">SUMPRODUCT(J10:J11/COUNTIF($A$2:$A$98,F9), TRANSPOSE(G12:I12)/COUNTIF($A$2:$A$98,F9))</f>
        <v>#VALUE!</v>
      </c>
      <c r="N10" s="61" t="s">
        <v>95</v>
      </c>
    </row>
    <row r="11" ht="12.75" customHeight="1">
      <c r="A11" s="3" t="str">
        <f>Thermonix!A11</f>
        <v>History State</v>
      </c>
      <c r="B11" s="4" t="str">
        <f>Thermonix!B11</f>
        <v>History State for On</v>
      </c>
      <c r="C11" s="49">
        <f>'Thermonix Grader #1'!C11</f>
        <v>0</v>
      </c>
      <c r="D11" s="49">
        <f>'Thermonix Grader #2'!C11</f>
        <v>0</v>
      </c>
      <c r="F11" s="55">
        <v>1.0</v>
      </c>
      <c r="G11" s="62">
        <f>COUNTIFS($A$2:$A$44,$F$9,$C$2:$C$44,$F11,$D$2:$D$44,G$9)+MAX(C45-D45,0)</f>
        <v>0</v>
      </c>
      <c r="H11" s="63">
        <f>COUNTIFS($A$2:$A$88,$F$9,$C$2:$C$88,$F11,$D$2:$D$88,H$9)</f>
        <v>0</v>
      </c>
      <c r="I11" s="64">
        <f>COUNTIFS($A$2:$A$44,$F$9,$C$2:$C$44,$F11,$D$2:$D$44,I$9)+MIN(C45-D45)</f>
        <v>9</v>
      </c>
      <c r="J11" s="15">
        <f t="shared" si="5"/>
        <v>9</v>
      </c>
      <c r="K11" s="15"/>
      <c r="L11" s="59" t="s">
        <v>83</v>
      </c>
      <c r="M11" s="62" t="str">
        <f>(#REF!-M10)/(1-M10)</f>
        <v>#REF!</v>
      </c>
      <c r="N11" s="64" t="s">
        <v>96</v>
      </c>
    </row>
    <row r="12" ht="12.75" customHeight="1">
      <c r="A12" s="3" t="str">
        <f>Thermonix!A12</f>
        <v>Transition</v>
      </c>
      <c r="B12" s="4" t="str">
        <f>Thermonix!B12</f>
        <v>selectorHeld (On ⇒ PreparingOff)</v>
      </c>
      <c r="C12" s="49">
        <f>'Thermonix Grader #1'!C12</f>
        <v>1</v>
      </c>
      <c r="D12" s="49">
        <f>'Thermonix Grader #2'!C12</f>
        <v>0.5</v>
      </c>
      <c r="F12" s="65" t="s">
        <v>97</v>
      </c>
      <c r="G12" s="15">
        <f t="shared" ref="G12:I12" si="6">SUM(G10:G11)</f>
        <v>0</v>
      </c>
      <c r="H12" s="15">
        <f t="shared" si="6"/>
        <v>0</v>
      </c>
      <c r="I12" s="15">
        <f t="shared" si="6"/>
        <v>9</v>
      </c>
      <c r="J12" s="15"/>
      <c r="L12" s="15"/>
      <c r="M12" s="66"/>
    </row>
    <row r="13" ht="12.75" customHeight="1">
      <c r="A13" s="3" t="str">
        <f>Thermonix!A13</f>
        <v>Transition</v>
      </c>
      <c r="B13" s="4" t="str">
        <f>Thermonix!B13</f>
        <v>bowlRemoved (On ⇒ On)</v>
      </c>
      <c r="C13" s="49">
        <f>'Thermonix Grader #1'!C13</f>
        <v>1</v>
      </c>
      <c r="D13" s="49">
        <f>'Thermonix Grader #2'!C13</f>
        <v>1</v>
      </c>
    </row>
    <row r="14" ht="12.75" customHeight="1">
      <c r="A14" s="3" t="str">
        <f>Thermonix!A14</f>
        <v>State</v>
      </c>
      <c r="B14" s="4" t="str">
        <f>Thermonix!B14</f>
        <v>Initial State (On ⇒  Home)</v>
      </c>
      <c r="C14" s="49">
        <f>'Thermonix Grader #1'!C14</f>
        <v>0</v>
      </c>
      <c r="D14" s="49">
        <f>'Thermonix Grader #2'!C14</f>
        <v>0</v>
      </c>
      <c r="F14" s="46" t="s">
        <v>100</v>
      </c>
      <c r="L14" s="47" t="s">
        <v>101</v>
      </c>
      <c r="M14" s="48"/>
      <c r="N14" s="48"/>
    </row>
    <row r="15" ht="12.75" customHeight="1">
      <c r="A15" s="3" t="str">
        <f>Thermonix!A15</f>
        <v>State</v>
      </c>
      <c r="B15" s="4" t="str">
        <f>Thermonix!B15</f>
        <v>Home</v>
      </c>
      <c r="C15" s="49">
        <f>'Thermonix Grader #1'!C15</f>
        <v>1</v>
      </c>
      <c r="D15" s="49">
        <f>'Thermonix Grader #2'!C15</f>
        <v>1</v>
      </c>
      <c r="F15" s="15" t="s">
        <v>5</v>
      </c>
      <c r="G15" s="67" t="s">
        <v>85</v>
      </c>
      <c r="H15" s="67" t="s">
        <v>86</v>
      </c>
      <c r="I15" s="67" t="s">
        <v>87</v>
      </c>
      <c r="J15" s="68" t="s">
        <v>88</v>
      </c>
      <c r="K15" s="15"/>
      <c r="L15" s="54" t="s">
        <v>89</v>
      </c>
      <c r="M15" s="54" t="s">
        <v>90</v>
      </c>
      <c r="N15" s="54" t="s">
        <v>91</v>
      </c>
    </row>
    <row r="16" ht="15.0" customHeight="1">
      <c r="A16" s="3" t="str">
        <f>Thermonix!A16</f>
        <v>Transition</v>
      </c>
      <c r="B16" s="4" t="str">
        <f>Thermonix!B16</f>
        <v>after 14min 30sec (Home ⇒ Preparing Shutdown)</v>
      </c>
      <c r="C16" s="49">
        <f>'Thermonix Grader #1'!C16</f>
        <v>1</v>
      </c>
      <c r="D16" s="49">
        <f>'Thermonix Grader #2'!C16</f>
        <v>1</v>
      </c>
      <c r="E16" s="5"/>
      <c r="F16" s="55">
        <v>0.0</v>
      </c>
      <c r="G16" s="56">
        <f t="shared" ref="G16:H16" si="7">COUNTIFS($A$2:$A$88,$F$15,$C$2:$C$88,$F16,$D$2:$D$88,G$15)</f>
        <v>3</v>
      </c>
      <c r="H16" s="57">
        <f t="shared" si="7"/>
        <v>1</v>
      </c>
      <c r="I16" s="58">
        <f>COUNTIFS($A$2:$A$44,$F$15,$C$2:$C$44,$F16,$D$2:$D$44,I$15) + MAX(D46-C46,0)</f>
        <v>0</v>
      </c>
      <c r="J16" s="15">
        <f t="shared" ref="J16:J18" si="9">SUM(G16:I16)</f>
        <v>4</v>
      </c>
      <c r="K16" s="15"/>
      <c r="L16" s="59" t="s">
        <v>92</v>
      </c>
      <c r="M16" s="56">
        <f>(G16+H17+I18)/COUNTIF($A$2:$A$98,F15)</f>
        <v>0.8888888889</v>
      </c>
      <c r="N16" s="58" t="s">
        <v>93</v>
      </c>
      <c r="O16" s="5"/>
      <c r="P16" s="5"/>
      <c r="Q16" s="5"/>
      <c r="R16" s="5"/>
      <c r="S16" s="5"/>
      <c r="T16" s="5"/>
    </row>
    <row r="17" ht="12.75" customHeight="1">
      <c r="A17" s="3" t="str">
        <f>Thermonix!A17</f>
        <v>Transition</v>
      </c>
      <c r="B17" s="4" t="str">
        <f>Thermonix!B17</f>
        <v>start (Home ⇒ PromptToAdd)</v>
      </c>
      <c r="C17" s="49">
        <f>'Thermonix Grader #1'!C17</f>
        <v>1</v>
      </c>
      <c r="D17" s="49">
        <f>'Thermonix Grader #2'!C17</f>
        <v>1</v>
      </c>
      <c r="F17" s="55">
        <v>0.5</v>
      </c>
      <c r="G17" s="60">
        <f t="shared" ref="G17:I17" si="8">COUNTIFS($A$2:$A$88,$F$15,$C$2:$C$88,$F17,$D$2:$D$88,G$15)</f>
        <v>0</v>
      </c>
      <c r="H17" s="15">
        <f t="shared" si="8"/>
        <v>0</v>
      </c>
      <c r="I17" s="61">
        <f t="shared" si="8"/>
        <v>0</v>
      </c>
      <c r="J17" s="15">
        <f t="shared" si="9"/>
        <v>0</v>
      </c>
      <c r="K17" s="15"/>
      <c r="L17" s="59" t="s">
        <v>94</v>
      </c>
      <c r="M17" s="60">
        <f t="array" ref="M17">SUMPRODUCT(J16:J18/COUNTIF($A$2:$A$98,F15), TRANSPOSE(G19:I19)/COUNTIF($A$2:$A$98,F15))</f>
        <v>0.5987654321</v>
      </c>
      <c r="N17" s="61" t="s">
        <v>95</v>
      </c>
    </row>
    <row r="18" ht="12.75" customHeight="1">
      <c r="A18" s="3" t="str">
        <f>Thermonix!A18</f>
        <v>Guard</v>
      </c>
      <c r="B18" s="4" t="str">
        <f>Thermonix!B18</f>
        <v>[!bowlRemoved()]</v>
      </c>
      <c r="C18" s="49">
        <f>'Thermonix Grader #1'!C18</f>
        <v>1</v>
      </c>
      <c r="D18" s="49">
        <f>'Thermonix Grader #2'!C18</f>
        <v>1</v>
      </c>
      <c r="F18" s="55">
        <v>1.0</v>
      </c>
      <c r="G18" s="62">
        <f>COUNTIFS($A$2:$A$44,$F$15,$C$2:$C$44,$F18,$D$2:$D$44,G$15)+MAX(C46-D46,0)</f>
        <v>0</v>
      </c>
      <c r="H18" s="63">
        <f>COUNTIFS($A$2:$A$88,$F$15,$C$2:$C$88,$F18,$D$2:$D$88,H$15)</f>
        <v>1</v>
      </c>
      <c r="I18" s="64">
        <f>COUNTIFS($A$2:$A$44,$F$15,$C$2:$C$44,$F18,$D$2:$D$44,I$15) + MIN(C46,D46)</f>
        <v>13</v>
      </c>
      <c r="J18" s="15">
        <f t="shared" si="9"/>
        <v>14</v>
      </c>
      <c r="K18" s="15"/>
      <c r="L18" s="59" t="s">
        <v>83</v>
      </c>
      <c r="M18" s="62">
        <f>(M16-M17)/(1-M17)</f>
        <v>0.7230769231</v>
      </c>
      <c r="N18" s="64" t="s">
        <v>96</v>
      </c>
    </row>
    <row r="19" ht="12.75" customHeight="1">
      <c r="A19" s="3" t="str">
        <f>Thermonix!A19</f>
        <v>Action</v>
      </c>
      <c r="B19" s="4" t="str">
        <f>Thermonix!B19</f>
        <v>setIngredients()</v>
      </c>
      <c r="C19" s="49">
        <f>'Thermonix Grader #1'!C19</f>
        <v>1</v>
      </c>
      <c r="D19" s="49">
        <f>'Thermonix Grader #2'!C19</f>
        <v>1</v>
      </c>
      <c r="F19" s="65" t="s">
        <v>97</v>
      </c>
      <c r="G19" s="15">
        <f t="shared" ref="G19:I19" si="10">SUM(G16:G18)</f>
        <v>3</v>
      </c>
      <c r="H19" s="15">
        <f t="shared" si="10"/>
        <v>2</v>
      </c>
      <c r="I19" s="15">
        <f t="shared" si="10"/>
        <v>13</v>
      </c>
      <c r="J19" s="15"/>
      <c r="L19" s="15"/>
      <c r="M19" s="66"/>
    </row>
    <row r="20" ht="12.75" customHeight="1">
      <c r="A20" s="3" t="str">
        <f>Thermonix!A20</f>
        <v>State</v>
      </c>
      <c r="B20" s="4" t="str">
        <f>Thermonix!B20</f>
        <v>Preparing Shutdown</v>
      </c>
      <c r="C20" s="49">
        <f>'Thermonix Grader #1'!C20</f>
        <v>1</v>
      </c>
      <c r="D20" s="49">
        <f>'Thermonix Grader #2'!C20</f>
        <v>1</v>
      </c>
    </row>
    <row r="21" ht="12.75" customHeight="1">
      <c r="A21" s="3" t="str">
        <f>Thermonix!A21</f>
        <v>Transition</v>
      </c>
      <c r="B21" s="4" t="str">
        <f>Thermonix!B21</f>
        <v>after 30sec (Preparing Shutdown ⇒ Off)</v>
      </c>
      <c r="C21" s="49">
        <f>'Thermonix Grader #1'!C21</f>
        <v>1</v>
      </c>
      <c r="D21" s="49">
        <f>'Thermonix Grader #2'!C21</f>
        <v>1</v>
      </c>
      <c r="F21" s="46" t="s">
        <v>102</v>
      </c>
      <c r="L21" s="47" t="s">
        <v>103</v>
      </c>
      <c r="M21" s="48"/>
      <c r="N21" s="48"/>
    </row>
    <row r="22" ht="12.75" customHeight="1">
      <c r="A22" s="3" t="str">
        <f>Thermonix!A22</f>
        <v>Transition</v>
      </c>
      <c r="B22" s="4" t="str">
        <f>Thermonix!B22</f>
        <v>cancel (Preparing Shutdown ⇒ Home)</v>
      </c>
      <c r="C22" s="49">
        <f>'Thermonix Grader #1'!C22</f>
        <v>1</v>
      </c>
      <c r="D22" s="49">
        <f>'Thermonix Grader #2'!C22</f>
        <v>1</v>
      </c>
      <c r="E22" s="5"/>
      <c r="F22" s="15" t="s">
        <v>12</v>
      </c>
      <c r="G22" s="67" t="s">
        <v>85</v>
      </c>
      <c r="H22" s="67" t="s">
        <v>86</v>
      </c>
      <c r="I22" s="67" t="s">
        <v>87</v>
      </c>
      <c r="J22" s="68" t="s">
        <v>88</v>
      </c>
      <c r="K22" s="15"/>
      <c r="L22" s="54" t="s">
        <v>89</v>
      </c>
      <c r="M22" s="54" t="s">
        <v>90</v>
      </c>
      <c r="N22" s="54" t="s">
        <v>91</v>
      </c>
      <c r="O22" s="5"/>
      <c r="P22" s="5"/>
      <c r="Q22" s="5"/>
      <c r="R22" s="5"/>
      <c r="S22" s="5"/>
      <c r="T22" s="5"/>
    </row>
    <row r="23" ht="12.75" customHeight="1">
      <c r="A23" s="3" t="str">
        <f>Thermonix!A23</f>
        <v>State</v>
      </c>
      <c r="B23" s="4" t="str">
        <f>Thermonix!B23</f>
        <v>PromptToAdd</v>
      </c>
      <c r="C23" s="49">
        <f>'Thermonix Grader #1'!C23</f>
        <v>0</v>
      </c>
      <c r="D23" s="49">
        <f>'Thermonix Grader #2'!C23</f>
        <v>0</v>
      </c>
      <c r="F23" s="55">
        <v>0.0</v>
      </c>
      <c r="G23" s="56">
        <f t="shared" ref="G23:H23" si="11">COUNTIFS($A$2:$A$88,$F$22,$C$2:$C$88,$F23,$D$2:$D$88,G$22)</f>
        <v>1</v>
      </c>
      <c r="H23" s="57">
        <f t="shared" si="11"/>
        <v>0</v>
      </c>
      <c r="I23" s="58">
        <f>COUNTIFS($A$2:$A$44,$F$22,$C$2:$C$44,$F23,$D$2:$D$44,I$22) + MAX(D49-C49,0)</f>
        <v>1</v>
      </c>
      <c r="J23" s="15">
        <f t="shared" ref="J23:J25" si="13">SUM(G23:I23)</f>
        <v>2</v>
      </c>
      <c r="K23" s="15"/>
      <c r="L23" s="59" t="s">
        <v>92</v>
      </c>
      <c r="M23" s="56">
        <f>(G23+H24+I25)/COUNTIF($A$2:$A$98,F22)</f>
        <v>0.5</v>
      </c>
      <c r="N23" s="58" t="s">
        <v>93</v>
      </c>
    </row>
    <row r="24" ht="12.75" customHeight="1">
      <c r="A24" s="3" t="str">
        <f>Thermonix!A24</f>
        <v>Transition</v>
      </c>
      <c r="B24" s="4" t="str">
        <f>Thermonix!B24</f>
        <v>next (PromptToAdd ⇒ PromptToAdd)</v>
      </c>
      <c r="C24" s="49">
        <f>'Thermonix Grader #1'!C24</f>
        <v>0</v>
      </c>
      <c r="D24" s="49">
        <f>'Thermonix Grader #2'!C24</f>
        <v>0</v>
      </c>
      <c r="F24" s="55">
        <v>0.5</v>
      </c>
      <c r="G24" s="60">
        <f t="shared" ref="G24:I24" si="12">COUNTIFS($A$2:$A$88,$F$22,$C$2:$C$88,$F24,$D$2:$D$88,G$22)</f>
        <v>0</v>
      </c>
      <c r="H24" s="15">
        <f t="shared" si="12"/>
        <v>0</v>
      </c>
      <c r="I24" s="61">
        <f t="shared" si="12"/>
        <v>0</v>
      </c>
      <c r="J24" s="15">
        <f t="shared" si="13"/>
        <v>0</v>
      </c>
      <c r="K24" s="15"/>
      <c r="L24" s="59" t="s">
        <v>94</v>
      </c>
      <c r="M24" s="60" t="str">
        <f t="array" ref="M24">SUMPRODUCT(J23:J25/COUNTIF($A$2:$A$98,F22), TRANSPOSE(#REF!)/COUNTIF($A$2:$A$98,F22))</f>
        <v>#REF!</v>
      </c>
      <c r="N24" s="61" t="s">
        <v>95</v>
      </c>
    </row>
    <row r="25" ht="12.75" customHeight="1">
      <c r="A25" s="3" t="str">
        <f>Thermonix!A25</f>
        <v>Guard</v>
      </c>
      <c r="B25" s="4" t="str">
        <f>Thermonix!B25</f>
        <v>[weightCorrect() &amp;&amp; moreIngredientsRequired()]</v>
      </c>
      <c r="C25" s="49">
        <f>'Thermonix Grader #1'!C25</f>
        <v>0</v>
      </c>
      <c r="D25" s="49">
        <f>'Thermonix Grader #2'!C25</f>
        <v>0</v>
      </c>
      <c r="F25" s="55">
        <v>1.0</v>
      </c>
      <c r="G25" s="62">
        <f>COUNTIFS($A$2:$A$44,$F$22,$C$2:$C$44,$F25,$D$2:$D$44,G$22) + MAX(C49-D49,0)</f>
        <v>0</v>
      </c>
      <c r="H25" s="63">
        <f>COUNTIFS($A$2:$A$88,$F$22,$C$2:$C$88,$F25,$D$2:$D$88,H$22)</f>
        <v>0</v>
      </c>
      <c r="I25" s="64">
        <f>COUNTIFS($A$2:$A$44,$F$22,$C$2:$C$44,$F25,$D$2:$D$44,I$22) + MIN(C49,D49)</f>
        <v>0</v>
      </c>
      <c r="J25" s="15">
        <f t="shared" si="13"/>
        <v>0</v>
      </c>
      <c r="K25" s="15"/>
      <c r="L25" s="59" t="s">
        <v>83</v>
      </c>
      <c r="M25" s="62" t="str">
        <f>(M23-M24)/(1-M24)</f>
        <v>#REF!</v>
      </c>
      <c r="N25" s="64" t="s">
        <v>96</v>
      </c>
    </row>
    <row r="26" ht="12.75" customHeight="1">
      <c r="A26" s="3" t="str">
        <f>Thermonix!A26</f>
        <v>Action</v>
      </c>
      <c r="B26" s="4" t="str">
        <f>Thermonix!B26</f>
        <v>setIngredients()</v>
      </c>
      <c r="C26" s="49">
        <f>'Thermonix Grader #1'!C26</f>
        <v>0</v>
      </c>
      <c r="D26" s="49">
        <f>'Thermonix Grader #2'!C26</f>
        <v>0</v>
      </c>
    </row>
    <row r="27" ht="12.75" customHeight="1">
      <c r="A27" s="3" t="str">
        <f>Thermonix!A27</f>
        <v>Transition</v>
      </c>
      <c r="B27" s="4" t="str">
        <f>Thermonix!B27</f>
        <v>next (PromptToAdd ⇒ Chop)</v>
      </c>
      <c r="C27" s="49">
        <f>'Thermonix Grader #1'!C27</f>
        <v>1</v>
      </c>
      <c r="D27" s="49">
        <f>'Thermonix Grader #2'!C27</f>
        <v>1</v>
      </c>
      <c r="F27" s="46" t="s">
        <v>104</v>
      </c>
      <c r="L27" s="47" t="s">
        <v>105</v>
      </c>
      <c r="M27" s="48"/>
      <c r="N27" s="48"/>
    </row>
    <row r="28" ht="12.75" customHeight="1">
      <c r="A28" s="3" t="str">
        <f>Thermonix!A28</f>
        <v>Guard</v>
      </c>
      <c r="B28" s="4" t="str">
        <f>Thermonix!B28</f>
        <v>[weightCorrect() &amp;&amp; !moreIngredientsRequired()]</v>
      </c>
      <c r="C28" s="49">
        <f>'Thermonix Grader #1'!C28</f>
        <v>0.5</v>
      </c>
      <c r="D28" s="49">
        <f>'Thermonix Grader #2'!C28</f>
        <v>0</v>
      </c>
      <c r="F28" s="15" t="s">
        <v>22</v>
      </c>
      <c r="G28" s="67" t="s">
        <v>85</v>
      </c>
      <c r="H28" s="67" t="s">
        <v>86</v>
      </c>
      <c r="I28" s="67" t="s">
        <v>87</v>
      </c>
      <c r="J28" s="68" t="s">
        <v>88</v>
      </c>
      <c r="K28" s="15"/>
      <c r="L28" s="54" t="s">
        <v>89</v>
      </c>
      <c r="M28" s="54" t="s">
        <v>90</v>
      </c>
      <c r="N28" s="54" t="s">
        <v>91</v>
      </c>
    </row>
    <row r="29" ht="12.75" customHeight="1">
      <c r="A29" s="3" t="str">
        <f>Thermonix!A29</f>
        <v>Action</v>
      </c>
      <c r="B29" s="4" t="str">
        <f>Thermonix!B29</f>
        <v>setChoppingSpeedAndTime()</v>
      </c>
      <c r="C29" s="49">
        <f>'Thermonix Grader #1'!C29</f>
        <v>0</v>
      </c>
      <c r="D29" s="49">
        <f>'Thermonix Grader #2'!C29</f>
        <v>0</v>
      </c>
      <c r="F29" s="55">
        <v>0.0</v>
      </c>
      <c r="G29" s="56">
        <f t="shared" ref="G29:H29" si="14">COUNTIFS($A$2:$A$88,$F$28,$C$2:$C$88,$F29,$D$2:$D$88,G$28)</f>
        <v>4</v>
      </c>
      <c r="H29" s="57">
        <f t="shared" si="14"/>
        <v>0</v>
      </c>
      <c r="I29" s="58">
        <f>COUNTIFS($A$2:$A$44,$F$28,$C$2:$C$44,$F29,$D$2:$D$44,I$28) + MAX(D47-C47,0)</f>
        <v>0</v>
      </c>
      <c r="J29" s="15">
        <f t="shared" ref="J29:J31" si="16">SUM(G29:I29)</f>
        <v>4</v>
      </c>
      <c r="K29" s="15"/>
      <c r="L29" s="59" t="s">
        <v>92</v>
      </c>
      <c r="M29" s="56">
        <f>(G29+H30+I31)/COUNTIF($A$2:$A$98,F28)</f>
        <v>0.75</v>
      </c>
      <c r="N29" s="58" t="s">
        <v>93</v>
      </c>
    </row>
    <row r="30" ht="12.75" customHeight="1">
      <c r="A30" s="3" t="str">
        <f>Thermonix!A30</f>
        <v>State</v>
      </c>
      <c r="B30" s="4" t="str">
        <f>Thermonix!B30</f>
        <v>Chop</v>
      </c>
      <c r="C30" s="49">
        <f>'Thermonix Grader #1'!C30</f>
        <v>1</v>
      </c>
      <c r="D30" s="49">
        <f>'Thermonix Grader #2'!C30</f>
        <v>1</v>
      </c>
      <c r="F30" s="55">
        <v>0.5</v>
      </c>
      <c r="G30" s="60">
        <f t="shared" ref="G30:I30" si="15">COUNTIFS($A$2:$A$88,$F$28,$C$2:$C$88,$F30,$D$2:$D$88,G$28)</f>
        <v>1</v>
      </c>
      <c r="H30" s="15">
        <f t="shared" si="15"/>
        <v>0</v>
      </c>
      <c r="I30" s="61">
        <f t="shared" si="15"/>
        <v>1</v>
      </c>
      <c r="J30" s="15">
        <f t="shared" si="16"/>
        <v>2</v>
      </c>
      <c r="K30" s="15"/>
      <c r="L30" s="59" t="s">
        <v>94</v>
      </c>
      <c r="M30" s="60">
        <f t="array" ref="M30">SUMPRODUCT(J29:J31/COUNTIF($A$2:$A$98,F28), TRANSPOSE(G32:I32)/COUNTIF($A$2:$A$98,F28))</f>
        <v>0.40625</v>
      </c>
      <c r="N30" s="61" t="s">
        <v>95</v>
      </c>
    </row>
    <row r="31" ht="12.75" customHeight="1">
      <c r="A31" s="3" t="str">
        <f>Thermonix!A31</f>
        <v>Transition</v>
      </c>
      <c r="B31" s="4" t="str">
        <f>Thermonix!B31</f>
        <v>next (Chop ⇒ PromptToAdd)</v>
      </c>
      <c r="C31" s="49">
        <f>'Thermonix Grader #1'!C31</f>
        <v>0</v>
      </c>
      <c r="D31" s="49">
        <f>'Thermonix Grader #2'!C31</f>
        <v>0</v>
      </c>
      <c r="F31" s="55">
        <v>1.0</v>
      </c>
      <c r="G31" s="62">
        <f>COUNTIFS($A$2:$A$44,$F$28,$C$2:$C$44,$F31,$D$2:$D$44,G$28) + MAX(C47-D47,0)</f>
        <v>0</v>
      </c>
      <c r="H31" s="63">
        <f>COUNTIFS($A$2:$A$88,$F$28,$C$2:$C$88,$F31,$D$2:$D$88,H$28)</f>
        <v>0</v>
      </c>
      <c r="I31" s="64">
        <f>COUNTIFS($A$2:$A$44,$F$28,$C$2:$C$44,$F31,$D$2:$D$44,I$28) + MIN(C47,D47)</f>
        <v>2</v>
      </c>
      <c r="J31" s="15">
        <f t="shared" si="16"/>
        <v>2</v>
      </c>
      <c r="K31" s="15"/>
      <c r="L31" s="59" t="s">
        <v>83</v>
      </c>
      <c r="M31" s="62">
        <f>(M29-M30)/(1-M30)</f>
        <v>0.5789473684</v>
      </c>
      <c r="N31" s="64" t="s">
        <v>96</v>
      </c>
    </row>
    <row r="32" ht="12.75" customHeight="1">
      <c r="A32" s="3" t="str">
        <f>Thermonix!A32</f>
        <v>Guard</v>
      </c>
      <c r="B32" s="4" t="str">
        <f>Thermonix!B32</f>
        <v>[choppingTimeDone &amp;&amp; moreIngredientsRequired()]</v>
      </c>
      <c r="C32" s="49">
        <f>'Thermonix Grader #1'!C32</f>
        <v>0</v>
      </c>
      <c r="D32" s="49">
        <f>'Thermonix Grader #2'!C32</f>
        <v>0</v>
      </c>
      <c r="F32" s="65" t="s">
        <v>97</v>
      </c>
      <c r="G32" s="15">
        <f t="shared" ref="G32:I32" si="17">SUM(G29:G31)</f>
        <v>5</v>
      </c>
      <c r="H32" s="15">
        <f t="shared" si="17"/>
        <v>0</v>
      </c>
      <c r="I32" s="15">
        <f t="shared" si="17"/>
        <v>3</v>
      </c>
      <c r="J32" s="15"/>
      <c r="L32" s="15"/>
      <c r="M32" s="66"/>
    </row>
    <row r="33" ht="12.75" customHeight="1">
      <c r="A33" s="3" t="str">
        <f>Thermonix!A33</f>
        <v>Action</v>
      </c>
      <c r="B33" s="4" t="str">
        <f>Thermonix!B33</f>
        <v>setIngredients()</v>
      </c>
      <c r="C33" s="49">
        <f>'Thermonix Grader #1'!C33</f>
        <v>0</v>
      </c>
      <c r="D33" s="49">
        <f>'Thermonix Grader #2'!C33</f>
        <v>0</v>
      </c>
      <c r="E33" s="5"/>
      <c r="O33" s="5"/>
      <c r="P33" s="5"/>
      <c r="Q33" s="5"/>
      <c r="R33" s="5"/>
      <c r="S33" s="5"/>
      <c r="T33" s="5"/>
    </row>
    <row r="34" ht="12.75" customHeight="1">
      <c r="A34" s="3" t="str">
        <f>Thermonix!A34</f>
        <v>Transition</v>
      </c>
      <c r="B34" s="4" t="str">
        <f>Thermonix!B34</f>
        <v>next (Chop ⇒ Cook)</v>
      </c>
      <c r="C34" s="49">
        <f>'Thermonix Grader #1'!C34</f>
        <v>1</v>
      </c>
      <c r="D34" s="49">
        <f>'Thermonix Grader #2'!C34</f>
        <v>1</v>
      </c>
      <c r="F34" s="46" t="s">
        <v>106</v>
      </c>
      <c r="L34" s="47" t="s">
        <v>107</v>
      </c>
      <c r="M34" s="48"/>
      <c r="N34" s="48"/>
    </row>
    <row r="35" ht="15.0" customHeight="1">
      <c r="A35" s="3" t="str">
        <f>Thermonix!A35</f>
        <v>Guard</v>
      </c>
      <c r="B35" s="4" t="str">
        <f>Thermonix!B35</f>
        <v>[choppingTimeDone &amp;&amp; !moreIngredientsRequired()]</v>
      </c>
      <c r="C35" s="49">
        <f>'Thermonix Grader #1'!C35</f>
        <v>0</v>
      </c>
      <c r="D35" s="49">
        <f>'Thermonix Grader #2'!C35</f>
        <v>0</v>
      </c>
      <c r="E35" s="5"/>
      <c r="F35" s="15" t="s">
        <v>24</v>
      </c>
      <c r="G35" s="67" t="s">
        <v>85</v>
      </c>
      <c r="H35" s="67" t="s">
        <v>86</v>
      </c>
      <c r="I35" s="67" t="s">
        <v>87</v>
      </c>
      <c r="J35" s="68" t="s">
        <v>88</v>
      </c>
      <c r="K35" s="15"/>
      <c r="L35" s="54" t="s">
        <v>89</v>
      </c>
      <c r="M35" s="54" t="s">
        <v>90</v>
      </c>
      <c r="N35" s="54" t="s">
        <v>91</v>
      </c>
      <c r="O35" s="5"/>
      <c r="P35" s="5"/>
      <c r="Q35" s="5"/>
      <c r="R35" s="5"/>
      <c r="S35" s="5"/>
      <c r="T35" s="5"/>
    </row>
    <row r="36" ht="15.0" customHeight="1">
      <c r="A36" s="3" t="str">
        <f>Thermonix!A36</f>
        <v>Action</v>
      </c>
      <c r="B36" s="4" t="str">
        <f>Thermonix!B36</f>
        <v>setCookingSpeedAndTime()</v>
      </c>
      <c r="C36" s="49">
        <f>'Thermonix Grader #1'!C36</f>
        <v>0</v>
      </c>
      <c r="D36" s="49">
        <f>'Thermonix Grader #2'!C36</f>
        <v>0</v>
      </c>
      <c r="E36" s="5"/>
      <c r="F36" s="55">
        <v>0.0</v>
      </c>
      <c r="G36" s="56">
        <f t="shared" ref="G36:H36" si="18">COUNTIFS($A$2:$A$88,$F$35,$C$2:$C$88,$F36,$D$2:$D$88,G$35)</f>
        <v>6</v>
      </c>
      <c r="H36" s="57">
        <f t="shared" si="18"/>
        <v>0</v>
      </c>
      <c r="I36" s="58">
        <f>COUNTIFS($A$2:$A$44,$F$35,$C$2:$C$44,$F36,$D$2:$D$44,I$35)+MAX(D48-C48,0)</f>
        <v>0</v>
      </c>
      <c r="J36" s="15">
        <f t="shared" ref="J36:J38" si="20">SUM(G36:I36)</f>
        <v>6</v>
      </c>
      <c r="K36" s="15"/>
      <c r="L36" s="59" t="s">
        <v>92</v>
      </c>
      <c r="M36" s="56">
        <f>(G36+H37+I38)/COUNTIF($A$2:$A$98,F35)</f>
        <v>1</v>
      </c>
      <c r="N36" s="58" t="s">
        <v>93</v>
      </c>
      <c r="O36" s="5"/>
      <c r="P36" s="5"/>
      <c r="Q36" s="5"/>
      <c r="R36" s="5"/>
      <c r="S36" s="5"/>
      <c r="T36" s="5"/>
    </row>
    <row r="37" ht="15.0" customHeight="1">
      <c r="A37" s="3" t="str">
        <f>Thermonix!A37</f>
        <v>State</v>
      </c>
      <c r="B37" s="4" t="str">
        <f>Thermonix!B37</f>
        <v>Cook</v>
      </c>
      <c r="C37" s="49">
        <f>'Thermonix Grader #1'!C37</f>
        <v>1</v>
      </c>
      <c r="D37" s="49">
        <f>'Thermonix Grader #2'!C37</f>
        <v>1</v>
      </c>
      <c r="E37" s="5"/>
      <c r="F37" s="55">
        <v>0.5</v>
      </c>
      <c r="G37" s="60">
        <f t="shared" ref="G37:I37" si="19">COUNTIFS($A$2:$A$88,$F$35,$C$2:$C$88,$F37,$D$2:$D$88,G$35)</f>
        <v>0</v>
      </c>
      <c r="H37" s="15">
        <f t="shared" si="19"/>
        <v>0</v>
      </c>
      <c r="I37" s="61">
        <f t="shared" si="19"/>
        <v>0</v>
      </c>
      <c r="J37" s="15">
        <f t="shared" si="20"/>
        <v>0</v>
      </c>
      <c r="K37" s="15"/>
      <c r="L37" s="59" t="s">
        <v>94</v>
      </c>
      <c r="M37" s="60">
        <f t="array" ref="M37">SUMPRODUCT(J36:J38/COUNTIF($A$2:$A$98,F35), TRANSPOSE(G39:I39)/COUNTIF($A$2:$A$98,F35))</f>
        <v>0.7551020408</v>
      </c>
      <c r="N37" s="61" t="s">
        <v>95</v>
      </c>
      <c r="O37" s="5"/>
      <c r="P37" s="5"/>
      <c r="Q37" s="5"/>
      <c r="R37" s="5"/>
      <c r="S37" s="5"/>
      <c r="T37" s="5"/>
    </row>
    <row r="38" ht="15.0" customHeight="1">
      <c r="A38" s="3" t="str">
        <f>Thermonix!A38</f>
        <v>Transition</v>
      </c>
      <c r="B38" s="4" t="str">
        <f>Thermonix!B38</f>
        <v>after choppingTime (Cook ⇒ PromptToAdd)</v>
      </c>
      <c r="C38" s="49">
        <f>'Thermonix Grader #1'!C38</f>
        <v>1</v>
      </c>
      <c r="D38" s="49">
        <f>'Thermonix Grader #2'!C38</f>
        <v>1</v>
      </c>
      <c r="E38" s="5"/>
      <c r="F38" s="55">
        <v>1.0</v>
      </c>
      <c r="G38" s="62">
        <f>COUNTIFS($A$2:$A$44,$F$35,$C$2:$C$44,$F38,$D$2:$D$44,G$35)+MAX(C48-D48,0)</f>
        <v>0</v>
      </c>
      <c r="H38" s="63">
        <f>COUNTIFS($A$2:$A$88,$F$35,$C$2:$C$88,$F38,$D$2:$D$88,H$35)</f>
        <v>0</v>
      </c>
      <c r="I38" s="64">
        <f>COUNTIFS($A$2:$A$44,$F$35,$C$2:$C$44,$F38,$D$2:$D$44,I$35) + MIN(C48,D48)</f>
        <v>1</v>
      </c>
      <c r="J38" s="15">
        <f t="shared" si="20"/>
        <v>1</v>
      </c>
      <c r="K38" s="15"/>
      <c r="L38" s="59" t="s">
        <v>83</v>
      </c>
      <c r="M38" s="62">
        <f>(M36-M37)/(1-M37)</f>
        <v>1</v>
      </c>
      <c r="N38" s="64" t="s">
        <v>96</v>
      </c>
      <c r="O38" s="5"/>
      <c r="P38" s="5"/>
      <c r="Q38" s="5"/>
      <c r="R38" s="5"/>
      <c r="S38" s="5"/>
      <c r="T38" s="5"/>
    </row>
    <row r="39" ht="15.0" customHeight="1">
      <c r="A39" s="3" t="str">
        <f>Thermonix!A39</f>
        <v>Guard</v>
      </c>
      <c r="B39" s="4" t="str">
        <f>Thermonix!B39</f>
        <v>[choppingTimeDone &amp;&amp; moreIngredientsRequired()]</v>
      </c>
      <c r="C39" s="49">
        <f>'Thermonix Grader #1'!C39</f>
        <v>0.5</v>
      </c>
      <c r="D39" s="49">
        <f>'Thermonix Grader #2'!C39</f>
        <v>1</v>
      </c>
      <c r="E39" s="5"/>
      <c r="F39" s="65" t="s">
        <v>97</v>
      </c>
      <c r="G39" s="15">
        <f t="shared" ref="G39:I39" si="21">SUM(G36:G38)</f>
        <v>6</v>
      </c>
      <c r="H39" s="15">
        <f t="shared" si="21"/>
        <v>0</v>
      </c>
      <c r="I39" s="15">
        <f t="shared" si="21"/>
        <v>1</v>
      </c>
      <c r="J39" s="15"/>
      <c r="L39" s="15"/>
      <c r="M39" s="66"/>
      <c r="O39" s="5"/>
      <c r="P39" s="5"/>
      <c r="Q39" s="5"/>
      <c r="R39" s="5"/>
      <c r="S39" s="5"/>
      <c r="T39" s="5"/>
    </row>
    <row r="40" ht="15.0" customHeight="1">
      <c r="A40" s="3" t="str">
        <f>Thermonix!A40</f>
        <v>Action</v>
      </c>
      <c r="B40" s="4" t="str">
        <f>Thermonix!B40</f>
        <v>setIngredients()</v>
      </c>
      <c r="C40" s="49">
        <f>'Thermonix Grader #1'!C40</f>
        <v>0</v>
      </c>
      <c r="D40" s="49">
        <f>'Thermonix Grader #2'!C40</f>
        <v>0</v>
      </c>
      <c r="E40" s="5"/>
      <c r="O40" s="5"/>
      <c r="P40" s="5"/>
      <c r="Q40" s="5"/>
      <c r="R40" s="5"/>
      <c r="S40" s="5"/>
      <c r="T40" s="5"/>
    </row>
    <row r="41" ht="15.0" customHeight="1">
      <c r="A41" s="3" t="str">
        <f>Thermonix!A41</f>
        <v>Transition</v>
      </c>
      <c r="B41" s="4" t="str">
        <f>Thermonix!B41</f>
        <v>after cookingTime (Cook ⇒ Ready)</v>
      </c>
      <c r="C41" s="49">
        <f>'Thermonix Grader #1'!C41</f>
        <v>1</v>
      </c>
      <c r="D41" s="49">
        <f>'Thermonix Grader #2'!C41</f>
        <v>1</v>
      </c>
      <c r="E41" s="5"/>
      <c r="F41" s="46" t="s">
        <v>108</v>
      </c>
      <c r="L41" s="47" t="s">
        <v>109</v>
      </c>
      <c r="M41" s="48"/>
      <c r="N41" s="48"/>
      <c r="O41" s="5"/>
      <c r="P41" s="5"/>
      <c r="Q41" s="5"/>
      <c r="R41" s="5"/>
      <c r="S41" s="5"/>
      <c r="T41" s="5"/>
    </row>
    <row r="42" ht="15.0" customHeight="1">
      <c r="A42" s="3" t="str">
        <f>Thermonix!A42</f>
        <v>Guard</v>
      </c>
      <c r="B42" s="4" t="str">
        <f>Thermonix!B42</f>
        <v>[!moreIngredientsRequired()]</v>
      </c>
      <c r="C42" s="49">
        <f>'Thermonix Grader #1'!C42</f>
        <v>1</v>
      </c>
      <c r="D42" s="49">
        <f>'Thermonix Grader #2'!C42</f>
        <v>1</v>
      </c>
      <c r="E42" s="5"/>
      <c r="F42" s="15" t="s">
        <v>14</v>
      </c>
      <c r="G42" s="67" t="s">
        <v>85</v>
      </c>
      <c r="H42" s="67" t="s">
        <v>86</v>
      </c>
      <c r="I42" s="67" t="s">
        <v>87</v>
      </c>
      <c r="J42" s="68" t="s">
        <v>88</v>
      </c>
      <c r="K42" s="15"/>
      <c r="L42" s="54" t="s">
        <v>89</v>
      </c>
      <c r="M42" s="54" t="s">
        <v>90</v>
      </c>
      <c r="N42" s="54" t="s">
        <v>91</v>
      </c>
      <c r="O42" s="5"/>
      <c r="P42" s="5"/>
      <c r="Q42" s="5"/>
      <c r="R42" s="5"/>
      <c r="S42" s="5"/>
      <c r="T42" s="5"/>
    </row>
    <row r="43" ht="15.0" customHeight="1">
      <c r="A43" s="3" t="str">
        <f>Thermonix!A43</f>
        <v>State</v>
      </c>
      <c r="B43" s="4" t="str">
        <f>Thermonix!B43</f>
        <v>Ready</v>
      </c>
      <c r="C43" s="49">
        <f>'Thermonix Grader #1'!C43</f>
        <v>1</v>
      </c>
      <c r="D43" s="49">
        <f>'Thermonix Grader #2'!C43</f>
        <v>1</v>
      </c>
      <c r="E43" s="5"/>
      <c r="F43" s="55">
        <v>0.0</v>
      </c>
      <c r="G43" s="56">
        <f t="shared" ref="G43:H43" si="22">COUNTIFS($A$2:$A$88,$F$42,$C$2:$C$88,$F43,$D$2:$D$88,G$42)</f>
        <v>2</v>
      </c>
      <c r="H43" s="57">
        <f t="shared" si="22"/>
        <v>0</v>
      </c>
      <c r="I43" s="58">
        <f>COUNTIFS($A$2:$A$44,$F$42,$C$2:$C$44,$F43,$D$2:$D$44,I$42) + MAX(D51-C51,0)</f>
        <v>0</v>
      </c>
      <c r="J43" s="15">
        <f t="shared" ref="J43:J45" si="24">SUM(G43:I43)</f>
        <v>2</v>
      </c>
      <c r="K43" s="15"/>
      <c r="L43" s="59" t="s">
        <v>92</v>
      </c>
      <c r="M43" s="56">
        <f>(G43+H44+I45)/COUNTIF($A$2:$A$98,F42)</f>
        <v>1</v>
      </c>
      <c r="N43" s="58" t="s">
        <v>93</v>
      </c>
      <c r="O43" s="5"/>
      <c r="P43" s="5"/>
      <c r="Q43" s="5"/>
      <c r="R43" s="5"/>
      <c r="S43" s="5"/>
      <c r="T43" s="5"/>
    </row>
    <row r="44" ht="15.0" customHeight="1">
      <c r="A44" s="3" t="str">
        <f>Thermonix!A44</f>
        <v>Transition</v>
      </c>
      <c r="B44" s="4" t="str">
        <f>Thermonix!B44</f>
        <v>after 14min 30sec (Ready ⇒ Preparing Shutdown)</v>
      </c>
      <c r="C44" s="69">
        <f>'Thermonix Grader #1'!C44</f>
        <v>0</v>
      </c>
      <c r="D44" s="69">
        <f>'Thermonix Grader #2'!C44</f>
        <v>0.5</v>
      </c>
      <c r="E44" s="5"/>
      <c r="F44" s="55">
        <v>0.5</v>
      </c>
      <c r="G44" s="60">
        <f t="shared" ref="G44:I44" si="23">COUNTIFS($A$2:$A$88,$F$42,$C$2:$C$88,$F44,$D$2:$D$88,G$42)</f>
        <v>0</v>
      </c>
      <c r="H44" s="15">
        <f t="shared" si="23"/>
        <v>0</v>
      </c>
      <c r="I44" s="61">
        <f t="shared" si="23"/>
        <v>0</v>
      </c>
      <c r="J44" s="15">
        <f t="shared" si="24"/>
        <v>0</v>
      </c>
      <c r="K44" s="15"/>
      <c r="L44" s="59" t="s">
        <v>94</v>
      </c>
      <c r="M44" s="60">
        <f t="array" ref="M44">SUMPRODUCT(J43:J45/COUNTIF($A$2:$A$98,F42), TRANSPOSE(G46:I46)/COUNTIF($A$2:$A$98,F42))</f>
        <v>1</v>
      </c>
      <c r="N44" s="61" t="s">
        <v>95</v>
      </c>
      <c r="O44" s="5"/>
      <c r="P44" s="5"/>
      <c r="Q44" s="5"/>
      <c r="R44" s="5"/>
      <c r="S44" s="5"/>
      <c r="T44" s="5"/>
    </row>
    <row r="45" ht="12.75" customHeight="1">
      <c r="A45" s="70" t="str">
        <f>Thermonix!A45</f>
        <v>State</v>
      </c>
      <c r="B45" s="71" t="str">
        <f>Thermonix!B45</f>
        <v>additional elements</v>
      </c>
      <c r="C45" s="72">
        <f>'Thermonix Grader #1'!C45</f>
        <v>0</v>
      </c>
      <c r="D45" s="72">
        <f>'Thermonix Grader #2'!C45</f>
        <v>0</v>
      </c>
      <c r="F45" s="55">
        <v>1.0</v>
      </c>
      <c r="G45" s="62">
        <f>COUNTIFS($A$2:$A$44,$F$42,$C$2:$C$44,$F45,$D$2:$D$44,G$42) + MAX(C51-D51,0)</f>
        <v>0</v>
      </c>
      <c r="H45" s="63">
        <f>COUNTIFS($A$2:$A$88,$F$42,$C$2:$C$88,$F45,$D$2:$D$88,H$42)</f>
        <v>0</v>
      </c>
      <c r="I45" s="64">
        <f>COUNTIFS($A$2:$A$44,$F$42,$C$2:$C$44,$F45,$D$2:$D$44,I$42) + MIN(C51,D51)</f>
        <v>0</v>
      </c>
      <c r="J45" s="15">
        <f t="shared" si="24"/>
        <v>0</v>
      </c>
      <c r="K45" s="15"/>
      <c r="L45" s="59" t="s">
        <v>83</v>
      </c>
      <c r="M45" s="62" t="str">
        <f>(M43-M44)/(1-M44)</f>
        <v>#DIV/0!</v>
      </c>
      <c r="N45" s="64" t="s">
        <v>96</v>
      </c>
    </row>
    <row r="46" ht="12.75" customHeight="1">
      <c r="A46" s="3" t="str">
        <f>Thermonix!A46</f>
        <v>Transition</v>
      </c>
      <c r="B46" s="4" t="str">
        <f>Thermonix!B46</f>
        <v>additional elements</v>
      </c>
      <c r="C46" s="49">
        <f>'Thermonix Grader #1'!C46</f>
        <v>0</v>
      </c>
      <c r="D46" s="49">
        <f>'Thermonix Grader #2'!C46</f>
        <v>0</v>
      </c>
      <c r="F46" s="65" t="s">
        <v>97</v>
      </c>
      <c r="G46" s="15">
        <f t="shared" ref="G46:I46" si="25">SUM(G43:G45)</f>
        <v>2</v>
      </c>
      <c r="H46" s="15">
        <f t="shared" si="25"/>
        <v>0</v>
      </c>
      <c r="I46" s="15">
        <f t="shared" si="25"/>
        <v>0</v>
      </c>
      <c r="J46" s="15"/>
      <c r="L46" s="15"/>
      <c r="M46" s="66"/>
    </row>
    <row r="47" ht="12.75" customHeight="1">
      <c r="A47" s="3" t="str">
        <f>Thermonix!A47</f>
        <v>Guard</v>
      </c>
      <c r="B47" s="4" t="str">
        <f>Thermonix!B47</f>
        <v>additional elements</v>
      </c>
      <c r="C47" s="49">
        <f>'Thermonix Grader #1'!C47</f>
        <v>0</v>
      </c>
      <c r="D47" s="49">
        <f>'Thermonix Grader #2'!C47</f>
        <v>0</v>
      </c>
    </row>
    <row r="48" ht="12.75" customHeight="1">
      <c r="A48" s="3" t="str">
        <f>Thermonix!A48</f>
        <v>Action</v>
      </c>
      <c r="B48" s="4" t="str">
        <f>Thermonix!B48</f>
        <v>additional elements</v>
      </c>
      <c r="C48" s="49">
        <f>'Thermonix Grader #1'!C48</f>
        <v>0</v>
      </c>
      <c r="D48" s="49">
        <f>'Thermonix Grader #2'!C48</f>
        <v>0</v>
      </c>
      <c r="F48" s="46" t="s">
        <v>110</v>
      </c>
      <c r="L48" s="47" t="s">
        <v>111</v>
      </c>
      <c r="M48" s="48"/>
      <c r="N48" s="48"/>
    </row>
    <row r="49" ht="12.75" customHeight="1">
      <c r="A49" s="3" t="str">
        <f>Thermonix!A49</f>
        <v>Composite State</v>
      </c>
      <c r="B49" s="4" t="str">
        <f>Thermonix!B49</f>
        <v>additional elements</v>
      </c>
      <c r="C49" s="49">
        <f>'Thermonix Grader #1'!C49</f>
        <v>0</v>
      </c>
      <c r="D49" s="49">
        <f>'Thermonix Grader #2'!C49</f>
        <v>0</v>
      </c>
      <c r="F49" s="15" t="s">
        <v>48</v>
      </c>
      <c r="G49" s="67" t="s">
        <v>85</v>
      </c>
      <c r="H49" s="67" t="s">
        <v>86</v>
      </c>
      <c r="I49" s="67" t="s">
        <v>87</v>
      </c>
      <c r="J49" s="68" t="s">
        <v>88</v>
      </c>
      <c r="K49" s="15"/>
      <c r="L49" s="54" t="s">
        <v>89</v>
      </c>
      <c r="M49" s="54" t="s">
        <v>90</v>
      </c>
      <c r="N49" s="54" t="s">
        <v>91</v>
      </c>
    </row>
    <row r="50" ht="12.75" customHeight="1">
      <c r="A50" s="3" t="str">
        <f>Thermonix!A50</f>
        <v>Region</v>
      </c>
      <c r="B50" s="4" t="str">
        <f>Thermonix!B50</f>
        <v>additional elements</v>
      </c>
      <c r="C50" s="49">
        <f>'Thermonix Grader #1'!C50</f>
        <v>0</v>
      </c>
      <c r="D50" s="49">
        <f>'Thermonix Grader #2'!C50</f>
        <v>0</v>
      </c>
      <c r="F50" s="55">
        <v>0.0</v>
      </c>
      <c r="G50" s="56">
        <f t="shared" ref="G50:H50" si="26">COUNTIFS($A$2:$A$88,$F$49,$C$2:$C$88,$F50,$D$2:$D$88,G$49)</f>
        <v>1</v>
      </c>
      <c r="H50" s="57">
        <f t="shared" si="26"/>
        <v>0</v>
      </c>
      <c r="I50" s="58">
        <f>COUNTIFS($A$2:$A$44,$F$49,$C$2:$C$44,$F50,$D$2:$D$44,I$49)+MAX(D50-C50,0)</f>
        <v>0</v>
      </c>
      <c r="J50" s="15">
        <f t="shared" ref="J50:J52" si="28">SUM(G50:I50)</f>
        <v>1</v>
      </c>
      <c r="K50" s="15"/>
      <c r="L50" s="59" t="s">
        <v>92</v>
      </c>
      <c r="M50" s="56">
        <f>(G50+H51+I52)/COUNTIF($A$2:$A$98,F49)</f>
        <v>1</v>
      </c>
      <c r="N50" s="58" t="s">
        <v>93</v>
      </c>
    </row>
    <row r="51" ht="12.75" customHeight="1">
      <c r="A51" s="3" t="str">
        <f>Thermonix!A51</f>
        <v>History State</v>
      </c>
      <c r="B51" s="4" t="str">
        <f>Thermonix!B51</f>
        <v>additional elements</v>
      </c>
      <c r="C51" s="49">
        <f>'Thermonix Grader #1'!C51</f>
        <v>0</v>
      </c>
      <c r="D51" s="49">
        <f>'Thermonix Grader #2'!C51</f>
        <v>0</v>
      </c>
      <c r="F51" s="55">
        <v>0.5</v>
      </c>
      <c r="G51" s="60">
        <f t="shared" ref="G51:I51" si="27">COUNTIFS($A$2:$A$88,$F$49,$C$2:$C$88,$F51,$D$2:$D$88,G$49)</f>
        <v>0</v>
      </c>
      <c r="H51" s="15">
        <f t="shared" si="27"/>
        <v>0</v>
      </c>
      <c r="I51" s="61">
        <f t="shared" si="27"/>
        <v>0</v>
      </c>
      <c r="J51" s="15">
        <f t="shared" si="28"/>
        <v>0</v>
      </c>
      <c r="K51" s="15"/>
      <c r="L51" s="59" t="s">
        <v>94</v>
      </c>
      <c r="M51" s="60">
        <f t="array" ref="M51">SUMPRODUCT(J50:J52/COUNTIF($A$2:$A$98,F49), TRANSPOSE(G53:I53)/COUNTIF($A$2:$A$98,F49))</f>
        <v>1</v>
      </c>
      <c r="N51" s="61" t="s">
        <v>95</v>
      </c>
    </row>
    <row r="52" ht="12.75" customHeight="1">
      <c r="A52" s="46"/>
      <c r="B52" s="73"/>
      <c r="C52" s="5"/>
      <c r="D52" s="5"/>
      <c r="F52" s="55">
        <v>1.0</v>
      </c>
      <c r="G52" s="62">
        <f>COUNTIFS($A$2:$A$44,$F$49,$C$2:$C$44,$F52,$D$2:$D$44,G$49) + MAX(C50-D50,0)</f>
        <v>0</v>
      </c>
      <c r="H52" s="63">
        <f>COUNTIFS($A$2:$A$88,$F$49,$C$2:$C$88,$F52,$D$2:$D$88,H$49)</f>
        <v>0</v>
      </c>
      <c r="I52" s="64">
        <f>COUNTIFS($A$2:$A$44,$F$49,$C$2:$C$44,$F52,$D$2:$D$44,I$49)+MIN(C50,D50)</f>
        <v>0</v>
      </c>
      <c r="J52" s="15">
        <f t="shared" si="28"/>
        <v>0</v>
      </c>
      <c r="K52" s="15"/>
      <c r="L52" s="59" t="s">
        <v>83</v>
      </c>
      <c r="M52" s="62" t="str">
        <f>(M50-M51)/(1-M51)</f>
        <v>#DIV/0!</v>
      </c>
      <c r="N52" s="64" t="s">
        <v>96</v>
      </c>
    </row>
    <row r="53" ht="12.75" customHeight="1">
      <c r="A53" s="46"/>
      <c r="B53" s="73"/>
      <c r="C53" s="5"/>
      <c r="D53" s="5"/>
      <c r="F53" s="65" t="s">
        <v>97</v>
      </c>
      <c r="G53" s="15">
        <f t="shared" ref="G53:I53" si="29">SUM(G50:G52)</f>
        <v>1</v>
      </c>
      <c r="H53" s="15">
        <f t="shared" si="29"/>
        <v>0</v>
      </c>
      <c r="I53" s="15">
        <f t="shared" si="29"/>
        <v>0</v>
      </c>
      <c r="J53" s="15"/>
      <c r="L53" s="15"/>
      <c r="M53" s="66"/>
    </row>
    <row r="54" ht="12.75" customHeight="1">
      <c r="A54" s="46"/>
      <c r="B54" s="73"/>
      <c r="C54" s="5"/>
      <c r="D54" s="5"/>
    </row>
    <row r="55" ht="12.75" customHeight="1">
      <c r="A55" s="46"/>
      <c r="B55" s="73"/>
      <c r="C55" s="5"/>
      <c r="D55" s="5"/>
    </row>
    <row r="56" ht="12.75" customHeight="1">
      <c r="A56" s="46"/>
      <c r="B56" s="73"/>
      <c r="C56" s="5"/>
      <c r="D56" s="5"/>
    </row>
    <row r="57" ht="12.75" customHeight="1">
      <c r="A57" s="46"/>
      <c r="B57" s="73"/>
      <c r="C57" s="5"/>
      <c r="D57" s="5"/>
    </row>
    <row r="58" ht="12.75" customHeight="1">
      <c r="A58" s="46"/>
      <c r="B58" s="73"/>
      <c r="C58" s="5"/>
      <c r="D58" s="5"/>
    </row>
    <row r="59" ht="12.75" customHeight="1">
      <c r="A59" s="46"/>
      <c r="B59" s="73"/>
      <c r="C59" s="5"/>
      <c r="D59" s="5"/>
    </row>
    <row r="60" ht="12.75" customHeight="1">
      <c r="A60" s="46"/>
      <c r="B60" s="73"/>
      <c r="C60" s="5"/>
      <c r="D60" s="5"/>
    </row>
    <row r="61" ht="12.75" customHeight="1">
      <c r="A61" s="46"/>
      <c r="B61" s="73"/>
      <c r="C61" s="5"/>
      <c r="D61" s="5"/>
    </row>
    <row r="62" ht="12.75" customHeight="1">
      <c r="A62" s="46"/>
      <c r="B62" s="73"/>
      <c r="C62" s="5"/>
      <c r="D62" s="5"/>
    </row>
    <row r="63" ht="12.75" customHeight="1">
      <c r="A63" s="46"/>
      <c r="B63" s="73"/>
      <c r="C63" s="5"/>
      <c r="D63" s="5"/>
    </row>
    <row r="64" ht="12.75" customHeight="1">
      <c r="A64" s="46"/>
      <c r="B64" s="73"/>
      <c r="C64" s="5"/>
      <c r="D64" s="5"/>
    </row>
    <row r="65" ht="12.75" customHeight="1">
      <c r="A65" s="46"/>
      <c r="B65" s="73"/>
      <c r="C65" s="5"/>
      <c r="D65" s="5"/>
    </row>
    <row r="66" ht="12.75" customHeight="1">
      <c r="A66" s="46"/>
      <c r="B66" s="73"/>
      <c r="C66" s="5"/>
      <c r="D66" s="5"/>
    </row>
    <row r="67" ht="12.75" customHeight="1">
      <c r="A67" s="46"/>
      <c r="B67" s="73"/>
      <c r="C67" s="5"/>
      <c r="D67" s="5"/>
    </row>
    <row r="68" ht="12.75" customHeight="1">
      <c r="A68" s="46"/>
      <c r="B68" s="73"/>
      <c r="C68" s="5"/>
      <c r="D68" s="5"/>
    </row>
    <row r="69" ht="12.75" customHeight="1">
      <c r="A69" s="46"/>
      <c r="B69" s="73"/>
      <c r="C69" s="5"/>
      <c r="D69" s="5"/>
    </row>
    <row r="70" ht="12.75" customHeight="1">
      <c r="A70" s="46"/>
      <c r="B70" s="73"/>
      <c r="C70" s="5"/>
      <c r="D70" s="5"/>
    </row>
    <row r="71" ht="12.75" customHeight="1">
      <c r="A71" s="46"/>
      <c r="B71" s="73"/>
      <c r="C71" s="5"/>
      <c r="D71" s="5"/>
    </row>
    <row r="72" ht="12.75" customHeight="1">
      <c r="A72" s="46"/>
      <c r="B72" s="73"/>
      <c r="C72" s="5"/>
      <c r="D72" s="5"/>
    </row>
    <row r="73" ht="12.75" customHeight="1">
      <c r="A73" s="46"/>
      <c r="B73" s="73"/>
      <c r="C73" s="5"/>
      <c r="D73" s="5"/>
    </row>
    <row r="74" ht="12.75" customHeight="1">
      <c r="A74" s="46"/>
      <c r="B74" s="73"/>
      <c r="C74" s="5"/>
      <c r="D74" s="5"/>
    </row>
    <row r="75" ht="12.75" customHeight="1">
      <c r="A75" s="46"/>
      <c r="B75" s="73"/>
      <c r="D75" s="5"/>
    </row>
    <row r="76" ht="12.75" customHeight="1">
      <c r="A76" s="46"/>
      <c r="B76" s="73"/>
      <c r="D76" s="5"/>
    </row>
    <row r="77" ht="12.75" customHeight="1">
      <c r="A77" s="46"/>
      <c r="B77" s="73"/>
      <c r="D77" s="5"/>
    </row>
    <row r="78" ht="12.75" customHeight="1">
      <c r="A78" s="46"/>
      <c r="B78" s="73"/>
      <c r="D78" s="5"/>
    </row>
    <row r="79" ht="12.75" customHeight="1">
      <c r="A79" s="46"/>
      <c r="B79" s="73"/>
      <c r="D79" s="5"/>
    </row>
    <row r="80" ht="12.75" customHeight="1">
      <c r="A80" s="46"/>
      <c r="B80" s="73"/>
      <c r="D80" s="5"/>
    </row>
    <row r="81" ht="12.75" customHeight="1">
      <c r="A81" s="46"/>
      <c r="B81" s="73"/>
      <c r="D81" s="5"/>
    </row>
    <row r="82" ht="12.75" customHeight="1">
      <c r="A82" s="46"/>
      <c r="B82" s="73"/>
      <c r="D82" s="5"/>
    </row>
    <row r="83" ht="12.75" customHeight="1">
      <c r="A83" s="46"/>
      <c r="B83" s="73"/>
      <c r="D83" s="5"/>
    </row>
    <row r="84" ht="12.75" customHeight="1">
      <c r="A84" s="46"/>
      <c r="B84" s="73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6">
    <mergeCell ref="F1:I1"/>
    <mergeCell ref="L1:N1"/>
    <mergeCell ref="F8:I8"/>
    <mergeCell ref="L8:N8"/>
    <mergeCell ref="F14:I14"/>
    <mergeCell ref="L14:N14"/>
    <mergeCell ref="L21:N21"/>
    <mergeCell ref="F48:I48"/>
    <mergeCell ref="L48:N48"/>
    <mergeCell ref="F21:I21"/>
    <mergeCell ref="F27:I27"/>
    <mergeCell ref="L27:N27"/>
    <mergeCell ref="F34:I34"/>
    <mergeCell ref="L34:N34"/>
    <mergeCell ref="F41:I41"/>
    <mergeCell ref="L41:N4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5" width="10.63"/>
    <col customWidth="1" min="6" max="6" width="29.38"/>
    <col customWidth="1" min="7" max="9" width="10.63"/>
    <col customWidth="1" min="11" max="11" width="10.63"/>
    <col customWidth="1" min="12" max="12" width="11.5"/>
    <col customWidth="1" min="13" max="13" width="11.63"/>
    <col customWidth="1" min="14" max="14" width="13.38"/>
    <col customWidth="1" min="15" max="18" width="10.63"/>
    <col customWidth="1" min="22" max="22" width="36.38"/>
    <col customWidth="1" min="24" max="24" width="54.88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59</v>
      </c>
      <c r="F1" s="46" t="s">
        <v>82</v>
      </c>
      <c r="L1" s="46" t="s">
        <v>112</v>
      </c>
    </row>
    <row r="2" ht="12.75" customHeight="1">
      <c r="A2" s="3" t="str">
        <f>Thermonix!A2</f>
        <v>State</v>
      </c>
      <c r="B2" s="4" t="str">
        <f>Thermonix!B2</f>
        <v>initial state (⇒ TransportationMode)</v>
      </c>
      <c r="C2" s="49">
        <f>'Thermonix Grader #1'!C2</f>
        <v>1</v>
      </c>
      <c r="D2" s="49">
        <f>'Thermonix Grader #2'!C2</f>
        <v>1</v>
      </c>
      <c r="F2" s="15" t="s">
        <v>84</v>
      </c>
      <c r="G2" s="50" t="s">
        <v>85</v>
      </c>
      <c r="H2" s="51" t="s">
        <v>86</v>
      </c>
      <c r="I2" s="52" t="s">
        <v>87</v>
      </c>
      <c r="J2" s="68" t="s">
        <v>88</v>
      </c>
      <c r="K2" s="15"/>
      <c r="L2" s="15" t="s">
        <v>84</v>
      </c>
      <c r="M2" s="67" t="s">
        <v>85</v>
      </c>
      <c r="N2" s="67" t="s">
        <v>86</v>
      </c>
      <c r="O2" s="67" t="s">
        <v>87</v>
      </c>
      <c r="P2" s="15"/>
      <c r="Q2" s="15" t="s">
        <v>84</v>
      </c>
      <c r="R2" s="67" t="s">
        <v>85</v>
      </c>
      <c r="S2" s="67" t="s">
        <v>86</v>
      </c>
      <c r="T2" s="67" t="s">
        <v>87</v>
      </c>
      <c r="V2" s="54" t="s">
        <v>89</v>
      </c>
      <c r="W2" s="54" t="s">
        <v>90</v>
      </c>
      <c r="X2" s="54" t="s">
        <v>91</v>
      </c>
    </row>
    <row r="3" ht="12.75" customHeight="1">
      <c r="A3" s="3" t="str">
        <f>Thermonix!A3</f>
        <v>State</v>
      </c>
      <c r="B3" s="4" t="str">
        <f>Thermonix!B3</f>
        <v>TransportationMode</v>
      </c>
      <c r="C3" s="49">
        <f>'Thermonix Grader #1'!C3</f>
        <v>1</v>
      </c>
      <c r="D3" s="49">
        <f>'Thermonix Grader #2'!C3</f>
        <v>1</v>
      </c>
      <c r="F3" s="55">
        <v>0.0</v>
      </c>
      <c r="G3" s="56">
        <f>COUNTIFS($C$2:$C$89, $F3, $D$2:$D$89, G$2)</f>
        <v>20</v>
      </c>
      <c r="H3" s="57">
        <f>COUNTIFS($C$2:$C$45, $F3, $D$2:$D$45, H$2)</f>
        <v>1</v>
      </c>
      <c r="I3" s="58">
        <f>COUNTIFS($C$2:$C$45, $F3, $D$2:$D$45, I$2)+MAX(D46-C46,0)+MAX(D47-C47,0)+MAX(D48-C48,0)+MAX(D49-C49,0)+MAX(D50-C50,0)+MAX(D51-C51,0)+MAX(D52-C52,0)</f>
        <v>1</v>
      </c>
      <c r="J3" s="15">
        <f t="shared" ref="J3:J5" si="4">SUM(G3:I3)</f>
        <v>22</v>
      </c>
      <c r="K3" s="15"/>
      <c r="L3" s="55">
        <v>0.0</v>
      </c>
      <c r="M3" s="56">
        <f t="shared" ref="M3:O3" si="1">ABS(G$2-$F3)/1</f>
        <v>0</v>
      </c>
      <c r="N3" s="57">
        <f t="shared" si="1"/>
        <v>0.5</v>
      </c>
      <c r="O3" s="58">
        <f t="shared" si="1"/>
        <v>1</v>
      </c>
      <c r="P3" s="15"/>
      <c r="Q3" s="55">
        <v>0.0</v>
      </c>
      <c r="R3" s="56">
        <f t="shared" ref="R3:T3" si="2">($J3/$J$6) * (G$6/$J$6)</f>
        <v>0.1848</v>
      </c>
      <c r="S3" s="57">
        <f t="shared" si="2"/>
        <v>0.0176</v>
      </c>
      <c r="T3" s="58">
        <f t="shared" si="2"/>
        <v>0.2376</v>
      </c>
      <c r="U3" s="15"/>
      <c r="V3" s="59" t="s">
        <v>113</v>
      </c>
      <c r="W3" s="56">
        <f>SUMPRODUCT(G3:I5, M3:O5) /$J$6</f>
        <v>0.06</v>
      </c>
      <c r="X3" s="58" t="s">
        <v>114</v>
      </c>
    </row>
    <row r="4" ht="12.75" customHeight="1">
      <c r="A4" s="3" t="str">
        <f>Thermonix!A4</f>
        <v>Transition</v>
      </c>
      <c r="B4" s="4" t="str">
        <f>Thermonix!B4</f>
        <v>selectorPressed (TransportationMode ⇒ On)</v>
      </c>
      <c r="C4" s="49">
        <f>'Thermonix Grader #1'!C4</f>
        <v>1</v>
      </c>
      <c r="D4" s="49">
        <f>'Thermonix Grader #2'!C4</f>
        <v>1</v>
      </c>
      <c r="F4" s="55">
        <v>0.5</v>
      </c>
      <c r="G4" s="60">
        <f t="shared" ref="G4:I4" si="3">COUNTIFS($C$2:$C$45, $F4, $D$2:$D$45, G$2)</f>
        <v>1</v>
      </c>
      <c r="H4" s="15">
        <f t="shared" si="3"/>
        <v>0</v>
      </c>
      <c r="I4" s="61">
        <f t="shared" si="3"/>
        <v>1</v>
      </c>
      <c r="J4" s="15">
        <f t="shared" si="4"/>
        <v>2</v>
      </c>
      <c r="K4" s="15"/>
      <c r="L4" s="55">
        <v>0.5</v>
      </c>
      <c r="M4" s="60">
        <f t="shared" ref="M4:M5" si="6">ABS(G$2-$F4)/1</f>
        <v>0.5</v>
      </c>
      <c r="N4" s="15">
        <f>ABS(H$2-$F4)/3</f>
        <v>0</v>
      </c>
      <c r="O4" s="61">
        <f>ABS(I$2-$F4)/1</f>
        <v>0.5</v>
      </c>
      <c r="P4" s="15"/>
      <c r="Q4" s="55">
        <v>0.5</v>
      </c>
      <c r="R4" s="60">
        <f t="shared" ref="R4:T4" si="5">($J4/$J$6) * (G$6/$J$6)</f>
        <v>0.0168</v>
      </c>
      <c r="S4" s="15">
        <f t="shared" si="5"/>
        <v>0.0016</v>
      </c>
      <c r="T4" s="61">
        <f t="shared" si="5"/>
        <v>0.0216</v>
      </c>
      <c r="U4" s="15"/>
      <c r="V4" s="59" t="s">
        <v>115</v>
      </c>
      <c r="W4" s="60">
        <f>SUMPRODUCT(R3:T5, M3:O5)</f>
        <v>0.4944</v>
      </c>
      <c r="X4" s="61" t="s">
        <v>116</v>
      </c>
    </row>
    <row r="5" ht="12.75" customHeight="1">
      <c r="A5" s="3" t="str">
        <f>Thermonix!A5</f>
        <v>State</v>
      </c>
      <c r="B5" s="4" t="str">
        <f>Thermonix!B5</f>
        <v>PreparingOff</v>
      </c>
      <c r="C5" s="49">
        <f>'Thermonix Grader #1'!C5</f>
        <v>1</v>
      </c>
      <c r="D5" s="49">
        <f>'Thermonix Grader #2'!C5</f>
        <v>1</v>
      </c>
      <c r="F5" s="55">
        <v>1.0</v>
      </c>
      <c r="G5" s="62">
        <f>COUNTIFS($C$2:$C$45, $F5, $D$2:$D$45, G$2)+MAX(C46-D46,0)+MAX(C47-D47,0)+MAX(C48-D48,0)+MAX(C49-D49,0)+MAX(C50-D50,0)+MAX(C51-D51,0)+MAX(C52-D52,0)</f>
        <v>0</v>
      </c>
      <c r="H5" s="63">
        <f>COUNTIFS($C$2:$C$45, $F5, $D$2:$D$45, H$2)</f>
        <v>1</v>
      </c>
      <c r="I5" s="64">
        <f>COUNTIFS($C$2:$C$45, $F5, $D$2:$D$45, I$2)+ SUM(MIN(C46,D46), MIN(C47,D47), MIN(C48,D48), MIN(C49,D49), MIN(C50,D50), MIN(C51,D51), MIN(C52,D52))</f>
        <v>25</v>
      </c>
      <c r="J5" s="15">
        <f t="shared" si="4"/>
        <v>26</v>
      </c>
      <c r="K5" s="15"/>
      <c r="L5" s="55">
        <v>1.0</v>
      </c>
      <c r="M5" s="62">
        <f t="shared" si="6"/>
        <v>1</v>
      </c>
      <c r="N5" s="63">
        <f t="shared" ref="N5:O5" si="7">ABS(H$2-$F5)/1</f>
        <v>0.5</v>
      </c>
      <c r="O5" s="64">
        <f t="shared" si="7"/>
        <v>0</v>
      </c>
      <c r="P5" s="15"/>
      <c r="Q5" s="55">
        <v>1.0</v>
      </c>
      <c r="R5" s="62">
        <f t="shared" ref="R5:T5" si="8">($J5/$J$6) * (G$6/$J$6)</f>
        <v>0.2184</v>
      </c>
      <c r="S5" s="63">
        <f t="shared" si="8"/>
        <v>0.0208</v>
      </c>
      <c r="T5" s="64">
        <f t="shared" si="8"/>
        <v>0.2808</v>
      </c>
      <c r="U5" s="15"/>
      <c r="V5" s="59" t="s">
        <v>83</v>
      </c>
      <c r="W5" s="62">
        <f>1-W3/W4</f>
        <v>0.8786407767</v>
      </c>
      <c r="X5" s="64" t="s">
        <v>117</v>
      </c>
    </row>
    <row r="6" ht="12.75" customHeight="1">
      <c r="A6" s="3" t="str">
        <f>Thermonix!A6</f>
        <v>Transition</v>
      </c>
      <c r="B6" s="4" t="str">
        <f>Thermonix!B6</f>
        <v>selectorReleased (PreparingOff ⇒ On)</v>
      </c>
      <c r="C6" s="49">
        <f>'Thermonix Grader #1'!C6</f>
        <v>1</v>
      </c>
      <c r="D6" s="49">
        <f>'Thermonix Grader #2'!C6</f>
        <v>1</v>
      </c>
      <c r="F6" s="65" t="s">
        <v>97</v>
      </c>
      <c r="G6" s="15">
        <f t="shared" ref="G6:I6" si="9">SUM(G3:G5)</f>
        <v>21</v>
      </c>
      <c r="H6" s="15">
        <f t="shared" si="9"/>
        <v>2</v>
      </c>
      <c r="I6" s="15">
        <f t="shared" si="9"/>
        <v>27</v>
      </c>
      <c r="J6" s="15">
        <f>SUM(G3:I5)</f>
        <v>50</v>
      </c>
      <c r="L6" s="15"/>
      <c r="M6" s="15"/>
      <c r="N6" s="15"/>
      <c r="O6" s="15"/>
      <c r="P6" s="15"/>
      <c r="Q6" s="15"/>
      <c r="R6" s="15"/>
      <c r="S6" s="15"/>
      <c r="T6" s="15"/>
      <c r="V6" s="15"/>
      <c r="W6" s="66"/>
    </row>
    <row r="7" ht="12.75" customHeight="1">
      <c r="A7" s="3" t="str">
        <f>Thermonix!A7</f>
        <v>Transition</v>
      </c>
      <c r="B7" s="4" t="str">
        <f>Thermonix!B7</f>
        <v>after 5sec (PreparingOff ⇒ Off)</v>
      </c>
      <c r="C7" s="49">
        <f>'Thermonix Grader #1'!C7</f>
        <v>1</v>
      </c>
      <c r="D7" s="49">
        <f>'Thermonix Grader #2'!C7</f>
        <v>1</v>
      </c>
      <c r="L7" s="15"/>
      <c r="M7" s="15"/>
      <c r="N7" s="15"/>
    </row>
    <row r="8" ht="12.75" customHeight="1">
      <c r="A8" s="3" t="str">
        <f>Thermonix!A8</f>
        <v>State</v>
      </c>
      <c r="B8" s="4" t="str">
        <f>Thermonix!B8</f>
        <v>Off</v>
      </c>
      <c r="C8" s="49">
        <f>'Thermonix Grader #1'!C8</f>
        <v>1</v>
      </c>
      <c r="D8" s="49">
        <f>'Thermonix Grader #2'!C8</f>
        <v>1</v>
      </c>
      <c r="F8" s="46" t="s">
        <v>98</v>
      </c>
    </row>
    <row r="9" ht="12.75" customHeight="1">
      <c r="A9" s="3" t="str">
        <f>Thermonix!A9</f>
        <v>Transition</v>
      </c>
      <c r="B9" s="4" t="str">
        <f>Thermonix!B9</f>
        <v>selectorPressed (Off ⇒ On)</v>
      </c>
      <c r="C9" s="49">
        <f>'Thermonix Grader #1'!C9</f>
        <v>1</v>
      </c>
      <c r="D9" s="49">
        <f>'Thermonix Grader #2'!C9</f>
        <v>1</v>
      </c>
      <c r="F9" s="15" t="s">
        <v>2</v>
      </c>
      <c r="G9" s="67" t="s">
        <v>85</v>
      </c>
      <c r="H9" s="67" t="s">
        <v>86</v>
      </c>
      <c r="I9" s="67" t="s">
        <v>87</v>
      </c>
      <c r="J9" s="68" t="s">
        <v>88</v>
      </c>
      <c r="K9" s="15"/>
      <c r="L9" s="15" t="s">
        <v>84</v>
      </c>
      <c r="M9" s="67" t="s">
        <v>85</v>
      </c>
      <c r="N9" s="67" t="s">
        <v>86</v>
      </c>
      <c r="O9" s="67" t="s">
        <v>87</v>
      </c>
      <c r="P9" s="15"/>
      <c r="Q9" s="15" t="s">
        <v>84</v>
      </c>
      <c r="R9" s="67" t="s">
        <v>85</v>
      </c>
      <c r="S9" s="67" t="s">
        <v>86</v>
      </c>
      <c r="T9" s="67" t="s">
        <v>87</v>
      </c>
      <c r="V9" s="54" t="s">
        <v>89</v>
      </c>
      <c r="W9" s="54" t="s">
        <v>90</v>
      </c>
      <c r="X9" s="54" t="s">
        <v>91</v>
      </c>
    </row>
    <row r="10" ht="12.75" customHeight="1">
      <c r="A10" s="3" t="str">
        <f>Thermonix!A10</f>
        <v>Composite State</v>
      </c>
      <c r="B10" s="4" t="str">
        <f>Thermonix!B10</f>
        <v>On</v>
      </c>
      <c r="C10" s="49">
        <f>'Thermonix Grader #1'!C10</f>
        <v>0</v>
      </c>
      <c r="D10" s="49">
        <f>'Thermonix Grader #2'!C10</f>
        <v>1</v>
      </c>
      <c r="F10" s="55">
        <v>0.5</v>
      </c>
      <c r="G10" s="60">
        <f t="shared" ref="G10:I10" si="10">COUNTIFS($A$2:$A$89,$F$9,$C$2:$C$89,$F10,$D$2:$D$89,G$9)</f>
        <v>0</v>
      </c>
      <c r="H10" s="15">
        <f t="shared" si="10"/>
        <v>0</v>
      </c>
      <c r="I10" s="61">
        <f t="shared" si="10"/>
        <v>0</v>
      </c>
      <c r="J10" s="15">
        <f t="shared" ref="J10:J11" si="12">SUM(G10:I10)</f>
        <v>0</v>
      </c>
      <c r="K10" s="15"/>
      <c r="L10" s="55">
        <v>0.5</v>
      </c>
      <c r="M10" s="60">
        <f t="shared" ref="M10:M11" si="13">ABS(G$2-$F10)/1</f>
        <v>0.5</v>
      </c>
      <c r="N10" s="15">
        <f>ABS(H$2-$F10)/3</f>
        <v>0</v>
      </c>
      <c r="O10" s="61">
        <f>ABS(I$2-$F10)/1</f>
        <v>0.5</v>
      </c>
      <c r="P10" s="15"/>
      <c r="Q10" s="55">
        <v>0.5</v>
      </c>
      <c r="R10" s="60">
        <f t="shared" ref="R10:T10" si="11">($J10/$J$12) * (G$12/$J$12)</f>
        <v>0</v>
      </c>
      <c r="S10" s="15">
        <f t="shared" si="11"/>
        <v>0</v>
      </c>
      <c r="T10" s="61">
        <f t="shared" si="11"/>
        <v>0</v>
      </c>
      <c r="U10" s="15"/>
      <c r="V10" s="59" t="s">
        <v>115</v>
      </c>
      <c r="W10" s="60">
        <f>SUMPRODUCT(R10:T11, M10:O11)</f>
        <v>0</v>
      </c>
      <c r="X10" s="61" t="s">
        <v>116</v>
      </c>
    </row>
    <row r="11" ht="12.75" customHeight="1">
      <c r="A11" s="3" t="str">
        <f>Thermonix!A11</f>
        <v>History State</v>
      </c>
      <c r="B11" s="4" t="str">
        <f>Thermonix!B11</f>
        <v>History State for On</v>
      </c>
      <c r="C11" s="49">
        <f>'Thermonix Grader #1'!C11</f>
        <v>0</v>
      </c>
      <c r="D11" s="49">
        <f>'Thermonix Grader #2'!C11</f>
        <v>0</v>
      </c>
      <c r="F11" s="55">
        <v>1.0</v>
      </c>
      <c r="G11" s="62">
        <f>COUNTIFS($A$2:$A$45,$F$9,$C$2:$C$45,$F11,$D$2:$D$45,G$9)+MAX(C46-D46,0)</f>
        <v>0</v>
      </c>
      <c r="H11" s="63">
        <f>COUNTIFS($A$2:$A$89,$F$9,$C$2:$C$89,$F11,$D$2:$D$89,H$9)</f>
        <v>0</v>
      </c>
      <c r="I11" s="64">
        <f>COUNTIFS($A$2:$A$45,$F$9,$C$2:$C$45,$F11,$D$2:$D$45,I$9)+MIN(C46-D46)</f>
        <v>9</v>
      </c>
      <c r="J11" s="15">
        <f t="shared" si="12"/>
        <v>9</v>
      </c>
      <c r="K11" s="15"/>
      <c r="L11" s="55">
        <v>1.0</v>
      </c>
      <c r="M11" s="62">
        <f t="shared" si="13"/>
        <v>1</v>
      </c>
      <c r="N11" s="63">
        <f t="shared" ref="N11:O11" si="14">ABS(H$2-$F11)/1</f>
        <v>0.5</v>
      </c>
      <c r="O11" s="64">
        <f t="shared" si="14"/>
        <v>0</v>
      </c>
      <c r="P11" s="15"/>
      <c r="Q11" s="55">
        <v>1.0</v>
      </c>
      <c r="R11" s="62">
        <f t="shared" ref="R11:T11" si="15">($J11/$J$12) * (G$12/$J$12)</f>
        <v>0</v>
      </c>
      <c r="S11" s="63">
        <f t="shared" si="15"/>
        <v>0</v>
      </c>
      <c r="T11" s="64">
        <f t="shared" si="15"/>
        <v>1</v>
      </c>
      <c r="U11" s="15"/>
      <c r="V11" s="59" t="s">
        <v>83</v>
      </c>
      <c r="W11" s="62" t="str">
        <f>1-#REF!/W10</f>
        <v>#REF!</v>
      </c>
      <c r="X11" s="64" t="s">
        <v>117</v>
      </c>
    </row>
    <row r="12" ht="12.75" customHeight="1">
      <c r="A12" s="3" t="str">
        <f>Thermonix!A12</f>
        <v>Transition</v>
      </c>
      <c r="B12" s="4" t="str">
        <f>Thermonix!B12</f>
        <v>selectorHeld (On ⇒ PreparingOff)</v>
      </c>
      <c r="C12" s="49">
        <f>'Thermonix Grader #1'!C12</f>
        <v>1</v>
      </c>
      <c r="D12" s="49">
        <f>'Thermonix Grader #2'!C12</f>
        <v>0.5</v>
      </c>
      <c r="F12" s="65" t="s">
        <v>97</v>
      </c>
      <c r="G12" s="15">
        <f t="shared" ref="G12:I12" si="16">SUM(G10:G11)</f>
        <v>0</v>
      </c>
      <c r="H12" s="15">
        <f t="shared" si="16"/>
        <v>0</v>
      </c>
      <c r="I12" s="15">
        <f t="shared" si="16"/>
        <v>9</v>
      </c>
      <c r="J12" s="15">
        <f>SUM(G10:I11)</f>
        <v>9</v>
      </c>
    </row>
    <row r="13" ht="12.75" customHeight="1">
      <c r="A13" s="3" t="str">
        <f>Thermonix!A13</f>
        <v>Transition</v>
      </c>
      <c r="B13" s="4" t="str">
        <f>Thermonix!B13</f>
        <v>bowlRemoved (On ⇒ On)</v>
      </c>
      <c r="C13" s="49">
        <f>'Thermonix Grader #1'!C13</f>
        <v>1</v>
      </c>
      <c r="D13" s="49">
        <f>'Thermonix Grader #2'!C13</f>
        <v>1</v>
      </c>
    </row>
    <row r="14" ht="12.75" customHeight="1">
      <c r="A14" s="3" t="str">
        <f>Thermonix!A14</f>
        <v>State</v>
      </c>
      <c r="B14" s="4" t="str">
        <f>Thermonix!B14</f>
        <v>Initial State (On ⇒  Home)</v>
      </c>
      <c r="C14" s="49">
        <f>'Thermonix Grader #1'!C14</f>
        <v>0</v>
      </c>
      <c r="D14" s="49">
        <f>'Thermonix Grader #2'!C14</f>
        <v>0</v>
      </c>
      <c r="F14" s="46" t="s">
        <v>100</v>
      </c>
    </row>
    <row r="15" ht="12.75" customHeight="1">
      <c r="A15" s="3" t="str">
        <f>Thermonix!A15</f>
        <v>State</v>
      </c>
      <c r="B15" s="4" t="str">
        <f>Thermonix!B15</f>
        <v>Home</v>
      </c>
      <c r="C15" s="49">
        <f>'Thermonix Grader #1'!C15</f>
        <v>1</v>
      </c>
      <c r="D15" s="49">
        <f>'Thermonix Grader #2'!C15</f>
        <v>1</v>
      </c>
      <c r="F15" s="15" t="s">
        <v>5</v>
      </c>
      <c r="G15" s="67" t="s">
        <v>85</v>
      </c>
      <c r="H15" s="67" t="s">
        <v>86</v>
      </c>
      <c r="I15" s="67" t="s">
        <v>87</v>
      </c>
      <c r="J15" s="68" t="s">
        <v>88</v>
      </c>
      <c r="K15" s="15"/>
      <c r="L15" s="15" t="s">
        <v>84</v>
      </c>
      <c r="M15" s="67" t="s">
        <v>85</v>
      </c>
      <c r="N15" s="67" t="s">
        <v>86</v>
      </c>
      <c r="O15" s="67" t="s">
        <v>87</v>
      </c>
      <c r="P15" s="15"/>
      <c r="Q15" s="15" t="s">
        <v>84</v>
      </c>
      <c r="R15" s="67" t="s">
        <v>85</v>
      </c>
      <c r="S15" s="67" t="s">
        <v>86</v>
      </c>
      <c r="T15" s="67" t="s">
        <v>87</v>
      </c>
      <c r="V15" s="54" t="s">
        <v>89</v>
      </c>
      <c r="W15" s="54" t="s">
        <v>90</v>
      </c>
      <c r="X15" s="54" t="s">
        <v>91</v>
      </c>
    </row>
    <row r="16" ht="15.0" customHeight="1">
      <c r="A16" s="3" t="str">
        <f>Thermonix!A16</f>
        <v>Transition</v>
      </c>
      <c r="B16" s="4" t="str">
        <f>Thermonix!B16</f>
        <v>after 14min 30sec (Home ⇒ Preparing Shutdown)</v>
      </c>
      <c r="C16" s="49">
        <f>'Thermonix Grader #1'!C16</f>
        <v>1</v>
      </c>
      <c r="D16" s="49">
        <f>'Thermonix Grader #2'!C16</f>
        <v>1</v>
      </c>
      <c r="E16" s="5"/>
      <c r="F16" s="55">
        <v>0.0</v>
      </c>
      <c r="G16" s="56">
        <f t="shared" ref="G16:H16" si="17">COUNTIFS($A$2:$A$89,$F$15,$C$2:$C$89,$F16,$D$2:$D$89,G$15)</f>
        <v>3</v>
      </c>
      <c r="H16" s="57">
        <f t="shared" si="17"/>
        <v>1</v>
      </c>
      <c r="I16" s="58">
        <f>COUNTIFS($A$2:$A$45,$F$15,$C$2:$C$45,$F16,$D$2:$D$45,I$15) + MAX(D47-C47,0)</f>
        <v>0</v>
      </c>
      <c r="J16" s="15">
        <f t="shared" ref="J16:J18" si="21">SUM(G16:I16)</f>
        <v>4</v>
      </c>
      <c r="K16" s="15"/>
      <c r="L16" s="55">
        <v>0.0</v>
      </c>
      <c r="M16" s="56">
        <f t="shared" ref="M16:O16" si="18">ABS(G$2-$F16)/1</f>
        <v>0</v>
      </c>
      <c r="N16" s="57">
        <f t="shared" si="18"/>
        <v>0.5</v>
      </c>
      <c r="O16" s="58">
        <f t="shared" si="18"/>
        <v>1</v>
      </c>
      <c r="P16" s="15"/>
      <c r="Q16" s="55">
        <v>0.0</v>
      </c>
      <c r="R16" s="56">
        <f t="shared" ref="R16:T16" si="19">($J16/$J$19) * (G$19/$J$19)</f>
        <v>0.03703703704</v>
      </c>
      <c r="S16" s="57">
        <f t="shared" si="19"/>
        <v>0.02469135802</v>
      </c>
      <c r="T16" s="58">
        <f t="shared" si="19"/>
        <v>0.1604938272</v>
      </c>
      <c r="U16" s="15"/>
      <c r="V16" s="59" t="s">
        <v>113</v>
      </c>
      <c r="W16" s="56">
        <f>SUMPRODUCT(G16:I18, M16:O18) /$J$19</f>
        <v>0.05555555556</v>
      </c>
      <c r="X16" s="58" t="s">
        <v>114</v>
      </c>
    </row>
    <row r="17" ht="12.75" customHeight="1">
      <c r="A17" s="3" t="str">
        <f>Thermonix!A17</f>
        <v>Transition</v>
      </c>
      <c r="B17" s="4" t="str">
        <f>Thermonix!B17</f>
        <v>start (Home ⇒ PromptToAdd)</v>
      </c>
      <c r="C17" s="49">
        <f>'Thermonix Grader #1'!C17</f>
        <v>1</v>
      </c>
      <c r="D17" s="49">
        <f>'Thermonix Grader #2'!C17</f>
        <v>1</v>
      </c>
      <c r="F17" s="55">
        <v>0.5</v>
      </c>
      <c r="G17" s="60">
        <f t="shared" ref="G17:I17" si="20">COUNTIFS($A$2:$A$89,$F$15,$C$2:$C$89,$F17,$D$2:$D$89,G$15)</f>
        <v>0</v>
      </c>
      <c r="H17" s="15">
        <f t="shared" si="20"/>
        <v>0</v>
      </c>
      <c r="I17" s="61">
        <f t="shared" si="20"/>
        <v>0</v>
      </c>
      <c r="J17" s="15">
        <f t="shared" si="21"/>
        <v>0</v>
      </c>
      <c r="K17" s="15"/>
      <c r="L17" s="55">
        <v>0.5</v>
      </c>
      <c r="M17" s="60">
        <f t="shared" ref="M17:M18" si="23">ABS(G$2-$F17)/1</f>
        <v>0.5</v>
      </c>
      <c r="N17" s="15">
        <f>ABS(H$2-$F17)/3</f>
        <v>0</v>
      </c>
      <c r="O17" s="61">
        <f>ABS(I$2-$F17)/1</f>
        <v>0.5</v>
      </c>
      <c r="P17" s="15"/>
      <c r="Q17" s="55">
        <v>0.5</v>
      </c>
      <c r="R17" s="60">
        <f t="shared" ref="R17:T17" si="22">($J17/$J$19) * (G$19/$J$19)</f>
        <v>0</v>
      </c>
      <c r="S17" s="15">
        <f t="shared" si="22"/>
        <v>0</v>
      </c>
      <c r="T17" s="61">
        <f t="shared" si="22"/>
        <v>0</v>
      </c>
      <c r="U17" s="15"/>
      <c r="V17" s="59" t="s">
        <v>115</v>
      </c>
      <c r="W17" s="60">
        <f>SUMPRODUCT(R16:T18, M16:O18)</f>
        <v>0.3456790123</v>
      </c>
      <c r="X17" s="61" t="s">
        <v>116</v>
      </c>
    </row>
    <row r="18" ht="12.75" customHeight="1">
      <c r="A18" s="3" t="str">
        <f>Thermonix!A18</f>
        <v>Guard</v>
      </c>
      <c r="B18" s="4" t="str">
        <f>Thermonix!B18</f>
        <v>[!bowlRemoved()]</v>
      </c>
      <c r="C18" s="49">
        <f>'Thermonix Grader #1'!C18</f>
        <v>1</v>
      </c>
      <c r="D18" s="49">
        <f>'Thermonix Grader #2'!C18</f>
        <v>1</v>
      </c>
      <c r="F18" s="55">
        <v>1.0</v>
      </c>
      <c r="G18" s="62">
        <f>COUNTIFS($A$2:$A$45,$F$15,$C$2:$C$45,$F18,$D$2:$D$45,G$15)+MAX(C47-D47,0)</f>
        <v>0</v>
      </c>
      <c r="H18" s="63">
        <f>COUNTIFS($A$2:$A$89,$F$15,$C$2:$C$89,$F18,$D$2:$D$89,H$15)</f>
        <v>1</v>
      </c>
      <c r="I18" s="64">
        <f>COUNTIFS($A$2:$A$45,$F$15,$C$2:$C$45,$F18,$D$2:$D$45,I$15) + MIN(C47,D47)</f>
        <v>13</v>
      </c>
      <c r="J18" s="15">
        <f t="shared" si="21"/>
        <v>14</v>
      </c>
      <c r="K18" s="15"/>
      <c r="L18" s="55">
        <v>1.0</v>
      </c>
      <c r="M18" s="62">
        <f t="shared" si="23"/>
        <v>1</v>
      </c>
      <c r="N18" s="63">
        <f t="shared" ref="N18:O18" si="24">ABS(H$2-$F18)/1</f>
        <v>0.5</v>
      </c>
      <c r="O18" s="64">
        <f t="shared" si="24"/>
        <v>0</v>
      </c>
      <c r="P18" s="15"/>
      <c r="Q18" s="55">
        <v>1.0</v>
      </c>
      <c r="R18" s="62">
        <f t="shared" ref="R18:T18" si="25">($J18/$J$19) * (G$19/$J$19)</f>
        <v>0.1296296296</v>
      </c>
      <c r="S18" s="63">
        <f t="shared" si="25"/>
        <v>0.08641975309</v>
      </c>
      <c r="T18" s="64">
        <f t="shared" si="25"/>
        <v>0.5617283951</v>
      </c>
      <c r="U18" s="15"/>
      <c r="V18" s="59" t="s">
        <v>83</v>
      </c>
      <c r="W18" s="62">
        <f>1-W16/W17</f>
        <v>0.8392857143</v>
      </c>
      <c r="X18" s="64" t="s">
        <v>117</v>
      </c>
    </row>
    <row r="19" ht="12.75" customHeight="1">
      <c r="A19" s="3" t="str">
        <f>Thermonix!A19</f>
        <v>Action</v>
      </c>
      <c r="B19" s="4" t="str">
        <f>Thermonix!B19</f>
        <v>setIngredients()</v>
      </c>
      <c r="C19" s="49">
        <f>'Thermonix Grader #1'!C19</f>
        <v>1</v>
      </c>
      <c r="D19" s="49">
        <f>'Thermonix Grader #2'!C19</f>
        <v>1</v>
      </c>
      <c r="F19" s="65" t="s">
        <v>97</v>
      </c>
      <c r="G19" s="15">
        <f t="shared" ref="G19:I19" si="26">SUM(G16:G18)</f>
        <v>3</v>
      </c>
      <c r="H19" s="15">
        <f t="shared" si="26"/>
        <v>2</v>
      </c>
      <c r="I19" s="15">
        <f t="shared" si="26"/>
        <v>13</v>
      </c>
      <c r="J19" s="15">
        <f>SUM(G16:I18)</f>
        <v>18</v>
      </c>
    </row>
    <row r="20" ht="12.75" customHeight="1">
      <c r="A20" s="3" t="str">
        <f>Thermonix!A20</f>
        <v>State</v>
      </c>
      <c r="B20" s="4" t="str">
        <f>Thermonix!B20</f>
        <v>Preparing Shutdown</v>
      </c>
      <c r="C20" s="49">
        <f>'Thermonix Grader #1'!C20</f>
        <v>1</v>
      </c>
      <c r="D20" s="49">
        <f>'Thermonix Grader #2'!C20</f>
        <v>1</v>
      </c>
    </row>
    <row r="21" ht="12.75" customHeight="1">
      <c r="A21" s="3" t="str">
        <f>Thermonix!A21</f>
        <v>Transition</v>
      </c>
      <c r="B21" s="4" t="str">
        <f>Thermonix!B21</f>
        <v>after 30sec (Preparing Shutdown ⇒ Off)</v>
      </c>
      <c r="C21" s="49">
        <f>'Thermonix Grader #1'!C21</f>
        <v>1</v>
      </c>
      <c r="D21" s="49">
        <f>'Thermonix Grader #2'!C21</f>
        <v>1</v>
      </c>
      <c r="F21" s="46" t="s">
        <v>102</v>
      </c>
    </row>
    <row r="22" ht="12.75" customHeight="1">
      <c r="A22" s="3" t="str">
        <f>Thermonix!A22</f>
        <v>Transition</v>
      </c>
      <c r="B22" s="4" t="str">
        <f>Thermonix!B22</f>
        <v>cancel (Preparing Shutdown ⇒ Home)</v>
      </c>
      <c r="C22" s="49">
        <f>'Thermonix Grader #1'!C22</f>
        <v>1</v>
      </c>
      <c r="D22" s="49">
        <f>'Thermonix Grader #2'!C22</f>
        <v>1</v>
      </c>
      <c r="E22" s="5"/>
      <c r="F22" s="15" t="s">
        <v>12</v>
      </c>
      <c r="G22" s="67" t="s">
        <v>85</v>
      </c>
      <c r="H22" s="67" t="s">
        <v>86</v>
      </c>
      <c r="I22" s="67" t="s">
        <v>87</v>
      </c>
      <c r="J22" s="68" t="s">
        <v>88</v>
      </c>
      <c r="K22" s="15"/>
      <c r="L22" s="15" t="s">
        <v>84</v>
      </c>
      <c r="M22" s="67" t="s">
        <v>85</v>
      </c>
      <c r="N22" s="67" t="s">
        <v>86</v>
      </c>
      <c r="O22" s="67" t="s">
        <v>87</v>
      </c>
      <c r="P22" s="15"/>
      <c r="Q22" s="15" t="s">
        <v>84</v>
      </c>
      <c r="R22" s="67" t="s">
        <v>85</v>
      </c>
      <c r="S22" s="67" t="s">
        <v>86</v>
      </c>
      <c r="T22" s="67" t="s">
        <v>87</v>
      </c>
      <c r="V22" s="54" t="s">
        <v>89</v>
      </c>
      <c r="W22" s="54" t="s">
        <v>90</v>
      </c>
      <c r="X22" s="54" t="s">
        <v>91</v>
      </c>
    </row>
    <row r="23" ht="12.75" customHeight="1">
      <c r="A23" s="3" t="str">
        <f>Thermonix!A23</f>
        <v>State</v>
      </c>
      <c r="B23" s="4" t="str">
        <f>Thermonix!B23</f>
        <v>PromptToAdd</v>
      </c>
      <c r="C23" s="49">
        <f>'Thermonix Grader #1'!C23</f>
        <v>0</v>
      </c>
      <c r="D23" s="49">
        <f>'Thermonix Grader #2'!C23</f>
        <v>0</v>
      </c>
      <c r="F23" s="55">
        <v>0.0</v>
      </c>
      <c r="G23" s="56">
        <f t="shared" ref="G23:H23" si="27">COUNTIFS($A$2:$A$89,$F$22,$C$2:$C$89,$F23,$D$2:$D$89,G$22)</f>
        <v>1</v>
      </c>
      <c r="H23" s="57">
        <f t="shared" si="27"/>
        <v>0</v>
      </c>
      <c r="I23" s="58">
        <f>COUNTIFS($A$2:$A$45,$F$22,$C$2:$C$45,$F23,$D$2:$D$45,I$22) + MAX(D50-C50,0)</f>
        <v>1</v>
      </c>
      <c r="J23" s="15">
        <f t="shared" ref="J23:J25" si="31">SUM(G23:I23)</f>
        <v>2</v>
      </c>
      <c r="K23" s="15"/>
      <c r="L23" s="55">
        <v>0.0</v>
      </c>
      <c r="M23" s="56">
        <f t="shared" ref="M23:O23" si="28">ABS(G$2-$F23)/1</f>
        <v>0</v>
      </c>
      <c r="N23" s="57">
        <f t="shared" si="28"/>
        <v>0.5</v>
      </c>
      <c r="O23" s="58">
        <f t="shared" si="28"/>
        <v>1</v>
      </c>
      <c r="P23" s="15"/>
      <c r="Q23" s="55">
        <v>0.0</v>
      </c>
      <c r="R23" s="56">
        <f t="shared" ref="R23:T23" si="29">($J23/$J$26) * (G$26/$J$26)</f>
        <v>0.5</v>
      </c>
      <c r="S23" s="57">
        <f t="shared" si="29"/>
        <v>0</v>
      </c>
      <c r="T23" s="58">
        <f t="shared" si="29"/>
        <v>0.5</v>
      </c>
      <c r="U23" s="15"/>
      <c r="V23" s="59" t="s">
        <v>113</v>
      </c>
      <c r="W23" s="56">
        <f>SUMPRODUCT(G23:I25, M23:O25) /$J$26</f>
        <v>0.5</v>
      </c>
      <c r="X23" s="58" t="s">
        <v>114</v>
      </c>
    </row>
    <row r="24" ht="12.75" customHeight="1">
      <c r="A24" s="3" t="str">
        <f>Thermonix!A24</f>
        <v>Transition</v>
      </c>
      <c r="B24" s="4" t="str">
        <f>Thermonix!B24</f>
        <v>next (PromptToAdd ⇒ PromptToAdd)</v>
      </c>
      <c r="C24" s="49">
        <f>'Thermonix Grader #1'!C24</f>
        <v>0</v>
      </c>
      <c r="D24" s="49">
        <f>'Thermonix Grader #2'!C24</f>
        <v>0</v>
      </c>
      <c r="F24" s="55">
        <v>0.5</v>
      </c>
      <c r="G24" s="60">
        <f t="shared" ref="G24:I24" si="30">COUNTIFS($A$2:$A$89,$F$22,$C$2:$C$89,$F24,$D$2:$D$89,G$22)</f>
        <v>0</v>
      </c>
      <c r="H24" s="15">
        <f t="shared" si="30"/>
        <v>0</v>
      </c>
      <c r="I24" s="61">
        <f t="shared" si="30"/>
        <v>0</v>
      </c>
      <c r="J24" s="15">
        <f t="shared" si="31"/>
        <v>0</v>
      </c>
      <c r="K24" s="15"/>
      <c r="L24" s="55">
        <v>0.5</v>
      </c>
      <c r="M24" s="60">
        <f t="shared" ref="M24:M25" si="33">ABS(G$2-$F24)/1</f>
        <v>0.5</v>
      </c>
      <c r="N24" s="15">
        <f>ABS(H$2-$F24)/3</f>
        <v>0</v>
      </c>
      <c r="O24" s="61">
        <f>ABS(I$2-$F24)/1</f>
        <v>0.5</v>
      </c>
      <c r="P24" s="15"/>
      <c r="Q24" s="55">
        <v>0.5</v>
      </c>
      <c r="R24" s="60">
        <f t="shared" ref="R24:T24" si="32">($J24/$J$26) * (G$26/$J$26)</f>
        <v>0</v>
      </c>
      <c r="S24" s="15">
        <f t="shared" si="32"/>
        <v>0</v>
      </c>
      <c r="T24" s="61">
        <f t="shared" si="32"/>
        <v>0</v>
      </c>
      <c r="U24" s="15"/>
      <c r="V24" s="59" t="s">
        <v>115</v>
      </c>
      <c r="W24" s="60">
        <f>SUMPRODUCT(R23:T25, M23:O25)</f>
        <v>0.5</v>
      </c>
      <c r="X24" s="61" t="s">
        <v>116</v>
      </c>
    </row>
    <row r="25">
      <c r="A25" s="3" t="str">
        <f>Thermonix!A25</f>
        <v>Guard</v>
      </c>
      <c r="B25" s="4" t="str">
        <f>Thermonix!B25</f>
        <v>[weightCorrect() &amp;&amp; moreIngredientsRequired()]</v>
      </c>
      <c r="C25" s="49">
        <f>'Thermonix Grader #1'!C25</f>
        <v>0</v>
      </c>
      <c r="D25" s="49">
        <f>'Thermonix Grader #2'!C25</f>
        <v>0</v>
      </c>
      <c r="F25" s="55">
        <v>1.0</v>
      </c>
      <c r="G25" s="62">
        <f>COUNTIFS($A$2:$A$45,$F$22,$C$2:$C$45,$F25,$D$2:$D$45,G$22) + MAX(C50-D50,0)</f>
        <v>0</v>
      </c>
      <c r="H25" s="63">
        <f>COUNTIFS($A$2:$A$89,$F$22,$C$2:$C$89,$F25,$D$2:$D$89,H$22)</f>
        <v>0</v>
      </c>
      <c r="I25" s="64">
        <f>COUNTIFS($A$2:$A$45,$F$22,$C$2:$C$45,$F25,$D$2:$D$45,I$22) + MIN(C50,D50)</f>
        <v>0</v>
      </c>
      <c r="J25" s="15">
        <f t="shared" si="31"/>
        <v>0</v>
      </c>
      <c r="K25" s="15"/>
      <c r="L25" s="55">
        <v>1.0</v>
      </c>
      <c r="M25" s="62">
        <f t="shared" si="33"/>
        <v>1</v>
      </c>
      <c r="N25" s="63">
        <f t="shared" ref="N25:O25" si="34">ABS(H$2-$F25)/1</f>
        <v>0.5</v>
      </c>
      <c r="O25" s="64">
        <f t="shared" si="34"/>
        <v>0</v>
      </c>
      <c r="P25" s="15"/>
      <c r="Q25" s="55">
        <v>1.0</v>
      </c>
      <c r="R25" s="62">
        <f t="shared" ref="R25:T25" si="35">($J25/$J$26) * (G$26/$J$26)</f>
        <v>0</v>
      </c>
      <c r="S25" s="63">
        <f t="shared" si="35"/>
        <v>0</v>
      </c>
      <c r="T25" s="64">
        <f t="shared" si="35"/>
        <v>0</v>
      </c>
      <c r="U25" s="15"/>
      <c r="V25" s="59" t="s">
        <v>83</v>
      </c>
      <c r="W25" s="62">
        <f>1-W23/W24</f>
        <v>0</v>
      </c>
      <c r="X25" s="64" t="s">
        <v>117</v>
      </c>
    </row>
    <row r="26" ht="15.75" customHeight="1">
      <c r="A26" s="3" t="str">
        <f t="shared" ref="A26:D26" si="36">#REF!</f>
        <v>#REF!</v>
      </c>
      <c r="B26" s="4" t="str">
        <f t="shared" si="36"/>
        <v>#REF!</v>
      </c>
      <c r="C26" s="49" t="str">
        <f t="shared" si="36"/>
        <v>#REF!</v>
      </c>
      <c r="D26" s="49" t="str">
        <f t="shared" si="36"/>
        <v>#REF!</v>
      </c>
      <c r="F26" s="65" t="s">
        <v>97</v>
      </c>
      <c r="G26" s="15">
        <f t="shared" ref="G26:I26" si="37">SUM(G23:G25)</f>
        <v>1</v>
      </c>
      <c r="H26" s="15">
        <f t="shared" si="37"/>
        <v>0</v>
      </c>
      <c r="I26" s="15">
        <f t="shared" si="37"/>
        <v>1</v>
      </c>
      <c r="J26" s="15">
        <f>SUM(G23:I25)</f>
        <v>2</v>
      </c>
    </row>
    <row r="27" ht="12.75" customHeight="1">
      <c r="A27" s="3" t="str">
        <f>Thermonix!A26</f>
        <v>Action</v>
      </c>
      <c r="B27" s="4" t="str">
        <f>Thermonix!B26</f>
        <v>setIngredients()</v>
      </c>
      <c r="C27" s="49">
        <f>'Thermonix Grader #1'!C26</f>
        <v>0</v>
      </c>
      <c r="D27" s="49">
        <f>'Thermonix Grader #2'!C26</f>
        <v>0</v>
      </c>
    </row>
    <row r="28" ht="12.75" customHeight="1">
      <c r="A28" s="3" t="str">
        <f>Thermonix!A27</f>
        <v>Transition</v>
      </c>
      <c r="B28" s="4" t="str">
        <f>Thermonix!B27</f>
        <v>next (PromptToAdd ⇒ Chop)</v>
      </c>
      <c r="C28" s="49">
        <f>'Thermonix Grader #1'!C27</f>
        <v>1</v>
      </c>
      <c r="D28" s="49">
        <f>'Thermonix Grader #2'!C27</f>
        <v>1</v>
      </c>
      <c r="F28" s="46" t="s">
        <v>104</v>
      </c>
    </row>
    <row r="29" ht="12.75" customHeight="1">
      <c r="A29" s="3" t="str">
        <f>Thermonix!A28</f>
        <v>Guard</v>
      </c>
      <c r="B29" s="4" t="str">
        <f>Thermonix!B28</f>
        <v>[weightCorrect() &amp;&amp; !moreIngredientsRequired()]</v>
      </c>
      <c r="C29" s="49">
        <f>'Thermonix Grader #1'!C28</f>
        <v>0.5</v>
      </c>
      <c r="D29" s="49">
        <f>'Thermonix Grader #2'!C28</f>
        <v>0</v>
      </c>
      <c r="F29" s="15" t="s">
        <v>22</v>
      </c>
      <c r="G29" s="67" t="s">
        <v>85</v>
      </c>
      <c r="H29" s="67" t="s">
        <v>86</v>
      </c>
      <c r="I29" s="67" t="s">
        <v>87</v>
      </c>
      <c r="J29" s="68" t="s">
        <v>88</v>
      </c>
      <c r="K29" s="15"/>
      <c r="L29" s="15" t="s">
        <v>84</v>
      </c>
      <c r="M29" s="67">
        <v>0.0</v>
      </c>
      <c r="N29" s="67" t="s">
        <v>86</v>
      </c>
      <c r="O29" s="67" t="s">
        <v>87</v>
      </c>
      <c r="P29" s="15"/>
      <c r="Q29" s="15" t="s">
        <v>84</v>
      </c>
      <c r="R29" s="67" t="s">
        <v>85</v>
      </c>
      <c r="S29" s="67" t="s">
        <v>86</v>
      </c>
      <c r="T29" s="67" t="s">
        <v>87</v>
      </c>
      <c r="V29" s="54" t="s">
        <v>89</v>
      </c>
      <c r="W29" s="54" t="s">
        <v>90</v>
      </c>
      <c r="X29" s="54" t="s">
        <v>91</v>
      </c>
    </row>
    <row r="30" ht="12.75" customHeight="1">
      <c r="A30" s="3" t="str">
        <f>Thermonix!A29</f>
        <v>Action</v>
      </c>
      <c r="B30" s="4" t="str">
        <f>Thermonix!B29</f>
        <v>setChoppingSpeedAndTime()</v>
      </c>
      <c r="C30" s="49">
        <f>'Thermonix Grader #1'!C29</f>
        <v>0</v>
      </c>
      <c r="D30" s="49">
        <f>'Thermonix Grader #2'!C29</f>
        <v>0</v>
      </c>
      <c r="F30" s="55">
        <v>0.0</v>
      </c>
      <c r="G30" s="56">
        <f t="shared" ref="G30:H30" si="38">COUNTIFS($A$2:$A$89,$F$29,$C$2:$C$89,$F30,$D$2:$D$89,G$29)</f>
        <v>4</v>
      </c>
      <c r="H30" s="57">
        <f t="shared" si="38"/>
        <v>0</v>
      </c>
      <c r="I30" s="58">
        <f>COUNTIFS($A$2:$A$45,$F$29,$C$2:$C$45,$F30,$D$2:$D$45,I$29) + MAX(D48-C48,0)</f>
        <v>0</v>
      </c>
      <c r="J30" s="15">
        <f t="shared" ref="J30:J32" si="42">SUM(G30:I30)</f>
        <v>4</v>
      </c>
      <c r="K30" s="15"/>
      <c r="L30" s="55">
        <v>0.0</v>
      </c>
      <c r="M30" s="56">
        <f t="shared" ref="M30:O30" si="39">ABS(G$2-$F30)/1</f>
        <v>0</v>
      </c>
      <c r="N30" s="57">
        <f t="shared" si="39"/>
        <v>0.5</v>
      </c>
      <c r="O30" s="58">
        <f t="shared" si="39"/>
        <v>1</v>
      </c>
      <c r="P30" s="15"/>
      <c r="Q30" s="55">
        <v>0.0</v>
      </c>
      <c r="R30" s="56">
        <f t="shared" ref="R30:T30" si="40">($J30/$J$33) * (G$33/$J$33)</f>
        <v>0.3125</v>
      </c>
      <c r="S30" s="57">
        <f t="shared" si="40"/>
        <v>0</v>
      </c>
      <c r="T30" s="58">
        <f t="shared" si="40"/>
        <v>0.1875</v>
      </c>
      <c r="U30" s="15"/>
      <c r="V30" s="59" t="s">
        <v>113</v>
      </c>
      <c r="W30" s="56">
        <f>SUMPRODUCT(G30:I32, M30:O32) /$J$33</f>
        <v>0.125</v>
      </c>
      <c r="X30" s="58" t="s">
        <v>114</v>
      </c>
    </row>
    <row r="31" ht="12.75" customHeight="1">
      <c r="A31" s="3" t="str">
        <f>Thermonix!A30</f>
        <v>State</v>
      </c>
      <c r="B31" s="4" t="str">
        <f>Thermonix!B30</f>
        <v>Chop</v>
      </c>
      <c r="C31" s="49">
        <f>'Thermonix Grader #1'!C30</f>
        <v>1</v>
      </c>
      <c r="D31" s="49">
        <f>'Thermonix Grader #2'!C30</f>
        <v>1</v>
      </c>
      <c r="F31" s="55">
        <v>0.5</v>
      </c>
      <c r="G31" s="60">
        <f t="shared" ref="G31:I31" si="41">COUNTIFS($A$2:$A$89,$F$29,$C$2:$C$89,$F31,$D$2:$D$89,G$29)</f>
        <v>1</v>
      </c>
      <c r="H31" s="15">
        <f t="shared" si="41"/>
        <v>0</v>
      </c>
      <c r="I31" s="61">
        <f t="shared" si="41"/>
        <v>1</v>
      </c>
      <c r="J31" s="15">
        <f t="shared" si="42"/>
        <v>2</v>
      </c>
      <c r="K31" s="15"/>
      <c r="L31" s="55">
        <v>0.5</v>
      </c>
      <c r="M31" s="60">
        <f t="shared" ref="M31:M32" si="44">ABS(G$2-$F31)/1</f>
        <v>0.5</v>
      </c>
      <c r="N31" s="15">
        <f>ABS(H$2-$F31)/3</f>
        <v>0</v>
      </c>
      <c r="O31" s="61">
        <f>ABS(I$2-$F31)/1</f>
        <v>0.5</v>
      </c>
      <c r="P31" s="15"/>
      <c r="Q31" s="55">
        <v>0.5</v>
      </c>
      <c r="R31" s="60">
        <f t="shared" ref="R31:T31" si="43">($J31/$J$33) * (G$33/$J$33)</f>
        <v>0.15625</v>
      </c>
      <c r="S31" s="15">
        <f t="shared" si="43"/>
        <v>0</v>
      </c>
      <c r="T31" s="61">
        <f t="shared" si="43"/>
        <v>0.09375</v>
      </c>
      <c r="U31" s="15"/>
      <c r="V31" s="59" t="s">
        <v>115</v>
      </c>
      <c r="W31" s="60">
        <f>SUMPRODUCT(R30:T32, M30:O32)</f>
        <v>0.46875</v>
      </c>
      <c r="X31" s="61" t="s">
        <v>116</v>
      </c>
    </row>
    <row r="32" ht="12.75" customHeight="1">
      <c r="A32" s="3" t="str">
        <f>Thermonix!A31</f>
        <v>Transition</v>
      </c>
      <c r="B32" s="4" t="str">
        <f>Thermonix!B31</f>
        <v>next (Chop ⇒ PromptToAdd)</v>
      </c>
      <c r="C32" s="49">
        <f>'Thermonix Grader #1'!C31</f>
        <v>0</v>
      </c>
      <c r="D32" s="49">
        <f>'Thermonix Grader #2'!C31</f>
        <v>0</v>
      </c>
      <c r="F32" s="55">
        <v>1.0</v>
      </c>
      <c r="G32" s="62">
        <f>COUNTIFS($A$2:$A$45,$F$29,$C$2:$C$45,$F32,$D$2:$D$45,G$29) + MAX(C48-D48,0)</f>
        <v>0</v>
      </c>
      <c r="H32" s="63">
        <f>COUNTIFS($A$2:$A$89,$F$29,$C$2:$C$89,$F32,$D$2:$D$89,H$29)</f>
        <v>0</v>
      </c>
      <c r="I32" s="64">
        <f>COUNTIFS($A$2:$A$45,$F$29,$C$2:$C$45,$F32,$D$2:$D$45,I$29) + MIN(C48,D48)</f>
        <v>2</v>
      </c>
      <c r="J32" s="15">
        <f t="shared" si="42"/>
        <v>2</v>
      </c>
      <c r="K32" s="15"/>
      <c r="L32" s="55">
        <v>1.0</v>
      </c>
      <c r="M32" s="62">
        <f t="shared" si="44"/>
        <v>1</v>
      </c>
      <c r="N32" s="63">
        <f t="shared" ref="N32:O32" si="45">ABS(H$2-$F32)/1</f>
        <v>0.5</v>
      </c>
      <c r="O32" s="64">
        <f t="shared" si="45"/>
        <v>0</v>
      </c>
      <c r="P32" s="15"/>
      <c r="Q32" s="55">
        <v>1.0</v>
      </c>
      <c r="R32" s="62">
        <f t="shared" ref="R32:T32" si="46">($J32/$J$33) * (G$33/$J$33)</f>
        <v>0.15625</v>
      </c>
      <c r="S32" s="63">
        <f t="shared" si="46"/>
        <v>0</v>
      </c>
      <c r="T32" s="64">
        <f t="shared" si="46"/>
        <v>0.09375</v>
      </c>
      <c r="U32" s="15"/>
      <c r="V32" s="59" t="s">
        <v>83</v>
      </c>
      <c r="W32" s="62">
        <f>1-W30/W31</f>
        <v>0.7333333333</v>
      </c>
      <c r="X32" s="64" t="s">
        <v>117</v>
      </c>
    </row>
    <row r="33" ht="12.75" customHeight="1">
      <c r="A33" s="3" t="str">
        <f>Thermonix!A32</f>
        <v>Guard</v>
      </c>
      <c r="B33" s="4" t="str">
        <f>Thermonix!B32</f>
        <v>[choppingTimeDone &amp;&amp; moreIngredientsRequired()]</v>
      </c>
      <c r="C33" s="49">
        <f>'Thermonix Grader #1'!C32</f>
        <v>0</v>
      </c>
      <c r="D33" s="49">
        <f>'Thermonix Grader #2'!C32</f>
        <v>0</v>
      </c>
      <c r="F33" s="65" t="s">
        <v>97</v>
      </c>
      <c r="G33" s="15">
        <f t="shared" ref="G33:I33" si="47">SUM(G30:G32)</f>
        <v>5</v>
      </c>
      <c r="H33" s="15">
        <f t="shared" si="47"/>
        <v>0</v>
      </c>
      <c r="I33" s="15">
        <f t="shared" si="47"/>
        <v>3</v>
      </c>
      <c r="J33" s="15">
        <f>SUM(G30:I32)</f>
        <v>8</v>
      </c>
    </row>
    <row r="34" ht="12.75" customHeight="1">
      <c r="A34" s="3" t="str">
        <f>Thermonix!A33</f>
        <v>Action</v>
      </c>
      <c r="B34" s="4" t="str">
        <f>Thermonix!B33</f>
        <v>setIngredients()</v>
      </c>
      <c r="C34" s="49">
        <f>'Thermonix Grader #1'!C33</f>
        <v>0</v>
      </c>
      <c r="D34" s="49">
        <f>'Thermonix Grader #2'!C33</f>
        <v>0</v>
      </c>
      <c r="E34" s="5"/>
    </row>
    <row r="35" ht="12.75" customHeight="1">
      <c r="A35" s="3" t="str">
        <f>Thermonix!A34</f>
        <v>Transition</v>
      </c>
      <c r="B35" s="4" t="str">
        <f>Thermonix!B34</f>
        <v>next (Chop ⇒ Cook)</v>
      </c>
      <c r="C35" s="49">
        <f>'Thermonix Grader #1'!C34</f>
        <v>1</v>
      </c>
      <c r="D35" s="49">
        <f>'Thermonix Grader #2'!C34</f>
        <v>1</v>
      </c>
      <c r="F35" s="46" t="s">
        <v>106</v>
      </c>
    </row>
    <row r="36" ht="15.0" customHeight="1">
      <c r="A36" s="3" t="str">
        <f>Thermonix!A35</f>
        <v>Guard</v>
      </c>
      <c r="B36" s="4" t="str">
        <f>Thermonix!B35</f>
        <v>[choppingTimeDone &amp;&amp; !moreIngredientsRequired()]</v>
      </c>
      <c r="C36" s="49">
        <f>'Thermonix Grader #1'!C35</f>
        <v>0</v>
      </c>
      <c r="D36" s="49">
        <f>'Thermonix Grader #2'!C35</f>
        <v>0</v>
      </c>
      <c r="E36" s="5"/>
      <c r="F36" s="15" t="s">
        <v>24</v>
      </c>
      <c r="G36" s="67" t="s">
        <v>85</v>
      </c>
      <c r="H36" s="67" t="s">
        <v>86</v>
      </c>
      <c r="I36" s="67" t="s">
        <v>87</v>
      </c>
      <c r="J36" s="68" t="s">
        <v>88</v>
      </c>
      <c r="K36" s="15"/>
      <c r="L36" s="15" t="s">
        <v>84</v>
      </c>
      <c r="M36" s="67" t="s">
        <v>85</v>
      </c>
      <c r="N36" s="67" t="s">
        <v>86</v>
      </c>
      <c r="O36" s="67" t="s">
        <v>87</v>
      </c>
      <c r="P36" s="15"/>
      <c r="Q36" s="15" t="s">
        <v>84</v>
      </c>
      <c r="R36" s="67" t="s">
        <v>85</v>
      </c>
      <c r="S36" s="67" t="s">
        <v>86</v>
      </c>
      <c r="T36" s="67" t="s">
        <v>87</v>
      </c>
      <c r="V36" s="54" t="s">
        <v>89</v>
      </c>
      <c r="W36" s="54" t="s">
        <v>90</v>
      </c>
      <c r="X36" s="54" t="s">
        <v>91</v>
      </c>
    </row>
    <row r="37" ht="15.0" customHeight="1">
      <c r="A37" s="3" t="str">
        <f>Thermonix!A36</f>
        <v>Action</v>
      </c>
      <c r="B37" s="4" t="str">
        <f>Thermonix!B36</f>
        <v>setCookingSpeedAndTime()</v>
      </c>
      <c r="C37" s="49">
        <f>'Thermonix Grader #1'!C36</f>
        <v>0</v>
      </c>
      <c r="D37" s="49">
        <f>'Thermonix Grader #2'!C36</f>
        <v>0</v>
      </c>
      <c r="E37" s="5"/>
      <c r="F37" s="55">
        <v>0.0</v>
      </c>
      <c r="G37" s="56">
        <f t="shared" ref="G37:H37" si="48">COUNTIFS($A$2:$A$89,$F$36,$C$2:$C$89,$F37,$D$2:$D$89,G$36)</f>
        <v>6</v>
      </c>
      <c r="H37" s="57">
        <f t="shared" si="48"/>
        <v>0</v>
      </c>
      <c r="I37" s="58">
        <f>COUNTIFS($A$2:$A$45,$F$36,$C$2:$C$45,$F37,$D$2:$D$45,I$36)+MAX(D49-C49,0)</f>
        <v>0</v>
      </c>
      <c r="J37" s="15">
        <f t="shared" ref="J37:J39" si="52">SUM(G37:I37)</f>
        <v>6</v>
      </c>
      <c r="K37" s="15"/>
      <c r="L37" s="55">
        <v>0.0</v>
      </c>
      <c r="M37" s="56">
        <f t="shared" ref="M37:O37" si="49">ABS(G$2-$F37)/1</f>
        <v>0</v>
      </c>
      <c r="N37" s="57">
        <f t="shared" si="49"/>
        <v>0.5</v>
      </c>
      <c r="O37" s="58">
        <f t="shared" si="49"/>
        <v>1</v>
      </c>
      <c r="P37" s="15"/>
      <c r="Q37" s="55">
        <v>0.0</v>
      </c>
      <c r="R37" s="56">
        <f t="shared" ref="R37:T37" si="50">($J37/$J$40) * (G$41/$J$40)</f>
        <v>0</v>
      </c>
      <c r="S37" s="57">
        <f t="shared" si="50"/>
        <v>0</v>
      </c>
      <c r="T37" s="58">
        <f t="shared" si="50"/>
        <v>0</v>
      </c>
      <c r="U37" s="15"/>
      <c r="V37" s="59" t="s">
        <v>113</v>
      </c>
      <c r="W37" s="56">
        <f>SUMPRODUCT(G37:I39, M37:O39) /$J$40</f>
        <v>0</v>
      </c>
      <c r="X37" s="58" t="s">
        <v>114</v>
      </c>
    </row>
    <row r="38" ht="15.0" customHeight="1">
      <c r="A38" s="3" t="str">
        <f>Thermonix!A37</f>
        <v>State</v>
      </c>
      <c r="B38" s="4" t="str">
        <f>Thermonix!B37</f>
        <v>Cook</v>
      </c>
      <c r="C38" s="49">
        <f>'Thermonix Grader #1'!C37</f>
        <v>1</v>
      </c>
      <c r="D38" s="49">
        <f>'Thermonix Grader #2'!C37</f>
        <v>1</v>
      </c>
      <c r="E38" s="5"/>
      <c r="F38" s="55">
        <v>0.5</v>
      </c>
      <c r="G38" s="60">
        <f t="shared" ref="G38:I38" si="51">COUNTIFS($A$2:$A$89,$F$36,$C$2:$C$89,$F38,$D$2:$D$89,G$36)</f>
        <v>0</v>
      </c>
      <c r="H38" s="15">
        <f t="shared" si="51"/>
        <v>0</v>
      </c>
      <c r="I38" s="61">
        <f t="shared" si="51"/>
        <v>0</v>
      </c>
      <c r="J38" s="15">
        <f t="shared" si="52"/>
        <v>0</v>
      </c>
      <c r="K38" s="15"/>
      <c r="L38" s="55">
        <v>0.5</v>
      </c>
      <c r="M38" s="60">
        <f t="shared" ref="M38:M39" si="54">ABS(G$2-$F38)/1</f>
        <v>0.5</v>
      </c>
      <c r="N38" s="15">
        <f>ABS(H$2-$F38)/3</f>
        <v>0</v>
      </c>
      <c r="O38" s="61">
        <f>ABS(I$2-$F38)/1</f>
        <v>0.5</v>
      </c>
      <c r="P38" s="15"/>
      <c r="Q38" s="55">
        <v>0.5</v>
      </c>
      <c r="R38" s="60">
        <f t="shared" ref="R38:T38" si="53">($J38/$J$40) * (G$41/$J$40)</f>
        <v>0</v>
      </c>
      <c r="S38" s="15">
        <f t="shared" si="53"/>
        <v>0</v>
      </c>
      <c r="T38" s="61">
        <f t="shared" si="53"/>
        <v>0</v>
      </c>
      <c r="U38" s="15"/>
      <c r="V38" s="59" t="s">
        <v>115</v>
      </c>
      <c r="W38" s="60">
        <f>SUMPRODUCT(R37:T39, M37:O39)</f>
        <v>0</v>
      </c>
      <c r="X38" s="61" t="s">
        <v>116</v>
      </c>
    </row>
    <row r="39" ht="15.0" customHeight="1">
      <c r="A39" s="3" t="str">
        <f>Thermonix!A38</f>
        <v>Transition</v>
      </c>
      <c r="B39" s="4" t="str">
        <f>Thermonix!B38</f>
        <v>after choppingTime (Cook ⇒ PromptToAdd)</v>
      </c>
      <c r="C39" s="49">
        <f>'Thermonix Grader #1'!C38</f>
        <v>1</v>
      </c>
      <c r="D39" s="49">
        <f>'Thermonix Grader #2'!C38</f>
        <v>1</v>
      </c>
      <c r="E39" s="5"/>
      <c r="F39" s="55">
        <v>1.0</v>
      </c>
      <c r="G39" s="62">
        <f>COUNTIFS($A$2:$A$45,$F$36,$C$2:$C$45,$F39,$D$2:$D$45,G$36)+MAX(C49-D49,0)</f>
        <v>0</v>
      </c>
      <c r="H39" s="63">
        <f>COUNTIFS($A$2:$A$89,$F$36,$C$2:$C$89,$F39,$D$2:$D$89,H$36)</f>
        <v>0</v>
      </c>
      <c r="I39" s="64">
        <f>COUNTIFS($A$2:$A$45,$F$36,$C$2:$C$45,$F39,$D$2:$D$45,I$36) + MIN(C49,D49)</f>
        <v>1</v>
      </c>
      <c r="J39" s="15">
        <f t="shared" si="52"/>
        <v>1</v>
      </c>
      <c r="K39" s="15"/>
      <c r="L39" s="55">
        <v>1.0</v>
      </c>
      <c r="M39" s="62">
        <f t="shared" si="54"/>
        <v>1</v>
      </c>
      <c r="N39" s="63">
        <f t="shared" ref="N39:O39" si="55">ABS(H$2-$F39)/1</f>
        <v>0.5</v>
      </c>
      <c r="O39" s="64">
        <f t="shared" si="55"/>
        <v>0</v>
      </c>
      <c r="P39" s="15"/>
      <c r="Q39" s="55">
        <v>1.0</v>
      </c>
      <c r="R39" s="62">
        <f t="shared" ref="R39:T39" si="56">($J39/$J$40) * (G$41/$J$40)</f>
        <v>0</v>
      </c>
      <c r="S39" s="63">
        <f t="shared" si="56"/>
        <v>0</v>
      </c>
      <c r="T39" s="64">
        <f t="shared" si="56"/>
        <v>0</v>
      </c>
      <c r="U39" s="15"/>
      <c r="V39" s="59" t="s">
        <v>83</v>
      </c>
      <c r="W39" s="62" t="str">
        <f>1-W37/W38</f>
        <v>#DIV/0!</v>
      </c>
      <c r="X39" s="64" t="s">
        <v>117</v>
      </c>
    </row>
    <row r="40" ht="15.0" customHeight="1">
      <c r="A40" s="3" t="str">
        <f>Thermonix!A39</f>
        <v>Guard</v>
      </c>
      <c r="B40" s="4" t="str">
        <f>Thermonix!B39</f>
        <v>[choppingTimeDone &amp;&amp; moreIngredientsRequired()]</v>
      </c>
      <c r="C40" s="49">
        <f>'Thermonix Grader #1'!C39</f>
        <v>0.5</v>
      </c>
      <c r="D40" s="49">
        <f>'Thermonix Grader #2'!C39</f>
        <v>1</v>
      </c>
      <c r="E40" s="5"/>
      <c r="F40" s="65" t="s">
        <v>97</v>
      </c>
      <c r="G40" s="15">
        <f t="shared" ref="G40:I40" si="57">SUM(G37:G39)</f>
        <v>6</v>
      </c>
      <c r="H40" s="15">
        <f t="shared" si="57"/>
        <v>0</v>
      </c>
      <c r="I40" s="15">
        <f t="shared" si="57"/>
        <v>1</v>
      </c>
      <c r="J40" s="15">
        <f>SUM(G37:I39)</f>
        <v>7</v>
      </c>
    </row>
    <row r="41" ht="15.0" customHeight="1">
      <c r="A41" s="3" t="str">
        <f>Thermonix!A40</f>
        <v>Action</v>
      </c>
      <c r="B41" s="4" t="str">
        <f>Thermonix!B40</f>
        <v>setIngredients()</v>
      </c>
      <c r="C41" s="49">
        <f>'Thermonix Grader #1'!C40</f>
        <v>0</v>
      </c>
      <c r="D41" s="49">
        <f>'Thermonix Grader #2'!C40</f>
        <v>0</v>
      </c>
      <c r="E41" s="5"/>
    </row>
    <row r="42" ht="15.0" customHeight="1">
      <c r="A42" s="3" t="str">
        <f>Thermonix!A41</f>
        <v>Transition</v>
      </c>
      <c r="B42" s="4" t="str">
        <f>Thermonix!B41</f>
        <v>after cookingTime (Cook ⇒ Ready)</v>
      </c>
      <c r="C42" s="49">
        <f>'Thermonix Grader #1'!C41</f>
        <v>1</v>
      </c>
      <c r="D42" s="49">
        <f>'Thermonix Grader #2'!C41</f>
        <v>1</v>
      </c>
      <c r="E42" s="5"/>
      <c r="F42" s="46" t="s">
        <v>108</v>
      </c>
    </row>
    <row r="43" ht="15.0" customHeight="1">
      <c r="A43" s="3" t="str">
        <f>Thermonix!A42</f>
        <v>Guard</v>
      </c>
      <c r="B43" s="4" t="str">
        <f>Thermonix!B42</f>
        <v>[!moreIngredientsRequired()]</v>
      </c>
      <c r="C43" s="49">
        <f>'Thermonix Grader #1'!C42</f>
        <v>1</v>
      </c>
      <c r="D43" s="49">
        <f>'Thermonix Grader #2'!C42</f>
        <v>1</v>
      </c>
      <c r="E43" s="5"/>
      <c r="F43" s="15" t="s">
        <v>14</v>
      </c>
      <c r="G43" s="67" t="s">
        <v>85</v>
      </c>
      <c r="H43" s="67" t="s">
        <v>86</v>
      </c>
      <c r="I43" s="67" t="s">
        <v>87</v>
      </c>
      <c r="J43" s="68" t="s">
        <v>88</v>
      </c>
      <c r="K43" s="15"/>
      <c r="L43" s="15" t="s">
        <v>84</v>
      </c>
      <c r="M43" s="67" t="s">
        <v>85</v>
      </c>
      <c r="N43" s="67" t="s">
        <v>86</v>
      </c>
      <c r="O43" s="67" t="s">
        <v>87</v>
      </c>
      <c r="P43" s="15"/>
      <c r="Q43" s="15" t="s">
        <v>84</v>
      </c>
      <c r="R43" s="67" t="s">
        <v>85</v>
      </c>
      <c r="S43" s="67" t="s">
        <v>86</v>
      </c>
      <c r="T43" s="67" t="s">
        <v>87</v>
      </c>
      <c r="V43" s="54" t="s">
        <v>89</v>
      </c>
      <c r="W43" s="54" t="s">
        <v>90</v>
      </c>
      <c r="X43" s="54" t="s">
        <v>91</v>
      </c>
    </row>
    <row r="44" ht="15.0" customHeight="1">
      <c r="A44" s="3" t="str">
        <f>Thermonix!A43</f>
        <v>State</v>
      </c>
      <c r="B44" s="4" t="str">
        <f>Thermonix!B43</f>
        <v>Ready</v>
      </c>
      <c r="C44" s="49">
        <f>'Thermonix Grader #1'!C43</f>
        <v>1</v>
      </c>
      <c r="D44" s="49">
        <f>'Thermonix Grader #2'!C43</f>
        <v>1</v>
      </c>
      <c r="E44" s="5"/>
      <c r="F44" s="55">
        <v>0.0</v>
      </c>
      <c r="G44" s="56">
        <f t="shared" ref="G44:H44" si="58">COUNTIFS($A$2:$A$89,$F$43,$C$2:$C$89,$F44,$D$2:$D$89,G$43)</f>
        <v>2</v>
      </c>
      <c r="H44" s="57">
        <f t="shared" si="58"/>
        <v>0</v>
      </c>
      <c r="I44" s="58">
        <f>COUNTIFS($A$2:$A$45,$F$43,$C$2:$C$45,$F44,$D$2:$D$45,I$43) + MAX(D52-C52,0)</f>
        <v>0</v>
      </c>
      <c r="J44" s="15">
        <f t="shared" ref="J44:J46" si="62">SUM(G44:I44)</f>
        <v>2</v>
      </c>
      <c r="K44" s="15"/>
      <c r="L44" s="55">
        <v>0.0</v>
      </c>
      <c r="M44" s="56">
        <f t="shared" ref="M44:O44" si="59">ABS(G$2-$F44)/1</f>
        <v>0</v>
      </c>
      <c r="N44" s="57">
        <f t="shared" si="59"/>
        <v>0.5</v>
      </c>
      <c r="O44" s="58">
        <f t="shared" si="59"/>
        <v>1</v>
      </c>
      <c r="P44" s="15"/>
      <c r="Q44" s="55">
        <v>0.0</v>
      </c>
      <c r="R44" s="56">
        <f t="shared" ref="R44:T44" si="60">($J44/$J$47) * (G$47/$J$47)</f>
        <v>1</v>
      </c>
      <c r="S44" s="57">
        <f t="shared" si="60"/>
        <v>0</v>
      </c>
      <c r="T44" s="58">
        <f t="shared" si="60"/>
        <v>0</v>
      </c>
      <c r="U44" s="15"/>
      <c r="V44" s="59" t="s">
        <v>113</v>
      </c>
      <c r="W44" s="56">
        <f>SUMPRODUCT(G44:I46, M44:O46) /$J$47</f>
        <v>0</v>
      </c>
      <c r="X44" s="58" t="s">
        <v>114</v>
      </c>
    </row>
    <row r="45" ht="15.0" customHeight="1">
      <c r="A45" s="3" t="str">
        <f>Thermonix!A44</f>
        <v>Transition</v>
      </c>
      <c r="B45" s="4" t="str">
        <f>Thermonix!B44</f>
        <v>after 14min 30sec (Ready ⇒ Preparing Shutdown)</v>
      </c>
      <c r="C45" s="69">
        <f>'Thermonix Grader #1'!C44</f>
        <v>0</v>
      </c>
      <c r="D45" s="69">
        <f>'Thermonix Grader #2'!C44</f>
        <v>0.5</v>
      </c>
      <c r="E45" s="5"/>
      <c r="F45" s="55">
        <v>0.5</v>
      </c>
      <c r="G45" s="60">
        <f t="shared" ref="G45:I45" si="61">COUNTIFS($A$2:$A$89,$F$43,$C$2:$C$89,$F45,$D$2:$D$89,G$43)</f>
        <v>0</v>
      </c>
      <c r="H45" s="15">
        <f t="shared" si="61"/>
        <v>0</v>
      </c>
      <c r="I45" s="61">
        <f t="shared" si="61"/>
        <v>0</v>
      </c>
      <c r="J45" s="15">
        <f t="shared" si="62"/>
        <v>0</v>
      </c>
      <c r="K45" s="15"/>
      <c r="L45" s="55">
        <v>0.5</v>
      </c>
      <c r="M45" s="60">
        <f t="shared" ref="M45:M46" si="64">ABS(G$2-$F45)/1</f>
        <v>0.5</v>
      </c>
      <c r="N45" s="15">
        <f>ABS(H$2-$F45)/3</f>
        <v>0</v>
      </c>
      <c r="O45" s="61">
        <f>ABS(I$2-$F45)/1</f>
        <v>0.5</v>
      </c>
      <c r="P45" s="15"/>
      <c r="Q45" s="55">
        <v>0.5</v>
      </c>
      <c r="R45" s="60">
        <f t="shared" ref="R45:T45" si="63">($J45/$J$47) * (G$47/$J$47)</f>
        <v>0</v>
      </c>
      <c r="S45" s="15">
        <f t="shared" si="63"/>
        <v>0</v>
      </c>
      <c r="T45" s="61">
        <f t="shared" si="63"/>
        <v>0</v>
      </c>
      <c r="U45" s="15"/>
      <c r="V45" s="59" t="s">
        <v>115</v>
      </c>
      <c r="W45" s="60">
        <f>SUMPRODUCT(R44:T46, M44:O46)</f>
        <v>0</v>
      </c>
      <c r="X45" s="61" t="s">
        <v>116</v>
      </c>
    </row>
    <row r="46" ht="12.75" customHeight="1">
      <c r="A46" s="70" t="str">
        <f>Thermonix!A45</f>
        <v>State</v>
      </c>
      <c r="B46" s="71" t="str">
        <f>Thermonix!B45</f>
        <v>additional elements</v>
      </c>
      <c r="C46" s="72">
        <f>'Thermonix Grader #1'!C45</f>
        <v>0</v>
      </c>
      <c r="D46" s="72">
        <f>'Thermonix Grader #2'!C45</f>
        <v>0</v>
      </c>
      <c r="F46" s="55">
        <v>1.0</v>
      </c>
      <c r="G46" s="62">
        <f>COUNTIFS($A$2:$A$45,$F$43,$C$2:$C$45,$F46,$D$2:$D$45,G$43) + MAX(C52-D52,0)</f>
        <v>0</v>
      </c>
      <c r="H46" s="63">
        <f>COUNTIFS($A$2:$A$89,$F$43,$C$2:$C$89,$F46,$D$2:$D$89,H$43)</f>
        <v>0</v>
      </c>
      <c r="I46" s="64">
        <f>COUNTIFS($A$2:$A$45,$F$43,$C$2:$C$45,$F46,$D$2:$D$45,I$43) + MIN(C52,D52)</f>
        <v>0</v>
      </c>
      <c r="J46" s="15">
        <f t="shared" si="62"/>
        <v>0</v>
      </c>
      <c r="K46" s="15"/>
      <c r="L46" s="55">
        <v>1.0</v>
      </c>
      <c r="M46" s="62">
        <f t="shared" si="64"/>
        <v>1</v>
      </c>
      <c r="N46" s="63">
        <f t="shared" ref="N46:O46" si="65">ABS(H$2-$F46)/1</f>
        <v>0.5</v>
      </c>
      <c r="O46" s="64">
        <f t="shared" si="65"/>
        <v>0</v>
      </c>
      <c r="P46" s="15"/>
      <c r="Q46" s="55">
        <v>1.0</v>
      </c>
      <c r="R46" s="62">
        <f t="shared" ref="R46:T46" si="66">($J46/$J$47) * (G$47/$J$47)</f>
        <v>0</v>
      </c>
      <c r="S46" s="63">
        <f t="shared" si="66"/>
        <v>0</v>
      </c>
      <c r="T46" s="64">
        <f t="shared" si="66"/>
        <v>0</v>
      </c>
      <c r="U46" s="15"/>
      <c r="V46" s="59" t="s">
        <v>83</v>
      </c>
      <c r="W46" s="62" t="str">
        <f>1-W44/W45</f>
        <v>#DIV/0!</v>
      </c>
      <c r="X46" s="64" t="s">
        <v>117</v>
      </c>
    </row>
    <row r="47" ht="12.75" customHeight="1">
      <c r="A47" s="3" t="str">
        <f>Thermonix!A46</f>
        <v>Transition</v>
      </c>
      <c r="B47" s="4" t="str">
        <f>Thermonix!B46</f>
        <v>additional elements</v>
      </c>
      <c r="C47" s="49">
        <f>'Thermonix Grader #1'!C46</f>
        <v>0</v>
      </c>
      <c r="D47" s="49">
        <f>'Thermonix Grader #2'!C46</f>
        <v>0</v>
      </c>
      <c r="F47" s="65" t="s">
        <v>97</v>
      </c>
      <c r="G47" s="15">
        <f t="shared" ref="G47:I47" si="67">SUM(G44:G46)</f>
        <v>2</v>
      </c>
      <c r="H47" s="15">
        <f t="shared" si="67"/>
        <v>0</v>
      </c>
      <c r="I47" s="15">
        <f t="shared" si="67"/>
        <v>0</v>
      </c>
      <c r="J47" s="15">
        <f>SUM(G44:I46)</f>
        <v>2</v>
      </c>
    </row>
    <row r="48" ht="12.75" customHeight="1">
      <c r="A48" s="3" t="str">
        <f>Thermonix!A47</f>
        <v>Guard</v>
      </c>
      <c r="B48" s="4" t="str">
        <f>Thermonix!B47</f>
        <v>additional elements</v>
      </c>
      <c r="C48" s="49">
        <f>'Thermonix Grader #1'!C47</f>
        <v>0</v>
      </c>
      <c r="D48" s="49">
        <f>'Thermonix Grader #2'!C47</f>
        <v>0</v>
      </c>
    </row>
    <row r="49" ht="12.75" customHeight="1">
      <c r="A49" s="3" t="str">
        <f>Thermonix!A48</f>
        <v>Action</v>
      </c>
      <c r="B49" s="4" t="str">
        <f>Thermonix!B48</f>
        <v>additional elements</v>
      </c>
      <c r="C49" s="49">
        <f>'Thermonix Grader #1'!C48</f>
        <v>0</v>
      </c>
      <c r="D49" s="49">
        <f>'Thermonix Grader #2'!C48</f>
        <v>0</v>
      </c>
      <c r="F49" s="46" t="s">
        <v>110</v>
      </c>
    </row>
    <row r="50" ht="12.75" customHeight="1">
      <c r="A50" s="3" t="str">
        <f>Thermonix!A49</f>
        <v>Composite State</v>
      </c>
      <c r="B50" s="4" t="str">
        <f>Thermonix!B49</f>
        <v>additional elements</v>
      </c>
      <c r="C50" s="49">
        <f>'Thermonix Grader #1'!C49</f>
        <v>0</v>
      </c>
      <c r="D50" s="49">
        <f>'Thermonix Grader #2'!C49</f>
        <v>0</v>
      </c>
      <c r="F50" s="15" t="s">
        <v>48</v>
      </c>
      <c r="G50" s="67" t="s">
        <v>85</v>
      </c>
      <c r="H50" s="67" t="s">
        <v>86</v>
      </c>
      <c r="I50" s="67" t="s">
        <v>87</v>
      </c>
      <c r="J50" s="68" t="s">
        <v>88</v>
      </c>
      <c r="K50" s="15"/>
      <c r="L50" s="15" t="s">
        <v>84</v>
      </c>
      <c r="M50" s="67" t="s">
        <v>85</v>
      </c>
      <c r="N50" s="67" t="s">
        <v>86</v>
      </c>
      <c r="O50" s="67" t="s">
        <v>87</v>
      </c>
      <c r="P50" s="15"/>
      <c r="Q50" s="15" t="s">
        <v>84</v>
      </c>
      <c r="R50" s="67" t="s">
        <v>85</v>
      </c>
      <c r="S50" s="67" t="s">
        <v>86</v>
      </c>
      <c r="T50" s="67" t="s">
        <v>87</v>
      </c>
      <c r="V50" s="54" t="s">
        <v>89</v>
      </c>
      <c r="W50" s="54" t="s">
        <v>90</v>
      </c>
      <c r="X50" s="54" t="s">
        <v>91</v>
      </c>
    </row>
    <row r="51" ht="12.75" customHeight="1">
      <c r="A51" s="3" t="str">
        <f>Thermonix!A50</f>
        <v>Region</v>
      </c>
      <c r="B51" s="4" t="str">
        <f>Thermonix!B50</f>
        <v>additional elements</v>
      </c>
      <c r="C51" s="49">
        <f>'Thermonix Grader #1'!C50</f>
        <v>0</v>
      </c>
      <c r="D51" s="49">
        <f>'Thermonix Grader #2'!C50</f>
        <v>0</v>
      </c>
      <c r="F51" s="55">
        <v>0.0</v>
      </c>
      <c r="G51" s="56">
        <f t="shared" ref="G51:H51" si="68">COUNTIFS($A$2:$A$89,$F$50,$C$2:$C$89,$F51,$D$2:$D$89,G$50)</f>
        <v>1</v>
      </c>
      <c r="H51" s="57">
        <f t="shared" si="68"/>
        <v>0</v>
      </c>
      <c r="I51" s="58">
        <f>COUNTIFS($A$2:$A$45,$F$50,$C$2:$C$45,$F51,$D$2:$D$45,I$50)+MAX(D51-C51,0)</f>
        <v>0</v>
      </c>
      <c r="J51" s="15">
        <f t="shared" ref="J51:J53" si="72">SUM(G51:I51)</f>
        <v>1</v>
      </c>
      <c r="K51" s="15"/>
      <c r="L51" s="55">
        <v>0.0</v>
      </c>
      <c r="M51" s="56">
        <f t="shared" ref="M51:O51" si="69">ABS(G$2-$F51)/1</f>
        <v>0</v>
      </c>
      <c r="N51" s="57">
        <f t="shared" si="69"/>
        <v>0.5</v>
      </c>
      <c r="O51" s="58">
        <f t="shared" si="69"/>
        <v>1</v>
      </c>
      <c r="P51" s="15"/>
      <c r="Q51" s="55">
        <v>0.0</v>
      </c>
      <c r="R51" s="56">
        <f t="shared" ref="R51:T51" si="70">($J51/$J$54) * (G$54/$J$54)</f>
        <v>1</v>
      </c>
      <c r="S51" s="57">
        <f t="shared" si="70"/>
        <v>0</v>
      </c>
      <c r="T51" s="58">
        <f t="shared" si="70"/>
        <v>0</v>
      </c>
      <c r="U51" s="15"/>
      <c r="V51" s="59" t="s">
        <v>113</v>
      </c>
      <c r="W51" s="56">
        <f>SUMPRODUCT(G51:I53, M51:O53) /$J$54</f>
        <v>0</v>
      </c>
      <c r="X51" s="58" t="s">
        <v>114</v>
      </c>
    </row>
    <row r="52" ht="12.75" customHeight="1">
      <c r="A52" s="3" t="str">
        <f>Thermonix!A51</f>
        <v>History State</v>
      </c>
      <c r="B52" s="4" t="str">
        <f>Thermonix!B51</f>
        <v>additional elements</v>
      </c>
      <c r="C52" s="49">
        <f>'Thermonix Grader #1'!C51</f>
        <v>0</v>
      </c>
      <c r="D52" s="49">
        <f>'Thermonix Grader #2'!C51</f>
        <v>0</v>
      </c>
      <c r="F52" s="55">
        <v>0.5</v>
      </c>
      <c r="G52" s="60">
        <f t="shared" ref="G52:I52" si="71">COUNTIFS($A$2:$A$89,$F$50,$C$2:$C$89,$F52,$D$2:$D$89,G$50)</f>
        <v>0</v>
      </c>
      <c r="H52" s="15">
        <f t="shared" si="71"/>
        <v>0</v>
      </c>
      <c r="I52" s="61">
        <f t="shared" si="71"/>
        <v>0</v>
      </c>
      <c r="J52" s="15">
        <f t="shared" si="72"/>
        <v>0</v>
      </c>
      <c r="K52" s="15"/>
      <c r="L52" s="55">
        <v>0.5</v>
      </c>
      <c r="M52" s="60">
        <f t="shared" ref="M52:M53" si="74">ABS(G$2-$F52)/1</f>
        <v>0.5</v>
      </c>
      <c r="N52" s="15">
        <f>ABS(H$2-$F52)/3</f>
        <v>0</v>
      </c>
      <c r="O52" s="61">
        <f>ABS(I$2-$F52)/1</f>
        <v>0.5</v>
      </c>
      <c r="P52" s="15"/>
      <c r="Q52" s="55">
        <v>0.5</v>
      </c>
      <c r="R52" s="60">
        <f t="shared" ref="R52:T52" si="73">($J52/$J$54) * (G$54/$J$54)</f>
        <v>0</v>
      </c>
      <c r="S52" s="15">
        <f t="shared" si="73"/>
        <v>0</v>
      </c>
      <c r="T52" s="61">
        <f t="shared" si="73"/>
        <v>0</v>
      </c>
      <c r="U52" s="15"/>
      <c r="V52" s="59" t="s">
        <v>115</v>
      </c>
      <c r="W52" s="60">
        <f>SUMPRODUCT(R51:T53, M51:O53)</f>
        <v>0</v>
      </c>
      <c r="X52" s="61" t="s">
        <v>116</v>
      </c>
    </row>
    <row r="53" ht="12.75" customHeight="1">
      <c r="A53" s="46"/>
      <c r="B53" s="73"/>
      <c r="C53" s="5"/>
      <c r="D53" s="5"/>
      <c r="F53" s="55">
        <v>1.0</v>
      </c>
      <c r="G53" s="62">
        <f>COUNTIFS($A$2:$A$45,$F$50,$C$2:$C$45,$F53,$D$2:$D$45,G$50) + MAX(C51-D51,0)</f>
        <v>0</v>
      </c>
      <c r="H53" s="63">
        <f>COUNTIFS($A$2:$A$89,$F$50,$C$2:$C$89,$F53,$D$2:$D$89,H$50)</f>
        <v>0</v>
      </c>
      <c r="I53" s="64">
        <f>COUNTIFS($A$2:$A$45,$F$50,$C$2:$C$45,$F53,$D$2:$D$45,I$50)+MIN(C51,D51)</f>
        <v>0</v>
      </c>
      <c r="J53" s="15">
        <f t="shared" si="72"/>
        <v>0</v>
      </c>
      <c r="K53" s="15"/>
      <c r="L53" s="55">
        <v>1.0</v>
      </c>
      <c r="M53" s="62">
        <f t="shared" si="74"/>
        <v>1</v>
      </c>
      <c r="N53" s="63">
        <f t="shared" ref="N53:O53" si="75">ABS(H$2-$F53)/1</f>
        <v>0.5</v>
      </c>
      <c r="O53" s="64">
        <f t="shared" si="75"/>
        <v>0</v>
      </c>
      <c r="P53" s="15"/>
      <c r="Q53" s="55">
        <v>1.0</v>
      </c>
      <c r="R53" s="62">
        <f t="shared" ref="R53:T53" si="76">($J53/$J$54) * (G$54/$J$54)</f>
        <v>0</v>
      </c>
      <c r="S53" s="63">
        <f t="shared" si="76"/>
        <v>0</v>
      </c>
      <c r="T53" s="64">
        <f t="shared" si="76"/>
        <v>0</v>
      </c>
      <c r="U53" s="15"/>
      <c r="V53" s="59" t="s">
        <v>83</v>
      </c>
      <c r="W53" s="62" t="str">
        <f>1-W51/W52</f>
        <v>#DIV/0!</v>
      </c>
      <c r="X53" s="64" t="s">
        <v>117</v>
      </c>
    </row>
    <row r="54" ht="12.75" customHeight="1">
      <c r="A54" s="46"/>
      <c r="B54" s="73"/>
      <c r="C54" s="5"/>
      <c r="D54" s="5"/>
      <c r="F54" s="65" t="s">
        <v>97</v>
      </c>
      <c r="G54" s="15">
        <f t="shared" ref="G54:I54" si="77">SUM(G51:G53)</f>
        <v>1</v>
      </c>
      <c r="H54" s="15">
        <f t="shared" si="77"/>
        <v>0</v>
      </c>
      <c r="I54" s="15">
        <f t="shared" si="77"/>
        <v>0</v>
      </c>
      <c r="J54" s="15">
        <f>SUM(G51:I53)</f>
        <v>1</v>
      </c>
      <c r="L54" s="15"/>
      <c r="M54" s="66"/>
    </row>
    <row r="55" ht="12.75" customHeight="1">
      <c r="A55" s="46"/>
      <c r="B55" s="73"/>
      <c r="C55" s="5"/>
      <c r="D55" s="5"/>
    </row>
    <row r="56" ht="12.75" customHeight="1">
      <c r="A56" s="46"/>
      <c r="B56" s="73"/>
      <c r="C56" s="5"/>
      <c r="D56" s="5"/>
    </row>
    <row r="57" ht="12.75" customHeight="1">
      <c r="A57" s="46"/>
      <c r="B57" s="73"/>
      <c r="C57" s="5"/>
      <c r="D57" s="5"/>
    </row>
    <row r="58" ht="12.75" customHeight="1">
      <c r="A58" s="46"/>
      <c r="B58" s="73"/>
      <c r="C58" s="5"/>
      <c r="D58" s="5"/>
    </row>
    <row r="59" ht="12.75" customHeight="1">
      <c r="A59" s="46"/>
      <c r="B59" s="73"/>
      <c r="C59" s="5"/>
      <c r="D59" s="5"/>
    </row>
    <row r="60" ht="12.75" customHeight="1">
      <c r="A60" s="46"/>
      <c r="B60" s="73"/>
      <c r="C60" s="5"/>
      <c r="D60" s="5"/>
    </row>
    <row r="61" ht="12.75" customHeight="1">
      <c r="A61" s="46"/>
      <c r="B61" s="73"/>
      <c r="C61" s="5"/>
      <c r="D61" s="5"/>
    </row>
    <row r="62" ht="12.75" customHeight="1">
      <c r="A62" s="46"/>
      <c r="B62" s="73"/>
      <c r="C62" s="5"/>
      <c r="D62" s="5"/>
    </row>
    <row r="63" ht="12.75" customHeight="1">
      <c r="A63" s="46"/>
      <c r="B63" s="73"/>
      <c r="C63" s="5"/>
      <c r="D63" s="5"/>
    </row>
    <row r="64" ht="12.75" customHeight="1">
      <c r="A64" s="46"/>
      <c r="B64" s="73"/>
      <c r="C64" s="5"/>
      <c r="D64" s="5"/>
    </row>
    <row r="65" ht="12.75" customHeight="1">
      <c r="A65" s="46"/>
      <c r="B65" s="73"/>
      <c r="C65" s="5"/>
      <c r="D65" s="5"/>
    </row>
    <row r="66" ht="12.75" customHeight="1">
      <c r="A66" s="46"/>
      <c r="B66" s="73"/>
      <c r="C66" s="5"/>
      <c r="D66" s="5"/>
    </row>
    <row r="67" ht="12.75" customHeight="1">
      <c r="A67" s="46"/>
      <c r="B67" s="73"/>
      <c r="C67" s="5"/>
      <c r="D67" s="5"/>
    </row>
    <row r="68" ht="12.75" customHeight="1">
      <c r="A68" s="46"/>
      <c r="B68" s="73"/>
      <c r="C68" s="5"/>
      <c r="D68" s="5"/>
    </row>
    <row r="69" ht="12.75" customHeight="1">
      <c r="A69" s="46"/>
      <c r="B69" s="73"/>
      <c r="C69" s="5"/>
      <c r="D69" s="5"/>
    </row>
    <row r="70" ht="12.75" customHeight="1">
      <c r="A70" s="46"/>
      <c r="B70" s="73"/>
      <c r="C70" s="5"/>
      <c r="D70" s="5"/>
    </row>
    <row r="71" ht="12.75" customHeight="1">
      <c r="A71" s="46"/>
      <c r="B71" s="73"/>
      <c r="C71" s="5"/>
      <c r="D71" s="5"/>
    </row>
    <row r="72" ht="12.75" customHeight="1">
      <c r="A72" s="46"/>
      <c r="B72" s="73"/>
      <c r="C72" s="5"/>
      <c r="D72" s="5"/>
    </row>
    <row r="73" ht="12.75" customHeight="1">
      <c r="A73" s="46"/>
      <c r="B73" s="73"/>
      <c r="C73" s="5"/>
      <c r="D73" s="5"/>
    </row>
    <row r="74" ht="12.75" customHeight="1">
      <c r="A74" s="46"/>
      <c r="B74" s="73"/>
      <c r="C74" s="5"/>
      <c r="D74" s="5"/>
    </row>
    <row r="75" ht="12.75" customHeight="1">
      <c r="A75" s="46"/>
      <c r="B75" s="73"/>
      <c r="C75" s="5"/>
      <c r="D75" s="5"/>
    </row>
    <row r="76" ht="12.75" customHeight="1">
      <c r="A76" s="46"/>
      <c r="B76" s="73"/>
      <c r="D76" s="5"/>
    </row>
    <row r="77" ht="12.75" customHeight="1">
      <c r="A77" s="46"/>
      <c r="B77" s="73"/>
      <c r="D77" s="5"/>
    </row>
    <row r="78" ht="12.75" customHeight="1">
      <c r="A78" s="46"/>
      <c r="B78" s="73"/>
      <c r="D78" s="5"/>
    </row>
    <row r="79" ht="12.75" customHeight="1">
      <c r="A79" s="46"/>
      <c r="B79" s="73"/>
      <c r="D79" s="5"/>
    </row>
    <row r="80" ht="12.75" customHeight="1">
      <c r="A80" s="46"/>
      <c r="B80" s="73"/>
      <c r="D80" s="5"/>
    </row>
    <row r="81" ht="12.75" customHeight="1">
      <c r="A81" s="46"/>
      <c r="B81" s="73"/>
      <c r="D81" s="5"/>
    </row>
    <row r="82" ht="12.75" customHeight="1">
      <c r="A82" s="46"/>
      <c r="B82" s="73"/>
      <c r="D82" s="5"/>
    </row>
    <row r="83" ht="12.75" customHeight="1">
      <c r="A83" s="46"/>
      <c r="B83" s="73"/>
      <c r="D83" s="5"/>
    </row>
    <row r="84" ht="12.75" customHeight="1">
      <c r="A84" s="46"/>
      <c r="B84" s="73"/>
      <c r="D84" s="5"/>
    </row>
    <row r="85" ht="12.75" customHeight="1">
      <c r="A85" s="46"/>
      <c r="B85" s="73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F42:I42"/>
    <mergeCell ref="F49:I49"/>
    <mergeCell ref="F1:I1"/>
    <mergeCell ref="L1:O1"/>
    <mergeCell ref="F8:I8"/>
    <mergeCell ref="F14:I14"/>
    <mergeCell ref="F21:I21"/>
    <mergeCell ref="F28:I28"/>
    <mergeCell ref="F35:I3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