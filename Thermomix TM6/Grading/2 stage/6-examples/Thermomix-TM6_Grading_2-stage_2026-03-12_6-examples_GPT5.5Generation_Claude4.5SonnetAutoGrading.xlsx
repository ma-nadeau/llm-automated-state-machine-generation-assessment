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2 stage/6-examples/"/>
    </mc:Choice>
  </mc:AlternateContent>
  <xr:revisionPtr revIDLastSave="0" documentId="8_{2BD75775-FB42-2B4B-93C5-51FD04BDF368}" xr6:coauthVersionLast="47" xr6:coauthVersionMax="47" xr10:uidLastSave="{00000000-0000-0000-0000-000000000000}"/>
  <bookViews>
    <workbookView xWindow="16180" yWindow="-21000" windowWidth="38400" windowHeight="21000" activeTab="2" xr2:uid="{00000000-000D-0000-FFFF-FFFF00000000}"/>
  </bookViews>
  <sheets>
    <sheet name="Thermonix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G5" i="3" s="1"/>
  <c r="B5" i="3"/>
  <c r="E4" i="3"/>
  <c r="D4" i="3"/>
  <c r="C4" i="3"/>
  <c r="B4" i="3"/>
  <c r="E3" i="3"/>
  <c r="D3" i="3"/>
  <c r="C3" i="3"/>
  <c r="F3" i="3" s="1"/>
  <c r="B3" i="3"/>
  <c r="G8" i="3" l="1"/>
  <c r="G4" i="3"/>
  <c r="D10" i="3"/>
  <c r="G6" i="3"/>
  <c r="F4" i="3"/>
  <c r="H4" i="3" s="1"/>
  <c r="G9" i="3"/>
  <c r="G7" i="3"/>
  <c r="B10" i="3"/>
  <c r="F5" i="3"/>
  <c r="H5" i="3" s="1"/>
  <c r="E10" i="3"/>
  <c r="F8" i="3"/>
  <c r="H8" i="3" s="1"/>
  <c r="F6" i="3"/>
  <c r="F9" i="3"/>
  <c r="C10" i="3"/>
  <c r="G3" i="3"/>
  <c r="H3" i="3" s="1"/>
  <c r="F7" i="3"/>
  <c r="H6" i="3" l="1"/>
  <c r="H7" i="3"/>
  <c r="H9" i="3"/>
  <c r="G10" i="3"/>
  <c r="F10" i="3"/>
  <c r="H10" i="3" s="1"/>
</calcChain>
</file>

<file path=xl/sharedStrings.xml><?xml version="1.0" encoding="utf-8"?>
<sst xmlns="http://schemas.openxmlformats.org/spreadsheetml/2006/main" count="279" uniqueCount="116">
  <si>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</si>
  <si>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</si>
  <si>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</si>
  <si>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</si>
  <si>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</si>
  <si>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</si>
  <si>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</si>
  <si>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</si>
  <si>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</si>
  <si>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</si>
  <si>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</si>
  <si>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</si>
  <si>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</si>
  <si>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</si>
  <si>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</si>
  <si>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</si>
  <si>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</si>
  <si>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</si>
  <si>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</si>
  <si>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</si>
  <si>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</si>
  <si>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</si>
  <si>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</si>
  <si>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</si>
  <si>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</si>
  <si>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</si>
  <si>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</si>
  <si>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</si>
  <si>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</si>
  <si>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</si>
  <si>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</si>
  <si>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</si>
  <si>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</si>
  <si>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</si>
  <si>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</si>
  <si>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</si>
  <si>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</si>
  <si>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</si>
  <si>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</si>
  <si>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</si>
  <si>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</si>
  <si>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</si>
  <si>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</si>
  <si>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</si>
  <si>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</si>
  <si>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</si>
  <si>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</si>
  <si>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</si>
  <si>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</si>
  <si>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GPT-5</t>
  </si>
  <si>
    <t>Notes</t>
  </si>
  <si>
    <t>Initial state correctly transitions to TransportationMode</t>
  </si>
  <si>
    <t>TransportationMode state is present</t>
  </si>
  <si>
    <t>Transition from TransportationMode to On via selectorPressed is present with deactivation action</t>
  </si>
  <si>
    <t>Represented by ShutdownMessage state which shows switching off message after 5sec hold</t>
  </si>
  <si>
    <t>ShutdownMessage transitions to Off on selectorReleased; the holding states return to Operating on early release preserving On context</t>
  </si>
  <si>
    <t>HoldingFromHome and similar states transition to ShutdownMessage after 5sec which then leads to Off</t>
  </si>
  <si>
    <t>Off state is present</t>
  </si>
  <si>
    <t>Transition from Off to On via selectorPressed is present</t>
  </si>
  <si>
    <t>On is a composite state containing Operating and other substates</t>
  </si>
  <si>
    <t>History state H is present in RecipeExecution and used to restore context after early selector release</t>
  </si>
  <si>
    <t>Multiple holding states (HoldingFromHome etc) capture selectorHeld from various Operating substates leading to shutdown sequence</t>
  </si>
  <si>
    <t>MealReady transitions to Home on bowlRemoved which stays within On composite state</t>
  </si>
  <si>
    <t>On composite state has initial transition to Operating which has initial transition to Home</t>
  </si>
  <si>
    <t>Home state is present within Operating</t>
  </si>
  <si>
    <t>Operating transitions to AutoShutdownWarning after 14min30sec when notInUse</t>
  </si>
  <si>
    <t>RecipeSelected transitions to RecipeExecution on start which begins at AddIngredients (prompt to add)</t>
  </si>
  <si>
    <t>Guard bowlPlaced() is used on start transition; semantically equivalent to checking bowl is present</t>
  </si>
  <si>
    <t>instructAddIngredients(recipeStep) action captures setting up ingredient prompts</t>
  </si>
  <si>
    <t>AutoShutdownWarning state represents preparing shutdown with 30sec countdown</t>
  </si>
  <si>
    <t>AutoShutdownWarning transitions to Off after 30sec with powerOff action</t>
  </si>
  <si>
    <t>AutoShutdownWarning transitions to Operating on cancel which returns to Home</t>
  </si>
  <si>
    <t>AddIngredients state represents prompting to add ingredients</t>
  </si>
  <si>
    <t>Cooking transitions back to AddIngredients when hasMoreRecipeSteps after cooking done</t>
  </si>
  <si>
    <t>correctAmountAdded event and hasMoreRecipeSteps guard capture weight correctness and more ingredients logic</t>
  </si>
  <si>
    <t>advanceRecipeStep() action when returning to AddIngredients captures setting next ingredients</t>
  </si>
  <si>
    <t>IngredientsAmountConfirmed transitions to Chopping on next event</t>
  </si>
  <si>
    <t>correctAmountAdded event enables next step; flow proceeds to chopping when amount confirmed</t>
  </si>
  <si>
    <t>startChopping(recipeSpeed recipeChopTime) action captures setting chopping parameters</t>
  </si>
  <si>
    <t>Chopping state is present</t>
  </si>
  <si>
    <t>Cooking can transition back to AddIngredients when more steps exist after cooking</t>
  </si>
  <si>
    <t>choppingDone event and hasMoreRecipeSteps logic capture chopping completion and more ingredients needed</t>
  </si>
  <si>
    <t>advanceRecipeStep() when transitioning back to AddIngredients sets next ingredients</t>
  </si>
  <si>
    <t>ReadyForCooking transitions to Cooking on next event when bowl is placed</t>
  </si>
  <si>
    <t>choppingDone leads to ReadyForCooking; next proceeds to Cooking when ready</t>
  </si>
  <si>
    <t>startCooking(recipeTemperature recipeCookTime) action captures setting cooking parameters</t>
  </si>
  <si>
    <t>Cooking state is present</t>
  </si>
  <si>
    <t>Cooking transitions to AddIngredients on cookingDone not after choppingTime; timing mechanism differs but loop behavior partially captured</t>
  </si>
  <si>
    <t>cookingDone with hasMoreRecipeSteps guard captures completion and more ingredients logic</t>
  </si>
  <si>
    <t>advanceRecipeStep() action sets next ingredients when looping back</t>
  </si>
  <si>
    <t>Cooking transitions to MealReady on cookingDone when isLastRecipeStep</t>
  </si>
  <si>
    <t>isLastRecipeStep guard is semantically equivalent to no more ingredients required</t>
  </si>
  <si>
    <t>MealReady state represents meal ready</t>
  </si>
  <si>
    <t>No auto-shutdown timer from MealReady state; only from Operating level</t>
  </si>
  <si>
    <t>RecipeSelected and intermediate states are reasonable modeling choices that preserve system behavior</t>
  </si>
  <si>
    <t>Additional transitions for holding states and bowl placement checks are reasonable and preserve correctness</t>
  </si>
  <si>
    <t>Additional guards like heldLessThan5sec and bowlPlaced are reasonable refinements of system logic</t>
  </si>
  <si>
    <t>Additional actions like enableNextStep and loadRecipeSteps are reasonable implementation details</t>
  </si>
  <si>
    <t>Operating and RecipeExecution composite states are reasonable structural choices</t>
  </si>
  <si>
    <t>No additional regions present</t>
  </si>
  <si>
    <t>History state H is appropriately used for context restoration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</si>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</sst>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37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/>
    <xf numFmtId="0" fontId="5" fillId="7" borderId="0" xfId="0" applyFont="1" applyFill="1" applyBorder="1"/>
    <xf numFmtId="0" fontId="1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vertical="center" wrapText="1"/>
    </xf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2" xfId="0" applyFont="1" applyBorder="1"/>
    <xf numFmtId="0" fontId="0" fillId="10" borderId="0" xfId="0" applyFill="1" applyBorder="1"/>
    <xf numFmtId="0" fontId="3" fillId="3" borderId="0" xfId="0" applyFont="1" applyFill="1" applyBorder="1"/>
    <xf numFmtId="0" fontId="7" fillId="9" borderId="0" xfId="0" applyFont="1" applyFill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customHeight="1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>
      <selection activeCell="C2" sqref="C2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12.33203125" bestFit="1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 t="s">
        <v>51</v>
      </c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 t="s">
        <v>52</v>
      </c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 t="s">
        <v>53</v>
      </c>
    </row>
    <row r="5" spans="1:22" ht="12.75" customHeight="1" x14ac:dyDescent="0.15">
      <c r="A5" s="3" t="s">
        <v>2</v>
      </c>
      <c r="B5" s="4" t="s">
        <v>7</v>
      </c>
      <c r="C5" s="17">
        <v>1</v>
      </c>
      <c r="D5" s="18" t="s">
        <v>54</v>
      </c>
    </row>
    <row r="6" spans="1:22" ht="12.75" customHeight="1" x14ac:dyDescent="0.15">
      <c r="A6" s="3" t="s">
        <v>5</v>
      </c>
      <c r="B6" s="4" t="s">
        <v>8</v>
      </c>
      <c r="C6" s="15">
        <v>1</v>
      </c>
      <c r="D6" s="16" t="s">
        <v>55</v>
      </c>
    </row>
    <row r="7" spans="1:22" ht="12.75" customHeight="1" x14ac:dyDescent="0.15">
      <c r="A7" s="3" t="s">
        <v>5</v>
      </c>
      <c r="B7" s="4" t="s">
        <v>9</v>
      </c>
      <c r="C7" s="17">
        <v>1</v>
      </c>
      <c r="D7" s="18" t="s">
        <v>56</v>
      </c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 t="s">
        <v>57</v>
      </c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 t="s">
        <v>58</v>
      </c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 t="s">
        <v>59</v>
      </c>
    </row>
    <row r="11" spans="1:22" ht="12.75" customHeight="1" x14ac:dyDescent="0.15">
      <c r="A11" s="3" t="s">
        <v>14</v>
      </c>
      <c r="B11" s="4" t="s">
        <v>15</v>
      </c>
      <c r="C11" s="17">
        <v>1</v>
      </c>
      <c r="D11" s="18" t="s">
        <v>60</v>
      </c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 t="s">
        <v>61</v>
      </c>
    </row>
    <row r="13" spans="1:22" ht="12.75" customHeight="1" x14ac:dyDescent="0.15">
      <c r="A13" s="3" t="s">
        <v>5</v>
      </c>
      <c r="B13" s="4" t="s">
        <v>17</v>
      </c>
      <c r="C13" s="17">
        <v>1</v>
      </c>
      <c r="D13" s="18" t="s">
        <v>62</v>
      </c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 t="s">
        <v>63</v>
      </c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 t="s">
        <v>64</v>
      </c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65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1</v>
      </c>
      <c r="D17" s="18" t="s">
        <v>66</v>
      </c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67</v>
      </c>
    </row>
    <row r="19" spans="1:22" ht="12.75" customHeight="1" x14ac:dyDescent="0.15">
      <c r="A19" s="6" t="s">
        <v>24</v>
      </c>
      <c r="B19" s="7" t="s">
        <v>25</v>
      </c>
      <c r="C19" s="17">
        <v>1</v>
      </c>
      <c r="D19" s="18" t="s">
        <v>68</v>
      </c>
    </row>
    <row r="20" spans="1:22" ht="12.75" customHeight="1" x14ac:dyDescent="0.15">
      <c r="A20" s="3" t="s">
        <v>2</v>
      </c>
      <c r="B20" s="4" t="s">
        <v>26</v>
      </c>
      <c r="C20" s="15">
        <v>1</v>
      </c>
      <c r="D20" s="16" t="s">
        <v>69</v>
      </c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 t="s">
        <v>70</v>
      </c>
    </row>
    <row r="22" spans="1:22" ht="12.75" customHeight="1" x14ac:dyDescent="0.15">
      <c r="A22" s="3" t="s">
        <v>5</v>
      </c>
      <c r="B22" s="4" t="s">
        <v>28</v>
      </c>
      <c r="C22" s="15">
        <v>1</v>
      </c>
      <c r="D22" s="16" t="s">
        <v>71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1</v>
      </c>
      <c r="D23" s="18" t="s">
        <v>72</v>
      </c>
    </row>
    <row r="24" spans="1:22" ht="12.75" customHeight="1" x14ac:dyDescent="0.15">
      <c r="A24" s="3" t="s">
        <v>5</v>
      </c>
      <c r="B24" s="4" t="s">
        <v>30</v>
      </c>
      <c r="C24" s="15">
        <v>1</v>
      </c>
      <c r="D24" s="16" t="s">
        <v>73</v>
      </c>
    </row>
    <row r="25" spans="1:22" ht="12.75" customHeight="1" x14ac:dyDescent="0.15">
      <c r="A25" s="3" t="s">
        <v>22</v>
      </c>
      <c r="B25" s="4" t="s">
        <v>31</v>
      </c>
      <c r="C25" s="17">
        <v>1</v>
      </c>
      <c r="D25" s="18" t="s">
        <v>74</v>
      </c>
    </row>
    <row r="26" spans="1:22" ht="12.75" customHeight="1" x14ac:dyDescent="0.15">
      <c r="A26" s="3" t="s">
        <v>24</v>
      </c>
      <c r="B26" s="4" t="s">
        <v>25</v>
      </c>
      <c r="C26" s="17">
        <v>1</v>
      </c>
      <c r="D26" s="18" t="s">
        <v>75</v>
      </c>
    </row>
    <row r="27" spans="1:22" ht="12.75" customHeight="1" x14ac:dyDescent="0.15">
      <c r="A27" s="3" t="s">
        <v>5</v>
      </c>
      <c r="B27" s="4" t="s">
        <v>32</v>
      </c>
      <c r="C27" s="15">
        <v>1</v>
      </c>
      <c r="D27" s="16" t="s">
        <v>76</v>
      </c>
    </row>
    <row r="28" spans="1:22" ht="12.75" customHeight="1" x14ac:dyDescent="0.15">
      <c r="A28" s="3" t="s">
        <v>22</v>
      </c>
      <c r="B28" s="4" t="s">
        <v>33</v>
      </c>
      <c r="C28" s="17">
        <v>1</v>
      </c>
      <c r="D28" s="18" t="s">
        <v>77</v>
      </c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 t="s">
        <v>78</v>
      </c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 t="s">
        <v>79</v>
      </c>
    </row>
    <row r="31" spans="1:22" ht="12.75" customHeight="1" x14ac:dyDescent="0.15">
      <c r="A31" s="3" t="s">
        <v>5</v>
      </c>
      <c r="B31" s="4" t="s">
        <v>36</v>
      </c>
      <c r="C31" s="15">
        <v>1</v>
      </c>
      <c r="D31" s="16" t="s">
        <v>80</v>
      </c>
    </row>
    <row r="32" spans="1:22" ht="12.75" customHeight="1" x14ac:dyDescent="0.15">
      <c r="A32" s="3" t="s">
        <v>22</v>
      </c>
      <c r="B32" s="4" t="s">
        <v>37</v>
      </c>
      <c r="C32" s="17">
        <v>1</v>
      </c>
      <c r="D32" s="18" t="s">
        <v>81</v>
      </c>
    </row>
    <row r="33" spans="1:22" ht="12.75" customHeight="1" x14ac:dyDescent="0.15">
      <c r="A33" s="6" t="s">
        <v>24</v>
      </c>
      <c r="B33" s="7" t="s">
        <v>25</v>
      </c>
      <c r="C33" s="15">
        <v>1</v>
      </c>
      <c r="D33" s="16" t="s">
        <v>82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 t="s">
        <v>83</v>
      </c>
    </row>
    <row r="35" spans="1:22" ht="15" customHeight="1" x14ac:dyDescent="0.15">
      <c r="A35" s="3" t="s">
        <v>22</v>
      </c>
      <c r="B35" s="4" t="s">
        <v>39</v>
      </c>
      <c r="C35" s="15">
        <v>1</v>
      </c>
      <c r="D35" s="16" t="s">
        <v>84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 t="s">
        <v>85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 t="s">
        <v>86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0.5</v>
      </c>
      <c r="D38" s="18" t="s">
        <v>87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1</v>
      </c>
      <c r="D39" s="16" t="s">
        <v>88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1</v>
      </c>
      <c r="D40" s="18" t="s">
        <v>89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 t="s">
        <v>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1</v>
      </c>
      <c r="D42" s="18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 t="s">
        <v>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0</v>
      </c>
      <c r="D44" s="20" t="s">
        <v>93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 t="s">
        <v>94</v>
      </c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 t="s">
        <v>95</v>
      </c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 t="s">
        <v>96</v>
      </c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 t="s">
        <v>97</v>
      </c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 t="s">
        <v>98</v>
      </c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 t="s">
        <v>99</v>
      </c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 t="s">
        <v>100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G17" sqref="G1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6" t="s">
        <v>101</v>
      </c>
      <c r="B1" s="36"/>
      <c r="C1" s="36"/>
      <c r="D1" s="36"/>
      <c r="E1" s="36"/>
      <c r="F1" s="36"/>
      <c r="G1" s="36"/>
      <c r="H1" s="36"/>
      <c r="J1" s="26" t="s">
        <v>102</v>
      </c>
    </row>
    <row r="2" spans="1:10" ht="15.75" customHeight="1" x14ac:dyDescent="0.15">
      <c r="A2" s="27" t="s">
        <v>0</v>
      </c>
      <c r="B2" s="27" t="s">
        <v>103</v>
      </c>
      <c r="C2" s="27" t="s">
        <v>104</v>
      </c>
      <c r="D2" s="27" t="s">
        <v>105</v>
      </c>
      <c r="E2" s="27" t="s">
        <v>106</v>
      </c>
      <c r="F2" s="27" t="s">
        <v>107</v>
      </c>
      <c r="G2" s="27" t="s">
        <v>108</v>
      </c>
      <c r="H2" s="27" t="s">
        <v>109</v>
      </c>
      <c r="J2" s="22" t="s">
        <v>110</v>
      </c>
    </row>
    <row r="3" spans="1:10" ht="15.75" customHeight="1" x14ac:dyDescent="0.15">
      <c r="A3" s="28" t="s">
        <v>12</v>
      </c>
      <c r="B3" s="29">
        <f>COUNTIF(Thermonix!$A$2:$A$44, A3)</f>
        <v>1</v>
      </c>
      <c r="C3" s="30">
        <f>SUMIF('GPT-5 Generation'!$A$2:$A$44, $A3, 'GPT-5 Generation'!$C$2:$C$44)</f>
        <v>1</v>
      </c>
      <c r="D3" s="30">
        <f>SUMIF('GPT-5 Generation'!$A$45:$A$51, $A3, 'GPT-5 Generation'!$C$45:$C$51)</f>
        <v>0</v>
      </c>
      <c r="E3" s="30">
        <f>COUNTIFS('GPT-5 Generation'!$A$2:$A$44, $A3, 'GPT-5 Generation'!$C$2:$C$44,0)</f>
        <v>0</v>
      </c>
      <c r="F3" s="30">
        <f t="shared" ref="F3:F10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25"/>
    </row>
    <row r="4" spans="1:10" ht="15.75" customHeight="1" x14ac:dyDescent="0.15">
      <c r="A4" s="31" t="s">
        <v>2</v>
      </c>
      <c r="B4" s="29">
        <f>COUNTIF(Thermonix!$A$2:$A$44, A4)</f>
        <v>11</v>
      </c>
      <c r="C4" s="30">
        <f>SUMIF('GPT-5 Generation'!$A$2:$A$44, $A4, 'GPT-5 Generation'!$C$2:$C$44)</f>
        <v>11</v>
      </c>
      <c r="D4" s="30">
        <f>SUMIF('GPT-5 Generation'!$A$45:$A$51, $A4, 'GPT-5 Generation'!$C$45:$C$51)</f>
        <v>0</v>
      </c>
      <c r="E4" s="30">
        <f>COUNTIFS('GPT-5 Generation'!$A$2:$A$44, $A4, 'GPT-5 Generation'!$C$2:$C$44,0)</f>
        <v>0</v>
      </c>
      <c r="F4" s="30">
        <f t="shared" si="0"/>
        <v>1</v>
      </c>
      <c r="G4" s="30">
        <f t="shared" si="1"/>
        <v>1</v>
      </c>
      <c r="H4" s="30">
        <f t="shared" si="2"/>
        <v>1</v>
      </c>
      <c r="J4" s="26" t="s">
        <v>111</v>
      </c>
    </row>
    <row r="5" spans="1:10" ht="15.75" customHeight="1" x14ac:dyDescent="0.15">
      <c r="A5" s="31" t="s">
        <v>5</v>
      </c>
      <c r="B5" s="29">
        <f>COUNTIF(Thermonix!$A$2:$A$44, A5)</f>
        <v>17</v>
      </c>
      <c r="C5" s="30">
        <f>SUMIF('GPT-5 Generation'!$A$2:$A$44, $A5, 'GPT-5 Generation'!$C$2:$C$44)</f>
        <v>15.5</v>
      </c>
      <c r="D5" s="30">
        <f>SUMIF('GPT-5 Generation'!$A$45:$A$51, $A5, 'GPT-5 Generation'!$C$45:$C$51)</f>
        <v>0</v>
      </c>
      <c r="E5" s="30">
        <f>COUNTIFS('GPT-5 Generation'!$A$2:$A$44, $A5, 'GPT-5 Generation'!$C$2:$C$44,0)</f>
        <v>1</v>
      </c>
      <c r="F5" s="30">
        <f t="shared" si="0"/>
        <v>1</v>
      </c>
      <c r="G5" s="30">
        <f t="shared" si="1"/>
        <v>0.91176470588235292</v>
      </c>
      <c r="H5" s="30">
        <f t="shared" si="2"/>
        <v>0.9538461538461539</v>
      </c>
      <c r="J5" s="34" t="s">
        <v>114</v>
      </c>
    </row>
    <row r="6" spans="1:10" ht="15.75" customHeight="1" x14ac:dyDescent="0.15">
      <c r="A6" s="31" t="s">
        <v>24</v>
      </c>
      <c r="B6" s="29">
        <f>COUNTIF(Thermonix!$A$2:$A$44, A6)</f>
        <v>6</v>
      </c>
      <c r="C6" s="30">
        <f>SUMIF('GPT-5 Generation'!$A$2:$A$44, $A6, 'GPT-5 Generation'!$C$2:$C$44)</f>
        <v>6</v>
      </c>
      <c r="D6" s="30">
        <f>SUMIF('GPT-5 Generation'!$A$45:$A$51, $A6, 'GPT-5 Generation'!$C$45:$C$51)</f>
        <v>0</v>
      </c>
      <c r="E6" s="30">
        <f>COUNTIFS('GPT-5 Generation'!$A$2:$A$44, $A6, 'GPT-5 Generation'!$C$2:$C$44,0)</f>
        <v>0</v>
      </c>
      <c r="F6" s="30">
        <f t="shared" si="0"/>
        <v>1</v>
      </c>
      <c r="G6" s="30">
        <f t="shared" si="1"/>
        <v>1</v>
      </c>
      <c r="H6" s="30">
        <f t="shared" si="2"/>
        <v>1</v>
      </c>
      <c r="J6" s="25"/>
    </row>
    <row r="7" spans="1:10" ht="15.75" customHeight="1" x14ac:dyDescent="0.15">
      <c r="A7" s="31" t="s">
        <v>48</v>
      </c>
      <c r="B7" s="29">
        <f>COUNTIF(Thermonix!$A$2:$A$44, A7)</f>
        <v>0</v>
      </c>
      <c r="C7" s="30">
        <f>SUMIF('GPT-5 Generation'!$A$2:$A$44, $A7, 'GPT-5 Generation'!$C$2:$C$44)</f>
        <v>0</v>
      </c>
      <c r="D7" s="30">
        <f>SUMIF('GPT-5 Generation'!$A$45:$A$51, $A7, 'GPT-5 Generation'!$C$45:$C$51)</f>
        <v>0</v>
      </c>
      <c r="E7" s="30">
        <f>COUNTIFS('GPT-5 Generation'!$A$2:$A$44, $A7, 'GPT-5 Generation'!$C$2:$C$44,0)</f>
        <v>0</v>
      </c>
      <c r="F7" s="30" t="str">
        <f t="shared" si="0"/>
        <v>Not Available</v>
      </c>
      <c r="G7" s="30" t="str">
        <f t="shared" si="1"/>
        <v>Not Available</v>
      </c>
      <c r="H7" s="30" t="str">
        <f t="shared" si="2"/>
        <v>Not Available</v>
      </c>
      <c r="J7" s="33" t="s">
        <v>112</v>
      </c>
    </row>
    <row r="8" spans="1:10" ht="15.75" customHeight="1" x14ac:dyDescent="0.15">
      <c r="A8" s="31" t="s">
        <v>14</v>
      </c>
      <c r="B8" s="29">
        <f>COUNTIF(Thermonix!$A$2:$A$44, A8)</f>
        <v>1</v>
      </c>
      <c r="C8" s="30">
        <f>SUMIF('GPT-5 Generation'!$A$2:$A$44, $A8, 'GPT-5 Generation'!$C$2:$C$44)</f>
        <v>1</v>
      </c>
      <c r="D8" s="30">
        <f>SUMIF('GPT-5 Generation'!$A$45:$A$51, $A8, 'GPT-5 Generation'!$C$45:$C$51)</f>
        <v>0</v>
      </c>
      <c r="E8" s="30">
        <f>COUNTIFS('GPT-5 Generation'!$A$2:$A$44, $A8, 'GPT-5 Generation'!$C$2:$C$44,0)</f>
        <v>0</v>
      </c>
      <c r="F8" s="30">
        <f t="shared" si="0"/>
        <v>1</v>
      </c>
      <c r="G8" s="30">
        <f t="shared" si="1"/>
        <v>1</v>
      </c>
      <c r="H8" s="30">
        <f t="shared" si="2"/>
        <v>1</v>
      </c>
      <c r="J8" s="35" t="s">
        <v>115</v>
      </c>
    </row>
    <row r="9" spans="1:10" ht="15.75" customHeight="1" x14ac:dyDescent="0.15">
      <c r="A9" s="31" t="s">
        <v>22</v>
      </c>
      <c r="B9" s="29">
        <f>COUNTIF(Thermonix!$A$2:$A$44, A9)</f>
        <v>7</v>
      </c>
      <c r="C9" s="30">
        <f>SUMIF('GPT-5 Generation'!$A$2:$A$44, $A9, 'GPT-5 Generation'!$C$2:$C$44)</f>
        <v>7</v>
      </c>
      <c r="D9" s="30">
        <f>SUMIF('GPT-5 Generation'!$A$45:$A$51, $A9, 'GPT-5 Generation'!$C$45:$C$51)</f>
        <v>0</v>
      </c>
      <c r="E9" s="30">
        <f>COUNTIFS('GPT-5 Generation'!$A$2:$A$44, $A9, 'GPT-5 Generation'!$C$2:$C$44,0)</f>
        <v>0</v>
      </c>
      <c r="F9" s="30">
        <f t="shared" si="0"/>
        <v>1</v>
      </c>
      <c r="G9" s="30">
        <f t="shared" si="1"/>
        <v>1</v>
      </c>
      <c r="H9" s="30">
        <f t="shared" si="2"/>
        <v>1</v>
      </c>
    </row>
    <row r="10" spans="1:10" ht="15.75" customHeight="1" x14ac:dyDescent="0.15">
      <c r="A10" s="31" t="s">
        <v>113</v>
      </c>
      <c r="B10" s="32">
        <f>SUM(B3:B9)</f>
        <v>43</v>
      </c>
      <c r="C10" s="32">
        <f>SUM(C3:C9)</f>
        <v>41.5</v>
      </c>
      <c r="D10" s="32">
        <f>SUM(D3:D9)</f>
        <v>0</v>
      </c>
      <c r="E10" s="32">
        <f>SUM(E3:E9)</f>
        <v>1</v>
      </c>
      <c r="F10" s="30">
        <f t="shared" si="0"/>
        <v>1</v>
      </c>
      <c r="G10" s="30">
        <f t="shared" si="1"/>
        <v>0.96511627906976749</v>
      </c>
      <c r="H10" s="30">
        <f t="shared" si="2"/>
        <v>0.9822485207100593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Thermonix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2026-05-13T16:50:05Z</dcterms:modified>
</cp:coreProperties>
</file>