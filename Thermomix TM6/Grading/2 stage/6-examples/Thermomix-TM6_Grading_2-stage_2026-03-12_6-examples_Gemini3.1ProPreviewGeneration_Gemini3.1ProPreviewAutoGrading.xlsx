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180" yWindow="-21600" windowWidth="38400" windowHeight="21600" tabRatio="600" firstSheet="0" activeTab="0" autoFilterDateGrouping="1"/>
  </bookViews>
  <sheets>
    <sheet name="Thermonix" sheetId="1" state="visible" r:id="rId1"/>
    <sheet name="Gemini 3.1 Pro Generation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1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4" applyAlignment="1" pivotButton="0" quotePrefix="0" xfId="0">
      <alignment horizontal="center"/>
    </xf>
    <xf numFmtId="0" fontId="6" fillId="8" borderId="4" applyAlignment="1" pivotButton="0" quotePrefix="0" xfId="0">
      <alignment vertical="center" wrapText="1"/>
    </xf>
    <xf numFmtId="0" fontId="3" fillId="0" borderId="4" pivotButton="0" quotePrefix="0" xfId="0"/>
    <xf numFmtId="0" fontId="2" fillId="0" borderId="4" pivotButton="0" quotePrefix="0" xfId="0"/>
    <xf numFmtId="0" fontId="1" fillId="0" borderId="4" pivotButton="0" quotePrefix="0" xfId="0"/>
    <xf numFmtId="0" fontId="2" fillId="0" borderId="2" pivotButton="0" quotePrefix="0" xfId="0"/>
    <xf numFmtId="0" fontId="7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6" applyAlignment="1" pivotButton="0" quotePrefix="0" xfId="0">
      <alignment horizontal="center"/>
    </xf>
    <xf numFmtId="0" fontId="5" fillId="9" borderId="7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19" applyAlignment="1" pivotButton="0" quotePrefix="0" xfId="0">
      <alignment horizontal="center"/>
    </xf>
    <xf numFmtId="0" fontId="5" fillId="9" borderId="2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1" applyAlignment="1" pivotButton="0" quotePrefix="0" xfId="0">
      <alignment horizontal="center"/>
    </xf>
    <xf numFmtId="0" fontId="7" fillId="2" borderId="22" applyAlignment="1" pivotButton="0" quotePrefix="0" xfId="0">
      <alignment horizontal="center"/>
    </xf>
    <xf numFmtId="0" fontId="5" fillId="2" borderId="22" pivotButton="0" quotePrefix="0" xfId="0"/>
    <xf numFmtId="0" fontId="5" fillId="3" borderId="23" applyAlignment="1" pivotButton="0" quotePrefix="0" xfId="0">
      <alignment horizontal="center"/>
    </xf>
    <xf numFmtId="0" fontId="5" fillId="9" borderId="24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0" fillId="0" borderId="0" pivotButton="0" quotePrefix="0" xfId="0"/>
    <xf numFmtId="0" fontId="1" fillId="6" borderId="21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0" fillId="0" borderId="5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5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  <row r="999" ht="12.75" customHeight="1" s="65">
      <c r="A999" s="1" t="n"/>
      <c r="B999" s="2" t="n"/>
    </row>
    <row r="1000" ht="12.75" customHeight="1" s="65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C2" sqref="C2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3"/>
    <col width="112.33203125" bestFit="1" customWidth="1" style="65" min="4" max="4"/>
    <col width="10.6640625" customWidth="1" style="65" min="5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  <c r="C1" s="14" t="inlineStr">
        <is>
          <t>Grading</t>
        </is>
      </c>
      <c r="D1" s="14" t="inlineStr">
        <is>
          <t>Notes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  <c r="C2" s="15" t="n">
        <v>1</v>
      </c>
      <c r="D2" s="16" t="inlineStr">
        <is>
          <t>Correctly represented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  <c r="C3" s="17" t="n">
        <v>1</v>
      </c>
      <c r="D3" s="18" t="inlineStr">
        <is>
          <t>Correctly represented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  <c r="C4" s="15" t="n">
        <v>1</v>
      </c>
      <c r="D4" s="16" t="inlineStr">
        <is>
          <t>Correctly represented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  <c r="C5" s="17" t="n">
        <v>1</v>
      </c>
      <c r="D5" s="18" t="inlineStr">
        <is>
          <t>Represented as SwitchingOff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  <c r="C6" s="15" t="n">
        <v>1</v>
      </c>
      <c r="D6" s="16" t="inlineStr">
        <is>
          <t>Implicitly and correctly handled by the time &gt;= 5s guard on the transition to SwitchingOff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  <c r="C7" s="17" t="n">
        <v>1</v>
      </c>
      <c r="D7" s="18" t="inlineStr">
        <is>
          <t>Represented by the time &gt;= 5s guard and subsequent selectorReleased transition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  <c r="C8" s="15" t="n">
        <v>1</v>
      </c>
      <c r="D8" s="16" t="inlineStr">
        <is>
          <t>Correctly represented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  <c r="C9" s="17" t="n">
        <v>1</v>
      </c>
      <c r="D9" s="18" t="inlineStr">
        <is>
          <t>Correctly represented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  <c r="C10" s="15" t="n">
        <v>1</v>
      </c>
      <c r="D10" s="16" t="inlineStr">
        <is>
          <t>Correctly represented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  <c r="C11" s="17" t="n">
        <v>0</v>
      </c>
      <c r="D11" s="18" t="inlineStr">
        <is>
          <t>Missing history state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  <c r="C12" s="15" t="n">
        <v>1</v>
      </c>
      <c r="D12" s="16" t="inlineStr">
        <is>
          <t>Correctly represented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  <c r="C13" s="17" t="n">
        <v>1</v>
      </c>
      <c r="D13" s="18" t="inlineStr">
        <is>
          <t>Represented by transitions from Cooking and ShutdownWarning to HomeScreen</t>
        </is>
      </c>
    </row>
    <row r="14" ht="12.75" customHeight="1" s="65">
      <c r="A14" s="3" t="inlineStr">
        <is>
          <t>State</t>
        </is>
      </c>
      <c r="B14" s="4" t="inlineStr">
        <is>
          <t>Initial State (On ⇒ Home)</t>
        </is>
      </c>
      <c r="C14" s="15" t="n">
        <v>1</v>
      </c>
      <c r="D14" s="16" t="inlineStr">
        <is>
          <t>Correctly represented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  <c r="C15" s="17" t="n">
        <v>1</v>
      </c>
      <c r="D15" s="18" t="inlineStr">
        <is>
          <t>Represented as HomeScreen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15" t="n">
        <v>1</v>
      </c>
      <c r="D16" s="16" t="inlineStr">
        <is>
          <t>Correctly represented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  <c r="C17" s="17" t="n">
        <v>1</v>
      </c>
      <c r="D17" s="18" t="inlineStr">
        <is>
          <t>Represented via RecipeSelected intermediate state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  <c r="C18" s="15" t="n">
        <v>1</v>
      </c>
      <c r="D18" s="16" t="inlineStr">
        <is>
          <t>Represented as bowlPlaced guard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  <c r="C19" s="17" t="n">
        <v>0.5</v>
      </c>
      <c r="D19" s="18" t="inlineStr">
        <is>
          <t>Represented as weighIngredients do-action in AddIngredients state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  <c r="C20" s="15" t="n">
        <v>1</v>
      </c>
      <c r="D20" s="16" t="inlineStr">
        <is>
          <t>Represented as ShutdownWarning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  <c r="C21" s="17" t="n">
        <v>1</v>
      </c>
      <c r="D21" s="18" t="inlineStr">
        <is>
          <t>Correctly represented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15" t="n">
        <v>1</v>
      </c>
      <c r="D22" s="16" t="inlineStr">
        <is>
          <t>Correctly represented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  <c r="C23" s="17" t="n">
        <v>1</v>
      </c>
      <c r="D23" s="18" t="inlineStr">
        <is>
          <t>Represented as AddIngredients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  <c r="C24" s="15" t="n">
        <v>0</v>
      </c>
      <c r="D24" s="16" t="inlineStr">
        <is>
          <t>Missing self-transition for adding more ingredients</t>
        </is>
      </c>
    </row>
    <row r="25" ht="12.75" customHeight="1" s="65">
      <c r="A25" s="3" t="inlineStr">
        <is>
          <t>Guard</t>
        </is>
      </c>
      <c r="B25" s="4" t="inlineStr">
        <is>
          <t>[weightCorrect() &amp;&amp; moreIngredientsRequired()]</t>
        </is>
      </c>
      <c r="C25" s="17" t="n">
        <v>0</v>
      </c>
      <c r="D25" s="18" t="inlineStr">
        <is>
          <t>Missing guard for more ingredients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  <c r="C26" s="17" t="n">
        <v>0</v>
      </c>
      <c r="D26" s="18" t="inlineStr">
        <is>
          <t>Missing action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  <c r="C27" s="15" t="n">
        <v>1</v>
      </c>
      <c r="D27" s="16" t="inlineStr">
        <is>
          <t>Correctly represented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>
        <v>0.5</v>
      </c>
      <c r="D28" s="18" t="inlineStr">
        <is>
          <t>Partially represented by correctAmountAdded guard but missing moreIngredientsRequired check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  <c r="C29" s="15" t="n">
        <v>0.5</v>
      </c>
      <c r="D29" s="16" t="inlineStr">
        <is>
          <t>Represented as chopIngredients do-action in Chopping state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  <c r="C30" s="17" t="n">
        <v>1</v>
      </c>
      <c r="D30" s="18" t="inlineStr">
        <is>
          <t>Represented as Chopping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  <c r="C31" s="15" t="n">
        <v>0</v>
      </c>
      <c r="D31" s="16" t="inlineStr">
        <is>
          <t>Missing transition back to AddIngredients from Chopping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>
        <v>0</v>
      </c>
      <c r="D32" s="18" t="inlineStr">
        <is>
          <t>Missing guard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15" t="n">
        <v>0</v>
      </c>
      <c r="D33" s="16" t="inlineStr">
        <is>
          <t>Missing action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  <c r="C34" s="17" t="n">
        <v>1</v>
      </c>
      <c r="D34" s="18" t="inlineStr">
        <is>
          <t>Represented via ChoppingDone intermediate state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>
        <v>0.5</v>
      </c>
      <c r="D35" s="16" t="inlineStr">
        <is>
          <t>Partially represented by choppingCompleted event but missing moreIngredientsRequired check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17" t="n">
        <v>0.5</v>
      </c>
      <c r="D36" s="18" t="inlineStr">
        <is>
          <t>Represented as cookMeal do-action in CookingStep state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15" t="n">
        <v>1</v>
      </c>
      <c r="D37" s="16" t="inlineStr">
        <is>
          <t>Represented as CookingStep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17" t="n">
        <v>1</v>
      </c>
      <c r="D38" s="18" t="inlineStr">
        <is>
          <t>Represented by transition from CookingDone to AddIngredients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>
        <v>0.5</v>
      </c>
      <c r="D39" s="16" t="inlineStr">
        <is>
          <t>Represented as promptAddIngredients event instead of a guard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17" t="n">
        <v>0</v>
      </c>
      <c r="D40" s="18" t="inlineStr">
        <is>
          <t>Missing action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15" t="n">
        <v>1</v>
      </c>
      <c r="D41" s="16" t="inlineStr">
        <is>
          <t>Represented by transition from CookingDone to MealReady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17" t="n">
        <v>0.5</v>
      </c>
      <c r="D42" s="18" t="inlineStr">
        <is>
          <t>Represented as lastStepCompleted event instead of a guard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15" t="n">
        <v>1</v>
      </c>
      <c r="D43" s="16" t="inlineStr">
        <is>
          <t>Represented as MealReady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>
        <v>0</v>
      </c>
      <c r="D44" s="20" t="inlineStr">
        <is>
          <t>Missing transition from MealReady to ShutdownWarning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  <c r="C45" s="21" t="n">
        <v>0</v>
      </c>
      <c r="D45" s="22" t="inlineStr">
        <is>
          <t>Intermediate states are reasonable modeling choices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  <c r="C46" s="23" t="n">
        <v>0</v>
      </c>
      <c r="D46" s="24" t="inlineStr">
        <is>
          <t>Transitions for intermediate states are reasonable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  <c r="C47" s="21" t="n">
        <v>0</v>
      </c>
      <c r="D47" s="22" t="inlineStr">
        <is>
          <t>No fundamentally incorrect guards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  <c r="C48" s="23" t="n">
        <v>0</v>
      </c>
      <c r="D48" s="24" t="inlineStr">
        <is>
          <t>No fundamentally incorrect actions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  <c r="C49" s="21" t="n">
        <v>0</v>
      </c>
      <c r="D49" s="22" t="inlineStr">
        <is>
          <t>Cooking composite state is a reasonable abstraction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  <c r="C50" s="23" t="n">
        <v>0</v>
      </c>
      <c r="D50" s="24" t="inlineStr">
        <is>
          <t>No additional regions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  <c r="C51" s="21" t="n">
        <v>0</v>
      </c>
      <c r="D51" s="22" t="inlineStr">
        <is>
          <t>No additional history states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M22" sqref="M22"/>
    </sheetView>
  </sheetViews>
  <sheetFormatPr baseColWidth="10" defaultColWidth="12.6640625" defaultRowHeight="15" customHeight="1"/>
  <cols>
    <col width="20" customWidth="1" style="65" min="1" max="1"/>
    <col width="17.6640625" customWidth="1" style="65" min="2" max="6"/>
  </cols>
  <sheetData>
    <row r="1" ht="15.75" customHeight="1" s="65">
      <c r="A1" s="66" t="inlineStr">
        <is>
          <t>Generated by Gemini 3.1 Pro</t>
        </is>
      </c>
      <c r="J1" s="27" t="inlineStr">
        <is>
          <t>Date</t>
        </is>
      </c>
    </row>
    <row r="2" ht="15.75" customHeight="1" s="65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5">
      <c r="A3" s="29" t="inlineStr">
        <is>
          <t>Composite State</t>
        </is>
      </c>
      <c r="B3" s="30">
        <f>COUNTIF(Thermonix!$A$2:$A$44, A3)</f>
        <v/>
      </c>
      <c r="C3" s="31">
        <f>SUMIF('Gemini 3.1 Pro Generation'!$A$2:$A$44, $A3, 'Gemini 3.1 Pro Generation'!$C$2:$C$44)</f>
        <v/>
      </c>
      <c r="D3" s="31">
        <f>SUMIF('Gemini 3.1 Pro Generation'!$A$45:$A$51, $A3, 'Gemini 3.1 Pro Generation'!$C$45:$C$51)</f>
        <v/>
      </c>
      <c r="E3" s="31">
        <f>COUNTIFS('Gemini 3.1 Pro Generation'!$A$2:$A$44, $A3, 'Gemini 3.1 Pro Generation'!$C$2:$C$44,0)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5">
      <c r="A4" s="32" t="inlineStr">
        <is>
          <t>State</t>
        </is>
      </c>
      <c r="B4" s="30">
        <f>COUNTIF(Thermonix!$A$2:$A$44, A4)</f>
        <v/>
      </c>
      <c r="C4" s="31">
        <f>SUMIF('Gemini 3.1 Pro Generation'!$A$2:$A$44, $A4, 'Gemini 3.1 Pro Generation'!$C$2:$C$44)</f>
        <v/>
      </c>
      <c r="D4" s="31">
        <f>SUMIF('Gemini 3.1 Pro Generation'!$A$45:$A$51, $A4, 'Gemini 3.1 Pro Generation'!$C$45:$C$51)</f>
        <v/>
      </c>
      <c r="E4" s="31">
        <f>COUNTIFS('Gemini 3.1 Pro Generation'!$A$2:$A$44, $A4, 'Gemini 3.1 Pro Generation'!$C$2:$C$44,0)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Grading LLM</t>
        </is>
      </c>
    </row>
    <row r="5" ht="15.75" customHeight="1" s="65">
      <c r="A5" s="32" t="inlineStr">
        <is>
          <t>Transition</t>
        </is>
      </c>
      <c r="B5" s="30">
        <f>COUNTIF(Thermonix!$A$2:$A$44, A5)</f>
        <v/>
      </c>
      <c r="C5" s="31">
        <f>SUMIF('Gemini 3.1 Pro Generation'!$A$2:$A$44, $A5, 'Gemini 3.1 Pro Generation'!$C$2:$C$44)</f>
        <v/>
      </c>
      <c r="D5" s="31">
        <f>SUMIF('Gemini 3.1 Pro Generation'!$A$45:$A$51, $A5, 'Gemini 3.1 Pro Generation'!$C$45:$C$51)</f>
        <v/>
      </c>
      <c r="E5" s="31">
        <f>COUNTIFS('Gemini 3.1 Pro Generation'!$A$2:$A$44, $A5, 'Gemini 3.1 Pro Generation'!$C$2:$C$44,0)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Gemini 3.1 Pro</t>
        </is>
      </c>
    </row>
    <row r="6" ht="15.75" customHeight="1" s="65">
      <c r="A6" s="32" t="inlineStr">
        <is>
          <t>Action</t>
        </is>
      </c>
      <c r="B6" s="30">
        <f>COUNTIF(Thermonix!$A$2:$A$44, A6)</f>
        <v/>
      </c>
      <c r="C6" s="31">
        <f>SUMIF('Gemini 3.1 Pro Generation'!$A$2:$A$44, $A6, 'Gemini 3.1 Pro Generation'!$C$2:$C$44)</f>
        <v/>
      </c>
      <c r="D6" s="31">
        <f>SUMIF('Gemini 3.1 Pro Generation'!$A$45:$A$51, $A6, 'Gemini 3.1 Pro Generation'!$C$45:$C$51)</f>
        <v/>
      </c>
      <c r="E6" s="31">
        <f>COUNTIFS('Gemini 3.1 Pro Generation'!$A$2:$A$44, $A6, 'Gemini 3.1 Pro Generation'!$C$2:$C$44,0)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5">
      <c r="A7" s="32" t="inlineStr">
        <is>
          <t>Region</t>
        </is>
      </c>
      <c r="B7" s="30">
        <f>COUNTIF(Thermonix!$A$2:$A$44, A7)</f>
        <v/>
      </c>
      <c r="C7" s="31">
        <f>SUMIF('Gemini 3.1 Pro Generation'!$A$2:$A$44, $A7, 'Gemini 3.1 Pro Generation'!$C$2:$C$44)</f>
        <v/>
      </c>
      <c r="D7" s="31">
        <f>SUMIF('Gemini 3.1 Pro Generation'!$A$45:$A$51, $A7, 'Gemini 3.1 Pro Generation'!$C$45:$C$51)</f>
        <v/>
      </c>
      <c r="E7" s="31">
        <f>COUNTIFS('Gemini 3.1 Pro Generation'!$A$2:$A$44, $A7, 'Gemini 3.1 Pro Generation'!$C$2:$C$44,0)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s="70" t="inlineStr">
        <is>
          <t>Generation LLMs</t>
        </is>
      </c>
    </row>
    <row r="8" ht="15.75" customHeight="1" s="65">
      <c r="A8" s="32" t="inlineStr">
        <is>
          <t>History State</t>
        </is>
      </c>
      <c r="B8" s="30">
        <f>COUNTIF(Thermonix!$A$2:$A$44, A8)</f>
        <v/>
      </c>
      <c r="C8" s="31">
        <f>SUMIF('Gemini 3.1 Pro Generation'!$A$2:$A$44, $A8, 'Gemini 3.1 Pro Generation'!$C$2:$C$44)</f>
        <v/>
      </c>
      <c r="D8" s="31">
        <f>SUMIF('Gemini 3.1 Pro Generation'!$A$45:$A$51, $A8, 'Gemini 3.1 Pro Generation'!$C$45:$C$51)</f>
        <v/>
      </c>
      <c r="E8" s="31">
        <f>COUNTIFS('Gemini 3.1 Pro Generation'!$A$2:$A$44, $A8, 'Gemini 3.1 Pro Generation'!$C$2:$C$44,0)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s="69" t="inlineStr">
        <is>
          <t>Gemini 3.1 Pro</t>
        </is>
      </c>
    </row>
    <row r="9" ht="15.75" customHeight="1" s="65">
      <c r="A9" s="32" t="inlineStr">
        <is>
          <t>Guard</t>
        </is>
      </c>
      <c r="B9" s="30">
        <f>COUNTIF(Thermonix!$A$2:$A$44, A9)</f>
        <v/>
      </c>
      <c r="C9" s="31">
        <f>SUMIF('Gemini 3.1 Pro Generation'!$A$2:$A$44, $A9, 'Gemini 3.1 Pro Generation'!$C$2:$C$44)</f>
        <v/>
      </c>
      <c r="D9" s="31">
        <f>SUMIF('Gemini 3.1 Pro Generation'!$A$45:$A$51, $A9, 'Gemini 3.1 Pro Generation'!$C$45:$C$51)</f>
        <v/>
      </c>
      <c r="E9" s="31">
        <f>COUNTIFS('Gemini 3.1 Pro Generation'!$A$2:$A$44, $A9, 'Gemini 3.1 Pro Generation'!$C$2:$C$44,0)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s="69" t="n"/>
    </row>
    <row r="10" ht="15.75" customHeight="1" s="65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5"/>
    <row r="12" ht="15.75" customHeight="1" s="65">
      <c r="A12" s="66" t="n"/>
    </row>
    <row r="13" ht="15.75" customHeight="1" s="65">
      <c r="A13" s="28" t="n"/>
      <c r="B13" s="28" t="n"/>
      <c r="C13" s="28" t="n"/>
      <c r="D13" s="28" t="n"/>
      <c r="E13" s="28" t="n"/>
      <c r="F13" s="28" t="n"/>
      <c r="G13" s="28" t="n"/>
      <c r="H13" s="28" t="n"/>
    </row>
    <row r="14" ht="15.75" customHeight="1" s="65">
      <c r="A14" s="29" t="n"/>
      <c r="B14" s="30" t="n"/>
      <c r="C14" s="31" t="n"/>
      <c r="D14" s="31" t="n"/>
      <c r="E14" s="31" t="n"/>
      <c r="F14" s="31" t="n"/>
      <c r="G14" s="31" t="n"/>
      <c r="H14" s="31" t="n"/>
    </row>
    <row r="15" ht="15.75" customHeight="1" s="65">
      <c r="A15" s="32" t="n"/>
      <c r="B15" s="30" t="n"/>
      <c r="C15" s="31" t="n"/>
      <c r="D15" s="31" t="n"/>
      <c r="E15" s="31" t="n"/>
      <c r="F15" s="31" t="n"/>
      <c r="G15" s="31" t="n"/>
      <c r="H15" s="31" t="n"/>
    </row>
    <row r="16" ht="15.75" customHeight="1" s="65">
      <c r="A16" s="32" t="n"/>
      <c r="B16" s="30" t="n"/>
      <c r="C16" s="31" t="n"/>
      <c r="D16" s="31" t="n"/>
      <c r="E16" s="31" t="n"/>
      <c r="F16" s="31" t="n"/>
      <c r="G16" s="31" t="n"/>
      <c r="H16" s="31" t="n"/>
    </row>
    <row r="17" ht="15.75" customHeight="1" s="65">
      <c r="A17" s="32" t="n"/>
      <c r="B17" s="30" t="n"/>
      <c r="C17" s="31" t="n"/>
      <c r="D17" s="31" t="n"/>
      <c r="E17" s="31" t="n"/>
      <c r="F17" s="31" t="n"/>
      <c r="G17" s="31" t="n"/>
      <c r="H17" s="31" t="n"/>
    </row>
    <row r="18" ht="15.75" customHeight="1" s="65">
      <c r="A18" s="32" t="n"/>
      <c r="B18" s="30" t="n"/>
      <c r="C18" s="31" t="n"/>
      <c r="D18" s="31" t="n"/>
      <c r="E18" s="31" t="n"/>
      <c r="F18" s="31" t="n"/>
      <c r="G18" s="31" t="n"/>
      <c r="H18" s="31" t="n"/>
    </row>
    <row r="19" ht="15.75" customHeight="1" s="65">
      <c r="A19" s="32" t="n"/>
      <c r="B19" s="30" t="n"/>
      <c r="C19" s="31" t="n"/>
      <c r="D19" s="31" t="n"/>
      <c r="E19" s="31" t="n"/>
      <c r="F19" s="31" t="n"/>
      <c r="G19" s="31" t="n"/>
      <c r="H19" s="31" t="n"/>
    </row>
    <row r="20" ht="15.75" customHeight="1" s="65">
      <c r="A20" s="32" t="n"/>
      <c r="B20" s="30" t="n"/>
      <c r="C20" s="31" t="n"/>
      <c r="D20" s="31" t="n"/>
      <c r="E20" s="31" t="n"/>
      <c r="F20" s="31" t="n"/>
      <c r="G20" s="31" t="n"/>
      <c r="H20" s="31" t="n"/>
    </row>
    <row r="21" ht="15.75" customHeight="1" s="65">
      <c r="A21" s="32" t="n"/>
      <c r="B21" s="31" t="n"/>
      <c r="C21" s="31" t="n"/>
      <c r="D21" s="31" t="n"/>
      <c r="E21" s="31" t="n"/>
      <c r="F21" s="31" t="n"/>
      <c r="G21" s="31" t="n"/>
      <c r="H21" s="31" t="n"/>
    </row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2026-05-13T19:11:11Z</dcterms:modified>
  <cp:lastModifiedBy>Marc-Antoine Nadeau</cp:lastModifiedBy>
</cp:coreProperties>
</file>