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GPT-5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state correctly transitions to TransportationMode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present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Transition from TransportationMode to On via selectorPressed is present with deactivation action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Represented by ShutdownMessage state which shows switching off message after 5sec hold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ShutdownMessage transitions to Off on selectorReleased; the holding states return to Operating on early release preserving On context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HoldingFromHome and similar states transition to ShutdownMessage after 5sec which then leads to Off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present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Transition from Off to On via selectorPressed is present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a composite state containing Operating and other substates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1</v>
      </c>
      <c r="D11" s="18" t="inlineStr">
        <is>
          <t>History state H is present in RecipeExecution and used to restore context after early selector release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inlineStr">
        <is>
          <t>Multiple holding states (HoldingFromHome etc) capture selectorHeld from various Operating substates leading to shutdown sequence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MealReady transitions to Home on bowlRemoved which stays within On composite state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  <c r="C14" s="15" t="n">
        <v>1</v>
      </c>
      <c r="D14" s="16" t="inlineStr">
        <is>
          <t>On composite state has initial transition to Operating which has initial transition to Home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 state is present within Operating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Operating transitions to AutoShutdownWarning after 14min30sec when notInUse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RecipeSelected transitions to RecipeExecution on start which begins at AddIngredients (prompt to 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Guard bowlPlaced() is used on start transition; semantically equivalent to checking bowl is present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instructAddIngredients(recipeStep) action captures setting up ingredient prompts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AutoShutdownWarning state represents preparing shutdown with 30sec countdown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AutoShutdownWarning transitions to Off after 30sec with powerOff action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AutoShutdownWarning transitions to Operating on cancel which returns to Home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state represents prompting to add ingredients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1</v>
      </c>
      <c r="D24" s="16" t="inlineStr">
        <is>
          <t>Cooking transitions back to AddIngredients when hasMoreRecipeSteps after cooking done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1</v>
      </c>
      <c r="D25" s="18" t="inlineStr">
        <is>
          <t>correctAmountAdded event and hasMoreRecipeSteps guard capture weight correctness and more ingredients logic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1</v>
      </c>
      <c r="D26" s="18" t="inlineStr">
        <is>
          <t>advanceRecipeStep() action when returning to AddIngredients captures setting next ingredients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IngredientsAmountConfirmed transitions to Chopping on next event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1</v>
      </c>
      <c r="D28" s="18" t="inlineStr">
        <is>
          <t>correctAmountAdded event enables next step; flow proceeds to chopping when amount confirmed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1</v>
      </c>
      <c r="D29" s="16" t="inlineStr">
        <is>
          <t>startChopping(recipeSpeed recipeChopTime) action captures setting chopping parameters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state is present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1</v>
      </c>
      <c r="D31" s="16" t="inlineStr">
        <is>
          <t>Cooking can transition back to AddIngredients when more steps exist after cooking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1</v>
      </c>
      <c r="D32" s="18" t="inlineStr">
        <is>
          <t>choppingDone event and hasMoreRecipeSteps logic capture chopping completion and more ingredients needed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1</v>
      </c>
      <c r="D33" s="16" t="inlineStr">
        <is>
          <t>advanceRecipeStep() when transitioning back to AddIngredients sets next ingredients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ReadyForCooking transitions to Cooking on next event when bowl is placed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1</v>
      </c>
      <c r="D35" s="16" t="inlineStr">
        <is>
          <t>choppingDone leads to ReadyForCooking; next proceeds to Cooking when ready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1</v>
      </c>
      <c r="D36" s="18" t="inlineStr">
        <is>
          <t>startCooking(recipeTemperature recipeCookTime) action captures setting cooking parameters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0.5</v>
      </c>
      <c r="D38" s="18" t="inlineStr">
        <is>
          <t>Cooking transitions to AddIngredients on cookingDone not after choppingTime; timing mechanism differs but loop behavior partially captured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1</v>
      </c>
      <c r="D39" s="16" t="inlineStr">
        <is>
          <t>cookingDone with hasMoreRecipeSteps guard captures completion and more ingredients logic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1</v>
      </c>
      <c r="D40" s="18" t="inlineStr">
        <is>
          <t>advanceRecipeStep() action sets next ingredients when looping back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Cooking transitions to MealReady on cookingDone when isLastRecipeStep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inlineStr">
        <is>
          <t>isLastRecipeStep guard is semantically equivalent to no more ingredients required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state represents meal ready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auto-shutdown timer from MealReady state; only from Operating level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RecipeSelected and intermediate states are reasonable modeling choices that preserve system behavior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Additional transitions for holding states and bowl placement checks are reasonable and preserve correctness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Additional guards like heldLessThan5sec and bowlPlaced are reasonable refinements of system logic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Additional actions like enableNextStep and loadRecipeSteps are reasonable implementation details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Operating and RecipeExecution composite states are reasonable structural choices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 present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History state H is appropriately used for context restoration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GPT-5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SUMIF('GPT-5 Generation'!$A$2:$A$44, $A3, 'GPT-5 Generation'!$C$2:$C$44)</f>
        <v/>
      </c>
      <c r="D3" s="31">
        <f>SUMIF('GPT-5 Generation'!$A$45:$A$51, $A3, 'GPT-5 Generation'!$C$45:$C$51)</f>
        <v/>
      </c>
      <c r="E3" s="31">
        <f>COUNTIFS('GPT-5 Generation'!$A$2:$A$44, $A3, 'GPT-5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SUMIF('GPT-5 Generation'!$A$2:$A$44, $A4, 'GPT-5 Generation'!$C$2:$C$44)</f>
        <v/>
      </c>
      <c r="D4" s="31">
        <f>SUMIF('GPT-5 Generation'!$A$45:$A$51, $A4, 'GPT-5 Generation'!$C$45:$C$51)</f>
        <v/>
      </c>
      <c r="E4" s="31">
        <f>COUNTIFS('GPT-5 Generation'!$A$2:$A$44, $A4, 'GPT-5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SUMIF('GPT-5 Generation'!$A$2:$A$44, $A5, 'GPT-5 Generation'!$C$2:$C$44)</f>
        <v/>
      </c>
      <c r="D5" s="31">
        <f>SUMIF('GPT-5 Generation'!$A$45:$A$51, $A5, 'GPT-5 Generation'!$C$45:$C$51)</f>
        <v/>
      </c>
      <c r="E5" s="31">
        <f>COUNTIFS('GPT-5 Generation'!$A$2:$A$44, $A5, 'GPT-5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Gemini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SUMIF('GPT-5 Generation'!$A$2:$A$44, $A6, 'GPT-5 Generation'!$C$2:$C$44)</f>
        <v/>
      </c>
      <c r="D6" s="31">
        <f>SUMIF('GPT-5 Generation'!$A$45:$A$51, $A6, 'GPT-5 Generation'!$C$45:$C$51)</f>
        <v/>
      </c>
      <c r="E6" s="31">
        <f>COUNTIFS('GPT-5 Generation'!$A$2:$A$44, $A6, 'GPT-5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SUMIF('GPT-5 Generation'!$A$2:$A$44, $A7, 'GPT-5 Generation'!$C$2:$C$44)</f>
        <v/>
      </c>
      <c r="D7" s="31">
        <f>SUMIF('GPT-5 Generation'!$A$45:$A$51, $A7, 'GPT-5 Generation'!$C$45:$C$51)</f>
        <v/>
      </c>
      <c r="E7" s="31">
        <f>COUNTIFS('GPT-5 Generation'!$A$2:$A$44, $A7, 'GPT-5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SUMIF('GPT-5 Generation'!$A$2:$A$44, $A8, 'GPT-5 Generation'!$C$2:$C$44)</f>
        <v/>
      </c>
      <c r="D8" s="31">
        <f>SUMIF('GPT-5 Generation'!$A$45:$A$51, $A8, 'GPT-5 Generation'!$C$45:$C$51)</f>
        <v/>
      </c>
      <c r="E8" s="31">
        <f>COUNTIFS('GPT-5 Generation'!$A$2:$A$44, $A8, 'GPT-5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GPT-5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SUMIF('GPT-5 Generation'!$A$2:$A$44, $A9, 'GPT-5 Generation'!$C$2:$C$44)</f>
        <v/>
      </c>
      <c r="D9" s="31">
        <f>SUMIF('GPT-5 Generation'!$A$45:$A$51, $A9, 'GPT-5 Generation'!$C$45:$C$51)</f>
        <v/>
      </c>
      <c r="E9" s="31">
        <f>COUNTIFS('GPT-5 Generation'!$A$2:$A$44, $A9, 'GPT-5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n"/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n"/>
    </row>
    <row r="13" ht="15.75" customHeight="1" s="65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 ht="15.75" customHeight="1" s="65">
      <c r="A14" s="29" t="n"/>
      <c r="B14" s="30" t="n"/>
      <c r="C14" s="31" t="n"/>
      <c r="D14" s="31" t="n"/>
      <c r="E14" s="31" t="n"/>
      <c r="F14" s="31" t="n"/>
      <c r="G14" s="31" t="n"/>
      <c r="H14" s="31" t="n"/>
    </row>
    <row r="15" ht="15.75" customHeight="1" s="65">
      <c r="A15" s="32" t="n"/>
      <c r="B15" s="30" t="n"/>
      <c r="C15" s="31" t="n"/>
      <c r="D15" s="31" t="n"/>
      <c r="E15" s="31" t="n"/>
      <c r="F15" s="31" t="n"/>
      <c r="G15" s="31" t="n"/>
      <c r="H15" s="31" t="n"/>
    </row>
    <row r="16" ht="15.75" customHeight="1" s="65">
      <c r="A16" s="32" t="n"/>
      <c r="B16" s="30" t="n"/>
      <c r="C16" s="31" t="n"/>
      <c r="D16" s="31" t="n"/>
      <c r="E16" s="31" t="n"/>
      <c r="F16" s="31" t="n"/>
      <c r="G16" s="31" t="n"/>
      <c r="H16" s="31" t="n"/>
    </row>
    <row r="17" ht="15.75" customHeight="1" s="65">
      <c r="A17" s="32" t="n"/>
      <c r="B17" s="30" t="n"/>
      <c r="C17" s="31" t="n"/>
      <c r="D17" s="31" t="n"/>
      <c r="E17" s="31" t="n"/>
      <c r="F17" s="31" t="n"/>
      <c r="G17" s="31" t="n"/>
      <c r="H17" s="31" t="n"/>
    </row>
    <row r="18" ht="15.75" customHeight="1" s="65">
      <c r="A18" s="32" t="n"/>
      <c r="B18" s="30" t="n"/>
      <c r="C18" s="31" t="n"/>
      <c r="D18" s="31" t="n"/>
      <c r="E18" s="31" t="n"/>
      <c r="F18" s="31" t="n"/>
      <c r="G18" s="31" t="n"/>
      <c r="H18" s="31" t="n"/>
    </row>
    <row r="19" ht="15.75" customHeight="1" s="65">
      <c r="A19" s="32" t="n"/>
      <c r="B19" s="30" t="n"/>
      <c r="C19" s="31" t="n"/>
      <c r="D19" s="31" t="n"/>
      <c r="E19" s="31" t="n"/>
      <c r="F19" s="31" t="n"/>
      <c r="G19" s="31" t="n"/>
      <c r="H19" s="31" t="n"/>
    </row>
    <row r="20" ht="15.75" customHeight="1" s="65">
      <c r="A20" s="32" t="n"/>
      <c r="B20" s="30" t="n"/>
      <c r="C20" s="31" t="n"/>
      <c r="D20" s="31" t="n"/>
      <c r="E20" s="31" t="n"/>
      <c r="F20" s="31" t="n"/>
      <c r="G20" s="31" t="n"/>
      <c r="H20" s="31" t="n"/>
    </row>
    <row r="21" ht="15.75" customHeight="1" s="65">
      <c r="A21" s="32" t="n"/>
      <c r="B21" s="31" t="n"/>
      <c r="C21" s="31" t="n"/>
      <c r="D21" s="31" t="n"/>
      <c r="E21" s="31" t="n"/>
      <c r="F21" s="31" t="n"/>
      <c r="G21" s="31" t="n"/>
      <c r="H21" s="31" t="n"/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