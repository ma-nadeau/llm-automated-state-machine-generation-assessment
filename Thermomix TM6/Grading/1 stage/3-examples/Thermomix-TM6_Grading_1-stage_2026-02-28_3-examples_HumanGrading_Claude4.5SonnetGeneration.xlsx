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Thermomix TM6/Grading/1 stage/3-examples/"/>
    </mc:Choice>
  </mc:AlternateContent>
  <xr:revisionPtr revIDLastSave="0" documentId="13_ncr:1_{832F978F-AC50-7942-B719-C9FA8F28A73D}" xr6:coauthVersionLast="47" xr6:coauthVersionMax="47" xr10:uidLastSave="{00000000-0000-0000-0000-000000000000}"/>
  <bookViews>
    <workbookView xWindow="0" yWindow="660" windowWidth="30240" windowHeight="17300" activeTab="4" xr2:uid="{00000000-000D-0000-FFFF-FFFF00000000}"/>
  </bookViews>
  <sheets>
    <sheet name="Thermonix" sheetId="1" r:id="rId1"/>
    <sheet name="Thermonix Grader #1" sheetId="2" r:id="rId2"/>
    <sheet name="Thermonix Grader #2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GJDWF6cYwmFsLssz9hQphshmSOntE9NWIHgqbgxurEc="/>
    </ext>
  </extLst>
</workbook>
</file>

<file path=xl/calcChain.xml><?xml version="1.0" encoding="utf-8"?>
<calcChain xmlns="http://schemas.openxmlformats.org/spreadsheetml/2006/main">
  <c r="A3" i="5" l="1"/>
  <c r="B3" i="5"/>
  <c r="C3" i="5"/>
  <c r="D3" i="5"/>
  <c r="A4" i="5"/>
  <c r="B4" i="5"/>
  <c r="C4" i="5"/>
  <c r="D4" i="5"/>
  <c r="A5" i="5"/>
  <c r="B5" i="5"/>
  <c r="C5" i="5"/>
  <c r="D5" i="5"/>
  <c r="A6" i="5"/>
  <c r="B6" i="5"/>
  <c r="C6" i="5"/>
  <c r="D6" i="5"/>
  <c r="A7" i="5"/>
  <c r="B7" i="5"/>
  <c r="C7" i="5"/>
  <c r="D7" i="5"/>
  <c r="A8" i="5"/>
  <c r="B8" i="5"/>
  <c r="C8" i="5"/>
  <c r="D8" i="5"/>
  <c r="A9" i="5"/>
  <c r="B9" i="5"/>
  <c r="C9" i="5"/>
  <c r="D9" i="5"/>
  <c r="A10" i="5"/>
  <c r="B10" i="5"/>
  <c r="C10" i="5"/>
  <c r="D10" i="5"/>
  <c r="A11" i="5"/>
  <c r="B11" i="5"/>
  <c r="C11" i="5"/>
  <c r="D11" i="5"/>
  <c r="A12" i="5"/>
  <c r="B12" i="5"/>
  <c r="C12" i="5"/>
  <c r="D12" i="5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B17" i="5"/>
  <c r="C17" i="5"/>
  <c r="D17" i="5"/>
  <c r="A18" i="5"/>
  <c r="B18" i="5"/>
  <c r="C18" i="5"/>
  <c r="D18" i="5"/>
  <c r="A19" i="5"/>
  <c r="B19" i="5"/>
  <c r="C19" i="5"/>
  <c r="D19" i="5"/>
  <c r="A20" i="5"/>
  <c r="B20" i="5"/>
  <c r="C20" i="5"/>
  <c r="D20" i="5"/>
  <c r="A21" i="5"/>
  <c r="B21" i="5"/>
  <c r="C21" i="5"/>
  <c r="D21" i="5"/>
  <c r="A22" i="5"/>
  <c r="B22" i="5"/>
  <c r="C22" i="5"/>
  <c r="D22" i="5"/>
  <c r="A23" i="5"/>
  <c r="B23" i="5"/>
  <c r="C23" i="5"/>
  <c r="D23" i="5"/>
  <c r="A24" i="5"/>
  <c r="B24" i="5"/>
  <c r="C24" i="5"/>
  <c r="D24" i="5"/>
  <c r="A25" i="5"/>
  <c r="B25" i="5"/>
  <c r="C25" i="5"/>
  <c r="D25" i="5"/>
  <c r="A26" i="5"/>
  <c r="B26" i="5"/>
  <c r="C26" i="5"/>
  <c r="D26" i="5"/>
  <c r="A27" i="5"/>
  <c r="B27" i="5"/>
  <c r="C27" i="5"/>
  <c r="D27" i="5"/>
  <c r="A28" i="5"/>
  <c r="B28" i="5"/>
  <c r="C28" i="5"/>
  <c r="D28" i="5"/>
  <c r="A29" i="5"/>
  <c r="B29" i="5"/>
  <c r="C29" i="5"/>
  <c r="D29" i="5"/>
  <c r="A30" i="5"/>
  <c r="B30" i="5"/>
  <c r="C30" i="5"/>
  <c r="D30" i="5"/>
  <c r="A31" i="5"/>
  <c r="B31" i="5"/>
  <c r="C31" i="5"/>
  <c r="D31" i="5"/>
  <c r="A32" i="5"/>
  <c r="B32" i="5"/>
  <c r="C32" i="5"/>
  <c r="D32" i="5"/>
  <c r="A33" i="5"/>
  <c r="B33" i="5"/>
  <c r="C33" i="5"/>
  <c r="D33" i="5"/>
  <c r="A34" i="5"/>
  <c r="B34" i="5"/>
  <c r="C34" i="5"/>
  <c r="D34" i="5"/>
  <c r="A35" i="5"/>
  <c r="B35" i="5"/>
  <c r="C35" i="5"/>
  <c r="D35" i="5"/>
  <c r="A36" i="5"/>
  <c r="B36" i="5"/>
  <c r="C36" i="5"/>
  <c r="D36" i="5"/>
  <c r="A37" i="5"/>
  <c r="B37" i="5"/>
  <c r="C37" i="5"/>
  <c r="D37" i="5"/>
  <c r="A38" i="5"/>
  <c r="B38" i="5"/>
  <c r="C38" i="5"/>
  <c r="D38" i="5"/>
  <c r="A39" i="5"/>
  <c r="B39" i="5"/>
  <c r="C39" i="5"/>
  <c r="D39" i="5"/>
  <c r="A40" i="5"/>
  <c r="B40" i="5"/>
  <c r="C40" i="5"/>
  <c r="D40" i="5"/>
  <c r="A41" i="5"/>
  <c r="B41" i="5"/>
  <c r="C41" i="5"/>
  <c r="D41" i="5"/>
  <c r="A42" i="5"/>
  <c r="B42" i="5"/>
  <c r="C42" i="5"/>
  <c r="D42" i="5"/>
  <c r="A43" i="5"/>
  <c r="B43" i="5"/>
  <c r="C43" i="5"/>
  <c r="D43" i="5"/>
  <c r="A44" i="5"/>
  <c r="B44" i="5"/>
  <c r="C44" i="5"/>
  <c r="D44" i="5"/>
  <c r="A45" i="5"/>
  <c r="B45" i="5"/>
  <c r="C45" i="5"/>
  <c r="D45" i="5"/>
  <c r="A46" i="5"/>
  <c r="B46" i="5"/>
  <c r="C46" i="5"/>
  <c r="D46" i="5"/>
  <c r="A47" i="5"/>
  <c r="B47" i="5"/>
  <c r="C47" i="5"/>
  <c r="D47" i="5"/>
  <c r="A48" i="5"/>
  <c r="B48" i="5"/>
  <c r="C48" i="5"/>
  <c r="D48" i="5"/>
  <c r="A49" i="5"/>
  <c r="B49" i="5"/>
  <c r="C49" i="5"/>
  <c r="D49" i="5"/>
  <c r="A50" i="5"/>
  <c r="B50" i="5"/>
  <c r="C50" i="5"/>
  <c r="D50" i="5"/>
  <c r="A51" i="5"/>
  <c r="B51" i="5"/>
  <c r="C51" i="5"/>
  <c r="D51" i="5"/>
  <c r="A3" i="6"/>
  <c r="B3" i="6"/>
  <c r="C3" i="6"/>
  <c r="D3" i="6"/>
  <c r="A4" i="6"/>
  <c r="B4" i="6"/>
  <c r="C4" i="6"/>
  <c r="D4" i="6"/>
  <c r="A5" i="6"/>
  <c r="B5" i="6"/>
  <c r="C5" i="6"/>
  <c r="D5" i="6"/>
  <c r="A6" i="6"/>
  <c r="B6" i="6"/>
  <c r="C6" i="6"/>
  <c r="D6" i="6"/>
  <c r="A7" i="6"/>
  <c r="B7" i="6"/>
  <c r="C7" i="6"/>
  <c r="D7" i="6"/>
  <c r="A8" i="6"/>
  <c r="B8" i="6"/>
  <c r="C8" i="6"/>
  <c r="D8" i="6"/>
  <c r="A9" i="6"/>
  <c r="B9" i="6"/>
  <c r="C9" i="6"/>
  <c r="D9" i="6"/>
  <c r="A10" i="6"/>
  <c r="B10" i="6"/>
  <c r="C10" i="6"/>
  <c r="D10" i="6"/>
  <c r="A11" i="6"/>
  <c r="B11" i="6"/>
  <c r="C11" i="6"/>
  <c r="D11" i="6"/>
  <c r="A12" i="6"/>
  <c r="B12" i="6"/>
  <c r="C12" i="6"/>
  <c r="D12" i="6"/>
  <c r="A13" i="6"/>
  <c r="B13" i="6"/>
  <c r="C13" i="6"/>
  <c r="D13" i="6"/>
  <c r="A14" i="6"/>
  <c r="B14" i="6"/>
  <c r="C14" i="6"/>
  <c r="D14" i="6"/>
  <c r="A15" i="6"/>
  <c r="B15" i="6"/>
  <c r="C15" i="6"/>
  <c r="D15" i="6"/>
  <c r="A16" i="6"/>
  <c r="B16" i="6"/>
  <c r="C16" i="6"/>
  <c r="D16" i="6"/>
  <c r="A17" i="6"/>
  <c r="B17" i="6"/>
  <c r="C17" i="6"/>
  <c r="D17" i="6"/>
  <c r="A18" i="6"/>
  <c r="B18" i="6"/>
  <c r="C18" i="6"/>
  <c r="D18" i="6"/>
  <c r="A19" i="6"/>
  <c r="B19" i="6"/>
  <c r="C19" i="6"/>
  <c r="D19" i="6"/>
  <c r="A20" i="6"/>
  <c r="B20" i="6"/>
  <c r="C20" i="6"/>
  <c r="D20" i="6"/>
  <c r="A21" i="6"/>
  <c r="B21" i="6"/>
  <c r="C21" i="6"/>
  <c r="D21" i="6"/>
  <c r="A22" i="6"/>
  <c r="B22" i="6"/>
  <c r="C22" i="6"/>
  <c r="D22" i="6"/>
  <c r="A23" i="6"/>
  <c r="B23" i="6"/>
  <c r="C23" i="6"/>
  <c r="D23" i="6"/>
  <c r="A24" i="6"/>
  <c r="B24" i="6"/>
  <c r="C24" i="6"/>
  <c r="D24" i="6"/>
  <c r="A25" i="6"/>
  <c r="B25" i="6"/>
  <c r="C25" i="6"/>
  <c r="D25" i="6"/>
  <c r="A26" i="6"/>
  <c r="B26" i="6"/>
  <c r="C26" i="6"/>
  <c r="D26" i="6"/>
  <c r="A27" i="6"/>
  <c r="B27" i="6"/>
  <c r="C27" i="6"/>
  <c r="D27" i="6"/>
  <c r="A28" i="6"/>
  <c r="B28" i="6"/>
  <c r="C28" i="6"/>
  <c r="D28" i="6"/>
  <c r="A29" i="6"/>
  <c r="B29" i="6"/>
  <c r="C29" i="6"/>
  <c r="D29" i="6"/>
  <c r="A30" i="6"/>
  <c r="B30" i="6"/>
  <c r="C30" i="6"/>
  <c r="D30" i="6"/>
  <c r="A31" i="6"/>
  <c r="B31" i="6"/>
  <c r="C31" i="6"/>
  <c r="D31" i="6"/>
  <c r="A32" i="6"/>
  <c r="B32" i="6"/>
  <c r="C32" i="6"/>
  <c r="D32" i="6"/>
  <c r="A33" i="6"/>
  <c r="B33" i="6"/>
  <c r="C33" i="6"/>
  <c r="D33" i="6"/>
  <c r="A34" i="6"/>
  <c r="B34" i="6"/>
  <c r="C34" i="6"/>
  <c r="D34" i="6"/>
  <c r="A35" i="6"/>
  <c r="B35" i="6"/>
  <c r="C35" i="6"/>
  <c r="D35" i="6"/>
  <c r="A36" i="6"/>
  <c r="B36" i="6"/>
  <c r="C36" i="6"/>
  <c r="D36" i="6"/>
  <c r="A37" i="6"/>
  <c r="B37" i="6"/>
  <c r="C37" i="6"/>
  <c r="D37" i="6"/>
  <c r="A38" i="6"/>
  <c r="B38" i="6"/>
  <c r="C38" i="6"/>
  <c r="D38" i="6"/>
  <c r="A39" i="6"/>
  <c r="B39" i="6"/>
  <c r="C39" i="6"/>
  <c r="D39" i="6"/>
  <c r="A40" i="6"/>
  <c r="B40" i="6"/>
  <c r="C40" i="6"/>
  <c r="D40" i="6"/>
  <c r="A41" i="6"/>
  <c r="B41" i="6"/>
  <c r="C41" i="6"/>
  <c r="D41" i="6"/>
  <c r="A42" i="6"/>
  <c r="B42" i="6"/>
  <c r="C42" i="6"/>
  <c r="D42" i="6"/>
  <c r="A43" i="6"/>
  <c r="B43" i="6"/>
  <c r="C43" i="6"/>
  <c r="D43" i="6"/>
  <c r="A44" i="6"/>
  <c r="B44" i="6"/>
  <c r="C44" i="6"/>
  <c r="D44" i="6"/>
  <c r="A45" i="6"/>
  <c r="B45" i="6"/>
  <c r="C45" i="6"/>
  <c r="D45" i="6"/>
  <c r="A46" i="6"/>
  <c r="B46" i="6"/>
  <c r="C46" i="6"/>
  <c r="D46" i="6"/>
  <c r="A47" i="6"/>
  <c r="B47" i="6"/>
  <c r="C47" i="6"/>
  <c r="D47" i="6"/>
  <c r="A48" i="6"/>
  <c r="B48" i="6"/>
  <c r="C48" i="6"/>
  <c r="D48" i="6"/>
  <c r="A49" i="6"/>
  <c r="B49" i="6"/>
  <c r="C49" i="6"/>
  <c r="D49" i="6"/>
  <c r="A50" i="6"/>
  <c r="B50" i="6"/>
  <c r="C50" i="6"/>
  <c r="D50" i="6"/>
  <c r="A51" i="6"/>
  <c r="B51" i="6"/>
  <c r="C51" i="6"/>
  <c r="D51" i="6"/>
  <c r="O54" i="6"/>
  <c r="N54" i="6"/>
  <c r="M54" i="6"/>
  <c r="O53" i="6"/>
  <c r="N53" i="6"/>
  <c r="M53" i="6"/>
  <c r="O52" i="6"/>
  <c r="N52" i="6"/>
  <c r="M52" i="6"/>
  <c r="V51" i="6"/>
  <c r="O47" i="6"/>
  <c r="N47" i="6"/>
  <c r="M47" i="6"/>
  <c r="G47" i="6"/>
  <c r="O46" i="6"/>
  <c r="N46" i="6"/>
  <c r="M46" i="6"/>
  <c r="O45" i="6"/>
  <c r="N45" i="6"/>
  <c r="M45" i="6"/>
  <c r="V44" i="6"/>
  <c r="O40" i="6"/>
  <c r="N40" i="6"/>
  <c r="M40" i="6"/>
  <c r="O39" i="6"/>
  <c r="N39" i="6"/>
  <c r="M39" i="6"/>
  <c r="O38" i="6"/>
  <c r="N38" i="6"/>
  <c r="M38" i="6"/>
  <c r="V37" i="6"/>
  <c r="O33" i="6"/>
  <c r="N33" i="6"/>
  <c r="M33" i="6"/>
  <c r="O32" i="6"/>
  <c r="N32" i="6"/>
  <c r="M32" i="6"/>
  <c r="O31" i="6"/>
  <c r="N31" i="6"/>
  <c r="M31" i="6"/>
  <c r="V30" i="6"/>
  <c r="O26" i="6"/>
  <c r="N26" i="6"/>
  <c r="M26" i="6"/>
  <c r="O25" i="6"/>
  <c r="N25" i="6"/>
  <c r="M25" i="6"/>
  <c r="O24" i="6"/>
  <c r="N24" i="6"/>
  <c r="M24" i="6"/>
  <c r="V23" i="6"/>
  <c r="O19" i="6"/>
  <c r="N19" i="6"/>
  <c r="M19" i="6"/>
  <c r="O18" i="6"/>
  <c r="N18" i="6"/>
  <c r="M18" i="6"/>
  <c r="O17" i="6"/>
  <c r="N17" i="6"/>
  <c r="M17" i="6"/>
  <c r="V16" i="6"/>
  <c r="O12" i="6"/>
  <c r="N12" i="6"/>
  <c r="M12" i="6"/>
  <c r="O11" i="6"/>
  <c r="N11" i="6"/>
  <c r="M11" i="6"/>
  <c r="O10" i="6"/>
  <c r="N10" i="6"/>
  <c r="M10" i="6"/>
  <c r="V9" i="6"/>
  <c r="O5" i="6"/>
  <c r="N5" i="6"/>
  <c r="M5" i="6"/>
  <c r="O4" i="6"/>
  <c r="N4" i="6"/>
  <c r="M4" i="6"/>
  <c r="O3" i="6"/>
  <c r="N3" i="6"/>
  <c r="M3" i="6"/>
  <c r="V2" i="6"/>
  <c r="D2" i="6"/>
  <c r="C2" i="6"/>
  <c r="B2" i="6"/>
  <c r="A2" i="6"/>
  <c r="I25" i="6" s="1"/>
  <c r="I52" i="5"/>
  <c r="G33" i="5"/>
  <c r="D2" i="5"/>
  <c r="C2" i="5"/>
  <c r="B2" i="5"/>
  <c r="A2" i="5"/>
  <c r="E20" i="4"/>
  <c r="E21" i="4" s="1"/>
  <c r="D20" i="4"/>
  <c r="D21" i="4" s="1"/>
  <c r="C20" i="4"/>
  <c r="B20" i="4"/>
  <c r="B21" i="4" s="1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0" i="4" s="1"/>
  <c r="D3" i="4"/>
  <c r="D10" i="4" s="1"/>
  <c r="C3" i="4"/>
  <c r="B3" i="4"/>
  <c r="B10" i="4" s="1"/>
  <c r="G40" i="5" l="1"/>
  <c r="G54" i="5"/>
  <c r="I38" i="5"/>
  <c r="I11" i="5"/>
  <c r="I24" i="5"/>
  <c r="I31" i="5"/>
  <c r="G26" i="5"/>
  <c r="G25" i="6"/>
  <c r="G40" i="6"/>
  <c r="H25" i="6"/>
  <c r="I45" i="6"/>
  <c r="I24" i="6"/>
  <c r="G54" i="6"/>
  <c r="G19" i="6"/>
  <c r="I17" i="6"/>
  <c r="I52" i="6"/>
  <c r="I38" i="6"/>
  <c r="I3" i="6"/>
  <c r="I10" i="6"/>
  <c r="I12" i="6"/>
  <c r="G5" i="6"/>
  <c r="G12" i="6"/>
  <c r="I31" i="6"/>
  <c r="H26" i="6"/>
  <c r="H46" i="6"/>
  <c r="H31" i="6"/>
  <c r="G26" i="6"/>
  <c r="I46" i="6"/>
  <c r="I26" i="6"/>
  <c r="G31" i="6"/>
  <c r="G46" i="6"/>
  <c r="G38" i="6"/>
  <c r="G32" i="6"/>
  <c r="I32" i="6"/>
  <c r="H33" i="6"/>
  <c r="G33" i="6"/>
  <c r="J33" i="6" s="1"/>
  <c r="H32" i="6"/>
  <c r="H18" i="6"/>
  <c r="G18" i="6"/>
  <c r="H17" i="6"/>
  <c r="G17" i="6"/>
  <c r="I18" i="6"/>
  <c r="G4" i="6"/>
  <c r="J4" i="6" s="1"/>
  <c r="H4" i="6"/>
  <c r="H3" i="6"/>
  <c r="H6" i="6" s="1"/>
  <c r="I5" i="6"/>
  <c r="G3" i="6"/>
  <c r="I4" i="6"/>
  <c r="H5" i="6"/>
  <c r="G24" i="6"/>
  <c r="H54" i="6"/>
  <c r="H39" i="6"/>
  <c r="I39" i="6"/>
  <c r="H40" i="6"/>
  <c r="I40" i="6"/>
  <c r="G45" i="6"/>
  <c r="H45" i="6"/>
  <c r="H47" i="6"/>
  <c r="H12" i="6"/>
  <c r="I47" i="6"/>
  <c r="I11" i="6"/>
  <c r="I13" i="6" s="1"/>
  <c r="H11" i="6"/>
  <c r="G11" i="6"/>
  <c r="G52" i="6"/>
  <c r="H10" i="6"/>
  <c r="G10" i="6"/>
  <c r="H38" i="6"/>
  <c r="I33" i="6"/>
  <c r="H52" i="6"/>
  <c r="H19" i="6"/>
  <c r="G53" i="6"/>
  <c r="H53" i="6"/>
  <c r="H24" i="6"/>
  <c r="H27" i="6" s="1"/>
  <c r="I19" i="6"/>
  <c r="I53" i="6"/>
  <c r="I54" i="6"/>
  <c r="G39" i="6"/>
  <c r="J39" i="6" s="1"/>
  <c r="I3" i="5"/>
  <c r="I10" i="5"/>
  <c r="G5" i="5"/>
  <c r="G12" i="5"/>
  <c r="I12" i="5"/>
  <c r="G17" i="5"/>
  <c r="I45" i="5"/>
  <c r="H45" i="5"/>
  <c r="G45" i="5"/>
  <c r="I18" i="5"/>
  <c r="H17" i="5"/>
  <c r="I17" i="5"/>
  <c r="G18" i="5"/>
  <c r="J18" i="5" s="1"/>
  <c r="G3" i="5"/>
  <c r="H3" i="5"/>
  <c r="G4" i="5"/>
  <c r="H4" i="5"/>
  <c r="I4" i="5"/>
  <c r="H5" i="5"/>
  <c r="I5" i="5"/>
  <c r="G11" i="5"/>
  <c r="J11" i="5" s="1"/>
  <c r="G46" i="5"/>
  <c r="H32" i="5"/>
  <c r="H31" i="5"/>
  <c r="G31" i="5"/>
  <c r="I25" i="5"/>
  <c r="G25" i="5"/>
  <c r="H53" i="5"/>
  <c r="H24" i="5"/>
  <c r="I19" i="5"/>
  <c r="G19" i="5"/>
  <c r="H18" i="5"/>
  <c r="I32" i="5"/>
  <c r="H33" i="5"/>
  <c r="I33" i="5"/>
  <c r="I53" i="5"/>
  <c r="I26" i="5"/>
  <c r="H26" i="5"/>
  <c r="H54" i="5"/>
  <c r="H25" i="5"/>
  <c r="G24" i="5"/>
  <c r="H19" i="5"/>
  <c r="G38" i="5"/>
  <c r="H38" i="5"/>
  <c r="H12" i="5"/>
  <c r="G53" i="5"/>
  <c r="G39" i="5"/>
  <c r="H11" i="5"/>
  <c r="H39" i="5"/>
  <c r="G52" i="5"/>
  <c r="H10" i="5"/>
  <c r="H13" i="5" s="1"/>
  <c r="G10" i="5"/>
  <c r="I47" i="5"/>
  <c r="H40" i="5"/>
  <c r="I40" i="5"/>
  <c r="H46" i="5"/>
  <c r="H47" i="5"/>
  <c r="H52" i="5"/>
  <c r="I54" i="5"/>
  <c r="G47" i="5"/>
  <c r="I46" i="5"/>
  <c r="I39" i="5"/>
  <c r="I41" i="5" s="1"/>
  <c r="G32" i="5"/>
  <c r="C21" i="4"/>
  <c r="G20" i="4"/>
  <c r="F20" i="4"/>
  <c r="H20" i="4" s="1"/>
  <c r="G19" i="4"/>
  <c r="F19" i="4"/>
  <c r="H19" i="4" s="1"/>
  <c r="G18" i="4"/>
  <c r="F18" i="4"/>
  <c r="H18" i="4" s="1"/>
  <c r="G17" i="4"/>
  <c r="F17" i="4"/>
  <c r="H17" i="4" s="1"/>
  <c r="G16" i="4"/>
  <c r="F16" i="4"/>
  <c r="H16" i="4" s="1"/>
  <c r="G15" i="4"/>
  <c r="F15" i="4"/>
  <c r="H15" i="4" s="1"/>
  <c r="G14" i="4"/>
  <c r="F14" i="4"/>
  <c r="G9" i="4"/>
  <c r="F9" i="4"/>
  <c r="H9" i="4" s="1"/>
  <c r="F8" i="4"/>
  <c r="G8" i="4"/>
  <c r="F7" i="4"/>
  <c r="G7" i="4"/>
  <c r="F6" i="4"/>
  <c r="G6" i="4"/>
  <c r="G5" i="4"/>
  <c r="F5" i="4"/>
  <c r="H5" i="4" s="1"/>
  <c r="G4" i="4"/>
  <c r="F4" i="4"/>
  <c r="H4" i="4" s="1"/>
  <c r="G3" i="4"/>
  <c r="F3" i="4"/>
  <c r="H3" i="4" s="1"/>
  <c r="C10" i="4"/>
  <c r="I20" i="5" l="1"/>
  <c r="J26" i="5"/>
  <c r="H20" i="5"/>
  <c r="I27" i="5"/>
  <c r="J47" i="5"/>
  <c r="H27" i="5"/>
  <c r="J25" i="5"/>
  <c r="H34" i="5"/>
  <c r="I20" i="6"/>
  <c r="J46" i="6"/>
  <c r="H20" i="6"/>
  <c r="I27" i="6"/>
  <c r="J25" i="6"/>
  <c r="J31" i="6"/>
  <c r="G34" i="6"/>
  <c r="J34" i="6"/>
  <c r="W31" i="6" s="1"/>
  <c r="J38" i="6"/>
  <c r="G41" i="6"/>
  <c r="R39" i="6" s="1"/>
  <c r="J41" i="6"/>
  <c r="W38" i="6" s="1"/>
  <c r="J17" i="6"/>
  <c r="G20" i="6"/>
  <c r="J20" i="6"/>
  <c r="W17" i="6" s="1"/>
  <c r="J3" i="6"/>
  <c r="G6" i="6"/>
  <c r="J6" i="6"/>
  <c r="W3" i="6" s="1"/>
  <c r="W10" i="6"/>
  <c r="J24" i="6"/>
  <c r="G27" i="6"/>
  <c r="J27" i="6"/>
  <c r="W24" i="6"/>
  <c r="J45" i="6"/>
  <c r="G48" i="6"/>
  <c r="J48" i="6"/>
  <c r="W45" i="6" s="1"/>
  <c r="J11" i="6"/>
  <c r="G13" i="6"/>
  <c r="J13" i="6"/>
  <c r="J52" i="6"/>
  <c r="G55" i="6"/>
  <c r="J55" i="6"/>
  <c r="W52" i="6" s="1"/>
  <c r="J17" i="5"/>
  <c r="M17" i="5"/>
  <c r="G20" i="5"/>
  <c r="J45" i="5"/>
  <c r="M45" i="5"/>
  <c r="G48" i="5"/>
  <c r="J3" i="5"/>
  <c r="M3" i="5"/>
  <c r="G6" i="5"/>
  <c r="J31" i="5"/>
  <c r="M31" i="5"/>
  <c r="G34" i="5"/>
  <c r="G27" i="5"/>
  <c r="J24" i="5"/>
  <c r="M24" i="5"/>
  <c r="J38" i="5"/>
  <c r="M38" i="5"/>
  <c r="G41" i="5"/>
  <c r="J52" i="5"/>
  <c r="M52" i="5"/>
  <c r="G55" i="5"/>
  <c r="J10" i="5"/>
  <c r="M10" i="5"/>
  <c r="G13" i="5"/>
  <c r="F21" i="4"/>
  <c r="G21" i="4"/>
  <c r="F10" i="4"/>
  <c r="H10" i="4" s="1"/>
  <c r="G10" i="4"/>
  <c r="H34" i="6"/>
  <c r="J18" i="6"/>
  <c r="J54" i="6"/>
  <c r="I41" i="6"/>
  <c r="T39" i="6" s="1"/>
  <c r="J40" i="6"/>
  <c r="H48" i="6"/>
  <c r="J47" i="6"/>
  <c r="J46" i="5"/>
  <c r="H13" i="6"/>
  <c r="J10" i="6"/>
  <c r="H41" i="6"/>
  <c r="S39" i="6" s="1"/>
  <c r="H55" i="6"/>
  <c r="J19" i="6"/>
  <c r="J53" i="6"/>
  <c r="I55" i="6"/>
  <c r="I6" i="5"/>
  <c r="I13" i="5"/>
  <c r="J5" i="5"/>
  <c r="J12" i="5"/>
  <c r="I48" i="5"/>
  <c r="H48" i="5"/>
  <c r="H6" i="5"/>
  <c r="J4" i="5"/>
  <c r="J19" i="5"/>
  <c r="I34" i="5"/>
  <c r="J33" i="5"/>
  <c r="I55" i="5"/>
  <c r="J54" i="5"/>
  <c r="H41" i="5"/>
  <c r="J39" i="5"/>
  <c r="J40" i="5"/>
  <c r="H55" i="5"/>
  <c r="J53" i="5"/>
  <c r="J32" i="5"/>
  <c r="H14" i="4"/>
  <c r="H8" i="4"/>
  <c r="H7" i="4"/>
  <c r="H6" i="4"/>
  <c r="I6" i="6"/>
  <c r="J5" i="6"/>
  <c r="J12" i="6"/>
  <c r="I34" i="6"/>
  <c r="J26" i="6"/>
  <c r="I48" i="6"/>
  <c r="J32" i="6"/>
  <c r="M18" i="5" l="1" a="1"/>
  <c r="M18" i="5" s="1"/>
  <c r="M53" i="5" a="1"/>
  <c r="M53" i="5" s="1"/>
  <c r="M32" i="5" a="1"/>
  <c r="M32" i="5" s="1"/>
  <c r="M33" i="5" s="1"/>
  <c r="M39" i="5" a="1"/>
  <c r="M39" i="5" s="1"/>
  <c r="M25" i="5" a="1"/>
  <c r="M25" i="5" s="1"/>
  <c r="M26" i="5" s="1"/>
  <c r="M46" i="5" a="1"/>
  <c r="M46" i="5" s="1"/>
  <c r="M47" i="5" s="1"/>
  <c r="R33" i="6"/>
  <c r="R31" i="6"/>
  <c r="S31" i="6"/>
  <c r="T31" i="6"/>
  <c r="R38" i="6"/>
  <c r="S38" i="6"/>
  <c r="T38" i="6"/>
  <c r="R17" i="6"/>
  <c r="S17" i="6"/>
  <c r="T17" i="6"/>
  <c r="R3" i="6"/>
  <c r="S3" i="6"/>
  <c r="T3" i="6"/>
  <c r="R24" i="6"/>
  <c r="S24" i="6"/>
  <c r="T24" i="6"/>
  <c r="T25" i="6"/>
  <c r="S25" i="6"/>
  <c r="R25" i="6"/>
  <c r="R45" i="6"/>
  <c r="S45" i="6"/>
  <c r="T45" i="6"/>
  <c r="R11" i="6"/>
  <c r="S11" i="6"/>
  <c r="T11" i="6"/>
  <c r="R52" i="6"/>
  <c r="S52" i="6"/>
  <c r="T52" i="6"/>
  <c r="T18" i="6"/>
  <c r="S18" i="6"/>
  <c r="R18" i="6"/>
  <c r="R54" i="6"/>
  <c r="S54" i="6"/>
  <c r="T54" i="6"/>
  <c r="R40" i="6"/>
  <c r="S40" i="6"/>
  <c r="T40" i="6"/>
  <c r="R47" i="6"/>
  <c r="S47" i="6"/>
  <c r="T47" i="6"/>
  <c r="T10" i="6"/>
  <c r="S10" i="6"/>
  <c r="R10" i="6"/>
  <c r="R19" i="6"/>
  <c r="S19" i="6"/>
  <c r="T19" i="6"/>
  <c r="T53" i="6"/>
  <c r="S53" i="6"/>
  <c r="R53" i="6"/>
  <c r="T5" i="6"/>
  <c r="S5" i="6"/>
  <c r="R5" i="6"/>
  <c r="T12" i="6"/>
  <c r="S12" i="6"/>
  <c r="R12" i="6"/>
  <c r="T26" i="6"/>
  <c r="S26" i="6"/>
  <c r="R26" i="6"/>
  <c r="T32" i="6"/>
  <c r="S32" i="6"/>
  <c r="R32" i="6"/>
  <c r="M40" i="5"/>
  <c r="H21" i="4"/>
  <c r="M54" i="5"/>
  <c r="M11" i="5" a="1"/>
  <c r="M11" i="5" s="1"/>
  <c r="M4" i="5" a="1"/>
  <c r="M4" i="5" s="1"/>
  <c r="M19" i="5"/>
  <c r="S33" i="6"/>
  <c r="T33" i="6"/>
  <c r="R4" i="6"/>
  <c r="S4" i="6"/>
  <c r="T4" i="6"/>
  <c r="R46" i="6"/>
  <c r="S46" i="6"/>
  <c r="T46" i="6"/>
  <c r="W39" i="6" l="1"/>
  <c r="W40" i="6" s="1"/>
  <c r="W18" i="6"/>
  <c r="W19" i="6" s="1"/>
  <c r="W4" i="6"/>
  <c r="W5" i="6" s="1"/>
  <c r="W25" i="6"/>
  <c r="W26" i="6" s="1"/>
  <c r="W46" i="6"/>
  <c r="W47" i="6" s="1"/>
  <c r="W53" i="6"/>
  <c r="W54" i="6" s="1"/>
  <c r="W11" i="6"/>
  <c r="W12" i="6" s="1"/>
  <c r="W32" i="6"/>
  <c r="W33" i="6" s="1"/>
  <c r="M5" i="5"/>
  <c r="M12" i="5"/>
</calcChain>
</file>

<file path=xl/sharedStrings.xml><?xml version="1.0" encoding="utf-8"?>
<sst xmlns="http://schemas.openxmlformats.org/spreadsheetml/2006/main" count="688" uniqueCount="116">
  <si>
    <t>Type</t>
  </si>
  <si>
    <t>Element</t>
  </si>
  <si>
    <t>State</t>
  </si>
  <si>
    <t>initial state (⇒ TransportationMode)</t>
  </si>
  <si>
    <t>TransportationMode</t>
  </si>
  <si>
    <t>Transition</t>
  </si>
  <si>
    <t>selectorPressed (TransportationMode ⇒ On)</t>
  </si>
  <si>
    <t>PreparingOff</t>
  </si>
  <si>
    <t>selectorReleased (PreparingOff ⇒ On)</t>
  </si>
  <si>
    <t>after 5sec (PreparingOff ⇒ Off)</t>
  </si>
  <si>
    <t>Off</t>
  </si>
  <si>
    <t>selectorPressed (Off ⇒ On)</t>
  </si>
  <si>
    <t>Composite State</t>
  </si>
  <si>
    <t>On</t>
  </si>
  <si>
    <t>History State</t>
  </si>
  <si>
    <t>History State for On</t>
  </si>
  <si>
    <t>selectorHeld (On ⇒ PreparingOff)</t>
  </si>
  <si>
    <t>bowlRemoved (On ⇒ On)</t>
  </si>
  <si>
    <t>Initial State (On ⇒  Home)</t>
  </si>
  <si>
    <t>Home</t>
  </si>
  <si>
    <t>after 14min 30sec (Home ⇒ Preparing Shutdown)</t>
  </si>
  <si>
    <t>start (Home ⇒ PromptToAdd)</t>
  </si>
  <si>
    <t>Guard</t>
  </si>
  <si>
    <t>[!bowlRemoved()]</t>
  </si>
  <si>
    <t>Action</t>
  </si>
  <si>
    <t>setIngredients()</t>
  </si>
  <si>
    <t>Preparing Shutdown</t>
  </si>
  <si>
    <t>after 30sec (Preparing Shutdown ⇒ Off)</t>
  </si>
  <si>
    <t>cancel (Preparing Shutdown ⇒ Home)</t>
  </si>
  <si>
    <t>PromptToAdd</t>
  </si>
  <si>
    <t>next (PromptToAdd ⇒ PromptToAdd)</t>
  </si>
  <si>
    <t>[weightCorrect() &amp;&amp; moreIngredientsRequired()]</t>
  </si>
  <si>
    <t>next (PromptToAdd ⇒ Chop)</t>
  </si>
  <si>
    <t>[weightCorrect() &amp;&amp; !moreIngredientsRequired()]</t>
  </si>
  <si>
    <t>setChoppingSpeedAndTime()</t>
  </si>
  <si>
    <t>Chop</t>
  </si>
  <si>
    <t>next (Chop ⇒ PromptToAdd)</t>
  </si>
  <si>
    <t>[choppingTimeDone &amp;&amp; moreIngredientsRequired()]</t>
  </si>
  <si>
    <t>next (Chop ⇒ Cook)</t>
  </si>
  <si>
    <t>[choppingTimeDone &amp;&amp; !moreIngredientsRequired()]</t>
  </si>
  <si>
    <t>setCookingSpeedAndTime()</t>
  </si>
  <si>
    <t>Cook</t>
  </si>
  <si>
    <t>after choppingTime (Cook ⇒ PromptToAdd)</t>
  </si>
  <si>
    <t>after cookingTime (Cook ⇒ Ready)</t>
  </si>
  <si>
    <t>[!moreIngredientsRequired()]</t>
  </si>
  <si>
    <t>Ready</t>
  </si>
  <si>
    <t>after 14min 30sec (Ready ⇒ Preparing Shutdown)</t>
  </si>
  <si>
    <t>additional elements</t>
  </si>
  <si>
    <t>Region</t>
  </si>
  <si>
    <t>Rater 1</t>
  </si>
  <si>
    <t>Notes</t>
  </si>
  <si>
    <t>15min</t>
  </si>
  <si>
    <t>BowlPresent</t>
  </si>
  <si>
    <t>lastStep</t>
  </si>
  <si>
    <t>Rater 2</t>
  </si>
  <si>
    <t>shown as selectorHeld [after5sec] / shutdown(), missing preparingOff State tho</t>
  </si>
  <si>
    <t>brings back to home screen (equivalent)</t>
  </si>
  <si>
    <t>selectRecipe</t>
  </si>
  <si>
    <t>shutdownWarning</t>
  </si>
  <si>
    <t>recipeSelected</t>
  </si>
  <si>
    <t>still represented</t>
  </si>
  <si>
    <t>werighing state and [correctAmout]</t>
  </si>
  <si>
    <t>laststep is vague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</si>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</sst>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</fonts>
  <fills count="10">
    <fill>
      <patternFill patternType="none"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3" fillId="5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3" xfId="0" applyFont="1" applyFill="1" applyBorder="1"/>
    <xf numFmtId="0" fontId="3" fillId="0" borderId="0" xfId="0" applyFont="1" applyAlignment="1">
      <alignment horizontal="center"/>
    </xf>
    <xf numFmtId="0" fontId="5" fillId="7" borderId="0" xfId="0" applyFont="1" applyFill="1"/>
    <xf numFmtId="0" fontId="1" fillId="6" borderId="6" xfId="0" applyFont="1" applyFill="1" applyBorder="1" applyAlignment="1">
      <alignment horizontal="center"/>
    </xf>
    <xf numFmtId="0" fontId="7" fillId="8" borderId="6" xfId="0" applyFont="1" applyFill="1" applyBorder="1" applyAlignment="1">
      <alignment vertical="center" wrapText="1"/>
    </xf>
    <xf numFmtId="0" fontId="3" fillId="0" borderId="6" xfId="0" applyFont="1" applyBorder="1"/>
    <xf numFmtId="0" fontId="2" fillId="0" borderId="6" xfId="0" applyFont="1" applyBorder="1"/>
    <xf numFmtId="0" fontId="5" fillId="0" borderId="0" xfId="0" applyFont="1"/>
    <xf numFmtId="0" fontId="1" fillId="0" borderId="6" xfId="0" applyFont="1" applyBorder="1"/>
    <xf numFmtId="0" fontId="5" fillId="3" borderId="0" xfId="0" applyFont="1" applyFill="1" applyAlignment="1">
      <alignment horizontal="right"/>
    </xf>
    <xf numFmtId="0" fontId="2" fillId="0" borderId="2" xfId="0" applyFont="1" applyBorder="1"/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9" borderId="21" xfId="0" applyFont="1" applyFill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4" fillId="9" borderId="23" xfId="0" applyFont="1" applyFill="1" applyBorder="1" applyAlignment="1">
      <alignment horizontal="center" vertical="center"/>
    </xf>
    <xf numFmtId="0" fontId="2" fillId="9" borderId="25" xfId="0" applyFont="1" applyFill="1" applyBorder="1" applyAlignment="1">
      <alignment horizontal="center" vertical="center"/>
    </xf>
    <xf numFmtId="0" fontId="4" fillId="9" borderId="24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9" borderId="21" xfId="0" applyFont="1" applyFill="1" applyBorder="1" applyAlignment="1">
      <alignment horizontal="center"/>
    </xf>
    <xf numFmtId="0" fontId="5" fillId="9" borderId="12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2" fillId="0" borderId="26" xfId="0" applyFont="1" applyBorder="1" applyAlignment="1">
      <alignment horizontal="left"/>
    </xf>
    <xf numFmtId="0" fontId="3" fillId="3" borderId="2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1" fillId="6" borderId="4" xfId="0" applyFont="1" applyFill="1" applyBorder="1" applyAlignment="1">
      <alignment horizontal="center"/>
    </xf>
    <xf numFmtId="0" fontId="6" fillId="0" borderId="5" xfId="0" applyFont="1" applyBorder="1"/>
    <xf numFmtId="0" fontId="1" fillId="0" borderId="7" xfId="0" applyFont="1" applyBorder="1" applyAlignment="1">
      <alignment horizontal="center"/>
    </xf>
    <xf numFmtId="0" fontId="6" fillId="0" borderId="7" xfId="0" applyFont="1" applyBorder="1"/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Thermonix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Thermonix Grader #1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Thermonix Grader #2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Metrics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Metrics-style 2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Metrics-style 3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Metrics-style 4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1">
  <tableColumns count="2">
    <tableColumn id="1" xr3:uid="{00000000-0010-0000-0000-000001000000}" name="Type"/>
    <tableColumn id="2" xr3:uid="{00000000-0010-0000-0000-000002000000}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1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Rater 1"/>
    <tableColumn id="4" xr3:uid="{00000000-0010-0000-0100-000004000000}" name="Notes"/>
  </tableColumns>
  <tableStyleInfo name="Thermonix Grader #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1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Rater 2"/>
    <tableColumn id="4" xr3:uid="{00000000-0010-0000-0200-000004000000}" name="Notes"/>
  </tableColumns>
  <tableStyleInfo name="Thermonix Grader #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Grader #1 I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J7:J8">
  <tableColumns count="1">
    <tableColumn id="1" xr3:uid="{00000000-0010-0000-0500-000001000000}" name="Grader #2 ID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J10:J11">
  <tableColumns count="1">
    <tableColumn id="1" xr3:uid="{00000000-0010-0000-0600-000001000000}" name="LLM Used"/>
  </tableColumns>
  <tableStyleInfo name="Metrics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D51">
  <tableColumns count="4">
    <tableColumn id="1" xr3:uid="{00000000-0010-0000-0700-000001000000}" name="Type">
      <calculatedColumnFormula>Thermonix!A2</calculatedColumnFormula>
    </tableColumn>
    <tableColumn id="2" xr3:uid="{00000000-0010-0000-0700-000002000000}" name="Element">
      <calculatedColumnFormula>Thermonix!B2</calculatedColumnFormula>
    </tableColumn>
    <tableColumn id="3" xr3:uid="{00000000-0010-0000-0700-000003000000}" name="Rater 1">
      <calculatedColumnFormula>'Thermonix Grader #1'!C2</calculatedColumnFormula>
    </tableColumn>
    <tableColumn id="4" xr3:uid="{00000000-0010-0000-0700-000004000000}" name="Rater 2">
      <calculatedColumnFormula>'Thermonix Grader #2'!C2</calculatedColumnFormula>
    </tableColumn>
  </tableColumns>
  <tableStyleInfo name="Inter-rater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D51">
  <tableColumns count="4">
    <tableColumn id="1" xr3:uid="{00000000-0010-0000-0800-000001000000}" name="Type">
      <calculatedColumnFormula>Thermonix!A2</calculatedColumnFormula>
    </tableColumn>
    <tableColumn id="2" xr3:uid="{00000000-0010-0000-0800-000002000000}" name="Element">
      <calculatedColumnFormula>Thermonix!B2</calculatedColumnFormula>
    </tableColumn>
    <tableColumn id="3" xr3:uid="{00000000-0010-0000-0800-000003000000}" name="Rater 1">
      <calculatedColumnFormula>'Thermonix Grader #1'!C2</calculatedColumnFormula>
    </tableColumn>
    <tableColumn id="4" xr3:uid="{00000000-0010-0000-0800-000004000000}" name="Rater 2">
      <calculatedColumnFormula>'Thermonix Grader #2'!C2</calculatedColumnFormula>
    </tableColumn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opLeftCell="A29" workbookViewId="0"/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22" width="10.6640625" customWidth="1"/>
  </cols>
  <sheetData>
    <row r="1" spans="1:22" ht="12.75" customHeight="1" x14ac:dyDescent="0.15">
      <c r="A1" s="1" t="s">
        <v>0</v>
      </c>
      <c r="B1" s="2" t="s">
        <v>1</v>
      </c>
    </row>
    <row r="2" spans="1:22" ht="12.75" customHeight="1" x14ac:dyDescent="0.15">
      <c r="A2" s="3" t="s">
        <v>2</v>
      </c>
      <c r="B2" s="4" t="s">
        <v>3</v>
      </c>
    </row>
    <row r="3" spans="1:22" ht="12.75" customHeight="1" x14ac:dyDescent="0.15">
      <c r="A3" s="3" t="s">
        <v>2</v>
      </c>
      <c r="B3" s="4" t="s">
        <v>4</v>
      </c>
    </row>
    <row r="4" spans="1:22" ht="12.75" customHeight="1" x14ac:dyDescent="0.15">
      <c r="A4" s="3" t="s">
        <v>5</v>
      </c>
      <c r="B4" s="4" t="s">
        <v>6</v>
      </c>
    </row>
    <row r="5" spans="1:22" ht="12.75" customHeight="1" x14ac:dyDescent="0.15">
      <c r="A5" s="3" t="s">
        <v>2</v>
      </c>
      <c r="B5" s="4" t="s">
        <v>7</v>
      </c>
    </row>
    <row r="6" spans="1:22" ht="12.75" customHeight="1" x14ac:dyDescent="0.15">
      <c r="A6" s="3" t="s">
        <v>5</v>
      </c>
      <c r="B6" s="4" t="s">
        <v>8</v>
      </c>
    </row>
    <row r="7" spans="1:22" ht="12.75" customHeight="1" x14ac:dyDescent="0.15">
      <c r="A7" s="3" t="s">
        <v>5</v>
      </c>
      <c r="B7" s="4" t="s">
        <v>9</v>
      </c>
    </row>
    <row r="8" spans="1:22" ht="12.75" customHeight="1" x14ac:dyDescent="0.15">
      <c r="A8" s="3" t="s">
        <v>2</v>
      </c>
      <c r="B8" s="4" t="s">
        <v>10</v>
      </c>
    </row>
    <row r="9" spans="1:22" ht="12.75" customHeight="1" x14ac:dyDescent="0.15">
      <c r="A9" s="3" t="s">
        <v>5</v>
      </c>
      <c r="B9" s="4" t="s">
        <v>11</v>
      </c>
    </row>
    <row r="10" spans="1:22" ht="12.75" customHeight="1" x14ac:dyDescent="0.15">
      <c r="A10" s="3" t="s">
        <v>12</v>
      </c>
      <c r="B10" s="4" t="s">
        <v>13</v>
      </c>
    </row>
    <row r="11" spans="1:22" ht="12.75" customHeight="1" x14ac:dyDescent="0.15">
      <c r="A11" s="3" t="s">
        <v>14</v>
      </c>
      <c r="B11" s="4" t="s">
        <v>15</v>
      </c>
    </row>
    <row r="12" spans="1:22" ht="12.75" customHeight="1" x14ac:dyDescent="0.15">
      <c r="A12" s="3" t="s">
        <v>5</v>
      </c>
      <c r="B12" s="4" t="s">
        <v>16</v>
      </c>
    </row>
    <row r="13" spans="1:22" ht="12.75" customHeight="1" x14ac:dyDescent="0.15">
      <c r="A13" s="3" t="s">
        <v>5</v>
      </c>
      <c r="B13" s="4" t="s">
        <v>17</v>
      </c>
    </row>
    <row r="14" spans="1:22" ht="12.75" customHeight="1" x14ac:dyDescent="0.15">
      <c r="A14" s="3" t="s">
        <v>2</v>
      </c>
      <c r="B14" s="4" t="s">
        <v>18</v>
      </c>
    </row>
    <row r="15" spans="1:22" ht="12.75" customHeight="1" x14ac:dyDescent="0.15">
      <c r="A15" s="3" t="s">
        <v>2</v>
      </c>
      <c r="B15" s="4" t="s">
        <v>19</v>
      </c>
    </row>
    <row r="16" spans="1:22" ht="15" customHeight="1" x14ac:dyDescent="0.15">
      <c r="A16" s="3" t="s">
        <v>5</v>
      </c>
      <c r="B16" s="4" t="s">
        <v>20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2.75" customHeight="1" x14ac:dyDescent="0.15">
      <c r="A17" s="3" t="s">
        <v>5</v>
      </c>
      <c r="B17" s="4" t="s">
        <v>21</v>
      </c>
    </row>
    <row r="18" spans="1:22" ht="12.75" customHeight="1" x14ac:dyDescent="0.15">
      <c r="A18" s="3" t="s">
        <v>22</v>
      </c>
      <c r="B18" s="4" t="s">
        <v>23</v>
      </c>
    </row>
    <row r="19" spans="1:22" ht="12.75" customHeight="1" x14ac:dyDescent="0.15">
      <c r="A19" s="6" t="s">
        <v>24</v>
      </c>
      <c r="B19" s="7" t="s">
        <v>25</v>
      </c>
    </row>
    <row r="20" spans="1:22" ht="12.75" customHeight="1" x14ac:dyDescent="0.15">
      <c r="A20" s="3" t="s">
        <v>2</v>
      </c>
      <c r="B20" s="4" t="s">
        <v>26</v>
      </c>
    </row>
    <row r="21" spans="1:22" ht="12.75" customHeight="1" x14ac:dyDescent="0.15">
      <c r="A21" s="3" t="s">
        <v>5</v>
      </c>
      <c r="B21" s="4" t="s">
        <v>27</v>
      </c>
    </row>
    <row r="22" spans="1:22" ht="12.75" customHeight="1" x14ac:dyDescent="0.15">
      <c r="A22" s="3" t="s">
        <v>5</v>
      </c>
      <c r="B22" s="4" t="s">
        <v>28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2.75" customHeight="1" x14ac:dyDescent="0.15">
      <c r="A23" s="3" t="s">
        <v>2</v>
      </c>
      <c r="B23" s="4" t="s">
        <v>29</v>
      </c>
    </row>
    <row r="24" spans="1:22" ht="12.75" customHeight="1" x14ac:dyDescent="0.15">
      <c r="A24" s="3" t="s">
        <v>5</v>
      </c>
      <c r="B24" s="4" t="s">
        <v>30</v>
      </c>
    </row>
    <row r="25" spans="1:22" ht="13" x14ac:dyDescent="0.15">
      <c r="A25" s="3" t="s">
        <v>22</v>
      </c>
      <c r="B25" s="4" t="s">
        <v>31</v>
      </c>
    </row>
    <row r="26" spans="1:22" ht="12.75" customHeight="1" x14ac:dyDescent="0.15">
      <c r="A26" s="3" t="s">
        <v>24</v>
      </c>
      <c r="B26" s="4" t="s">
        <v>25</v>
      </c>
    </row>
    <row r="27" spans="1:22" ht="12.75" customHeight="1" x14ac:dyDescent="0.15">
      <c r="A27" s="3" t="s">
        <v>5</v>
      </c>
      <c r="B27" s="4" t="s">
        <v>32</v>
      </c>
    </row>
    <row r="28" spans="1:22" ht="12.75" customHeight="1" x14ac:dyDescent="0.15">
      <c r="A28" s="3" t="s">
        <v>22</v>
      </c>
      <c r="B28" s="4" t="s">
        <v>33</v>
      </c>
    </row>
    <row r="29" spans="1:22" ht="12.75" customHeight="1" x14ac:dyDescent="0.15">
      <c r="A29" s="3" t="s">
        <v>24</v>
      </c>
      <c r="B29" s="4" t="s">
        <v>34</v>
      </c>
    </row>
    <row r="30" spans="1:22" ht="12.75" customHeight="1" x14ac:dyDescent="0.15">
      <c r="A30" s="3" t="s">
        <v>2</v>
      </c>
      <c r="B30" s="4" t="s">
        <v>35</v>
      </c>
    </row>
    <row r="31" spans="1:22" ht="12.75" customHeight="1" x14ac:dyDescent="0.15">
      <c r="A31" s="3" t="s">
        <v>5</v>
      </c>
      <c r="B31" s="4" t="s">
        <v>36</v>
      </c>
    </row>
    <row r="32" spans="1:22" ht="12.75" customHeight="1" x14ac:dyDescent="0.15">
      <c r="A32" s="3" t="s">
        <v>22</v>
      </c>
      <c r="B32" s="4" t="s">
        <v>37</v>
      </c>
    </row>
    <row r="33" spans="1:22" ht="12.75" customHeight="1" x14ac:dyDescent="0.15">
      <c r="A33" s="6" t="s">
        <v>24</v>
      </c>
      <c r="B33" s="7" t="s">
        <v>25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2.75" customHeight="1" x14ac:dyDescent="0.15">
      <c r="A34" s="3" t="s">
        <v>5</v>
      </c>
      <c r="B34" s="4" t="s">
        <v>38</v>
      </c>
    </row>
    <row r="35" spans="1:22" ht="15" customHeight="1" x14ac:dyDescent="0.15">
      <c r="A35" s="3" t="s">
        <v>22</v>
      </c>
      <c r="B35" s="4" t="s">
        <v>39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customHeight="1" x14ac:dyDescent="0.15">
      <c r="A36" s="3" t="s">
        <v>24</v>
      </c>
      <c r="B36" s="4" t="s">
        <v>40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customHeight="1" x14ac:dyDescent="0.15">
      <c r="A37" s="3" t="s">
        <v>2</v>
      </c>
      <c r="B37" s="4" t="s">
        <v>41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customHeight="1" x14ac:dyDescent="0.15">
      <c r="A38" s="3" t="s">
        <v>5</v>
      </c>
      <c r="B38" s="4" t="s">
        <v>42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8" t="s">
        <v>22</v>
      </c>
      <c r="B39" s="9" t="s">
        <v>37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6" t="s">
        <v>24</v>
      </c>
      <c r="B40" s="7" t="s">
        <v>25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5</v>
      </c>
      <c r="B41" s="4" t="s">
        <v>43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22</v>
      </c>
      <c r="B42" s="4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</v>
      </c>
      <c r="B43" s="4" t="s">
        <v>45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0" t="s">
        <v>5</v>
      </c>
      <c r="B44" s="11" t="s">
        <v>46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75" customHeight="1" x14ac:dyDescent="0.15">
      <c r="A45" s="12" t="s">
        <v>2</v>
      </c>
      <c r="B45" s="13" t="s">
        <v>47</v>
      </c>
    </row>
    <row r="46" spans="1:22" ht="12.75" customHeight="1" x14ac:dyDescent="0.15">
      <c r="A46" s="12" t="s">
        <v>5</v>
      </c>
      <c r="B46" s="13" t="s">
        <v>47</v>
      </c>
    </row>
    <row r="47" spans="1:22" ht="12.75" customHeight="1" x14ac:dyDescent="0.15">
      <c r="A47" s="3" t="s">
        <v>22</v>
      </c>
      <c r="B47" s="4" t="s">
        <v>47</v>
      </c>
    </row>
    <row r="48" spans="1:22" ht="12.75" customHeight="1" x14ac:dyDescent="0.15">
      <c r="A48" s="12" t="s">
        <v>24</v>
      </c>
      <c r="B48" s="13" t="s">
        <v>47</v>
      </c>
    </row>
    <row r="49" spans="1:2" ht="12.75" customHeight="1" x14ac:dyDescent="0.15">
      <c r="A49" s="3" t="s">
        <v>12</v>
      </c>
      <c r="B49" s="4" t="s">
        <v>47</v>
      </c>
    </row>
    <row r="50" spans="1:2" ht="12.75" customHeight="1" x14ac:dyDescent="0.15">
      <c r="A50" s="12" t="s">
        <v>48</v>
      </c>
      <c r="B50" s="13" t="s">
        <v>47</v>
      </c>
    </row>
    <row r="51" spans="1:2" ht="12.75" customHeight="1" x14ac:dyDescent="0.15">
      <c r="A51" s="3" t="s">
        <v>14</v>
      </c>
      <c r="B51" s="4" t="s">
        <v>47</v>
      </c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8"/>
  <sheetViews>
    <sheetView topLeftCell="A19" workbookViewId="0"/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165" customWidth="1"/>
    <col min="5" max="22" width="10.6640625" customWidth="1"/>
  </cols>
  <sheetData>
    <row r="1" spans="1:22" ht="12.75" customHeight="1" x14ac:dyDescent="0.15">
      <c r="A1" s="1" t="s">
        <v>0</v>
      </c>
      <c r="B1" s="2" t="s">
        <v>1</v>
      </c>
      <c r="C1" s="14" t="s">
        <v>49</v>
      </c>
      <c r="D1" s="14" t="s">
        <v>50</v>
      </c>
    </row>
    <row r="2" spans="1:22" ht="12.75" customHeight="1" x14ac:dyDescent="0.15">
      <c r="A2" s="3" t="s">
        <v>2</v>
      </c>
      <c r="B2" s="4" t="s">
        <v>3</v>
      </c>
      <c r="C2" s="15">
        <v>1</v>
      </c>
      <c r="D2" s="16"/>
    </row>
    <row r="3" spans="1:22" ht="12.75" customHeight="1" x14ac:dyDescent="0.15">
      <c r="A3" s="3" t="s">
        <v>2</v>
      </c>
      <c r="B3" s="4" t="s">
        <v>4</v>
      </c>
      <c r="C3" s="17">
        <v>1</v>
      </c>
      <c r="D3" s="18"/>
    </row>
    <row r="4" spans="1:22" ht="12.75" customHeight="1" x14ac:dyDescent="0.15">
      <c r="A4" s="3" t="s">
        <v>5</v>
      </c>
      <c r="B4" s="4" t="s">
        <v>6</v>
      </c>
      <c r="C4" s="15">
        <v>1</v>
      </c>
      <c r="D4" s="16"/>
    </row>
    <row r="5" spans="1:22" ht="12.75" customHeight="1" x14ac:dyDescent="0.15">
      <c r="A5" s="3" t="s">
        <v>2</v>
      </c>
      <c r="B5" s="4" t="s">
        <v>7</v>
      </c>
      <c r="C5" s="17">
        <v>0</v>
      </c>
      <c r="D5" s="18"/>
    </row>
    <row r="6" spans="1:22" ht="12.75" customHeight="1" x14ac:dyDescent="0.15">
      <c r="A6" s="3" t="s">
        <v>5</v>
      </c>
      <c r="B6" s="4" t="s">
        <v>8</v>
      </c>
      <c r="C6" s="15">
        <v>0</v>
      </c>
      <c r="D6" s="16"/>
    </row>
    <row r="7" spans="1:22" ht="12.75" customHeight="1" x14ac:dyDescent="0.15">
      <c r="A7" s="3" t="s">
        <v>5</v>
      </c>
      <c r="B7" s="4" t="s">
        <v>9</v>
      </c>
      <c r="C7" s="17">
        <v>0</v>
      </c>
      <c r="D7" s="18"/>
    </row>
    <row r="8" spans="1:22" ht="12.75" customHeight="1" x14ac:dyDescent="0.15">
      <c r="A8" s="3" t="s">
        <v>2</v>
      </c>
      <c r="B8" s="4" t="s">
        <v>10</v>
      </c>
      <c r="C8" s="15">
        <v>1</v>
      </c>
      <c r="D8" s="16"/>
    </row>
    <row r="9" spans="1:22" ht="12.75" customHeight="1" x14ac:dyDescent="0.15">
      <c r="A9" s="3" t="s">
        <v>5</v>
      </c>
      <c r="B9" s="4" t="s">
        <v>11</v>
      </c>
      <c r="C9" s="17">
        <v>1</v>
      </c>
      <c r="D9" s="18"/>
    </row>
    <row r="10" spans="1:22" ht="12.75" customHeight="1" x14ac:dyDescent="0.15">
      <c r="A10" s="3" t="s">
        <v>12</v>
      </c>
      <c r="B10" s="4" t="s">
        <v>13</v>
      </c>
      <c r="C10" s="15">
        <v>1</v>
      </c>
      <c r="D10" s="16"/>
    </row>
    <row r="11" spans="1:22" ht="12.75" customHeight="1" x14ac:dyDescent="0.15">
      <c r="A11" s="3" t="s">
        <v>14</v>
      </c>
      <c r="B11" s="4" t="s">
        <v>15</v>
      </c>
      <c r="C11" s="17">
        <v>0</v>
      </c>
      <c r="D11" s="18"/>
    </row>
    <row r="12" spans="1:22" ht="12.75" customHeight="1" x14ac:dyDescent="0.15">
      <c r="A12" s="3" t="s">
        <v>5</v>
      </c>
      <c r="B12" s="4" t="s">
        <v>16</v>
      </c>
      <c r="C12" s="15">
        <v>1</v>
      </c>
      <c r="D12" s="16"/>
    </row>
    <row r="13" spans="1:22" ht="12.75" customHeight="1" x14ac:dyDescent="0.15">
      <c r="A13" s="3" t="s">
        <v>5</v>
      </c>
      <c r="B13" s="4" t="s">
        <v>17</v>
      </c>
      <c r="C13" s="17">
        <v>1</v>
      </c>
      <c r="D13" s="18"/>
    </row>
    <row r="14" spans="1:22" ht="12.75" customHeight="1" x14ac:dyDescent="0.15">
      <c r="A14" s="3" t="s">
        <v>2</v>
      </c>
      <c r="B14" s="4" t="s">
        <v>18</v>
      </c>
      <c r="C14" s="15">
        <v>1</v>
      </c>
      <c r="D14" s="16"/>
    </row>
    <row r="15" spans="1:22" ht="12.75" customHeight="1" x14ac:dyDescent="0.15">
      <c r="A15" s="3" t="s">
        <v>2</v>
      </c>
      <c r="B15" s="4" t="s">
        <v>19</v>
      </c>
      <c r="C15" s="17">
        <v>1</v>
      </c>
      <c r="D15" s="18"/>
    </row>
    <row r="16" spans="1:22" ht="15" customHeight="1" x14ac:dyDescent="0.15">
      <c r="A16" s="3" t="s">
        <v>5</v>
      </c>
      <c r="B16" s="4" t="s">
        <v>20</v>
      </c>
      <c r="C16" s="15">
        <v>1</v>
      </c>
      <c r="D16" s="16" t="s">
        <v>51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2.75" customHeight="1" x14ac:dyDescent="0.15">
      <c r="A17" s="3" t="s">
        <v>5</v>
      </c>
      <c r="B17" s="4" t="s">
        <v>21</v>
      </c>
      <c r="C17" s="17">
        <v>0</v>
      </c>
      <c r="D17" s="18"/>
    </row>
    <row r="18" spans="1:22" ht="12.75" customHeight="1" x14ac:dyDescent="0.15">
      <c r="A18" s="3" t="s">
        <v>22</v>
      </c>
      <c r="B18" s="4" t="s">
        <v>23</v>
      </c>
      <c r="C18" s="15">
        <v>1</v>
      </c>
      <c r="D18" s="16" t="s">
        <v>52</v>
      </c>
    </row>
    <row r="19" spans="1:22" ht="12.75" customHeight="1" x14ac:dyDescent="0.15">
      <c r="A19" s="6" t="s">
        <v>24</v>
      </c>
      <c r="B19" s="7" t="s">
        <v>25</v>
      </c>
      <c r="C19" s="17">
        <v>0</v>
      </c>
      <c r="D19" s="18"/>
    </row>
    <row r="20" spans="1:22" ht="12.75" customHeight="1" x14ac:dyDescent="0.15">
      <c r="A20" s="3" t="s">
        <v>2</v>
      </c>
      <c r="B20" s="4" t="s">
        <v>26</v>
      </c>
      <c r="C20" s="15">
        <v>0</v>
      </c>
      <c r="D20" s="16"/>
    </row>
    <row r="21" spans="1:22" ht="12.75" customHeight="1" x14ac:dyDescent="0.15">
      <c r="A21" s="3" t="s">
        <v>5</v>
      </c>
      <c r="B21" s="4" t="s">
        <v>27</v>
      </c>
      <c r="C21" s="17">
        <v>1</v>
      </c>
      <c r="D21" s="18"/>
    </row>
    <row r="22" spans="1:22" ht="12.75" customHeight="1" x14ac:dyDescent="0.15">
      <c r="A22" s="3" t="s">
        <v>5</v>
      </c>
      <c r="B22" s="4" t="s">
        <v>28</v>
      </c>
      <c r="C22" s="15">
        <v>0</v>
      </c>
      <c r="D22" s="1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2.75" customHeight="1" x14ac:dyDescent="0.15">
      <c r="A23" s="3" t="s">
        <v>2</v>
      </c>
      <c r="B23" s="4" t="s">
        <v>29</v>
      </c>
      <c r="C23" s="17">
        <v>0</v>
      </c>
      <c r="D23" s="18"/>
    </row>
    <row r="24" spans="1:22" ht="12.75" customHeight="1" x14ac:dyDescent="0.15">
      <c r="A24" s="3" t="s">
        <v>5</v>
      </c>
      <c r="B24" s="4" t="s">
        <v>30</v>
      </c>
      <c r="C24" s="15">
        <v>0</v>
      </c>
      <c r="D24" s="16"/>
    </row>
    <row r="25" spans="1:22" ht="12.75" customHeight="1" x14ac:dyDescent="0.15">
      <c r="A25" s="3" t="s">
        <v>22</v>
      </c>
      <c r="B25" s="4" t="s">
        <v>31</v>
      </c>
      <c r="C25" s="17">
        <v>0.5</v>
      </c>
      <c r="D25" s="18"/>
    </row>
    <row r="26" spans="1:22" ht="12.75" customHeight="1" x14ac:dyDescent="0.15">
      <c r="A26" s="3" t="s">
        <v>24</v>
      </c>
      <c r="B26" s="4" t="s">
        <v>25</v>
      </c>
      <c r="C26" s="17">
        <v>0</v>
      </c>
      <c r="D26" s="18"/>
    </row>
    <row r="27" spans="1:22" ht="12.75" customHeight="1" x14ac:dyDescent="0.15">
      <c r="A27" s="3" t="s">
        <v>5</v>
      </c>
      <c r="B27" s="4" t="s">
        <v>32</v>
      </c>
      <c r="C27" s="15">
        <v>0</v>
      </c>
      <c r="D27" s="16"/>
    </row>
    <row r="28" spans="1:22" ht="12.75" customHeight="1" x14ac:dyDescent="0.15">
      <c r="A28" s="3" t="s">
        <v>22</v>
      </c>
      <c r="B28" s="4" t="s">
        <v>33</v>
      </c>
      <c r="C28" s="17">
        <v>0</v>
      </c>
      <c r="D28" s="18"/>
    </row>
    <row r="29" spans="1:22" ht="12.75" customHeight="1" x14ac:dyDescent="0.15">
      <c r="A29" s="3" t="s">
        <v>24</v>
      </c>
      <c r="B29" s="4" t="s">
        <v>34</v>
      </c>
      <c r="C29" s="15">
        <v>1</v>
      </c>
      <c r="D29" s="16"/>
    </row>
    <row r="30" spans="1:22" ht="12.75" customHeight="1" x14ac:dyDescent="0.15">
      <c r="A30" s="3" t="s">
        <v>2</v>
      </c>
      <c r="B30" s="4" t="s">
        <v>35</v>
      </c>
      <c r="C30" s="17">
        <v>1</v>
      </c>
      <c r="D30" s="18"/>
    </row>
    <row r="31" spans="1:22" ht="12.75" customHeight="1" x14ac:dyDescent="0.15">
      <c r="A31" s="3" t="s">
        <v>5</v>
      </c>
      <c r="B31" s="4" t="s">
        <v>36</v>
      </c>
      <c r="C31" s="15">
        <v>0</v>
      </c>
      <c r="D31" s="16"/>
    </row>
    <row r="32" spans="1:22" ht="12.75" customHeight="1" x14ac:dyDescent="0.15">
      <c r="A32" s="3" t="s">
        <v>22</v>
      </c>
      <c r="B32" s="4" t="s">
        <v>37</v>
      </c>
      <c r="C32" s="17">
        <v>0</v>
      </c>
      <c r="D32" s="18"/>
    </row>
    <row r="33" spans="1:22" ht="12.75" customHeight="1" x14ac:dyDescent="0.15">
      <c r="A33" s="6" t="s">
        <v>24</v>
      </c>
      <c r="B33" s="7" t="s">
        <v>25</v>
      </c>
      <c r="C33" s="15">
        <v>0</v>
      </c>
      <c r="D33" s="1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2.75" customHeight="1" x14ac:dyDescent="0.15">
      <c r="A34" s="3" t="s">
        <v>5</v>
      </c>
      <c r="B34" s="4" t="s">
        <v>38</v>
      </c>
      <c r="C34" s="17">
        <v>1</v>
      </c>
      <c r="D34" s="18"/>
    </row>
    <row r="35" spans="1:22" ht="15" customHeight="1" x14ac:dyDescent="0.15">
      <c r="A35" s="3" t="s">
        <v>22</v>
      </c>
      <c r="B35" s="4" t="s">
        <v>39</v>
      </c>
      <c r="C35" s="15">
        <v>0</v>
      </c>
      <c r="D35" s="1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customHeight="1" x14ac:dyDescent="0.15">
      <c r="A36" s="3" t="s">
        <v>24</v>
      </c>
      <c r="B36" s="4" t="s">
        <v>40</v>
      </c>
      <c r="C36" s="17">
        <v>1</v>
      </c>
      <c r="D36" s="18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customHeight="1" x14ac:dyDescent="0.15">
      <c r="A37" s="3" t="s">
        <v>2</v>
      </c>
      <c r="B37" s="4" t="s">
        <v>41</v>
      </c>
      <c r="C37" s="15">
        <v>1</v>
      </c>
      <c r="D37" s="1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customHeight="1" x14ac:dyDescent="0.15">
      <c r="A38" s="3" t="s">
        <v>5</v>
      </c>
      <c r="B38" s="4" t="s">
        <v>42</v>
      </c>
      <c r="C38" s="17">
        <v>0</v>
      </c>
      <c r="D38" s="18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8" t="s">
        <v>22</v>
      </c>
      <c r="B39" s="9" t="s">
        <v>37</v>
      </c>
      <c r="C39" s="15">
        <v>0</v>
      </c>
      <c r="D39" s="1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6" t="s">
        <v>24</v>
      </c>
      <c r="B40" s="7" t="s">
        <v>25</v>
      </c>
      <c r="C40" s="17">
        <v>0</v>
      </c>
      <c r="D40" s="18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5</v>
      </c>
      <c r="B41" s="4" t="s">
        <v>43</v>
      </c>
      <c r="C41" s="15">
        <v>1</v>
      </c>
      <c r="D41" s="1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22</v>
      </c>
      <c r="B42" s="4" t="s">
        <v>44</v>
      </c>
      <c r="C42" s="17">
        <v>1</v>
      </c>
      <c r="D42" s="18" t="s">
        <v>53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</v>
      </c>
      <c r="B43" s="4" t="s">
        <v>45</v>
      </c>
      <c r="C43" s="15">
        <v>1</v>
      </c>
      <c r="D43" s="1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0" t="s">
        <v>5</v>
      </c>
      <c r="B44" s="11" t="s">
        <v>46</v>
      </c>
      <c r="C44" s="19">
        <v>1</v>
      </c>
      <c r="D44" s="20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75" customHeight="1" x14ac:dyDescent="0.15">
      <c r="A45" s="12" t="s">
        <v>2</v>
      </c>
      <c r="B45" s="13" t="s">
        <v>47</v>
      </c>
      <c r="C45" s="21">
        <v>0</v>
      </c>
      <c r="D45" s="22"/>
    </row>
    <row r="46" spans="1:22" ht="12.75" customHeight="1" x14ac:dyDescent="0.15">
      <c r="A46" s="12" t="s">
        <v>5</v>
      </c>
      <c r="B46" s="13" t="s">
        <v>47</v>
      </c>
      <c r="C46" s="23">
        <v>0</v>
      </c>
      <c r="D46" s="24"/>
    </row>
    <row r="47" spans="1:22" ht="12.75" customHeight="1" x14ac:dyDescent="0.15">
      <c r="A47" s="3" t="s">
        <v>22</v>
      </c>
      <c r="B47" s="4" t="s">
        <v>47</v>
      </c>
      <c r="C47" s="21">
        <v>0</v>
      </c>
      <c r="D47" s="22"/>
    </row>
    <row r="48" spans="1:22" ht="12.75" customHeight="1" x14ac:dyDescent="0.15">
      <c r="A48" s="12" t="s">
        <v>24</v>
      </c>
      <c r="B48" s="13" t="s">
        <v>47</v>
      </c>
      <c r="C48" s="23">
        <v>0</v>
      </c>
      <c r="D48" s="24"/>
    </row>
    <row r="49" spans="1:4" ht="12.75" customHeight="1" x14ac:dyDescent="0.15">
      <c r="A49" s="3" t="s">
        <v>12</v>
      </c>
      <c r="B49" s="4" t="s">
        <v>47</v>
      </c>
      <c r="C49" s="21">
        <v>0</v>
      </c>
      <c r="D49" s="22"/>
    </row>
    <row r="50" spans="1:4" ht="12.75" customHeight="1" x14ac:dyDescent="0.15">
      <c r="A50" s="12" t="s">
        <v>48</v>
      </c>
      <c r="B50" s="13" t="s">
        <v>47</v>
      </c>
      <c r="C50" s="23">
        <v>0</v>
      </c>
      <c r="D50" s="24"/>
    </row>
    <row r="51" spans="1:4" ht="12.75" customHeight="1" x14ac:dyDescent="0.15">
      <c r="A51" s="3" t="s">
        <v>14</v>
      </c>
      <c r="B51" s="4" t="s">
        <v>47</v>
      </c>
      <c r="C51" s="21">
        <v>0</v>
      </c>
      <c r="D51" s="22"/>
    </row>
    <row r="52" spans="1:4" ht="12.75" customHeight="1" x14ac:dyDescent="0.15">
      <c r="A52" s="1"/>
      <c r="B52" s="2"/>
    </row>
    <row r="53" spans="1:4" ht="12.75" customHeight="1" x14ac:dyDescent="0.15">
      <c r="A53" s="1"/>
      <c r="B53" s="2"/>
    </row>
    <row r="54" spans="1:4" ht="12.75" customHeight="1" x14ac:dyDescent="0.15">
      <c r="A54" s="1"/>
      <c r="B54" s="2"/>
    </row>
    <row r="55" spans="1:4" ht="12.75" customHeight="1" x14ac:dyDescent="0.15">
      <c r="A55" s="1"/>
      <c r="B55" s="2"/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0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59" customWidth="1"/>
    <col min="5" max="20" width="10.6640625" customWidth="1"/>
  </cols>
  <sheetData>
    <row r="1" spans="1:20" ht="12.75" customHeight="1" x14ac:dyDescent="0.15">
      <c r="A1" s="1" t="s">
        <v>0</v>
      </c>
      <c r="B1" s="2" t="s">
        <v>1</v>
      </c>
      <c r="C1" s="14" t="s">
        <v>54</v>
      </c>
      <c r="D1" s="14" t="s">
        <v>50</v>
      </c>
    </row>
    <row r="2" spans="1:20" ht="12.75" customHeight="1" x14ac:dyDescent="0.15">
      <c r="A2" s="3" t="s">
        <v>2</v>
      </c>
      <c r="B2" s="4" t="s">
        <v>3</v>
      </c>
      <c r="C2" s="25">
        <v>1</v>
      </c>
      <c r="D2" s="9"/>
    </row>
    <row r="3" spans="1:20" ht="12.75" customHeight="1" x14ac:dyDescent="0.15">
      <c r="A3" s="3" t="s">
        <v>2</v>
      </c>
      <c r="B3" s="4" t="s">
        <v>4</v>
      </c>
      <c r="C3" s="26">
        <v>1</v>
      </c>
      <c r="D3" s="7"/>
    </row>
    <row r="4" spans="1:20" ht="12.75" customHeight="1" x14ac:dyDescent="0.15">
      <c r="A4" s="3" t="s">
        <v>5</v>
      </c>
      <c r="B4" s="4" t="s">
        <v>6</v>
      </c>
      <c r="C4" s="25">
        <v>1</v>
      </c>
      <c r="D4" s="9"/>
    </row>
    <row r="5" spans="1:20" ht="12.75" customHeight="1" x14ac:dyDescent="0.15">
      <c r="A5" s="3" t="s">
        <v>2</v>
      </c>
      <c r="B5" s="4" t="s">
        <v>7</v>
      </c>
      <c r="C5" s="26">
        <v>0</v>
      </c>
      <c r="D5" s="7"/>
    </row>
    <row r="6" spans="1:20" ht="12.75" customHeight="1" x14ac:dyDescent="0.15">
      <c r="A6" s="3" t="s">
        <v>5</v>
      </c>
      <c r="B6" s="4" t="s">
        <v>8</v>
      </c>
      <c r="C6" s="25">
        <v>0</v>
      </c>
      <c r="D6" s="9"/>
    </row>
    <row r="7" spans="1:20" ht="12.75" customHeight="1" x14ac:dyDescent="0.15">
      <c r="A7" s="3" t="s">
        <v>5</v>
      </c>
      <c r="B7" s="4" t="s">
        <v>9</v>
      </c>
      <c r="C7" s="26">
        <v>0</v>
      </c>
      <c r="D7" s="7"/>
    </row>
    <row r="8" spans="1:20" ht="12.75" customHeight="1" x14ac:dyDescent="0.15">
      <c r="A8" s="3" t="s">
        <v>2</v>
      </c>
      <c r="B8" s="4" t="s">
        <v>10</v>
      </c>
      <c r="C8" s="25">
        <v>1</v>
      </c>
      <c r="D8" s="9"/>
    </row>
    <row r="9" spans="1:20" ht="12.75" customHeight="1" x14ac:dyDescent="0.15">
      <c r="A9" s="3" t="s">
        <v>5</v>
      </c>
      <c r="B9" s="4" t="s">
        <v>11</v>
      </c>
      <c r="C9" s="26">
        <v>1</v>
      </c>
      <c r="D9" s="7"/>
    </row>
    <row r="10" spans="1:20" ht="12.75" customHeight="1" x14ac:dyDescent="0.15">
      <c r="A10" s="3" t="s">
        <v>12</v>
      </c>
      <c r="B10" s="4" t="s">
        <v>13</v>
      </c>
      <c r="C10" s="26">
        <v>1</v>
      </c>
      <c r="D10" s="7"/>
    </row>
    <row r="11" spans="1:20" ht="12.75" customHeight="1" x14ac:dyDescent="0.15">
      <c r="A11" s="3" t="s">
        <v>14</v>
      </c>
      <c r="B11" s="4" t="s">
        <v>15</v>
      </c>
      <c r="C11" s="25">
        <v>0</v>
      </c>
      <c r="D11" s="9"/>
    </row>
    <row r="12" spans="1:20" ht="12.75" customHeight="1" x14ac:dyDescent="0.15">
      <c r="A12" s="3" t="s">
        <v>5</v>
      </c>
      <c r="B12" s="4" t="s">
        <v>16</v>
      </c>
      <c r="C12" s="26">
        <v>1</v>
      </c>
      <c r="D12" s="7" t="s">
        <v>55</v>
      </c>
    </row>
    <row r="13" spans="1:20" ht="12.75" customHeight="1" x14ac:dyDescent="0.15">
      <c r="A13" s="3" t="s">
        <v>5</v>
      </c>
      <c r="B13" s="4" t="s">
        <v>17</v>
      </c>
      <c r="C13" s="25">
        <v>1</v>
      </c>
      <c r="D13" s="9" t="s">
        <v>56</v>
      </c>
    </row>
    <row r="14" spans="1:20" ht="12.75" customHeight="1" x14ac:dyDescent="0.15">
      <c r="A14" s="3" t="s">
        <v>2</v>
      </c>
      <c r="B14" s="4" t="s">
        <v>18</v>
      </c>
      <c r="C14" s="26">
        <v>1</v>
      </c>
      <c r="D14" s="7"/>
    </row>
    <row r="15" spans="1:20" ht="12.75" customHeight="1" x14ac:dyDescent="0.15">
      <c r="A15" s="3" t="s">
        <v>2</v>
      </c>
      <c r="B15" s="4" t="s">
        <v>19</v>
      </c>
      <c r="C15" s="25">
        <v>1</v>
      </c>
      <c r="D15" s="9"/>
    </row>
    <row r="16" spans="1:20" ht="15" customHeight="1" x14ac:dyDescent="0.15">
      <c r="A16" s="3" t="s">
        <v>5</v>
      </c>
      <c r="B16" s="4" t="s">
        <v>20</v>
      </c>
      <c r="C16" s="26">
        <v>1</v>
      </c>
      <c r="D16" s="7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2.75" customHeight="1" x14ac:dyDescent="0.15">
      <c r="A17" s="3" t="s">
        <v>5</v>
      </c>
      <c r="B17" s="4" t="s">
        <v>21</v>
      </c>
      <c r="C17" s="25">
        <v>1</v>
      </c>
      <c r="D17" s="9" t="s">
        <v>57</v>
      </c>
    </row>
    <row r="18" spans="1:20" ht="12.75" customHeight="1" x14ac:dyDescent="0.15">
      <c r="A18" s="3" t="s">
        <v>22</v>
      </c>
      <c r="B18" s="4" t="s">
        <v>23</v>
      </c>
      <c r="C18" s="26">
        <v>1</v>
      </c>
      <c r="D18" s="7"/>
    </row>
    <row r="19" spans="1:20" ht="12.75" customHeight="1" x14ac:dyDescent="0.15">
      <c r="A19" s="6" t="s">
        <v>24</v>
      </c>
      <c r="B19" s="7" t="s">
        <v>25</v>
      </c>
      <c r="C19" s="25">
        <v>0</v>
      </c>
      <c r="D19" s="9"/>
    </row>
    <row r="20" spans="1:20" ht="12.75" customHeight="1" x14ac:dyDescent="0.15">
      <c r="A20" s="3" t="s">
        <v>2</v>
      </c>
      <c r="B20" s="4" t="s">
        <v>26</v>
      </c>
      <c r="C20" s="26">
        <v>1</v>
      </c>
      <c r="D20" s="7" t="s">
        <v>58</v>
      </c>
    </row>
    <row r="21" spans="1:20" ht="12.75" customHeight="1" x14ac:dyDescent="0.15">
      <c r="A21" s="3" t="s">
        <v>5</v>
      </c>
      <c r="B21" s="4" t="s">
        <v>27</v>
      </c>
      <c r="C21" s="25">
        <v>1</v>
      </c>
      <c r="D21" s="9"/>
    </row>
    <row r="22" spans="1:20" ht="12.75" customHeight="1" x14ac:dyDescent="0.15">
      <c r="A22" s="3" t="s">
        <v>5</v>
      </c>
      <c r="B22" s="4" t="s">
        <v>28</v>
      </c>
      <c r="C22" s="26">
        <v>1</v>
      </c>
      <c r="D22" s="7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2.75" customHeight="1" x14ac:dyDescent="0.15">
      <c r="A23" s="3" t="s">
        <v>2</v>
      </c>
      <c r="B23" s="4" t="s">
        <v>29</v>
      </c>
      <c r="C23" s="25">
        <v>0</v>
      </c>
      <c r="D23" s="9" t="s">
        <v>59</v>
      </c>
    </row>
    <row r="24" spans="1:20" ht="12.75" customHeight="1" x14ac:dyDescent="0.15">
      <c r="A24" s="3" t="s">
        <v>5</v>
      </c>
      <c r="B24" s="4" t="s">
        <v>30</v>
      </c>
      <c r="C24" s="26">
        <v>0</v>
      </c>
      <c r="D24" s="7"/>
    </row>
    <row r="25" spans="1:20" ht="13" x14ac:dyDescent="0.15">
      <c r="A25" s="3" t="s">
        <v>22</v>
      </c>
      <c r="B25" s="4" t="s">
        <v>31</v>
      </c>
      <c r="C25" s="25">
        <v>0</v>
      </c>
      <c r="D25" s="9"/>
    </row>
    <row r="26" spans="1:20" ht="12.75" customHeight="1" x14ac:dyDescent="0.15">
      <c r="A26" s="3" t="s">
        <v>24</v>
      </c>
      <c r="B26" s="4" t="s">
        <v>25</v>
      </c>
      <c r="C26" s="25">
        <v>0</v>
      </c>
      <c r="D26" s="9"/>
    </row>
    <row r="27" spans="1:20" ht="12.75" customHeight="1" x14ac:dyDescent="0.15">
      <c r="A27" s="3" t="s">
        <v>5</v>
      </c>
      <c r="B27" s="4" t="s">
        <v>32</v>
      </c>
      <c r="C27" s="26">
        <v>1</v>
      </c>
      <c r="D27" s="7" t="s">
        <v>60</v>
      </c>
    </row>
    <row r="28" spans="1:20" ht="12.75" customHeight="1" x14ac:dyDescent="0.15">
      <c r="A28" s="3" t="s">
        <v>22</v>
      </c>
      <c r="B28" s="4" t="s">
        <v>33</v>
      </c>
      <c r="C28" s="25">
        <v>1</v>
      </c>
      <c r="D28" s="9" t="s">
        <v>61</v>
      </c>
    </row>
    <row r="29" spans="1:20" ht="12.75" customHeight="1" x14ac:dyDescent="0.15">
      <c r="A29" s="3" t="s">
        <v>24</v>
      </c>
      <c r="B29" s="4" t="s">
        <v>34</v>
      </c>
      <c r="C29" s="26">
        <v>0</v>
      </c>
      <c r="D29" s="7"/>
    </row>
    <row r="30" spans="1:20" ht="12.75" customHeight="1" x14ac:dyDescent="0.15">
      <c r="A30" s="3" t="s">
        <v>2</v>
      </c>
      <c r="B30" s="4" t="s">
        <v>35</v>
      </c>
      <c r="C30" s="25">
        <v>1</v>
      </c>
      <c r="D30" s="9"/>
    </row>
    <row r="31" spans="1:20" ht="12.75" customHeight="1" x14ac:dyDescent="0.15">
      <c r="A31" s="3" t="s">
        <v>5</v>
      </c>
      <c r="B31" s="4" t="s">
        <v>36</v>
      </c>
      <c r="C31" s="26">
        <v>0</v>
      </c>
      <c r="D31" s="7"/>
    </row>
    <row r="32" spans="1:20" ht="12.75" customHeight="1" x14ac:dyDescent="0.15">
      <c r="A32" s="3" t="s">
        <v>22</v>
      </c>
      <c r="B32" s="4" t="s">
        <v>37</v>
      </c>
      <c r="C32" s="25">
        <v>0</v>
      </c>
      <c r="D32" s="9"/>
    </row>
    <row r="33" spans="1:20" ht="12.75" customHeight="1" x14ac:dyDescent="0.15">
      <c r="A33" s="6" t="s">
        <v>24</v>
      </c>
      <c r="B33" s="7" t="s">
        <v>25</v>
      </c>
      <c r="C33" s="26">
        <v>0</v>
      </c>
      <c r="D33" s="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12.75" customHeight="1" x14ac:dyDescent="0.15">
      <c r="A34" s="3" t="s">
        <v>5</v>
      </c>
      <c r="B34" s="4" t="s">
        <v>38</v>
      </c>
      <c r="C34" s="25">
        <v>1</v>
      </c>
      <c r="D34" s="9"/>
    </row>
    <row r="35" spans="1:20" ht="15" customHeight="1" x14ac:dyDescent="0.15">
      <c r="A35" s="3" t="s">
        <v>22</v>
      </c>
      <c r="B35" s="4" t="s">
        <v>39</v>
      </c>
      <c r="C35" s="26">
        <v>0</v>
      </c>
      <c r="D35" s="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5" customHeight="1" x14ac:dyDescent="0.15">
      <c r="A36" s="3" t="s">
        <v>24</v>
      </c>
      <c r="B36" s="4" t="s">
        <v>40</v>
      </c>
      <c r="C36" s="25">
        <v>0</v>
      </c>
      <c r="D36" s="9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15" customHeight="1" x14ac:dyDescent="0.15">
      <c r="A37" s="3" t="s">
        <v>2</v>
      </c>
      <c r="B37" s="4" t="s">
        <v>41</v>
      </c>
      <c r="C37" s="26">
        <v>1</v>
      </c>
      <c r="D37" s="7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15" customHeight="1" x14ac:dyDescent="0.15">
      <c r="A38" s="3" t="s">
        <v>5</v>
      </c>
      <c r="B38" s="4" t="s">
        <v>42</v>
      </c>
      <c r="C38" s="25">
        <v>0</v>
      </c>
      <c r="D38" s="9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15" customHeight="1" x14ac:dyDescent="0.15">
      <c r="A39" s="8" t="s">
        <v>22</v>
      </c>
      <c r="B39" s="9" t="s">
        <v>37</v>
      </c>
      <c r="C39" s="26">
        <v>0</v>
      </c>
      <c r="D39" s="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15" customHeight="1" x14ac:dyDescent="0.15">
      <c r="A40" s="6" t="s">
        <v>24</v>
      </c>
      <c r="B40" s="7" t="s">
        <v>25</v>
      </c>
      <c r="C40" s="25">
        <v>0</v>
      </c>
      <c r="D40" s="9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15" customHeight="1" x14ac:dyDescent="0.15">
      <c r="A41" s="3" t="s">
        <v>5</v>
      </c>
      <c r="B41" s="4" t="s">
        <v>43</v>
      </c>
      <c r="C41" s="26">
        <v>1</v>
      </c>
      <c r="D41" s="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15" customHeight="1" x14ac:dyDescent="0.15">
      <c r="A42" s="3" t="s">
        <v>22</v>
      </c>
      <c r="B42" s="4" t="s">
        <v>44</v>
      </c>
      <c r="C42" s="25">
        <v>0.5</v>
      </c>
      <c r="D42" s="9" t="s">
        <v>62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15" customHeight="1" x14ac:dyDescent="0.15">
      <c r="A43" s="3" t="s">
        <v>2</v>
      </c>
      <c r="B43" s="4" t="s">
        <v>45</v>
      </c>
      <c r="C43" s="26">
        <v>1</v>
      </c>
      <c r="D43" s="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5" customHeight="1" x14ac:dyDescent="0.15">
      <c r="A44" s="10" t="s">
        <v>5</v>
      </c>
      <c r="B44" s="11" t="s">
        <v>46</v>
      </c>
      <c r="C44" s="27">
        <v>1</v>
      </c>
      <c r="D44" s="28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2.75" customHeight="1" x14ac:dyDescent="0.15">
      <c r="A45" s="12" t="s">
        <v>2</v>
      </c>
      <c r="B45" s="13" t="s">
        <v>47</v>
      </c>
      <c r="C45" s="29">
        <v>0</v>
      </c>
      <c r="D45" s="5"/>
    </row>
    <row r="46" spans="1:20" ht="12.75" customHeight="1" x14ac:dyDescent="0.15">
      <c r="A46" s="12" t="s">
        <v>5</v>
      </c>
      <c r="B46" s="13" t="s">
        <v>47</v>
      </c>
      <c r="C46" s="29">
        <v>0</v>
      </c>
      <c r="D46" s="5"/>
    </row>
    <row r="47" spans="1:20" ht="12.75" customHeight="1" x14ac:dyDescent="0.15">
      <c r="A47" s="3" t="s">
        <v>22</v>
      </c>
      <c r="B47" s="4" t="s">
        <v>47</v>
      </c>
      <c r="C47" s="29">
        <v>0</v>
      </c>
      <c r="D47" s="5"/>
    </row>
    <row r="48" spans="1:20" ht="12.75" customHeight="1" x14ac:dyDescent="0.15">
      <c r="A48" s="12" t="s">
        <v>24</v>
      </c>
      <c r="B48" s="13" t="s">
        <v>47</v>
      </c>
      <c r="C48" s="29">
        <v>0</v>
      </c>
      <c r="D48" s="5"/>
    </row>
    <row r="49" spans="1:4" ht="12.75" customHeight="1" x14ac:dyDescent="0.15">
      <c r="A49" s="3" t="s">
        <v>12</v>
      </c>
      <c r="B49" s="4" t="s">
        <v>47</v>
      </c>
      <c r="C49" s="29">
        <v>0</v>
      </c>
      <c r="D49" s="5"/>
    </row>
    <row r="50" spans="1:4" ht="12.75" customHeight="1" x14ac:dyDescent="0.15">
      <c r="A50" s="12" t="s">
        <v>48</v>
      </c>
      <c r="B50" s="13" t="s">
        <v>47</v>
      </c>
      <c r="C50" s="29">
        <v>0</v>
      </c>
      <c r="D50" s="5"/>
    </row>
    <row r="51" spans="1:4" ht="12.75" customHeight="1" x14ac:dyDescent="0.15">
      <c r="A51" s="3" t="s">
        <v>14</v>
      </c>
      <c r="B51" s="4" t="s">
        <v>47</v>
      </c>
      <c r="C51" s="29">
        <v>0</v>
      </c>
      <c r="D51" s="5"/>
    </row>
    <row r="52" spans="1:4" ht="12.75" customHeight="1" x14ac:dyDescent="0.15">
      <c r="A52" s="1"/>
      <c r="B52" s="2"/>
    </row>
    <row r="53" spans="1:4" ht="12.75" customHeight="1" x14ac:dyDescent="0.15">
      <c r="A53" s="1"/>
      <c r="B53" s="2"/>
    </row>
    <row r="54" spans="1:4" ht="12.75" customHeight="1" x14ac:dyDescent="0.15">
      <c r="A54" s="1"/>
      <c r="B54" s="2"/>
    </row>
    <row r="55" spans="1:4" ht="12.75" customHeight="1" x14ac:dyDescent="0.15">
      <c r="A55" s="1"/>
      <c r="B55" s="2"/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sqref="A1:H1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78" t="s">
        <v>63</v>
      </c>
      <c r="B1" s="79"/>
      <c r="C1" s="79"/>
      <c r="D1" s="79"/>
      <c r="E1" s="79"/>
      <c r="F1" s="79"/>
      <c r="G1" s="79"/>
      <c r="H1" s="79"/>
      <c r="J1" s="30" t="s">
        <v>64</v>
      </c>
    </row>
    <row r="2" spans="1:10" ht="15.75" customHeight="1" x14ac:dyDescent="0.15">
      <c r="A2" s="31" t="s">
        <v>0</v>
      </c>
      <c r="B2" s="31" t="s">
        <v>65</v>
      </c>
      <c r="C2" s="31" t="s">
        <v>66</v>
      </c>
      <c r="D2" s="31" t="s">
        <v>67</v>
      </c>
      <c r="E2" s="31" t="s">
        <v>68</v>
      </c>
      <c r="F2" s="31" t="s">
        <v>69</v>
      </c>
      <c r="G2" s="31" t="s">
        <v>70</v>
      </c>
      <c r="H2" s="31" t="s">
        <v>71</v>
      </c>
      <c r="J2" s="22" t="s">
        <v>72</v>
      </c>
    </row>
    <row r="3" spans="1:10" ht="15.75" customHeight="1" x14ac:dyDescent="0.15">
      <c r="A3" s="32" t="s">
        <v>12</v>
      </c>
      <c r="B3" s="33">
        <f>COUNTIF(Thermonix!$A$2:$A$44, A3)</f>
        <v>1</v>
      </c>
      <c r="C3" s="34">
        <f>SUMIF('Thermonix Grader #1'!$A$2:$A$44, $A3, 'Thermonix Grader #1'!$C$2:$C$44)</f>
        <v>1</v>
      </c>
      <c r="D3" s="34">
        <f>SUMIF('Thermonix Grader #1'!$A$45:$A$51, $A3, 'Thermonix Grader #1'!$C$45:$C$51)</f>
        <v>0</v>
      </c>
      <c r="E3" s="34">
        <f>COUNTIFS('Thermonix Grader #1'!$A$2:$A$44, $A3, 'Thermonix Grader #1'!$C$2:$C$44,0)</f>
        <v>0</v>
      </c>
      <c r="F3" s="34">
        <f t="shared" ref="F3:F10" si="0">IFERROR(C3 / (C3 + D3), "Not Available")</f>
        <v>1</v>
      </c>
      <c r="G3" s="34">
        <f t="shared" ref="G3:G10" si="1">IFERROR(C3 / B3, "Not Available")</f>
        <v>1</v>
      </c>
      <c r="H3" s="34">
        <f t="shared" ref="H3:H10" si="2">IFERROR(2*((F3*G3)/(F3+G3)),"Not Available")</f>
        <v>1</v>
      </c>
      <c r="J3" s="35"/>
    </row>
    <row r="4" spans="1:10" ht="15.75" customHeight="1" x14ac:dyDescent="0.15">
      <c r="A4" s="36" t="s">
        <v>2</v>
      </c>
      <c r="B4" s="33">
        <f>COUNTIF(Thermonix!$A$2:$A$44, A4)</f>
        <v>11</v>
      </c>
      <c r="C4" s="34">
        <f>SUMIF('Thermonix Grader #1'!$A$2:$A$44, $A4, 'Thermonix Grader #1'!$C$2:$C$44)</f>
        <v>8</v>
      </c>
      <c r="D4" s="34">
        <f>SUMIF('Thermonix Grader #1'!$A$45:$A$51, $A4, 'Thermonix Grader #1'!$C$45:$C$51)</f>
        <v>0</v>
      </c>
      <c r="E4" s="34">
        <f>COUNTIFS('Thermonix Grader #1'!$A$2:$A$44, $A4, 'Thermonix Grader #1'!$C$2:$C$44,0)</f>
        <v>3</v>
      </c>
      <c r="F4" s="34">
        <f t="shared" si="0"/>
        <v>1</v>
      </c>
      <c r="G4" s="34">
        <f t="shared" si="1"/>
        <v>0.72727272727272729</v>
      </c>
      <c r="H4" s="34">
        <f t="shared" si="2"/>
        <v>0.8421052631578948</v>
      </c>
      <c r="J4" s="30" t="s">
        <v>73</v>
      </c>
    </row>
    <row r="5" spans="1:10" ht="15.75" customHeight="1" x14ac:dyDescent="0.15">
      <c r="A5" s="36" t="s">
        <v>5</v>
      </c>
      <c r="B5" s="33">
        <f>COUNTIF(Thermonix!$A$2:$A$44, A5)</f>
        <v>17</v>
      </c>
      <c r="C5" s="34">
        <f>SUMIF('Thermonix Grader #1'!$A$2:$A$44, $A5, 'Thermonix Grader #1'!$C$2:$C$44)</f>
        <v>9</v>
      </c>
      <c r="D5" s="34">
        <f>SUMIF('Thermonix Grader #1'!$A$45:$A$51, $A5, 'Thermonix Grader #1'!$C$45:$C$51)</f>
        <v>0</v>
      </c>
      <c r="E5" s="34">
        <f>COUNTIFS('Thermonix Grader #1'!$A$2:$A$44, $A5, 'Thermonix Grader #1'!$C$2:$C$44,0)</f>
        <v>8</v>
      </c>
      <c r="F5" s="34">
        <f t="shared" si="0"/>
        <v>1</v>
      </c>
      <c r="G5" s="34">
        <f t="shared" si="1"/>
        <v>0.52941176470588236</v>
      </c>
      <c r="H5" s="34">
        <f t="shared" si="2"/>
        <v>0.6923076923076924</v>
      </c>
      <c r="J5" s="37">
        <v>1</v>
      </c>
    </row>
    <row r="6" spans="1:10" ht="15.75" customHeight="1" x14ac:dyDescent="0.15">
      <c r="A6" s="36" t="s">
        <v>24</v>
      </c>
      <c r="B6" s="33">
        <f>COUNTIF(Thermonix!$A$2:$A$44, A6)</f>
        <v>6</v>
      </c>
      <c r="C6" s="34">
        <f>SUMIF('Thermonix Grader #1'!$A$2:$A$44, $A6, 'Thermonix Grader #1'!$C$2:$C$44)</f>
        <v>2</v>
      </c>
      <c r="D6" s="34">
        <f>SUMIF('Thermonix Grader #1'!$A$45:$A$51, $A6, 'Thermonix Grader #1'!$C$45:$C$51)</f>
        <v>0</v>
      </c>
      <c r="E6" s="34">
        <f>COUNTIFS('Thermonix Grader #1'!$A$2:$A$44, $A6, 'Thermonix Grader #1'!$C$2:$C$44,0)</f>
        <v>4</v>
      </c>
      <c r="F6" s="34">
        <f t="shared" si="0"/>
        <v>1</v>
      </c>
      <c r="G6" s="34">
        <f t="shared" si="1"/>
        <v>0.33333333333333331</v>
      </c>
      <c r="H6" s="34">
        <f t="shared" si="2"/>
        <v>0.5</v>
      </c>
      <c r="J6" s="35"/>
    </row>
    <row r="7" spans="1:10" ht="15.75" customHeight="1" x14ac:dyDescent="0.15">
      <c r="A7" s="36" t="s">
        <v>48</v>
      </c>
      <c r="B7" s="33">
        <f>COUNTIF(Thermonix!$A$2:$A$44, A7)</f>
        <v>0</v>
      </c>
      <c r="C7" s="34">
        <f>SUMIF('Thermonix Grader #1'!$A$2:$A$44, $A7, 'Thermonix Grader #1'!$C$2:$C$44)</f>
        <v>0</v>
      </c>
      <c r="D7" s="34">
        <f>SUMIF('Thermonix Grader #1'!$A$45:$A$51, $A7, 'Thermonix Grader #1'!$C$45:$C$51)</f>
        <v>0</v>
      </c>
      <c r="E7" s="34">
        <f>COUNTIFS('Thermonix Grader #1'!$A$2:$A$44, $A7, 'Thermonix Grader #1'!$C$2:$C$44,0)</f>
        <v>0</v>
      </c>
      <c r="F7" s="34" t="str">
        <f t="shared" si="0"/>
        <v>Not Available</v>
      </c>
      <c r="G7" s="34" t="str">
        <f t="shared" si="1"/>
        <v>Not Available</v>
      </c>
      <c r="H7" s="34" t="str">
        <f t="shared" si="2"/>
        <v>Not Available</v>
      </c>
      <c r="J7" s="30" t="s">
        <v>74</v>
      </c>
    </row>
    <row r="8" spans="1:10" ht="15.75" customHeight="1" x14ac:dyDescent="0.15">
      <c r="A8" s="36" t="s">
        <v>14</v>
      </c>
      <c r="B8" s="33">
        <f>COUNTIF(Thermonix!$A$2:$A$44, A8)</f>
        <v>1</v>
      </c>
      <c r="C8" s="34">
        <f>SUMIF('Thermonix Grader #1'!$A$2:$A$44, $A8, 'Thermonix Grader #1'!$C$2:$C$44)</f>
        <v>0</v>
      </c>
      <c r="D8" s="34">
        <f>SUMIF('Thermonix Grader #1'!$A$45:$A$51, $A8, 'Thermonix Grader #1'!$C$45:$C$51)</f>
        <v>0</v>
      </c>
      <c r="E8" s="34">
        <f>COUNTIFS('Thermonix Grader #1'!$A$2:$A$44, $A8, 'Thermonix Grader #1'!$C$2:$C$44,0)</f>
        <v>1</v>
      </c>
      <c r="F8" s="34" t="str">
        <f t="shared" si="0"/>
        <v>Not Available</v>
      </c>
      <c r="G8" s="34">
        <f t="shared" si="1"/>
        <v>0</v>
      </c>
      <c r="H8" s="34" t="str">
        <f t="shared" si="2"/>
        <v>Not Available</v>
      </c>
      <c r="J8" s="37">
        <v>2</v>
      </c>
    </row>
    <row r="9" spans="1:10" ht="15.75" customHeight="1" x14ac:dyDescent="0.15">
      <c r="A9" s="36" t="s">
        <v>22</v>
      </c>
      <c r="B9" s="33">
        <f>COUNTIF(Thermonix!$A$2:$A$44, A9)</f>
        <v>7</v>
      </c>
      <c r="C9" s="34">
        <f>SUMIF('Thermonix Grader #1'!$A$2:$A$44, $A9, 'Thermonix Grader #1'!$C$2:$C$44)</f>
        <v>2.5</v>
      </c>
      <c r="D9" s="34">
        <f>SUMIF('Thermonix Grader #1'!$A$45:$A$51, $A9, 'Thermonix Grader #1'!$C$45:$C$51)</f>
        <v>0</v>
      </c>
      <c r="E9" s="34">
        <f>COUNTIFS('Thermonix Grader #1'!$A$2:$A$44, $A9, 'Thermonix Grader #1'!$C$2:$C$44,0)</f>
        <v>4</v>
      </c>
      <c r="F9" s="34">
        <f t="shared" si="0"/>
        <v>1</v>
      </c>
      <c r="G9" s="34">
        <f t="shared" si="1"/>
        <v>0.35714285714285715</v>
      </c>
      <c r="H9" s="34">
        <f t="shared" si="2"/>
        <v>0.52631578947368418</v>
      </c>
      <c r="J9" s="35"/>
    </row>
    <row r="10" spans="1:10" ht="15.75" customHeight="1" x14ac:dyDescent="0.15">
      <c r="A10" s="36" t="s">
        <v>75</v>
      </c>
      <c r="B10" s="38">
        <f t="shared" ref="B10:E10" si="3">SUM(B3:B9)</f>
        <v>43</v>
      </c>
      <c r="C10" s="38">
        <f t="shared" si="3"/>
        <v>22.5</v>
      </c>
      <c r="D10" s="38">
        <f t="shared" si="3"/>
        <v>0</v>
      </c>
      <c r="E10" s="38">
        <f t="shared" si="3"/>
        <v>20</v>
      </c>
      <c r="F10" s="34">
        <f t="shared" si="0"/>
        <v>1</v>
      </c>
      <c r="G10" s="34">
        <f t="shared" si="1"/>
        <v>0.52325581395348841</v>
      </c>
      <c r="H10" s="34">
        <f t="shared" si="2"/>
        <v>0.68702290076335881</v>
      </c>
      <c r="J10" s="30" t="s">
        <v>76</v>
      </c>
    </row>
    <row r="11" spans="1:10" ht="15.75" customHeight="1" x14ac:dyDescent="0.15">
      <c r="J11" s="22" t="s">
        <v>77</v>
      </c>
    </row>
    <row r="12" spans="1:10" ht="15.75" customHeight="1" x14ac:dyDescent="0.15">
      <c r="A12" s="78" t="s">
        <v>78</v>
      </c>
      <c r="B12" s="79"/>
      <c r="C12" s="79"/>
      <c r="D12" s="79"/>
      <c r="E12" s="79"/>
      <c r="F12" s="79"/>
      <c r="G12" s="79"/>
      <c r="H12" s="79"/>
    </row>
    <row r="13" spans="1:10" ht="15.75" customHeight="1" x14ac:dyDescent="0.15">
      <c r="A13" s="31" t="s">
        <v>0</v>
      </c>
      <c r="B13" s="31" t="s">
        <v>65</v>
      </c>
      <c r="C13" s="31" t="s">
        <v>66</v>
      </c>
      <c r="D13" s="31" t="s">
        <v>67</v>
      </c>
      <c r="E13" s="31" t="s">
        <v>68</v>
      </c>
      <c r="F13" s="31" t="s">
        <v>69</v>
      </c>
      <c r="G13" s="31" t="s">
        <v>70</v>
      </c>
      <c r="H13" s="31" t="s">
        <v>71</v>
      </c>
    </row>
    <row r="14" spans="1:10" ht="15.75" customHeight="1" x14ac:dyDescent="0.15">
      <c r="A14" s="32" t="s">
        <v>79</v>
      </c>
      <c r="B14" s="33">
        <f>COUNTIF(Thermonix!$A$2:$A$44, A14)</f>
        <v>1</v>
      </c>
      <c r="C14" s="34">
        <f>SUMIF('Thermonix Grader #2'!$A$2:$A$44, $A14, 'Thermonix Grader #2'!$C$2:$C$44)</f>
        <v>1</v>
      </c>
      <c r="D14" s="34">
        <f>SUMIF('Thermonix Grader #2'!$A$45:$A$51, $A14, 'Thermonix Grader #2'!$C$45:$C$51)</f>
        <v>0</v>
      </c>
      <c r="E14" s="34">
        <f>COUNTIFS('Thermonix Grader #2'!$A$2:$A$44, $A14, 'Thermonix Grader #2'!$C$2:$C$44,0)</f>
        <v>0</v>
      </c>
      <c r="F14" s="34">
        <f t="shared" ref="F14:F21" si="4">IFERROR(C14 / (C14 + D14), "Not Available")</f>
        <v>1</v>
      </c>
      <c r="G14" s="34">
        <f t="shared" ref="G14:G21" si="5">IFERROR(C14 / B14, "Not Available")</f>
        <v>1</v>
      </c>
      <c r="H14" s="34">
        <f t="shared" ref="H14:H21" si="6">IFERROR(2*((F14*G14)/(F14+G14)),"Not Available")</f>
        <v>1</v>
      </c>
    </row>
    <row r="15" spans="1:10" ht="15.75" customHeight="1" x14ac:dyDescent="0.15">
      <c r="A15" s="36" t="s">
        <v>2</v>
      </c>
      <c r="B15" s="33">
        <f>COUNTIF(Thermonix!$A$2:$A$44, A15)</f>
        <v>11</v>
      </c>
      <c r="C15" s="34">
        <f>SUMIF('Thermonix Grader #2'!$A$2:$A$44, $A15, 'Thermonix Grader #2'!$C$2:$C$44)</f>
        <v>9</v>
      </c>
      <c r="D15" s="34">
        <f>SUMIF('Thermonix Grader #2'!$A$45:$A$51, $A15, 'Thermonix Grader #2'!$C$45:$C$51)</f>
        <v>0</v>
      </c>
      <c r="E15" s="34">
        <f>COUNTIFS('Thermonix Grader #2'!$A$2:$A$44, $A15, 'Thermonix Grader #2'!$C$2:$C$44,0)</f>
        <v>2</v>
      </c>
      <c r="F15" s="34">
        <f t="shared" si="4"/>
        <v>1</v>
      </c>
      <c r="G15" s="34">
        <f t="shared" si="5"/>
        <v>0.81818181818181823</v>
      </c>
      <c r="H15" s="34">
        <f t="shared" si="6"/>
        <v>0.9</v>
      </c>
    </row>
    <row r="16" spans="1:10" ht="15.75" customHeight="1" x14ac:dyDescent="0.15">
      <c r="A16" s="36" t="s">
        <v>5</v>
      </c>
      <c r="B16" s="33">
        <f>COUNTIF(Thermonix!$A$2:$A$44, A16)</f>
        <v>17</v>
      </c>
      <c r="C16" s="34">
        <f>SUMIF('Thermonix Grader #2'!$A$2:$A$44, $A16, 'Thermonix Grader #2'!$C$2:$C$44)</f>
        <v>12</v>
      </c>
      <c r="D16" s="34">
        <f>SUMIF('Thermonix Grader #2'!$A$45:$A$51, $A16, 'Thermonix Grader #2'!$C$45:$C$51)</f>
        <v>0</v>
      </c>
      <c r="E16" s="34">
        <f>COUNTIFS('Thermonix Grader #2'!$A$2:$A$44, $A16, 'Thermonix Grader #2'!$C$2:$C$44,0)</f>
        <v>5</v>
      </c>
      <c r="F16" s="34">
        <f t="shared" si="4"/>
        <v>1</v>
      </c>
      <c r="G16" s="34">
        <f t="shared" si="5"/>
        <v>0.70588235294117652</v>
      </c>
      <c r="H16" s="34">
        <f t="shared" si="6"/>
        <v>0.82758620689655171</v>
      </c>
    </row>
    <row r="17" spans="1:8" ht="15.75" customHeight="1" x14ac:dyDescent="0.15">
      <c r="A17" s="36" t="s">
        <v>24</v>
      </c>
      <c r="B17" s="33">
        <f>COUNTIF(Thermonix!$A$2:$A$44, A17)</f>
        <v>6</v>
      </c>
      <c r="C17" s="34">
        <f>SUMIF('Thermonix Grader #2'!$A$2:$A$44, $A17, 'Thermonix Grader #2'!$C$2:$C$44)</f>
        <v>0</v>
      </c>
      <c r="D17" s="34">
        <f>SUMIF('Thermonix Grader #2'!$A$45:$A$51, $A17, 'Thermonix Grader #2'!$C$45:$C$51)</f>
        <v>0</v>
      </c>
      <c r="E17" s="34">
        <f>COUNTIFS('Thermonix Grader #2'!$A$2:$A$44, $A17, 'Thermonix Grader #2'!$C$2:$C$44,0)</f>
        <v>6</v>
      </c>
      <c r="F17" s="34" t="str">
        <f t="shared" si="4"/>
        <v>Not Available</v>
      </c>
      <c r="G17" s="34">
        <f t="shared" si="5"/>
        <v>0</v>
      </c>
      <c r="H17" s="34" t="str">
        <f t="shared" si="6"/>
        <v>Not Available</v>
      </c>
    </row>
    <row r="18" spans="1:8" ht="15.75" customHeight="1" x14ac:dyDescent="0.15">
      <c r="A18" s="36" t="s">
        <v>48</v>
      </c>
      <c r="B18" s="33">
        <f>COUNTIF(Thermonix!$A$2:$A$44, A18)</f>
        <v>0</v>
      </c>
      <c r="C18" s="34">
        <f>SUMIF('Thermonix Grader #2'!$A$2:$A$44, $A18, 'Thermonix Grader #2'!$C$2:$C$44)</f>
        <v>0</v>
      </c>
      <c r="D18" s="34">
        <f>SUMIF('Thermonix Grader #2'!$A$45:$A$51, $A18, 'Thermonix Grader #2'!$C$45:$C$51)</f>
        <v>0</v>
      </c>
      <c r="E18" s="34">
        <f>COUNTIFS('Thermonix Grader #2'!$A$2:$A$44, $A18, 'Thermonix Grader #2'!$C$2:$C$44,0)</f>
        <v>0</v>
      </c>
      <c r="F18" s="34" t="str">
        <f t="shared" si="4"/>
        <v>Not Available</v>
      </c>
      <c r="G18" s="34" t="str">
        <f t="shared" si="5"/>
        <v>Not Available</v>
      </c>
      <c r="H18" s="34" t="str">
        <f t="shared" si="6"/>
        <v>Not Available</v>
      </c>
    </row>
    <row r="19" spans="1:8" ht="15.75" customHeight="1" x14ac:dyDescent="0.15">
      <c r="A19" s="36" t="s">
        <v>14</v>
      </c>
      <c r="B19" s="33">
        <f>COUNTIF(Thermonix!$A$2:$A$44, A19)</f>
        <v>1</v>
      </c>
      <c r="C19" s="34">
        <f>SUMIF('Thermonix Grader #2'!$A$2:$A$44, $A19, 'Thermonix Grader #2'!$C$2:$C$44)</f>
        <v>0</v>
      </c>
      <c r="D19" s="34">
        <f>SUMIF('Thermonix Grader #2'!$A$45:$A$51, $A19, 'Thermonix Grader #2'!$C$45:$C$51)</f>
        <v>0</v>
      </c>
      <c r="E19" s="34">
        <f>COUNTIFS('Thermonix Grader #2'!$A$2:$A$44, $A19, 'Thermonix Grader #2'!$C$2:$C$44,0)</f>
        <v>1</v>
      </c>
      <c r="F19" s="34" t="str">
        <f t="shared" si="4"/>
        <v>Not Available</v>
      </c>
      <c r="G19" s="34">
        <f t="shared" si="5"/>
        <v>0</v>
      </c>
      <c r="H19" s="34" t="str">
        <f t="shared" si="6"/>
        <v>Not Available</v>
      </c>
    </row>
    <row r="20" spans="1:8" ht="15.75" customHeight="1" x14ac:dyDescent="0.15">
      <c r="A20" s="36" t="s">
        <v>22</v>
      </c>
      <c r="B20" s="33">
        <f>COUNTIF(Thermonix!$A$2:$A$44, A20)</f>
        <v>7</v>
      </c>
      <c r="C20" s="34">
        <f>SUMIF('Thermonix Grader #2'!$A$2:$A$44, $A20, 'Thermonix Grader #2'!$C$2:$C$44)</f>
        <v>2.5</v>
      </c>
      <c r="D20" s="34">
        <f>SUMIF('Thermonix Grader #2'!$A$45:$A$51, $A20, 'Thermonix Grader #2'!$C$45:$C$51)</f>
        <v>0</v>
      </c>
      <c r="E20" s="34">
        <f>COUNTIFS('Thermonix Grader #2'!$A$2:$A$44, $A20, 'Thermonix Grader #2'!$C$2:$C$44,0)</f>
        <v>4</v>
      </c>
      <c r="F20" s="34">
        <f t="shared" si="4"/>
        <v>1</v>
      </c>
      <c r="G20" s="34">
        <f t="shared" si="5"/>
        <v>0.35714285714285715</v>
      </c>
      <c r="H20" s="34">
        <f t="shared" si="6"/>
        <v>0.52631578947368418</v>
      </c>
    </row>
    <row r="21" spans="1:8" ht="15.75" customHeight="1" x14ac:dyDescent="0.15">
      <c r="A21" s="36" t="s">
        <v>75</v>
      </c>
      <c r="B21" s="34">
        <f t="shared" ref="B21:E21" si="7">SUM(B14:B20)</f>
        <v>43</v>
      </c>
      <c r="C21" s="34">
        <f t="shared" si="7"/>
        <v>24.5</v>
      </c>
      <c r="D21" s="34">
        <f t="shared" si="7"/>
        <v>0</v>
      </c>
      <c r="E21" s="34">
        <f t="shared" si="7"/>
        <v>18</v>
      </c>
      <c r="F21" s="34">
        <f t="shared" si="4"/>
        <v>1</v>
      </c>
      <c r="G21" s="34">
        <f t="shared" si="5"/>
        <v>0.56976744186046513</v>
      </c>
      <c r="H21" s="34">
        <f t="shared" si="6"/>
        <v>0.72592592592592586</v>
      </c>
    </row>
    <row r="22" spans="1:8" ht="15.75" customHeight="1" x14ac:dyDescent="0.15"/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99"/>
  <sheetViews>
    <sheetView tabSelected="1" topLeftCell="A9" workbookViewId="0">
      <selection activeCell="B29" sqref="B29"/>
    </sheetView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10.83203125" customWidth="1"/>
    <col min="5" max="11" width="10.6640625" customWidth="1"/>
    <col min="12" max="12" width="27.6640625" customWidth="1"/>
    <col min="13" max="13" width="12.6640625" customWidth="1"/>
    <col min="14" max="14" width="50" customWidth="1"/>
    <col min="15" max="20" width="10.6640625" customWidth="1"/>
  </cols>
  <sheetData>
    <row r="1" spans="1:20" ht="12.75" customHeight="1" x14ac:dyDescent="0.15">
      <c r="A1" s="1" t="s">
        <v>0</v>
      </c>
      <c r="B1" s="2" t="s">
        <v>1</v>
      </c>
      <c r="C1" s="14" t="s">
        <v>49</v>
      </c>
      <c r="D1" s="14" t="s">
        <v>54</v>
      </c>
      <c r="F1" s="76" t="s">
        <v>80</v>
      </c>
      <c r="G1" s="77"/>
      <c r="H1" s="77"/>
      <c r="I1" s="77"/>
      <c r="L1" s="80" t="s">
        <v>81</v>
      </c>
      <c r="M1" s="81"/>
      <c r="N1" s="81"/>
    </row>
    <row r="2" spans="1:20" ht="12.75" customHeight="1" x14ac:dyDescent="0.15">
      <c r="A2" s="3" t="str">
        <f>Thermonix!A2</f>
        <v>State</v>
      </c>
      <c r="B2" s="4" t="str">
        <f>Thermonix!B2</f>
        <v>initial state (⇒ TransportationMode)</v>
      </c>
      <c r="C2" s="25">
        <f>'Thermonix Grader #1'!C2</f>
        <v>1</v>
      </c>
      <c r="D2" s="25">
        <f>'Thermonix Grader #2'!C2</f>
        <v>1</v>
      </c>
      <c r="F2" s="2" t="s">
        <v>82</v>
      </c>
      <c r="G2" s="39" t="s">
        <v>83</v>
      </c>
      <c r="H2" s="40" t="s">
        <v>84</v>
      </c>
      <c r="I2" s="41" t="s">
        <v>85</v>
      </c>
      <c r="J2" s="42" t="s">
        <v>86</v>
      </c>
      <c r="K2" s="2"/>
      <c r="L2" s="43" t="s">
        <v>87</v>
      </c>
      <c r="M2" s="43" t="s">
        <v>88</v>
      </c>
      <c r="N2" s="43" t="s">
        <v>89</v>
      </c>
    </row>
    <row r="3" spans="1:20" ht="12.75" customHeight="1" x14ac:dyDescent="0.15">
      <c r="A3" s="3" t="str">
        <f>Thermonix!A3</f>
        <v>State</v>
      </c>
      <c r="B3" s="4" t="str">
        <f>Thermonix!B3</f>
        <v>TransportationMode</v>
      </c>
      <c r="C3" s="25">
        <f>'Thermonix Grader #1'!C3</f>
        <v>1</v>
      </c>
      <c r="D3" s="25">
        <f>'Thermonix Grader #2'!C3</f>
        <v>1</v>
      </c>
      <c r="F3" s="44">
        <v>0</v>
      </c>
      <c r="G3" s="45">
        <f>COUNTIFS($C$2:$C$88, $F3, $D$2:$D$88, G$2)</f>
        <v>22</v>
      </c>
      <c r="H3" s="46">
        <f>COUNTIFS($C$2:$C$44, $F3, $D$2:$D$44, H$2)</f>
        <v>0</v>
      </c>
      <c r="I3" s="47">
        <f>COUNTIFS($C$2:$C$44, $F3, $D$2:$D$44, I$2)+MAX(D45-C45,0)+MAX(D46-C46,0)+MAX(D47-C47,0)+MAX(D48-C48,0)+MAX(D49-C49,0)+MAX(D50-C50,0)+MAX(D51-C51,0)</f>
        <v>5</v>
      </c>
      <c r="J3" s="2">
        <f t="shared" ref="J3:J5" si="0">SUM(G3:I3)</f>
        <v>27</v>
      </c>
      <c r="K3" s="2"/>
      <c r="L3" s="48" t="s">
        <v>90</v>
      </c>
      <c r="M3" s="45">
        <f>(G3+H4+I5)/COUNTA($C$2:$C$98)</f>
        <v>0.82</v>
      </c>
      <c r="N3" s="47" t="s">
        <v>91</v>
      </c>
    </row>
    <row r="4" spans="1:20" ht="12.75" customHeight="1" x14ac:dyDescent="0.15">
      <c r="A4" s="3" t="str">
        <f>Thermonix!A4</f>
        <v>Transition</v>
      </c>
      <c r="B4" s="4" t="str">
        <f>Thermonix!B4</f>
        <v>selectorPressed (TransportationMode ⇒ On)</v>
      </c>
      <c r="C4" s="25">
        <f>'Thermonix Grader #1'!C4</f>
        <v>1</v>
      </c>
      <c r="D4" s="25">
        <f>'Thermonix Grader #2'!C4</f>
        <v>1</v>
      </c>
      <c r="F4" s="44">
        <v>0.5</v>
      </c>
      <c r="G4" s="49">
        <f>COUNTIFS($C$2:$C$44, $F4, $D$2:$D$44, G$2)</f>
        <v>1</v>
      </c>
      <c r="H4" s="2">
        <f>COUNTIFS($C$2:$C$44, $F4, $D$2:$D$44, H$2)</f>
        <v>0</v>
      </c>
      <c r="I4" s="50">
        <f>COUNTIFS($C$2:$C$44, $F4, $D$2:$D$44, I$2)</f>
        <v>0</v>
      </c>
      <c r="J4" s="2">
        <f t="shared" si="0"/>
        <v>1</v>
      </c>
      <c r="K4" s="2"/>
      <c r="L4" s="48" t="s">
        <v>92</v>
      </c>
      <c r="M4" s="49">
        <f t="array" ref="M4">SUMPRODUCT(J3:J5/COUNTA($C$2:$C$98), TRANSPOSE(G6:I6)/COUNTA($C$2:$C$98))</f>
        <v>0.48160000000000003</v>
      </c>
      <c r="N4" s="50" t="s">
        <v>93</v>
      </c>
    </row>
    <row r="5" spans="1:20" ht="12.75" customHeight="1" x14ac:dyDescent="0.15">
      <c r="A5" s="3" t="str">
        <f>Thermonix!A5</f>
        <v>State</v>
      </c>
      <c r="B5" s="4" t="str">
        <f>Thermonix!B5</f>
        <v>PreparingOff</v>
      </c>
      <c r="C5" s="25">
        <f>'Thermonix Grader #1'!C5</f>
        <v>0</v>
      </c>
      <c r="D5" s="25">
        <f>'Thermonix Grader #2'!C5</f>
        <v>0</v>
      </c>
      <c r="F5" s="44">
        <v>1</v>
      </c>
      <c r="G5" s="51">
        <f>COUNTIFS($C$2:$C$44, $F5, $D$2:$D$44, G$2)+MAX(C45-D45,0)+MAX(C46-D46,0)+MAX(C47-D47,0)+MAX(C48-D48,0)+MAX(C49-D49,0)+MAX(C50-D50,0)+MAX(C51-D51,0)</f>
        <v>2</v>
      </c>
      <c r="H5" s="52">
        <f>COUNTIFS($C$2:$C$44, $F5, $D$2:$D$44, H$2)</f>
        <v>1</v>
      </c>
      <c r="I5" s="53">
        <f>COUNTIFS($C$2:$C$44, $F5, $D$2:$D$44, I$2)+ SUM(MIN(C45,D45), MIN(C46,D46), MIN(C47,D47), MIN(C48,D48), MIN(C49,D49), MIN(C50,D50), MIN(C51,D51))</f>
        <v>19</v>
      </c>
      <c r="J5" s="2">
        <f t="shared" si="0"/>
        <v>22</v>
      </c>
      <c r="K5" s="2"/>
      <c r="L5" s="48" t="s">
        <v>81</v>
      </c>
      <c r="M5" s="51">
        <f>(M3-M4)/(1-M4)</f>
        <v>0.65277777777777768</v>
      </c>
      <c r="N5" s="53" t="s">
        <v>94</v>
      </c>
    </row>
    <row r="6" spans="1:20" ht="12.75" customHeight="1" x14ac:dyDescent="0.15">
      <c r="A6" s="3" t="str">
        <f>Thermonix!A6</f>
        <v>Transition</v>
      </c>
      <c r="B6" s="4" t="str">
        <f>Thermonix!B6</f>
        <v>selectorReleased (PreparingOff ⇒ On)</v>
      </c>
      <c r="C6" s="25">
        <f>'Thermonix Grader #1'!C6</f>
        <v>0</v>
      </c>
      <c r="D6" s="25">
        <f>'Thermonix Grader #2'!C6</f>
        <v>0</v>
      </c>
      <c r="F6" s="54" t="s">
        <v>95</v>
      </c>
      <c r="G6" s="2">
        <f t="shared" ref="G6:I6" si="1">SUM(G3:G5)</f>
        <v>25</v>
      </c>
      <c r="H6" s="2">
        <f t="shared" si="1"/>
        <v>1</v>
      </c>
      <c r="I6" s="2">
        <f t="shared" si="1"/>
        <v>24</v>
      </c>
      <c r="J6" s="2"/>
      <c r="L6" s="2"/>
      <c r="M6" s="55"/>
    </row>
    <row r="7" spans="1:20" ht="12.75" customHeight="1" x14ac:dyDescent="0.15">
      <c r="A7" s="3" t="str">
        <f>Thermonix!A7</f>
        <v>Transition</v>
      </c>
      <c r="B7" s="4" t="str">
        <f>Thermonix!B7</f>
        <v>after 5sec (PreparingOff ⇒ Off)</v>
      </c>
      <c r="C7" s="25">
        <f>'Thermonix Grader #1'!C7</f>
        <v>0</v>
      </c>
      <c r="D7" s="25">
        <f>'Thermonix Grader #2'!C7</f>
        <v>0</v>
      </c>
      <c r="L7" s="2"/>
      <c r="M7" s="2"/>
      <c r="N7" s="2"/>
    </row>
    <row r="8" spans="1:20" ht="12.75" customHeight="1" x14ac:dyDescent="0.15">
      <c r="A8" s="3" t="str">
        <f>Thermonix!A8</f>
        <v>State</v>
      </c>
      <c r="B8" s="4" t="str">
        <f>Thermonix!B8</f>
        <v>Off</v>
      </c>
      <c r="C8" s="25">
        <f>'Thermonix Grader #1'!C8</f>
        <v>1</v>
      </c>
      <c r="D8" s="25">
        <f>'Thermonix Grader #2'!C8</f>
        <v>1</v>
      </c>
      <c r="F8" s="76" t="s">
        <v>96</v>
      </c>
      <c r="G8" s="77"/>
      <c r="H8" s="77"/>
      <c r="I8" s="77"/>
      <c r="L8" s="80" t="s">
        <v>97</v>
      </c>
      <c r="M8" s="81"/>
      <c r="N8" s="81"/>
    </row>
    <row r="9" spans="1:20" ht="12.75" customHeight="1" x14ac:dyDescent="0.15">
      <c r="A9" s="3" t="str">
        <f>Thermonix!A9</f>
        <v>Transition</v>
      </c>
      <c r="B9" s="4" t="str">
        <f>Thermonix!B9</f>
        <v>selectorPressed (Off ⇒ On)</v>
      </c>
      <c r="C9" s="25">
        <f>'Thermonix Grader #1'!C9</f>
        <v>1</v>
      </c>
      <c r="D9" s="25">
        <f>'Thermonix Grader #2'!C9</f>
        <v>1</v>
      </c>
      <c r="F9" s="2" t="s">
        <v>2</v>
      </c>
      <c r="G9" s="56" t="s">
        <v>83</v>
      </c>
      <c r="H9" s="56" t="s">
        <v>84</v>
      </c>
      <c r="I9" s="56" t="s">
        <v>85</v>
      </c>
      <c r="J9" s="57" t="s">
        <v>86</v>
      </c>
      <c r="K9" s="2"/>
      <c r="L9" s="43" t="s">
        <v>87</v>
      </c>
      <c r="M9" s="43" t="s">
        <v>88</v>
      </c>
      <c r="N9" s="43" t="s">
        <v>89</v>
      </c>
    </row>
    <row r="10" spans="1:20" ht="12.75" customHeight="1" x14ac:dyDescent="0.15">
      <c r="A10" s="3" t="str">
        <f>Thermonix!A10</f>
        <v>Composite State</v>
      </c>
      <c r="B10" s="4" t="str">
        <f>Thermonix!B10</f>
        <v>On</v>
      </c>
      <c r="C10" s="25">
        <f>'Thermonix Grader #1'!C10</f>
        <v>1</v>
      </c>
      <c r="D10" s="25">
        <f>'Thermonix Grader #2'!C10</f>
        <v>1</v>
      </c>
      <c r="F10" s="44">
        <v>0</v>
      </c>
      <c r="G10" s="45">
        <f>COUNTIFS($A$2:$A$88,$F$9,$C$2:$C$88,$F10,$D$2:$D$88,G$9)</f>
        <v>3</v>
      </c>
      <c r="H10" s="46">
        <f>COUNTIFS($A$2:$A$88,$F$9,$C$2:$C$88,$F10,$D$2:$D$88,H$9)</f>
        <v>0</v>
      </c>
      <c r="I10" s="47">
        <f>COUNTIFS($A$2:$A$44,$F$9,$C$2:$C$44,$F10,$D$2:$D$44,I$9)+MAX(D45-C45,0)</f>
        <v>1</v>
      </c>
      <c r="J10" s="2">
        <f t="shared" ref="J10:J12" si="2">SUM(G10:I10)</f>
        <v>4</v>
      </c>
      <c r="K10" s="2"/>
      <c r="L10" s="48" t="s">
        <v>90</v>
      </c>
      <c r="M10" s="45">
        <f>(G10+H11+I12)/COUNTIF($A$2:$A$98,F9)</f>
        <v>0.91666666666666663</v>
      </c>
      <c r="N10" s="47" t="s">
        <v>91</v>
      </c>
    </row>
    <row r="11" spans="1:20" ht="12.75" customHeight="1" x14ac:dyDescent="0.15">
      <c r="A11" s="3" t="str">
        <f>Thermonix!A11</f>
        <v>History State</v>
      </c>
      <c r="B11" s="4" t="str">
        <f>Thermonix!B11</f>
        <v>History State for On</v>
      </c>
      <c r="C11" s="25">
        <f>'Thermonix Grader #1'!C11</f>
        <v>0</v>
      </c>
      <c r="D11" s="25">
        <f>'Thermonix Grader #2'!C11</f>
        <v>0</v>
      </c>
      <c r="F11" s="44">
        <v>0.5</v>
      </c>
      <c r="G11" s="45">
        <f>COUNTIFS($A$2:$A$88,$F$9,$C$2:$C$88,$F11,$D$2:$D$88,G$9)</f>
        <v>0</v>
      </c>
      <c r="H11" s="46">
        <f>COUNTIFS($A$2:$A$88,$F$9,$C$2:$C$88,$F11,$D$2:$D$88,H$9)</f>
        <v>0</v>
      </c>
      <c r="I11" s="47">
        <f>COUNTIFS($A$2:$A$44,$F$9,$C$2:$C$44,$F11,$D$2:$D$44,I$9)+MAX(D46-C46,0)</f>
        <v>0</v>
      </c>
      <c r="J11" s="2">
        <f t="shared" si="2"/>
        <v>0</v>
      </c>
      <c r="K11" s="2"/>
      <c r="L11" s="48" t="s">
        <v>92</v>
      </c>
      <c r="M11" s="49">
        <f t="array" ref="M11">SUMPRODUCT(J10:J12/COUNTA($C$2:$C$98), TRANSPOSE(G13:I13)/COUNTA($C$2:$C$98))</f>
        <v>3.3599999999999998E-2</v>
      </c>
      <c r="N11" s="50"/>
    </row>
    <row r="12" spans="1:20" ht="12.75" customHeight="1" x14ac:dyDescent="0.15">
      <c r="A12" s="3" t="str">
        <f>Thermonix!A12</f>
        <v>Transition</v>
      </c>
      <c r="B12" s="4" t="str">
        <f>Thermonix!B12</f>
        <v>selectorHeld (On ⇒ PreparingOff)</v>
      </c>
      <c r="C12" s="25">
        <f>'Thermonix Grader #1'!C12</f>
        <v>1</v>
      </c>
      <c r="D12" s="25">
        <f>'Thermonix Grader #2'!C12</f>
        <v>1</v>
      </c>
      <c r="F12" s="44">
        <v>1</v>
      </c>
      <c r="G12" s="51">
        <f>COUNTIFS($A$2:$A$44,$F$9,$C$2:$C$44,$F12,$D$2:$D$44,G$9)+MAX(C45-D45,0)</f>
        <v>0</v>
      </c>
      <c r="H12" s="52">
        <f>COUNTIFS($A$2:$A$88,$F$9,$C$2:$C$88,$F12,$D$2:$D$88,H$9)</f>
        <v>0</v>
      </c>
      <c r="I12" s="53">
        <f>COUNTIFS($A$2:$A$44,$F$9,$C$2:$C$44,$F12,$D$2:$D$44,I$9)+MIN(C45-D45)</f>
        <v>8</v>
      </c>
      <c r="J12" s="2">
        <f t="shared" si="2"/>
        <v>8</v>
      </c>
      <c r="L12" s="48" t="s">
        <v>81</v>
      </c>
      <c r="M12" s="51">
        <f>(M3-M4)/(1-M4)</f>
        <v>0.65277777777777768</v>
      </c>
      <c r="N12" s="53" t="s">
        <v>94</v>
      </c>
    </row>
    <row r="13" spans="1:20" ht="12.75" customHeight="1" x14ac:dyDescent="0.15">
      <c r="A13" s="3" t="str">
        <f>Thermonix!A13</f>
        <v>Transition</v>
      </c>
      <c r="B13" s="4" t="str">
        <f>Thermonix!B13</f>
        <v>bowlRemoved (On ⇒ On)</v>
      </c>
      <c r="C13" s="25">
        <f>'Thermonix Grader #1'!C13</f>
        <v>1</v>
      </c>
      <c r="D13" s="25">
        <f>'Thermonix Grader #2'!C13</f>
        <v>1</v>
      </c>
      <c r="F13" s="54" t="s">
        <v>95</v>
      </c>
      <c r="G13" s="2">
        <f t="shared" ref="G13:I13" si="3">SUM(G10:G12)</f>
        <v>3</v>
      </c>
      <c r="H13" s="2">
        <f t="shared" si="3"/>
        <v>0</v>
      </c>
      <c r="I13" s="2">
        <f t="shared" si="3"/>
        <v>9</v>
      </c>
      <c r="J13" s="2"/>
      <c r="L13" s="2"/>
      <c r="M13" s="55"/>
    </row>
    <row r="14" spans="1:20" ht="12.75" customHeight="1" x14ac:dyDescent="0.15">
      <c r="A14" s="3" t="str">
        <f>Thermonix!A14</f>
        <v>State</v>
      </c>
      <c r="B14" s="4" t="str">
        <f>Thermonix!B14</f>
        <v>Initial State (On ⇒  Home)</v>
      </c>
      <c r="C14" s="25">
        <f>'Thermonix Grader #1'!C14</f>
        <v>1</v>
      </c>
      <c r="D14" s="25">
        <f>'Thermonix Grader #2'!C14</f>
        <v>1</v>
      </c>
    </row>
    <row r="15" spans="1:20" ht="12.75" customHeight="1" x14ac:dyDescent="0.15">
      <c r="A15" s="3" t="str">
        <f>Thermonix!A15</f>
        <v>State</v>
      </c>
      <c r="B15" s="4" t="str">
        <f>Thermonix!B15</f>
        <v>Home</v>
      </c>
      <c r="C15" s="25">
        <f>'Thermonix Grader #1'!C15</f>
        <v>1</v>
      </c>
      <c r="D15" s="25">
        <f>'Thermonix Grader #2'!C15</f>
        <v>1</v>
      </c>
      <c r="F15" s="76" t="s">
        <v>98</v>
      </c>
      <c r="G15" s="77"/>
      <c r="H15" s="77"/>
      <c r="I15" s="77"/>
      <c r="K15" s="2"/>
      <c r="L15" s="80" t="s">
        <v>99</v>
      </c>
      <c r="M15" s="81"/>
      <c r="N15" s="81"/>
    </row>
    <row r="16" spans="1:20" ht="15" customHeight="1" x14ac:dyDescent="0.15">
      <c r="A16" s="3" t="str">
        <f>Thermonix!A16</f>
        <v>Transition</v>
      </c>
      <c r="B16" s="4" t="str">
        <f>Thermonix!B16</f>
        <v>after 14min 30sec (Home ⇒ Preparing Shutdown)</v>
      </c>
      <c r="C16" s="25">
        <f>'Thermonix Grader #1'!C16</f>
        <v>1</v>
      </c>
      <c r="D16" s="25">
        <f>'Thermonix Grader #2'!C16</f>
        <v>1</v>
      </c>
      <c r="E16" s="5"/>
      <c r="F16" s="2" t="s">
        <v>5</v>
      </c>
      <c r="G16" s="56" t="s">
        <v>83</v>
      </c>
      <c r="H16" s="56" t="s">
        <v>84</v>
      </c>
      <c r="I16" s="56" t="s">
        <v>85</v>
      </c>
      <c r="J16" s="57" t="s">
        <v>86</v>
      </c>
      <c r="K16" s="2"/>
      <c r="L16" s="58" t="s">
        <v>87</v>
      </c>
      <c r="M16" s="58" t="s">
        <v>88</v>
      </c>
      <c r="N16" s="58" t="s">
        <v>89</v>
      </c>
      <c r="O16" s="5"/>
      <c r="P16" s="5"/>
      <c r="Q16" s="5"/>
      <c r="R16" s="5"/>
      <c r="S16" s="5"/>
      <c r="T16" s="5"/>
    </row>
    <row r="17" spans="1:20" ht="12.75" customHeight="1" x14ac:dyDescent="0.15">
      <c r="A17" s="3" t="str">
        <f>Thermonix!A17</f>
        <v>Transition</v>
      </c>
      <c r="B17" s="4" t="str">
        <f>Thermonix!B17</f>
        <v>start (Home ⇒ PromptToAdd)</v>
      </c>
      <c r="C17" s="25">
        <f>'Thermonix Grader #1'!C17</f>
        <v>0</v>
      </c>
      <c r="D17" s="25">
        <f>'Thermonix Grader #2'!C17</f>
        <v>1</v>
      </c>
      <c r="F17" s="44">
        <v>0</v>
      </c>
      <c r="G17" s="45">
        <f>COUNTIFS($A$2:$A$88,$F$16,$C$2:$C$88,$F17,$D$2:$D$88,G$16)</f>
        <v>6</v>
      </c>
      <c r="H17" s="46">
        <f>COUNTIFS($A$2:$A$88,$F$16,$C$2:$C$88,$F17,$D$2:$D$88,H$16)</f>
        <v>0</v>
      </c>
      <c r="I17" s="47">
        <f>COUNTIFS($A$2:$A$44,$F$16,$C$2:$C$44,$F17,$D$2:$D$44,I$16) + MAX(D46-C46,0)</f>
        <v>3</v>
      </c>
      <c r="J17" s="2">
        <f t="shared" ref="J17:J19" si="4">SUM(G17:I17)</f>
        <v>9</v>
      </c>
      <c r="K17" s="2"/>
      <c r="L17" s="48" t="s">
        <v>90</v>
      </c>
      <c r="M17" s="45">
        <f>(G17+H18+I19)/COUNTIF($A$2:$A$98,F16)</f>
        <v>0.83333333333333337</v>
      </c>
      <c r="N17" s="47" t="s">
        <v>91</v>
      </c>
    </row>
    <row r="18" spans="1:20" ht="12.75" customHeight="1" x14ac:dyDescent="0.15">
      <c r="A18" s="3" t="str">
        <f>Thermonix!A18</f>
        <v>Guard</v>
      </c>
      <c r="B18" s="4" t="str">
        <f>Thermonix!B18</f>
        <v>[!bowlRemoved()]</v>
      </c>
      <c r="C18" s="25">
        <f>'Thermonix Grader #1'!C18</f>
        <v>1</v>
      </c>
      <c r="D18" s="25">
        <f>'Thermonix Grader #2'!C18</f>
        <v>1</v>
      </c>
      <c r="F18" s="44">
        <v>0.5</v>
      </c>
      <c r="G18" s="49">
        <f>COUNTIFS($A$2:$A$88,$F$16,$C$2:$C$88,$F18,$D$2:$D$88,G$16)</f>
        <v>0</v>
      </c>
      <c r="H18" s="2">
        <f>COUNTIFS($A$2:$A$88,$F$16,$C$2:$C$88,$F18,$D$2:$D$88,H$16)</f>
        <v>0</v>
      </c>
      <c r="I18" s="50">
        <f>COUNTIFS($A$2:$A$88,$F$16,$C$2:$C$88,$F18,$D$2:$D$88,I$16)</f>
        <v>0</v>
      </c>
      <c r="J18" s="2">
        <f t="shared" si="4"/>
        <v>0</v>
      </c>
      <c r="K18" s="2"/>
      <c r="L18" s="48" t="s">
        <v>92</v>
      </c>
      <c r="M18" s="49">
        <f t="array" ref="M18">SUMPRODUCT(J17:J19/COUNTIF($A$2:$A$98,F16), TRANSPOSE(G20:I20)/COUNTIF($A$2:$A$98,F16))</f>
        <v>0.5</v>
      </c>
      <c r="N18" s="50" t="s">
        <v>93</v>
      </c>
    </row>
    <row r="19" spans="1:20" ht="12.75" customHeight="1" x14ac:dyDescent="0.15">
      <c r="A19" s="3" t="str">
        <f>Thermonix!A19</f>
        <v>Action</v>
      </c>
      <c r="B19" s="4" t="str">
        <f>Thermonix!B19</f>
        <v>setIngredients()</v>
      </c>
      <c r="C19" s="25">
        <f>'Thermonix Grader #1'!C19</f>
        <v>0</v>
      </c>
      <c r="D19" s="25">
        <f>'Thermonix Grader #2'!C19</f>
        <v>0</v>
      </c>
      <c r="F19" s="44">
        <v>1</v>
      </c>
      <c r="G19" s="51">
        <f>COUNTIFS($A$2:$A$44,$F$16,$C$2:$C$44,$F19,$D$2:$D$44,G$16)+MAX(C46-D46,0)</f>
        <v>0</v>
      </c>
      <c r="H19" s="52">
        <f>COUNTIFS($A$2:$A$88,$F$16,$C$2:$C$88,$F19,$D$2:$D$88,H$16)</f>
        <v>0</v>
      </c>
      <c r="I19" s="53">
        <f>COUNTIFS($A$2:$A$44,$F$16,$C$2:$C$44,$F19,$D$2:$D$44,I$16) + MIN(C46,D46)</f>
        <v>9</v>
      </c>
      <c r="J19" s="2">
        <f t="shared" si="4"/>
        <v>9</v>
      </c>
      <c r="L19" s="48" t="s">
        <v>81</v>
      </c>
      <c r="M19" s="51">
        <f>(M17-M18)/(1-M18)</f>
        <v>0.66666666666666674</v>
      </c>
      <c r="N19" s="53" t="s">
        <v>94</v>
      </c>
    </row>
    <row r="20" spans="1:20" ht="12.75" customHeight="1" x14ac:dyDescent="0.15">
      <c r="A20" s="3" t="str">
        <f>Thermonix!A20</f>
        <v>State</v>
      </c>
      <c r="B20" s="4" t="str">
        <f>Thermonix!B20</f>
        <v>Preparing Shutdown</v>
      </c>
      <c r="C20" s="25">
        <f>'Thermonix Grader #1'!C20</f>
        <v>0</v>
      </c>
      <c r="D20" s="25">
        <f>'Thermonix Grader #2'!C20</f>
        <v>1</v>
      </c>
      <c r="F20" s="54" t="s">
        <v>95</v>
      </c>
      <c r="G20" s="2">
        <f t="shared" ref="G20:I20" si="5">SUM(G17:G19)</f>
        <v>6</v>
      </c>
      <c r="H20" s="2">
        <f t="shared" si="5"/>
        <v>0</v>
      </c>
      <c r="I20" s="2">
        <f t="shared" si="5"/>
        <v>12</v>
      </c>
      <c r="J20" s="2"/>
      <c r="L20" s="2"/>
      <c r="M20" s="55"/>
    </row>
    <row r="21" spans="1:20" ht="12.75" customHeight="1" x14ac:dyDescent="0.15">
      <c r="A21" s="3" t="str">
        <f>Thermonix!A21</f>
        <v>Transition</v>
      </c>
      <c r="B21" s="4" t="str">
        <f>Thermonix!B21</f>
        <v>after 30sec (Preparing Shutdown ⇒ Off)</v>
      </c>
      <c r="C21" s="25">
        <f>'Thermonix Grader #1'!C21</f>
        <v>1</v>
      </c>
      <c r="D21" s="25">
        <f>'Thermonix Grader #2'!C21</f>
        <v>1</v>
      </c>
    </row>
    <row r="22" spans="1:20" ht="12.75" customHeight="1" x14ac:dyDescent="0.15">
      <c r="A22" s="3" t="str">
        <f>Thermonix!A22</f>
        <v>Transition</v>
      </c>
      <c r="B22" s="4" t="str">
        <f>Thermonix!B22</f>
        <v>cancel (Preparing Shutdown ⇒ Home)</v>
      </c>
      <c r="C22" s="25">
        <f>'Thermonix Grader #1'!C22</f>
        <v>0</v>
      </c>
      <c r="D22" s="25">
        <f>'Thermonix Grader #2'!C22</f>
        <v>1</v>
      </c>
      <c r="E22" s="5"/>
      <c r="F22" s="76" t="s">
        <v>100</v>
      </c>
      <c r="G22" s="77"/>
      <c r="H22" s="77"/>
      <c r="I22" s="77"/>
      <c r="K22" s="2"/>
      <c r="L22" s="80" t="s">
        <v>101</v>
      </c>
      <c r="M22" s="81"/>
      <c r="N22" s="81"/>
      <c r="O22" s="5"/>
      <c r="P22" s="5"/>
      <c r="Q22" s="5"/>
      <c r="R22" s="5"/>
      <c r="S22" s="5"/>
      <c r="T22" s="5"/>
    </row>
    <row r="23" spans="1:20" ht="12.75" customHeight="1" x14ac:dyDescent="0.15">
      <c r="A23" s="3" t="str">
        <f>Thermonix!A23</f>
        <v>State</v>
      </c>
      <c r="B23" s="4" t="str">
        <f>Thermonix!B23</f>
        <v>PromptToAdd</v>
      </c>
      <c r="C23" s="25">
        <f>'Thermonix Grader #1'!C23</f>
        <v>0</v>
      </c>
      <c r="D23" s="25">
        <f>'Thermonix Grader #2'!C23</f>
        <v>0</v>
      </c>
      <c r="F23" s="2" t="s">
        <v>12</v>
      </c>
      <c r="G23" s="56" t="s">
        <v>83</v>
      </c>
      <c r="H23" s="56" t="s">
        <v>84</v>
      </c>
      <c r="I23" s="56" t="s">
        <v>85</v>
      </c>
      <c r="J23" s="57" t="s">
        <v>86</v>
      </c>
      <c r="K23" s="2"/>
      <c r="L23" s="58" t="s">
        <v>87</v>
      </c>
      <c r="M23" s="58" t="s">
        <v>88</v>
      </c>
      <c r="N23" s="58" t="s">
        <v>89</v>
      </c>
    </row>
    <row r="24" spans="1:20" ht="12.75" customHeight="1" x14ac:dyDescent="0.15">
      <c r="A24" s="3" t="str">
        <f>Thermonix!A24</f>
        <v>Transition</v>
      </c>
      <c r="B24" s="4" t="str">
        <f>Thermonix!B24</f>
        <v>next (PromptToAdd ⇒ PromptToAdd)</v>
      </c>
      <c r="C24" s="25">
        <f>'Thermonix Grader #1'!C24</f>
        <v>0</v>
      </c>
      <c r="D24" s="25">
        <f>'Thermonix Grader #2'!C24</f>
        <v>0</v>
      </c>
      <c r="F24" s="44">
        <v>0</v>
      </c>
      <c r="G24" s="45">
        <f>COUNTIFS($A$2:$A$88,$F$23,$C$2:$C$88,$F24,$D$2:$D$88,G$23)</f>
        <v>1</v>
      </c>
      <c r="H24" s="46">
        <f>COUNTIFS($A$2:$A$88,$F$23,$C$2:$C$88,$F24,$D$2:$D$88,H$23)</f>
        <v>0</v>
      </c>
      <c r="I24" s="47">
        <f>COUNTIFS($A$2:$A$44,$F$23,$C$2:$C$44,$F24,$D$2:$D$44,I$23) + MAX(D49-C49,0)</f>
        <v>0</v>
      </c>
      <c r="J24" s="2">
        <f t="shared" ref="J24:J26" si="6">SUM(G24:I24)</f>
        <v>1</v>
      </c>
      <c r="K24" s="2"/>
      <c r="L24" s="48" t="s">
        <v>90</v>
      </c>
      <c r="M24" s="45">
        <f>(G24+H25+I26)/COUNTIF($A$2:$A$98,F23)</f>
        <v>1</v>
      </c>
      <c r="N24" s="47" t="s">
        <v>91</v>
      </c>
    </row>
    <row r="25" spans="1:20" ht="12.75" customHeight="1" x14ac:dyDescent="0.15">
      <c r="A25" s="3" t="str">
        <f>Thermonix!A25</f>
        <v>Guard</v>
      </c>
      <c r="B25" s="4" t="str">
        <f>Thermonix!B25</f>
        <v>[weightCorrect() &amp;&amp; moreIngredientsRequired()]</v>
      </c>
      <c r="C25" s="25">
        <f>'Thermonix Grader #1'!C25</f>
        <v>0.5</v>
      </c>
      <c r="D25" s="25">
        <f>'Thermonix Grader #2'!C25</f>
        <v>0</v>
      </c>
      <c r="F25" s="44">
        <v>0.5</v>
      </c>
      <c r="G25" s="49">
        <f>COUNTIFS($A$2:$A$88,$F$23,$C$2:$C$88,$F25,$D$2:$D$88,G$23)</f>
        <v>0</v>
      </c>
      <c r="H25" s="2">
        <f>COUNTIFS($A$2:$A$88,$F$23,$C$2:$C$88,$F25,$D$2:$D$88,H$23)</f>
        <v>0</v>
      </c>
      <c r="I25" s="50">
        <f>COUNTIFS($A$2:$A$88,$F$23,$C$2:$C$88,$F25,$D$2:$D$88,I$23)</f>
        <v>0</v>
      </c>
      <c r="J25" s="2">
        <f t="shared" si="6"/>
        <v>0</v>
      </c>
      <c r="K25" s="2"/>
      <c r="L25" s="48" t="s">
        <v>92</v>
      </c>
      <c r="M25" s="49">
        <f t="array" ref="M25">SUMPRODUCT(J24:J26/COUNTIF($A$2:$A$98,F23), TRANSPOSE(G27:I27)/COUNTIF($A$2:$A$98,F23))</f>
        <v>0.5</v>
      </c>
      <c r="N25" s="50" t="s">
        <v>93</v>
      </c>
    </row>
    <row r="26" spans="1:20" ht="13" x14ac:dyDescent="0.15">
      <c r="A26" s="3" t="str">
        <f>Thermonix!A26</f>
        <v>Action</v>
      </c>
      <c r="B26" s="4" t="str">
        <f>Thermonix!B26</f>
        <v>setIngredients()</v>
      </c>
      <c r="C26" s="25">
        <f>'Thermonix Grader #1'!C26</f>
        <v>0</v>
      </c>
      <c r="D26" s="25">
        <f>'Thermonix Grader #2'!C26</f>
        <v>0</v>
      </c>
      <c r="F26" s="44">
        <v>1</v>
      </c>
      <c r="G26" s="51">
        <f>COUNTIFS($A$2:$A$44,$F$23,$C$2:$C$44,$F26,$D$2:$D$44,G$23) + MAX(C49-D49,0)</f>
        <v>0</v>
      </c>
      <c r="H26" s="52">
        <f>COUNTIFS($A$2:$A$88,$F$23,$C$2:$C$88,$F26,$D$2:$D$88,H$23)</f>
        <v>0</v>
      </c>
      <c r="I26" s="53">
        <f>COUNTIFS($A$2:$A$44,$F$23,$C$2:$C$44,$F26,$D$2:$D$44,I$23) + MIN(C49,D49)</f>
        <v>1</v>
      </c>
      <c r="J26" s="2">
        <f t="shared" si="6"/>
        <v>1</v>
      </c>
      <c r="L26" s="48" t="s">
        <v>81</v>
      </c>
      <c r="M26" s="51">
        <f>(M24-M25)/(1-M25)</f>
        <v>1</v>
      </c>
      <c r="N26" s="53" t="s">
        <v>94</v>
      </c>
    </row>
    <row r="27" spans="1:20" ht="12.75" customHeight="1" x14ac:dyDescent="0.15">
      <c r="A27" s="3" t="str">
        <f>Thermonix!A27</f>
        <v>Transition</v>
      </c>
      <c r="B27" s="4" t="str">
        <f>Thermonix!B27</f>
        <v>next (PromptToAdd ⇒ Chop)</v>
      </c>
      <c r="C27" s="25">
        <f>'Thermonix Grader #1'!C27</f>
        <v>0</v>
      </c>
      <c r="D27" s="25">
        <f>'Thermonix Grader #2'!C27</f>
        <v>1</v>
      </c>
      <c r="F27" s="54" t="s">
        <v>95</v>
      </c>
      <c r="G27" s="2">
        <f t="shared" ref="G27:I27" si="7">SUM(G24:G26)</f>
        <v>1</v>
      </c>
      <c r="H27" s="2">
        <f t="shared" si="7"/>
        <v>0</v>
      </c>
      <c r="I27" s="2">
        <f t="shared" si="7"/>
        <v>1</v>
      </c>
      <c r="J27" s="2"/>
      <c r="L27" s="2"/>
      <c r="M27" s="55"/>
    </row>
    <row r="28" spans="1:20" ht="12.75" customHeight="1" x14ac:dyDescent="0.15">
      <c r="A28" s="3" t="str">
        <f>Thermonix!A28</f>
        <v>Guard</v>
      </c>
      <c r="B28" s="4" t="str">
        <f>Thermonix!B28</f>
        <v>[weightCorrect() &amp;&amp; !moreIngredientsRequired()]</v>
      </c>
      <c r="C28" s="25">
        <f>'Thermonix Grader #1'!C28</f>
        <v>0</v>
      </c>
      <c r="D28" s="25">
        <f>'Thermonix Grader #2'!C28</f>
        <v>1</v>
      </c>
    </row>
    <row r="29" spans="1:20" ht="12.75" customHeight="1" x14ac:dyDescent="0.15">
      <c r="A29" s="3" t="str">
        <f>Thermonix!A29</f>
        <v>Action</v>
      </c>
      <c r="B29" s="4" t="str">
        <f>Thermonix!B29</f>
        <v>setChoppingSpeedAndTime()</v>
      </c>
      <c r="C29" s="25">
        <f>'Thermonix Grader #1'!C29</f>
        <v>1</v>
      </c>
      <c r="D29" s="25">
        <f>'Thermonix Grader #2'!C29</f>
        <v>0</v>
      </c>
      <c r="F29" s="76" t="s">
        <v>102</v>
      </c>
      <c r="G29" s="77"/>
      <c r="H29" s="77"/>
      <c r="I29" s="77"/>
      <c r="K29" s="2"/>
      <c r="L29" s="80" t="s">
        <v>103</v>
      </c>
      <c r="M29" s="81"/>
      <c r="N29" s="81"/>
    </row>
    <row r="30" spans="1:20" ht="12.75" customHeight="1" x14ac:dyDescent="0.15">
      <c r="A30" s="3" t="str">
        <f>Thermonix!A30</f>
        <v>State</v>
      </c>
      <c r="B30" s="4" t="str">
        <f>Thermonix!B30</f>
        <v>Chop</v>
      </c>
      <c r="C30" s="25">
        <f>'Thermonix Grader #1'!C30</f>
        <v>1</v>
      </c>
      <c r="D30" s="25">
        <f>'Thermonix Grader #2'!C30</f>
        <v>1</v>
      </c>
      <c r="F30" s="2" t="s">
        <v>22</v>
      </c>
      <c r="G30" s="56" t="s">
        <v>83</v>
      </c>
      <c r="H30" s="56" t="s">
        <v>84</v>
      </c>
      <c r="I30" s="56" t="s">
        <v>85</v>
      </c>
      <c r="J30" s="57" t="s">
        <v>86</v>
      </c>
      <c r="K30" s="2"/>
      <c r="L30" s="58" t="s">
        <v>87</v>
      </c>
      <c r="M30" s="58" t="s">
        <v>88</v>
      </c>
      <c r="N30" s="58" t="s">
        <v>89</v>
      </c>
    </row>
    <row r="31" spans="1:20" ht="12.75" customHeight="1" x14ac:dyDescent="0.15">
      <c r="A31" s="3" t="str">
        <f>Thermonix!A31</f>
        <v>Transition</v>
      </c>
      <c r="B31" s="4" t="str">
        <f>Thermonix!B31</f>
        <v>next (Chop ⇒ PromptToAdd)</v>
      </c>
      <c r="C31" s="25">
        <f>'Thermonix Grader #1'!C31</f>
        <v>0</v>
      </c>
      <c r="D31" s="25">
        <f>'Thermonix Grader #2'!C31</f>
        <v>0</v>
      </c>
      <c r="F31" s="44">
        <v>0</v>
      </c>
      <c r="G31" s="45">
        <f>COUNTIFS($A$2:$A$88,$F$30,$C$2:$C$88,$F31,$D$2:$D$88,G$30)</f>
        <v>4</v>
      </c>
      <c r="H31" s="46">
        <f>COUNTIFS($A$2:$A$88,$F$30,$C$2:$C$88,$F31,$D$2:$D$88,H$30)</f>
        <v>0</v>
      </c>
      <c r="I31" s="47">
        <f>COUNTIFS($A$2:$A$44,$F$30,$C$2:$C$44,$F31,$D$2:$D$44,I$30) + MAX(D47-C47,0)</f>
        <v>1</v>
      </c>
      <c r="J31" s="2">
        <f t="shared" ref="J31:J33" si="8">SUM(G31:I31)</f>
        <v>5</v>
      </c>
      <c r="K31" s="2"/>
      <c r="L31" s="48" t="s">
        <v>90</v>
      </c>
      <c r="M31" s="45">
        <f>(G31+H32+I33)/COUNTIF($A$2:$A$98,F30)</f>
        <v>0.625</v>
      </c>
      <c r="N31" s="47" t="s">
        <v>91</v>
      </c>
    </row>
    <row r="32" spans="1:20" ht="12.75" customHeight="1" x14ac:dyDescent="0.15">
      <c r="A32" s="3" t="str">
        <f>Thermonix!A32</f>
        <v>Guard</v>
      </c>
      <c r="B32" s="4" t="str">
        <f>Thermonix!B32</f>
        <v>[choppingTimeDone &amp;&amp; moreIngredientsRequired()]</v>
      </c>
      <c r="C32" s="25">
        <f>'Thermonix Grader #1'!C32</f>
        <v>0</v>
      </c>
      <c r="D32" s="25">
        <f>'Thermonix Grader #2'!C32</f>
        <v>0</v>
      </c>
      <c r="F32" s="44">
        <v>0.5</v>
      </c>
      <c r="G32" s="49">
        <f>COUNTIFS($A$2:$A$88,$F$30,$C$2:$C$88,$F32,$D$2:$D$88,G$30)</f>
        <v>1</v>
      </c>
      <c r="H32" s="2">
        <f>COUNTIFS($A$2:$A$88,$F$30,$C$2:$C$88,$F32,$D$2:$D$88,H$30)</f>
        <v>0</v>
      </c>
      <c r="I32" s="50">
        <f>COUNTIFS($A$2:$A$88,$F$30,$C$2:$C$88,$F32,$D$2:$D$88,I$30)</f>
        <v>0</v>
      </c>
      <c r="J32" s="2">
        <f t="shared" si="8"/>
        <v>1</v>
      </c>
      <c r="K32" s="2"/>
      <c r="L32" s="48" t="s">
        <v>92</v>
      </c>
      <c r="M32" s="49">
        <f t="array" ref="M32">SUMPRODUCT(J31:J33/COUNTIF($A$2:$A$98,F30), TRANSPOSE(G34:I34)/COUNTIF($A$2:$A$98,F30))</f>
        <v>0.46875</v>
      </c>
      <c r="N32" s="50" t="s">
        <v>93</v>
      </c>
    </row>
    <row r="33" spans="1:20" ht="12.75" customHeight="1" x14ac:dyDescent="0.15">
      <c r="A33" s="3" t="str">
        <f>Thermonix!A33</f>
        <v>Action</v>
      </c>
      <c r="B33" s="4" t="str">
        <f>Thermonix!B33</f>
        <v>setIngredients()</v>
      </c>
      <c r="C33" s="25">
        <f>'Thermonix Grader #1'!C33</f>
        <v>0</v>
      </c>
      <c r="D33" s="25">
        <f>'Thermonix Grader #2'!C33</f>
        <v>0</v>
      </c>
      <c r="F33" s="44">
        <v>1</v>
      </c>
      <c r="G33" s="51">
        <f>COUNTIFS($A$2:$A$44,$F$30,$C$2:$C$44,$F33,$D$2:$D$44,G$30) + MAX(C47-D47,0)</f>
        <v>0</v>
      </c>
      <c r="H33" s="52">
        <f>COUNTIFS($A$2:$A$88,$F$30,$C$2:$C$88,$F33,$D$2:$D$88,H$30)</f>
        <v>1</v>
      </c>
      <c r="I33" s="53">
        <f>COUNTIFS($A$2:$A$44,$F$30,$C$2:$C$44,$F33,$D$2:$D$44,I$30) + MIN(C47,D47)</f>
        <v>1</v>
      </c>
      <c r="J33" s="2">
        <f t="shared" si="8"/>
        <v>2</v>
      </c>
      <c r="L33" s="48" t="s">
        <v>81</v>
      </c>
      <c r="M33" s="51">
        <f>(M31-M32)/(1-M32)</f>
        <v>0.29411764705882354</v>
      </c>
      <c r="N33" s="53" t="s">
        <v>94</v>
      </c>
    </row>
    <row r="34" spans="1:20" ht="12.75" customHeight="1" x14ac:dyDescent="0.15">
      <c r="A34" s="3" t="str">
        <f>Thermonix!A34</f>
        <v>Transition</v>
      </c>
      <c r="B34" s="4" t="str">
        <f>Thermonix!B34</f>
        <v>next (Chop ⇒ Cook)</v>
      </c>
      <c r="C34" s="25">
        <f>'Thermonix Grader #1'!C34</f>
        <v>1</v>
      </c>
      <c r="D34" s="25">
        <f>'Thermonix Grader #2'!C34</f>
        <v>1</v>
      </c>
      <c r="E34" s="5"/>
      <c r="F34" s="54" t="s">
        <v>95</v>
      </c>
      <c r="G34" s="2">
        <f t="shared" ref="G34:I34" si="9">SUM(G31:G33)</f>
        <v>5</v>
      </c>
      <c r="H34" s="2">
        <f t="shared" si="9"/>
        <v>1</v>
      </c>
      <c r="I34" s="2">
        <f t="shared" si="9"/>
        <v>2</v>
      </c>
      <c r="J34" s="2"/>
      <c r="L34" s="2"/>
      <c r="M34" s="55"/>
      <c r="O34" s="5"/>
      <c r="P34" s="5"/>
      <c r="Q34" s="5"/>
      <c r="R34" s="5"/>
      <c r="S34" s="5"/>
      <c r="T34" s="5"/>
    </row>
    <row r="35" spans="1:20" ht="12.75" customHeight="1" x14ac:dyDescent="0.15">
      <c r="A35" s="3" t="str">
        <f>Thermonix!A35</f>
        <v>Guard</v>
      </c>
      <c r="B35" s="4" t="str">
        <f>Thermonix!B35</f>
        <v>[choppingTimeDone &amp;&amp; !moreIngredientsRequired()]</v>
      </c>
      <c r="C35" s="25">
        <f>'Thermonix Grader #1'!C35</f>
        <v>0</v>
      </c>
      <c r="D35" s="25">
        <f>'Thermonix Grader #2'!C35</f>
        <v>0</v>
      </c>
    </row>
    <row r="36" spans="1:20" ht="15" customHeight="1" x14ac:dyDescent="0.15">
      <c r="A36" s="3" t="str">
        <f>Thermonix!A36</f>
        <v>Action</v>
      </c>
      <c r="B36" s="4" t="str">
        <f>Thermonix!B36</f>
        <v>setCookingSpeedAndTime()</v>
      </c>
      <c r="C36" s="25">
        <f>'Thermonix Grader #1'!C36</f>
        <v>1</v>
      </c>
      <c r="D36" s="25">
        <f>'Thermonix Grader #2'!C36</f>
        <v>0</v>
      </c>
      <c r="E36" s="5"/>
      <c r="F36" s="76" t="s">
        <v>104</v>
      </c>
      <c r="G36" s="77"/>
      <c r="H36" s="77"/>
      <c r="I36" s="77"/>
      <c r="K36" s="2"/>
      <c r="L36" s="80" t="s">
        <v>105</v>
      </c>
      <c r="M36" s="81"/>
      <c r="N36" s="81"/>
      <c r="O36" s="5"/>
      <c r="P36" s="5"/>
      <c r="Q36" s="5"/>
      <c r="R36" s="5"/>
      <c r="S36" s="5"/>
      <c r="T36" s="5"/>
    </row>
    <row r="37" spans="1:20" ht="15" customHeight="1" x14ac:dyDescent="0.15">
      <c r="A37" s="3" t="str">
        <f>Thermonix!A37</f>
        <v>State</v>
      </c>
      <c r="B37" s="4" t="str">
        <f>Thermonix!B37</f>
        <v>Cook</v>
      </c>
      <c r="C37" s="25">
        <f>'Thermonix Grader #1'!C37</f>
        <v>1</v>
      </c>
      <c r="D37" s="25">
        <f>'Thermonix Grader #2'!C37</f>
        <v>1</v>
      </c>
      <c r="E37" s="5"/>
      <c r="F37" s="2" t="s">
        <v>24</v>
      </c>
      <c r="G37" s="56" t="s">
        <v>83</v>
      </c>
      <c r="H37" s="56" t="s">
        <v>84</v>
      </c>
      <c r="I37" s="56" t="s">
        <v>85</v>
      </c>
      <c r="J37" s="57" t="s">
        <v>86</v>
      </c>
      <c r="K37" s="2"/>
      <c r="L37" s="58" t="s">
        <v>87</v>
      </c>
      <c r="M37" s="58" t="s">
        <v>88</v>
      </c>
      <c r="N37" s="58" t="s">
        <v>89</v>
      </c>
      <c r="O37" s="5"/>
      <c r="P37" s="5"/>
      <c r="Q37" s="5"/>
      <c r="R37" s="5"/>
      <c r="S37" s="5"/>
      <c r="T37" s="5"/>
    </row>
    <row r="38" spans="1:20" ht="15" customHeight="1" x14ac:dyDescent="0.15">
      <c r="A38" s="3" t="str">
        <f>Thermonix!A38</f>
        <v>Transition</v>
      </c>
      <c r="B38" s="4" t="str">
        <f>Thermonix!B38</f>
        <v>after choppingTime (Cook ⇒ PromptToAdd)</v>
      </c>
      <c r="C38" s="25">
        <f>'Thermonix Grader #1'!C38</f>
        <v>0</v>
      </c>
      <c r="D38" s="25">
        <f>'Thermonix Grader #2'!C38</f>
        <v>0</v>
      </c>
      <c r="E38" s="5"/>
      <c r="F38" s="44">
        <v>0</v>
      </c>
      <c r="G38" s="45">
        <f>COUNTIFS($A$2:$A$88,$F$37,$C$2:$C$88,$F38,$D$2:$D$88,G$37)</f>
        <v>5</v>
      </c>
      <c r="H38" s="46">
        <f>COUNTIFS($A$2:$A$88,$F$37,$C$2:$C$88,$F38,$D$2:$D$88,H$37)</f>
        <v>0</v>
      </c>
      <c r="I38" s="47">
        <f>COUNTIFS($A$2:$A$44,$F$37,$C$2:$C$44,$F38,$D$2:$D$44,I$37)+MAX(D48-C48,0)</f>
        <v>0</v>
      </c>
      <c r="J38" s="2">
        <f t="shared" ref="J38:J40" si="10">SUM(G38:I38)</f>
        <v>5</v>
      </c>
      <c r="K38" s="2"/>
      <c r="L38" s="48" t="s">
        <v>90</v>
      </c>
      <c r="M38" s="45">
        <f>(G38+H39+I40)/COUNTIF($A$2:$A$98,F37)</f>
        <v>0.7142857142857143</v>
      </c>
      <c r="N38" s="47" t="s">
        <v>91</v>
      </c>
      <c r="O38" s="5"/>
      <c r="P38" s="5"/>
      <c r="Q38" s="5"/>
      <c r="R38" s="5"/>
      <c r="S38" s="5"/>
      <c r="T38" s="5"/>
    </row>
    <row r="39" spans="1:20" ht="15" customHeight="1" x14ac:dyDescent="0.15">
      <c r="A39" s="3" t="str">
        <f>Thermonix!A39</f>
        <v>Guard</v>
      </c>
      <c r="B39" s="4" t="str">
        <f>Thermonix!B39</f>
        <v>[choppingTimeDone &amp;&amp; moreIngredientsRequired()]</v>
      </c>
      <c r="C39" s="25">
        <f>'Thermonix Grader #1'!C39</f>
        <v>0</v>
      </c>
      <c r="D39" s="25">
        <f>'Thermonix Grader #2'!C39</f>
        <v>0</v>
      </c>
      <c r="E39" s="5"/>
      <c r="F39" s="44">
        <v>0.5</v>
      </c>
      <c r="G39" s="49">
        <f>COUNTIFS($A$2:$A$88,$F$37,$C$2:$C$88,$F39,$D$2:$D$88,G$37)</f>
        <v>0</v>
      </c>
      <c r="H39" s="2">
        <f>COUNTIFS($A$2:$A$88,$F$37,$C$2:$C$88,$F39,$D$2:$D$88,H$37)</f>
        <v>0</v>
      </c>
      <c r="I39" s="50">
        <f>COUNTIFS($A$2:$A$88,$F$37,$C$2:$C$88,$F39,$D$2:$D$88,I$37)</f>
        <v>0</v>
      </c>
      <c r="J39" s="2">
        <f t="shared" si="10"/>
        <v>0</v>
      </c>
      <c r="K39" s="2"/>
      <c r="L39" s="48" t="s">
        <v>92</v>
      </c>
      <c r="M39" s="49">
        <f t="array" ref="M39">SUMPRODUCT(J38:J40/COUNTIF($A$2:$A$98,F37), TRANSPOSE(G41:I41)/COUNTIF($A$2:$A$98,F37))</f>
        <v>0.7142857142857143</v>
      </c>
      <c r="N39" s="50" t="s">
        <v>93</v>
      </c>
      <c r="O39" s="5"/>
      <c r="P39" s="5"/>
      <c r="Q39" s="5"/>
      <c r="R39" s="5"/>
      <c r="S39" s="5"/>
      <c r="T39" s="5"/>
    </row>
    <row r="40" spans="1:20" ht="15" customHeight="1" x14ac:dyDescent="0.15">
      <c r="A40" s="3" t="str">
        <f>Thermonix!A40</f>
        <v>Action</v>
      </c>
      <c r="B40" s="4" t="str">
        <f>Thermonix!B40</f>
        <v>setIngredients()</v>
      </c>
      <c r="C40" s="25">
        <f>'Thermonix Grader #1'!C40</f>
        <v>0</v>
      </c>
      <c r="D40" s="25">
        <f>'Thermonix Grader #2'!C40</f>
        <v>0</v>
      </c>
      <c r="E40" s="5"/>
      <c r="F40" s="44">
        <v>1</v>
      </c>
      <c r="G40" s="51">
        <f>COUNTIFS($A$2:$A$44,$F$37,$C$2:$C$44,$F40,$D$2:$D$44,G$37)+MAX(C48-D48,0)</f>
        <v>2</v>
      </c>
      <c r="H40" s="52">
        <f>COUNTIFS($A$2:$A$88,$F$37,$C$2:$C$88,$F40,$D$2:$D$88,H$37)</f>
        <v>0</v>
      </c>
      <c r="I40" s="53">
        <f>COUNTIFS($A$2:$A$44,$F$37,$C$2:$C$44,$F40,$D$2:$D$44,I$37) + MIN(C48,D48)</f>
        <v>0</v>
      </c>
      <c r="J40" s="2">
        <f t="shared" si="10"/>
        <v>2</v>
      </c>
      <c r="L40" s="48" t="s">
        <v>81</v>
      </c>
      <c r="M40" s="51">
        <f>(M38-M39)/(1-M39)</f>
        <v>0</v>
      </c>
      <c r="N40" s="53" t="s">
        <v>94</v>
      </c>
      <c r="O40" s="5"/>
      <c r="P40" s="5"/>
      <c r="Q40" s="5"/>
      <c r="R40" s="5"/>
      <c r="S40" s="5"/>
      <c r="T40" s="5"/>
    </row>
    <row r="41" spans="1:20" ht="15" customHeight="1" x14ac:dyDescent="0.15">
      <c r="A41" s="3" t="str">
        <f>Thermonix!A41</f>
        <v>Transition</v>
      </c>
      <c r="B41" s="4" t="str">
        <f>Thermonix!B41</f>
        <v>after cookingTime (Cook ⇒ Ready)</v>
      </c>
      <c r="C41" s="25">
        <f>'Thermonix Grader #1'!C41</f>
        <v>1</v>
      </c>
      <c r="D41" s="25">
        <f>'Thermonix Grader #2'!C41</f>
        <v>1</v>
      </c>
      <c r="E41" s="5"/>
      <c r="F41" s="54" t="s">
        <v>95</v>
      </c>
      <c r="G41" s="2">
        <f t="shared" ref="G41:I41" si="11">SUM(G38:G40)</f>
        <v>7</v>
      </c>
      <c r="H41" s="2">
        <f t="shared" si="11"/>
        <v>0</v>
      </c>
      <c r="I41" s="2">
        <f t="shared" si="11"/>
        <v>0</v>
      </c>
      <c r="J41" s="2"/>
      <c r="L41" s="2"/>
      <c r="M41" s="55"/>
      <c r="O41" s="5"/>
      <c r="P41" s="5"/>
      <c r="Q41" s="5"/>
      <c r="R41" s="5"/>
      <c r="S41" s="5"/>
      <c r="T41" s="5"/>
    </row>
    <row r="42" spans="1:20" ht="15" customHeight="1" x14ac:dyDescent="0.15">
      <c r="A42" s="3" t="str">
        <f>Thermonix!A42</f>
        <v>Guard</v>
      </c>
      <c r="B42" s="4" t="str">
        <f>Thermonix!B42</f>
        <v>[!moreIngredientsRequired()]</v>
      </c>
      <c r="C42" s="25">
        <f>'Thermonix Grader #1'!C42</f>
        <v>1</v>
      </c>
      <c r="D42" s="25">
        <f>'Thermonix Grader #2'!C42</f>
        <v>0.5</v>
      </c>
      <c r="E42" s="5"/>
      <c r="O42" s="5"/>
      <c r="P42" s="5"/>
      <c r="Q42" s="5"/>
      <c r="R42" s="5"/>
      <c r="S42" s="5"/>
      <c r="T42" s="5"/>
    </row>
    <row r="43" spans="1:20" ht="15" customHeight="1" x14ac:dyDescent="0.15">
      <c r="A43" s="3" t="str">
        <f>Thermonix!A43</f>
        <v>State</v>
      </c>
      <c r="B43" s="4" t="str">
        <f>Thermonix!B43</f>
        <v>Ready</v>
      </c>
      <c r="C43" s="25">
        <f>'Thermonix Grader #1'!C43</f>
        <v>1</v>
      </c>
      <c r="D43" s="25">
        <f>'Thermonix Grader #2'!C43</f>
        <v>1</v>
      </c>
      <c r="E43" s="5"/>
      <c r="F43" s="76" t="s">
        <v>106</v>
      </c>
      <c r="G43" s="77"/>
      <c r="H43" s="77"/>
      <c r="I43" s="77"/>
      <c r="K43" s="2"/>
      <c r="L43" s="80" t="s">
        <v>107</v>
      </c>
      <c r="M43" s="81"/>
      <c r="N43" s="81"/>
      <c r="O43" s="5"/>
      <c r="P43" s="5"/>
      <c r="Q43" s="5"/>
      <c r="R43" s="5"/>
      <c r="S43" s="5"/>
      <c r="T43" s="5"/>
    </row>
    <row r="44" spans="1:20" ht="15" customHeight="1" x14ac:dyDescent="0.15">
      <c r="A44" s="73" t="str">
        <f>Thermonix!A44</f>
        <v>Transition</v>
      </c>
      <c r="B44" s="74" t="str">
        <f>Thermonix!B44</f>
        <v>after 14min 30sec (Ready ⇒ Preparing Shutdown)</v>
      </c>
      <c r="C44" s="75">
        <f>'Thermonix Grader #1'!C44</f>
        <v>1</v>
      </c>
      <c r="D44" s="75">
        <f>'Thermonix Grader #2'!C44</f>
        <v>1</v>
      </c>
      <c r="E44" s="5"/>
      <c r="F44" s="2" t="s">
        <v>14</v>
      </c>
      <c r="G44" s="56" t="s">
        <v>83</v>
      </c>
      <c r="H44" s="56" t="s">
        <v>84</v>
      </c>
      <c r="I44" s="56" t="s">
        <v>85</v>
      </c>
      <c r="J44" s="57" t="s">
        <v>86</v>
      </c>
      <c r="K44" s="2"/>
      <c r="L44" s="58" t="s">
        <v>87</v>
      </c>
      <c r="M44" s="58" t="s">
        <v>88</v>
      </c>
      <c r="N44" s="58" t="s">
        <v>89</v>
      </c>
      <c r="O44" s="5"/>
      <c r="P44" s="5"/>
      <c r="Q44" s="5"/>
      <c r="R44" s="5"/>
      <c r="S44" s="5"/>
      <c r="T44" s="5"/>
    </row>
    <row r="45" spans="1:20" ht="15" customHeight="1" x14ac:dyDescent="0.15">
      <c r="A45" s="3" t="str">
        <f>Thermonix!A45</f>
        <v>State</v>
      </c>
      <c r="B45" s="4" t="str">
        <f>Thermonix!B45</f>
        <v>additional elements</v>
      </c>
      <c r="C45" s="25">
        <f>'Thermonix Grader #1'!C45</f>
        <v>0</v>
      </c>
      <c r="D45" s="25">
        <f>'Thermonix Grader #2'!C45</f>
        <v>0</v>
      </c>
      <c r="E45" s="5"/>
      <c r="F45" s="44">
        <v>0</v>
      </c>
      <c r="G45" s="45">
        <f>COUNTIFS($A$2:$A$88,$F$44,$C$2:$C$88,$F45,$D$2:$D$88,G$44)</f>
        <v>2</v>
      </c>
      <c r="H45" s="46">
        <f>COUNTIFS($A$2:$A$88,$F$44,$C$2:$C$88,$F45,$D$2:$D$88,H$44)</f>
        <v>0</v>
      </c>
      <c r="I45" s="47">
        <f>COUNTIFS($A$2:$A$44,$F$44,$C$2:$C$44,$F45,$D$2:$D$44,I$44) + MAX(D51-C51,0)</f>
        <v>0</v>
      </c>
      <c r="J45" s="2">
        <f t="shared" ref="J45:J47" si="12">SUM(G45:I45)</f>
        <v>2</v>
      </c>
      <c r="K45" s="2"/>
      <c r="L45" s="48" t="s">
        <v>90</v>
      </c>
      <c r="M45" s="45">
        <f>(G45+H46+I47)/COUNTIF($A$2:$A$98,F44)</f>
        <v>1</v>
      </c>
      <c r="N45" s="47" t="s">
        <v>91</v>
      </c>
      <c r="O45" s="5"/>
      <c r="P45" s="5"/>
      <c r="Q45" s="5"/>
      <c r="R45" s="5"/>
      <c r="S45" s="5"/>
      <c r="T45" s="5"/>
    </row>
    <row r="46" spans="1:20" ht="12.75" customHeight="1" x14ac:dyDescent="0.15">
      <c r="A46" s="3" t="str">
        <f>Thermonix!A46</f>
        <v>Transition</v>
      </c>
      <c r="B46" s="4" t="str">
        <f>Thermonix!B46</f>
        <v>additional elements</v>
      </c>
      <c r="C46" s="25">
        <f>'Thermonix Grader #1'!C46</f>
        <v>0</v>
      </c>
      <c r="D46" s="25">
        <f>'Thermonix Grader #2'!C46</f>
        <v>0</v>
      </c>
      <c r="F46" s="44">
        <v>0.5</v>
      </c>
      <c r="G46" s="49">
        <f>COUNTIFS($A$2:$A$88,$F$44,$C$2:$C$88,$F46,$D$2:$D$88,G$44)</f>
        <v>0</v>
      </c>
      <c r="H46" s="2">
        <f>COUNTIFS($A$2:$A$88,$F$44,$C$2:$C$88,$F46,$D$2:$D$88,H$44)</f>
        <v>0</v>
      </c>
      <c r="I46" s="50">
        <f>COUNTIFS($A$2:$A$88,$F$44,$C$2:$C$88,$F46,$D$2:$D$88,I$44)</f>
        <v>0</v>
      </c>
      <c r="J46" s="2">
        <f t="shared" si="12"/>
        <v>0</v>
      </c>
      <c r="K46" s="2"/>
      <c r="L46" s="48" t="s">
        <v>92</v>
      </c>
      <c r="M46" s="49">
        <f t="array" ref="M46">SUMPRODUCT(J45:J47/COUNTIF($A$2:$A$98,F44), TRANSPOSE(G48:I48)/COUNTIF($A$2:$A$98,F44))</f>
        <v>1</v>
      </c>
      <c r="N46" s="50" t="s">
        <v>93</v>
      </c>
    </row>
    <row r="47" spans="1:20" ht="12.75" customHeight="1" x14ac:dyDescent="0.15">
      <c r="A47" s="3" t="str">
        <f>Thermonix!A47</f>
        <v>Guard</v>
      </c>
      <c r="B47" s="4" t="str">
        <f>Thermonix!B47</f>
        <v>additional elements</v>
      </c>
      <c r="C47" s="25">
        <f>'Thermonix Grader #1'!C47</f>
        <v>0</v>
      </c>
      <c r="D47" s="25">
        <f>'Thermonix Grader #2'!C47</f>
        <v>0</v>
      </c>
      <c r="F47" s="44">
        <v>1</v>
      </c>
      <c r="G47" s="51">
        <f>COUNTIFS($A$2:$A$44,$F$44,$C$2:$C$44,$F47,$D$2:$D$44,G$44) + MAX(C51-D51,0)</f>
        <v>0</v>
      </c>
      <c r="H47" s="52">
        <f>COUNTIFS($A$2:$A$88,$F$44,$C$2:$C$88,$F47,$D$2:$D$88,H$44)</f>
        <v>0</v>
      </c>
      <c r="I47" s="53">
        <f>COUNTIFS($A$2:$A$44,$F$44,$C$2:$C$44,$F47,$D$2:$D$44,I$44) + MIN(C51,D51)</f>
        <v>0</v>
      </c>
      <c r="J47" s="2">
        <f t="shared" si="12"/>
        <v>0</v>
      </c>
      <c r="L47" s="48" t="s">
        <v>81</v>
      </c>
      <c r="M47" s="51" t="e">
        <f>(M45-M46)/(1-M46)</f>
        <v>#DIV/0!</v>
      </c>
      <c r="N47" s="53" t="s">
        <v>94</v>
      </c>
    </row>
    <row r="48" spans="1:20" ht="12.75" customHeight="1" x14ac:dyDescent="0.15">
      <c r="A48" s="3" t="str">
        <f>Thermonix!A48</f>
        <v>Action</v>
      </c>
      <c r="B48" s="4" t="str">
        <f>Thermonix!B48</f>
        <v>additional elements</v>
      </c>
      <c r="C48" s="25">
        <f>'Thermonix Grader #1'!C48</f>
        <v>0</v>
      </c>
      <c r="D48" s="25">
        <f>'Thermonix Grader #2'!C48</f>
        <v>0</v>
      </c>
      <c r="F48" s="54" t="s">
        <v>95</v>
      </c>
      <c r="G48" s="2">
        <f t="shared" ref="G48:I48" si="13">SUM(G45:G47)</f>
        <v>2</v>
      </c>
      <c r="H48" s="2">
        <f t="shared" si="13"/>
        <v>0</v>
      </c>
      <c r="I48" s="2">
        <f t="shared" si="13"/>
        <v>0</v>
      </c>
      <c r="J48" s="2"/>
      <c r="L48" s="2"/>
      <c r="M48" s="55"/>
    </row>
    <row r="49" spans="1:14" ht="12.75" customHeight="1" x14ac:dyDescent="0.15">
      <c r="A49" s="3" t="str">
        <f>Thermonix!A49</f>
        <v>Composite State</v>
      </c>
      <c r="B49" s="4" t="str">
        <f>Thermonix!B49</f>
        <v>additional elements</v>
      </c>
      <c r="C49" s="25">
        <f>'Thermonix Grader #1'!C49</f>
        <v>0</v>
      </c>
      <c r="D49" s="25">
        <f>'Thermonix Grader #2'!C49</f>
        <v>0</v>
      </c>
    </row>
    <row r="50" spans="1:14" ht="12.75" customHeight="1" x14ac:dyDescent="0.15">
      <c r="A50" s="3" t="str">
        <f>Thermonix!A50</f>
        <v>Region</v>
      </c>
      <c r="B50" s="4" t="str">
        <f>Thermonix!B50</f>
        <v>additional elements</v>
      </c>
      <c r="C50" s="25">
        <f>'Thermonix Grader #1'!C50</f>
        <v>0</v>
      </c>
      <c r="D50" s="25">
        <f>'Thermonix Grader #2'!C50</f>
        <v>0</v>
      </c>
      <c r="F50" s="76" t="s">
        <v>108</v>
      </c>
      <c r="G50" s="77"/>
      <c r="H50" s="77"/>
      <c r="I50" s="77"/>
      <c r="K50" s="2"/>
      <c r="L50" s="80" t="s">
        <v>109</v>
      </c>
      <c r="M50" s="81"/>
      <c r="N50" s="81"/>
    </row>
    <row r="51" spans="1:14" ht="12.75" customHeight="1" x14ac:dyDescent="0.15">
      <c r="A51" s="3" t="str">
        <f>Thermonix!A51</f>
        <v>History State</v>
      </c>
      <c r="B51" s="4" t="str">
        <f>Thermonix!B51</f>
        <v>additional elements</v>
      </c>
      <c r="C51" s="25">
        <f>'Thermonix Grader #1'!C51</f>
        <v>0</v>
      </c>
      <c r="D51" s="25">
        <f>'Thermonix Grader #2'!C51</f>
        <v>0</v>
      </c>
      <c r="F51" s="2" t="s">
        <v>48</v>
      </c>
      <c r="G51" s="56" t="s">
        <v>83</v>
      </c>
      <c r="H51" s="56" t="s">
        <v>84</v>
      </c>
      <c r="I51" s="56" t="s">
        <v>85</v>
      </c>
      <c r="J51" s="57" t="s">
        <v>86</v>
      </c>
      <c r="K51" s="2"/>
      <c r="L51" s="58" t="s">
        <v>87</v>
      </c>
      <c r="M51" s="58" t="s">
        <v>88</v>
      </c>
      <c r="N51" s="58" t="s">
        <v>89</v>
      </c>
    </row>
    <row r="52" spans="1:14" ht="12.75" customHeight="1" x14ac:dyDescent="0.15">
      <c r="A52" s="3"/>
      <c r="B52" s="4"/>
      <c r="C52" s="5"/>
      <c r="D52" s="5"/>
      <c r="F52" s="44">
        <v>0</v>
      </c>
      <c r="G52" s="45">
        <f>COUNTIFS($A$2:$A$88,$F$51,$C$2:$C$88,$F52,$D$2:$D$88,G$51)</f>
        <v>1</v>
      </c>
      <c r="H52" s="46">
        <f>COUNTIFS($A$2:$A$88,$F$51,$C$2:$C$88,$F52,$D$2:$D$88,H$51)</f>
        <v>0</v>
      </c>
      <c r="I52" s="47">
        <f>COUNTIFS($A$2:$A$44,$F$51,$C$2:$C$44,$F52,$D$2:$D$44,I$51)+MAX(D50-C50,0)</f>
        <v>0</v>
      </c>
      <c r="J52" s="2">
        <f t="shared" ref="J52:J54" si="14">SUM(G52:I52)</f>
        <v>1</v>
      </c>
      <c r="K52" s="2"/>
      <c r="L52" s="48" t="s">
        <v>90</v>
      </c>
      <c r="M52" s="45">
        <f>(G52+H53+I54)/COUNTIF($A$2:$A$98,F51)</f>
        <v>1</v>
      </c>
      <c r="N52" s="47" t="s">
        <v>91</v>
      </c>
    </row>
    <row r="53" spans="1:14" ht="12.75" customHeight="1" x14ac:dyDescent="0.15">
      <c r="A53" s="3"/>
      <c r="B53" s="4"/>
      <c r="C53" s="5"/>
      <c r="D53" s="5"/>
      <c r="F53" s="44">
        <v>0.5</v>
      </c>
      <c r="G53" s="49">
        <f>COUNTIFS($A$2:$A$88,$F$51,$C$2:$C$88,$F53,$D$2:$D$88,G$51)</f>
        <v>0</v>
      </c>
      <c r="H53" s="2">
        <f>COUNTIFS($A$2:$A$88,$F$51,$C$2:$C$88,$F53,$D$2:$D$88,H$51)</f>
        <v>0</v>
      </c>
      <c r="I53" s="50">
        <f>COUNTIFS($A$2:$A$88,$F$51,$C$2:$C$88,$F53,$D$2:$D$88,I$51)</f>
        <v>0</v>
      </c>
      <c r="J53" s="2">
        <f t="shared" si="14"/>
        <v>0</v>
      </c>
      <c r="K53" s="2"/>
      <c r="L53" s="48" t="s">
        <v>92</v>
      </c>
      <c r="M53" s="49">
        <f t="array" ref="M53">SUMPRODUCT(J52:J54/COUNTIF($A$2:$A$98,F51), TRANSPOSE(G55:I55)/COUNTIF($A$2:$A$98,F51))</f>
        <v>1</v>
      </c>
      <c r="N53" s="50" t="s">
        <v>93</v>
      </c>
    </row>
    <row r="54" spans="1:14" ht="12.75" customHeight="1" x14ac:dyDescent="0.15">
      <c r="A54" s="3"/>
      <c r="B54" s="4"/>
      <c r="C54" s="5"/>
      <c r="D54" s="5"/>
      <c r="F54" s="44">
        <v>1</v>
      </c>
      <c r="G54" s="51">
        <f>COUNTIFS($A$2:$A$44,$F$51,$C$2:$C$44,$F54,$D$2:$D$44,G$51) + MAX(C50-D50,0)</f>
        <v>0</v>
      </c>
      <c r="H54" s="52">
        <f>COUNTIFS($A$2:$A$88,$F$51,$C$2:$C$88,$F54,$D$2:$D$88,H$51)</f>
        <v>0</v>
      </c>
      <c r="I54" s="53">
        <f>COUNTIFS($A$2:$A$44,$F$51,$C$2:$C$44,$F54,$D$2:$D$44,I$51)+MIN(C50,D50)</f>
        <v>0</v>
      </c>
      <c r="J54" s="2">
        <f t="shared" si="14"/>
        <v>0</v>
      </c>
      <c r="L54" s="48" t="s">
        <v>81</v>
      </c>
      <c r="M54" s="51" t="e">
        <f>(M52-M53)/(1-M53)</f>
        <v>#DIV/0!</v>
      </c>
      <c r="N54" s="53" t="s">
        <v>94</v>
      </c>
    </row>
    <row r="55" spans="1:14" ht="12.75" customHeight="1" x14ac:dyDescent="0.15">
      <c r="A55" s="3"/>
      <c r="B55" s="4"/>
      <c r="C55" s="5"/>
      <c r="D55" s="5"/>
      <c r="F55" s="54" t="s">
        <v>95</v>
      </c>
      <c r="G55" s="2">
        <f t="shared" ref="G55:I55" si="15">SUM(G52:G54)</f>
        <v>1</v>
      </c>
      <c r="H55" s="2">
        <f t="shared" si="15"/>
        <v>0</v>
      </c>
      <c r="I55" s="2">
        <f t="shared" si="15"/>
        <v>0</v>
      </c>
      <c r="J55" s="2"/>
      <c r="L55" s="2"/>
      <c r="M55" s="55"/>
    </row>
    <row r="56" spans="1:14" ht="12.75" customHeight="1" x14ac:dyDescent="0.15">
      <c r="A56" s="3"/>
      <c r="B56" s="4"/>
      <c r="C56" s="5"/>
      <c r="D56" s="5"/>
    </row>
    <row r="57" spans="1:14" ht="12.75" customHeight="1" x14ac:dyDescent="0.15">
      <c r="A57" s="3"/>
      <c r="B57" s="4"/>
      <c r="C57" s="5"/>
      <c r="D57" s="5"/>
    </row>
    <row r="58" spans="1:14" ht="12.75" customHeight="1" x14ac:dyDescent="0.15">
      <c r="A58" s="3"/>
      <c r="B58" s="4"/>
      <c r="C58" s="5"/>
      <c r="D58" s="5"/>
    </row>
    <row r="59" spans="1:14" ht="12.75" customHeight="1" x14ac:dyDescent="0.15">
      <c r="A59" s="3"/>
      <c r="B59" s="4"/>
      <c r="C59" s="5"/>
      <c r="D59" s="5"/>
    </row>
    <row r="60" spans="1:14" ht="12.75" customHeight="1" x14ac:dyDescent="0.15">
      <c r="A60" s="3"/>
      <c r="B60" s="4"/>
      <c r="C60" s="5"/>
      <c r="D60" s="5"/>
    </row>
    <row r="61" spans="1:14" ht="12.75" customHeight="1" x14ac:dyDescent="0.15">
      <c r="A61" s="3"/>
      <c r="B61" s="4"/>
      <c r="C61" s="5"/>
      <c r="D61" s="5"/>
    </row>
    <row r="62" spans="1:14" ht="12.75" customHeight="1" x14ac:dyDescent="0.15">
      <c r="A62" s="3"/>
      <c r="B62" s="4"/>
      <c r="C62" s="5"/>
      <c r="D62" s="5"/>
    </row>
    <row r="63" spans="1:14" ht="12.75" customHeight="1" x14ac:dyDescent="0.15">
      <c r="A63" s="3"/>
      <c r="B63" s="4"/>
      <c r="C63" s="5"/>
      <c r="D63" s="5"/>
    </row>
    <row r="64" spans="1:14" ht="12.75" customHeight="1" x14ac:dyDescent="0.15">
      <c r="A64" s="3"/>
      <c r="B64" s="4"/>
      <c r="C64" s="5"/>
      <c r="D64" s="5"/>
    </row>
    <row r="65" spans="1:4" ht="12.75" customHeight="1" x14ac:dyDescent="0.15">
      <c r="A65" s="3"/>
      <c r="B65" s="4"/>
      <c r="C65" s="5"/>
      <c r="D65" s="5"/>
    </row>
    <row r="66" spans="1:4" ht="12.75" customHeight="1" x14ac:dyDescent="0.15">
      <c r="A66" s="3"/>
      <c r="B66" s="4"/>
      <c r="C66" s="5"/>
      <c r="D66" s="5"/>
    </row>
    <row r="67" spans="1:4" ht="12.75" customHeight="1" x14ac:dyDescent="0.15">
      <c r="A67" s="3"/>
      <c r="B67" s="4"/>
      <c r="C67" s="5"/>
      <c r="D67" s="5"/>
    </row>
    <row r="68" spans="1:4" ht="12.75" customHeight="1" x14ac:dyDescent="0.15">
      <c r="A68" s="3"/>
      <c r="B68" s="4"/>
      <c r="C68" s="5"/>
      <c r="D68" s="5"/>
    </row>
    <row r="69" spans="1:4" ht="12.75" customHeight="1" x14ac:dyDescent="0.15">
      <c r="A69" s="3"/>
      <c r="B69" s="4"/>
      <c r="C69" s="5"/>
      <c r="D69" s="5"/>
    </row>
    <row r="70" spans="1:4" ht="12.75" customHeight="1" x14ac:dyDescent="0.15">
      <c r="A70" s="3"/>
      <c r="B70" s="4"/>
      <c r="C70" s="5"/>
      <c r="D70" s="5"/>
    </row>
    <row r="71" spans="1:4" ht="12.75" customHeight="1" x14ac:dyDescent="0.15">
      <c r="A71" s="3"/>
      <c r="B71" s="4"/>
      <c r="C71" s="5"/>
      <c r="D71" s="5"/>
    </row>
    <row r="72" spans="1:4" ht="12.75" customHeight="1" x14ac:dyDescent="0.15">
      <c r="A72" s="3"/>
      <c r="B72" s="4"/>
      <c r="C72" s="5"/>
      <c r="D72" s="5"/>
    </row>
    <row r="73" spans="1:4" ht="12.75" customHeight="1" x14ac:dyDescent="0.15">
      <c r="A73" s="3"/>
      <c r="B73" s="4"/>
      <c r="C73" s="5"/>
      <c r="D73" s="5"/>
    </row>
    <row r="74" spans="1:4" ht="12.75" customHeight="1" x14ac:dyDescent="0.15">
      <c r="A74" s="3"/>
      <c r="B74" s="4"/>
      <c r="C74" s="5"/>
      <c r="D74" s="5"/>
    </row>
    <row r="75" spans="1:4" ht="12.75" customHeight="1" x14ac:dyDescent="0.15">
      <c r="A75" s="3"/>
      <c r="B75" s="4"/>
      <c r="D75" s="5"/>
    </row>
    <row r="76" spans="1:4" ht="12.75" customHeight="1" x14ac:dyDescent="0.15">
      <c r="A76" s="3"/>
      <c r="B76" s="4"/>
      <c r="D76" s="5"/>
    </row>
    <row r="77" spans="1:4" ht="12.75" customHeight="1" x14ac:dyDescent="0.15">
      <c r="A77" s="3"/>
      <c r="B77" s="4"/>
      <c r="D77" s="5"/>
    </row>
    <row r="78" spans="1:4" ht="12.75" customHeight="1" x14ac:dyDescent="0.15">
      <c r="A78" s="3"/>
      <c r="B78" s="4"/>
      <c r="D78" s="5"/>
    </row>
    <row r="79" spans="1:4" ht="12.75" customHeight="1" x14ac:dyDescent="0.15">
      <c r="A79" s="3"/>
      <c r="B79" s="4"/>
      <c r="D79" s="5"/>
    </row>
    <row r="80" spans="1:4" ht="12.75" customHeight="1" x14ac:dyDescent="0.15">
      <c r="A80" s="3"/>
      <c r="B80" s="4"/>
      <c r="D80" s="5"/>
    </row>
    <row r="81" spans="1:4" ht="12.75" customHeight="1" x14ac:dyDescent="0.15">
      <c r="A81" s="3"/>
      <c r="B81" s="4"/>
      <c r="D81" s="5"/>
    </row>
    <row r="82" spans="1:4" ht="12.75" customHeight="1" x14ac:dyDescent="0.15">
      <c r="A82" s="3"/>
      <c r="B82" s="4"/>
      <c r="D82" s="5"/>
    </row>
    <row r="83" spans="1:4" ht="12.75" customHeight="1" x14ac:dyDescent="0.15">
      <c r="A83" s="3"/>
      <c r="B83" s="4"/>
      <c r="D83" s="5"/>
    </row>
    <row r="84" spans="1:4" ht="12.75" customHeight="1" x14ac:dyDescent="0.15">
      <c r="A84" s="3"/>
      <c r="B84" s="4"/>
    </row>
    <row r="85" spans="1:4" ht="12.75" customHeight="1" x14ac:dyDescent="0.15">
      <c r="A85" s="1"/>
      <c r="B85" s="2"/>
    </row>
    <row r="86" spans="1:4" ht="12.75" customHeight="1" x14ac:dyDescent="0.15">
      <c r="A86" s="1"/>
      <c r="B86" s="2"/>
    </row>
    <row r="87" spans="1:4" ht="12.75" customHeight="1" x14ac:dyDescent="0.15">
      <c r="A87" s="1"/>
      <c r="B87" s="2"/>
    </row>
    <row r="88" spans="1:4" ht="12.75" customHeight="1" x14ac:dyDescent="0.15">
      <c r="A88" s="1"/>
      <c r="B88" s="2"/>
    </row>
    <row r="89" spans="1:4" ht="12.75" customHeight="1" x14ac:dyDescent="0.15">
      <c r="A89" s="1"/>
      <c r="B89" s="2"/>
    </row>
    <row r="90" spans="1:4" ht="12.75" customHeight="1" x14ac:dyDescent="0.15">
      <c r="A90" s="1"/>
      <c r="B90" s="2"/>
    </row>
    <row r="91" spans="1:4" ht="12.75" customHeight="1" x14ac:dyDescent="0.15">
      <c r="A91" s="1"/>
      <c r="B91" s="2"/>
    </row>
    <row r="92" spans="1:4" ht="12.75" customHeight="1" x14ac:dyDescent="0.15">
      <c r="A92" s="1"/>
      <c r="B92" s="2"/>
    </row>
    <row r="93" spans="1:4" ht="12.75" customHeight="1" x14ac:dyDescent="0.15">
      <c r="A93" s="1"/>
      <c r="B93" s="2"/>
    </row>
    <row r="94" spans="1:4" ht="12.75" customHeight="1" x14ac:dyDescent="0.15">
      <c r="A94" s="1"/>
      <c r="B94" s="2"/>
    </row>
    <row r="95" spans="1:4" ht="12.75" customHeight="1" x14ac:dyDescent="0.15">
      <c r="A95" s="1"/>
      <c r="B95" s="2"/>
    </row>
    <row r="96" spans="1:4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/>
    <row r="271" spans="1:2" ht="15.75" customHeight="1" x14ac:dyDescent="0.15"/>
    <row r="272" spans="1: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99"/>
  <sheetViews>
    <sheetView topLeftCell="A16" workbookViewId="0">
      <selection activeCell="C4" sqref="C4"/>
    </sheetView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10.83203125" customWidth="1"/>
    <col min="5" max="5" width="10.6640625" customWidth="1"/>
    <col min="6" max="6" width="29.33203125" customWidth="1"/>
    <col min="7" max="9" width="10.6640625" customWidth="1"/>
    <col min="11" max="11" width="10.6640625" customWidth="1"/>
    <col min="12" max="12" width="11.5" customWidth="1"/>
    <col min="13" max="13" width="11.6640625" customWidth="1"/>
    <col min="14" max="14" width="13.33203125" customWidth="1"/>
    <col min="15" max="17" width="10.6640625" customWidth="1"/>
    <col min="18" max="18" width="13.5" customWidth="1"/>
    <col min="22" max="22" width="36.33203125" customWidth="1"/>
    <col min="23" max="23" width="12.5" customWidth="1"/>
    <col min="24" max="24" width="54.83203125" customWidth="1"/>
  </cols>
  <sheetData>
    <row r="1" spans="1:24" ht="12.75" customHeight="1" x14ac:dyDescent="0.15">
      <c r="A1" s="1" t="s">
        <v>0</v>
      </c>
      <c r="B1" s="2" t="s">
        <v>1</v>
      </c>
      <c r="C1" s="14" t="s">
        <v>49</v>
      </c>
      <c r="D1" s="14" t="s">
        <v>54</v>
      </c>
      <c r="F1" s="76" t="s">
        <v>80</v>
      </c>
      <c r="G1" s="77"/>
      <c r="H1" s="77"/>
      <c r="I1" s="77"/>
      <c r="L1" s="76" t="s">
        <v>110</v>
      </c>
      <c r="M1" s="77"/>
      <c r="N1" s="77"/>
      <c r="O1" s="77"/>
    </row>
    <row r="2" spans="1:24" ht="12.75" customHeight="1" x14ac:dyDescent="0.15">
      <c r="A2" s="3" t="str">
        <f>Thermonix!A2</f>
        <v>State</v>
      </c>
      <c r="B2" s="4" t="str">
        <f>Thermonix!B2</f>
        <v>initial state (⇒ TransportationMode)</v>
      </c>
      <c r="C2" s="25">
        <f>'Thermonix Grader #1'!C2</f>
        <v>1</v>
      </c>
      <c r="D2" s="25">
        <f>'Thermonix Grader #2'!C2</f>
        <v>1</v>
      </c>
      <c r="F2" s="2" t="s">
        <v>82</v>
      </c>
      <c r="G2" s="39" t="s">
        <v>83</v>
      </c>
      <c r="H2" s="40" t="s">
        <v>84</v>
      </c>
      <c r="I2" s="41" t="s">
        <v>85</v>
      </c>
      <c r="J2" s="57" t="s">
        <v>86</v>
      </c>
      <c r="K2" s="2"/>
      <c r="L2" s="2" t="s">
        <v>82</v>
      </c>
      <c r="M2" s="56" t="s">
        <v>83</v>
      </c>
      <c r="N2" s="56" t="s">
        <v>84</v>
      </c>
      <c r="O2" s="56" t="s">
        <v>85</v>
      </c>
      <c r="P2" s="2"/>
      <c r="Q2" s="2" t="s">
        <v>82</v>
      </c>
      <c r="R2" s="56" t="s">
        <v>83</v>
      </c>
      <c r="S2" s="56" t="s">
        <v>84</v>
      </c>
      <c r="T2" s="56" t="s">
        <v>85</v>
      </c>
      <c r="V2" s="43" t="str">
        <f>"Metrics" &amp; " " &amp; F2</f>
        <v>Metrics Global</v>
      </c>
      <c r="W2" s="43" t="s">
        <v>88</v>
      </c>
      <c r="X2" s="43" t="s">
        <v>89</v>
      </c>
    </row>
    <row r="3" spans="1:24" ht="12.75" customHeight="1" x14ac:dyDescent="0.15">
      <c r="A3" s="3" t="str">
        <f>Thermonix!A3</f>
        <v>State</v>
      </c>
      <c r="B3" s="4" t="str">
        <f>Thermonix!B3</f>
        <v>TransportationMode</v>
      </c>
      <c r="C3" s="25">
        <f>'Thermonix Grader #1'!C3</f>
        <v>1</v>
      </c>
      <c r="D3" s="25">
        <f>'Thermonix Grader #2'!C3</f>
        <v>1</v>
      </c>
      <c r="F3" s="44">
        <v>0</v>
      </c>
      <c r="G3" s="45">
        <f>COUNTIFS($C$2:$C$88, $F3, $D$2:$D$88, G$2)</f>
        <v>22</v>
      </c>
      <c r="H3" s="46">
        <f>COUNTIFS($C$2:$C$44, $F3, $D$2:$D$44, H$2)</f>
        <v>0</v>
      </c>
      <c r="I3" s="47">
        <f>COUNTIFS($C$2:$C$44, $F3, $D$2:$D$44, I$2)+MAX(D45-C45,0)+MAX(D46-C46,0)+MAX(D47-C47,0)+MAX(D48-C48,0)+MAX(D49-C49,0)+MAX(D50-C50,0)+MAX(D51-C51,0)</f>
        <v>5</v>
      </c>
      <c r="J3" s="2">
        <f t="shared" ref="J3:J5" si="0">SUM(G3:I3)</f>
        <v>27</v>
      </c>
      <c r="K3" s="2"/>
      <c r="L3" s="44">
        <v>0</v>
      </c>
      <c r="M3" s="45">
        <f t="shared" ref="M3:O3" si="1">ABS(G$2-$F3)/1</f>
        <v>0</v>
      </c>
      <c r="N3" s="46">
        <f t="shared" si="1"/>
        <v>0.5</v>
      </c>
      <c r="O3" s="47">
        <f t="shared" si="1"/>
        <v>1</v>
      </c>
      <c r="P3" s="2"/>
      <c r="Q3" s="44">
        <v>0</v>
      </c>
      <c r="R3" s="45">
        <f t="shared" ref="R3:T3" si="2">($J3/$J$6) * (G$6/$J$6)</f>
        <v>0.27</v>
      </c>
      <c r="S3" s="46">
        <f t="shared" si="2"/>
        <v>1.0800000000000001E-2</v>
      </c>
      <c r="T3" s="47">
        <f t="shared" si="2"/>
        <v>0.25919999999999999</v>
      </c>
      <c r="U3" s="2"/>
      <c r="V3" s="48" t="s">
        <v>111</v>
      </c>
      <c r="W3" s="45">
        <f>SUMPRODUCT(G3:I5, M3:O5) /$J$6</f>
        <v>0.16</v>
      </c>
      <c r="X3" s="47" t="s">
        <v>112</v>
      </c>
    </row>
    <row r="4" spans="1:24" ht="12.75" customHeight="1" x14ac:dyDescent="0.15">
      <c r="A4" s="3" t="str">
        <f>Thermonix!A4</f>
        <v>Transition</v>
      </c>
      <c r="B4" s="4" t="str">
        <f>Thermonix!B4</f>
        <v>selectorPressed (TransportationMode ⇒ On)</v>
      </c>
      <c r="C4" s="25">
        <f>'Thermonix Grader #1'!C4</f>
        <v>1</v>
      </c>
      <c r="D4" s="25">
        <f>'Thermonix Grader #2'!C4</f>
        <v>1</v>
      </c>
      <c r="F4" s="44">
        <v>0.5</v>
      </c>
      <c r="G4" s="49">
        <f>COUNTIFS($C$2:$C$44, $F4, $D$2:$D$44, G$2)</f>
        <v>1</v>
      </c>
      <c r="H4" s="2">
        <f>COUNTIFS($C$2:$C$44, $F4, $D$2:$D$44, H$2)</f>
        <v>0</v>
      </c>
      <c r="I4" s="50">
        <f>COUNTIFS($C$2:$C$44, $F4, $D$2:$D$44, I$2)</f>
        <v>0</v>
      </c>
      <c r="J4" s="2">
        <f t="shared" si="0"/>
        <v>1</v>
      </c>
      <c r="K4" s="2"/>
      <c r="L4" s="44">
        <v>0.5</v>
      </c>
      <c r="M4" s="49">
        <f t="shared" ref="M4:M5" si="3">ABS(G$2-$F4)/1</f>
        <v>0.5</v>
      </c>
      <c r="N4" s="2">
        <f>ABS(H$2-$F4)/3</f>
        <v>0</v>
      </c>
      <c r="O4" s="50">
        <f>ABS(I$2-$F4)/1</f>
        <v>0.5</v>
      </c>
      <c r="P4" s="2"/>
      <c r="Q4" s="44">
        <v>0.5</v>
      </c>
      <c r="R4" s="49">
        <f t="shared" ref="R4:T4" si="4">($J4/$J$6) * (G$6/$J$6)</f>
        <v>0.01</v>
      </c>
      <c r="S4" s="2">
        <f t="shared" si="4"/>
        <v>4.0000000000000002E-4</v>
      </c>
      <c r="T4" s="50">
        <f t="shared" si="4"/>
        <v>9.5999999999999992E-3</v>
      </c>
      <c r="U4" s="2"/>
      <c r="V4" s="48" t="s">
        <v>113</v>
      </c>
      <c r="W4" s="49">
        <f>SUMPRODUCT(R3:T5, M3:O5)</f>
        <v>0.49880000000000008</v>
      </c>
      <c r="X4" s="50" t="s">
        <v>114</v>
      </c>
    </row>
    <row r="5" spans="1:24" ht="12.75" customHeight="1" x14ac:dyDescent="0.15">
      <c r="A5" s="3" t="str">
        <f>Thermonix!A5</f>
        <v>State</v>
      </c>
      <c r="B5" s="4" t="str">
        <f>Thermonix!B5</f>
        <v>PreparingOff</v>
      </c>
      <c r="C5" s="25">
        <f>'Thermonix Grader #1'!C5</f>
        <v>0</v>
      </c>
      <c r="D5" s="25">
        <f>'Thermonix Grader #2'!C5</f>
        <v>0</v>
      </c>
      <c r="F5" s="44">
        <v>1</v>
      </c>
      <c r="G5" s="51">
        <f>COUNTIFS($C$2:$C$44, $F5, $D$2:$D$44, G$2)+MAX(C45-D45,0)+MAX(C46-D46,0)+MAX(C47-D47,0)+MAX(C48-D48,0)+MAX(C49-D49,0)+MAX(C50-D50,0)+MAX(C51-D51,0)</f>
        <v>2</v>
      </c>
      <c r="H5" s="52">
        <f>COUNTIFS($C$2:$C$44, $F5, $D$2:$D$44, H$2)</f>
        <v>1</v>
      </c>
      <c r="I5" s="53">
        <f>COUNTIFS($C$2:$C$44, $F5, $D$2:$D$44, I$2)+ SUM(MIN(C45,D45), MIN(C46,D46), MIN(C47,D47), MIN(C48,D48), MIN(C49,D49), MIN(C50,D50), MIN(C51,D51))</f>
        <v>19</v>
      </c>
      <c r="J5" s="2">
        <f t="shared" si="0"/>
        <v>22</v>
      </c>
      <c r="K5" s="2"/>
      <c r="L5" s="44">
        <v>1</v>
      </c>
      <c r="M5" s="51">
        <f t="shared" si="3"/>
        <v>1</v>
      </c>
      <c r="N5" s="52">
        <f t="shared" ref="N5:O5" si="5">ABS(H$2-$F5)/1</f>
        <v>0.5</v>
      </c>
      <c r="O5" s="53">
        <f t="shared" si="5"/>
        <v>0</v>
      </c>
      <c r="P5" s="2"/>
      <c r="Q5" s="44">
        <v>1</v>
      </c>
      <c r="R5" s="51">
        <f t="shared" ref="R5:T5" si="6">($J5/$J$6) * (G$6/$J$6)</f>
        <v>0.22</v>
      </c>
      <c r="S5" s="52">
        <f t="shared" si="6"/>
        <v>8.8000000000000005E-3</v>
      </c>
      <c r="T5" s="53">
        <f t="shared" si="6"/>
        <v>0.2112</v>
      </c>
      <c r="U5" s="2"/>
      <c r="V5" s="48" t="s">
        <v>81</v>
      </c>
      <c r="W5" s="51">
        <f>1-W3/W4</f>
        <v>0.67923015236567763</v>
      </c>
      <c r="X5" s="53" t="s">
        <v>115</v>
      </c>
    </row>
    <row r="6" spans="1:24" ht="12.75" customHeight="1" x14ac:dyDescent="0.15">
      <c r="A6" s="3" t="str">
        <f>Thermonix!A6</f>
        <v>Transition</v>
      </c>
      <c r="B6" s="4" t="str">
        <f>Thermonix!B6</f>
        <v>selectorReleased (PreparingOff ⇒ On)</v>
      </c>
      <c r="C6" s="25">
        <f>'Thermonix Grader #1'!C6</f>
        <v>0</v>
      </c>
      <c r="D6" s="25">
        <f>'Thermonix Grader #2'!C6</f>
        <v>0</v>
      </c>
      <c r="F6" s="54" t="s">
        <v>95</v>
      </c>
      <c r="G6" s="2">
        <f t="shared" ref="G6:I6" si="7">SUM(G3:G5)</f>
        <v>25</v>
      </c>
      <c r="H6" s="2">
        <f t="shared" si="7"/>
        <v>1</v>
      </c>
      <c r="I6" s="2">
        <f t="shared" si="7"/>
        <v>24</v>
      </c>
      <c r="J6" s="2">
        <f>SUM(G3:I5)</f>
        <v>50</v>
      </c>
      <c r="L6" s="2"/>
      <c r="M6" s="2"/>
      <c r="N6" s="2"/>
      <c r="O6" s="2"/>
      <c r="P6" s="2"/>
      <c r="Q6" s="2"/>
      <c r="R6" s="2"/>
      <c r="S6" s="2"/>
      <c r="T6" s="2"/>
      <c r="V6" s="2"/>
      <c r="W6" s="55"/>
    </row>
    <row r="7" spans="1:24" ht="12.75" customHeight="1" x14ac:dyDescent="0.15">
      <c r="A7" s="3" t="str">
        <f>Thermonix!A7</f>
        <v>Transition</v>
      </c>
      <c r="B7" s="4" t="str">
        <f>Thermonix!B7</f>
        <v>after 5sec (PreparingOff ⇒ Off)</v>
      </c>
      <c r="C7" s="25">
        <f>'Thermonix Grader #1'!C7</f>
        <v>0</v>
      </c>
      <c r="D7" s="25">
        <f>'Thermonix Grader #2'!C7</f>
        <v>0</v>
      </c>
      <c r="L7" s="2"/>
      <c r="M7" s="2"/>
      <c r="N7" s="2"/>
    </row>
    <row r="8" spans="1:24" ht="12.75" customHeight="1" x14ac:dyDescent="0.15">
      <c r="A8" s="3" t="str">
        <f>Thermonix!A8</f>
        <v>State</v>
      </c>
      <c r="B8" s="4" t="str">
        <f>Thermonix!B8</f>
        <v>Off</v>
      </c>
      <c r="C8" s="25">
        <f>'Thermonix Grader #1'!C8</f>
        <v>1</v>
      </c>
      <c r="D8" s="25">
        <f>'Thermonix Grader #2'!C8</f>
        <v>1</v>
      </c>
      <c r="F8" s="76" t="s">
        <v>96</v>
      </c>
      <c r="G8" s="77"/>
      <c r="H8" s="77"/>
      <c r="I8" s="77"/>
    </row>
    <row r="9" spans="1:24" ht="12.75" customHeight="1" x14ac:dyDescent="0.15">
      <c r="A9" s="3" t="str">
        <f>Thermonix!A9</f>
        <v>Transition</v>
      </c>
      <c r="B9" s="4" t="str">
        <f>Thermonix!B9</f>
        <v>selectorPressed (Off ⇒ On)</v>
      </c>
      <c r="C9" s="25">
        <f>'Thermonix Grader #1'!C9</f>
        <v>1</v>
      </c>
      <c r="D9" s="25">
        <f>'Thermonix Grader #2'!C9</f>
        <v>1</v>
      </c>
      <c r="F9" s="2" t="s">
        <v>2</v>
      </c>
      <c r="G9" s="59" t="s">
        <v>83</v>
      </c>
      <c r="H9" s="59" t="s">
        <v>84</v>
      </c>
      <c r="I9" s="59" t="s">
        <v>85</v>
      </c>
      <c r="J9" s="57" t="s">
        <v>86</v>
      </c>
      <c r="K9" s="2"/>
      <c r="L9" s="2" t="s">
        <v>82</v>
      </c>
      <c r="M9" s="59" t="s">
        <v>83</v>
      </c>
      <c r="N9" s="59" t="s">
        <v>84</v>
      </c>
      <c r="O9" s="59" t="s">
        <v>85</v>
      </c>
      <c r="P9" s="2"/>
      <c r="Q9" s="2" t="s">
        <v>82</v>
      </c>
      <c r="R9" s="59" t="s">
        <v>83</v>
      </c>
      <c r="S9" s="59" t="s">
        <v>84</v>
      </c>
      <c r="T9" s="59" t="s">
        <v>85</v>
      </c>
      <c r="V9" s="43" t="str">
        <f>"Metrics" &amp; " " &amp; F9</f>
        <v>Metrics State</v>
      </c>
      <c r="W9" s="60" t="s">
        <v>88</v>
      </c>
      <c r="X9" s="60" t="s">
        <v>89</v>
      </c>
    </row>
    <row r="10" spans="1:24" ht="12.75" customHeight="1" x14ac:dyDescent="0.15">
      <c r="A10" s="3" t="str">
        <f>Thermonix!A10</f>
        <v>Composite State</v>
      </c>
      <c r="B10" s="4" t="str">
        <f>Thermonix!B10</f>
        <v>On</v>
      </c>
      <c r="C10" s="25">
        <f>'Thermonix Grader #1'!C10</f>
        <v>1</v>
      </c>
      <c r="D10" s="25">
        <f>'Thermonix Grader #2'!C10</f>
        <v>1</v>
      </c>
      <c r="F10" s="61">
        <v>0</v>
      </c>
      <c r="G10" s="45">
        <f>COUNTIFS($A$2:$A$88,$F$9,$C$2:$C$88,$F10,$D$2:$D$88,G$9)</f>
        <v>3</v>
      </c>
      <c r="H10" s="46">
        <f>COUNTIFS($A$2:$A$88,$F$9,$C$2:$C$88,$F10,$D$2:$D$88,H$9)</f>
        <v>0</v>
      </c>
      <c r="I10" s="47">
        <f>COUNTIFS($A$2:$A$44,$F$9,$C$2:$C$44,$F10,$D$2:$D$44,I$9) + MAX(D45-C45,0)</f>
        <v>1</v>
      </c>
      <c r="J10" s="2">
        <f t="shared" ref="J10:J12" si="8">SUM(G10:I10)</f>
        <v>4</v>
      </c>
      <c r="K10" s="2"/>
      <c r="L10" s="61">
        <v>0</v>
      </c>
      <c r="M10" s="45">
        <f t="shared" ref="M10:M12" si="9">ABS(G$2-$F10)/1</f>
        <v>0</v>
      </c>
      <c r="N10" s="46">
        <f t="shared" ref="N10:N11" si="10">ABS(H$2-$F10)/3</f>
        <v>0.16666666666666666</v>
      </c>
      <c r="O10" s="47">
        <f t="shared" ref="O10:O11" si="11">ABS(I$2-$F10)/1</f>
        <v>1</v>
      </c>
      <c r="P10" s="2"/>
      <c r="Q10" s="61">
        <v>0</v>
      </c>
      <c r="R10" s="45">
        <f t="shared" ref="R10:T10" si="12">($J10/$J$13) * (G$13/$J$13)</f>
        <v>0</v>
      </c>
      <c r="S10" s="46">
        <f t="shared" si="12"/>
        <v>0</v>
      </c>
      <c r="T10" s="47">
        <f t="shared" si="12"/>
        <v>0.5</v>
      </c>
      <c r="U10" s="2"/>
      <c r="V10" s="48" t="s">
        <v>111</v>
      </c>
      <c r="W10" s="45">
        <f>SUMPRODUCT(G3:I5, M3:O5) /$J$6</f>
        <v>0.16</v>
      </c>
      <c r="X10" s="47" t="s">
        <v>112</v>
      </c>
    </row>
    <row r="11" spans="1:24" ht="12.75" customHeight="1" x14ac:dyDescent="0.15">
      <c r="A11" s="3" t="str">
        <f>Thermonix!A11</f>
        <v>History State</v>
      </c>
      <c r="B11" s="4" t="str">
        <f>Thermonix!B11</f>
        <v>History State for On</v>
      </c>
      <c r="C11" s="25">
        <f>'Thermonix Grader #1'!C11</f>
        <v>0</v>
      </c>
      <c r="D11" s="25">
        <f>'Thermonix Grader #2'!C11</f>
        <v>0</v>
      </c>
      <c r="F11" s="44">
        <v>0.5</v>
      </c>
      <c r="G11" s="49">
        <f>COUNTIFS($A$2:$A$88,$F$9,$C$2:$C$88,$F11,$D$2:$D$88,G$9)</f>
        <v>0</v>
      </c>
      <c r="H11" s="2">
        <f>COUNTIFS($A$2:$A$88,$F$9,$C$2:$C$88,$F11,$D$2:$D$88,H$9)</f>
        <v>0</v>
      </c>
      <c r="I11" s="50">
        <f>COUNTIFS($A$2:$A$88,$F$9,$C$2:$C$88,$F11,$D$2:$D$88,I$9)</f>
        <v>0</v>
      </c>
      <c r="J11" s="2">
        <f t="shared" si="8"/>
        <v>0</v>
      </c>
      <c r="K11" s="2"/>
      <c r="L11" s="44">
        <v>0.5</v>
      </c>
      <c r="M11" s="49">
        <f t="shared" si="9"/>
        <v>0.5</v>
      </c>
      <c r="N11" s="2">
        <f t="shared" si="10"/>
        <v>0</v>
      </c>
      <c r="O11" s="50">
        <f t="shared" si="11"/>
        <v>0.5</v>
      </c>
      <c r="P11" s="2"/>
      <c r="Q11" s="44">
        <v>0.5</v>
      </c>
      <c r="R11" s="49">
        <f t="shared" ref="R11:T11" si="13">($J11/$J$13) * (G$13/$J$13)</f>
        <v>0</v>
      </c>
      <c r="S11" s="2">
        <f t="shared" si="13"/>
        <v>0</v>
      </c>
      <c r="T11" s="50">
        <f t="shared" si="13"/>
        <v>0</v>
      </c>
      <c r="U11" s="2"/>
      <c r="V11" s="48" t="s">
        <v>113</v>
      </c>
      <c r="W11" s="49">
        <f>SUMPRODUCT(R10:T12, M10:O12)</f>
        <v>0.5</v>
      </c>
      <c r="X11" s="50" t="s">
        <v>114</v>
      </c>
    </row>
    <row r="12" spans="1:24" ht="12.75" customHeight="1" x14ac:dyDescent="0.15">
      <c r="A12" s="3" t="str">
        <f>Thermonix!A12</f>
        <v>Transition</v>
      </c>
      <c r="B12" s="4" t="str">
        <f>Thermonix!B12</f>
        <v>selectorHeld (On ⇒ PreparingOff)</v>
      </c>
      <c r="C12" s="25">
        <f>'Thermonix Grader #1'!C12</f>
        <v>1</v>
      </c>
      <c r="D12" s="25">
        <f>'Thermonix Grader #2'!C12</f>
        <v>1</v>
      </c>
      <c r="F12" s="44">
        <v>1</v>
      </c>
      <c r="G12" s="51">
        <f>COUNTIFS($A$2:$A$44,$F$9,$C$2:$C$44,$F12,$D$2:$D$44,G$9)+MAX(C45-D45,0)</f>
        <v>0</v>
      </c>
      <c r="H12" s="52">
        <f>COUNTIFS($A$2:$A$88,$F$9,$C$2:$C$88,$F12,$D$2:$D$88,H$9)</f>
        <v>0</v>
      </c>
      <c r="I12" s="53">
        <f>COUNTIFS($A$2:$A$44,$F$9,$C$2:$C$44,$F12,$D$2:$D$44,I$9)+MIN(C45-D45)</f>
        <v>8</v>
      </c>
      <c r="J12" s="2">
        <f t="shared" si="8"/>
        <v>8</v>
      </c>
      <c r="K12" s="2"/>
      <c r="L12" s="44">
        <v>1</v>
      </c>
      <c r="M12" s="51">
        <f t="shared" si="9"/>
        <v>1</v>
      </c>
      <c r="N12" s="52">
        <f t="shared" ref="N12:O12" si="14">ABS(H$2-$F12)/1</f>
        <v>0.5</v>
      </c>
      <c r="O12" s="53">
        <f t="shared" si="14"/>
        <v>0</v>
      </c>
      <c r="P12" s="2"/>
      <c r="Q12" s="44">
        <v>1</v>
      </c>
      <c r="R12" s="51">
        <f t="shared" ref="R12:T12" si="15">($J12/$J$13) * (G$13/$J$13)</f>
        <v>0</v>
      </c>
      <c r="S12" s="52">
        <f t="shared" si="15"/>
        <v>0</v>
      </c>
      <c r="T12" s="53">
        <f t="shared" si="15"/>
        <v>1</v>
      </c>
      <c r="U12" s="2"/>
      <c r="V12" s="48" t="s">
        <v>81</v>
      </c>
      <c r="W12" s="51">
        <f>1-W10/W11</f>
        <v>0.67999999999999994</v>
      </c>
      <c r="X12" s="53" t="s">
        <v>115</v>
      </c>
    </row>
    <row r="13" spans="1:24" ht="12.75" customHeight="1" x14ac:dyDescent="0.15">
      <c r="A13" s="3" t="str">
        <f>Thermonix!A13</f>
        <v>Transition</v>
      </c>
      <c r="B13" s="4" t="str">
        <f>Thermonix!B13</f>
        <v>bowlRemoved (On ⇒ On)</v>
      </c>
      <c r="C13" s="25">
        <f>'Thermonix Grader #1'!C13</f>
        <v>1</v>
      </c>
      <c r="D13" s="25">
        <f>'Thermonix Grader #2'!C13</f>
        <v>1</v>
      </c>
      <c r="F13" s="54" t="s">
        <v>95</v>
      </c>
      <c r="G13" s="2">
        <f t="shared" ref="G13:I13" si="16">SUM(G11:G12)</f>
        <v>0</v>
      </c>
      <c r="H13" s="2">
        <f t="shared" si="16"/>
        <v>0</v>
      </c>
      <c r="I13" s="2">
        <f t="shared" si="16"/>
        <v>8</v>
      </c>
      <c r="J13" s="2">
        <f>SUM(G11:I12)</f>
        <v>8</v>
      </c>
    </row>
    <row r="14" spans="1:24" ht="12.75" customHeight="1" x14ac:dyDescent="0.15">
      <c r="A14" s="3" t="str">
        <f>Thermonix!A14</f>
        <v>State</v>
      </c>
      <c r="B14" s="4" t="str">
        <f>Thermonix!B14</f>
        <v>Initial State (On ⇒  Home)</v>
      </c>
      <c r="C14" s="25">
        <f>'Thermonix Grader #1'!C14</f>
        <v>1</v>
      </c>
      <c r="D14" s="25">
        <f>'Thermonix Grader #2'!C14</f>
        <v>1</v>
      </c>
    </row>
    <row r="15" spans="1:24" ht="12.75" customHeight="1" x14ac:dyDescent="0.15">
      <c r="A15" s="3" t="str">
        <f>Thermonix!A15</f>
        <v>State</v>
      </c>
      <c r="B15" s="4" t="str">
        <f>Thermonix!B15</f>
        <v>Home</v>
      </c>
      <c r="C15" s="25">
        <f>'Thermonix Grader #1'!C15</f>
        <v>1</v>
      </c>
      <c r="D15" s="25">
        <f>'Thermonix Grader #2'!C15</f>
        <v>1</v>
      </c>
      <c r="F15" s="76" t="s">
        <v>98</v>
      </c>
      <c r="G15" s="77"/>
      <c r="H15" s="77"/>
      <c r="I15" s="77"/>
    </row>
    <row r="16" spans="1:24" ht="15" customHeight="1" x14ac:dyDescent="0.15">
      <c r="A16" s="3" t="str">
        <f>Thermonix!A16</f>
        <v>Transition</v>
      </c>
      <c r="B16" s="4" t="str">
        <f>Thermonix!B16</f>
        <v>after 14min 30sec (Home ⇒ Preparing Shutdown)</v>
      </c>
      <c r="C16" s="25">
        <f>'Thermonix Grader #1'!C16</f>
        <v>1</v>
      </c>
      <c r="D16" s="25">
        <f>'Thermonix Grader #2'!C16</f>
        <v>1</v>
      </c>
      <c r="E16" s="5"/>
      <c r="F16" s="2" t="s">
        <v>5</v>
      </c>
      <c r="G16" s="56" t="s">
        <v>83</v>
      </c>
      <c r="H16" s="56" t="s">
        <v>84</v>
      </c>
      <c r="I16" s="56" t="s">
        <v>85</v>
      </c>
      <c r="J16" s="57" t="s">
        <v>86</v>
      </c>
      <c r="K16" s="2"/>
      <c r="L16" s="2" t="s">
        <v>82</v>
      </c>
      <c r="M16" s="56" t="s">
        <v>83</v>
      </c>
      <c r="N16" s="56" t="s">
        <v>84</v>
      </c>
      <c r="O16" s="56" t="s">
        <v>85</v>
      </c>
      <c r="P16" s="2"/>
      <c r="Q16" s="2" t="s">
        <v>82</v>
      </c>
      <c r="R16" s="56" t="s">
        <v>83</v>
      </c>
      <c r="S16" s="56" t="s">
        <v>84</v>
      </c>
      <c r="T16" s="56" t="s">
        <v>85</v>
      </c>
      <c r="V16" s="43" t="str">
        <f>"Metrics" &amp; " " &amp; F16</f>
        <v>Metrics Transition</v>
      </c>
      <c r="W16" s="43" t="s">
        <v>88</v>
      </c>
      <c r="X16" s="43" t="s">
        <v>89</v>
      </c>
    </row>
    <row r="17" spans="1:24" ht="12.75" customHeight="1" x14ac:dyDescent="0.15">
      <c r="A17" s="3" t="str">
        <f>Thermonix!A17</f>
        <v>Transition</v>
      </c>
      <c r="B17" s="4" t="str">
        <f>Thermonix!B17</f>
        <v>start (Home ⇒ PromptToAdd)</v>
      </c>
      <c r="C17" s="25">
        <f>'Thermonix Grader #1'!C17</f>
        <v>0</v>
      </c>
      <c r="D17" s="25">
        <f>'Thermonix Grader #2'!C17</f>
        <v>1</v>
      </c>
      <c r="F17" s="44">
        <v>0</v>
      </c>
      <c r="G17" s="45">
        <f>COUNTIFS($A$2:$A$88,$F$16,$C$2:$C$88,$F17,$D$2:$D$88,G$16)</f>
        <v>6</v>
      </c>
      <c r="H17" s="46">
        <f>COUNTIFS($A$2:$A$88,$F$16,$C$2:$C$88,$F17,$D$2:$D$88,H$16)</f>
        <v>0</v>
      </c>
      <c r="I17" s="47">
        <f>COUNTIFS($A$2:$A$44,$F$16,$C$2:$C$44,$F17,$D$2:$D$44,I$16) + MAX(D46-C46,0)</f>
        <v>3</v>
      </c>
      <c r="J17" s="2">
        <f t="shared" ref="J17:J19" si="17">SUM(G17:I17)</f>
        <v>9</v>
      </c>
      <c r="K17" s="2"/>
      <c r="L17" s="44">
        <v>0</v>
      </c>
      <c r="M17" s="45">
        <f t="shared" ref="M17:O17" si="18">ABS(G$2-$F17)/1</f>
        <v>0</v>
      </c>
      <c r="N17" s="46">
        <f t="shared" si="18"/>
        <v>0.5</v>
      </c>
      <c r="O17" s="47">
        <f t="shared" si="18"/>
        <v>1</v>
      </c>
      <c r="P17" s="2"/>
      <c r="Q17" s="44">
        <v>0</v>
      </c>
      <c r="R17" s="45">
        <f t="shared" ref="R17:T17" si="19">($J17/$J$20) * (G$20/$J$20)</f>
        <v>0.16666666666666666</v>
      </c>
      <c r="S17" s="46">
        <f t="shared" si="19"/>
        <v>0</v>
      </c>
      <c r="T17" s="47">
        <f t="shared" si="19"/>
        <v>0.33333333333333331</v>
      </c>
      <c r="U17" s="2"/>
      <c r="V17" s="48" t="s">
        <v>111</v>
      </c>
      <c r="W17" s="45">
        <f>SUMPRODUCT(G17:I19, M17:O19) /$J$20</f>
        <v>0.16666666666666666</v>
      </c>
      <c r="X17" s="47" t="s">
        <v>112</v>
      </c>
    </row>
    <row r="18" spans="1:24" ht="12.75" customHeight="1" x14ac:dyDescent="0.15">
      <c r="A18" s="3" t="str">
        <f>Thermonix!A18</f>
        <v>Guard</v>
      </c>
      <c r="B18" s="4" t="str">
        <f>Thermonix!B18</f>
        <v>[!bowlRemoved()]</v>
      </c>
      <c r="C18" s="25">
        <f>'Thermonix Grader #1'!C18</f>
        <v>1</v>
      </c>
      <c r="D18" s="25">
        <f>'Thermonix Grader #2'!C18</f>
        <v>1</v>
      </c>
      <c r="F18" s="44">
        <v>0.5</v>
      </c>
      <c r="G18" s="49">
        <f>COUNTIFS($A$2:$A$88,$F$16,$C$2:$C$88,$F18,$D$2:$D$88,G$16)</f>
        <v>0</v>
      </c>
      <c r="H18" s="2">
        <f>COUNTIFS($A$2:$A$88,$F$16,$C$2:$C$88,$F18,$D$2:$D$88,H$16)</f>
        <v>0</v>
      </c>
      <c r="I18" s="50">
        <f>COUNTIFS($A$2:$A$88,$F$16,$C$2:$C$88,$F18,$D$2:$D$88,I$16)</f>
        <v>0</v>
      </c>
      <c r="J18" s="2">
        <f t="shared" si="17"/>
        <v>0</v>
      </c>
      <c r="K18" s="2"/>
      <c r="L18" s="44">
        <v>0.5</v>
      </c>
      <c r="M18" s="49">
        <f t="shared" ref="M18:M19" si="20">ABS(G$2-$F18)/1</f>
        <v>0.5</v>
      </c>
      <c r="N18" s="2">
        <f>ABS(H$2-$F18)/3</f>
        <v>0</v>
      </c>
      <c r="O18" s="50">
        <f>ABS(I$2-$F18)/1</f>
        <v>0.5</v>
      </c>
      <c r="P18" s="2"/>
      <c r="Q18" s="44">
        <v>0.5</v>
      </c>
      <c r="R18" s="49">
        <f t="shared" ref="R18:T18" si="21">($J18/$J$20) * (G$20/$J$20)</f>
        <v>0</v>
      </c>
      <c r="S18" s="2">
        <f t="shared" si="21"/>
        <v>0</v>
      </c>
      <c r="T18" s="50">
        <f t="shared" si="21"/>
        <v>0</v>
      </c>
      <c r="U18" s="2"/>
      <c r="V18" s="48" t="s">
        <v>113</v>
      </c>
      <c r="W18" s="49">
        <f>SUMPRODUCT(R17:T19, M17:O19)</f>
        <v>0.5</v>
      </c>
      <c r="X18" s="50" t="s">
        <v>114</v>
      </c>
    </row>
    <row r="19" spans="1:24" ht="12.75" customHeight="1" x14ac:dyDescent="0.15">
      <c r="A19" s="3" t="str">
        <f>Thermonix!A19</f>
        <v>Action</v>
      </c>
      <c r="B19" s="4" t="str">
        <f>Thermonix!B19</f>
        <v>setIngredients()</v>
      </c>
      <c r="C19" s="25">
        <f>'Thermonix Grader #1'!C19</f>
        <v>0</v>
      </c>
      <c r="D19" s="25">
        <f>'Thermonix Grader #2'!C19</f>
        <v>0</v>
      </c>
      <c r="F19" s="44">
        <v>1</v>
      </c>
      <c r="G19" s="51">
        <f>COUNTIFS($A$2:$A$44,$F$16,$C$2:$C$44,$F19,$D$2:$D$44,G$16)+MAX(C46-D46,0)</f>
        <v>0</v>
      </c>
      <c r="H19" s="52">
        <f>COUNTIFS($A$2:$A$88,$F$16,$C$2:$C$88,$F19,$D$2:$D$88,H$16)</f>
        <v>0</v>
      </c>
      <c r="I19" s="53">
        <f>COUNTIFS($A$2:$A$44,$F$16,$C$2:$C$44,$F19,$D$2:$D$44,I$16) + MIN(C46,D46)</f>
        <v>9</v>
      </c>
      <c r="J19" s="2">
        <f t="shared" si="17"/>
        <v>9</v>
      </c>
      <c r="K19" s="2"/>
      <c r="L19" s="44">
        <v>1</v>
      </c>
      <c r="M19" s="51">
        <f t="shared" si="20"/>
        <v>1</v>
      </c>
      <c r="N19" s="52">
        <f t="shared" ref="N19:O19" si="22">ABS(H$2-$F19)/1</f>
        <v>0.5</v>
      </c>
      <c r="O19" s="53">
        <f t="shared" si="22"/>
        <v>0</v>
      </c>
      <c r="P19" s="2"/>
      <c r="Q19" s="44">
        <v>1</v>
      </c>
      <c r="R19" s="51">
        <f t="shared" ref="R19:T19" si="23">($J19/$J$20) * (G$20/$J$20)</f>
        <v>0.16666666666666666</v>
      </c>
      <c r="S19" s="52">
        <f t="shared" si="23"/>
        <v>0</v>
      </c>
      <c r="T19" s="53">
        <f t="shared" si="23"/>
        <v>0.33333333333333331</v>
      </c>
      <c r="U19" s="2"/>
      <c r="V19" s="48" t="s">
        <v>81</v>
      </c>
      <c r="W19" s="51">
        <f>1-W17/W18</f>
        <v>0.66666666666666674</v>
      </c>
      <c r="X19" s="53" t="s">
        <v>115</v>
      </c>
    </row>
    <row r="20" spans="1:24" ht="12.75" customHeight="1" x14ac:dyDescent="0.15">
      <c r="A20" s="3" t="str">
        <f>Thermonix!A20</f>
        <v>State</v>
      </c>
      <c r="B20" s="4" t="str">
        <f>Thermonix!B20</f>
        <v>Preparing Shutdown</v>
      </c>
      <c r="C20" s="25">
        <f>'Thermonix Grader #1'!C20</f>
        <v>0</v>
      </c>
      <c r="D20" s="25">
        <f>'Thermonix Grader #2'!C20</f>
        <v>1</v>
      </c>
      <c r="F20" s="54" t="s">
        <v>95</v>
      </c>
      <c r="G20" s="2">
        <f t="shared" ref="G20:I20" si="24">SUM(G17:G19)</f>
        <v>6</v>
      </c>
      <c r="H20" s="2">
        <f t="shared" si="24"/>
        <v>0</v>
      </c>
      <c r="I20" s="2">
        <f t="shared" si="24"/>
        <v>12</v>
      </c>
      <c r="J20" s="2">
        <f>SUM(G17:I19)</f>
        <v>18</v>
      </c>
    </row>
    <row r="21" spans="1:24" ht="12.75" customHeight="1" x14ac:dyDescent="0.15">
      <c r="A21" s="3" t="str">
        <f>Thermonix!A21</f>
        <v>Transition</v>
      </c>
      <c r="B21" s="4" t="str">
        <f>Thermonix!B21</f>
        <v>after 30sec (Preparing Shutdown ⇒ Off)</v>
      </c>
      <c r="C21" s="25">
        <f>'Thermonix Grader #1'!C21</f>
        <v>1</v>
      </c>
      <c r="D21" s="25">
        <f>'Thermonix Grader #2'!C21</f>
        <v>1</v>
      </c>
    </row>
    <row r="22" spans="1:24" ht="12.75" customHeight="1" x14ac:dyDescent="0.15">
      <c r="A22" s="3" t="str">
        <f>Thermonix!A22</f>
        <v>Transition</v>
      </c>
      <c r="B22" s="4" t="str">
        <f>Thermonix!B22</f>
        <v>cancel (Preparing Shutdown ⇒ Home)</v>
      </c>
      <c r="C22" s="25">
        <f>'Thermonix Grader #1'!C22</f>
        <v>0</v>
      </c>
      <c r="D22" s="25">
        <f>'Thermonix Grader #2'!C22</f>
        <v>1</v>
      </c>
      <c r="E22" s="5"/>
      <c r="F22" s="76" t="s">
        <v>100</v>
      </c>
      <c r="G22" s="77"/>
      <c r="H22" s="77"/>
      <c r="I22" s="77"/>
    </row>
    <row r="23" spans="1:24" ht="12.75" customHeight="1" x14ac:dyDescent="0.15">
      <c r="A23" s="3" t="str">
        <f>Thermonix!A23</f>
        <v>State</v>
      </c>
      <c r="B23" s="4" t="str">
        <f>Thermonix!B23</f>
        <v>PromptToAdd</v>
      </c>
      <c r="C23" s="25">
        <f>'Thermonix Grader #1'!C23</f>
        <v>0</v>
      </c>
      <c r="D23" s="25">
        <f>'Thermonix Grader #2'!C23</f>
        <v>0</v>
      </c>
      <c r="F23" s="2" t="s">
        <v>12</v>
      </c>
      <c r="G23" s="56" t="s">
        <v>83</v>
      </c>
      <c r="H23" s="56" t="s">
        <v>84</v>
      </c>
      <c r="I23" s="56" t="s">
        <v>85</v>
      </c>
      <c r="J23" s="57" t="s">
        <v>86</v>
      </c>
      <c r="K23" s="2"/>
      <c r="L23" s="2" t="s">
        <v>82</v>
      </c>
      <c r="M23" s="56" t="s">
        <v>83</v>
      </c>
      <c r="N23" s="56" t="s">
        <v>84</v>
      </c>
      <c r="O23" s="56" t="s">
        <v>85</v>
      </c>
      <c r="P23" s="2"/>
      <c r="Q23" s="2" t="s">
        <v>82</v>
      </c>
      <c r="R23" s="56" t="s">
        <v>83</v>
      </c>
      <c r="S23" s="56" t="s">
        <v>84</v>
      </c>
      <c r="T23" s="56" t="s">
        <v>85</v>
      </c>
      <c r="V23" s="43" t="str">
        <f>"Metrics" &amp; " " &amp; F23</f>
        <v>Metrics Composite State</v>
      </c>
      <c r="W23" s="43" t="s">
        <v>88</v>
      </c>
      <c r="X23" s="43" t="s">
        <v>89</v>
      </c>
    </row>
    <row r="24" spans="1:24" ht="12.75" customHeight="1" x14ac:dyDescent="0.15">
      <c r="A24" s="3" t="str">
        <f>Thermonix!A24</f>
        <v>Transition</v>
      </c>
      <c r="B24" s="4" t="str">
        <f>Thermonix!B24</f>
        <v>next (PromptToAdd ⇒ PromptToAdd)</v>
      </c>
      <c r="C24" s="25">
        <f>'Thermonix Grader #1'!C24</f>
        <v>0</v>
      </c>
      <c r="D24" s="25">
        <f>'Thermonix Grader #2'!C24</f>
        <v>0</v>
      </c>
      <c r="F24" s="44">
        <v>0</v>
      </c>
      <c r="G24" s="45">
        <f>COUNTIFS($A$2:$A$88,$F$23,$C$2:$C$88,$F24,$D$2:$D$88,G$23)</f>
        <v>1</v>
      </c>
      <c r="H24" s="46">
        <f>COUNTIFS($A$2:$A$88,$F$23,$C$2:$C$88,$F24,$D$2:$D$88,H$23)</f>
        <v>0</v>
      </c>
      <c r="I24" s="47">
        <f>COUNTIFS($A$2:$A$44,$F$23,$C$2:$C$44,$F24,$D$2:$D$44,I$23) + MAX(D49-C49,0)</f>
        <v>0</v>
      </c>
      <c r="J24" s="2">
        <f t="shared" ref="J24:J26" si="25">SUM(G24:I24)</f>
        <v>1</v>
      </c>
      <c r="K24" s="2"/>
      <c r="L24" s="44">
        <v>0</v>
      </c>
      <c r="M24" s="45">
        <f t="shared" ref="M24:O24" si="26">ABS(G$2-$F24)/1</f>
        <v>0</v>
      </c>
      <c r="N24" s="46">
        <f t="shared" si="26"/>
        <v>0.5</v>
      </c>
      <c r="O24" s="47">
        <f t="shared" si="26"/>
        <v>1</v>
      </c>
      <c r="P24" s="2"/>
      <c r="Q24" s="44">
        <v>0</v>
      </c>
      <c r="R24" s="45">
        <f t="shared" ref="R24:T24" si="27">($J24/$J$27) * (G$27/$J$27)</f>
        <v>0.25</v>
      </c>
      <c r="S24" s="46">
        <f t="shared" si="27"/>
        <v>0</v>
      </c>
      <c r="T24" s="47">
        <f t="shared" si="27"/>
        <v>0.25</v>
      </c>
      <c r="U24" s="2"/>
      <c r="V24" s="48" t="s">
        <v>111</v>
      </c>
      <c r="W24" s="45">
        <f>SUMPRODUCT(G24:I26, M24:O26) /$J$27</f>
        <v>0</v>
      </c>
      <c r="X24" s="47" t="s">
        <v>112</v>
      </c>
    </row>
    <row r="25" spans="1:24" ht="13" x14ac:dyDescent="0.15">
      <c r="A25" s="3" t="str">
        <f>Thermonix!A25</f>
        <v>Guard</v>
      </c>
      <c r="B25" s="4" t="str">
        <f>Thermonix!B25</f>
        <v>[weightCorrect() &amp;&amp; moreIngredientsRequired()]</v>
      </c>
      <c r="C25" s="25">
        <f>'Thermonix Grader #1'!C25</f>
        <v>0.5</v>
      </c>
      <c r="D25" s="25">
        <f>'Thermonix Grader #2'!C25</f>
        <v>0</v>
      </c>
      <c r="F25" s="44">
        <v>0.5</v>
      </c>
      <c r="G25" s="49">
        <f>COUNTIFS($A$2:$A$88,$F$23,$C$2:$C$88,$F25,$D$2:$D$88,G$23)</f>
        <v>0</v>
      </c>
      <c r="H25" s="2">
        <f>COUNTIFS($A$2:$A$88,$F$23,$C$2:$C$88,$F25,$D$2:$D$88,H$23)</f>
        <v>0</v>
      </c>
      <c r="I25" s="50">
        <f>COUNTIFS($A$2:$A$88,$F$23,$C$2:$C$88,$F25,$D$2:$D$88,I$23)</f>
        <v>0</v>
      </c>
      <c r="J25" s="2">
        <f t="shared" si="25"/>
        <v>0</v>
      </c>
      <c r="K25" s="2"/>
      <c r="L25" s="44">
        <v>0.5</v>
      </c>
      <c r="M25" s="49">
        <f t="shared" ref="M25:M26" si="28">ABS(G$2-$F25)/1</f>
        <v>0.5</v>
      </c>
      <c r="N25" s="2">
        <f>ABS(H$2-$F25)/3</f>
        <v>0</v>
      </c>
      <c r="O25" s="50">
        <f>ABS(I$2-$F25)/1</f>
        <v>0.5</v>
      </c>
      <c r="P25" s="2"/>
      <c r="Q25" s="44">
        <v>0.5</v>
      </c>
      <c r="R25" s="49">
        <f t="shared" ref="R25:T25" si="29">($J25/$J$27) * (G$27/$J$27)</f>
        <v>0</v>
      </c>
      <c r="S25" s="2">
        <f t="shared" si="29"/>
        <v>0</v>
      </c>
      <c r="T25" s="50">
        <f t="shared" si="29"/>
        <v>0</v>
      </c>
      <c r="U25" s="2"/>
      <c r="V25" s="48" t="s">
        <v>113</v>
      </c>
      <c r="W25" s="49">
        <f>SUMPRODUCT(R24:T26, M24:O26)</f>
        <v>0.5</v>
      </c>
      <c r="X25" s="50" t="s">
        <v>114</v>
      </c>
    </row>
    <row r="26" spans="1:24" ht="15.75" customHeight="1" x14ac:dyDescent="0.15">
      <c r="A26" s="3" t="str">
        <f>Thermonix!A26</f>
        <v>Action</v>
      </c>
      <c r="B26" s="4" t="str">
        <f>Thermonix!B26</f>
        <v>setIngredients()</v>
      </c>
      <c r="C26" s="25">
        <f>'Thermonix Grader #1'!C26</f>
        <v>0</v>
      </c>
      <c r="D26" s="25">
        <f>'Thermonix Grader #2'!C26</f>
        <v>0</v>
      </c>
      <c r="F26" s="44">
        <v>1</v>
      </c>
      <c r="G26" s="51">
        <f>COUNTIFS($A$2:$A$44,$F$23,$C$2:$C$44,$F26,$D$2:$D$44,G$23) + MAX(C49-D49,0)</f>
        <v>0</v>
      </c>
      <c r="H26" s="52">
        <f>COUNTIFS($A$2:$A$88,$F$23,$C$2:$C$88,$F26,$D$2:$D$88,H$23)</f>
        <v>0</v>
      </c>
      <c r="I26" s="53">
        <f>COUNTIFS($A$2:$A$44,$F$23,$C$2:$C$44,$F26,$D$2:$D$44,I$23) + MIN(C49,D49)</f>
        <v>1</v>
      </c>
      <c r="J26" s="2">
        <f t="shared" si="25"/>
        <v>1</v>
      </c>
      <c r="K26" s="2"/>
      <c r="L26" s="44">
        <v>1</v>
      </c>
      <c r="M26" s="51">
        <f t="shared" si="28"/>
        <v>1</v>
      </c>
      <c r="N26" s="52">
        <f t="shared" ref="N26:O26" si="30">ABS(H$2-$F26)/1</f>
        <v>0.5</v>
      </c>
      <c r="O26" s="53">
        <f t="shared" si="30"/>
        <v>0</v>
      </c>
      <c r="P26" s="2"/>
      <c r="Q26" s="44">
        <v>1</v>
      </c>
      <c r="R26" s="51">
        <f t="shared" ref="R26:T26" si="31">($J26/$J$27) * (G$27/$J$27)</f>
        <v>0.25</v>
      </c>
      <c r="S26" s="52">
        <f t="shared" si="31"/>
        <v>0</v>
      </c>
      <c r="T26" s="53">
        <f t="shared" si="31"/>
        <v>0.25</v>
      </c>
      <c r="U26" s="2"/>
      <c r="V26" s="48" t="s">
        <v>81</v>
      </c>
      <c r="W26" s="51">
        <f>1-W24/W25</f>
        <v>1</v>
      </c>
      <c r="X26" s="53" t="s">
        <v>115</v>
      </c>
    </row>
    <row r="27" spans="1:24" ht="12.75" customHeight="1" x14ac:dyDescent="0.15">
      <c r="A27" s="3" t="str">
        <f>Thermonix!A27</f>
        <v>Transition</v>
      </c>
      <c r="B27" s="4" t="str">
        <f>Thermonix!B27</f>
        <v>next (PromptToAdd ⇒ Chop)</v>
      </c>
      <c r="C27" s="25">
        <f>'Thermonix Grader #1'!C27</f>
        <v>0</v>
      </c>
      <c r="D27" s="25">
        <f>'Thermonix Grader #2'!C27</f>
        <v>1</v>
      </c>
      <c r="F27" s="54" t="s">
        <v>95</v>
      </c>
      <c r="G27" s="2">
        <f t="shared" ref="G27:I27" si="32">SUM(G24:G26)</f>
        <v>1</v>
      </c>
      <c r="H27" s="2">
        <f t="shared" si="32"/>
        <v>0</v>
      </c>
      <c r="I27" s="2">
        <f t="shared" si="32"/>
        <v>1</v>
      </c>
      <c r="J27" s="2">
        <f>SUM(G24:I26)</f>
        <v>2</v>
      </c>
    </row>
    <row r="28" spans="1:24" ht="12.75" customHeight="1" x14ac:dyDescent="0.15">
      <c r="A28" s="3" t="str">
        <f>Thermonix!A28</f>
        <v>Guard</v>
      </c>
      <c r="B28" s="4" t="str">
        <f>Thermonix!B28</f>
        <v>[weightCorrect() &amp;&amp; !moreIngredientsRequired()]</v>
      </c>
      <c r="C28" s="25">
        <f>'Thermonix Grader #1'!C28</f>
        <v>0</v>
      </c>
      <c r="D28" s="25">
        <f>'Thermonix Grader #2'!C28</f>
        <v>1</v>
      </c>
    </row>
    <row r="29" spans="1:24" ht="12.75" customHeight="1" x14ac:dyDescent="0.15">
      <c r="A29" s="3" t="str">
        <f>Thermonix!A29</f>
        <v>Action</v>
      </c>
      <c r="B29" s="4" t="str">
        <f>Thermonix!B29</f>
        <v>setChoppingSpeedAndTime()</v>
      </c>
      <c r="C29" s="25">
        <f>'Thermonix Grader #1'!C29</f>
        <v>1</v>
      </c>
      <c r="D29" s="25">
        <f>'Thermonix Grader #2'!C29</f>
        <v>0</v>
      </c>
      <c r="F29" s="76" t="s">
        <v>102</v>
      </c>
      <c r="G29" s="77"/>
      <c r="H29" s="77"/>
      <c r="I29" s="77"/>
    </row>
    <row r="30" spans="1:24" ht="12.75" customHeight="1" x14ac:dyDescent="0.15">
      <c r="A30" s="3" t="str">
        <f>Thermonix!A30</f>
        <v>State</v>
      </c>
      <c r="B30" s="4" t="str">
        <f>Thermonix!B30</f>
        <v>Chop</v>
      </c>
      <c r="C30" s="25">
        <f>'Thermonix Grader #1'!C30</f>
        <v>1</v>
      </c>
      <c r="D30" s="25">
        <f>'Thermonix Grader #2'!C30</f>
        <v>1</v>
      </c>
      <c r="F30" s="2" t="s">
        <v>22</v>
      </c>
      <c r="G30" s="56" t="s">
        <v>83</v>
      </c>
      <c r="H30" s="56" t="s">
        <v>84</v>
      </c>
      <c r="I30" s="56" t="s">
        <v>85</v>
      </c>
      <c r="J30" s="57" t="s">
        <v>86</v>
      </c>
      <c r="K30" s="2"/>
      <c r="L30" s="2" t="s">
        <v>82</v>
      </c>
      <c r="M30" s="56">
        <v>0</v>
      </c>
      <c r="N30" s="56" t="s">
        <v>84</v>
      </c>
      <c r="O30" s="56" t="s">
        <v>85</v>
      </c>
      <c r="P30" s="2"/>
      <c r="Q30" s="2" t="s">
        <v>82</v>
      </c>
      <c r="R30" s="56" t="s">
        <v>83</v>
      </c>
      <c r="S30" s="56" t="s">
        <v>84</v>
      </c>
      <c r="T30" s="56" t="s">
        <v>85</v>
      </c>
      <c r="V30" s="43" t="str">
        <f>"Metrics" &amp; " " &amp; F30</f>
        <v>Metrics Guard</v>
      </c>
      <c r="W30" s="43" t="s">
        <v>88</v>
      </c>
      <c r="X30" s="43" t="s">
        <v>89</v>
      </c>
    </row>
    <row r="31" spans="1:24" ht="12.75" customHeight="1" x14ac:dyDescent="0.15">
      <c r="A31" s="3" t="str">
        <f>Thermonix!A31</f>
        <v>Transition</v>
      </c>
      <c r="B31" s="4" t="str">
        <f>Thermonix!B31</f>
        <v>next (Chop ⇒ PromptToAdd)</v>
      </c>
      <c r="C31" s="25">
        <f>'Thermonix Grader #1'!C31</f>
        <v>0</v>
      </c>
      <c r="D31" s="25">
        <f>'Thermonix Grader #2'!C31</f>
        <v>0</v>
      </c>
      <c r="F31" s="44">
        <v>0</v>
      </c>
      <c r="G31" s="45">
        <f>COUNTIFS($A$2:$A$88,$F$30,$C$2:$C$88,$F31,$D$2:$D$88,G$30)</f>
        <v>4</v>
      </c>
      <c r="H31" s="46">
        <f>COUNTIFS($A$2:$A$88,$F$30,$C$2:$C$88,$F31,$D$2:$D$88,H$30)</f>
        <v>0</v>
      </c>
      <c r="I31" s="47">
        <f>COUNTIFS($A$2:$A$44,$F$30,$C$2:$C$44,$F31,$D$2:$D$44,I$30) + MAX(D47-C47,0)</f>
        <v>1</v>
      </c>
      <c r="J31" s="2">
        <f t="shared" ref="J31:J33" si="33">SUM(G31:I31)</f>
        <v>5</v>
      </c>
      <c r="K31" s="2"/>
      <c r="L31" s="44">
        <v>0</v>
      </c>
      <c r="M31" s="45">
        <f t="shared" ref="M31:O31" si="34">ABS(G$2-$F31)/1</f>
        <v>0</v>
      </c>
      <c r="N31" s="46">
        <f t="shared" si="34"/>
        <v>0.5</v>
      </c>
      <c r="O31" s="47">
        <f t="shared" si="34"/>
        <v>1</v>
      </c>
      <c r="P31" s="2"/>
      <c r="Q31" s="44">
        <v>0</v>
      </c>
      <c r="R31" s="45">
        <f t="shared" ref="R31:T31" si="35">($J31/$J$34) * (G$34/$J$34)</f>
        <v>0.390625</v>
      </c>
      <c r="S31" s="46">
        <f t="shared" si="35"/>
        <v>7.8125E-2</v>
      </c>
      <c r="T31" s="47">
        <f t="shared" si="35"/>
        <v>0.15625</v>
      </c>
      <c r="U31" s="2"/>
      <c r="V31" s="48" t="s">
        <v>111</v>
      </c>
      <c r="W31" s="45">
        <f>SUMPRODUCT(G31:I33, M31:O33) /$J$34</f>
        <v>0.25</v>
      </c>
      <c r="X31" s="47" t="s">
        <v>112</v>
      </c>
    </row>
    <row r="32" spans="1:24" ht="12.75" customHeight="1" x14ac:dyDescent="0.15">
      <c r="A32" s="3" t="str">
        <f>Thermonix!A32</f>
        <v>Guard</v>
      </c>
      <c r="B32" s="4" t="str">
        <f>Thermonix!B32</f>
        <v>[choppingTimeDone &amp;&amp; moreIngredientsRequired()]</v>
      </c>
      <c r="C32" s="25">
        <f>'Thermonix Grader #1'!C32</f>
        <v>0</v>
      </c>
      <c r="D32" s="25">
        <f>'Thermonix Grader #2'!C32</f>
        <v>0</v>
      </c>
      <c r="F32" s="44">
        <v>0.5</v>
      </c>
      <c r="G32" s="49">
        <f>COUNTIFS($A$2:$A$88,$F$30,$C$2:$C$88,$F32,$D$2:$D$88,G$30)</f>
        <v>1</v>
      </c>
      <c r="H32" s="2">
        <f>COUNTIFS($A$2:$A$88,$F$30,$C$2:$C$88,$F32,$D$2:$D$88,H$30)</f>
        <v>0</v>
      </c>
      <c r="I32" s="50">
        <f>COUNTIFS($A$2:$A$88,$F$30,$C$2:$C$88,$F32,$D$2:$D$88,I$30)</f>
        <v>0</v>
      </c>
      <c r="J32" s="2">
        <f t="shared" si="33"/>
        <v>1</v>
      </c>
      <c r="K32" s="2"/>
      <c r="L32" s="44">
        <v>0.5</v>
      </c>
      <c r="M32" s="49">
        <f t="shared" ref="M32:M33" si="36">ABS(G$2-$F32)/1</f>
        <v>0.5</v>
      </c>
      <c r="N32" s="2">
        <f>ABS(H$2-$F32)/3</f>
        <v>0</v>
      </c>
      <c r="O32" s="50">
        <f>ABS(I$2-$F32)/1</f>
        <v>0.5</v>
      </c>
      <c r="P32" s="2"/>
      <c r="Q32" s="44">
        <v>0.5</v>
      </c>
      <c r="R32" s="49">
        <f t="shared" ref="R32:T32" si="37">($J32/$J$34) * (G$34/$J$34)</f>
        <v>7.8125E-2</v>
      </c>
      <c r="S32" s="2">
        <f t="shared" si="37"/>
        <v>1.5625E-2</v>
      </c>
      <c r="T32" s="50">
        <f t="shared" si="37"/>
        <v>3.125E-2</v>
      </c>
      <c r="U32" s="2"/>
      <c r="V32" s="48" t="s">
        <v>113</v>
      </c>
      <c r="W32" s="49">
        <f>SUMPRODUCT(R31:T33, M31:O33)</f>
        <v>0.421875</v>
      </c>
      <c r="X32" s="50" t="s">
        <v>114</v>
      </c>
    </row>
    <row r="33" spans="1:24" ht="12.75" customHeight="1" x14ac:dyDescent="0.15">
      <c r="A33" s="3" t="str">
        <f>Thermonix!A33</f>
        <v>Action</v>
      </c>
      <c r="B33" s="4" t="str">
        <f>Thermonix!B33</f>
        <v>setIngredients()</v>
      </c>
      <c r="C33" s="25">
        <f>'Thermonix Grader #1'!C33</f>
        <v>0</v>
      </c>
      <c r="D33" s="25">
        <f>'Thermonix Grader #2'!C33</f>
        <v>0</v>
      </c>
      <c r="F33" s="44">
        <v>1</v>
      </c>
      <c r="G33" s="51">
        <f>COUNTIFS($A$2:$A$44,$F$30,$C$2:$C$44,$F33,$D$2:$D$44,G$30) + MAX(C47-D47,0)</f>
        <v>0</v>
      </c>
      <c r="H33" s="52">
        <f>COUNTIFS($A$2:$A$88,$F$30,$C$2:$C$88,$F33,$D$2:$D$88,H$30)</f>
        <v>1</v>
      </c>
      <c r="I33" s="53">
        <f>COUNTIFS($A$2:$A$44,$F$30,$C$2:$C$44,$F33,$D$2:$D$44,I$30) + MIN(C47,D47)</f>
        <v>1</v>
      </c>
      <c r="J33" s="2">
        <f t="shared" si="33"/>
        <v>2</v>
      </c>
      <c r="K33" s="2"/>
      <c r="L33" s="44">
        <v>1</v>
      </c>
      <c r="M33" s="51">
        <f t="shared" si="36"/>
        <v>1</v>
      </c>
      <c r="N33" s="52">
        <f t="shared" ref="N33:O33" si="38">ABS(H$2-$F33)/1</f>
        <v>0.5</v>
      </c>
      <c r="O33" s="53">
        <f t="shared" si="38"/>
        <v>0</v>
      </c>
      <c r="P33" s="2"/>
      <c r="Q33" s="44">
        <v>1</v>
      </c>
      <c r="R33" s="51">
        <f t="shared" ref="R33:T33" si="39">($J33/$J$34) * (G$34/$J$34)</f>
        <v>0.15625</v>
      </c>
      <c r="S33" s="52">
        <f t="shared" si="39"/>
        <v>3.125E-2</v>
      </c>
      <c r="T33" s="53">
        <f t="shared" si="39"/>
        <v>6.25E-2</v>
      </c>
      <c r="U33" s="2"/>
      <c r="V33" s="48" t="s">
        <v>81</v>
      </c>
      <c r="W33" s="51">
        <f>1-W31/W32</f>
        <v>0.40740740740740744</v>
      </c>
      <c r="X33" s="53" t="s">
        <v>115</v>
      </c>
    </row>
    <row r="34" spans="1:24" ht="12.75" customHeight="1" x14ac:dyDescent="0.15">
      <c r="A34" s="3" t="str">
        <f>Thermonix!A34</f>
        <v>Transition</v>
      </c>
      <c r="B34" s="4" t="str">
        <f>Thermonix!B34</f>
        <v>next (Chop ⇒ Cook)</v>
      </c>
      <c r="C34" s="25">
        <f>'Thermonix Grader #1'!C34</f>
        <v>1</v>
      </c>
      <c r="D34" s="25">
        <f>'Thermonix Grader #2'!C34</f>
        <v>1</v>
      </c>
      <c r="E34" s="5"/>
      <c r="F34" s="54" t="s">
        <v>95</v>
      </c>
      <c r="G34" s="2">
        <f t="shared" ref="G34:I34" si="40">SUM(G31:G33)</f>
        <v>5</v>
      </c>
      <c r="H34" s="2">
        <f t="shared" si="40"/>
        <v>1</v>
      </c>
      <c r="I34" s="2">
        <f t="shared" si="40"/>
        <v>2</v>
      </c>
      <c r="J34" s="2">
        <f>SUM(G31:I33)</f>
        <v>8</v>
      </c>
    </row>
    <row r="35" spans="1:24" ht="12.75" customHeight="1" x14ac:dyDescent="0.15">
      <c r="A35" s="3" t="str">
        <f>Thermonix!A35</f>
        <v>Guard</v>
      </c>
      <c r="B35" s="4" t="str">
        <f>Thermonix!B35</f>
        <v>[choppingTimeDone &amp;&amp; !moreIngredientsRequired()]</v>
      </c>
      <c r="C35" s="25">
        <f>'Thermonix Grader #1'!C35</f>
        <v>0</v>
      </c>
      <c r="D35" s="25">
        <f>'Thermonix Grader #2'!C35</f>
        <v>0</v>
      </c>
    </row>
    <row r="36" spans="1:24" ht="15" customHeight="1" x14ac:dyDescent="0.15">
      <c r="A36" s="3" t="str">
        <f>Thermonix!A36</f>
        <v>Action</v>
      </c>
      <c r="B36" s="4" t="str">
        <f>Thermonix!B36</f>
        <v>setCookingSpeedAndTime()</v>
      </c>
      <c r="C36" s="25">
        <f>'Thermonix Grader #1'!C36</f>
        <v>1</v>
      </c>
      <c r="D36" s="25">
        <f>'Thermonix Grader #2'!C36</f>
        <v>0</v>
      </c>
      <c r="E36" s="5"/>
      <c r="F36" s="76" t="s">
        <v>104</v>
      </c>
      <c r="G36" s="77"/>
      <c r="H36" s="77"/>
      <c r="I36" s="77"/>
    </row>
    <row r="37" spans="1:24" ht="15" customHeight="1" x14ac:dyDescent="0.15">
      <c r="A37" s="3" t="str">
        <f>Thermonix!A37</f>
        <v>State</v>
      </c>
      <c r="B37" s="4" t="str">
        <f>Thermonix!B37</f>
        <v>Cook</v>
      </c>
      <c r="C37" s="25">
        <f>'Thermonix Grader #1'!C37</f>
        <v>1</v>
      </c>
      <c r="D37" s="25">
        <f>'Thermonix Grader #2'!C37</f>
        <v>1</v>
      </c>
      <c r="E37" s="5"/>
      <c r="F37" s="2" t="s">
        <v>24</v>
      </c>
      <c r="G37" s="56" t="s">
        <v>83</v>
      </c>
      <c r="H37" s="56" t="s">
        <v>84</v>
      </c>
      <c r="I37" s="56" t="s">
        <v>85</v>
      </c>
      <c r="J37" s="57" t="s">
        <v>86</v>
      </c>
      <c r="K37" s="2"/>
      <c r="L37" s="2" t="s">
        <v>82</v>
      </c>
      <c r="M37" s="56" t="s">
        <v>83</v>
      </c>
      <c r="N37" s="56" t="s">
        <v>84</v>
      </c>
      <c r="O37" s="56" t="s">
        <v>85</v>
      </c>
      <c r="P37" s="2"/>
      <c r="Q37" s="62" t="s">
        <v>82</v>
      </c>
      <c r="R37" s="63" t="s">
        <v>83</v>
      </c>
      <c r="S37" s="63" t="s">
        <v>84</v>
      </c>
      <c r="T37" s="63" t="s">
        <v>85</v>
      </c>
      <c r="V37" s="43" t="str">
        <f>"Metrics" &amp; " " &amp; F37</f>
        <v>Metrics Action</v>
      </c>
      <c r="W37" s="43" t="s">
        <v>88</v>
      </c>
      <c r="X37" s="43" t="s">
        <v>89</v>
      </c>
    </row>
    <row r="38" spans="1:24" ht="15" customHeight="1" x14ac:dyDescent="0.15">
      <c r="A38" s="3" t="str">
        <f>Thermonix!A38</f>
        <v>Transition</v>
      </c>
      <c r="B38" s="4" t="str">
        <f>Thermonix!B38</f>
        <v>after choppingTime (Cook ⇒ PromptToAdd)</v>
      </c>
      <c r="C38" s="25">
        <f>'Thermonix Grader #1'!C38</f>
        <v>0</v>
      </c>
      <c r="D38" s="25">
        <f>'Thermonix Grader #2'!C38</f>
        <v>0</v>
      </c>
      <c r="E38" s="5"/>
      <c r="F38" s="44">
        <v>0</v>
      </c>
      <c r="G38" s="45">
        <f>COUNTIFS($A$2:$A$88,$F$37,$C$2:$C$88,$F38,$D$2:$D$88,G$37)</f>
        <v>5</v>
      </c>
      <c r="H38" s="46">
        <f>COUNTIFS($A$2:$A$88,$F$37,$C$2:$C$88,$F38,$D$2:$D$88,H$37)</f>
        <v>0</v>
      </c>
      <c r="I38" s="47">
        <f>COUNTIFS($A$2:$A$44,$F$37,$C$2:$C$44,$F38,$D$2:$D$44,I$37)+MAX(D48-C48,0)</f>
        <v>0</v>
      </c>
      <c r="J38" s="2">
        <f t="shared" ref="J38:J40" si="41">SUM(G38:I38)</f>
        <v>5</v>
      </c>
      <c r="K38" s="2"/>
      <c r="L38" s="44">
        <v>0</v>
      </c>
      <c r="M38" s="45">
        <f t="shared" ref="M38:O38" si="42">ABS(G$2-$F38)/1</f>
        <v>0</v>
      </c>
      <c r="N38" s="46">
        <f t="shared" si="42"/>
        <v>0.5</v>
      </c>
      <c r="O38" s="47">
        <f t="shared" si="42"/>
        <v>1</v>
      </c>
      <c r="P38" s="2"/>
      <c r="Q38" s="64">
        <v>0</v>
      </c>
      <c r="R38" s="65">
        <f t="shared" ref="R38:T38" si="43">($J38/$J$41) * (G$41/$J$41)</f>
        <v>0.7142857142857143</v>
      </c>
      <c r="S38" s="66">
        <f t="shared" si="43"/>
        <v>0</v>
      </c>
      <c r="T38" s="67">
        <f t="shared" si="43"/>
        <v>0</v>
      </c>
      <c r="U38" s="2"/>
      <c r="V38" s="48" t="s">
        <v>111</v>
      </c>
      <c r="W38" s="45">
        <f>SUMPRODUCT(G38:I40, M38:O40) /$J$41</f>
        <v>0.2857142857142857</v>
      </c>
      <c r="X38" s="47" t="s">
        <v>112</v>
      </c>
    </row>
    <row r="39" spans="1:24" ht="15" customHeight="1" x14ac:dyDescent="0.15">
      <c r="A39" s="3" t="str">
        <f>Thermonix!A39</f>
        <v>Guard</v>
      </c>
      <c r="B39" s="4" t="str">
        <f>Thermonix!B39</f>
        <v>[choppingTimeDone &amp;&amp; moreIngredientsRequired()]</v>
      </c>
      <c r="C39" s="25">
        <f>'Thermonix Grader #1'!C39</f>
        <v>0</v>
      </c>
      <c r="D39" s="25">
        <f>'Thermonix Grader #2'!C39</f>
        <v>0</v>
      </c>
      <c r="E39" s="5"/>
      <c r="F39" s="44">
        <v>0.5</v>
      </c>
      <c r="G39" s="49">
        <f>COUNTIFS($A$2:$A$88,$F$37,$C$2:$C$88,$F39,$D$2:$D$88,G$37)</f>
        <v>0</v>
      </c>
      <c r="H39" s="2">
        <f>COUNTIFS($A$2:$A$88,$F$37,$C$2:$C$88,$F39,$D$2:$D$88,H$37)</f>
        <v>0</v>
      </c>
      <c r="I39" s="50">
        <f>COUNTIFS($A$2:$A$88,$F$37,$C$2:$C$88,$F39,$D$2:$D$88,I$37)</f>
        <v>0</v>
      </c>
      <c r="J39" s="2">
        <f t="shared" si="41"/>
        <v>0</v>
      </c>
      <c r="K39" s="2"/>
      <c r="L39" s="44">
        <v>0.5</v>
      </c>
      <c r="M39" s="49">
        <f t="shared" ref="M39:M40" si="44">ABS(G$2-$F39)/1</f>
        <v>0.5</v>
      </c>
      <c r="N39" s="2">
        <f>ABS(H$2-$F39)/3</f>
        <v>0</v>
      </c>
      <c r="O39" s="50">
        <f>ABS(I$2-$F39)/1</f>
        <v>0.5</v>
      </c>
      <c r="P39" s="2"/>
      <c r="Q39" s="64">
        <v>0.5</v>
      </c>
      <c r="R39" s="68">
        <f t="shared" ref="R39:T39" si="45">($J39/$J$41) * (G$41/$J$41)</f>
        <v>0</v>
      </c>
      <c r="S39" s="62">
        <f t="shared" si="45"/>
        <v>0</v>
      </c>
      <c r="T39" s="69">
        <f t="shared" si="45"/>
        <v>0</v>
      </c>
      <c r="U39" s="2"/>
      <c r="V39" s="48" t="s">
        <v>113</v>
      </c>
      <c r="W39" s="49">
        <f>SUMPRODUCT(R38:T40, M38:O40)</f>
        <v>0.2857142857142857</v>
      </c>
      <c r="X39" s="50" t="s">
        <v>114</v>
      </c>
    </row>
    <row r="40" spans="1:24" ht="15" customHeight="1" x14ac:dyDescent="0.15">
      <c r="A40" s="3" t="str">
        <f>Thermonix!A40</f>
        <v>Action</v>
      </c>
      <c r="B40" s="4" t="str">
        <f>Thermonix!B40</f>
        <v>setIngredients()</v>
      </c>
      <c r="C40" s="25">
        <f>'Thermonix Grader #1'!C40</f>
        <v>0</v>
      </c>
      <c r="D40" s="25">
        <f>'Thermonix Grader #2'!C40</f>
        <v>0</v>
      </c>
      <c r="E40" s="5"/>
      <c r="F40" s="44">
        <v>1</v>
      </c>
      <c r="G40" s="51">
        <f>COUNTIFS($A$2:$A$44,$F$37,$C$2:$C$44,$F40,$D$2:$D$44,G$37)+MAX(C48-D48,0)</f>
        <v>2</v>
      </c>
      <c r="H40" s="52">
        <f>COUNTIFS($A$2:$A$88,$F$37,$C$2:$C$88,$F40,$D$2:$D$88,H$37)</f>
        <v>0</v>
      </c>
      <c r="I40" s="53">
        <f>COUNTIFS($A$2:$A$44,$F$37,$C$2:$C$44,$F40,$D$2:$D$44,I$37) + MIN(C48,D48)</f>
        <v>0</v>
      </c>
      <c r="J40" s="2">
        <f t="shared" si="41"/>
        <v>2</v>
      </c>
      <c r="K40" s="2"/>
      <c r="L40" s="44">
        <v>1</v>
      </c>
      <c r="M40" s="51">
        <f t="shared" si="44"/>
        <v>1</v>
      </c>
      <c r="N40" s="52">
        <f t="shared" ref="N40:O40" si="46">ABS(H$2-$F40)/1</f>
        <v>0.5</v>
      </c>
      <c r="O40" s="53">
        <f t="shared" si="46"/>
        <v>0</v>
      </c>
      <c r="P40" s="2"/>
      <c r="Q40" s="64">
        <v>1</v>
      </c>
      <c r="R40" s="70">
        <f t="shared" ref="R40:T40" si="47">($J40/$J$41) * (G$41/$J$41)</f>
        <v>0.2857142857142857</v>
      </c>
      <c r="S40" s="71">
        <f t="shared" si="47"/>
        <v>0</v>
      </c>
      <c r="T40" s="72">
        <f t="shared" si="47"/>
        <v>0</v>
      </c>
      <c r="U40" s="2"/>
      <c r="V40" s="48" t="s">
        <v>81</v>
      </c>
      <c r="W40" s="51">
        <f>1-W38/W39</f>
        <v>0</v>
      </c>
      <c r="X40" s="53" t="s">
        <v>115</v>
      </c>
    </row>
    <row r="41" spans="1:24" ht="15" customHeight="1" x14ac:dyDescent="0.15">
      <c r="A41" s="3" t="str">
        <f>Thermonix!A41</f>
        <v>Transition</v>
      </c>
      <c r="B41" s="4" t="str">
        <f>Thermonix!B41</f>
        <v>after cookingTime (Cook ⇒ Ready)</v>
      </c>
      <c r="C41" s="25">
        <f>'Thermonix Grader #1'!C41</f>
        <v>1</v>
      </c>
      <c r="D41" s="25">
        <f>'Thermonix Grader #2'!C41</f>
        <v>1</v>
      </c>
      <c r="E41" s="5"/>
      <c r="F41" s="54" t="s">
        <v>95</v>
      </c>
      <c r="G41" s="2">
        <f t="shared" ref="G41:I41" si="48">SUM(G38:G40)</f>
        <v>7</v>
      </c>
      <c r="H41" s="2">
        <f t="shared" si="48"/>
        <v>0</v>
      </c>
      <c r="I41" s="2">
        <f t="shared" si="48"/>
        <v>0</v>
      </c>
      <c r="J41" s="2">
        <f>SUM(G38:I40)</f>
        <v>7</v>
      </c>
    </row>
    <row r="42" spans="1:24" ht="15" customHeight="1" x14ac:dyDescent="0.15">
      <c r="A42" s="3" t="str">
        <f>Thermonix!A42</f>
        <v>Guard</v>
      </c>
      <c r="B42" s="4" t="str">
        <f>Thermonix!B42</f>
        <v>[!moreIngredientsRequired()]</v>
      </c>
      <c r="C42" s="25">
        <f>'Thermonix Grader #1'!C42</f>
        <v>1</v>
      </c>
      <c r="D42" s="25">
        <f>'Thermonix Grader #2'!C42</f>
        <v>0.5</v>
      </c>
      <c r="E42" s="5"/>
    </row>
    <row r="43" spans="1:24" ht="15" customHeight="1" x14ac:dyDescent="0.15">
      <c r="A43" s="3" t="str">
        <f>Thermonix!A43</f>
        <v>State</v>
      </c>
      <c r="B43" s="4" t="str">
        <f>Thermonix!B43</f>
        <v>Ready</v>
      </c>
      <c r="C43" s="25">
        <f>'Thermonix Grader #1'!C43</f>
        <v>1</v>
      </c>
      <c r="D43" s="25">
        <f>'Thermonix Grader #2'!C43</f>
        <v>1</v>
      </c>
      <c r="E43" s="5"/>
      <c r="F43" s="76" t="s">
        <v>106</v>
      </c>
      <c r="G43" s="77"/>
      <c r="H43" s="77"/>
      <c r="I43" s="77"/>
    </row>
    <row r="44" spans="1:24" ht="15" customHeight="1" x14ac:dyDescent="0.15">
      <c r="A44" s="73" t="str">
        <f>Thermonix!A44</f>
        <v>Transition</v>
      </c>
      <c r="B44" s="74" t="str">
        <f>Thermonix!B44</f>
        <v>after 14min 30sec (Ready ⇒ Preparing Shutdown)</v>
      </c>
      <c r="C44" s="75">
        <f>'Thermonix Grader #1'!C44</f>
        <v>1</v>
      </c>
      <c r="D44" s="75">
        <f>'Thermonix Grader #2'!C44</f>
        <v>1</v>
      </c>
      <c r="E44" s="5"/>
      <c r="F44" s="2" t="s">
        <v>14</v>
      </c>
      <c r="G44" s="56" t="s">
        <v>83</v>
      </c>
      <c r="H44" s="56" t="s">
        <v>84</v>
      </c>
      <c r="I44" s="56" t="s">
        <v>85</v>
      </c>
      <c r="J44" s="57" t="s">
        <v>86</v>
      </c>
      <c r="K44" s="2"/>
      <c r="L44" s="2" t="s">
        <v>82</v>
      </c>
      <c r="M44" s="56" t="s">
        <v>83</v>
      </c>
      <c r="N44" s="56" t="s">
        <v>84</v>
      </c>
      <c r="O44" s="56" t="s">
        <v>85</v>
      </c>
      <c r="P44" s="2"/>
      <c r="Q44" s="2" t="s">
        <v>82</v>
      </c>
      <c r="R44" s="56" t="s">
        <v>83</v>
      </c>
      <c r="S44" s="56" t="s">
        <v>84</v>
      </c>
      <c r="T44" s="56" t="s">
        <v>85</v>
      </c>
      <c r="V44" s="43" t="str">
        <f>"Metrics" &amp; " " &amp; F44</f>
        <v>Metrics History State</v>
      </c>
      <c r="W44" s="43" t="s">
        <v>88</v>
      </c>
      <c r="X44" s="43" t="s">
        <v>89</v>
      </c>
    </row>
    <row r="45" spans="1:24" ht="15" customHeight="1" x14ac:dyDescent="0.15">
      <c r="A45" s="3" t="str">
        <f>Thermonix!A45</f>
        <v>State</v>
      </c>
      <c r="B45" s="4" t="str">
        <f>Thermonix!B45</f>
        <v>additional elements</v>
      </c>
      <c r="C45" s="25">
        <f>'Thermonix Grader #1'!C45</f>
        <v>0</v>
      </c>
      <c r="D45" s="25">
        <f>'Thermonix Grader #2'!C45</f>
        <v>0</v>
      </c>
      <c r="E45" s="5"/>
      <c r="F45" s="44">
        <v>0</v>
      </c>
      <c r="G45" s="45">
        <f>COUNTIFS($A$2:$A$88,$F$44,$C$2:$C$88,$F45,$D$2:$D$88,G$44)</f>
        <v>2</v>
      </c>
      <c r="H45" s="46">
        <f>COUNTIFS($A$2:$A$88,$F$44,$C$2:$C$88,$F45,$D$2:$D$88,H$44)</f>
        <v>0</v>
      </c>
      <c r="I45" s="47">
        <f>COUNTIFS($A$2:$A$44,$F$44,$C$2:$C$44,$F45,$D$2:$D$44,I$44) + MAX(D51-C51,0)</f>
        <v>0</v>
      </c>
      <c r="J45" s="2">
        <f t="shared" ref="J45:J47" si="49">SUM(G45:I45)</f>
        <v>2</v>
      </c>
      <c r="K45" s="2"/>
      <c r="L45" s="44">
        <v>0</v>
      </c>
      <c r="M45" s="45">
        <f t="shared" ref="M45:O45" si="50">ABS(G$2-$F45)/1</f>
        <v>0</v>
      </c>
      <c r="N45" s="46">
        <f t="shared" si="50"/>
        <v>0.5</v>
      </c>
      <c r="O45" s="47">
        <f t="shared" si="50"/>
        <v>1</v>
      </c>
      <c r="P45" s="2"/>
      <c r="Q45" s="44">
        <v>0</v>
      </c>
      <c r="R45" s="45">
        <f t="shared" ref="R45:T45" si="51">($J45/$J$48) * (G$48/$J$48)</f>
        <v>1</v>
      </c>
      <c r="S45" s="46">
        <f t="shared" si="51"/>
        <v>0</v>
      </c>
      <c r="T45" s="47">
        <f t="shared" si="51"/>
        <v>0</v>
      </c>
      <c r="U45" s="2"/>
      <c r="V45" s="48" t="s">
        <v>111</v>
      </c>
      <c r="W45" s="45">
        <f>SUMPRODUCT(G45:I47, M45:O47) /$J$48</f>
        <v>0</v>
      </c>
      <c r="X45" s="47" t="s">
        <v>112</v>
      </c>
    </row>
    <row r="46" spans="1:24" ht="12.75" customHeight="1" x14ac:dyDescent="0.15">
      <c r="A46" s="3" t="str">
        <f>Thermonix!A46</f>
        <v>Transition</v>
      </c>
      <c r="B46" s="4" t="str">
        <f>Thermonix!B46</f>
        <v>additional elements</v>
      </c>
      <c r="C46" s="25">
        <f>'Thermonix Grader #1'!C46</f>
        <v>0</v>
      </c>
      <c r="D46" s="25">
        <f>'Thermonix Grader #2'!C46</f>
        <v>0</v>
      </c>
      <c r="F46" s="44">
        <v>0.5</v>
      </c>
      <c r="G46" s="49">
        <f>COUNTIFS($A$2:$A$88,$F$44,$C$2:$C$88,$F46,$D$2:$D$88,G$44)</f>
        <v>0</v>
      </c>
      <c r="H46" s="2">
        <f>COUNTIFS($A$2:$A$88,$F$44,$C$2:$C$88,$F46,$D$2:$D$88,H$44)</f>
        <v>0</v>
      </c>
      <c r="I46" s="50">
        <f>COUNTIFS($A$2:$A$88,$F$44,$C$2:$C$88,$F46,$D$2:$D$88,I$44)</f>
        <v>0</v>
      </c>
      <c r="J46" s="2">
        <f t="shared" si="49"/>
        <v>0</v>
      </c>
      <c r="K46" s="2"/>
      <c r="L46" s="44">
        <v>0.5</v>
      </c>
      <c r="M46" s="49">
        <f t="shared" ref="M46:M47" si="52">ABS(G$2-$F46)/1</f>
        <v>0.5</v>
      </c>
      <c r="N46" s="2">
        <f>ABS(H$2-$F46)/3</f>
        <v>0</v>
      </c>
      <c r="O46" s="50">
        <f>ABS(I$2-$F46)/1</f>
        <v>0.5</v>
      </c>
      <c r="P46" s="2"/>
      <c r="Q46" s="44">
        <v>0.5</v>
      </c>
      <c r="R46" s="49">
        <f t="shared" ref="R46:T46" si="53">($J46/$J$48) * (G$48/$J$48)</f>
        <v>0</v>
      </c>
      <c r="S46" s="2">
        <f t="shared" si="53"/>
        <v>0</v>
      </c>
      <c r="T46" s="50">
        <f t="shared" si="53"/>
        <v>0</v>
      </c>
      <c r="U46" s="2"/>
      <c r="V46" s="48" t="s">
        <v>113</v>
      </c>
      <c r="W46" s="49">
        <f>SUMPRODUCT(R45:T47, M45:O47)</f>
        <v>0</v>
      </c>
      <c r="X46" s="50" t="s">
        <v>114</v>
      </c>
    </row>
    <row r="47" spans="1:24" ht="12.75" customHeight="1" x14ac:dyDescent="0.15">
      <c r="A47" s="3" t="str">
        <f>Thermonix!A47</f>
        <v>Guard</v>
      </c>
      <c r="B47" s="4" t="str">
        <f>Thermonix!B47</f>
        <v>additional elements</v>
      </c>
      <c r="C47" s="25">
        <f>'Thermonix Grader #1'!C47</f>
        <v>0</v>
      </c>
      <c r="D47" s="25">
        <f>'Thermonix Grader #2'!C47</f>
        <v>0</v>
      </c>
      <c r="F47" s="44">
        <v>1</v>
      </c>
      <c r="G47" s="51">
        <f>COUNTIFS($A$2:$A$44,$F$44,$C$2:$C$44,$F47,$D$2:$D$44,G$44) + MAX(C51-D51,0)</f>
        <v>0</v>
      </c>
      <c r="H47" s="52">
        <f>COUNTIFS($A$2:$A$88,$F$44,$C$2:$C$88,$F47,$D$2:$D$88,H$44)</f>
        <v>0</v>
      </c>
      <c r="I47" s="53">
        <f>COUNTIFS($A$2:$A$44,$F$44,$C$2:$C$44,$F47,$D$2:$D$44,I$44) + MIN(C51,D51)</f>
        <v>0</v>
      </c>
      <c r="J47" s="2">
        <f t="shared" si="49"/>
        <v>0</v>
      </c>
      <c r="K47" s="2"/>
      <c r="L47" s="44">
        <v>1</v>
      </c>
      <c r="M47" s="51">
        <f t="shared" si="52"/>
        <v>1</v>
      </c>
      <c r="N47" s="52">
        <f t="shared" ref="N47:O47" si="54">ABS(H$2-$F47)/1</f>
        <v>0.5</v>
      </c>
      <c r="O47" s="53">
        <f t="shared" si="54"/>
        <v>0</v>
      </c>
      <c r="P47" s="2"/>
      <c r="Q47" s="44">
        <v>1</v>
      </c>
      <c r="R47" s="51">
        <f t="shared" ref="R47:T47" si="55">($J47/$J$48) * (G$48/$J$48)</f>
        <v>0</v>
      </c>
      <c r="S47" s="52">
        <f t="shared" si="55"/>
        <v>0</v>
      </c>
      <c r="T47" s="53">
        <f t="shared" si="55"/>
        <v>0</v>
      </c>
      <c r="U47" s="2"/>
      <c r="V47" s="48" t="s">
        <v>81</v>
      </c>
      <c r="W47" s="51" t="e">
        <f>1-W45/W46</f>
        <v>#DIV/0!</v>
      </c>
      <c r="X47" s="53" t="s">
        <v>115</v>
      </c>
    </row>
    <row r="48" spans="1:24" ht="12.75" customHeight="1" x14ac:dyDescent="0.15">
      <c r="A48" s="3" t="str">
        <f>Thermonix!A48</f>
        <v>Action</v>
      </c>
      <c r="B48" s="4" t="str">
        <f>Thermonix!B48</f>
        <v>additional elements</v>
      </c>
      <c r="C48" s="25">
        <f>'Thermonix Grader #1'!C48</f>
        <v>0</v>
      </c>
      <c r="D48" s="25">
        <f>'Thermonix Grader #2'!C48</f>
        <v>0</v>
      </c>
      <c r="F48" s="54" t="s">
        <v>95</v>
      </c>
      <c r="G48" s="2">
        <f t="shared" ref="G48:I48" si="56">SUM(G45:G47)</f>
        <v>2</v>
      </c>
      <c r="H48" s="2">
        <f t="shared" si="56"/>
        <v>0</v>
      </c>
      <c r="I48" s="2">
        <f t="shared" si="56"/>
        <v>0</v>
      </c>
      <c r="J48" s="2">
        <f>SUM(G45:I47)</f>
        <v>2</v>
      </c>
    </row>
    <row r="49" spans="1:24" ht="12.75" customHeight="1" x14ac:dyDescent="0.15">
      <c r="A49" s="3" t="str">
        <f>Thermonix!A49</f>
        <v>Composite State</v>
      </c>
      <c r="B49" s="4" t="str">
        <f>Thermonix!B49</f>
        <v>additional elements</v>
      </c>
      <c r="C49" s="25">
        <f>'Thermonix Grader #1'!C49</f>
        <v>0</v>
      </c>
      <c r="D49" s="25">
        <f>'Thermonix Grader #2'!C49</f>
        <v>0</v>
      </c>
    </row>
    <row r="50" spans="1:24" ht="12.75" customHeight="1" x14ac:dyDescent="0.15">
      <c r="A50" s="3" t="str">
        <f>Thermonix!A50</f>
        <v>Region</v>
      </c>
      <c r="B50" s="4" t="str">
        <f>Thermonix!B50</f>
        <v>additional elements</v>
      </c>
      <c r="C50" s="25">
        <f>'Thermonix Grader #1'!C50</f>
        <v>0</v>
      </c>
      <c r="D50" s="25">
        <f>'Thermonix Grader #2'!C50</f>
        <v>0</v>
      </c>
      <c r="F50" s="76" t="s">
        <v>108</v>
      </c>
      <c r="G50" s="77"/>
      <c r="H50" s="77"/>
      <c r="I50" s="77"/>
    </row>
    <row r="51" spans="1:24" ht="12.75" customHeight="1" x14ac:dyDescent="0.15">
      <c r="A51" s="3" t="str">
        <f>Thermonix!A51</f>
        <v>History State</v>
      </c>
      <c r="B51" s="4" t="str">
        <f>Thermonix!B51</f>
        <v>additional elements</v>
      </c>
      <c r="C51" s="25">
        <f>'Thermonix Grader #1'!C51</f>
        <v>0</v>
      </c>
      <c r="D51" s="25">
        <f>'Thermonix Grader #2'!C51</f>
        <v>0</v>
      </c>
      <c r="F51" s="2" t="s">
        <v>48</v>
      </c>
      <c r="G51" s="56" t="s">
        <v>83</v>
      </c>
      <c r="H51" s="56" t="s">
        <v>84</v>
      </c>
      <c r="I51" s="56" t="s">
        <v>85</v>
      </c>
      <c r="J51" s="57" t="s">
        <v>86</v>
      </c>
      <c r="K51" s="2"/>
      <c r="L51" s="2" t="s">
        <v>82</v>
      </c>
      <c r="M51" s="56" t="s">
        <v>83</v>
      </c>
      <c r="N51" s="56" t="s">
        <v>84</v>
      </c>
      <c r="O51" s="56" t="s">
        <v>85</v>
      </c>
      <c r="P51" s="2"/>
      <c r="Q51" s="2" t="s">
        <v>82</v>
      </c>
      <c r="R51" s="56" t="s">
        <v>83</v>
      </c>
      <c r="S51" s="56" t="s">
        <v>84</v>
      </c>
      <c r="T51" s="56" t="s">
        <v>85</v>
      </c>
      <c r="V51" s="43" t="str">
        <f>"Metrics" &amp; " " &amp; F51</f>
        <v>Metrics Region</v>
      </c>
      <c r="W51" s="43" t="s">
        <v>88</v>
      </c>
      <c r="X51" s="43" t="s">
        <v>89</v>
      </c>
    </row>
    <row r="52" spans="1:24" ht="12.75" customHeight="1" x14ac:dyDescent="0.15">
      <c r="A52" s="3"/>
      <c r="B52" s="4"/>
      <c r="C52" s="5"/>
      <c r="D52" s="5"/>
      <c r="F52" s="44">
        <v>0</v>
      </c>
      <c r="G52" s="45">
        <f>COUNTIFS($A$2:$A$88,$F$51,$C$2:$C$88,$F52,$D$2:$D$88,G$51)</f>
        <v>1</v>
      </c>
      <c r="H52" s="46">
        <f>COUNTIFS($A$2:$A$88,$F$51,$C$2:$C$88,$F52,$D$2:$D$88,H$51)</f>
        <v>0</v>
      </c>
      <c r="I52" s="47">
        <f>COUNTIFS($A$2:$A$44,$F$51,$C$2:$C$44,$F52,$D$2:$D$44,I$51)+MAX(D50-C50,0)</f>
        <v>0</v>
      </c>
      <c r="J52" s="2">
        <f t="shared" ref="J52:J54" si="57">SUM(G52:I52)</f>
        <v>1</v>
      </c>
      <c r="K52" s="2"/>
      <c r="L52" s="44">
        <v>0</v>
      </c>
      <c r="M52" s="45">
        <f t="shared" ref="M52:O52" si="58">ABS(G$2-$F52)/1</f>
        <v>0</v>
      </c>
      <c r="N52" s="46">
        <f t="shared" si="58"/>
        <v>0.5</v>
      </c>
      <c r="O52" s="47">
        <f t="shared" si="58"/>
        <v>1</v>
      </c>
      <c r="P52" s="2"/>
      <c r="Q52" s="44">
        <v>0</v>
      </c>
      <c r="R52" s="45">
        <f t="shared" ref="R52:T52" si="59">($J52/$J$55) * (G$55/$J$55)</f>
        <v>1</v>
      </c>
      <c r="S52" s="46">
        <f t="shared" si="59"/>
        <v>0</v>
      </c>
      <c r="T52" s="47">
        <f t="shared" si="59"/>
        <v>0</v>
      </c>
      <c r="U52" s="2"/>
      <c r="V52" s="48" t="s">
        <v>111</v>
      </c>
      <c r="W52" s="45">
        <f>SUMPRODUCT(G52:I54, M52:O54) /$J$55</f>
        <v>0</v>
      </c>
      <c r="X52" s="47" t="s">
        <v>112</v>
      </c>
    </row>
    <row r="53" spans="1:24" ht="12.75" customHeight="1" x14ac:dyDescent="0.15">
      <c r="A53" s="3"/>
      <c r="B53" s="4"/>
      <c r="C53" s="5"/>
      <c r="D53" s="5"/>
      <c r="F53" s="44">
        <v>0.5</v>
      </c>
      <c r="G53" s="49">
        <f>COUNTIFS($A$2:$A$88,$F$51,$C$2:$C$88,$F53,$D$2:$D$88,G$51)</f>
        <v>0</v>
      </c>
      <c r="H53" s="2">
        <f>COUNTIFS($A$2:$A$88,$F$51,$C$2:$C$88,$F53,$D$2:$D$88,H$51)</f>
        <v>0</v>
      </c>
      <c r="I53" s="50">
        <f>COUNTIFS($A$2:$A$88,$F$51,$C$2:$C$88,$F53,$D$2:$D$88,I$51)</f>
        <v>0</v>
      </c>
      <c r="J53" s="2">
        <f t="shared" si="57"/>
        <v>0</v>
      </c>
      <c r="K53" s="2"/>
      <c r="L53" s="44">
        <v>0.5</v>
      </c>
      <c r="M53" s="49">
        <f t="shared" ref="M53:M54" si="60">ABS(G$2-$F53)/1</f>
        <v>0.5</v>
      </c>
      <c r="N53" s="2">
        <f>ABS(H$2-$F53)/3</f>
        <v>0</v>
      </c>
      <c r="O53" s="50">
        <f>ABS(I$2-$F53)/1</f>
        <v>0.5</v>
      </c>
      <c r="P53" s="2"/>
      <c r="Q53" s="44">
        <v>0.5</v>
      </c>
      <c r="R53" s="49">
        <f t="shared" ref="R53:T53" si="61">($J53/$J$55) * (G$55/$J$55)</f>
        <v>0</v>
      </c>
      <c r="S53" s="2">
        <f t="shared" si="61"/>
        <v>0</v>
      </c>
      <c r="T53" s="50">
        <f t="shared" si="61"/>
        <v>0</v>
      </c>
      <c r="U53" s="2"/>
      <c r="V53" s="48" t="s">
        <v>113</v>
      </c>
      <c r="W53" s="49">
        <f>SUMPRODUCT(R52:T54, M52:O54)</f>
        <v>0</v>
      </c>
      <c r="X53" s="50" t="s">
        <v>114</v>
      </c>
    </row>
    <row r="54" spans="1:24" ht="12.75" customHeight="1" x14ac:dyDescent="0.15">
      <c r="A54" s="3"/>
      <c r="B54" s="4"/>
      <c r="C54" s="5"/>
      <c r="D54" s="5"/>
      <c r="F54" s="44">
        <v>1</v>
      </c>
      <c r="G54" s="51">
        <f>COUNTIFS($A$2:$A$44,$F$51,$C$2:$C$44,$F54,$D$2:$D$44,G$51) + MAX(C50-D50,0)</f>
        <v>0</v>
      </c>
      <c r="H54" s="52">
        <f>COUNTIFS($A$2:$A$88,$F$51,$C$2:$C$88,$F54,$D$2:$D$88,H$51)</f>
        <v>0</v>
      </c>
      <c r="I54" s="53">
        <f>COUNTIFS($A$2:$A$44,$F$51,$C$2:$C$44,$F54,$D$2:$D$44,I$51)+MIN(C50,D50)</f>
        <v>0</v>
      </c>
      <c r="J54" s="2">
        <f t="shared" si="57"/>
        <v>0</v>
      </c>
      <c r="K54" s="2"/>
      <c r="L54" s="44">
        <v>1</v>
      </c>
      <c r="M54" s="51">
        <f t="shared" si="60"/>
        <v>1</v>
      </c>
      <c r="N54" s="52">
        <f t="shared" ref="N54:O54" si="62">ABS(H$2-$F54)/1</f>
        <v>0.5</v>
      </c>
      <c r="O54" s="53">
        <f t="shared" si="62"/>
        <v>0</v>
      </c>
      <c r="P54" s="2"/>
      <c r="Q54" s="44">
        <v>1</v>
      </c>
      <c r="R54" s="51">
        <f t="shared" ref="R54:T54" si="63">($J54/$J$55) * (G$55/$J$55)</f>
        <v>0</v>
      </c>
      <c r="S54" s="52">
        <f t="shared" si="63"/>
        <v>0</v>
      </c>
      <c r="T54" s="53">
        <f t="shared" si="63"/>
        <v>0</v>
      </c>
      <c r="U54" s="2"/>
      <c r="V54" s="48" t="s">
        <v>81</v>
      </c>
      <c r="W54" s="51" t="e">
        <f>1-W52/W53</f>
        <v>#DIV/0!</v>
      </c>
      <c r="X54" s="53" t="s">
        <v>115</v>
      </c>
    </row>
    <row r="55" spans="1:24" ht="12.75" customHeight="1" x14ac:dyDescent="0.15">
      <c r="A55" s="3"/>
      <c r="B55" s="4"/>
      <c r="C55" s="5"/>
      <c r="D55" s="5"/>
      <c r="F55" s="54" t="s">
        <v>95</v>
      </c>
      <c r="G55" s="2">
        <f t="shared" ref="G55:I55" si="64">SUM(G52:G54)</f>
        <v>1</v>
      </c>
      <c r="H55" s="2">
        <f t="shared" si="64"/>
        <v>0</v>
      </c>
      <c r="I55" s="2">
        <f t="shared" si="64"/>
        <v>0</v>
      </c>
      <c r="J55" s="2">
        <f>SUM(G52:I54)</f>
        <v>1</v>
      </c>
      <c r="L55" s="2"/>
      <c r="M55" s="55"/>
    </row>
    <row r="56" spans="1:24" ht="12.75" customHeight="1" x14ac:dyDescent="0.15">
      <c r="A56" s="3"/>
      <c r="B56" s="4"/>
      <c r="C56" s="5"/>
      <c r="D56" s="5"/>
    </row>
    <row r="57" spans="1:24" ht="12.75" customHeight="1" x14ac:dyDescent="0.15">
      <c r="A57" s="3"/>
      <c r="B57" s="4"/>
      <c r="C57" s="5"/>
      <c r="D57" s="5"/>
    </row>
    <row r="58" spans="1:24" ht="12.75" customHeight="1" x14ac:dyDescent="0.15">
      <c r="A58" s="3"/>
      <c r="B58" s="4"/>
      <c r="C58" s="5"/>
      <c r="D58" s="5"/>
    </row>
    <row r="59" spans="1:24" ht="12.75" customHeight="1" x14ac:dyDescent="0.15">
      <c r="A59" s="3"/>
      <c r="B59" s="4"/>
      <c r="C59" s="5"/>
      <c r="D59" s="5"/>
    </row>
    <row r="60" spans="1:24" ht="12.75" customHeight="1" x14ac:dyDescent="0.15">
      <c r="A60" s="3"/>
      <c r="B60" s="4"/>
      <c r="C60" s="5"/>
      <c r="D60" s="5"/>
    </row>
    <row r="61" spans="1:24" ht="12.75" customHeight="1" x14ac:dyDescent="0.15">
      <c r="A61" s="3"/>
      <c r="B61" s="4"/>
      <c r="C61" s="5"/>
      <c r="D61" s="5"/>
    </row>
    <row r="62" spans="1:24" ht="12.75" customHeight="1" x14ac:dyDescent="0.15">
      <c r="A62" s="3"/>
      <c r="B62" s="4"/>
      <c r="C62" s="5"/>
      <c r="D62" s="5"/>
    </row>
    <row r="63" spans="1:24" ht="12.75" customHeight="1" x14ac:dyDescent="0.15">
      <c r="A63" s="3"/>
      <c r="B63" s="4"/>
      <c r="C63" s="5"/>
      <c r="D63" s="5"/>
    </row>
    <row r="64" spans="1:24" ht="12.75" customHeight="1" x14ac:dyDescent="0.15">
      <c r="A64" s="3"/>
      <c r="B64" s="4"/>
      <c r="C64" s="5"/>
      <c r="D64" s="5"/>
    </row>
    <row r="65" spans="1:4" ht="12.75" customHeight="1" x14ac:dyDescent="0.15">
      <c r="A65" s="3"/>
      <c r="B65" s="4"/>
      <c r="C65" s="5"/>
      <c r="D65" s="5"/>
    </row>
    <row r="66" spans="1:4" ht="12.75" customHeight="1" x14ac:dyDescent="0.15">
      <c r="A66" s="3"/>
      <c r="B66" s="4"/>
      <c r="C66" s="5"/>
      <c r="D66" s="5"/>
    </row>
    <row r="67" spans="1:4" ht="12.75" customHeight="1" x14ac:dyDescent="0.15">
      <c r="A67" s="3"/>
      <c r="B67" s="4"/>
      <c r="C67" s="5"/>
      <c r="D67" s="5"/>
    </row>
    <row r="68" spans="1:4" ht="12.75" customHeight="1" x14ac:dyDescent="0.15">
      <c r="A68" s="3"/>
      <c r="B68" s="4"/>
      <c r="C68" s="5"/>
      <c r="D68" s="5"/>
    </row>
    <row r="69" spans="1:4" ht="12.75" customHeight="1" x14ac:dyDescent="0.15">
      <c r="A69" s="3"/>
      <c r="B69" s="4"/>
      <c r="C69" s="5"/>
      <c r="D69" s="5"/>
    </row>
    <row r="70" spans="1:4" ht="12.75" customHeight="1" x14ac:dyDescent="0.15">
      <c r="A70" s="3"/>
      <c r="B70" s="4"/>
      <c r="C70" s="5"/>
      <c r="D70" s="5"/>
    </row>
    <row r="71" spans="1:4" ht="12.75" customHeight="1" x14ac:dyDescent="0.15">
      <c r="A71" s="3"/>
      <c r="B71" s="4"/>
      <c r="C71" s="5"/>
      <c r="D71" s="5"/>
    </row>
    <row r="72" spans="1:4" ht="12.75" customHeight="1" x14ac:dyDescent="0.15">
      <c r="A72" s="3"/>
      <c r="B72" s="4"/>
      <c r="C72" s="5"/>
      <c r="D72" s="5"/>
    </row>
    <row r="73" spans="1:4" ht="12.75" customHeight="1" x14ac:dyDescent="0.15">
      <c r="A73" s="3"/>
      <c r="B73" s="4"/>
      <c r="C73" s="5"/>
      <c r="D73" s="5"/>
    </row>
    <row r="74" spans="1:4" ht="12.75" customHeight="1" x14ac:dyDescent="0.15">
      <c r="A74" s="3"/>
      <c r="B74" s="4"/>
      <c r="C74" s="5"/>
      <c r="D74" s="5"/>
    </row>
    <row r="75" spans="1:4" ht="12.75" customHeight="1" x14ac:dyDescent="0.15">
      <c r="A75" s="3"/>
      <c r="B75" s="4"/>
      <c r="D75" s="5"/>
    </row>
    <row r="76" spans="1:4" ht="12.75" customHeight="1" x14ac:dyDescent="0.15">
      <c r="A76" s="3"/>
      <c r="B76" s="4"/>
      <c r="D76" s="5"/>
    </row>
    <row r="77" spans="1:4" ht="12.75" customHeight="1" x14ac:dyDescent="0.15">
      <c r="A77" s="3"/>
      <c r="B77" s="4"/>
      <c r="D77" s="5"/>
    </row>
    <row r="78" spans="1:4" ht="12.75" customHeight="1" x14ac:dyDescent="0.15">
      <c r="A78" s="3"/>
      <c r="B78" s="4"/>
      <c r="D78" s="5"/>
    </row>
    <row r="79" spans="1:4" ht="12.75" customHeight="1" x14ac:dyDescent="0.15">
      <c r="A79" s="3"/>
      <c r="B79" s="4"/>
      <c r="D79" s="5"/>
    </row>
    <row r="80" spans="1:4" ht="12.75" customHeight="1" x14ac:dyDescent="0.15">
      <c r="A80" s="3"/>
      <c r="B80" s="4"/>
      <c r="D80" s="5"/>
    </row>
    <row r="81" spans="1:4" ht="12.75" customHeight="1" x14ac:dyDescent="0.15">
      <c r="A81" s="3"/>
      <c r="B81" s="4"/>
      <c r="D81" s="5"/>
    </row>
    <row r="82" spans="1:4" ht="12.75" customHeight="1" x14ac:dyDescent="0.15">
      <c r="A82" s="3"/>
      <c r="B82" s="4"/>
      <c r="D82" s="5"/>
    </row>
    <row r="83" spans="1:4" ht="12.75" customHeight="1" x14ac:dyDescent="0.15">
      <c r="A83" s="3"/>
      <c r="B83" s="4"/>
      <c r="D83" s="5"/>
    </row>
    <row r="84" spans="1:4" ht="12.75" customHeight="1" x14ac:dyDescent="0.15">
      <c r="A84" s="3"/>
      <c r="B84" s="4"/>
    </row>
    <row r="85" spans="1:4" ht="12.75" customHeight="1" x14ac:dyDescent="0.15">
      <c r="A85" s="1"/>
      <c r="B85" s="2"/>
    </row>
    <row r="86" spans="1:4" ht="12.75" customHeight="1" x14ac:dyDescent="0.15">
      <c r="A86" s="1"/>
      <c r="B86" s="2"/>
    </row>
    <row r="87" spans="1:4" ht="12.75" customHeight="1" x14ac:dyDescent="0.15">
      <c r="A87" s="1"/>
      <c r="B87" s="2"/>
    </row>
    <row r="88" spans="1:4" ht="12.75" customHeight="1" x14ac:dyDescent="0.15">
      <c r="A88" s="1"/>
      <c r="B88" s="2"/>
    </row>
    <row r="89" spans="1:4" ht="12.75" customHeight="1" x14ac:dyDescent="0.15">
      <c r="A89" s="1"/>
      <c r="B89" s="2"/>
    </row>
    <row r="90" spans="1:4" ht="12.75" customHeight="1" x14ac:dyDescent="0.15">
      <c r="A90" s="1"/>
      <c r="B90" s="2"/>
    </row>
    <row r="91" spans="1:4" ht="12.75" customHeight="1" x14ac:dyDescent="0.15">
      <c r="A91" s="1"/>
      <c r="B91" s="2"/>
    </row>
    <row r="92" spans="1:4" ht="12.75" customHeight="1" x14ac:dyDescent="0.15">
      <c r="A92" s="1"/>
      <c r="B92" s="2"/>
    </row>
    <row r="93" spans="1:4" ht="12.75" customHeight="1" x14ac:dyDescent="0.15">
      <c r="A93" s="1"/>
      <c r="B93" s="2"/>
    </row>
    <row r="94" spans="1:4" ht="12.75" customHeight="1" x14ac:dyDescent="0.15">
      <c r="A94" s="1"/>
      <c r="B94" s="2"/>
    </row>
    <row r="95" spans="1:4" ht="12.75" customHeight="1" x14ac:dyDescent="0.15">
      <c r="A95" s="1"/>
      <c r="B95" s="2"/>
    </row>
    <row r="96" spans="1:4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/>
    <row r="271" spans="1:2" ht="15.75" customHeight="1" x14ac:dyDescent="0.15"/>
    <row r="272" spans="1: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Thermonix</vt:lpstr>
      <vt:lpstr>Thermonix Grader #1</vt:lpstr>
      <vt:lpstr>Thermonix Grader #2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2026-05-15T15:44:51Z</dcterms:modified>
</cp:coreProperties>
</file>