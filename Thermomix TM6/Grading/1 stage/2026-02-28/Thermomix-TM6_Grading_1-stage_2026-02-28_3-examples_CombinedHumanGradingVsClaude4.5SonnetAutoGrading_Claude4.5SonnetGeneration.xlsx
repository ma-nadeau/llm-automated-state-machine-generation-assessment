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/>
  <mc:AlternateContent xmlns:mc="http://schemas.openxmlformats.org/markup-compatibility/2006">
    <mc:Choice Requires="x15">
      <x15ac:absPath xmlns:x15ac="http://schemas.microsoft.com/office/spreadsheetml/2010/11/ac" url="/Users/marc-antoinenadeau/Desktop/Evaluations 2/Thermomix TM6/Grading/1 stage/2026-02-28/"/>
    </mc:Choice>
  </mc:AlternateContent>
  <xr:revisionPtr revIDLastSave="0" documentId="13_ncr:1_{48015D4D-2F22-DD4C-AEF0-CBABE37AEBA4}" xr6:coauthVersionLast="47" xr6:coauthVersionMax="47" xr10:uidLastSave="{00000000-0000-0000-0000-000000000000}"/>
  <bookViews>
    <workbookView xWindow="0" yWindow="660" windowWidth="30240" windowHeight="17480" activeTab="3" xr2:uid="{00000000-000D-0000-FFFF-FFFF00000000}"/>
  </bookViews>
  <sheets>
    <sheet name="Thermonix" sheetId="1" r:id="rId1"/>
    <sheet name="Human Grading" sheetId="2" r:id="rId2"/>
    <sheet name="LLM Grading" sheetId="3" r:id="rId3"/>
    <sheet name="Metrics" sheetId="4" r:id="rId4"/>
    <sheet name="Inter-rater" sheetId="5" r:id="rId5"/>
    <sheet name="Weighted Cohens Kappa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0" roundtripDataChecksum="V15g8Fylz+xWHjImigkFIxtA8AuERaldLIFsNsY52ck="/>
    </ext>
  </extLst>
</workbook>
</file>

<file path=xl/calcChain.xml><?xml version="1.0" encoding="utf-8"?>
<calcChain xmlns="http://schemas.openxmlformats.org/spreadsheetml/2006/main">
  <c r="O54" i="6" l="1"/>
  <c r="N54" i="6"/>
  <c r="M54" i="6"/>
  <c r="O53" i="6"/>
  <c r="N53" i="6"/>
  <c r="M53" i="6"/>
  <c r="O52" i="6"/>
  <c r="N52" i="6"/>
  <c r="M52" i="6"/>
  <c r="D51" i="6"/>
  <c r="C51" i="6"/>
  <c r="B51" i="6"/>
  <c r="A51" i="6"/>
  <c r="D50" i="6"/>
  <c r="I52" i="6" s="1"/>
  <c r="C50" i="6"/>
  <c r="G54" i="6" s="1"/>
  <c r="B50" i="6"/>
  <c r="A50" i="6"/>
  <c r="D49" i="6"/>
  <c r="I24" i="6" s="1"/>
  <c r="C49" i="6"/>
  <c r="G26" i="6" s="1"/>
  <c r="B49" i="6"/>
  <c r="A49" i="6"/>
  <c r="D48" i="6"/>
  <c r="I38" i="6" s="1"/>
  <c r="C48" i="6"/>
  <c r="G40" i="6" s="1"/>
  <c r="B48" i="6"/>
  <c r="A48" i="6"/>
  <c r="O47" i="6"/>
  <c r="N47" i="6"/>
  <c r="M47" i="6"/>
  <c r="D47" i="6"/>
  <c r="I31" i="6" s="1"/>
  <c r="C47" i="6"/>
  <c r="G33" i="6" s="1"/>
  <c r="B47" i="6"/>
  <c r="A47" i="6"/>
  <c r="O46" i="6"/>
  <c r="N46" i="6"/>
  <c r="M46" i="6"/>
  <c r="D46" i="6"/>
  <c r="I17" i="6" s="1"/>
  <c r="C46" i="6"/>
  <c r="B46" i="6"/>
  <c r="A46" i="6"/>
  <c r="O45" i="6"/>
  <c r="N45" i="6"/>
  <c r="M45" i="6"/>
  <c r="I45" i="6"/>
  <c r="D45" i="6"/>
  <c r="I3" i="6" s="1"/>
  <c r="C45" i="6"/>
  <c r="B45" i="6"/>
  <c r="A45" i="6"/>
  <c r="D44" i="6"/>
  <c r="C44" i="6"/>
  <c r="B44" i="6"/>
  <c r="A44" i="6"/>
  <c r="D43" i="6"/>
  <c r="C43" i="6"/>
  <c r="B43" i="6"/>
  <c r="A43" i="6"/>
  <c r="D42" i="6"/>
  <c r="C42" i="6"/>
  <c r="B42" i="6"/>
  <c r="A42" i="6"/>
  <c r="D41" i="6"/>
  <c r="C41" i="6"/>
  <c r="B41" i="6"/>
  <c r="A41" i="6"/>
  <c r="O40" i="6"/>
  <c r="N40" i="6"/>
  <c r="M40" i="6"/>
  <c r="D40" i="6"/>
  <c r="C40" i="6"/>
  <c r="B40" i="6"/>
  <c r="A40" i="6"/>
  <c r="O39" i="6"/>
  <c r="N39" i="6"/>
  <c r="M39" i="6"/>
  <c r="D39" i="6"/>
  <c r="C39" i="6"/>
  <c r="B39" i="6"/>
  <c r="A39" i="6"/>
  <c r="O38" i="6"/>
  <c r="N38" i="6"/>
  <c r="M38" i="6"/>
  <c r="D38" i="6"/>
  <c r="C38" i="6"/>
  <c r="B38" i="6"/>
  <c r="A38" i="6"/>
  <c r="D37" i="6"/>
  <c r="C37" i="6"/>
  <c r="B37" i="6"/>
  <c r="A37" i="6"/>
  <c r="D36" i="6"/>
  <c r="C36" i="6"/>
  <c r="B36" i="6"/>
  <c r="A36" i="6"/>
  <c r="D35" i="6"/>
  <c r="C35" i="6"/>
  <c r="B35" i="6"/>
  <c r="A35" i="6"/>
  <c r="D34" i="6"/>
  <c r="C34" i="6"/>
  <c r="B34" i="6"/>
  <c r="A34" i="6"/>
  <c r="O33" i="6"/>
  <c r="N33" i="6"/>
  <c r="M33" i="6"/>
  <c r="D33" i="6"/>
  <c r="C33" i="6"/>
  <c r="B33" i="6"/>
  <c r="A33" i="6"/>
  <c r="O32" i="6"/>
  <c r="N32" i="6"/>
  <c r="M32" i="6"/>
  <c r="D32" i="6"/>
  <c r="C32" i="6"/>
  <c r="B32" i="6"/>
  <c r="A32" i="6"/>
  <c r="O31" i="6"/>
  <c r="N31" i="6"/>
  <c r="M31" i="6"/>
  <c r="D31" i="6"/>
  <c r="C31" i="6"/>
  <c r="B31" i="6"/>
  <c r="A31" i="6"/>
  <c r="D30" i="6"/>
  <c r="C30" i="6"/>
  <c r="B30" i="6"/>
  <c r="A30" i="6"/>
  <c r="D29" i="6"/>
  <c r="C29" i="6"/>
  <c r="B29" i="6"/>
  <c r="A29" i="6"/>
  <c r="D28" i="6"/>
  <c r="C28" i="6"/>
  <c r="B28" i="6"/>
  <c r="A28" i="6"/>
  <c r="D27" i="6"/>
  <c r="C27" i="6"/>
  <c r="B27" i="6"/>
  <c r="A27" i="6"/>
  <c r="O26" i="6"/>
  <c r="N26" i="6"/>
  <c r="M26" i="6"/>
  <c r="D26" i="6"/>
  <c r="C26" i="6"/>
  <c r="B26" i="6"/>
  <c r="A26" i="6"/>
  <c r="O25" i="6"/>
  <c r="N25" i="6"/>
  <c r="M25" i="6"/>
  <c r="G25" i="6"/>
  <c r="D25" i="6"/>
  <c r="C25" i="6"/>
  <c r="B25" i="6"/>
  <c r="A25" i="6"/>
  <c r="O24" i="6"/>
  <c r="N24" i="6"/>
  <c r="M24" i="6"/>
  <c r="D24" i="6"/>
  <c r="C24" i="6"/>
  <c r="B24" i="6"/>
  <c r="A24" i="6"/>
  <c r="D23" i="6"/>
  <c r="C23" i="6"/>
  <c r="B23" i="6"/>
  <c r="A23" i="6"/>
  <c r="D22" i="6"/>
  <c r="C22" i="6"/>
  <c r="B22" i="6"/>
  <c r="A22" i="6"/>
  <c r="D21" i="6"/>
  <c r="C21" i="6"/>
  <c r="B21" i="6"/>
  <c r="A21" i="6"/>
  <c r="D20" i="6"/>
  <c r="C20" i="6"/>
  <c r="B20" i="6"/>
  <c r="A20" i="6"/>
  <c r="O19" i="6"/>
  <c r="N19" i="6"/>
  <c r="M19" i="6"/>
  <c r="D19" i="6"/>
  <c r="C19" i="6"/>
  <c r="B19" i="6"/>
  <c r="A19" i="6"/>
  <c r="O18" i="6"/>
  <c r="N18" i="6"/>
  <c r="M18" i="6"/>
  <c r="D18" i="6"/>
  <c r="C18" i="6"/>
  <c r="B18" i="6"/>
  <c r="A18" i="6"/>
  <c r="O17" i="6"/>
  <c r="N17" i="6"/>
  <c r="M17" i="6"/>
  <c r="D17" i="6"/>
  <c r="C17" i="6"/>
  <c r="B17" i="6"/>
  <c r="A17" i="6"/>
  <c r="D16" i="6"/>
  <c r="C16" i="6"/>
  <c r="B16" i="6"/>
  <c r="A16" i="6"/>
  <c r="D15" i="6"/>
  <c r="C15" i="6"/>
  <c r="B15" i="6"/>
  <c r="A15" i="6"/>
  <c r="D14" i="6"/>
  <c r="C14" i="6"/>
  <c r="B14" i="6"/>
  <c r="A14" i="6"/>
  <c r="D13" i="6"/>
  <c r="C13" i="6"/>
  <c r="B13" i="6"/>
  <c r="A13" i="6"/>
  <c r="O12" i="6"/>
  <c r="N12" i="6"/>
  <c r="M12" i="6"/>
  <c r="D12" i="6"/>
  <c r="C12" i="6"/>
  <c r="B12" i="6"/>
  <c r="A12" i="6"/>
  <c r="O11" i="6"/>
  <c r="N11" i="6"/>
  <c r="M11" i="6"/>
  <c r="D11" i="6"/>
  <c r="C11" i="6"/>
  <c r="B11" i="6"/>
  <c r="A11" i="6"/>
  <c r="O10" i="6"/>
  <c r="N10" i="6"/>
  <c r="M10" i="6"/>
  <c r="D10" i="6"/>
  <c r="C10" i="6"/>
  <c r="B10" i="6"/>
  <c r="A10" i="6"/>
  <c r="D9" i="6"/>
  <c r="C9" i="6"/>
  <c r="B9" i="6"/>
  <c r="A9" i="6"/>
  <c r="D8" i="6"/>
  <c r="C8" i="6"/>
  <c r="B8" i="6"/>
  <c r="A8" i="6"/>
  <c r="D7" i="6"/>
  <c r="C7" i="6"/>
  <c r="B7" i="6"/>
  <c r="A7" i="6"/>
  <c r="D6" i="6"/>
  <c r="C6" i="6"/>
  <c r="B6" i="6"/>
  <c r="A6" i="6"/>
  <c r="O5" i="6"/>
  <c r="N5" i="6"/>
  <c r="M5" i="6"/>
  <c r="I5" i="6"/>
  <c r="D5" i="6"/>
  <c r="C5" i="6"/>
  <c r="B5" i="6"/>
  <c r="A5" i="6"/>
  <c r="O4" i="6"/>
  <c r="N4" i="6"/>
  <c r="M4" i="6"/>
  <c r="D4" i="6"/>
  <c r="C4" i="6"/>
  <c r="B4" i="6"/>
  <c r="A4" i="6"/>
  <c r="O3" i="6"/>
  <c r="N3" i="6"/>
  <c r="M3" i="6"/>
  <c r="D3" i="6"/>
  <c r="C3" i="6"/>
  <c r="B3" i="6"/>
  <c r="A3" i="6"/>
  <c r="D2" i="6"/>
  <c r="C2" i="6"/>
  <c r="B2" i="6"/>
  <c r="A2" i="6"/>
  <c r="D51" i="5"/>
  <c r="C51" i="5"/>
  <c r="B51" i="5"/>
  <c r="A51" i="5"/>
  <c r="D50" i="5"/>
  <c r="I52" i="5" s="1"/>
  <c r="C50" i="5"/>
  <c r="G54" i="5" s="1"/>
  <c r="B50" i="5"/>
  <c r="A50" i="5"/>
  <c r="D49" i="5"/>
  <c r="C49" i="5"/>
  <c r="B49" i="5"/>
  <c r="A49" i="5"/>
  <c r="D48" i="5"/>
  <c r="I38" i="5" s="1"/>
  <c r="C48" i="5"/>
  <c r="G40" i="5" s="1"/>
  <c r="B48" i="5"/>
  <c r="A48" i="5"/>
  <c r="D47" i="5"/>
  <c r="C47" i="5"/>
  <c r="B47" i="5"/>
  <c r="A47" i="5"/>
  <c r="D46" i="5"/>
  <c r="I11" i="5" s="1"/>
  <c r="C46" i="5"/>
  <c r="B46" i="5"/>
  <c r="A46" i="5"/>
  <c r="D45" i="5"/>
  <c r="C45" i="5"/>
  <c r="B45" i="5"/>
  <c r="A45" i="5"/>
  <c r="D44" i="5"/>
  <c r="C44" i="5"/>
  <c r="B44" i="5"/>
  <c r="A44" i="5"/>
  <c r="D43" i="5"/>
  <c r="C43" i="5"/>
  <c r="B43" i="5"/>
  <c r="A43" i="5"/>
  <c r="D42" i="5"/>
  <c r="C42" i="5"/>
  <c r="B42" i="5"/>
  <c r="A42" i="5"/>
  <c r="D41" i="5"/>
  <c r="C41" i="5"/>
  <c r="B41" i="5"/>
  <c r="A41" i="5"/>
  <c r="D40" i="5"/>
  <c r="C40" i="5"/>
  <c r="B40" i="5"/>
  <c r="A40" i="5"/>
  <c r="D39" i="5"/>
  <c r="C39" i="5"/>
  <c r="B39" i="5"/>
  <c r="A39" i="5"/>
  <c r="D38" i="5"/>
  <c r="C38" i="5"/>
  <c r="B38" i="5"/>
  <c r="A38" i="5"/>
  <c r="D37" i="5"/>
  <c r="C37" i="5"/>
  <c r="B37" i="5"/>
  <c r="A37" i="5"/>
  <c r="D36" i="5"/>
  <c r="C36" i="5"/>
  <c r="B36" i="5"/>
  <c r="A36" i="5"/>
  <c r="D35" i="5"/>
  <c r="C35" i="5"/>
  <c r="B35" i="5"/>
  <c r="A35" i="5"/>
  <c r="D34" i="5"/>
  <c r="C34" i="5"/>
  <c r="B34" i="5"/>
  <c r="A34" i="5"/>
  <c r="D33" i="5"/>
  <c r="C33" i="5"/>
  <c r="B33" i="5"/>
  <c r="A33" i="5"/>
  <c r="D32" i="5"/>
  <c r="C32" i="5"/>
  <c r="B32" i="5"/>
  <c r="A32" i="5"/>
  <c r="D31" i="5"/>
  <c r="C31" i="5"/>
  <c r="B31" i="5"/>
  <c r="A31" i="5"/>
  <c r="D30" i="5"/>
  <c r="C30" i="5"/>
  <c r="B30" i="5"/>
  <c r="A30" i="5"/>
  <c r="D29" i="5"/>
  <c r="C29" i="5"/>
  <c r="B29" i="5"/>
  <c r="A29" i="5"/>
  <c r="D28" i="5"/>
  <c r="C28" i="5"/>
  <c r="B28" i="5"/>
  <c r="A28" i="5"/>
  <c r="D27" i="5"/>
  <c r="C27" i="5"/>
  <c r="B27" i="5"/>
  <c r="A27" i="5"/>
  <c r="H26" i="5"/>
  <c r="D26" i="5"/>
  <c r="C26" i="5"/>
  <c r="B26" i="5"/>
  <c r="A26" i="5"/>
  <c r="D25" i="5"/>
  <c r="C25" i="5"/>
  <c r="B25" i="5"/>
  <c r="A25" i="5"/>
  <c r="D24" i="5"/>
  <c r="C24" i="5"/>
  <c r="B24" i="5"/>
  <c r="A24" i="5"/>
  <c r="D23" i="5"/>
  <c r="C23" i="5"/>
  <c r="B23" i="5"/>
  <c r="A23" i="5"/>
  <c r="D22" i="5"/>
  <c r="C22" i="5"/>
  <c r="B22" i="5"/>
  <c r="A22" i="5"/>
  <c r="D21" i="5"/>
  <c r="C21" i="5"/>
  <c r="B21" i="5"/>
  <c r="A21" i="5"/>
  <c r="D20" i="5"/>
  <c r="C20" i="5"/>
  <c r="B20" i="5"/>
  <c r="A20" i="5"/>
  <c r="D19" i="5"/>
  <c r="C19" i="5"/>
  <c r="B19" i="5"/>
  <c r="A19" i="5"/>
  <c r="D18" i="5"/>
  <c r="C18" i="5"/>
  <c r="B18" i="5"/>
  <c r="A18" i="5"/>
  <c r="D17" i="5"/>
  <c r="C17" i="5"/>
  <c r="B17" i="5"/>
  <c r="A17" i="5"/>
  <c r="D16" i="5"/>
  <c r="C16" i="5"/>
  <c r="B16" i="5"/>
  <c r="A16" i="5"/>
  <c r="D15" i="5"/>
  <c r="C15" i="5"/>
  <c r="B15" i="5"/>
  <c r="A15" i="5"/>
  <c r="D14" i="5"/>
  <c r="C14" i="5"/>
  <c r="B14" i="5"/>
  <c r="A14" i="5"/>
  <c r="D13" i="5"/>
  <c r="C13" i="5"/>
  <c r="B13" i="5"/>
  <c r="A13" i="5"/>
  <c r="D12" i="5"/>
  <c r="C12" i="5"/>
  <c r="B12" i="5"/>
  <c r="A12" i="5"/>
  <c r="D11" i="5"/>
  <c r="C11" i="5"/>
  <c r="B11" i="5"/>
  <c r="A11" i="5"/>
  <c r="D10" i="5"/>
  <c r="C10" i="5"/>
  <c r="B10" i="5"/>
  <c r="A10" i="5"/>
  <c r="D9" i="5"/>
  <c r="C9" i="5"/>
  <c r="B9" i="5"/>
  <c r="A9" i="5"/>
  <c r="D8" i="5"/>
  <c r="C8" i="5"/>
  <c r="B8" i="5"/>
  <c r="A8" i="5"/>
  <c r="D7" i="5"/>
  <c r="C7" i="5"/>
  <c r="B7" i="5"/>
  <c r="A7" i="5"/>
  <c r="D6" i="5"/>
  <c r="C6" i="5"/>
  <c r="B6" i="5"/>
  <c r="A6" i="5"/>
  <c r="D5" i="5"/>
  <c r="C5" i="5"/>
  <c r="B5" i="5"/>
  <c r="A5" i="5"/>
  <c r="D4" i="5"/>
  <c r="C4" i="5"/>
  <c r="B4" i="5"/>
  <c r="A4" i="5"/>
  <c r="D3" i="5"/>
  <c r="C3" i="5"/>
  <c r="B3" i="5"/>
  <c r="A3" i="5"/>
  <c r="D2" i="5"/>
  <c r="C2" i="5"/>
  <c r="B2" i="5"/>
  <c r="A2" i="5"/>
  <c r="E20" i="4"/>
  <c r="D20" i="4"/>
  <c r="C20" i="4"/>
  <c r="B20" i="4"/>
  <c r="E19" i="4"/>
  <c r="D19" i="4"/>
  <c r="C19" i="4"/>
  <c r="B19" i="4"/>
  <c r="E18" i="4"/>
  <c r="D18" i="4"/>
  <c r="C18" i="4"/>
  <c r="B18" i="4"/>
  <c r="E17" i="4"/>
  <c r="D17" i="4"/>
  <c r="C17" i="4"/>
  <c r="B17" i="4"/>
  <c r="E16" i="4"/>
  <c r="D16" i="4"/>
  <c r="C16" i="4"/>
  <c r="B16" i="4"/>
  <c r="E15" i="4"/>
  <c r="D15" i="4"/>
  <c r="C15" i="4"/>
  <c r="B15" i="4"/>
  <c r="E14" i="4"/>
  <c r="E21" i="4" s="1"/>
  <c r="D14" i="4"/>
  <c r="D21" i="4" s="1"/>
  <c r="C14" i="4"/>
  <c r="B14" i="4"/>
  <c r="B21" i="4" s="1"/>
  <c r="E9" i="4"/>
  <c r="D9" i="4"/>
  <c r="C9" i="4"/>
  <c r="B9" i="4"/>
  <c r="E8" i="4"/>
  <c r="D8" i="4"/>
  <c r="C8" i="4"/>
  <c r="B8" i="4"/>
  <c r="E7" i="4"/>
  <c r="D7" i="4"/>
  <c r="C7" i="4"/>
  <c r="B7" i="4"/>
  <c r="E6" i="4"/>
  <c r="D6" i="4"/>
  <c r="C6" i="4"/>
  <c r="B6" i="4"/>
  <c r="E5" i="4"/>
  <c r="D5" i="4"/>
  <c r="C5" i="4"/>
  <c r="B5" i="4"/>
  <c r="E4" i="4"/>
  <c r="D4" i="4"/>
  <c r="C4" i="4"/>
  <c r="B4" i="4"/>
  <c r="E3" i="4"/>
  <c r="E10" i="4" s="1"/>
  <c r="D3" i="4"/>
  <c r="D10" i="4" s="1"/>
  <c r="C3" i="4"/>
  <c r="B3" i="4"/>
  <c r="B10" i="4" s="1"/>
  <c r="G5" i="6" l="1"/>
  <c r="G19" i="6"/>
  <c r="I46" i="6"/>
  <c r="H46" i="6"/>
  <c r="G46" i="6"/>
  <c r="J46" i="6" s="1"/>
  <c r="G12" i="6"/>
  <c r="J12" i="6" s="1"/>
  <c r="I12" i="6"/>
  <c r="H5" i="6"/>
  <c r="G4" i="6"/>
  <c r="H4" i="6"/>
  <c r="I4" i="6"/>
  <c r="I6" i="6" s="1"/>
  <c r="I54" i="6"/>
  <c r="H53" i="6"/>
  <c r="H38" i="6"/>
  <c r="H41" i="6" s="1"/>
  <c r="G38" i="6"/>
  <c r="I26" i="6"/>
  <c r="H39" i="6"/>
  <c r="I25" i="6"/>
  <c r="I27" i="6" s="1"/>
  <c r="I39" i="6"/>
  <c r="H40" i="6"/>
  <c r="I40" i="6"/>
  <c r="H54" i="6"/>
  <c r="I53" i="6"/>
  <c r="I33" i="6"/>
  <c r="H33" i="6"/>
  <c r="J33" i="6" s="1"/>
  <c r="G45" i="6"/>
  <c r="I32" i="6"/>
  <c r="I34" i="6" s="1"/>
  <c r="H32" i="6"/>
  <c r="G32" i="6"/>
  <c r="J32" i="6" s="1"/>
  <c r="H45" i="6"/>
  <c r="H31" i="6"/>
  <c r="H34" i="6" s="1"/>
  <c r="G31" i="6"/>
  <c r="H26" i="6"/>
  <c r="J26" i="6" s="1"/>
  <c r="G47" i="6"/>
  <c r="H25" i="6"/>
  <c r="J25" i="6" s="1"/>
  <c r="H47" i="6"/>
  <c r="H24" i="6"/>
  <c r="H27" i="6" s="1"/>
  <c r="G24" i="6"/>
  <c r="I19" i="6"/>
  <c r="H19" i="6"/>
  <c r="I47" i="6"/>
  <c r="I18" i="6"/>
  <c r="I20" i="6" s="1"/>
  <c r="H18" i="6"/>
  <c r="G18" i="6"/>
  <c r="J18" i="6" s="1"/>
  <c r="G52" i="6"/>
  <c r="H17" i="6"/>
  <c r="G17" i="6"/>
  <c r="I11" i="6"/>
  <c r="H11" i="6"/>
  <c r="G11" i="6"/>
  <c r="I10" i="6"/>
  <c r="H10" i="6"/>
  <c r="G10" i="6"/>
  <c r="J10" i="6" s="1"/>
  <c r="H52" i="6"/>
  <c r="H12" i="6"/>
  <c r="G53" i="6"/>
  <c r="G39" i="6"/>
  <c r="J39" i="6" s="1"/>
  <c r="H3" i="6"/>
  <c r="H6" i="6" s="1"/>
  <c r="G3" i="6"/>
  <c r="G12" i="5"/>
  <c r="I12" i="5"/>
  <c r="H4" i="5"/>
  <c r="G5" i="5"/>
  <c r="H5" i="5"/>
  <c r="G3" i="5"/>
  <c r="I5" i="5"/>
  <c r="I3" i="5"/>
  <c r="I4" i="5"/>
  <c r="H3" i="5"/>
  <c r="H6" i="5" s="1"/>
  <c r="G4" i="5"/>
  <c r="J4" i="5" s="1"/>
  <c r="G46" i="5"/>
  <c r="I17" i="5"/>
  <c r="I46" i="5"/>
  <c r="I45" i="5"/>
  <c r="I48" i="5" s="1"/>
  <c r="H45" i="5"/>
  <c r="G45" i="5"/>
  <c r="I25" i="5"/>
  <c r="G25" i="5"/>
  <c r="I24" i="5"/>
  <c r="I27" i="5" s="1"/>
  <c r="G24" i="5"/>
  <c r="I19" i="5"/>
  <c r="H18" i="5"/>
  <c r="H17" i="5"/>
  <c r="G47" i="5"/>
  <c r="H47" i="5"/>
  <c r="I54" i="5"/>
  <c r="G10" i="5"/>
  <c r="H10" i="5"/>
  <c r="I10" i="5"/>
  <c r="I13" i="5" s="1"/>
  <c r="G11" i="5"/>
  <c r="H11" i="5"/>
  <c r="H54" i="5"/>
  <c r="I53" i="5"/>
  <c r="H12" i="5"/>
  <c r="H53" i="5"/>
  <c r="I26" i="5"/>
  <c r="G53" i="5"/>
  <c r="J53" i="5" s="1"/>
  <c r="H52" i="5"/>
  <c r="H55" i="5" s="1"/>
  <c r="G17" i="5"/>
  <c r="I40" i="5"/>
  <c r="H40" i="5"/>
  <c r="J40" i="5" s="1"/>
  <c r="I47" i="5"/>
  <c r="I39" i="5"/>
  <c r="I41" i="5" s="1"/>
  <c r="H39" i="5"/>
  <c r="G39" i="5"/>
  <c r="J39" i="5" s="1"/>
  <c r="G52" i="5"/>
  <c r="H38" i="5"/>
  <c r="H41" i="5" s="1"/>
  <c r="G38" i="5"/>
  <c r="I33" i="5"/>
  <c r="H33" i="5"/>
  <c r="G33" i="5"/>
  <c r="J33" i="5" s="1"/>
  <c r="I32" i="5"/>
  <c r="H32" i="5"/>
  <c r="G32" i="5"/>
  <c r="J32" i="5" s="1"/>
  <c r="I31" i="5"/>
  <c r="I34" i="5" s="1"/>
  <c r="H31" i="5"/>
  <c r="H34" i="5" s="1"/>
  <c r="G31" i="5"/>
  <c r="G26" i="5"/>
  <c r="H25" i="5"/>
  <c r="H24" i="5"/>
  <c r="H27" i="5" s="1"/>
  <c r="H19" i="5"/>
  <c r="G19" i="5"/>
  <c r="I18" i="5"/>
  <c r="G18" i="5"/>
  <c r="H46" i="5"/>
  <c r="G20" i="4"/>
  <c r="F20" i="4"/>
  <c r="H20" i="4" s="1"/>
  <c r="F19" i="4"/>
  <c r="G19" i="4"/>
  <c r="G18" i="4"/>
  <c r="F18" i="4"/>
  <c r="H18" i="4" s="1"/>
  <c r="G17" i="4"/>
  <c r="F17" i="4"/>
  <c r="H17" i="4" s="1"/>
  <c r="F16" i="4"/>
  <c r="G16" i="4"/>
  <c r="F15" i="4"/>
  <c r="G15" i="4"/>
  <c r="C21" i="4"/>
  <c r="F14" i="4"/>
  <c r="H14" i="4" s="1"/>
  <c r="G14" i="4"/>
  <c r="F9" i="4"/>
  <c r="G9" i="4"/>
  <c r="F8" i="4"/>
  <c r="G8" i="4"/>
  <c r="G7" i="4"/>
  <c r="F7" i="4"/>
  <c r="H7" i="4" s="1"/>
  <c r="F6" i="4"/>
  <c r="G6" i="4"/>
  <c r="G5" i="4"/>
  <c r="F5" i="4"/>
  <c r="H5" i="4" s="1"/>
  <c r="G4" i="4"/>
  <c r="F4" i="4"/>
  <c r="H4" i="4" s="1"/>
  <c r="F3" i="4"/>
  <c r="G3" i="4"/>
  <c r="C10" i="4"/>
  <c r="J38" i="6" l="1"/>
  <c r="W38" i="6"/>
  <c r="G41" i="6"/>
  <c r="J41" i="6"/>
  <c r="J45" i="6"/>
  <c r="W45" i="6"/>
  <c r="G48" i="6"/>
  <c r="J48" i="6"/>
  <c r="J31" i="6"/>
  <c r="W31" i="6"/>
  <c r="G34" i="6"/>
  <c r="J34" i="6"/>
  <c r="T26" i="6"/>
  <c r="S26" i="6"/>
  <c r="R26" i="6"/>
  <c r="T25" i="6"/>
  <c r="J24" i="6"/>
  <c r="G27" i="6"/>
  <c r="J27" i="6"/>
  <c r="W24" i="6"/>
  <c r="J52" i="6"/>
  <c r="W52" i="6"/>
  <c r="G55" i="6"/>
  <c r="J55" i="6"/>
  <c r="J17" i="6"/>
  <c r="W17" i="6"/>
  <c r="G20" i="6"/>
  <c r="J20" i="6"/>
  <c r="J11" i="6"/>
  <c r="G13" i="6"/>
  <c r="J13" i="6"/>
  <c r="R10" i="6"/>
  <c r="S10" i="6"/>
  <c r="T10" i="6"/>
  <c r="R39" i="6"/>
  <c r="S39" i="6"/>
  <c r="T39" i="6"/>
  <c r="J3" i="6"/>
  <c r="G6" i="6"/>
  <c r="J6" i="6"/>
  <c r="W10" i="6"/>
  <c r="W3" i="6"/>
  <c r="G6" i="5"/>
  <c r="J3" i="5"/>
  <c r="M4" i="5" s="1" a="1"/>
  <c r="M4" i="5" s="1"/>
  <c r="M3" i="5"/>
  <c r="J45" i="5"/>
  <c r="M45" i="5"/>
  <c r="G48" i="5"/>
  <c r="J24" i="5"/>
  <c r="M24" i="5"/>
  <c r="G27" i="5"/>
  <c r="J10" i="5"/>
  <c r="M11" i="5" s="1" a="1"/>
  <c r="M11" i="5" s="1"/>
  <c r="M10" i="5"/>
  <c r="G13" i="5"/>
  <c r="M17" i="5"/>
  <c r="G20" i="5"/>
  <c r="J17" i="5"/>
  <c r="M18" i="5" s="1" a="1"/>
  <c r="M18" i="5" s="1"/>
  <c r="J52" i="5"/>
  <c r="M52" i="5"/>
  <c r="G55" i="5"/>
  <c r="J38" i="5"/>
  <c r="M38" i="5"/>
  <c r="G41" i="5"/>
  <c r="J31" i="5"/>
  <c r="M32" i="5" s="1" a="1"/>
  <c r="M32" i="5" s="1"/>
  <c r="M31" i="5"/>
  <c r="G34" i="5"/>
  <c r="G21" i="4"/>
  <c r="F21" i="4"/>
  <c r="H21" i="4" s="1"/>
  <c r="F10" i="4"/>
  <c r="G10" i="4"/>
  <c r="I41" i="6"/>
  <c r="J40" i="6"/>
  <c r="J54" i="6"/>
  <c r="I55" i="6"/>
  <c r="H48" i="6"/>
  <c r="J47" i="6"/>
  <c r="H20" i="6"/>
  <c r="I13" i="6"/>
  <c r="H13" i="6"/>
  <c r="H55" i="6"/>
  <c r="J53" i="6"/>
  <c r="J12" i="5"/>
  <c r="H48" i="5"/>
  <c r="H20" i="5"/>
  <c r="J11" i="5"/>
  <c r="J54" i="5"/>
  <c r="I55" i="5"/>
  <c r="J46" i="5"/>
  <c r="J25" i="5"/>
  <c r="J26" i="5"/>
  <c r="J19" i="5"/>
  <c r="J5" i="5"/>
  <c r="J18" i="5"/>
  <c r="H19" i="4"/>
  <c r="H16" i="4"/>
  <c r="H15" i="4"/>
  <c r="J4" i="6"/>
  <c r="H13" i="5"/>
  <c r="H9" i="4"/>
  <c r="H8" i="4"/>
  <c r="H6" i="4"/>
  <c r="H3" i="4"/>
  <c r="J5" i="6"/>
  <c r="J19" i="6"/>
  <c r="I48" i="6"/>
  <c r="I6" i="5"/>
  <c r="I20" i="5"/>
  <c r="J47" i="5"/>
  <c r="R38" i="6" l="1"/>
  <c r="S38" i="6"/>
  <c r="T38" i="6"/>
  <c r="R45" i="6"/>
  <c r="S45" i="6"/>
  <c r="T45" i="6"/>
  <c r="R31" i="6"/>
  <c r="S31" i="6"/>
  <c r="T31" i="6"/>
  <c r="R24" i="6"/>
  <c r="W25" i="6" s="1"/>
  <c r="W26" i="6" s="1"/>
  <c r="S24" i="6"/>
  <c r="T24" i="6"/>
  <c r="R52" i="6"/>
  <c r="S52" i="6"/>
  <c r="T52" i="6"/>
  <c r="R17" i="6"/>
  <c r="S17" i="6"/>
  <c r="T17" i="6"/>
  <c r="R11" i="6"/>
  <c r="W11" i="6" s="1"/>
  <c r="W12" i="6" s="1"/>
  <c r="S11" i="6"/>
  <c r="T11" i="6"/>
  <c r="R3" i="6"/>
  <c r="S3" i="6"/>
  <c r="T3" i="6"/>
  <c r="M5" i="5"/>
  <c r="M12" i="5"/>
  <c r="R40" i="6"/>
  <c r="S40" i="6"/>
  <c r="T40" i="6"/>
  <c r="R54" i="6"/>
  <c r="S54" i="6"/>
  <c r="T54" i="6"/>
  <c r="T47" i="6"/>
  <c r="S47" i="6"/>
  <c r="R47" i="6"/>
  <c r="T53" i="6"/>
  <c r="S53" i="6"/>
  <c r="R53" i="6"/>
  <c r="S4" i="6"/>
  <c r="T4" i="6"/>
  <c r="R4" i="6"/>
  <c r="T5" i="6"/>
  <c r="S5" i="6"/>
  <c r="R5" i="6"/>
  <c r="T19" i="6"/>
  <c r="S19" i="6"/>
  <c r="R19" i="6"/>
  <c r="M19" i="5"/>
  <c r="M46" i="5" a="1"/>
  <c r="M46" i="5" s="1"/>
  <c r="M47" i="5" s="1"/>
  <c r="M25" i="5" a="1"/>
  <c r="M25" i="5" s="1"/>
  <c r="M26" i="5" s="1"/>
  <c r="M53" i="5" a="1"/>
  <c r="M53" i="5" s="1"/>
  <c r="M54" i="5" s="1"/>
  <c r="M39" i="5" a="1"/>
  <c r="M39" i="5" s="1"/>
  <c r="M40" i="5" s="1"/>
  <c r="M33" i="5"/>
  <c r="H10" i="4"/>
  <c r="R46" i="6"/>
  <c r="S46" i="6"/>
  <c r="T46" i="6"/>
  <c r="T33" i="6"/>
  <c r="S33" i="6"/>
  <c r="R33" i="6"/>
  <c r="R32" i="6"/>
  <c r="S32" i="6"/>
  <c r="T32" i="6"/>
  <c r="S25" i="6"/>
  <c r="R25" i="6"/>
  <c r="R18" i="6"/>
  <c r="S18" i="6"/>
  <c r="T18" i="6"/>
  <c r="R12" i="6"/>
  <c r="S12" i="6"/>
  <c r="T12" i="6"/>
  <c r="W39" i="6" l="1"/>
  <c r="W40" i="6" s="1"/>
  <c r="W46" i="6"/>
  <c r="W47" i="6" s="1"/>
  <c r="W32" i="6"/>
  <c r="W33" i="6" s="1"/>
  <c r="W4" i="6"/>
  <c r="W5" i="6" s="1"/>
  <c r="W53" i="6"/>
  <c r="W54" i="6" s="1"/>
  <c r="W18" i="6"/>
  <c r="W19" i="6" s="1"/>
</calcChain>
</file>

<file path=xl/sharedStrings.xml><?xml version="1.0" encoding="utf-8"?>
<sst xmlns="http://schemas.openxmlformats.org/spreadsheetml/2006/main" count="736" uniqueCount="156">
  <si>
    <t>Type</t>
  </si>
  <si>
    <t>Element</t>
  </si>
  <si>
    <t>State</t>
  </si>
  <si>
    <t>initial state (⇒ TransportationMode)</t>
  </si>
  <si>
    <t>TransportationMode</t>
  </si>
  <si>
    <t>Transition</t>
  </si>
  <si>
    <t>selectorPressed (TransportationMode ⇒ On)</t>
  </si>
  <si>
    <t>PreparingOff</t>
  </si>
  <si>
    <t>selectorReleased (PreparingOff ⇒ On)</t>
  </si>
  <si>
    <t>after 5sec (PreparingOff ⇒ Off)</t>
  </si>
  <si>
    <t>Off</t>
  </si>
  <si>
    <t>selectorPressed (Off ⇒ On)</t>
  </si>
  <si>
    <t>Composite State</t>
  </si>
  <si>
    <t>On</t>
  </si>
  <si>
    <t>History State</t>
  </si>
  <si>
    <t>History State for On</t>
  </si>
  <si>
    <t>selectorHeld (On ⇒ PreparingOff)</t>
  </si>
  <si>
    <t>bowlRemoved (On ⇒ On)</t>
  </si>
  <si>
    <t>Initial State (On ⇒  Home)</t>
  </si>
  <si>
    <t>Home</t>
  </si>
  <si>
    <t>after 14min 30sec (Home ⇒ Preparing Shutdown)</t>
  </si>
  <si>
    <t>start (Home ⇒ PromptToAdd)</t>
  </si>
  <si>
    <t>Guard</t>
  </si>
  <si>
    <t>[!bowlRemoved()]</t>
  </si>
  <si>
    <t>Action</t>
  </si>
  <si>
    <t>setIngredients()</t>
  </si>
  <si>
    <t>Preparing Shutdown</t>
  </si>
  <si>
    <t>after 30sec (Preparing Shutdown ⇒ Off)</t>
  </si>
  <si>
    <t>cancel (Preparing Shutdown ⇒ Home)</t>
  </si>
  <si>
    <t>PromptToAdd</t>
  </si>
  <si>
    <t>next (PromptToAdd ⇒ PromptToAdd)</t>
  </si>
  <si>
    <t>[weightCorrect() &amp;&amp; moreIngredientsRequired()]</t>
  </si>
  <si>
    <t>next (PromptToAdd ⇒ Chop)</t>
  </si>
  <si>
    <t>[weightCorrect() &amp;&amp; !moreIngredientsRequired()]</t>
  </si>
  <si>
    <t>setChoppingSpeedAndTime()</t>
  </si>
  <si>
    <t>Chop</t>
  </si>
  <si>
    <t>next (Chop ⇒ PromptToAdd)</t>
  </si>
  <si>
    <t>[choppingTimeDone &amp;&amp; moreIngredientsRequired()]</t>
  </si>
  <si>
    <t>next (Chop ⇒ Cook)</t>
  </si>
  <si>
    <t>[choppingTimeDone &amp;&amp; !moreIngredientsRequired()]</t>
  </si>
  <si>
    <t>setCookingSpeedAndTime()</t>
  </si>
  <si>
    <t>Cook</t>
  </si>
  <si>
    <t>after choppingTime (Cook ⇒ PromptToAdd)</t>
  </si>
  <si>
    <t>after cookingTime (Cook ⇒ Ready)</t>
  </si>
  <si>
    <t>[!moreIngredientsRequired()]</t>
  </si>
  <si>
    <t>Ready</t>
  </si>
  <si>
    <t>after 14min 30sec (Ready ⇒ Preparing Shutdown)</t>
  </si>
  <si>
    <t>additional elements</t>
  </si>
  <si>
    <t>Region</t>
  </si>
  <si>
    <t>Rater 1</t>
  </si>
  <si>
    <t>Notes</t>
  </si>
  <si>
    <t>15min</t>
  </si>
  <si>
    <t>BowlPresent</t>
  </si>
  <si>
    <t>lastStep</t>
  </si>
  <si>
    <t>LLM</t>
  </si>
  <si>
    <t>Initial state correctly transitions to TransportationMode</t>
  </si>
  <si>
    <t>TransportationMode state is present</t>
  </si>
  <si>
    <t>Transition present with correct trigger and target</t>
  </si>
  <si>
    <t>No intermediate state for holding selector; student uses direct transition with guard</t>
  </si>
  <si>
    <t>Not present; student model uses different approach for selector hold</t>
  </si>
  <si>
    <t>Not present as separate transition; combined with selectorHeld transition</t>
  </si>
  <si>
    <t>Off state is present</t>
  </si>
  <si>
    <t>Transition from Off to On with selectorPressed is present</t>
  </si>
  <si>
    <t>On is modeled as composite state containing substates</t>
  </si>
  <si>
    <t>No history state present in student submission</t>
  </si>
  <si>
    <t>Transition exists from On to Off with selectorHeld but targets Off directly instead of PreparingOff</t>
  </si>
  <si>
    <t>No self-transition for bowlRemoved; student uses removeBowl to exit RecipeExecution</t>
  </si>
  <si>
    <t>Initial state within On correctly points to HomeScreen</t>
  </si>
  <si>
    <t>HomeScreen state represents Home</t>
  </si>
  <si>
    <t>Transition after15min from HomeScreen to AutoShutdownWarning captures the behavior (minor timing difference acceptable)</t>
  </si>
  <si>
    <t>Transition selectRecipe with bowlPresent guard goes to RecipeExecution; partially captures starting recipe but missing direct prompt-to-add</t>
  </si>
  <si>
    <t>Guard bowlPresent on selectRecipe transition captures bowl requirement</t>
  </si>
  <si>
    <t>No setIngredients action present in student submission</t>
  </si>
  <si>
    <t>AutoShutdownWarning state represents preparing shutdown</t>
  </si>
  <si>
    <t>Transition after30sec from AutoShutdownWarning to Off is present</t>
  </si>
  <si>
    <t>Transition selectCancel from AutoShutdownWarning to HomeScreen is present</t>
  </si>
  <si>
    <t>Weighing state partially represents prompting to add ingredients</t>
  </si>
  <si>
    <t>No self-transition for adding more ingredients in weighing state</t>
  </si>
  <si>
    <t>No guard for checking both weight and more ingredients required</t>
  </si>
  <si>
    <t>No setIngredients action present</t>
  </si>
  <si>
    <t>Transition selectNext with correctAmount guard from Weighing to Chopping is present</t>
  </si>
  <si>
    <t>Guard correctAmount on transition to Chopping captures weight verification</t>
  </si>
  <si>
    <t>Action startChopping on transition to Chopping state captures setting chopping parameters</t>
  </si>
  <si>
    <t>Chopping state is present</t>
  </si>
  <si>
    <t>No transition from Chopping back to Weighing for more ingredients</t>
  </si>
  <si>
    <t>No guard checking chopping done and more ingredients needed</t>
  </si>
  <si>
    <t>Transition selectNext from Chopping to Cooking is present</t>
  </si>
  <si>
    <t>No guard on Chopping to Cooking transition</t>
  </si>
  <si>
    <t>Action startCooking on transition to Cooking captures setting cooking parameters</t>
  </si>
  <si>
    <t>Cooking state is present</t>
  </si>
  <si>
    <t>Transition from Cooking to Weighing with moreSteps guard partially captures returning for more ingredients</t>
  </si>
  <si>
    <t>Guard moreSteps partially captures the need for more ingredients but not chopping completion</t>
  </si>
  <si>
    <t>No setIngredients action on this transition</t>
  </si>
  <si>
    <t>Transition selectNext with lastStep guard from Cooking to MealReady partially captures completion</t>
  </si>
  <si>
    <t>Guard lastStep on transition to MealReady captures no more steps needed</t>
  </si>
  <si>
    <t>MealReady state represents Ready</t>
  </si>
  <si>
    <t>No transition from MealReady to auto-shutdown warning</t>
  </si>
  <si>
    <t>No fundamentally incorrect states present</t>
  </si>
  <si>
    <t>No fundamentally incorrect transitions present</t>
  </si>
  <si>
    <t>No fundamentally incorrect guards present</t>
  </si>
  <si>
    <t>Action deactivateTransportMode on first transition is not described in system description</t>
  </si>
  <si>
    <t>RecipeExecution composite state adds unnecessary hierarchy not required by system description</t>
  </si>
  <si>
    <t>No incorrect regions present</t>
  </si>
  <si>
    <t>No incorrect history states present</t>
  </si>
  <si>
    <t>Date</t>
  </si>
  <si>
    <t>Ground Truth Count</t>
  </si>
  <si>
    <t>True Positive</t>
  </si>
  <si>
    <t>False Positive</t>
  </si>
  <si>
    <t>False Negative</t>
  </si>
  <si>
    <t>Precision</t>
  </si>
  <si>
    <t>Recall</t>
  </si>
  <si>
    <t>F1 Score</t>
  </si>
  <si>
    <t>Feburary 28, 2026</t>
  </si>
  <si>
    <t>LLM Used</t>
  </si>
  <si>
    <t>Claude 4.5 Sonnet</t>
  </si>
  <si>
    <t>Overall Score</t>
  </si>
  <si>
    <t>Composite state</t>
  </si>
  <si>
    <t>Confusion Matrix</t>
  </si>
  <si>
    <t>Cohen's Kappa</t>
  </si>
  <si>
    <t>Global</t>
  </si>
  <si>
    <t>0</t>
  </si>
  <si>
    <t>0.5</t>
  </si>
  <si>
    <t>1</t>
  </si>
  <si>
    <t>Row Totals</t>
  </si>
  <si>
    <t>Metric</t>
  </si>
  <si>
    <t>Value</t>
  </si>
  <si>
    <t>Note</t>
  </si>
  <si>
    <t>Observed Agreement (Po)</t>
  </si>
  <si>
    <t>This sums the diagonal of your matrix divided by total rows.</t>
  </si>
  <si>
    <t>Expected Agreement (Pe)</t>
  </si>
  <si>
    <t>This computes the sum of row proportion times column proportion.</t>
  </si>
  <si>
    <t>(Po - Pe) / (1 - Pe)</t>
  </si>
  <si>
    <t>Column Totals</t>
  </si>
  <si>
    <t>Confusion Matrix (State)</t>
  </si>
  <si>
    <t>Cohen's Kappa (State)</t>
  </si>
  <si>
    <t>Confusion Matrix (Transition)</t>
  </si>
  <si>
    <t>Cohen's Kappa (Transition)</t>
  </si>
  <si>
    <t>Confusion Matrix (Composite State)</t>
  </si>
  <si>
    <t>Cohen's Kappa (Composite State)</t>
  </si>
  <si>
    <t>Confusion Matrix (Guard)</t>
  </si>
  <si>
    <t>Cohen's Kappa (Guard)</t>
  </si>
  <si>
    <t>Confusion Matrix (Action)</t>
  </si>
  <si>
    <t>Cohen's Kappa (Action)</t>
  </si>
  <si>
    <t>Confusion Matrix (History State)</t>
  </si>
  <si>
    <t xml:space="preserve">Cohen's Kappa (History State)		</t>
  </si>
  <si>
    <t>Confusion Matrix (Region)</t>
  </si>
  <si>
    <t>Cohen's Kappa (Region)</t>
  </si>
  <si>
    <t>Weight Matrix</t>
  </si>
  <si>
    <t>Observed Weighted Disagreement (D_obs)</t>
  </si>
  <si>
    <t>Sum of (confusion-matrix counts × weights) divided by total items.</t>
  </si>
  <si>
    <t>Expected Weighted Disagreement (D_exp)</t>
  </si>
  <si>
    <t>Sum of (expected cell proportions × weights) under chance agreement.</t>
  </si>
  <si>
    <t>1 - (D_obs / D_exp)</t>
  </si>
  <si>
    <t>Claude Grader LLM</t>
  </si>
  <si>
    <t>Claude Grader Human</t>
  </si>
  <si>
    <t>Human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</si>
</sst>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8" x14ac:knownFonts="1">
    <font>
      <sz val="10"/>
      <color rgb="FF000000"/>
      <name val="Arial"/>
      <scheme val="minor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0"/>
      <name val="Arial"/>
      <family val="2"/>
    </font>
    <font>
      <b/>
      <sz val="10"/>
      <color theme="1"/>
      <name val="Open Sans"/>
    </font>
  </fonts>
  <fills count="10">
    <fill>
      <patternFill patternType="none"/>
    </fill>
    <fill>
      <patternFill patternType="gray125"/>
    </fill>
    <fill>
      <patternFill patternType="solid">
        <fgColor rgb="FFB3CEFA"/>
        <bgColor rgb="FFB3CEFA"/>
      </patternFill>
    </fill>
    <fill>
      <patternFill patternType="solid">
        <fgColor rgb="FFD9E6FC"/>
        <bgColor rgb="FFD9E6FC"/>
      </patternFill>
    </fill>
    <fill>
      <patternFill patternType="solid">
        <fgColor rgb="FFD9E7FD"/>
        <bgColor rgb="FFD9E7FD"/>
      </patternFill>
    </fill>
    <fill>
      <patternFill patternType="solid">
        <fgColor rgb="FF4285F4"/>
        <bgColor rgb="FF4285F4"/>
      </patternFill>
    </fill>
    <fill>
      <patternFill patternType="solid">
        <fgColor theme="6"/>
        <bgColor theme="6"/>
      </patternFill>
    </fill>
    <fill>
      <patternFill patternType="solid">
        <fgColor rgb="FFFBBC04"/>
        <bgColor rgb="FFFBBC04"/>
      </patternFill>
    </fill>
    <fill>
      <patternFill patternType="solid">
        <fgColor rgb="FFFFFFFF"/>
        <bgColor rgb="FFFFFFFF"/>
      </patternFill>
    </fill>
    <fill>
      <patternFill patternType="solid">
        <fgColor rgb="FFD8D8D8"/>
        <bgColor rgb="FFD8D8D8"/>
      </patternFill>
    </fill>
  </fills>
  <borders count="28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double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double">
        <color rgb="FF000000"/>
      </top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83">
    <xf numFmtId="0" fontId="0" fillId="0" borderId="0" xfId="0"/>
    <xf numFmtId="0" fontId="1" fillId="0" borderId="0" xfId="0" applyFont="1" applyAlignment="1">
      <alignment horizontal="center" vertical="top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3" fillId="0" borderId="0" xfId="0" applyFont="1"/>
    <xf numFmtId="0" fontId="4" fillId="2" borderId="1" xfId="0" applyFont="1" applyFill="1" applyBorder="1" applyAlignment="1">
      <alignment horizontal="center"/>
    </xf>
    <xf numFmtId="0" fontId="3" fillId="2" borderId="1" xfId="0" applyFont="1" applyFill="1" applyBorder="1"/>
    <xf numFmtId="0" fontId="4" fillId="3" borderId="1" xfId="0" applyFont="1" applyFill="1" applyBorder="1" applyAlignment="1">
      <alignment horizontal="center"/>
    </xf>
    <xf numFmtId="0" fontId="3" fillId="3" borderId="1" xfId="0" applyFont="1" applyFill="1" applyBorder="1"/>
    <xf numFmtId="0" fontId="1" fillId="0" borderId="2" xfId="0" applyFont="1" applyBorder="1" applyAlignment="1">
      <alignment horizontal="center"/>
    </xf>
    <xf numFmtId="0" fontId="2" fillId="0" borderId="2" xfId="0" applyFont="1" applyBorder="1" applyAlignment="1">
      <alignment horizontal="left"/>
    </xf>
    <xf numFmtId="0" fontId="1" fillId="4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left"/>
    </xf>
    <xf numFmtId="0" fontId="3" fillId="5" borderId="1" xfId="0" applyFont="1" applyFill="1" applyBorder="1"/>
    <xf numFmtId="0" fontId="5" fillId="3" borderId="1" xfId="0" applyFont="1" applyFill="1" applyBorder="1" applyAlignment="1">
      <alignment horizontal="center"/>
    </xf>
    <xf numFmtId="0" fontId="5" fillId="3" borderId="1" xfId="0" applyFont="1" applyFill="1" applyBorder="1"/>
    <xf numFmtId="0" fontId="5" fillId="2" borderId="1" xfId="0" applyFont="1" applyFill="1" applyBorder="1" applyAlignment="1">
      <alignment horizontal="center"/>
    </xf>
    <xf numFmtId="0" fontId="5" fillId="2" borderId="1" xfId="0" applyFont="1" applyFill="1" applyBorder="1"/>
    <xf numFmtId="0" fontId="5" fillId="2" borderId="3" xfId="0" applyFont="1" applyFill="1" applyBorder="1" applyAlignment="1">
      <alignment horizontal="center"/>
    </xf>
    <xf numFmtId="0" fontId="5" fillId="2" borderId="3" xfId="0" applyFont="1" applyFill="1" applyBorder="1"/>
    <xf numFmtId="0" fontId="5" fillId="3" borderId="0" xfId="0" applyFont="1" applyFill="1" applyAlignment="1">
      <alignment horizontal="center"/>
    </xf>
    <xf numFmtId="0" fontId="5" fillId="3" borderId="0" xfId="0" applyFont="1" applyFill="1"/>
    <xf numFmtId="0" fontId="5" fillId="2" borderId="0" xfId="0" applyFont="1" applyFill="1" applyAlignment="1">
      <alignment horizontal="center"/>
    </xf>
    <xf numFmtId="0" fontId="5" fillId="2" borderId="0" xfId="0" applyFont="1" applyFill="1"/>
    <xf numFmtId="0" fontId="2" fillId="0" borderId="0" xfId="0" applyFont="1" applyAlignment="1">
      <alignment horizontal="left" vertical="center"/>
    </xf>
    <xf numFmtId="0" fontId="5" fillId="0" borderId="0" xfId="0" applyFont="1"/>
    <xf numFmtId="0" fontId="3" fillId="3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3" fillId="3" borderId="3" xfId="0" applyFont="1" applyFill="1" applyBorder="1"/>
    <xf numFmtId="0" fontId="3" fillId="0" borderId="0" xfId="0" applyFont="1" applyAlignment="1">
      <alignment horizontal="center"/>
    </xf>
    <xf numFmtId="0" fontId="5" fillId="7" borderId="0" xfId="0" applyFont="1" applyFill="1"/>
    <xf numFmtId="0" fontId="1" fillId="6" borderId="6" xfId="0" applyFont="1" applyFill="1" applyBorder="1" applyAlignment="1">
      <alignment horizontal="center"/>
    </xf>
    <xf numFmtId="0" fontId="7" fillId="8" borderId="6" xfId="0" applyFont="1" applyFill="1" applyBorder="1" applyAlignment="1">
      <alignment vertical="center" wrapText="1"/>
    </xf>
    <xf numFmtId="0" fontId="3" fillId="0" borderId="6" xfId="0" applyFont="1" applyBorder="1"/>
    <xf numFmtId="0" fontId="2" fillId="0" borderId="6" xfId="0" applyFont="1" applyBorder="1"/>
    <xf numFmtId="0" fontId="1" fillId="0" borderId="6" xfId="0" applyFont="1" applyBorder="1"/>
    <xf numFmtId="0" fontId="2" fillId="0" borderId="2" xfId="0" applyFont="1" applyBorder="1"/>
    <xf numFmtId="0" fontId="3" fillId="5" borderId="1" xfId="0" applyFont="1" applyFill="1" applyBorder="1" applyAlignment="1">
      <alignment horizontal="center" vertical="center"/>
    </xf>
    <xf numFmtId="0" fontId="2" fillId="9" borderId="8" xfId="0" applyFont="1" applyFill="1" applyBorder="1" applyAlignment="1">
      <alignment horizontal="center" vertical="center"/>
    </xf>
    <xf numFmtId="0" fontId="2" fillId="9" borderId="9" xfId="0" applyFont="1" applyFill="1" applyBorder="1" applyAlignment="1">
      <alignment horizontal="center" vertical="center"/>
    </xf>
    <xf numFmtId="0" fontId="2" fillId="9" borderId="10" xfId="0" applyFont="1" applyFill="1" applyBorder="1" applyAlignment="1">
      <alignment horizontal="center" vertical="center"/>
    </xf>
    <xf numFmtId="0" fontId="2" fillId="9" borderId="11" xfId="0" applyFont="1" applyFill="1" applyBorder="1" applyAlignment="1">
      <alignment horizontal="center" vertical="center"/>
    </xf>
    <xf numFmtId="0" fontId="4" fillId="9" borderId="1" xfId="0" applyFont="1" applyFill="1" applyBorder="1" applyAlignment="1">
      <alignment horizontal="center" vertical="center"/>
    </xf>
    <xf numFmtId="0" fontId="2" fillId="9" borderId="12" xfId="0" applyFont="1" applyFill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9" borderId="21" xfId="0" applyFont="1" applyFill="1" applyBorder="1" applyAlignment="1">
      <alignment horizontal="center" vertical="center"/>
    </xf>
    <xf numFmtId="0" fontId="2" fillId="9" borderId="22" xfId="0" applyFont="1" applyFill="1" applyBorder="1" applyAlignment="1">
      <alignment horizontal="center" vertical="center"/>
    </xf>
    <xf numFmtId="0" fontId="4" fillId="9" borderId="23" xfId="0" applyFont="1" applyFill="1" applyBorder="1" applyAlignment="1">
      <alignment horizontal="center" vertical="center"/>
    </xf>
    <xf numFmtId="0" fontId="1" fillId="0" borderId="24" xfId="0" applyFont="1" applyBorder="1" applyAlignment="1">
      <alignment horizontal="center"/>
    </xf>
    <xf numFmtId="0" fontId="2" fillId="0" borderId="24" xfId="0" applyFont="1" applyBorder="1" applyAlignment="1">
      <alignment horizontal="left"/>
    </xf>
    <xf numFmtId="0" fontId="3" fillId="3" borderId="25" xfId="0" applyFont="1" applyFill="1" applyBorder="1" applyAlignment="1">
      <alignment horizontal="center"/>
    </xf>
    <xf numFmtId="0" fontId="2" fillId="9" borderId="26" xfId="0" applyFont="1" applyFill="1" applyBorder="1" applyAlignment="1">
      <alignment horizontal="center" vertical="center"/>
    </xf>
    <xf numFmtId="0" fontId="4" fillId="9" borderId="27" xfId="0" applyFont="1" applyFill="1" applyBorder="1" applyAlignment="1">
      <alignment horizontal="center" vertical="center"/>
    </xf>
    <xf numFmtId="0" fontId="2" fillId="9" borderId="0" xfId="0" applyFont="1" applyFill="1" applyAlignment="1">
      <alignment horizontal="center" vertical="center"/>
    </xf>
    <xf numFmtId="0" fontId="5" fillId="0" borderId="0" xfId="0" applyFont="1" applyAlignment="1">
      <alignment horizontal="center"/>
    </xf>
    <xf numFmtId="0" fontId="5" fillId="9" borderId="21" xfId="0" applyFont="1" applyFill="1" applyBorder="1" applyAlignment="1">
      <alignment horizontal="center"/>
    </xf>
    <xf numFmtId="0" fontId="5" fillId="9" borderId="12" xfId="0" applyFont="1" applyFill="1" applyBorder="1" applyAlignment="1">
      <alignment horizontal="center"/>
    </xf>
    <xf numFmtId="0" fontId="5" fillId="0" borderId="13" xfId="0" applyFont="1" applyBorder="1" applyAlignment="1">
      <alignment horizontal="center"/>
    </xf>
    <xf numFmtId="0" fontId="5" fillId="0" borderId="14" xfId="0" applyFont="1" applyBorder="1" applyAlignment="1">
      <alignment horizontal="center"/>
    </xf>
    <xf numFmtId="0" fontId="5" fillId="0" borderId="15" xfId="0" applyFont="1" applyBorder="1" applyAlignment="1">
      <alignment horizontal="center"/>
    </xf>
    <xf numFmtId="0" fontId="5" fillId="0" borderId="16" xfId="0" applyFont="1" applyBorder="1" applyAlignment="1">
      <alignment horizontal="center"/>
    </xf>
    <xf numFmtId="0" fontId="5" fillId="0" borderId="17" xfId="0" applyFont="1" applyBorder="1" applyAlignment="1">
      <alignment horizontal="center"/>
    </xf>
    <xf numFmtId="0" fontId="5" fillId="0" borderId="18" xfId="0" applyFont="1" applyBorder="1" applyAlignment="1">
      <alignment horizontal="center"/>
    </xf>
    <xf numFmtId="0" fontId="5" fillId="0" borderId="19" xfId="0" applyFont="1" applyBorder="1" applyAlignment="1">
      <alignment horizontal="center"/>
    </xf>
    <xf numFmtId="0" fontId="5" fillId="0" borderId="20" xfId="0" applyFont="1" applyBorder="1" applyAlignment="1">
      <alignment horizontal="center"/>
    </xf>
    <xf numFmtId="0" fontId="1" fillId="6" borderId="4" xfId="0" applyFont="1" applyFill="1" applyBorder="1" applyAlignment="1">
      <alignment horizontal="center"/>
    </xf>
    <xf numFmtId="0" fontId="6" fillId="0" borderId="5" xfId="0" applyFont="1" applyBorder="1"/>
    <xf numFmtId="0" fontId="1" fillId="0" borderId="0" xfId="0" applyFont="1" applyAlignment="1">
      <alignment horizontal="center"/>
    </xf>
    <xf numFmtId="0" fontId="0" fillId="0" borderId="0" xfId="0"/>
    <xf numFmtId="0" fontId="1" fillId="0" borderId="7" xfId="0" applyFont="1" applyBorder="1" applyAlignment="1">
      <alignment horizontal="center"/>
    </xf>
    <xf numFmtId="0" fontId="6" fillId="0" borderId="7" xfId="0" applyFont="1" applyBorder="1"/>
  </cellXfs>
  <cellStyles count="1">
    <cellStyle name="Normal" xfId="0" builtinId="0"/>
  </cellStyles>
  <dxfs count="21"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6"/>
          <bgColor theme="6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6"/>
          <bgColor theme="6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</dxfs>
  <tableStyles count="7">
    <tableStyle name="Thermonix-style" pivot="0" count="3" xr9:uid="{00000000-0011-0000-FFFF-FFFF00000000}">
      <tableStyleElement type="headerRow" dxfId="20"/>
      <tableStyleElement type="firstRowStripe" dxfId="19"/>
      <tableStyleElement type="secondRowStripe" dxfId="18"/>
    </tableStyle>
    <tableStyle name="Human Grading-style" pivot="0" count="3" xr9:uid="{00000000-0011-0000-FFFF-FFFF01000000}">
      <tableStyleElement type="headerRow" dxfId="17"/>
      <tableStyleElement type="firstRowStripe" dxfId="16"/>
      <tableStyleElement type="secondRowStripe" dxfId="15"/>
    </tableStyle>
    <tableStyle name="LLM Grading-style" pivot="0" count="3" xr9:uid="{00000000-0011-0000-FFFF-FFFF02000000}">
      <tableStyleElement type="headerRow" dxfId="14"/>
      <tableStyleElement type="firstRowStripe" dxfId="13"/>
      <tableStyleElement type="secondRowStripe" dxfId="12"/>
    </tableStyle>
    <tableStyle name="Metrics-style" pivot="0" count="3" xr9:uid="{00000000-0011-0000-FFFF-FFFF03000000}">
      <tableStyleElement type="headerRow" dxfId="11"/>
      <tableStyleElement type="firstRowStripe" dxfId="10"/>
      <tableStyleElement type="secondRowStripe" dxfId="9"/>
    </tableStyle>
    <tableStyle name="Metrics-style 2" pivot="0" count="3" xr9:uid="{00000000-0011-0000-FFFF-FFFF04000000}">
      <tableStyleElement type="headerRow" dxfId="8"/>
      <tableStyleElement type="firstRowStripe" dxfId="7"/>
      <tableStyleElement type="secondRowStripe" dxfId="6"/>
    </tableStyle>
    <tableStyle name="Inter-rater-style" pivot="0" count="3" xr9:uid="{00000000-0011-0000-FFFF-FFFF05000000}">
      <tableStyleElement type="headerRow" dxfId="5"/>
      <tableStyleElement type="firstRowStripe" dxfId="4"/>
      <tableStyleElement type="secondRowStripe" dxfId="3"/>
    </tableStyle>
    <tableStyle name="Weighted Cohens Kappa-style" pivot="0" count="3" xr9:uid="{00000000-0011-0000-FFFF-FFFF06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customschemas.google.com/relationships/workbookmetadata" Target="metadata"/><Relationship Id="rId4" Type="http://schemas.openxmlformats.org/officeDocument/2006/relationships/worksheet" Target="worksheets/sheet4.xml"/><Relationship Id="rId14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B51">
  <tableColumns count="2">
    <tableColumn id="1" xr3:uid="{00000000-0010-0000-0000-000001000000}" name="Type"/>
    <tableColumn id="2" xr3:uid="{00000000-0010-0000-0000-000002000000}" name="Element"/>
  </tableColumns>
  <tableStyleInfo name="Thermonix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2" displayName="Table_2" ref="A1:D53">
  <tableColumns count="4">
    <tableColumn id="1" xr3:uid="{00000000-0010-0000-0100-000001000000}" name="Type"/>
    <tableColumn id="2" xr3:uid="{00000000-0010-0000-0100-000002000000}" name="Element"/>
    <tableColumn id="3" xr3:uid="{00000000-0010-0000-0100-000003000000}" name="Rater 1"/>
    <tableColumn id="4" xr3:uid="{00000000-0010-0000-0100-000004000000}" name="Notes"/>
  </tableColumns>
  <tableStyleInfo name="Human Grading-style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_3" displayName="Table_3" ref="A1:D51">
  <tableColumns count="4">
    <tableColumn id="1" xr3:uid="{00000000-0010-0000-0200-000001000000}" name="Type"/>
    <tableColumn id="2" xr3:uid="{00000000-0010-0000-0200-000002000000}" name="Element"/>
    <tableColumn id="3" xr3:uid="{00000000-0010-0000-0200-000003000000}" name="LLM"/>
    <tableColumn id="4" xr3:uid="{00000000-0010-0000-0200-000004000000}" name="Notes"/>
  </tableColumns>
  <tableStyleInfo name="LLM Grading-style" showFirstColumn="1" showLastColumn="1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_4" displayName="Table_4" ref="J1:J2">
  <tableColumns count="1">
    <tableColumn id="1" xr3:uid="{00000000-0010-0000-0300-000001000000}" name="Date"/>
  </tableColumns>
  <tableStyleInfo name="Metrics-style" showFirstColumn="1" showLastColumn="1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e_5" displayName="Table_5" ref="J4:J5">
  <tableColumns count="1">
    <tableColumn id="1" xr3:uid="{00000000-0010-0000-0400-000001000000}" name="LLM Used"/>
  </tableColumns>
  <tableStyleInfo name="Metrics-style 2" showFirstColumn="1" showLastColumn="1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able_6" displayName="Table_6" ref="A1:D51">
  <tableColumns count="4">
    <tableColumn id="1" xr3:uid="{00000000-0010-0000-0500-000001000000}" name="Type"/>
    <tableColumn id="2" xr3:uid="{00000000-0010-0000-0500-000002000000}" name="Element"/>
    <tableColumn id="3" xr3:uid="{00000000-0010-0000-0500-000003000000}" name="Human"/>
    <tableColumn id="4" xr3:uid="{00000000-0010-0000-0500-000004000000}" name="LLM"/>
  </tableColumns>
  <tableStyleInfo name="Inter-rater-style" showFirstColumn="1" showLastColumn="1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able_7" displayName="Table_7" ref="A1:D51">
  <tableColumns count="4">
    <tableColumn id="1" xr3:uid="{00000000-0010-0000-0600-000001000000}" name="Type"/>
    <tableColumn id="2" xr3:uid="{00000000-0010-0000-0600-000002000000}" name="Element"/>
    <tableColumn id="3" xr3:uid="{00000000-0010-0000-0600-000003000000}" name="Human"/>
    <tableColumn id="4" xr3:uid="{00000000-0010-0000-0600-000004000000}" name="LLM"/>
  </tableColumns>
  <tableStyleInfo name="Weighted Cohens Kappa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000"/>
  <sheetViews>
    <sheetView workbookViewId="0"/>
  </sheetViews>
  <sheetFormatPr baseColWidth="10" defaultColWidth="12.6640625" defaultRowHeight="15" customHeight="1" x14ac:dyDescent="0.15"/>
  <cols>
    <col min="1" max="1" width="14.5" customWidth="1"/>
    <col min="2" max="2" width="41.5" customWidth="1"/>
    <col min="3" max="22" width="10.6640625" customWidth="1"/>
  </cols>
  <sheetData>
    <row r="1" spans="1:22" ht="12.75" customHeight="1" x14ac:dyDescent="0.15">
      <c r="A1" s="1" t="s">
        <v>0</v>
      </c>
      <c r="B1" s="2" t="s">
        <v>1</v>
      </c>
    </row>
    <row r="2" spans="1:22" ht="12.75" customHeight="1" x14ac:dyDescent="0.15">
      <c r="A2" s="3" t="s">
        <v>2</v>
      </c>
      <c r="B2" s="4" t="s">
        <v>3</v>
      </c>
    </row>
    <row r="3" spans="1:22" ht="12.75" customHeight="1" x14ac:dyDescent="0.15">
      <c r="A3" s="3" t="s">
        <v>2</v>
      </c>
      <c r="B3" s="4" t="s">
        <v>4</v>
      </c>
    </row>
    <row r="4" spans="1:22" ht="12.75" customHeight="1" x14ac:dyDescent="0.15">
      <c r="A4" s="3" t="s">
        <v>5</v>
      </c>
      <c r="B4" s="4" t="s">
        <v>6</v>
      </c>
    </row>
    <row r="5" spans="1:22" ht="12.75" customHeight="1" x14ac:dyDescent="0.15">
      <c r="A5" s="3" t="s">
        <v>2</v>
      </c>
      <c r="B5" s="4" t="s">
        <v>7</v>
      </c>
    </row>
    <row r="6" spans="1:22" ht="12.75" customHeight="1" x14ac:dyDescent="0.15">
      <c r="A6" s="3" t="s">
        <v>5</v>
      </c>
      <c r="B6" s="4" t="s">
        <v>8</v>
      </c>
    </row>
    <row r="7" spans="1:22" ht="12.75" customHeight="1" x14ac:dyDescent="0.15">
      <c r="A7" s="3" t="s">
        <v>5</v>
      </c>
      <c r="B7" s="4" t="s">
        <v>9</v>
      </c>
    </row>
    <row r="8" spans="1:22" ht="12.75" customHeight="1" x14ac:dyDescent="0.15">
      <c r="A8" s="3" t="s">
        <v>2</v>
      </c>
      <c r="B8" s="4" t="s">
        <v>10</v>
      </c>
    </row>
    <row r="9" spans="1:22" ht="12.75" customHeight="1" x14ac:dyDescent="0.15">
      <c r="A9" s="3" t="s">
        <v>5</v>
      </c>
      <c r="B9" s="4" t="s">
        <v>11</v>
      </c>
    </row>
    <row r="10" spans="1:22" ht="12.75" customHeight="1" x14ac:dyDescent="0.15">
      <c r="A10" s="3" t="s">
        <v>12</v>
      </c>
      <c r="B10" s="4" t="s">
        <v>13</v>
      </c>
    </row>
    <row r="11" spans="1:22" ht="12.75" customHeight="1" x14ac:dyDescent="0.15">
      <c r="A11" s="3" t="s">
        <v>14</v>
      </c>
      <c r="B11" s="4" t="s">
        <v>15</v>
      </c>
    </row>
    <row r="12" spans="1:22" ht="12.75" customHeight="1" x14ac:dyDescent="0.15">
      <c r="A12" s="3" t="s">
        <v>5</v>
      </c>
      <c r="B12" s="4" t="s">
        <v>16</v>
      </c>
    </row>
    <row r="13" spans="1:22" ht="12.75" customHeight="1" x14ac:dyDescent="0.15">
      <c r="A13" s="3" t="s">
        <v>5</v>
      </c>
      <c r="B13" s="4" t="s">
        <v>17</v>
      </c>
    </row>
    <row r="14" spans="1:22" ht="12.75" customHeight="1" x14ac:dyDescent="0.15">
      <c r="A14" s="3" t="s">
        <v>2</v>
      </c>
      <c r="B14" s="4" t="s">
        <v>18</v>
      </c>
    </row>
    <row r="15" spans="1:22" ht="12.75" customHeight="1" x14ac:dyDescent="0.15">
      <c r="A15" s="3" t="s">
        <v>2</v>
      </c>
      <c r="B15" s="4" t="s">
        <v>19</v>
      </c>
    </row>
    <row r="16" spans="1:22" ht="15" customHeight="1" x14ac:dyDescent="0.15">
      <c r="A16" s="3" t="s">
        <v>5</v>
      </c>
      <c r="B16" s="4" t="s">
        <v>20</v>
      </c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</row>
    <row r="17" spans="1:22" ht="12.75" customHeight="1" x14ac:dyDescent="0.15">
      <c r="A17" s="3" t="s">
        <v>5</v>
      </c>
      <c r="B17" s="4" t="s">
        <v>21</v>
      </c>
    </row>
    <row r="18" spans="1:22" ht="12.75" customHeight="1" x14ac:dyDescent="0.15">
      <c r="A18" s="3" t="s">
        <v>22</v>
      </c>
      <c r="B18" s="4" t="s">
        <v>23</v>
      </c>
    </row>
    <row r="19" spans="1:22" ht="12.75" customHeight="1" x14ac:dyDescent="0.15">
      <c r="A19" s="6" t="s">
        <v>24</v>
      </c>
      <c r="B19" s="7" t="s">
        <v>25</v>
      </c>
    </row>
    <row r="20" spans="1:22" ht="12.75" customHeight="1" x14ac:dyDescent="0.15">
      <c r="A20" s="3" t="s">
        <v>2</v>
      </c>
      <c r="B20" s="4" t="s">
        <v>26</v>
      </c>
    </row>
    <row r="21" spans="1:22" ht="12.75" customHeight="1" x14ac:dyDescent="0.15">
      <c r="A21" s="3" t="s">
        <v>5</v>
      </c>
      <c r="B21" s="4" t="s">
        <v>27</v>
      </c>
    </row>
    <row r="22" spans="1:22" ht="12.75" customHeight="1" x14ac:dyDescent="0.15">
      <c r="A22" s="3" t="s">
        <v>5</v>
      </c>
      <c r="B22" s="4" t="s">
        <v>28</v>
      </c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</row>
    <row r="23" spans="1:22" ht="12.75" customHeight="1" x14ac:dyDescent="0.15">
      <c r="A23" s="3" t="s">
        <v>2</v>
      </c>
      <c r="B23" s="4" t="s">
        <v>29</v>
      </c>
    </row>
    <row r="24" spans="1:22" ht="12.75" customHeight="1" x14ac:dyDescent="0.15">
      <c r="A24" s="3" t="s">
        <v>5</v>
      </c>
      <c r="B24" s="4" t="s">
        <v>30</v>
      </c>
    </row>
    <row r="25" spans="1:22" ht="13" x14ac:dyDescent="0.15">
      <c r="A25" s="3" t="s">
        <v>22</v>
      </c>
      <c r="B25" s="4" t="s">
        <v>31</v>
      </c>
    </row>
    <row r="26" spans="1:22" ht="12.75" customHeight="1" x14ac:dyDescent="0.15">
      <c r="A26" s="3" t="s">
        <v>24</v>
      </c>
      <c r="B26" s="4" t="s">
        <v>25</v>
      </c>
    </row>
    <row r="27" spans="1:22" ht="12.75" customHeight="1" x14ac:dyDescent="0.15">
      <c r="A27" s="3" t="s">
        <v>5</v>
      </c>
      <c r="B27" s="4" t="s">
        <v>32</v>
      </c>
    </row>
    <row r="28" spans="1:22" ht="12.75" customHeight="1" x14ac:dyDescent="0.15">
      <c r="A28" s="3" t="s">
        <v>22</v>
      </c>
      <c r="B28" s="4" t="s">
        <v>33</v>
      </c>
    </row>
    <row r="29" spans="1:22" ht="12.75" customHeight="1" x14ac:dyDescent="0.15">
      <c r="A29" s="3" t="s">
        <v>24</v>
      </c>
      <c r="B29" s="4" t="s">
        <v>34</v>
      </c>
    </row>
    <row r="30" spans="1:22" ht="12.75" customHeight="1" x14ac:dyDescent="0.15">
      <c r="A30" s="3" t="s">
        <v>2</v>
      </c>
      <c r="B30" s="4" t="s">
        <v>35</v>
      </c>
    </row>
    <row r="31" spans="1:22" ht="12.75" customHeight="1" x14ac:dyDescent="0.15">
      <c r="A31" s="3" t="s">
        <v>5</v>
      </c>
      <c r="B31" s="4" t="s">
        <v>36</v>
      </c>
    </row>
    <row r="32" spans="1:22" ht="12.75" customHeight="1" x14ac:dyDescent="0.15">
      <c r="A32" s="3" t="s">
        <v>22</v>
      </c>
      <c r="B32" s="4" t="s">
        <v>37</v>
      </c>
    </row>
    <row r="33" spans="1:22" ht="12.75" customHeight="1" x14ac:dyDescent="0.15">
      <c r="A33" s="6" t="s">
        <v>24</v>
      </c>
      <c r="B33" s="7" t="s">
        <v>25</v>
      </c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</row>
    <row r="34" spans="1:22" ht="12.75" customHeight="1" x14ac:dyDescent="0.15">
      <c r="A34" s="3" t="s">
        <v>5</v>
      </c>
      <c r="B34" s="4" t="s">
        <v>38</v>
      </c>
    </row>
    <row r="35" spans="1:22" ht="15" customHeight="1" x14ac:dyDescent="0.15">
      <c r="A35" s="3" t="s">
        <v>22</v>
      </c>
      <c r="B35" s="4" t="s">
        <v>39</v>
      </c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</row>
    <row r="36" spans="1:22" ht="15" customHeight="1" x14ac:dyDescent="0.15">
      <c r="A36" s="3" t="s">
        <v>24</v>
      </c>
      <c r="B36" s="4" t="s">
        <v>40</v>
      </c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</row>
    <row r="37" spans="1:22" ht="15" customHeight="1" x14ac:dyDescent="0.15">
      <c r="A37" s="3" t="s">
        <v>2</v>
      </c>
      <c r="B37" s="4" t="s">
        <v>41</v>
      </c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</row>
    <row r="38" spans="1:22" ht="15" customHeight="1" x14ac:dyDescent="0.15">
      <c r="A38" s="3" t="s">
        <v>5</v>
      </c>
      <c r="B38" s="4" t="s">
        <v>42</v>
      </c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</row>
    <row r="39" spans="1:22" ht="15" customHeight="1" x14ac:dyDescent="0.15">
      <c r="A39" s="8" t="s">
        <v>22</v>
      </c>
      <c r="B39" s="9" t="s">
        <v>37</v>
      </c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</row>
    <row r="40" spans="1:22" ht="15" customHeight="1" x14ac:dyDescent="0.15">
      <c r="A40" s="6" t="s">
        <v>24</v>
      </c>
      <c r="B40" s="7" t="s">
        <v>25</v>
      </c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</row>
    <row r="41" spans="1:22" ht="15" customHeight="1" x14ac:dyDescent="0.15">
      <c r="A41" s="3" t="s">
        <v>5</v>
      </c>
      <c r="B41" s="4" t="s">
        <v>43</v>
      </c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</row>
    <row r="42" spans="1:22" ht="15" customHeight="1" x14ac:dyDescent="0.15">
      <c r="A42" s="3" t="s">
        <v>22</v>
      </c>
      <c r="B42" s="4" t="s">
        <v>44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</row>
    <row r="43" spans="1:22" ht="15" customHeight="1" x14ac:dyDescent="0.15">
      <c r="A43" s="3" t="s">
        <v>2</v>
      </c>
      <c r="B43" s="4" t="s">
        <v>45</v>
      </c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</row>
    <row r="44" spans="1:22" ht="15" customHeight="1" x14ac:dyDescent="0.15">
      <c r="A44" s="10" t="s">
        <v>5</v>
      </c>
      <c r="B44" s="11" t="s">
        <v>46</v>
      </c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</row>
    <row r="45" spans="1:22" ht="12.75" customHeight="1" x14ac:dyDescent="0.15">
      <c r="A45" s="12" t="s">
        <v>2</v>
      </c>
      <c r="B45" s="13" t="s">
        <v>47</v>
      </c>
    </row>
    <row r="46" spans="1:22" ht="12.75" customHeight="1" x14ac:dyDescent="0.15">
      <c r="A46" s="12" t="s">
        <v>5</v>
      </c>
      <c r="B46" s="13" t="s">
        <v>47</v>
      </c>
    </row>
    <row r="47" spans="1:22" ht="12.75" customHeight="1" x14ac:dyDescent="0.15">
      <c r="A47" s="3" t="s">
        <v>22</v>
      </c>
      <c r="B47" s="4" t="s">
        <v>47</v>
      </c>
    </row>
    <row r="48" spans="1:22" ht="12.75" customHeight="1" x14ac:dyDescent="0.15">
      <c r="A48" s="12" t="s">
        <v>24</v>
      </c>
      <c r="B48" s="13" t="s">
        <v>47</v>
      </c>
    </row>
    <row r="49" spans="1:2" ht="12.75" customHeight="1" x14ac:dyDescent="0.15">
      <c r="A49" s="3" t="s">
        <v>12</v>
      </c>
      <c r="B49" s="4" t="s">
        <v>47</v>
      </c>
    </row>
    <row r="50" spans="1:2" ht="12.75" customHeight="1" x14ac:dyDescent="0.15">
      <c r="A50" s="12" t="s">
        <v>48</v>
      </c>
      <c r="B50" s="13" t="s">
        <v>47</v>
      </c>
    </row>
    <row r="51" spans="1:2" ht="12.75" customHeight="1" x14ac:dyDescent="0.15">
      <c r="A51" s="3" t="s">
        <v>14</v>
      </c>
      <c r="B51" s="4" t="s">
        <v>47</v>
      </c>
    </row>
    <row r="52" spans="1:2" ht="12.75" customHeight="1" x14ac:dyDescent="0.15">
      <c r="A52" s="1"/>
      <c r="B52" s="2"/>
    </row>
    <row r="53" spans="1:2" ht="12.75" customHeight="1" x14ac:dyDescent="0.15">
      <c r="A53" s="1"/>
      <c r="B53" s="2"/>
    </row>
    <row r="54" spans="1:2" ht="12.75" customHeight="1" x14ac:dyDescent="0.15">
      <c r="A54" s="1"/>
      <c r="B54" s="2"/>
    </row>
    <row r="55" spans="1:2" ht="12.75" customHeight="1" x14ac:dyDescent="0.15">
      <c r="A55" s="1"/>
      <c r="B55" s="2"/>
    </row>
    <row r="56" spans="1:2" ht="12.75" customHeight="1" x14ac:dyDescent="0.15">
      <c r="A56" s="1"/>
      <c r="B56" s="2"/>
    </row>
    <row r="57" spans="1:2" ht="12.75" customHeight="1" x14ac:dyDescent="0.15">
      <c r="A57" s="1"/>
      <c r="B57" s="2"/>
    </row>
    <row r="58" spans="1:2" ht="12.75" customHeight="1" x14ac:dyDescent="0.15">
      <c r="A58" s="1"/>
      <c r="B58" s="2"/>
    </row>
    <row r="59" spans="1:2" ht="12.75" customHeight="1" x14ac:dyDescent="0.15">
      <c r="A59" s="1"/>
      <c r="B59" s="2"/>
    </row>
    <row r="60" spans="1:2" ht="12.75" customHeight="1" x14ac:dyDescent="0.15">
      <c r="A60" s="1"/>
      <c r="B60" s="2"/>
    </row>
    <row r="61" spans="1:2" ht="12.75" customHeight="1" x14ac:dyDescent="0.15">
      <c r="A61" s="1"/>
      <c r="B61" s="2"/>
    </row>
    <row r="62" spans="1:2" ht="12.75" customHeight="1" x14ac:dyDescent="0.15">
      <c r="A62" s="1"/>
      <c r="B62" s="2"/>
    </row>
    <row r="63" spans="1:2" ht="12.75" customHeight="1" x14ac:dyDescent="0.15">
      <c r="A63" s="1"/>
      <c r="B63" s="2"/>
    </row>
    <row r="64" spans="1:2" ht="12.75" customHeight="1" x14ac:dyDescent="0.15">
      <c r="A64" s="1"/>
      <c r="B64" s="2"/>
    </row>
    <row r="65" spans="1:2" ht="12.75" customHeight="1" x14ac:dyDescent="0.15">
      <c r="A65" s="1"/>
      <c r="B65" s="2"/>
    </row>
    <row r="66" spans="1:2" ht="12.75" customHeight="1" x14ac:dyDescent="0.15">
      <c r="A66" s="1"/>
      <c r="B66" s="2"/>
    </row>
    <row r="67" spans="1:2" ht="12.75" customHeight="1" x14ac:dyDescent="0.15">
      <c r="A67" s="1"/>
      <c r="B67" s="2"/>
    </row>
    <row r="68" spans="1:2" ht="12.75" customHeight="1" x14ac:dyDescent="0.15">
      <c r="A68" s="1"/>
      <c r="B68" s="2"/>
    </row>
    <row r="69" spans="1:2" ht="12.75" customHeight="1" x14ac:dyDescent="0.15">
      <c r="A69" s="1"/>
      <c r="B69" s="2"/>
    </row>
    <row r="70" spans="1:2" ht="12.75" customHeight="1" x14ac:dyDescent="0.15">
      <c r="A70" s="1"/>
      <c r="B70" s="2"/>
    </row>
    <row r="71" spans="1:2" ht="12.75" customHeight="1" x14ac:dyDescent="0.15">
      <c r="A71" s="1"/>
      <c r="B71" s="2"/>
    </row>
    <row r="72" spans="1:2" ht="12.75" customHeight="1" x14ac:dyDescent="0.15">
      <c r="A72" s="1"/>
      <c r="B72" s="2"/>
    </row>
    <row r="73" spans="1:2" ht="12.75" customHeight="1" x14ac:dyDescent="0.15">
      <c r="A73" s="1"/>
      <c r="B73" s="2"/>
    </row>
    <row r="74" spans="1:2" ht="12.75" customHeight="1" x14ac:dyDescent="0.15">
      <c r="A74" s="1"/>
      <c r="B74" s="2"/>
    </row>
    <row r="75" spans="1:2" ht="12.75" customHeight="1" x14ac:dyDescent="0.15">
      <c r="A75" s="1"/>
      <c r="B75" s="2"/>
    </row>
    <row r="76" spans="1:2" ht="12.75" customHeight="1" x14ac:dyDescent="0.15">
      <c r="A76" s="1"/>
      <c r="B76" s="2"/>
    </row>
    <row r="77" spans="1:2" ht="12.75" customHeight="1" x14ac:dyDescent="0.15">
      <c r="A77" s="1"/>
      <c r="B77" s="2"/>
    </row>
    <row r="78" spans="1:2" ht="12.75" customHeight="1" x14ac:dyDescent="0.15">
      <c r="A78" s="1"/>
      <c r="B78" s="2"/>
    </row>
    <row r="79" spans="1:2" ht="12.75" customHeight="1" x14ac:dyDescent="0.15">
      <c r="A79" s="1"/>
      <c r="B79" s="2"/>
    </row>
    <row r="80" spans="1:2" ht="12.75" customHeight="1" x14ac:dyDescent="0.15">
      <c r="A80" s="1"/>
      <c r="B80" s="2"/>
    </row>
    <row r="81" spans="1:2" ht="12.75" customHeight="1" x14ac:dyDescent="0.15">
      <c r="A81" s="1"/>
      <c r="B81" s="2"/>
    </row>
    <row r="82" spans="1:2" ht="12.75" customHeight="1" x14ac:dyDescent="0.15">
      <c r="A82" s="1"/>
      <c r="B82" s="2"/>
    </row>
    <row r="83" spans="1:2" ht="12.75" customHeight="1" x14ac:dyDescent="0.15">
      <c r="A83" s="1"/>
      <c r="B83" s="2"/>
    </row>
    <row r="84" spans="1:2" ht="12.75" customHeight="1" x14ac:dyDescent="0.15">
      <c r="A84" s="1"/>
      <c r="B84" s="2"/>
    </row>
    <row r="85" spans="1:2" ht="12.75" customHeight="1" x14ac:dyDescent="0.15">
      <c r="A85" s="1"/>
      <c r="B85" s="2"/>
    </row>
    <row r="86" spans="1:2" ht="12.75" customHeight="1" x14ac:dyDescent="0.15">
      <c r="A86" s="1"/>
      <c r="B86" s="2"/>
    </row>
    <row r="87" spans="1:2" ht="12.75" customHeight="1" x14ac:dyDescent="0.15">
      <c r="A87" s="1"/>
      <c r="B87" s="2"/>
    </row>
    <row r="88" spans="1:2" ht="12.75" customHeight="1" x14ac:dyDescent="0.15">
      <c r="A88" s="1"/>
      <c r="B88" s="2"/>
    </row>
    <row r="89" spans="1:2" ht="12.75" customHeight="1" x14ac:dyDescent="0.15">
      <c r="A89" s="1"/>
      <c r="B89" s="2"/>
    </row>
    <row r="90" spans="1:2" ht="12.75" customHeight="1" x14ac:dyDescent="0.15">
      <c r="A90" s="1"/>
      <c r="B90" s="2"/>
    </row>
    <row r="91" spans="1:2" ht="12.75" customHeight="1" x14ac:dyDescent="0.15">
      <c r="A91" s="1"/>
      <c r="B91" s="2"/>
    </row>
    <row r="92" spans="1:2" ht="12.75" customHeight="1" x14ac:dyDescent="0.15">
      <c r="A92" s="1"/>
      <c r="B92" s="2"/>
    </row>
    <row r="93" spans="1:2" ht="12.75" customHeight="1" x14ac:dyDescent="0.15">
      <c r="A93" s="1"/>
      <c r="B93" s="2"/>
    </row>
    <row r="94" spans="1:2" ht="12.75" customHeight="1" x14ac:dyDescent="0.15">
      <c r="A94" s="1"/>
      <c r="B94" s="2"/>
    </row>
    <row r="95" spans="1:2" ht="12.75" customHeight="1" x14ac:dyDescent="0.15">
      <c r="A95" s="1"/>
      <c r="B95" s="2"/>
    </row>
    <row r="96" spans="1:2" ht="12.75" customHeight="1" x14ac:dyDescent="0.15">
      <c r="A96" s="1"/>
      <c r="B96" s="2"/>
    </row>
    <row r="97" spans="1:2" ht="12.75" customHeight="1" x14ac:dyDescent="0.15">
      <c r="A97" s="1"/>
      <c r="B97" s="2"/>
    </row>
    <row r="98" spans="1:2" ht="12.75" customHeight="1" x14ac:dyDescent="0.15">
      <c r="A98" s="1"/>
      <c r="B98" s="2"/>
    </row>
    <row r="99" spans="1:2" ht="12.75" customHeight="1" x14ac:dyDescent="0.15">
      <c r="A99" s="1"/>
      <c r="B99" s="2"/>
    </row>
    <row r="100" spans="1:2" ht="12.75" customHeight="1" x14ac:dyDescent="0.15">
      <c r="A100" s="1"/>
      <c r="B100" s="2"/>
    </row>
    <row r="101" spans="1:2" ht="12.75" customHeight="1" x14ac:dyDescent="0.15">
      <c r="A101" s="1"/>
      <c r="B101" s="2"/>
    </row>
    <row r="102" spans="1:2" ht="12.75" customHeight="1" x14ac:dyDescent="0.15">
      <c r="A102" s="1"/>
      <c r="B102" s="2"/>
    </row>
    <row r="103" spans="1:2" ht="12.75" customHeight="1" x14ac:dyDescent="0.15">
      <c r="A103" s="1"/>
      <c r="B103" s="2"/>
    </row>
    <row r="104" spans="1:2" ht="12.75" customHeight="1" x14ac:dyDescent="0.15">
      <c r="A104" s="1"/>
      <c r="B104" s="2"/>
    </row>
    <row r="105" spans="1:2" ht="12.75" customHeight="1" x14ac:dyDescent="0.15">
      <c r="A105" s="1"/>
      <c r="B105" s="2"/>
    </row>
    <row r="106" spans="1:2" ht="12.75" customHeight="1" x14ac:dyDescent="0.15">
      <c r="A106" s="1"/>
      <c r="B106" s="2"/>
    </row>
    <row r="107" spans="1:2" ht="12.75" customHeight="1" x14ac:dyDescent="0.15">
      <c r="A107" s="1"/>
      <c r="B107" s="2"/>
    </row>
    <row r="108" spans="1:2" ht="12.75" customHeight="1" x14ac:dyDescent="0.15">
      <c r="A108" s="1"/>
      <c r="B108" s="2"/>
    </row>
    <row r="109" spans="1:2" ht="12.75" customHeight="1" x14ac:dyDescent="0.15">
      <c r="A109" s="1"/>
      <c r="B109" s="2"/>
    </row>
    <row r="110" spans="1:2" ht="12.75" customHeight="1" x14ac:dyDescent="0.15">
      <c r="A110" s="1"/>
      <c r="B110" s="2"/>
    </row>
    <row r="111" spans="1:2" ht="12.75" customHeight="1" x14ac:dyDescent="0.15">
      <c r="A111" s="1"/>
      <c r="B111" s="2"/>
    </row>
    <row r="112" spans="1:2" ht="12.75" customHeight="1" x14ac:dyDescent="0.15">
      <c r="A112" s="1"/>
      <c r="B112" s="2"/>
    </row>
    <row r="113" spans="1:2" ht="12.75" customHeight="1" x14ac:dyDescent="0.15">
      <c r="A113" s="1"/>
      <c r="B113" s="2"/>
    </row>
    <row r="114" spans="1:2" ht="12.75" customHeight="1" x14ac:dyDescent="0.15">
      <c r="A114" s="1"/>
      <c r="B114" s="2"/>
    </row>
    <row r="115" spans="1:2" ht="12.75" customHeight="1" x14ac:dyDescent="0.15">
      <c r="A115" s="1"/>
      <c r="B115" s="2"/>
    </row>
    <row r="116" spans="1:2" ht="12.75" customHeight="1" x14ac:dyDescent="0.15">
      <c r="A116" s="1"/>
      <c r="B116" s="2"/>
    </row>
    <row r="117" spans="1:2" ht="12.75" customHeight="1" x14ac:dyDescent="0.15">
      <c r="A117" s="1"/>
      <c r="B117" s="2"/>
    </row>
    <row r="118" spans="1:2" ht="12.75" customHeight="1" x14ac:dyDescent="0.15">
      <c r="A118" s="1"/>
      <c r="B118" s="2"/>
    </row>
    <row r="119" spans="1:2" ht="12.75" customHeight="1" x14ac:dyDescent="0.15">
      <c r="A119" s="1"/>
      <c r="B119" s="2"/>
    </row>
    <row r="120" spans="1:2" ht="12.75" customHeight="1" x14ac:dyDescent="0.15">
      <c r="A120" s="1"/>
      <c r="B120" s="2"/>
    </row>
    <row r="121" spans="1:2" ht="12.75" customHeight="1" x14ac:dyDescent="0.15">
      <c r="A121" s="1"/>
      <c r="B121" s="2"/>
    </row>
    <row r="122" spans="1:2" ht="12.75" customHeight="1" x14ac:dyDescent="0.15">
      <c r="A122" s="1"/>
      <c r="B122" s="2"/>
    </row>
    <row r="123" spans="1:2" ht="12.75" customHeight="1" x14ac:dyDescent="0.15">
      <c r="A123" s="1"/>
      <c r="B123" s="2"/>
    </row>
    <row r="124" spans="1:2" ht="12.75" customHeight="1" x14ac:dyDescent="0.15">
      <c r="A124" s="1"/>
      <c r="B124" s="2"/>
    </row>
    <row r="125" spans="1:2" ht="12.75" customHeight="1" x14ac:dyDescent="0.15">
      <c r="A125" s="1"/>
      <c r="B125" s="2"/>
    </row>
    <row r="126" spans="1:2" ht="12.75" customHeight="1" x14ac:dyDescent="0.15">
      <c r="A126" s="1"/>
      <c r="B126" s="2"/>
    </row>
    <row r="127" spans="1:2" ht="12.75" customHeight="1" x14ac:dyDescent="0.15">
      <c r="A127" s="1"/>
      <c r="B127" s="2"/>
    </row>
    <row r="128" spans="1:2" ht="12.75" customHeight="1" x14ac:dyDescent="0.15">
      <c r="A128" s="1"/>
      <c r="B128" s="2"/>
    </row>
    <row r="129" spans="1:2" ht="12.75" customHeight="1" x14ac:dyDescent="0.15">
      <c r="A129" s="1"/>
      <c r="B129" s="2"/>
    </row>
    <row r="130" spans="1:2" ht="12.75" customHeight="1" x14ac:dyDescent="0.15">
      <c r="A130" s="1"/>
      <c r="B130" s="2"/>
    </row>
    <row r="131" spans="1:2" ht="12.75" customHeight="1" x14ac:dyDescent="0.15">
      <c r="A131" s="1"/>
      <c r="B131" s="2"/>
    </row>
    <row r="132" spans="1:2" ht="12.75" customHeight="1" x14ac:dyDescent="0.15">
      <c r="A132" s="1"/>
      <c r="B132" s="2"/>
    </row>
    <row r="133" spans="1:2" ht="12.75" customHeight="1" x14ac:dyDescent="0.15">
      <c r="A133" s="1"/>
      <c r="B133" s="2"/>
    </row>
    <row r="134" spans="1:2" ht="12.75" customHeight="1" x14ac:dyDescent="0.15">
      <c r="A134" s="1"/>
      <c r="B134" s="2"/>
    </row>
    <row r="135" spans="1:2" ht="12.75" customHeight="1" x14ac:dyDescent="0.15">
      <c r="A135" s="1"/>
      <c r="B135" s="2"/>
    </row>
    <row r="136" spans="1:2" ht="12.75" customHeight="1" x14ac:dyDescent="0.15">
      <c r="A136" s="1"/>
      <c r="B136" s="2"/>
    </row>
    <row r="137" spans="1:2" ht="12.75" customHeight="1" x14ac:dyDescent="0.15">
      <c r="A137" s="1"/>
      <c r="B137" s="2"/>
    </row>
    <row r="138" spans="1:2" ht="12.75" customHeight="1" x14ac:dyDescent="0.15">
      <c r="A138" s="1"/>
      <c r="B138" s="2"/>
    </row>
    <row r="139" spans="1:2" ht="12.75" customHeight="1" x14ac:dyDescent="0.15">
      <c r="A139" s="1"/>
      <c r="B139" s="2"/>
    </row>
    <row r="140" spans="1:2" ht="12.75" customHeight="1" x14ac:dyDescent="0.15">
      <c r="A140" s="1"/>
      <c r="B140" s="2"/>
    </row>
    <row r="141" spans="1:2" ht="12.75" customHeight="1" x14ac:dyDescent="0.15">
      <c r="A141" s="1"/>
      <c r="B141" s="2"/>
    </row>
    <row r="142" spans="1:2" ht="12.75" customHeight="1" x14ac:dyDescent="0.15">
      <c r="A142" s="1"/>
      <c r="B142" s="2"/>
    </row>
    <row r="143" spans="1:2" ht="12.75" customHeight="1" x14ac:dyDescent="0.15">
      <c r="A143" s="1"/>
      <c r="B143" s="2"/>
    </row>
    <row r="144" spans="1:2" ht="12.75" customHeight="1" x14ac:dyDescent="0.15">
      <c r="A144" s="1"/>
      <c r="B144" s="2"/>
    </row>
    <row r="145" spans="1:2" ht="12.75" customHeight="1" x14ac:dyDescent="0.15">
      <c r="A145" s="1"/>
      <c r="B145" s="2"/>
    </row>
    <row r="146" spans="1:2" ht="12.75" customHeight="1" x14ac:dyDescent="0.15">
      <c r="A146" s="1"/>
      <c r="B146" s="2"/>
    </row>
    <row r="147" spans="1:2" ht="12.75" customHeight="1" x14ac:dyDescent="0.15">
      <c r="A147" s="1"/>
      <c r="B147" s="2"/>
    </row>
    <row r="148" spans="1:2" ht="12.75" customHeight="1" x14ac:dyDescent="0.15">
      <c r="A148" s="1"/>
      <c r="B148" s="2"/>
    </row>
    <row r="149" spans="1:2" ht="12.75" customHeight="1" x14ac:dyDescent="0.15">
      <c r="A149" s="1"/>
      <c r="B149" s="2"/>
    </row>
    <row r="150" spans="1:2" ht="12.75" customHeight="1" x14ac:dyDescent="0.15">
      <c r="A150" s="1"/>
      <c r="B150" s="2"/>
    </row>
    <row r="151" spans="1:2" ht="12.75" customHeight="1" x14ac:dyDescent="0.15">
      <c r="A151" s="1"/>
      <c r="B151" s="2"/>
    </row>
    <row r="152" spans="1:2" ht="12.75" customHeight="1" x14ac:dyDescent="0.15">
      <c r="A152" s="1"/>
      <c r="B152" s="2"/>
    </row>
    <row r="153" spans="1:2" ht="12.75" customHeight="1" x14ac:dyDescent="0.15">
      <c r="A153" s="1"/>
      <c r="B153" s="2"/>
    </row>
    <row r="154" spans="1:2" ht="12.75" customHeight="1" x14ac:dyDescent="0.15">
      <c r="A154" s="1"/>
      <c r="B154" s="2"/>
    </row>
    <row r="155" spans="1:2" ht="12.75" customHeight="1" x14ac:dyDescent="0.15">
      <c r="A155" s="1"/>
      <c r="B155" s="2"/>
    </row>
    <row r="156" spans="1:2" ht="12.75" customHeight="1" x14ac:dyDescent="0.15">
      <c r="A156" s="1"/>
      <c r="B156" s="2"/>
    </row>
    <row r="157" spans="1:2" ht="12.75" customHeight="1" x14ac:dyDescent="0.15">
      <c r="A157" s="1"/>
      <c r="B157" s="2"/>
    </row>
    <row r="158" spans="1:2" ht="12.75" customHeight="1" x14ac:dyDescent="0.15">
      <c r="A158" s="1"/>
      <c r="B158" s="2"/>
    </row>
    <row r="159" spans="1:2" ht="12.75" customHeight="1" x14ac:dyDescent="0.15">
      <c r="A159" s="1"/>
      <c r="B159" s="2"/>
    </row>
    <row r="160" spans="1:2" ht="12.75" customHeight="1" x14ac:dyDescent="0.15">
      <c r="A160" s="1"/>
      <c r="B160" s="2"/>
    </row>
    <row r="161" spans="1:2" ht="12.75" customHeight="1" x14ac:dyDescent="0.15">
      <c r="A161" s="1"/>
      <c r="B161" s="2"/>
    </row>
    <row r="162" spans="1:2" ht="12.75" customHeight="1" x14ac:dyDescent="0.15">
      <c r="A162" s="1"/>
      <c r="B162" s="2"/>
    </row>
    <row r="163" spans="1:2" ht="12.75" customHeight="1" x14ac:dyDescent="0.15">
      <c r="A163" s="1"/>
      <c r="B163" s="2"/>
    </row>
    <row r="164" spans="1:2" ht="12.75" customHeight="1" x14ac:dyDescent="0.15">
      <c r="A164" s="1"/>
      <c r="B164" s="2"/>
    </row>
    <row r="165" spans="1:2" ht="12.75" customHeight="1" x14ac:dyDescent="0.15">
      <c r="A165" s="1"/>
      <c r="B165" s="2"/>
    </row>
    <row r="166" spans="1:2" ht="12.75" customHeight="1" x14ac:dyDescent="0.15">
      <c r="A166" s="1"/>
      <c r="B166" s="2"/>
    </row>
    <row r="167" spans="1:2" ht="12.75" customHeight="1" x14ac:dyDescent="0.15">
      <c r="A167" s="1"/>
      <c r="B167" s="2"/>
    </row>
    <row r="168" spans="1:2" ht="12.75" customHeight="1" x14ac:dyDescent="0.15">
      <c r="A168" s="1"/>
      <c r="B168" s="2"/>
    </row>
    <row r="169" spans="1:2" ht="12.75" customHeight="1" x14ac:dyDescent="0.15">
      <c r="A169" s="1"/>
      <c r="B169" s="2"/>
    </row>
    <row r="170" spans="1:2" ht="12.75" customHeight="1" x14ac:dyDescent="0.15">
      <c r="A170" s="1"/>
      <c r="B170" s="2"/>
    </row>
    <row r="171" spans="1:2" ht="12.75" customHeight="1" x14ac:dyDescent="0.15">
      <c r="A171" s="1"/>
      <c r="B171" s="2"/>
    </row>
    <row r="172" spans="1:2" ht="12.75" customHeight="1" x14ac:dyDescent="0.15">
      <c r="A172" s="1"/>
      <c r="B172" s="2"/>
    </row>
    <row r="173" spans="1:2" ht="12.75" customHeight="1" x14ac:dyDescent="0.15">
      <c r="A173" s="1"/>
      <c r="B173" s="2"/>
    </row>
    <row r="174" spans="1:2" ht="12.75" customHeight="1" x14ac:dyDescent="0.15">
      <c r="A174" s="1"/>
      <c r="B174" s="2"/>
    </row>
    <row r="175" spans="1:2" ht="12.75" customHeight="1" x14ac:dyDescent="0.15">
      <c r="A175" s="1"/>
      <c r="B175" s="2"/>
    </row>
    <row r="176" spans="1:2" ht="12.75" customHeight="1" x14ac:dyDescent="0.15">
      <c r="A176" s="1"/>
      <c r="B176" s="2"/>
    </row>
    <row r="177" spans="1:2" ht="12.75" customHeight="1" x14ac:dyDescent="0.15">
      <c r="A177" s="1"/>
      <c r="B177" s="2"/>
    </row>
    <row r="178" spans="1:2" ht="12.75" customHeight="1" x14ac:dyDescent="0.15">
      <c r="A178" s="1"/>
      <c r="B178" s="2"/>
    </row>
    <row r="179" spans="1:2" ht="12.75" customHeight="1" x14ac:dyDescent="0.15">
      <c r="A179" s="1"/>
      <c r="B179" s="2"/>
    </row>
    <row r="180" spans="1:2" ht="12.75" customHeight="1" x14ac:dyDescent="0.15">
      <c r="A180" s="1"/>
      <c r="B180" s="2"/>
    </row>
    <row r="181" spans="1:2" ht="12.75" customHeight="1" x14ac:dyDescent="0.15">
      <c r="A181" s="1"/>
      <c r="B181" s="2"/>
    </row>
    <row r="182" spans="1:2" ht="12.75" customHeight="1" x14ac:dyDescent="0.15">
      <c r="A182" s="1"/>
      <c r="B182" s="2"/>
    </row>
    <row r="183" spans="1:2" ht="12.75" customHeight="1" x14ac:dyDescent="0.15">
      <c r="A183" s="1"/>
      <c r="B183" s="2"/>
    </row>
    <row r="184" spans="1:2" ht="12.75" customHeight="1" x14ac:dyDescent="0.15">
      <c r="A184" s="1"/>
      <c r="B184" s="2"/>
    </row>
    <row r="185" spans="1:2" ht="12.75" customHeight="1" x14ac:dyDescent="0.15">
      <c r="A185" s="1"/>
      <c r="B185" s="2"/>
    </row>
    <row r="186" spans="1:2" ht="12.75" customHeight="1" x14ac:dyDescent="0.15">
      <c r="A186" s="1"/>
      <c r="B186" s="2"/>
    </row>
    <row r="187" spans="1:2" ht="12.75" customHeight="1" x14ac:dyDescent="0.15">
      <c r="A187" s="1"/>
      <c r="B187" s="2"/>
    </row>
    <row r="188" spans="1:2" ht="12.75" customHeight="1" x14ac:dyDescent="0.15">
      <c r="A188" s="1"/>
      <c r="B188" s="2"/>
    </row>
    <row r="189" spans="1:2" ht="12.75" customHeight="1" x14ac:dyDescent="0.15">
      <c r="A189" s="1"/>
      <c r="B189" s="2"/>
    </row>
    <row r="190" spans="1:2" ht="12.75" customHeight="1" x14ac:dyDescent="0.15">
      <c r="A190" s="1"/>
      <c r="B190" s="2"/>
    </row>
    <row r="191" spans="1:2" ht="12.75" customHeight="1" x14ac:dyDescent="0.15">
      <c r="A191" s="1"/>
      <c r="B191" s="2"/>
    </row>
    <row r="192" spans="1:2" ht="12.75" customHeight="1" x14ac:dyDescent="0.15">
      <c r="A192" s="1"/>
      <c r="B192" s="2"/>
    </row>
    <row r="193" spans="1:2" ht="12.75" customHeight="1" x14ac:dyDescent="0.15">
      <c r="A193" s="1"/>
      <c r="B193" s="2"/>
    </row>
    <row r="194" spans="1:2" ht="12.75" customHeight="1" x14ac:dyDescent="0.15">
      <c r="A194" s="1"/>
      <c r="B194" s="2"/>
    </row>
    <row r="195" spans="1:2" ht="12.75" customHeight="1" x14ac:dyDescent="0.15">
      <c r="A195" s="1"/>
      <c r="B195" s="2"/>
    </row>
    <row r="196" spans="1:2" ht="12.75" customHeight="1" x14ac:dyDescent="0.15">
      <c r="A196" s="1"/>
      <c r="B196" s="2"/>
    </row>
    <row r="197" spans="1:2" ht="12.75" customHeight="1" x14ac:dyDescent="0.15">
      <c r="A197" s="1"/>
      <c r="B197" s="2"/>
    </row>
    <row r="198" spans="1:2" ht="12.75" customHeight="1" x14ac:dyDescent="0.15">
      <c r="A198" s="1"/>
      <c r="B198" s="2"/>
    </row>
    <row r="199" spans="1:2" ht="12.75" customHeight="1" x14ac:dyDescent="0.15">
      <c r="A199" s="1"/>
      <c r="B199" s="2"/>
    </row>
    <row r="200" spans="1:2" ht="12.75" customHeight="1" x14ac:dyDescent="0.15">
      <c r="A200" s="1"/>
      <c r="B200" s="2"/>
    </row>
    <row r="201" spans="1:2" ht="12.75" customHeight="1" x14ac:dyDescent="0.15">
      <c r="A201" s="1"/>
      <c r="B201" s="2"/>
    </row>
    <row r="202" spans="1:2" ht="12.75" customHeight="1" x14ac:dyDescent="0.15">
      <c r="A202" s="1"/>
      <c r="B202" s="2"/>
    </row>
    <row r="203" spans="1:2" ht="12.75" customHeight="1" x14ac:dyDescent="0.15">
      <c r="A203" s="1"/>
      <c r="B203" s="2"/>
    </row>
    <row r="204" spans="1:2" ht="12.75" customHeight="1" x14ac:dyDescent="0.15">
      <c r="A204" s="1"/>
      <c r="B204" s="2"/>
    </row>
    <row r="205" spans="1:2" ht="12.75" customHeight="1" x14ac:dyDescent="0.15">
      <c r="A205" s="1"/>
      <c r="B205" s="2"/>
    </row>
    <row r="206" spans="1:2" ht="12.75" customHeight="1" x14ac:dyDescent="0.15">
      <c r="A206" s="1"/>
      <c r="B206" s="2"/>
    </row>
    <row r="207" spans="1:2" ht="12.75" customHeight="1" x14ac:dyDescent="0.15">
      <c r="A207" s="1"/>
      <c r="B207" s="2"/>
    </row>
    <row r="208" spans="1:2" ht="12.75" customHeight="1" x14ac:dyDescent="0.15">
      <c r="A208" s="1"/>
      <c r="B208" s="2"/>
    </row>
    <row r="209" spans="1:2" ht="12.75" customHeight="1" x14ac:dyDescent="0.15">
      <c r="A209" s="1"/>
      <c r="B209" s="2"/>
    </row>
    <row r="210" spans="1:2" ht="12.75" customHeight="1" x14ac:dyDescent="0.15">
      <c r="A210" s="1"/>
      <c r="B210" s="2"/>
    </row>
    <row r="211" spans="1:2" ht="12.75" customHeight="1" x14ac:dyDescent="0.15">
      <c r="A211" s="1"/>
      <c r="B211" s="2"/>
    </row>
    <row r="212" spans="1:2" ht="12.75" customHeight="1" x14ac:dyDescent="0.15">
      <c r="A212" s="1"/>
      <c r="B212" s="2"/>
    </row>
    <row r="213" spans="1:2" ht="12.75" customHeight="1" x14ac:dyDescent="0.15">
      <c r="A213" s="1"/>
      <c r="B213" s="2"/>
    </row>
    <row r="214" spans="1:2" ht="12.75" customHeight="1" x14ac:dyDescent="0.15">
      <c r="A214" s="1"/>
      <c r="B214" s="2"/>
    </row>
    <row r="215" spans="1:2" ht="12.75" customHeight="1" x14ac:dyDescent="0.15">
      <c r="A215" s="1"/>
      <c r="B215" s="2"/>
    </row>
    <row r="216" spans="1:2" ht="12.75" customHeight="1" x14ac:dyDescent="0.15">
      <c r="A216" s="1"/>
      <c r="B216" s="2"/>
    </row>
    <row r="217" spans="1:2" ht="12.75" customHeight="1" x14ac:dyDescent="0.15">
      <c r="A217" s="1"/>
      <c r="B217" s="2"/>
    </row>
    <row r="218" spans="1:2" ht="12.75" customHeight="1" x14ac:dyDescent="0.15">
      <c r="A218" s="1"/>
      <c r="B218" s="2"/>
    </row>
    <row r="219" spans="1:2" ht="12.75" customHeight="1" x14ac:dyDescent="0.15">
      <c r="A219" s="1"/>
      <c r="B219" s="2"/>
    </row>
    <row r="220" spans="1:2" ht="12.75" customHeight="1" x14ac:dyDescent="0.15">
      <c r="A220" s="1"/>
      <c r="B220" s="2"/>
    </row>
    <row r="221" spans="1:2" ht="12.75" customHeight="1" x14ac:dyDescent="0.15">
      <c r="A221" s="1"/>
      <c r="B221" s="2"/>
    </row>
    <row r="222" spans="1:2" ht="12.75" customHeight="1" x14ac:dyDescent="0.15">
      <c r="A222" s="1"/>
      <c r="B222" s="2"/>
    </row>
    <row r="223" spans="1:2" ht="12.75" customHeight="1" x14ac:dyDescent="0.15">
      <c r="A223" s="1"/>
      <c r="B223" s="2"/>
    </row>
    <row r="224" spans="1:2" ht="12.75" customHeight="1" x14ac:dyDescent="0.15">
      <c r="A224" s="1"/>
      <c r="B224" s="2"/>
    </row>
    <row r="225" spans="1:2" ht="12.75" customHeight="1" x14ac:dyDescent="0.15">
      <c r="A225" s="1"/>
      <c r="B225" s="2"/>
    </row>
    <row r="226" spans="1:2" ht="12.75" customHeight="1" x14ac:dyDescent="0.15">
      <c r="A226" s="1"/>
      <c r="B226" s="2"/>
    </row>
    <row r="227" spans="1:2" ht="12.75" customHeight="1" x14ac:dyDescent="0.15">
      <c r="A227" s="1"/>
      <c r="B227" s="2"/>
    </row>
    <row r="228" spans="1:2" ht="12.75" customHeight="1" x14ac:dyDescent="0.15">
      <c r="A228" s="1"/>
      <c r="B228" s="2"/>
    </row>
    <row r="229" spans="1:2" ht="12.75" customHeight="1" x14ac:dyDescent="0.15">
      <c r="A229" s="1"/>
      <c r="B229" s="2"/>
    </row>
    <row r="230" spans="1:2" ht="12.75" customHeight="1" x14ac:dyDescent="0.15">
      <c r="A230" s="1"/>
      <c r="B230" s="2"/>
    </row>
    <row r="231" spans="1:2" ht="12.75" customHeight="1" x14ac:dyDescent="0.15">
      <c r="A231" s="1"/>
      <c r="B231" s="2"/>
    </row>
    <row r="232" spans="1:2" ht="12.75" customHeight="1" x14ac:dyDescent="0.15">
      <c r="A232" s="1"/>
      <c r="B232" s="2"/>
    </row>
    <row r="233" spans="1:2" ht="12.75" customHeight="1" x14ac:dyDescent="0.15">
      <c r="A233" s="1"/>
      <c r="B233" s="2"/>
    </row>
    <row r="234" spans="1:2" ht="12.75" customHeight="1" x14ac:dyDescent="0.15">
      <c r="A234" s="1"/>
      <c r="B234" s="2"/>
    </row>
    <row r="235" spans="1:2" ht="12.75" customHeight="1" x14ac:dyDescent="0.15">
      <c r="A235" s="1"/>
      <c r="B235" s="2"/>
    </row>
    <row r="236" spans="1:2" ht="12.75" customHeight="1" x14ac:dyDescent="0.15">
      <c r="A236" s="1"/>
      <c r="B236" s="2"/>
    </row>
    <row r="237" spans="1:2" ht="12.75" customHeight="1" x14ac:dyDescent="0.15">
      <c r="A237" s="1"/>
      <c r="B237" s="2"/>
    </row>
    <row r="238" spans="1:2" ht="12.75" customHeight="1" x14ac:dyDescent="0.15">
      <c r="A238" s="1"/>
      <c r="B238" s="2"/>
    </row>
    <row r="239" spans="1:2" ht="12.75" customHeight="1" x14ac:dyDescent="0.15">
      <c r="A239" s="1"/>
      <c r="B239" s="2"/>
    </row>
    <row r="240" spans="1:2" ht="12.75" customHeight="1" x14ac:dyDescent="0.15">
      <c r="A240" s="1"/>
      <c r="B240" s="2"/>
    </row>
    <row r="241" spans="1:2" ht="12.75" customHeight="1" x14ac:dyDescent="0.15">
      <c r="A241" s="1"/>
      <c r="B241" s="2"/>
    </row>
    <row r="242" spans="1:2" ht="12.75" customHeight="1" x14ac:dyDescent="0.15">
      <c r="A242" s="1"/>
      <c r="B242" s="2"/>
    </row>
    <row r="243" spans="1:2" ht="12.75" customHeight="1" x14ac:dyDescent="0.15">
      <c r="A243" s="1"/>
      <c r="B243" s="2"/>
    </row>
    <row r="244" spans="1:2" ht="12.75" customHeight="1" x14ac:dyDescent="0.15">
      <c r="A244" s="1"/>
      <c r="B244" s="2"/>
    </row>
    <row r="245" spans="1:2" ht="12.75" customHeight="1" x14ac:dyDescent="0.15">
      <c r="A245" s="1"/>
      <c r="B245" s="2"/>
    </row>
    <row r="246" spans="1:2" ht="12.75" customHeight="1" x14ac:dyDescent="0.15">
      <c r="A246" s="1"/>
      <c r="B246" s="2"/>
    </row>
    <row r="247" spans="1:2" ht="12.75" customHeight="1" x14ac:dyDescent="0.15">
      <c r="A247" s="1"/>
      <c r="B247" s="2"/>
    </row>
    <row r="248" spans="1:2" ht="12.75" customHeight="1" x14ac:dyDescent="0.15">
      <c r="A248" s="1"/>
      <c r="B248" s="2"/>
    </row>
    <row r="249" spans="1:2" ht="12.75" customHeight="1" x14ac:dyDescent="0.15">
      <c r="A249" s="1"/>
      <c r="B249" s="2"/>
    </row>
    <row r="250" spans="1:2" ht="12.75" customHeight="1" x14ac:dyDescent="0.15">
      <c r="A250" s="1"/>
      <c r="B250" s="2"/>
    </row>
    <row r="251" spans="1:2" ht="12.75" customHeight="1" x14ac:dyDescent="0.15">
      <c r="A251" s="1"/>
      <c r="B251" s="2"/>
    </row>
    <row r="252" spans="1:2" ht="12.75" customHeight="1" x14ac:dyDescent="0.15">
      <c r="A252" s="1"/>
      <c r="B252" s="2"/>
    </row>
    <row r="253" spans="1:2" ht="12.75" customHeight="1" x14ac:dyDescent="0.15">
      <c r="A253" s="1"/>
      <c r="B253" s="2"/>
    </row>
    <row r="254" spans="1:2" ht="12.75" customHeight="1" x14ac:dyDescent="0.15">
      <c r="A254" s="1"/>
      <c r="B254" s="2"/>
    </row>
    <row r="255" spans="1:2" ht="12.75" customHeight="1" x14ac:dyDescent="0.15">
      <c r="A255" s="1"/>
      <c r="B255" s="2"/>
    </row>
    <row r="256" spans="1:2" ht="12.75" customHeight="1" x14ac:dyDescent="0.15">
      <c r="A256" s="1"/>
      <c r="B256" s="2"/>
    </row>
    <row r="257" spans="1:2" ht="12.75" customHeight="1" x14ac:dyDescent="0.15">
      <c r="A257" s="1"/>
      <c r="B257" s="2"/>
    </row>
    <row r="258" spans="1:2" ht="12.75" customHeight="1" x14ac:dyDescent="0.15">
      <c r="A258" s="1"/>
      <c r="B258" s="2"/>
    </row>
    <row r="259" spans="1:2" ht="12.75" customHeight="1" x14ac:dyDescent="0.15">
      <c r="A259" s="1"/>
      <c r="B259" s="2"/>
    </row>
    <row r="260" spans="1:2" ht="12.75" customHeight="1" x14ac:dyDescent="0.15">
      <c r="A260" s="1"/>
      <c r="B260" s="2"/>
    </row>
    <row r="261" spans="1:2" ht="12.75" customHeight="1" x14ac:dyDescent="0.15">
      <c r="A261" s="1"/>
      <c r="B261" s="2"/>
    </row>
    <row r="262" spans="1:2" ht="12.75" customHeight="1" x14ac:dyDescent="0.15">
      <c r="A262" s="1"/>
      <c r="B262" s="2"/>
    </row>
    <row r="263" spans="1:2" ht="12.75" customHeight="1" x14ac:dyDescent="0.15">
      <c r="A263" s="1"/>
      <c r="B263" s="2"/>
    </row>
    <row r="264" spans="1:2" ht="12.75" customHeight="1" x14ac:dyDescent="0.15">
      <c r="A264" s="1"/>
      <c r="B264" s="2"/>
    </row>
    <row r="265" spans="1:2" ht="12.75" customHeight="1" x14ac:dyDescent="0.15">
      <c r="A265" s="1"/>
      <c r="B265" s="2"/>
    </row>
    <row r="266" spans="1:2" ht="12.75" customHeight="1" x14ac:dyDescent="0.15">
      <c r="A266" s="1"/>
      <c r="B266" s="2"/>
    </row>
    <row r="267" spans="1:2" ht="12.75" customHeight="1" x14ac:dyDescent="0.15">
      <c r="A267" s="1"/>
      <c r="B267" s="2"/>
    </row>
    <row r="268" spans="1:2" ht="12.75" customHeight="1" x14ac:dyDescent="0.15">
      <c r="A268" s="1"/>
      <c r="B268" s="2"/>
    </row>
    <row r="269" spans="1:2" ht="12.75" customHeight="1" x14ac:dyDescent="0.15">
      <c r="A269" s="1"/>
      <c r="B269" s="2"/>
    </row>
    <row r="270" spans="1:2" ht="12.75" customHeight="1" x14ac:dyDescent="0.15">
      <c r="A270" s="1"/>
      <c r="B270" s="2"/>
    </row>
    <row r="271" spans="1:2" ht="12.75" customHeight="1" x14ac:dyDescent="0.15">
      <c r="A271" s="1"/>
      <c r="B271" s="2"/>
    </row>
    <row r="272" spans="1:2" ht="12.75" customHeight="1" x14ac:dyDescent="0.15">
      <c r="A272" s="1"/>
      <c r="B272" s="2"/>
    </row>
    <row r="273" spans="1:2" ht="12.75" customHeight="1" x14ac:dyDescent="0.15">
      <c r="A273" s="1"/>
      <c r="B273" s="2"/>
    </row>
    <row r="274" spans="1:2" ht="12.75" customHeight="1" x14ac:dyDescent="0.15">
      <c r="A274" s="1"/>
      <c r="B274" s="2"/>
    </row>
    <row r="275" spans="1:2" ht="12.75" customHeight="1" x14ac:dyDescent="0.15">
      <c r="A275" s="1"/>
      <c r="B275" s="2"/>
    </row>
    <row r="276" spans="1:2" ht="12.75" customHeight="1" x14ac:dyDescent="0.15">
      <c r="A276" s="1"/>
      <c r="B276" s="2"/>
    </row>
    <row r="277" spans="1:2" ht="12.75" customHeight="1" x14ac:dyDescent="0.15">
      <c r="A277" s="1"/>
      <c r="B277" s="2"/>
    </row>
    <row r="278" spans="1:2" ht="12.75" customHeight="1" x14ac:dyDescent="0.15">
      <c r="A278" s="1"/>
      <c r="B278" s="2"/>
    </row>
    <row r="279" spans="1:2" ht="12.75" customHeight="1" x14ac:dyDescent="0.15">
      <c r="A279" s="1"/>
      <c r="B279" s="2"/>
    </row>
    <row r="280" spans="1:2" ht="12.75" customHeight="1" x14ac:dyDescent="0.15">
      <c r="A280" s="1"/>
      <c r="B280" s="2"/>
    </row>
    <row r="281" spans="1:2" ht="12.75" customHeight="1" x14ac:dyDescent="0.15">
      <c r="A281" s="1"/>
      <c r="B281" s="2"/>
    </row>
    <row r="282" spans="1:2" ht="12.75" customHeight="1" x14ac:dyDescent="0.15">
      <c r="A282" s="1"/>
      <c r="B282" s="2"/>
    </row>
    <row r="283" spans="1:2" ht="12.75" customHeight="1" x14ac:dyDescent="0.15">
      <c r="A283" s="1"/>
      <c r="B283" s="2"/>
    </row>
    <row r="284" spans="1:2" ht="12.75" customHeight="1" x14ac:dyDescent="0.15">
      <c r="A284" s="1"/>
      <c r="B284" s="2"/>
    </row>
    <row r="285" spans="1:2" ht="12.75" customHeight="1" x14ac:dyDescent="0.15">
      <c r="A285" s="1"/>
      <c r="B285" s="2"/>
    </row>
    <row r="286" spans="1:2" ht="12.75" customHeight="1" x14ac:dyDescent="0.15">
      <c r="A286" s="1"/>
      <c r="B286" s="2"/>
    </row>
    <row r="287" spans="1:2" ht="12.75" customHeight="1" x14ac:dyDescent="0.15">
      <c r="A287" s="1"/>
      <c r="B287" s="2"/>
    </row>
    <row r="288" spans="1:2" ht="12.75" customHeight="1" x14ac:dyDescent="0.15">
      <c r="A288" s="1"/>
      <c r="B288" s="2"/>
    </row>
    <row r="289" spans="1:2" ht="12.75" customHeight="1" x14ac:dyDescent="0.15">
      <c r="A289" s="1"/>
      <c r="B289" s="2"/>
    </row>
    <row r="290" spans="1:2" ht="12.75" customHeight="1" x14ac:dyDescent="0.15">
      <c r="A290" s="1"/>
      <c r="B290" s="2"/>
    </row>
    <row r="291" spans="1:2" ht="12.75" customHeight="1" x14ac:dyDescent="0.15">
      <c r="A291" s="1"/>
      <c r="B291" s="2"/>
    </row>
    <row r="292" spans="1:2" ht="12.75" customHeight="1" x14ac:dyDescent="0.15">
      <c r="A292" s="1"/>
      <c r="B292" s="2"/>
    </row>
    <row r="293" spans="1:2" ht="12.75" customHeight="1" x14ac:dyDescent="0.15">
      <c r="A293" s="1"/>
      <c r="B293" s="2"/>
    </row>
    <row r="294" spans="1:2" ht="12.75" customHeight="1" x14ac:dyDescent="0.15">
      <c r="A294" s="1"/>
      <c r="B294" s="2"/>
    </row>
    <row r="295" spans="1:2" ht="12.75" customHeight="1" x14ac:dyDescent="0.15">
      <c r="A295" s="1"/>
      <c r="B295" s="2"/>
    </row>
    <row r="296" spans="1:2" ht="12.75" customHeight="1" x14ac:dyDescent="0.15">
      <c r="A296" s="1"/>
      <c r="B296" s="2"/>
    </row>
    <row r="297" spans="1:2" ht="12.75" customHeight="1" x14ac:dyDescent="0.15">
      <c r="A297" s="1"/>
      <c r="B297" s="2"/>
    </row>
    <row r="298" spans="1:2" ht="12.75" customHeight="1" x14ac:dyDescent="0.15">
      <c r="A298" s="1"/>
      <c r="B298" s="2"/>
    </row>
    <row r="299" spans="1:2" ht="12.75" customHeight="1" x14ac:dyDescent="0.15">
      <c r="A299" s="1"/>
      <c r="B299" s="2"/>
    </row>
    <row r="300" spans="1:2" ht="12.75" customHeight="1" x14ac:dyDescent="0.15">
      <c r="A300" s="1"/>
      <c r="B300" s="2"/>
    </row>
    <row r="301" spans="1:2" ht="12.75" customHeight="1" x14ac:dyDescent="0.15">
      <c r="A301" s="1"/>
      <c r="B301" s="2"/>
    </row>
    <row r="302" spans="1:2" ht="12.75" customHeight="1" x14ac:dyDescent="0.15">
      <c r="A302" s="1"/>
      <c r="B302" s="2"/>
    </row>
    <row r="303" spans="1:2" ht="12.75" customHeight="1" x14ac:dyDescent="0.15">
      <c r="A303" s="1"/>
      <c r="B303" s="2"/>
    </row>
    <row r="304" spans="1:2" ht="12.75" customHeight="1" x14ac:dyDescent="0.15">
      <c r="A304" s="1"/>
      <c r="B304" s="2"/>
    </row>
    <row r="305" spans="1:2" ht="12.75" customHeight="1" x14ac:dyDescent="0.15">
      <c r="A305" s="1"/>
      <c r="B305" s="2"/>
    </row>
    <row r="306" spans="1:2" ht="12.75" customHeight="1" x14ac:dyDescent="0.15">
      <c r="A306" s="1"/>
      <c r="B306" s="2"/>
    </row>
    <row r="307" spans="1:2" ht="12.75" customHeight="1" x14ac:dyDescent="0.15">
      <c r="A307" s="1"/>
      <c r="B307" s="2"/>
    </row>
    <row r="308" spans="1:2" ht="12.75" customHeight="1" x14ac:dyDescent="0.15">
      <c r="A308" s="1"/>
      <c r="B308" s="2"/>
    </row>
    <row r="309" spans="1:2" ht="12.75" customHeight="1" x14ac:dyDescent="0.15">
      <c r="A309" s="1"/>
      <c r="B309" s="2"/>
    </row>
    <row r="310" spans="1:2" ht="12.75" customHeight="1" x14ac:dyDescent="0.15">
      <c r="A310" s="1"/>
      <c r="B310" s="2"/>
    </row>
    <row r="311" spans="1:2" ht="12.75" customHeight="1" x14ac:dyDescent="0.15">
      <c r="A311" s="1"/>
      <c r="B311" s="2"/>
    </row>
    <row r="312" spans="1:2" ht="12.75" customHeight="1" x14ac:dyDescent="0.15">
      <c r="A312" s="1"/>
      <c r="B312" s="2"/>
    </row>
    <row r="313" spans="1:2" ht="12.75" customHeight="1" x14ac:dyDescent="0.15">
      <c r="A313" s="1"/>
      <c r="B313" s="2"/>
    </row>
    <row r="314" spans="1:2" ht="12.75" customHeight="1" x14ac:dyDescent="0.15">
      <c r="A314" s="1"/>
      <c r="B314" s="2"/>
    </row>
    <row r="315" spans="1:2" ht="12.75" customHeight="1" x14ac:dyDescent="0.15">
      <c r="A315" s="1"/>
      <c r="B315" s="2"/>
    </row>
    <row r="316" spans="1:2" ht="12.75" customHeight="1" x14ac:dyDescent="0.15">
      <c r="A316" s="1"/>
      <c r="B316" s="2"/>
    </row>
    <row r="317" spans="1:2" ht="12.75" customHeight="1" x14ac:dyDescent="0.15">
      <c r="A317" s="1"/>
      <c r="B317" s="2"/>
    </row>
    <row r="318" spans="1:2" ht="12.75" customHeight="1" x14ac:dyDescent="0.15">
      <c r="A318" s="1"/>
      <c r="B318" s="2"/>
    </row>
    <row r="319" spans="1:2" ht="12.75" customHeight="1" x14ac:dyDescent="0.15">
      <c r="A319" s="1"/>
      <c r="B319" s="2"/>
    </row>
    <row r="320" spans="1:2" ht="12.75" customHeight="1" x14ac:dyDescent="0.15">
      <c r="A320" s="1"/>
      <c r="B320" s="2"/>
    </row>
    <row r="321" spans="1:2" ht="12.75" customHeight="1" x14ac:dyDescent="0.15">
      <c r="A321" s="1"/>
      <c r="B321" s="2"/>
    </row>
    <row r="322" spans="1:2" ht="12.75" customHeight="1" x14ac:dyDescent="0.15">
      <c r="A322" s="1"/>
      <c r="B322" s="2"/>
    </row>
    <row r="323" spans="1:2" ht="12.75" customHeight="1" x14ac:dyDescent="0.15">
      <c r="A323" s="1"/>
      <c r="B323" s="2"/>
    </row>
    <row r="324" spans="1:2" ht="12.75" customHeight="1" x14ac:dyDescent="0.15">
      <c r="A324" s="1"/>
      <c r="B324" s="2"/>
    </row>
    <row r="325" spans="1:2" ht="12.75" customHeight="1" x14ac:dyDescent="0.15">
      <c r="A325" s="1"/>
      <c r="B325" s="2"/>
    </row>
    <row r="326" spans="1:2" ht="12.75" customHeight="1" x14ac:dyDescent="0.15">
      <c r="A326" s="1"/>
      <c r="B326" s="2"/>
    </row>
    <row r="327" spans="1:2" ht="12.75" customHeight="1" x14ac:dyDescent="0.15">
      <c r="A327" s="1"/>
      <c r="B327" s="2"/>
    </row>
    <row r="328" spans="1:2" ht="12.75" customHeight="1" x14ac:dyDescent="0.15">
      <c r="A328" s="1"/>
      <c r="B328" s="2"/>
    </row>
    <row r="329" spans="1:2" ht="12.75" customHeight="1" x14ac:dyDescent="0.15">
      <c r="A329" s="1"/>
      <c r="B329" s="2"/>
    </row>
    <row r="330" spans="1:2" ht="12.75" customHeight="1" x14ac:dyDescent="0.15">
      <c r="A330" s="1"/>
      <c r="B330" s="2"/>
    </row>
    <row r="331" spans="1:2" ht="12.75" customHeight="1" x14ac:dyDescent="0.15">
      <c r="A331" s="1"/>
      <c r="B331" s="2"/>
    </row>
    <row r="332" spans="1:2" ht="12.75" customHeight="1" x14ac:dyDescent="0.15">
      <c r="A332" s="1"/>
      <c r="B332" s="2"/>
    </row>
    <row r="333" spans="1:2" ht="12.75" customHeight="1" x14ac:dyDescent="0.15">
      <c r="A333" s="1"/>
      <c r="B333" s="2"/>
    </row>
    <row r="334" spans="1:2" ht="12.75" customHeight="1" x14ac:dyDescent="0.15">
      <c r="A334" s="1"/>
      <c r="B334" s="2"/>
    </row>
    <row r="335" spans="1:2" ht="12.75" customHeight="1" x14ac:dyDescent="0.15">
      <c r="A335" s="1"/>
      <c r="B335" s="2"/>
    </row>
    <row r="336" spans="1:2" ht="12.75" customHeight="1" x14ac:dyDescent="0.15">
      <c r="A336" s="1"/>
      <c r="B336" s="2"/>
    </row>
    <row r="337" spans="1:2" ht="12.75" customHeight="1" x14ac:dyDescent="0.15">
      <c r="A337" s="1"/>
      <c r="B337" s="2"/>
    </row>
    <row r="338" spans="1:2" ht="12.75" customHeight="1" x14ac:dyDescent="0.15">
      <c r="A338" s="1"/>
      <c r="B338" s="2"/>
    </row>
    <row r="339" spans="1:2" ht="12.75" customHeight="1" x14ac:dyDescent="0.15">
      <c r="A339" s="1"/>
      <c r="B339" s="2"/>
    </row>
    <row r="340" spans="1:2" ht="12.75" customHeight="1" x14ac:dyDescent="0.15">
      <c r="A340" s="1"/>
      <c r="B340" s="2"/>
    </row>
    <row r="341" spans="1:2" ht="12.75" customHeight="1" x14ac:dyDescent="0.15">
      <c r="A341" s="1"/>
      <c r="B341" s="2"/>
    </row>
    <row r="342" spans="1:2" ht="12.75" customHeight="1" x14ac:dyDescent="0.15">
      <c r="A342" s="1"/>
      <c r="B342" s="2"/>
    </row>
    <row r="343" spans="1:2" ht="12.75" customHeight="1" x14ac:dyDescent="0.15">
      <c r="A343" s="1"/>
      <c r="B343" s="2"/>
    </row>
    <row r="344" spans="1:2" ht="12.75" customHeight="1" x14ac:dyDescent="0.15">
      <c r="A344" s="1"/>
      <c r="B344" s="2"/>
    </row>
    <row r="345" spans="1:2" ht="12.75" customHeight="1" x14ac:dyDescent="0.15">
      <c r="A345" s="1"/>
      <c r="B345" s="2"/>
    </row>
    <row r="346" spans="1:2" ht="12.75" customHeight="1" x14ac:dyDescent="0.15">
      <c r="A346" s="1"/>
      <c r="B346" s="2"/>
    </row>
    <row r="347" spans="1:2" ht="12.75" customHeight="1" x14ac:dyDescent="0.15">
      <c r="A347" s="1"/>
      <c r="B347" s="2"/>
    </row>
    <row r="348" spans="1:2" ht="12.75" customHeight="1" x14ac:dyDescent="0.15">
      <c r="A348" s="1"/>
      <c r="B348" s="2"/>
    </row>
    <row r="349" spans="1:2" ht="12.75" customHeight="1" x14ac:dyDescent="0.15">
      <c r="A349" s="1"/>
      <c r="B349" s="2"/>
    </row>
    <row r="350" spans="1:2" ht="12.75" customHeight="1" x14ac:dyDescent="0.15">
      <c r="A350" s="1"/>
      <c r="B350" s="2"/>
    </row>
    <row r="351" spans="1:2" ht="12.75" customHeight="1" x14ac:dyDescent="0.15">
      <c r="A351" s="1"/>
      <c r="B351" s="2"/>
    </row>
    <row r="352" spans="1:2" ht="12.75" customHeight="1" x14ac:dyDescent="0.15">
      <c r="A352" s="1"/>
      <c r="B352" s="2"/>
    </row>
    <row r="353" spans="1:2" ht="12.75" customHeight="1" x14ac:dyDescent="0.15">
      <c r="A353" s="1"/>
      <c r="B353" s="2"/>
    </row>
    <row r="354" spans="1:2" ht="12.75" customHeight="1" x14ac:dyDescent="0.15">
      <c r="A354" s="1"/>
      <c r="B354" s="2"/>
    </row>
    <row r="355" spans="1:2" ht="12.75" customHeight="1" x14ac:dyDescent="0.15">
      <c r="A355" s="1"/>
      <c r="B355" s="2"/>
    </row>
    <row r="356" spans="1:2" ht="12.75" customHeight="1" x14ac:dyDescent="0.15">
      <c r="A356" s="1"/>
      <c r="B356" s="2"/>
    </row>
    <row r="357" spans="1:2" ht="12.75" customHeight="1" x14ac:dyDescent="0.15">
      <c r="A357" s="1"/>
      <c r="B357" s="2"/>
    </row>
    <row r="358" spans="1:2" ht="12.75" customHeight="1" x14ac:dyDescent="0.15">
      <c r="A358" s="1"/>
      <c r="B358" s="2"/>
    </row>
    <row r="359" spans="1:2" ht="12.75" customHeight="1" x14ac:dyDescent="0.15">
      <c r="A359" s="1"/>
      <c r="B359" s="2"/>
    </row>
    <row r="360" spans="1:2" ht="12.75" customHeight="1" x14ac:dyDescent="0.15">
      <c r="A360" s="1"/>
      <c r="B360" s="2"/>
    </row>
    <row r="361" spans="1:2" ht="12.75" customHeight="1" x14ac:dyDescent="0.15">
      <c r="A361" s="1"/>
      <c r="B361" s="2"/>
    </row>
    <row r="362" spans="1:2" ht="12.75" customHeight="1" x14ac:dyDescent="0.15">
      <c r="A362" s="1"/>
      <c r="B362" s="2"/>
    </row>
    <row r="363" spans="1:2" ht="12.75" customHeight="1" x14ac:dyDescent="0.15">
      <c r="A363" s="1"/>
      <c r="B363" s="2"/>
    </row>
    <row r="364" spans="1:2" ht="12.75" customHeight="1" x14ac:dyDescent="0.15">
      <c r="A364" s="1"/>
      <c r="B364" s="2"/>
    </row>
    <row r="365" spans="1:2" ht="12.75" customHeight="1" x14ac:dyDescent="0.15">
      <c r="A365" s="1"/>
      <c r="B365" s="2"/>
    </row>
    <row r="366" spans="1:2" ht="12.75" customHeight="1" x14ac:dyDescent="0.15">
      <c r="A366" s="1"/>
      <c r="B366" s="2"/>
    </row>
    <row r="367" spans="1:2" ht="12.75" customHeight="1" x14ac:dyDescent="0.15">
      <c r="A367" s="1"/>
      <c r="B367" s="2"/>
    </row>
    <row r="368" spans="1:2" ht="12.75" customHeight="1" x14ac:dyDescent="0.15">
      <c r="A368" s="1"/>
      <c r="B368" s="2"/>
    </row>
    <row r="369" spans="1:2" ht="12.75" customHeight="1" x14ac:dyDescent="0.15">
      <c r="A369" s="1"/>
      <c r="B369" s="2"/>
    </row>
    <row r="370" spans="1:2" ht="12.75" customHeight="1" x14ac:dyDescent="0.15">
      <c r="A370" s="1"/>
      <c r="B370" s="2"/>
    </row>
    <row r="371" spans="1:2" ht="12.75" customHeight="1" x14ac:dyDescent="0.15">
      <c r="A371" s="1"/>
      <c r="B371" s="2"/>
    </row>
    <row r="372" spans="1:2" ht="12.75" customHeight="1" x14ac:dyDescent="0.15">
      <c r="A372" s="1"/>
      <c r="B372" s="2"/>
    </row>
    <row r="373" spans="1:2" ht="12.75" customHeight="1" x14ac:dyDescent="0.15">
      <c r="A373" s="1"/>
      <c r="B373" s="2"/>
    </row>
    <row r="374" spans="1:2" ht="12.75" customHeight="1" x14ac:dyDescent="0.15">
      <c r="A374" s="1"/>
      <c r="B374" s="2"/>
    </row>
    <row r="375" spans="1:2" ht="12.75" customHeight="1" x14ac:dyDescent="0.15">
      <c r="A375" s="1"/>
      <c r="B375" s="2"/>
    </row>
    <row r="376" spans="1:2" ht="12.75" customHeight="1" x14ac:dyDescent="0.15">
      <c r="A376" s="1"/>
      <c r="B376" s="2"/>
    </row>
    <row r="377" spans="1:2" ht="12.75" customHeight="1" x14ac:dyDescent="0.15">
      <c r="A377" s="1"/>
      <c r="B377" s="2"/>
    </row>
    <row r="378" spans="1:2" ht="12.75" customHeight="1" x14ac:dyDescent="0.15">
      <c r="A378" s="1"/>
      <c r="B378" s="2"/>
    </row>
    <row r="379" spans="1:2" ht="12.75" customHeight="1" x14ac:dyDescent="0.15">
      <c r="A379" s="1"/>
      <c r="B379" s="2"/>
    </row>
    <row r="380" spans="1:2" ht="12.75" customHeight="1" x14ac:dyDescent="0.15">
      <c r="A380" s="1"/>
      <c r="B380" s="2"/>
    </row>
    <row r="381" spans="1:2" ht="12.75" customHeight="1" x14ac:dyDescent="0.15">
      <c r="A381" s="1"/>
      <c r="B381" s="2"/>
    </row>
    <row r="382" spans="1:2" ht="12.75" customHeight="1" x14ac:dyDescent="0.15">
      <c r="A382" s="1"/>
      <c r="B382" s="2"/>
    </row>
    <row r="383" spans="1:2" ht="12.75" customHeight="1" x14ac:dyDescent="0.15">
      <c r="A383" s="1"/>
      <c r="B383" s="2"/>
    </row>
    <row r="384" spans="1:2" ht="12.75" customHeight="1" x14ac:dyDescent="0.15">
      <c r="A384" s="1"/>
      <c r="B384" s="2"/>
    </row>
    <row r="385" spans="1:2" ht="12.75" customHeight="1" x14ac:dyDescent="0.15">
      <c r="A385" s="1"/>
      <c r="B385" s="2"/>
    </row>
    <row r="386" spans="1:2" ht="12.75" customHeight="1" x14ac:dyDescent="0.15">
      <c r="A386" s="1"/>
      <c r="B386" s="2"/>
    </row>
    <row r="387" spans="1:2" ht="12.75" customHeight="1" x14ac:dyDescent="0.15">
      <c r="A387" s="1"/>
      <c r="B387" s="2"/>
    </row>
    <row r="388" spans="1:2" ht="12.75" customHeight="1" x14ac:dyDescent="0.15">
      <c r="A388" s="1"/>
      <c r="B388" s="2"/>
    </row>
    <row r="389" spans="1:2" ht="12.75" customHeight="1" x14ac:dyDescent="0.15">
      <c r="A389" s="1"/>
      <c r="B389" s="2"/>
    </row>
    <row r="390" spans="1:2" ht="12.75" customHeight="1" x14ac:dyDescent="0.15">
      <c r="A390" s="1"/>
      <c r="B390" s="2"/>
    </row>
    <row r="391" spans="1:2" ht="12.75" customHeight="1" x14ac:dyDescent="0.15">
      <c r="A391" s="1"/>
      <c r="B391" s="2"/>
    </row>
    <row r="392" spans="1:2" ht="12.75" customHeight="1" x14ac:dyDescent="0.15">
      <c r="A392" s="1"/>
      <c r="B392" s="2"/>
    </row>
    <row r="393" spans="1:2" ht="12.75" customHeight="1" x14ac:dyDescent="0.15">
      <c r="A393" s="1"/>
      <c r="B393" s="2"/>
    </row>
    <row r="394" spans="1:2" ht="12.75" customHeight="1" x14ac:dyDescent="0.15">
      <c r="A394" s="1"/>
      <c r="B394" s="2"/>
    </row>
    <row r="395" spans="1:2" ht="12.75" customHeight="1" x14ac:dyDescent="0.15">
      <c r="A395" s="1"/>
      <c r="B395" s="2"/>
    </row>
    <row r="396" spans="1:2" ht="12.75" customHeight="1" x14ac:dyDescent="0.15">
      <c r="A396" s="1"/>
      <c r="B396" s="2"/>
    </row>
    <row r="397" spans="1:2" ht="12.75" customHeight="1" x14ac:dyDescent="0.15">
      <c r="A397" s="1"/>
      <c r="B397" s="2"/>
    </row>
    <row r="398" spans="1:2" ht="12.75" customHeight="1" x14ac:dyDescent="0.15">
      <c r="A398" s="1"/>
      <c r="B398" s="2"/>
    </row>
    <row r="399" spans="1:2" ht="12.75" customHeight="1" x14ac:dyDescent="0.15">
      <c r="A399" s="1"/>
      <c r="B399" s="2"/>
    </row>
    <row r="400" spans="1:2" ht="12.75" customHeight="1" x14ac:dyDescent="0.15">
      <c r="A400" s="1"/>
      <c r="B400" s="2"/>
    </row>
    <row r="401" spans="1:2" ht="12.75" customHeight="1" x14ac:dyDescent="0.15">
      <c r="A401" s="1"/>
      <c r="B401" s="2"/>
    </row>
    <row r="402" spans="1:2" ht="12.75" customHeight="1" x14ac:dyDescent="0.15">
      <c r="A402" s="1"/>
      <c r="B402" s="2"/>
    </row>
    <row r="403" spans="1:2" ht="12.75" customHeight="1" x14ac:dyDescent="0.15">
      <c r="A403" s="1"/>
      <c r="B403" s="2"/>
    </row>
    <row r="404" spans="1:2" ht="12.75" customHeight="1" x14ac:dyDescent="0.15">
      <c r="A404" s="1"/>
      <c r="B404" s="2"/>
    </row>
    <row r="405" spans="1:2" ht="12.75" customHeight="1" x14ac:dyDescent="0.15">
      <c r="A405" s="1"/>
      <c r="B405" s="2"/>
    </row>
    <row r="406" spans="1:2" ht="12.75" customHeight="1" x14ac:dyDescent="0.15">
      <c r="A406" s="1"/>
      <c r="B406" s="2"/>
    </row>
    <row r="407" spans="1:2" ht="12.75" customHeight="1" x14ac:dyDescent="0.15">
      <c r="A407" s="1"/>
      <c r="B407" s="2"/>
    </row>
    <row r="408" spans="1:2" ht="12.75" customHeight="1" x14ac:dyDescent="0.15">
      <c r="A408" s="1"/>
      <c r="B408" s="2"/>
    </row>
    <row r="409" spans="1:2" ht="12.75" customHeight="1" x14ac:dyDescent="0.15">
      <c r="A409" s="1"/>
      <c r="B409" s="2"/>
    </row>
    <row r="410" spans="1:2" ht="12.75" customHeight="1" x14ac:dyDescent="0.15">
      <c r="A410" s="1"/>
      <c r="B410" s="2"/>
    </row>
    <row r="411" spans="1:2" ht="12.75" customHeight="1" x14ac:dyDescent="0.15">
      <c r="A411" s="1"/>
      <c r="B411" s="2"/>
    </row>
    <row r="412" spans="1:2" ht="12.75" customHeight="1" x14ac:dyDescent="0.15">
      <c r="A412" s="1"/>
      <c r="B412" s="2"/>
    </row>
    <row r="413" spans="1:2" ht="12.75" customHeight="1" x14ac:dyDescent="0.15">
      <c r="A413" s="1"/>
      <c r="B413" s="2"/>
    </row>
    <row r="414" spans="1:2" ht="12.75" customHeight="1" x14ac:dyDescent="0.15">
      <c r="A414" s="1"/>
      <c r="B414" s="2"/>
    </row>
    <row r="415" spans="1:2" ht="12.75" customHeight="1" x14ac:dyDescent="0.15">
      <c r="A415" s="1"/>
      <c r="B415" s="2"/>
    </row>
    <row r="416" spans="1:2" ht="12.75" customHeight="1" x14ac:dyDescent="0.15">
      <c r="A416" s="1"/>
      <c r="B416" s="2"/>
    </row>
    <row r="417" spans="1:2" ht="12.75" customHeight="1" x14ac:dyDescent="0.15">
      <c r="A417" s="1"/>
      <c r="B417" s="2"/>
    </row>
    <row r="418" spans="1:2" ht="12.75" customHeight="1" x14ac:dyDescent="0.15">
      <c r="A418" s="1"/>
      <c r="B418" s="2"/>
    </row>
    <row r="419" spans="1:2" ht="12.75" customHeight="1" x14ac:dyDescent="0.15">
      <c r="A419" s="1"/>
      <c r="B419" s="2"/>
    </row>
    <row r="420" spans="1:2" ht="12.75" customHeight="1" x14ac:dyDescent="0.15">
      <c r="A420" s="1"/>
      <c r="B420" s="2"/>
    </row>
    <row r="421" spans="1:2" ht="12.75" customHeight="1" x14ac:dyDescent="0.15">
      <c r="A421" s="1"/>
      <c r="B421" s="2"/>
    </row>
    <row r="422" spans="1:2" ht="12.75" customHeight="1" x14ac:dyDescent="0.15">
      <c r="A422" s="1"/>
      <c r="B422" s="2"/>
    </row>
    <row r="423" spans="1:2" ht="12.75" customHeight="1" x14ac:dyDescent="0.15">
      <c r="A423" s="1"/>
      <c r="B423" s="2"/>
    </row>
    <row r="424" spans="1:2" ht="12.75" customHeight="1" x14ac:dyDescent="0.15">
      <c r="A424" s="1"/>
      <c r="B424" s="2"/>
    </row>
    <row r="425" spans="1:2" ht="12.75" customHeight="1" x14ac:dyDescent="0.15">
      <c r="A425" s="1"/>
      <c r="B425" s="2"/>
    </row>
    <row r="426" spans="1:2" ht="12.75" customHeight="1" x14ac:dyDescent="0.15">
      <c r="A426" s="1"/>
      <c r="B426" s="2"/>
    </row>
    <row r="427" spans="1:2" ht="12.75" customHeight="1" x14ac:dyDescent="0.15">
      <c r="A427" s="1"/>
      <c r="B427" s="2"/>
    </row>
    <row r="428" spans="1:2" ht="12.75" customHeight="1" x14ac:dyDescent="0.15">
      <c r="A428" s="1"/>
      <c r="B428" s="2"/>
    </row>
    <row r="429" spans="1:2" ht="12.75" customHeight="1" x14ac:dyDescent="0.15">
      <c r="A429" s="1"/>
      <c r="B429" s="2"/>
    </row>
    <row r="430" spans="1:2" ht="12.75" customHeight="1" x14ac:dyDescent="0.15">
      <c r="A430" s="1"/>
      <c r="B430" s="2"/>
    </row>
    <row r="431" spans="1:2" ht="12.75" customHeight="1" x14ac:dyDescent="0.15">
      <c r="A431" s="1"/>
      <c r="B431" s="2"/>
    </row>
    <row r="432" spans="1:2" ht="12.75" customHeight="1" x14ac:dyDescent="0.15">
      <c r="A432" s="1"/>
      <c r="B432" s="2"/>
    </row>
    <row r="433" spans="1:2" ht="12.75" customHeight="1" x14ac:dyDescent="0.15">
      <c r="A433" s="1"/>
      <c r="B433" s="2"/>
    </row>
    <row r="434" spans="1:2" ht="12.75" customHeight="1" x14ac:dyDescent="0.15">
      <c r="A434" s="1"/>
      <c r="B434" s="2"/>
    </row>
    <row r="435" spans="1:2" ht="12.75" customHeight="1" x14ac:dyDescent="0.15">
      <c r="A435" s="1"/>
      <c r="B435" s="2"/>
    </row>
    <row r="436" spans="1:2" ht="12.75" customHeight="1" x14ac:dyDescent="0.15">
      <c r="A436" s="1"/>
      <c r="B436" s="2"/>
    </row>
    <row r="437" spans="1:2" ht="12.75" customHeight="1" x14ac:dyDescent="0.15">
      <c r="A437" s="1"/>
      <c r="B437" s="2"/>
    </row>
    <row r="438" spans="1:2" ht="12.75" customHeight="1" x14ac:dyDescent="0.15">
      <c r="A438" s="1"/>
      <c r="B438" s="2"/>
    </row>
    <row r="439" spans="1:2" ht="12.75" customHeight="1" x14ac:dyDescent="0.15">
      <c r="A439" s="1"/>
      <c r="B439" s="2"/>
    </row>
    <row r="440" spans="1:2" ht="12.75" customHeight="1" x14ac:dyDescent="0.15">
      <c r="A440" s="1"/>
      <c r="B440" s="2"/>
    </row>
    <row r="441" spans="1:2" ht="12.75" customHeight="1" x14ac:dyDescent="0.15">
      <c r="A441" s="1"/>
      <c r="B441" s="2"/>
    </row>
    <row r="442" spans="1:2" ht="12.75" customHeight="1" x14ac:dyDescent="0.15">
      <c r="A442" s="1"/>
      <c r="B442" s="2"/>
    </row>
    <row r="443" spans="1:2" ht="12.75" customHeight="1" x14ac:dyDescent="0.15">
      <c r="A443" s="1"/>
      <c r="B443" s="2"/>
    </row>
    <row r="444" spans="1:2" ht="12.75" customHeight="1" x14ac:dyDescent="0.15">
      <c r="A444" s="1"/>
      <c r="B444" s="2"/>
    </row>
    <row r="445" spans="1:2" ht="12.75" customHeight="1" x14ac:dyDescent="0.15">
      <c r="A445" s="1"/>
      <c r="B445" s="2"/>
    </row>
    <row r="446" spans="1:2" ht="12.75" customHeight="1" x14ac:dyDescent="0.15">
      <c r="A446" s="1"/>
      <c r="B446" s="2"/>
    </row>
    <row r="447" spans="1:2" ht="12.75" customHeight="1" x14ac:dyDescent="0.15">
      <c r="A447" s="1"/>
      <c r="B447" s="2"/>
    </row>
    <row r="448" spans="1:2" ht="12.75" customHeight="1" x14ac:dyDescent="0.15">
      <c r="A448" s="1"/>
      <c r="B448" s="2"/>
    </row>
    <row r="449" spans="1:2" ht="12.75" customHeight="1" x14ac:dyDescent="0.15">
      <c r="A449" s="1"/>
      <c r="B449" s="2"/>
    </row>
    <row r="450" spans="1:2" ht="12.75" customHeight="1" x14ac:dyDescent="0.15">
      <c r="A450" s="1"/>
      <c r="B450" s="2"/>
    </row>
    <row r="451" spans="1:2" ht="12.75" customHeight="1" x14ac:dyDescent="0.15">
      <c r="A451" s="1"/>
      <c r="B451" s="2"/>
    </row>
    <row r="452" spans="1:2" ht="12.75" customHeight="1" x14ac:dyDescent="0.15">
      <c r="A452" s="1"/>
      <c r="B452" s="2"/>
    </row>
    <row r="453" spans="1:2" ht="12.75" customHeight="1" x14ac:dyDescent="0.15">
      <c r="A453" s="1"/>
      <c r="B453" s="2"/>
    </row>
    <row r="454" spans="1:2" ht="12.75" customHeight="1" x14ac:dyDescent="0.15">
      <c r="A454" s="1"/>
      <c r="B454" s="2"/>
    </row>
    <row r="455" spans="1:2" ht="12.75" customHeight="1" x14ac:dyDescent="0.15">
      <c r="A455" s="1"/>
      <c r="B455" s="2"/>
    </row>
    <row r="456" spans="1:2" ht="12.75" customHeight="1" x14ac:dyDescent="0.15">
      <c r="A456" s="1"/>
      <c r="B456" s="2"/>
    </row>
    <row r="457" spans="1:2" ht="12.75" customHeight="1" x14ac:dyDescent="0.15">
      <c r="A457" s="1"/>
      <c r="B457" s="2"/>
    </row>
    <row r="458" spans="1:2" ht="12.75" customHeight="1" x14ac:dyDescent="0.15">
      <c r="A458" s="1"/>
      <c r="B458" s="2"/>
    </row>
    <row r="459" spans="1:2" ht="12.75" customHeight="1" x14ac:dyDescent="0.15">
      <c r="A459" s="1"/>
      <c r="B459" s="2"/>
    </row>
    <row r="460" spans="1:2" ht="12.75" customHeight="1" x14ac:dyDescent="0.15">
      <c r="A460" s="1"/>
      <c r="B460" s="2"/>
    </row>
    <row r="461" spans="1:2" ht="12.75" customHeight="1" x14ac:dyDescent="0.15">
      <c r="A461" s="1"/>
      <c r="B461" s="2"/>
    </row>
    <row r="462" spans="1:2" ht="12.75" customHeight="1" x14ac:dyDescent="0.15">
      <c r="A462" s="1"/>
      <c r="B462" s="2"/>
    </row>
    <row r="463" spans="1:2" ht="12.75" customHeight="1" x14ac:dyDescent="0.15">
      <c r="A463" s="1"/>
      <c r="B463" s="2"/>
    </row>
    <row r="464" spans="1:2" ht="12.75" customHeight="1" x14ac:dyDescent="0.15">
      <c r="A464" s="1"/>
      <c r="B464" s="2"/>
    </row>
    <row r="465" spans="1:2" ht="12.75" customHeight="1" x14ac:dyDescent="0.15">
      <c r="A465" s="1"/>
      <c r="B465" s="2"/>
    </row>
    <row r="466" spans="1:2" ht="12.75" customHeight="1" x14ac:dyDescent="0.15">
      <c r="A466" s="1"/>
      <c r="B466" s="2"/>
    </row>
    <row r="467" spans="1:2" ht="12.75" customHeight="1" x14ac:dyDescent="0.15">
      <c r="A467" s="1"/>
      <c r="B467" s="2"/>
    </row>
    <row r="468" spans="1:2" ht="12.75" customHeight="1" x14ac:dyDescent="0.15">
      <c r="A468" s="1"/>
      <c r="B468" s="2"/>
    </row>
    <row r="469" spans="1:2" ht="12.75" customHeight="1" x14ac:dyDescent="0.15">
      <c r="A469" s="1"/>
      <c r="B469" s="2"/>
    </row>
    <row r="470" spans="1:2" ht="12.75" customHeight="1" x14ac:dyDescent="0.15">
      <c r="A470" s="1"/>
      <c r="B470" s="2"/>
    </row>
    <row r="471" spans="1:2" ht="12.75" customHeight="1" x14ac:dyDescent="0.15">
      <c r="A471" s="1"/>
      <c r="B471" s="2"/>
    </row>
    <row r="472" spans="1:2" ht="12.75" customHeight="1" x14ac:dyDescent="0.15">
      <c r="A472" s="1"/>
      <c r="B472" s="2"/>
    </row>
    <row r="473" spans="1:2" ht="12.75" customHeight="1" x14ac:dyDescent="0.15">
      <c r="A473" s="1"/>
      <c r="B473" s="2"/>
    </row>
    <row r="474" spans="1:2" ht="12.75" customHeight="1" x14ac:dyDescent="0.15">
      <c r="A474" s="1"/>
      <c r="B474" s="2"/>
    </row>
    <row r="475" spans="1:2" ht="12.75" customHeight="1" x14ac:dyDescent="0.15">
      <c r="A475" s="1"/>
      <c r="B475" s="2"/>
    </row>
    <row r="476" spans="1:2" ht="12.75" customHeight="1" x14ac:dyDescent="0.15">
      <c r="A476" s="1"/>
      <c r="B476" s="2"/>
    </row>
    <row r="477" spans="1:2" ht="12.75" customHeight="1" x14ac:dyDescent="0.15">
      <c r="A477" s="1"/>
      <c r="B477" s="2"/>
    </row>
    <row r="478" spans="1:2" ht="12.75" customHeight="1" x14ac:dyDescent="0.15">
      <c r="A478" s="1"/>
      <c r="B478" s="2"/>
    </row>
    <row r="479" spans="1:2" ht="12.75" customHeight="1" x14ac:dyDescent="0.15">
      <c r="A479" s="1"/>
      <c r="B479" s="2"/>
    </row>
    <row r="480" spans="1:2" ht="12.75" customHeight="1" x14ac:dyDescent="0.15">
      <c r="A480" s="1"/>
      <c r="B480" s="2"/>
    </row>
    <row r="481" spans="1:2" ht="12.75" customHeight="1" x14ac:dyDescent="0.15">
      <c r="A481" s="1"/>
      <c r="B481" s="2"/>
    </row>
    <row r="482" spans="1:2" ht="12.75" customHeight="1" x14ac:dyDescent="0.15">
      <c r="A482" s="1"/>
      <c r="B482" s="2"/>
    </row>
    <row r="483" spans="1:2" ht="12.75" customHeight="1" x14ac:dyDescent="0.15">
      <c r="A483" s="1"/>
      <c r="B483" s="2"/>
    </row>
    <row r="484" spans="1:2" ht="12.75" customHeight="1" x14ac:dyDescent="0.15">
      <c r="A484" s="1"/>
      <c r="B484" s="2"/>
    </row>
    <row r="485" spans="1:2" ht="12.75" customHeight="1" x14ac:dyDescent="0.15">
      <c r="A485" s="1"/>
      <c r="B485" s="2"/>
    </row>
    <row r="486" spans="1:2" ht="12.75" customHeight="1" x14ac:dyDescent="0.15">
      <c r="A486" s="1"/>
      <c r="B486" s="2"/>
    </row>
    <row r="487" spans="1:2" ht="12.75" customHeight="1" x14ac:dyDescent="0.15">
      <c r="A487" s="1"/>
      <c r="B487" s="2"/>
    </row>
    <row r="488" spans="1:2" ht="12.75" customHeight="1" x14ac:dyDescent="0.15">
      <c r="A488" s="1"/>
      <c r="B488" s="2"/>
    </row>
    <row r="489" spans="1:2" ht="12.75" customHeight="1" x14ac:dyDescent="0.15">
      <c r="A489" s="1"/>
      <c r="B489" s="2"/>
    </row>
    <row r="490" spans="1:2" ht="12.75" customHeight="1" x14ac:dyDescent="0.15">
      <c r="A490" s="1"/>
      <c r="B490" s="2"/>
    </row>
    <row r="491" spans="1:2" ht="12.75" customHeight="1" x14ac:dyDescent="0.15">
      <c r="A491" s="1"/>
      <c r="B491" s="2"/>
    </row>
    <row r="492" spans="1:2" ht="12.75" customHeight="1" x14ac:dyDescent="0.15">
      <c r="A492" s="1"/>
      <c r="B492" s="2"/>
    </row>
    <row r="493" spans="1:2" ht="12.75" customHeight="1" x14ac:dyDescent="0.15">
      <c r="A493" s="1"/>
      <c r="B493" s="2"/>
    </row>
    <row r="494" spans="1:2" ht="12.75" customHeight="1" x14ac:dyDescent="0.15">
      <c r="A494" s="1"/>
      <c r="B494" s="2"/>
    </row>
    <row r="495" spans="1:2" ht="12.75" customHeight="1" x14ac:dyDescent="0.15">
      <c r="A495" s="1"/>
      <c r="B495" s="2"/>
    </row>
    <row r="496" spans="1:2" ht="12.75" customHeight="1" x14ac:dyDescent="0.15">
      <c r="A496" s="1"/>
      <c r="B496" s="2"/>
    </row>
    <row r="497" spans="1:2" ht="12.75" customHeight="1" x14ac:dyDescent="0.15">
      <c r="A497" s="1"/>
      <c r="B497" s="2"/>
    </row>
    <row r="498" spans="1:2" ht="12.75" customHeight="1" x14ac:dyDescent="0.15">
      <c r="A498" s="1"/>
      <c r="B498" s="2"/>
    </row>
    <row r="499" spans="1:2" ht="12.75" customHeight="1" x14ac:dyDescent="0.15">
      <c r="A499" s="1"/>
      <c r="B499" s="2"/>
    </row>
    <row r="500" spans="1:2" ht="12.75" customHeight="1" x14ac:dyDescent="0.15">
      <c r="A500" s="1"/>
      <c r="B500" s="2"/>
    </row>
    <row r="501" spans="1:2" ht="12.75" customHeight="1" x14ac:dyDescent="0.15">
      <c r="A501" s="1"/>
      <c r="B501" s="2"/>
    </row>
    <row r="502" spans="1:2" ht="12.75" customHeight="1" x14ac:dyDescent="0.15">
      <c r="A502" s="1"/>
      <c r="B502" s="2"/>
    </row>
    <row r="503" spans="1:2" ht="12.75" customHeight="1" x14ac:dyDescent="0.15">
      <c r="A503" s="1"/>
      <c r="B503" s="2"/>
    </row>
    <row r="504" spans="1:2" ht="12.75" customHeight="1" x14ac:dyDescent="0.15">
      <c r="A504" s="1"/>
      <c r="B504" s="2"/>
    </row>
    <row r="505" spans="1:2" ht="12.75" customHeight="1" x14ac:dyDescent="0.15">
      <c r="A505" s="1"/>
      <c r="B505" s="2"/>
    </row>
    <row r="506" spans="1:2" ht="12.75" customHeight="1" x14ac:dyDescent="0.15">
      <c r="A506" s="1"/>
      <c r="B506" s="2"/>
    </row>
    <row r="507" spans="1:2" ht="12.75" customHeight="1" x14ac:dyDescent="0.15">
      <c r="A507" s="1"/>
      <c r="B507" s="2"/>
    </row>
    <row r="508" spans="1:2" ht="12.75" customHeight="1" x14ac:dyDescent="0.15">
      <c r="A508" s="1"/>
      <c r="B508" s="2"/>
    </row>
    <row r="509" spans="1:2" ht="12.75" customHeight="1" x14ac:dyDescent="0.15">
      <c r="A509" s="1"/>
      <c r="B509" s="2"/>
    </row>
    <row r="510" spans="1:2" ht="12.75" customHeight="1" x14ac:dyDescent="0.15">
      <c r="A510" s="1"/>
      <c r="B510" s="2"/>
    </row>
    <row r="511" spans="1:2" ht="12.75" customHeight="1" x14ac:dyDescent="0.15">
      <c r="A511" s="1"/>
      <c r="B511" s="2"/>
    </row>
    <row r="512" spans="1:2" ht="12.75" customHeight="1" x14ac:dyDescent="0.15">
      <c r="A512" s="1"/>
      <c r="B512" s="2"/>
    </row>
    <row r="513" spans="1:2" ht="12.75" customHeight="1" x14ac:dyDescent="0.15">
      <c r="A513" s="1"/>
      <c r="B513" s="2"/>
    </row>
    <row r="514" spans="1:2" ht="12.75" customHeight="1" x14ac:dyDescent="0.15">
      <c r="A514" s="1"/>
      <c r="B514" s="2"/>
    </row>
    <row r="515" spans="1:2" ht="12.75" customHeight="1" x14ac:dyDescent="0.15">
      <c r="A515" s="1"/>
      <c r="B515" s="2"/>
    </row>
    <row r="516" spans="1:2" ht="12.75" customHeight="1" x14ac:dyDescent="0.15">
      <c r="A516" s="1"/>
      <c r="B516" s="2"/>
    </row>
    <row r="517" spans="1:2" ht="12.75" customHeight="1" x14ac:dyDescent="0.15">
      <c r="A517" s="1"/>
      <c r="B517" s="2"/>
    </row>
    <row r="518" spans="1:2" ht="12.75" customHeight="1" x14ac:dyDescent="0.15">
      <c r="A518" s="1"/>
      <c r="B518" s="2"/>
    </row>
    <row r="519" spans="1:2" ht="12.75" customHeight="1" x14ac:dyDescent="0.15">
      <c r="A519" s="1"/>
      <c r="B519" s="2"/>
    </row>
    <row r="520" spans="1:2" ht="12.75" customHeight="1" x14ac:dyDescent="0.15">
      <c r="A520" s="1"/>
      <c r="B520" s="2"/>
    </row>
    <row r="521" spans="1:2" ht="12.75" customHeight="1" x14ac:dyDescent="0.15">
      <c r="A521" s="1"/>
      <c r="B521" s="2"/>
    </row>
    <row r="522" spans="1:2" ht="12.75" customHeight="1" x14ac:dyDescent="0.15">
      <c r="A522" s="1"/>
      <c r="B522" s="2"/>
    </row>
    <row r="523" spans="1:2" ht="12.75" customHeight="1" x14ac:dyDescent="0.15">
      <c r="A523" s="1"/>
      <c r="B523" s="2"/>
    </row>
    <row r="524" spans="1:2" ht="12.75" customHeight="1" x14ac:dyDescent="0.15">
      <c r="A524" s="1"/>
      <c r="B524" s="2"/>
    </row>
    <row r="525" spans="1:2" ht="12.75" customHeight="1" x14ac:dyDescent="0.15">
      <c r="A525" s="1"/>
      <c r="B525" s="2"/>
    </row>
    <row r="526" spans="1:2" ht="12.75" customHeight="1" x14ac:dyDescent="0.15">
      <c r="A526" s="1"/>
      <c r="B526" s="2"/>
    </row>
    <row r="527" spans="1:2" ht="12.75" customHeight="1" x14ac:dyDescent="0.15">
      <c r="A527" s="1"/>
      <c r="B527" s="2"/>
    </row>
    <row r="528" spans="1:2" ht="12.75" customHeight="1" x14ac:dyDescent="0.15">
      <c r="A528" s="1"/>
      <c r="B528" s="2"/>
    </row>
    <row r="529" spans="1:2" ht="12.75" customHeight="1" x14ac:dyDescent="0.15">
      <c r="A529" s="1"/>
      <c r="B529" s="2"/>
    </row>
    <row r="530" spans="1:2" ht="12.75" customHeight="1" x14ac:dyDescent="0.15">
      <c r="A530" s="1"/>
      <c r="B530" s="2"/>
    </row>
    <row r="531" spans="1:2" ht="12.75" customHeight="1" x14ac:dyDescent="0.15">
      <c r="A531" s="1"/>
      <c r="B531" s="2"/>
    </row>
    <row r="532" spans="1:2" ht="12.75" customHeight="1" x14ac:dyDescent="0.15">
      <c r="A532" s="1"/>
      <c r="B532" s="2"/>
    </row>
    <row r="533" spans="1:2" ht="12.75" customHeight="1" x14ac:dyDescent="0.15">
      <c r="A533" s="1"/>
      <c r="B533" s="2"/>
    </row>
    <row r="534" spans="1:2" ht="12.75" customHeight="1" x14ac:dyDescent="0.15">
      <c r="A534" s="1"/>
      <c r="B534" s="2"/>
    </row>
    <row r="535" spans="1:2" ht="12.75" customHeight="1" x14ac:dyDescent="0.15">
      <c r="A535" s="1"/>
      <c r="B535" s="2"/>
    </row>
    <row r="536" spans="1:2" ht="12.75" customHeight="1" x14ac:dyDescent="0.15">
      <c r="A536" s="1"/>
      <c r="B536" s="2"/>
    </row>
    <row r="537" spans="1:2" ht="12.75" customHeight="1" x14ac:dyDescent="0.15">
      <c r="A537" s="1"/>
      <c r="B537" s="2"/>
    </row>
    <row r="538" spans="1:2" ht="12.75" customHeight="1" x14ac:dyDescent="0.15">
      <c r="A538" s="1"/>
      <c r="B538" s="2"/>
    </row>
    <row r="539" spans="1:2" ht="12.75" customHeight="1" x14ac:dyDescent="0.15">
      <c r="A539" s="1"/>
      <c r="B539" s="2"/>
    </row>
    <row r="540" spans="1:2" ht="12.75" customHeight="1" x14ac:dyDescent="0.15">
      <c r="A540" s="1"/>
      <c r="B540" s="2"/>
    </row>
    <row r="541" spans="1:2" ht="12.75" customHeight="1" x14ac:dyDescent="0.15">
      <c r="A541" s="1"/>
      <c r="B541" s="2"/>
    </row>
    <row r="542" spans="1:2" ht="12.75" customHeight="1" x14ac:dyDescent="0.15">
      <c r="A542" s="1"/>
      <c r="B542" s="2"/>
    </row>
    <row r="543" spans="1:2" ht="12.75" customHeight="1" x14ac:dyDescent="0.15">
      <c r="A543" s="1"/>
      <c r="B543" s="2"/>
    </row>
    <row r="544" spans="1:2" ht="12.75" customHeight="1" x14ac:dyDescent="0.15">
      <c r="A544" s="1"/>
      <c r="B544" s="2"/>
    </row>
    <row r="545" spans="1:2" ht="12.75" customHeight="1" x14ac:dyDescent="0.15">
      <c r="A545" s="1"/>
      <c r="B545" s="2"/>
    </row>
    <row r="546" spans="1:2" ht="12.75" customHeight="1" x14ac:dyDescent="0.15">
      <c r="A546" s="1"/>
      <c r="B546" s="2"/>
    </row>
    <row r="547" spans="1:2" ht="12.75" customHeight="1" x14ac:dyDescent="0.15">
      <c r="A547" s="1"/>
      <c r="B547" s="2"/>
    </row>
    <row r="548" spans="1:2" ht="12.75" customHeight="1" x14ac:dyDescent="0.15">
      <c r="A548" s="1"/>
      <c r="B548" s="2"/>
    </row>
    <row r="549" spans="1:2" ht="12.75" customHeight="1" x14ac:dyDescent="0.15">
      <c r="A549" s="1"/>
      <c r="B549" s="2"/>
    </row>
    <row r="550" spans="1:2" ht="12.75" customHeight="1" x14ac:dyDescent="0.15">
      <c r="A550" s="1"/>
      <c r="B550" s="2"/>
    </row>
    <row r="551" spans="1:2" ht="12.75" customHeight="1" x14ac:dyDescent="0.15">
      <c r="A551" s="1"/>
      <c r="B551" s="2"/>
    </row>
    <row r="552" spans="1:2" ht="12.75" customHeight="1" x14ac:dyDescent="0.15">
      <c r="A552" s="1"/>
      <c r="B552" s="2"/>
    </row>
    <row r="553" spans="1:2" ht="12.75" customHeight="1" x14ac:dyDescent="0.15">
      <c r="A553" s="1"/>
      <c r="B553" s="2"/>
    </row>
    <row r="554" spans="1:2" ht="12.75" customHeight="1" x14ac:dyDescent="0.15">
      <c r="A554" s="1"/>
      <c r="B554" s="2"/>
    </row>
    <row r="555" spans="1:2" ht="12.75" customHeight="1" x14ac:dyDescent="0.15">
      <c r="A555" s="1"/>
      <c r="B555" s="2"/>
    </row>
    <row r="556" spans="1:2" ht="12.75" customHeight="1" x14ac:dyDescent="0.15">
      <c r="A556" s="1"/>
      <c r="B556" s="2"/>
    </row>
    <row r="557" spans="1:2" ht="12.75" customHeight="1" x14ac:dyDescent="0.15">
      <c r="A557" s="1"/>
      <c r="B557" s="2"/>
    </row>
    <row r="558" spans="1:2" ht="12.75" customHeight="1" x14ac:dyDescent="0.15">
      <c r="A558" s="1"/>
      <c r="B558" s="2"/>
    </row>
    <row r="559" spans="1:2" ht="12.75" customHeight="1" x14ac:dyDescent="0.15">
      <c r="A559" s="1"/>
      <c r="B559" s="2"/>
    </row>
    <row r="560" spans="1:2" ht="12.75" customHeight="1" x14ac:dyDescent="0.15">
      <c r="A560" s="1"/>
      <c r="B560" s="2"/>
    </row>
    <row r="561" spans="1:2" ht="12.75" customHeight="1" x14ac:dyDescent="0.15">
      <c r="A561" s="1"/>
      <c r="B561" s="2"/>
    </row>
    <row r="562" spans="1:2" ht="12.75" customHeight="1" x14ac:dyDescent="0.15">
      <c r="A562" s="1"/>
      <c r="B562" s="2"/>
    </row>
    <row r="563" spans="1:2" ht="12.75" customHeight="1" x14ac:dyDescent="0.15">
      <c r="A563" s="1"/>
      <c r="B563" s="2"/>
    </row>
    <row r="564" spans="1:2" ht="12.75" customHeight="1" x14ac:dyDescent="0.15">
      <c r="A564" s="1"/>
      <c r="B564" s="2"/>
    </row>
    <row r="565" spans="1:2" ht="12.75" customHeight="1" x14ac:dyDescent="0.15">
      <c r="A565" s="1"/>
      <c r="B565" s="2"/>
    </row>
    <row r="566" spans="1:2" ht="12.75" customHeight="1" x14ac:dyDescent="0.15">
      <c r="A566" s="1"/>
      <c r="B566" s="2"/>
    </row>
    <row r="567" spans="1:2" ht="12.75" customHeight="1" x14ac:dyDescent="0.15">
      <c r="A567" s="1"/>
      <c r="B567" s="2"/>
    </row>
    <row r="568" spans="1:2" ht="12.75" customHeight="1" x14ac:dyDescent="0.15">
      <c r="A568" s="1"/>
      <c r="B568" s="2"/>
    </row>
    <row r="569" spans="1:2" ht="12.75" customHeight="1" x14ac:dyDescent="0.15">
      <c r="A569" s="1"/>
      <c r="B569" s="2"/>
    </row>
    <row r="570" spans="1:2" ht="12.75" customHeight="1" x14ac:dyDescent="0.15">
      <c r="A570" s="1"/>
      <c r="B570" s="2"/>
    </row>
    <row r="571" spans="1:2" ht="12.75" customHeight="1" x14ac:dyDescent="0.15">
      <c r="A571" s="1"/>
      <c r="B571" s="2"/>
    </row>
    <row r="572" spans="1:2" ht="12.75" customHeight="1" x14ac:dyDescent="0.15">
      <c r="A572" s="1"/>
      <c r="B572" s="2"/>
    </row>
    <row r="573" spans="1:2" ht="12.75" customHeight="1" x14ac:dyDescent="0.15">
      <c r="A573" s="1"/>
      <c r="B573" s="2"/>
    </row>
    <row r="574" spans="1:2" ht="12.75" customHeight="1" x14ac:dyDescent="0.15">
      <c r="A574" s="1"/>
      <c r="B574" s="2"/>
    </row>
    <row r="575" spans="1:2" ht="12.75" customHeight="1" x14ac:dyDescent="0.15">
      <c r="A575" s="1"/>
      <c r="B575" s="2"/>
    </row>
    <row r="576" spans="1:2" ht="12.75" customHeight="1" x14ac:dyDescent="0.15">
      <c r="A576" s="1"/>
      <c r="B576" s="2"/>
    </row>
    <row r="577" spans="1:2" ht="12.75" customHeight="1" x14ac:dyDescent="0.15">
      <c r="A577" s="1"/>
      <c r="B577" s="2"/>
    </row>
    <row r="578" spans="1:2" ht="12.75" customHeight="1" x14ac:dyDescent="0.15">
      <c r="A578" s="1"/>
      <c r="B578" s="2"/>
    </row>
    <row r="579" spans="1:2" ht="12.75" customHeight="1" x14ac:dyDescent="0.15">
      <c r="A579" s="1"/>
      <c r="B579" s="2"/>
    </row>
    <row r="580" spans="1:2" ht="12.75" customHeight="1" x14ac:dyDescent="0.15">
      <c r="A580" s="1"/>
      <c r="B580" s="2"/>
    </row>
    <row r="581" spans="1:2" ht="12.75" customHeight="1" x14ac:dyDescent="0.15">
      <c r="A581" s="1"/>
      <c r="B581" s="2"/>
    </row>
    <row r="582" spans="1:2" ht="12.75" customHeight="1" x14ac:dyDescent="0.15">
      <c r="A582" s="1"/>
      <c r="B582" s="2"/>
    </row>
    <row r="583" spans="1:2" ht="12.75" customHeight="1" x14ac:dyDescent="0.15">
      <c r="A583" s="1"/>
      <c r="B583" s="2"/>
    </row>
    <row r="584" spans="1:2" ht="12.75" customHeight="1" x14ac:dyDescent="0.15">
      <c r="A584" s="1"/>
      <c r="B584" s="2"/>
    </row>
    <row r="585" spans="1:2" ht="12.75" customHeight="1" x14ac:dyDescent="0.15">
      <c r="A585" s="1"/>
      <c r="B585" s="2"/>
    </row>
    <row r="586" spans="1:2" ht="12.75" customHeight="1" x14ac:dyDescent="0.15">
      <c r="A586" s="1"/>
      <c r="B586" s="2"/>
    </row>
    <row r="587" spans="1:2" ht="12.75" customHeight="1" x14ac:dyDescent="0.15">
      <c r="A587" s="1"/>
      <c r="B587" s="2"/>
    </row>
    <row r="588" spans="1:2" ht="12.75" customHeight="1" x14ac:dyDescent="0.15">
      <c r="A588" s="1"/>
      <c r="B588" s="2"/>
    </row>
    <row r="589" spans="1:2" ht="12.75" customHeight="1" x14ac:dyDescent="0.15">
      <c r="A589" s="1"/>
      <c r="B589" s="2"/>
    </row>
    <row r="590" spans="1:2" ht="12.75" customHeight="1" x14ac:dyDescent="0.15">
      <c r="A590" s="1"/>
      <c r="B590" s="2"/>
    </row>
    <row r="591" spans="1:2" ht="12.75" customHeight="1" x14ac:dyDescent="0.15">
      <c r="A591" s="1"/>
      <c r="B591" s="2"/>
    </row>
    <row r="592" spans="1:2" ht="12.75" customHeight="1" x14ac:dyDescent="0.15">
      <c r="A592" s="1"/>
      <c r="B592" s="2"/>
    </row>
    <row r="593" spans="1:2" ht="12.75" customHeight="1" x14ac:dyDescent="0.15">
      <c r="A593" s="1"/>
      <c r="B593" s="2"/>
    </row>
    <row r="594" spans="1:2" ht="12.75" customHeight="1" x14ac:dyDescent="0.15">
      <c r="A594" s="1"/>
      <c r="B594" s="2"/>
    </row>
    <row r="595" spans="1:2" ht="12.75" customHeight="1" x14ac:dyDescent="0.15">
      <c r="A595" s="1"/>
      <c r="B595" s="2"/>
    </row>
    <row r="596" spans="1:2" ht="12.75" customHeight="1" x14ac:dyDescent="0.15">
      <c r="A596" s="1"/>
      <c r="B596" s="2"/>
    </row>
    <row r="597" spans="1:2" ht="12.75" customHeight="1" x14ac:dyDescent="0.15">
      <c r="A597" s="1"/>
      <c r="B597" s="2"/>
    </row>
    <row r="598" spans="1:2" ht="12.75" customHeight="1" x14ac:dyDescent="0.15">
      <c r="A598" s="1"/>
      <c r="B598" s="2"/>
    </row>
    <row r="599" spans="1:2" ht="12.75" customHeight="1" x14ac:dyDescent="0.15">
      <c r="A599" s="1"/>
      <c r="B599" s="2"/>
    </row>
    <row r="600" spans="1:2" ht="12.75" customHeight="1" x14ac:dyDescent="0.15">
      <c r="A600" s="1"/>
      <c r="B600" s="2"/>
    </row>
    <row r="601" spans="1:2" ht="12.75" customHeight="1" x14ac:dyDescent="0.15">
      <c r="A601" s="1"/>
      <c r="B601" s="2"/>
    </row>
    <row r="602" spans="1:2" ht="12.75" customHeight="1" x14ac:dyDescent="0.15">
      <c r="A602" s="1"/>
      <c r="B602" s="2"/>
    </row>
    <row r="603" spans="1:2" ht="12.75" customHeight="1" x14ac:dyDescent="0.15">
      <c r="A603" s="1"/>
      <c r="B603" s="2"/>
    </row>
    <row r="604" spans="1:2" ht="12.75" customHeight="1" x14ac:dyDescent="0.15">
      <c r="A604" s="1"/>
      <c r="B604" s="2"/>
    </row>
    <row r="605" spans="1:2" ht="12.75" customHeight="1" x14ac:dyDescent="0.15">
      <c r="A605" s="1"/>
      <c r="B605" s="2"/>
    </row>
    <row r="606" spans="1:2" ht="12.75" customHeight="1" x14ac:dyDescent="0.15">
      <c r="A606" s="1"/>
      <c r="B606" s="2"/>
    </row>
    <row r="607" spans="1:2" ht="12.75" customHeight="1" x14ac:dyDescent="0.15">
      <c r="A607" s="1"/>
      <c r="B607" s="2"/>
    </row>
    <row r="608" spans="1:2" ht="12.75" customHeight="1" x14ac:dyDescent="0.15">
      <c r="A608" s="1"/>
      <c r="B608" s="2"/>
    </row>
    <row r="609" spans="1:2" ht="12.75" customHeight="1" x14ac:dyDescent="0.15">
      <c r="A609" s="1"/>
      <c r="B609" s="2"/>
    </row>
    <row r="610" spans="1:2" ht="12.75" customHeight="1" x14ac:dyDescent="0.15">
      <c r="A610" s="1"/>
      <c r="B610" s="2"/>
    </row>
    <row r="611" spans="1:2" ht="12.75" customHeight="1" x14ac:dyDescent="0.15">
      <c r="A611" s="1"/>
      <c r="B611" s="2"/>
    </row>
    <row r="612" spans="1:2" ht="12.75" customHeight="1" x14ac:dyDescent="0.15">
      <c r="A612" s="1"/>
      <c r="B612" s="2"/>
    </row>
    <row r="613" spans="1:2" ht="12.75" customHeight="1" x14ac:dyDescent="0.15">
      <c r="A613" s="1"/>
      <c r="B613" s="2"/>
    </row>
    <row r="614" spans="1:2" ht="12.75" customHeight="1" x14ac:dyDescent="0.15">
      <c r="A614" s="1"/>
      <c r="B614" s="2"/>
    </row>
    <row r="615" spans="1:2" ht="12.75" customHeight="1" x14ac:dyDescent="0.15">
      <c r="A615" s="1"/>
      <c r="B615" s="2"/>
    </row>
    <row r="616" spans="1:2" ht="12.75" customHeight="1" x14ac:dyDescent="0.15">
      <c r="A616" s="1"/>
      <c r="B616" s="2"/>
    </row>
    <row r="617" spans="1:2" ht="12.75" customHeight="1" x14ac:dyDescent="0.15">
      <c r="A617" s="1"/>
      <c r="B617" s="2"/>
    </row>
    <row r="618" spans="1:2" ht="12.75" customHeight="1" x14ac:dyDescent="0.15">
      <c r="A618" s="1"/>
      <c r="B618" s="2"/>
    </row>
    <row r="619" spans="1:2" ht="12.75" customHeight="1" x14ac:dyDescent="0.15">
      <c r="A619" s="1"/>
      <c r="B619" s="2"/>
    </row>
    <row r="620" spans="1:2" ht="12.75" customHeight="1" x14ac:dyDescent="0.15">
      <c r="A620" s="1"/>
      <c r="B620" s="2"/>
    </row>
    <row r="621" spans="1:2" ht="12.75" customHeight="1" x14ac:dyDescent="0.15">
      <c r="A621" s="1"/>
      <c r="B621" s="2"/>
    </row>
    <row r="622" spans="1:2" ht="12.75" customHeight="1" x14ac:dyDescent="0.15">
      <c r="A622" s="1"/>
      <c r="B622" s="2"/>
    </row>
    <row r="623" spans="1:2" ht="12.75" customHeight="1" x14ac:dyDescent="0.15">
      <c r="A623" s="1"/>
      <c r="B623" s="2"/>
    </row>
    <row r="624" spans="1:2" ht="12.75" customHeight="1" x14ac:dyDescent="0.15">
      <c r="A624" s="1"/>
      <c r="B624" s="2"/>
    </row>
    <row r="625" spans="1:2" ht="12.75" customHeight="1" x14ac:dyDescent="0.15">
      <c r="A625" s="1"/>
      <c r="B625" s="2"/>
    </row>
    <row r="626" spans="1:2" ht="12.75" customHeight="1" x14ac:dyDescent="0.15">
      <c r="A626" s="1"/>
      <c r="B626" s="2"/>
    </row>
    <row r="627" spans="1:2" ht="12.75" customHeight="1" x14ac:dyDescent="0.15">
      <c r="A627" s="1"/>
      <c r="B627" s="2"/>
    </row>
    <row r="628" spans="1:2" ht="12.75" customHeight="1" x14ac:dyDescent="0.15">
      <c r="A628" s="1"/>
      <c r="B628" s="2"/>
    </row>
    <row r="629" spans="1:2" ht="12.75" customHeight="1" x14ac:dyDescent="0.15">
      <c r="A629" s="1"/>
      <c r="B629" s="2"/>
    </row>
    <row r="630" spans="1:2" ht="12.75" customHeight="1" x14ac:dyDescent="0.15">
      <c r="A630" s="1"/>
      <c r="B630" s="2"/>
    </row>
    <row r="631" spans="1:2" ht="12.75" customHeight="1" x14ac:dyDescent="0.15">
      <c r="A631" s="1"/>
      <c r="B631" s="2"/>
    </row>
    <row r="632" spans="1:2" ht="12.75" customHeight="1" x14ac:dyDescent="0.15">
      <c r="A632" s="1"/>
      <c r="B632" s="2"/>
    </row>
    <row r="633" spans="1:2" ht="12.75" customHeight="1" x14ac:dyDescent="0.15">
      <c r="A633" s="1"/>
      <c r="B633" s="2"/>
    </row>
    <row r="634" spans="1:2" ht="12.75" customHeight="1" x14ac:dyDescent="0.15">
      <c r="A634" s="1"/>
      <c r="B634" s="2"/>
    </row>
    <row r="635" spans="1:2" ht="12.75" customHeight="1" x14ac:dyDescent="0.15">
      <c r="A635" s="1"/>
      <c r="B635" s="2"/>
    </row>
    <row r="636" spans="1:2" ht="12.75" customHeight="1" x14ac:dyDescent="0.15">
      <c r="A636" s="1"/>
      <c r="B636" s="2"/>
    </row>
    <row r="637" spans="1:2" ht="12.75" customHeight="1" x14ac:dyDescent="0.15">
      <c r="A637" s="1"/>
      <c r="B637" s="2"/>
    </row>
    <row r="638" spans="1:2" ht="12.75" customHeight="1" x14ac:dyDescent="0.15">
      <c r="A638" s="1"/>
      <c r="B638" s="2"/>
    </row>
    <row r="639" spans="1:2" ht="12.75" customHeight="1" x14ac:dyDescent="0.15">
      <c r="A639" s="1"/>
      <c r="B639" s="2"/>
    </row>
    <row r="640" spans="1:2" ht="12.75" customHeight="1" x14ac:dyDescent="0.15">
      <c r="A640" s="1"/>
      <c r="B640" s="2"/>
    </row>
    <row r="641" spans="1:2" ht="12.75" customHeight="1" x14ac:dyDescent="0.15">
      <c r="A641" s="1"/>
      <c r="B641" s="2"/>
    </row>
    <row r="642" spans="1:2" ht="12.75" customHeight="1" x14ac:dyDescent="0.15">
      <c r="A642" s="1"/>
      <c r="B642" s="2"/>
    </row>
    <row r="643" spans="1:2" ht="12.75" customHeight="1" x14ac:dyDescent="0.15">
      <c r="A643" s="1"/>
      <c r="B643" s="2"/>
    </row>
    <row r="644" spans="1:2" ht="12.75" customHeight="1" x14ac:dyDescent="0.15">
      <c r="A644" s="1"/>
      <c r="B644" s="2"/>
    </row>
    <row r="645" spans="1:2" ht="12.75" customHeight="1" x14ac:dyDescent="0.15">
      <c r="A645" s="1"/>
      <c r="B645" s="2"/>
    </row>
    <row r="646" spans="1:2" ht="12.75" customHeight="1" x14ac:dyDescent="0.15">
      <c r="A646" s="1"/>
      <c r="B646" s="2"/>
    </row>
    <row r="647" spans="1:2" ht="12.75" customHeight="1" x14ac:dyDescent="0.15">
      <c r="A647" s="1"/>
      <c r="B647" s="2"/>
    </row>
    <row r="648" spans="1:2" ht="12.75" customHeight="1" x14ac:dyDescent="0.15">
      <c r="A648" s="1"/>
      <c r="B648" s="2"/>
    </row>
    <row r="649" spans="1:2" ht="12.75" customHeight="1" x14ac:dyDescent="0.15">
      <c r="A649" s="1"/>
      <c r="B649" s="2"/>
    </row>
    <row r="650" spans="1:2" ht="12.75" customHeight="1" x14ac:dyDescent="0.15">
      <c r="A650" s="1"/>
      <c r="B650" s="2"/>
    </row>
    <row r="651" spans="1:2" ht="12.75" customHeight="1" x14ac:dyDescent="0.15">
      <c r="A651" s="1"/>
      <c r="B651" s="2"/>
    </row>
    <row r="652" spans="1:2" ht="12.75" customHeight="1" x14ac:dyDescent="0.15">
      <c r="A652" s="1"/>
      <c r="B652" s="2"/>
    </row>
    <row r="653" spans="1:2" ht="12.75" customHeight="1" x14ac:dyDescent="0.15">
      <c r="A653" s="1"/>
      <c r="B653" s="2"/>
    </row>
    <row r="654" spans="1:2" ht="12.75" customHeight="1" x14ac:dyDescent="0.15">
      <c r="A654" s="1"/>
      <c r="B654" s="2"/>
    </row>
    <row r="655" spans="1:2" ht="12.75" customHeight="1" x14ac:dyDescent="0.15">
      <c r="A655" s="1"/>
      <c r="B655" s="2"/>
    </row>
    <row r="656" spans="1:2" ht="12.75" customHeight="1" x14ac:dyDescent="0.15">
      <c r="A656" s="1"/>
      <c r="B656" s="2"/>
    </row>
    <row r="657" spans="1:2" ht="12.75" customHeight="1" x14ac:dyDescent="0.15">
      <c r="A657" s="1"/>
      <c r="B657" s="2"/>
    </row>
    <row r="658" spans="1:2" ht="12.75" customHeight="1" x14ac:dyDescent="0.15">
      <c r="A658" s="1"/>
      <c r="B658" s="2"/>
    </row>
    <row r="659" spans="1:2" ht="12.75" customHeight="1" x14ac:dyDescent="0.15">
      <c r="A659" s="1"/>
      <c r="B659" s="2"/>
    </row>
    <row r="660" spans="1:2" ht="12.75" customHeight="1" x14ac:dyDescent="0.15">
      <c r="A660" s="1"/>
      <c r="B660" s="2"/>
    </row>
    <row r="661" spans="1:2" ht="12.75" customHeight="1" x14ac:dyDescent="0.15">
      <c r="A661" s="1"/>
      <c r="B661" s="2"/>
    </row>
    <row r="662" spans="1:2" ht="12.75" customHeight="1" x14ac:dyDescent="0.15">
      <c r="A662" s="1"/>
      <c r="B662" s="2"/>
    </row>
    <row r="663" spans="1:2" ht="12.75" customHeight="1" x14ac:dyDescent="0.15">
      <c r="A663" s="1"/>
      <c r="B663" s="2"/>
    </row>
    <row r="664" spans="1:2" ht="12.75" customHeight="1" x14ac:dyDescent="0.15">
      <c r="A664" s="1"/>
      <c r="B664" s="2"/>
    </row>
    <row r="665" spans="1:2" ht="12.75" customHeight="1" x14ac:dyDescent="0.15">
      <c r="A665" s="1"/>
      <c r="B665" s="2"/>
    </row>
    <row r="666" spans="1:2" ht="12.75" customHeight="1" x14ac:dyDescent="0.15">
      <c r="A666" s="1"/>
      <c r="B666" s="2"/>
    </row>
    <row r="667" spans="1:2" ht="12.75" customHeight="1" x14ac:dyDescent="0.15">
      <c r="A667" s="1"/>
      <c r="B667" s="2"/>
    </row>
    <row r="668" spans="1:2" ht="12.75" customHeight="1" x14ac:dyDescent="0.15">
      <c r="A668" s="1"/>
      <c r="B668" s="2"/>
    </row>
    <row r="669" spans="1:2" ht="12.75" customHeight="1" x14ac:dyDescent="0.15">
      <c r="A669" s="1"/>
      <c r="B669" s="2"/>
    </row>
    <row r="670" spans="1:2" ht="12.75" customHeight="1" x14ac:dyDescent="0.15">
      <c r="A670" s="1"/>
      <c r="B670" s="2"/>
    </row>
    <row r="671" spans="1:2" ht="12.75" customHeight="1" x14ac:dyDescent="0.15">
      <c r="A671" s="1"/>
      <c r="B671" s="2"/>
    </row>
    <row r="672" spans="1:2" ht="12.75" customHeight="1" x14ac:dyDescent="0.15">
      <c r="A672" s="1"/>
      <c r="B672" s="2"/>
    </row>
    <row r="673" spans="1:2" ht="12.75" customHeight="1" x14ac:dyDescent="0.15">
      <c r="A673" s="1"/>
      <c r="B673" s="2"/>
    </row>
    <row r="674" spans="1:2" ht="12.75" customHeight="1" x14ac:dyDescent="0.15">
      <c r="A674" s="1"/>
      <c r="B674" s="2"/>
    </row>
    <row r="675" spans="1:2" ht="12.75" customHeight="1" x14ac:dyDescent="0.15">
      <c r="A675" s="1"/>
      <c r="B675" s="2"/>
    </row>
    <row r="676" spans="1:2" ht="12.75" customHeight="1" x14ac:dyDescent="0.15">
      <c r="A676" s="1"/>
      <c r="B676" s="2"/>
    </row>
    <row r="677" spans="1:2" ht="12.75" customHeight="1" x14ac:dyDescent="0.15">
      <c r="A677" s="1"/>
      <c r="B677" s="2"/>
    </row>
    <row r="678" spans="1:2" ht="12.75" customHeight="1" x14ac:dyDescent="0.15">
      <c r="A678" s="1"/>
      <c r="B678" s="2"/>
    </row>
    <row r="679" spans="1:2" ht="12.75" customHeight="1" x14ac:dyDescent="0.15">
      <c r="A679" s="1"/>
      <c r="B679" s="2"/>
    </row>
    <row r="680" spans="1:2" ht="12.75" customHeight="1" x14ac:dyDescent="0.15">
      <c r="A680" s="1"/>
      <c r="B680" s="2"/>
    </row>
    <row r="681" spans="1:2" ht="12.75" customHeight="1" x14ac:dyDescent="0.15">
      <c r="A681" s="1"/>
      <c r="B681" s="2"/>
    </row>
    <row r="682" spans="1:2" ht="12.75" customHeight="1" x14ac:dyDescent="0.15">
      <c r="A682" s="1"/>
      <c r="B682" s="2"/>
    </row>
    <row r="683" spans="1:2" ht="12.75" customHeight="1" x14ac:dyDescent="0.15">
      <c r="A683" s="1"/>
      <c r="B683" s="2"/>
    </row>
    <row r="684" spans="1:2" ht="12.75" customHeight="1" x14ac:dyDescent="0.15">
      <c r="A684" s="1"/>
      <c r="B684" s="2"/>
    </row>
    <row r="685" spans="1:2" ht="12.75" customHeight="1" x14ac:dyDescent="0.15">
      <c r="A685" s="1"/>
      <c r="B685" s="2"/>
    </row>
    <row r="686" spans="1:2" ht="12.75" customHeight="1" x14ac:dyDescent="0.15">
      <c r="A686" s="1"/>
      <c r="B686" s="2"/>
    </row>
    <row r="687" spans="1:2" ht="12.75" customHeight="1" x14ac:dyDescent="0.15">
      <c r="A687" s="1"/>
      <c r="B687" s="2"/>
    </row>
    <row r="688" spans="1:2" ht="12.75" customHeight="1" x14ac:dyDescent="0.15">
      <c r="A688" s="1"/>
      <c r="B688" s="2"/>
    </row>
    <row r="689" spans="1:2" ht="12.75" customHeight="1" x14ac:dyDescent="0.15">
      <c r="A689" s="1"/>
      <c r="B689" s="2"/>
    </row>
    <row r="690" spans="1:2" ht="12.75" customHeight="1" x14ac:dyDescent="0.15">
      <c r="A690" s="1"/>
      <c r="B690" s="2"/>
    </row>
    <row r="691" spans="1:2" ht="12.75" customHeight="1" x14ac:dyDescent="0.15">
      <c r="A691" s="1"/>
      <c r="B691" s="2"/>
    </row>
    <row r="692" spans="1:2" ht="12.75" customHeight="1" x14ac:dyDescent="0.15">
      <c r="A692" s="1"/>
      <c r="B692" s="2"/>
    </row>
    <row r="693" spans="1:2" ht="12.75" customHeight="1" x14ac:dyDescent="0.15">
      <c r="A693" s="1"/>
      <c r="B693" s="2"/>
    </row>
    <row r="694" spans="1:2" ht="12.75" customHeight="1" x14ac:dyDescent="0.15">
      <c r="A694" s="1"/>
      <c r="B694" s="2"/>
    </row>
    <row r="695" spans="1:2" ht="12.75" customHeight="1" x14ac:dyDescent="0.15">
      <c r="A695" s="1"/>
      <c r="B695" s="2"/>
    </row>
    <row r="696" spans="1:2" ht="12.75" customHeight="1" x14ac:dyDescent="0.15">
      <c r="A696" s="1"/>
      <c r="B696" s="2"/>
    </row>
    <row r="697" spans="1:2" ht="12.75" customHeight="1" x14ac:dyDescent="0.15">
      <c r="A697" s="1"/>
      <c r="B697" s="2"/>
    </row>
    <row r="698" spans="1:2" ht="12.75" customHeight="1" x14ac:dyDescent="0.15">
      <c r="A698" s="1"/>
      <c r="B698" s="2"/>
    </row>
    <row r="699" spans="1:2" ht="12.75" customHeight="1" x14ac:dyDescent="0.15">
      <c r="A699" s="1"/>
      <c r="B699" s="2"/>
    </row>
    <row r="700" spans="1:2" ht="12.75" customHeight="1" x14ac:dyDescent="0.15">
      <c r="A700" s="1"/>
      <c r="B700" s="2"/>
    </row>
    <row r="701" spans="1:2" ht="12.75" customHeight="1" x14ac:dyDescent="0.15">
      <c r="A701" s="1"/>
      <c r="B701" s="2"/>
    </row>
    <row r="702" spans="1:2" ht="12.75" customHeight="1" x14ac:dyDescent="0.15">
      <c r="A702" s="1"/>
      <c r="B702" s="2"/>
    </row>
    <row r="703" spans="1:2" ht="12.75" customHeight="1" x14ac:dyDescent="0.15">
      <c r="A703" s="1"/>
      <c r="B703" s="2"/>
    </row>
    <row r="704" spans="1:2" ht="12.75" customHeight="1" x14ac:dyDescent="0.15">
      <c r="A704" s="1"/>
      <c r="B704" s="2"/>
    </row>
    <row r="705" spans="1:2" ht="12.75" customHeight="1" x14ac:dyDescent="0.15">
      <c r="A705" s="1"/>
      <c r="B705" s="2"/>
    </row>
    <row r="706" spans="1:2" ht="12.75" customHeight="1" x14ac:dyDescent="0.15">
      <c r="A706" s="1"/>
      <c r="B706" s="2"/>
    </row>
    <row r="707" spans="1:2" ht="12.75" customHeight="1" x14ac:dyDescent="0.15">
      <c r="A707" s="1"/>
      <c r="B707" s="2"/>
    </row>
    <row r="708" spans="1:2" ht="12.75" customHeight="1" x14ac:dyDescent="0.15">
      <c r="A708" s="1"/>
      <c r="B708" s="2"/>
    </row>
    <row r="709" spans="1:2" ht="12.75" customHeight="1" x14ac:dyDescent="0.15">
      <c r="A709" s="1"/>
      <c r="B709" s="2"/>
    </row>
    <row r="710" spans="1:2" ht="12.75" customHeight="1" x14ac:dyDescent="0.15">
      <c r="A710" s="1"/>
      <c r="B710" s="2"/>
    </row>
    <row r="711" spans="1:2" ht="12.75" customHeight="1" x14ac:dyDescent="0.15">
      <c r="A711" s="1"/>
      <c r="B711" s="2"/>
    </row>
    <row r="712" spans="1:2" ht="12.75" customHeight="1" x14ac:dyDescent="0.15">
      <c r="A712" s="1"/>
      <c r="B712" s="2"/>
    </row>
    <row r="713" spans="1:2" ht="12.75" customHeight="1" x14ac:dyDescent="0.15">
      <c r="A713" s="1"/>
      <c r="B713" s="2"/>
    </row>
    <row r="714" spans="1:2" ht="12.75" customHeight="1" x14ac:dyDescent="0.15">
      <c r="A714" s="1"/>
      <c r="B714" s="2"/>
    </row>
    <row r="715" spans="1:2" ht="12.75" customHeight="1" x14ac:dyDescent="0.15">
      <c r="A715" s="1"/>
      <c r="B715" s="2"/>
    </row>
    <row r="716" spans="1:2" ht="12.75" customHeight="1" x14ac:dyDescent="0.15">
      <c r="A716" s="1"/>
      <c r="B716" s="2"/>
    </row>
    <row r="717" spans="1:2" ht="12.75" customHeight="1" x14ac:dyDescent="0.15">
      <c r="A717" s="1"/>
      <c r="B717" s="2"/>
    </row>
    <row r="718" spans="1:2" ht="12.75" customHeight="1" x14ac:dyDescent="0.15">
      <c r="A718" s="1"/>
      <c r="B718" s="2"/>
    </row>
    <row r="719" spans="1:2" ht="12.75" customHeight="1" x14ac:dyDescent="0.15">
      <c r="A719" s="1"/>
      <c r="B719" s="2"/>
    </row>
    <row r="720" spans="1:2" ht="12.75" customHeight="1" x14ac:dyDescent="0.15">
      <c r="A720" s="1"/>
      <c r="B720" s="2"/>
    </row>
    <row r="721" spans="1:2" ht="12.75" customHeight="1" x14ac:dyDescent="0.15">
      <c r="A721" s="1"/>
      <c r="B721" s="2"/>
    </row>
    <row r="722" spans="1:2" ht="12.75" customHeight="1" x14ac:dyDescent="0.15">
      <c r="A722" s="1"/>
      <c r="B722" s="2"/>
    </row>
    <row r="723" spans="1:2" ht="12.75" customHeight="1" x14ac:dyDescent="0.15">
      <c r="A723" s="1"/>
      <c r="B723" s="2"/>
    </row>
    <row r="724" spans="1:2" ht="12.75" customHeight="1" x14ac:dyDescent="0.15">
      <c r="A724" s="1"/>
      <c r="B724" s="2"/>
    </row>
    <row r="725" spans="1:2" ht="12.75" customHeight="1" x14ac:dyDescent="0.15">
      <c r="A725" s="1"/>
      <c r="B725" s="2"/>
    </row>
    <row r="726" spans="1:2" ht="12.75" customHeight="1" x14ac:dyDescent="0.15">
      <c r="A726" s="1"/>
      <c r="B726" s="2"/>
    </row>
    <row r="727" spans="1:2" ht="12.75" customHeight="1" x14ac:dyDescent="0.15">
      <c r="A727" s="1"/>
      <c r="B727" s="2"/>
    </row>
    <row r="728" spans="1:2" ht="12.75" customHeight="1" x14ac:dyDescent="0.15">
      <c r="A728" s="1"/>
      <c r="B728" s="2"/>
    </row>
    <row r="729" spans="1:2" ht="12.75" customHeight="1" x14ac:dyDescent="0.15">
      <c r="A729" s="1"/>
      <c r="B729" s="2"/>
    </row>
    <row r="730" spans="1:2" ht="12.75" customHeight="1" x14ac:dyDescent="0.15">
      <c r="A730" s="1"/>
      <c r="B730" s="2"/>
    </row>
    <row r="731" spans="1:2" ht="12.75" customHeight="1" x14ac:dyDescent="0.15">
      <c r="A731" s="1"/>
      <c r="B731" s="2"/>
    </row>
    <row r="732" spans="1:2" ht="12.75" customHeight="1" x14ac:dyDescent="0.15">
      <c r="A732" s="1"/>
      <c r="B732" s="2"/>
    </row>
    <row r="733" spans="1:2" ht="12.75" customHeight="1" x14ac:dyDescent="0.15">
      <c r="A733" s="1"/>
      <c r="B733" s="2"/>
    </row>
    <row r="734" spans="1:2" ht="12.75" customHeight="1" x14ac:dyDescent="0.15">
      <c r="A734" s="1"/>
      <c r="B734" s="2"/>
    </row>
    <row r="735" spans="1:2" ht="12.75" customHeight="1" x14ac:dyDescent="0.15">
      <c r="A735" s="1"/>
      <c r="B735" s="2"/>
    </row>
    <row r="736" spans="1:2" ht="12.75" customHeight="1" x14ac:dyDescent="0.15">
      <c r="A736" s="1"/>
      <c r="B736" s="2"/>
    </row>
    <row r="737" spans="1:2" ht="12.75" customHeight="1" x14ac:dyDescent="0.15">
      <c r="A737" s="1"/>
      <c r="B737" s="2"/>
    </row>
    <row r="738" spans="1:2" ht="12.75" customHeight="1" x14ac:dyDescent="0.15">
      <c r="A738" s="1"/>
      <c r="B738" s="2"/>
    </row>
    <row r="739" spans="1:2" ht="12.75" customHeight="1" x14ac:dyDescent="0.15">
      <c r="A739" s="1"/>
      <c r="B739" s="2"/>
    </row>
    <row r="740" spans="1:2" ht="12.75" customHeight="1" x14ac:dyDescent="0.15">
      <c r="A740" s="1"/>
      <c r="B740" s="2"/>
    </row>
    <row r="741" spans="1:2" ht="12.75" customHeight="1" x14ac:dyDescent="0.15">
      <c r="A741" s="1"/>
      <c r="B741" s="2"/>
    </row>
    <row r="742" spans="1:2" ht="12.75" customHeight="1" x14ac:dyDescent="0.15">
      <c r="A742" s="1"/>
      <c r="B742" s="2"/>
    </row>
    <row r="743" spans="1:2" ht="12.75" customHeight="1" x14ac:dyDescent="0.15">
      <c r="A743" s="1"/>
      <c r="B743" s="2"/>
    </row>
    <row r="744" spans="1:2" ht="12.75" customHeight="1" x14ac:dyDescent="0.15">
      <c r="A744" s="1"/>
      <c r="B744" s="2"/>
    </row>
    <row r="745" spans="1:2" ht="12.75" customHeight="1" x14ac:dyDescent="0.15">
      <c r="A745" s="1"/>
      <c r="B745" s="2"/>
    </row>
    <row r="746" spans="1:2" ht="12.75" customHeight="1" x14ac:dyDescent="0.15">
      <c r="A746" s="1"/>
      <c r="B746" s="2"/>
    </row>
    <row r="747" spans="1:2" ht="12.75" customHeight="1" x14ac:dyDescent="0.15">
      <c r="A747" s="1"/>
      <c r="B747" s="2"/>
    </row>
    <row r="748" spans="1:2" ht="12.75" customHeight="1" x14ac:dyDescent="0.15">
      <c r="A748" s="1"/>
      <c r="B748" s="2"/>
    </row>
    <row r="749" spans="1:2" ht="12.75" customHeight="1" x14ac:dyDescent="0.15">
      <c r="A749" s="1"/>
      <c r="B749" s="2"/>
    </row>
    <row r="750" spans="1:2" ht="12.75" customHeight="1" x14ac:dyDescent="0.15">
      <c r="A750" s="1"/>
      <c r="B750" s="2"/>
    </row>
    <row r="751" spans="1:2" ht="12.75" customHeight="1" x14ac:dyDescent="0.15">
      <c r="A751" s="1"/>
      <c r="B751" s="2"/>
    </row>
    <row r="752" spans="1:2" ht="12.75" customHeight="1" x14ac:dyDescent="0.15">
      <c r="A752" s="1"/>
      <c r="B752" s="2"/>
    </row>
    <row r="753" spans="1:2" ht="12.75" customHeight="1" x14ac:dyDescent="0.15">
      <c r="A753" s="1"/>
      <c r="B753" s="2"/>
    </row>
    <row r="754" spans="1:2" ht="12.75" customHeight="1" x14ac:dyDescent="0.15">
      <c r="A754" s="1"/>
      <c r="B754" s="2"/>
    </row>
    <row r="755" spans="1:2" ht="12.75" customHeight="1" x14ac:dyDescent="0.15">
      <c r="A755" s="1"/>
      <c r="B755" s="2"/>
    </row>
    <row r="756" spans="1:2" ht="12.75" customHeight="1" x14ac:dyDescent="0.15">
      <c r="A756" s="1"/>
      <c r="B756" s="2"/>
    </row>
    <row r="757" spans="1:2" ht="12.75" customHeight="1" x14ac:dyDescent="0.15">
      <c r="A757" s="1"/>
      <c r="B757" s="2"/>
    </row>
    <row r="758" spans="1:2" ht="12.75" customHeight="1" x14ac:dyDescent="0.15">
      <c r="A758" s="1"/>
      <c r="B758" s="2"/>
    </row>
    <row r="759" spans="1:2" ht="12.75" customHeight="1" x14ac:dyDescent="0.15">
      <c r="A759" s="1"/>
      <c r="B759" s="2"/>
    </row>
    <row r="760" spans="1:2" ht="12.75" customHeight="1" x14ac:dyDescent="0.15">
      <c r="A760" s="1"/>
      <c r="B760" s="2"/>
    </row>
    <row r="761" spans="1:2" ht="12.75" customHeight="1" x14ac:dyDescent="0.15">
      <c r="A761" s="1"/>
      <c r="B761" s="2"/>
    </row>
    <row r="762" spans="1:2" ht="12.75" customHeight="1" x14ac:dyDescent="0.15">
      <c r="A762" s="1"/>
      <c r="B762" s="2"/>
    </row>
    <row r="763" spans="1:2" ht="12.75" customHeight="1" x14ac:dyDescent="0.15">
      <c r="A763" s="1"/>
      <c r="B763" s="2"/>
    </row>
    <row r="764" spans="1:2" ht="12.75" customHeight="1" x14ac:dyDescent="0.15">
      <c r="A764" s="1"/>
      <c r="B764" s="2"/>
    </row>
    <row r="765" spans="1:2" ht="12.75" customHeight="1" x14ac:dyDescent="0.15">
      <c r="A765" s="1"/>
      <c r="B765" s="2"/>
    </row>
    <row r="766" spans="1:2" ht="12.75" customHeight="1" x14ac:dyDescent="0.15">
      <c r="A766" s="1"/>
      <c r="B766" s="2"/>
    </row>
    <row r="767" spans="1:2" ht="12.75" customHeight="1" x14ac:dyDescent="0.15">
      <c r="A767" s="1"/>
      <c r="B767" s="2"/>
    </row>
    <row r="768" spans="1:2" ht="12.75" customHeight="1" x14ac:dyDescent="0.15">
      <c r="A768" s="1"/>
      <c r="B768" s="2"/>
    </row>
    <row r="769" spans="1:2" ht="12.75" customHeight="1" x14ac:dyDescent="0.15">
      <c r="A769" s="1"/>
      <c r="B769" s="2"/>
    </row>
    <row r="770" spans="1:2" ht="12.75" customHeight="1" x14ac:dyDescent="0.15">
      <c r="A770" s="1"/>
      <c r="B770" s="2"/>
    </row>
    <row r="771" spans="1:2" ht="12.75" customHeight="1" x14ac:dyDescent="0.15">
      <c r="A771" s="1"/>
      <c r="B771" s="2"/>
    </row>
    <row r="772" spans="1:2" ht="12.75" customHeight="1" x14ac:dyDescent="0.15">
      <c r="A772" s="1"/>
      <c r="B772" s="2"/>
    </row>
    <row r="773" spans="1:2" ht="12.75" customHeight="1" x14ac:dyDescent="0.15">
      <c r="A773" s="1"/>
      <c r="B773" s="2"/>
    </row>
    <row r="774" spans="1:2" ht="12.75" customHeight="1" x14ac:dyDescent="0.15">
      <c r="A774" s="1"/>
      <c r="B774" s="2"/>
    </row>
    <row r="775" spans="1:2" ht="12.75" customHeight="1" x14ac:dyDescent="0.15">
      <c r="A775" s="1"/>
      <c r="B775" s="2"/>
    </row>
    <row r="776" spans="1:2" ht="12.75" customHeight="1" x14ac:dyDescent="0.15">
      <c r="A776" s="1"/>
      <c r="B776" s="2"/>
    </row>
    <row r="777" spans="1:2" ht="12.75" customHeight="1" x14ac:dyDescent="0.15">
      <c r="A777" s="1"/>
      <c r="B777" s="2"/>
    </row>
    <row r="778" spans="1:2" ht="12.75" customHeight="1" x14ac:dyDescent="0.15">
      <c r="A778" s="1"/>
      <c r="B778" s="2"/>
    </row>
    <row r="779" spans="1:2" ht="12.75" customHeight="1" x14ac:dyDescent="0.15">
      <c r="A779" s="1"/>
      <c r="B779" s="2"/>
    </row>
    <row r="780" spans="1:2" ht="12.75" customHeight="1" x14ac:dyDescent="0.15">
      <c r="A780" s="1"/>
      <c r="B780" s="2"/>
    </row>
    <row r="781" spans="1:2" ht="12.75" customHeight="1" x14ac:dyDescent="0.15">
      <c r="A781" s="1"/>
      <c r="B781" s="2"/>
    </row>
    <row r="782" spans="1:2" ht="12.75" customHeight="1" x14ac:dyDescent="0.15">
      <c r="A782" s="1"/>
      <c r="B782" s="2"/>
    </row>
    <row r="783" spans="1:2" ht="12.75" customHeight="1" x14ac:dyDescent="0.15">
      <c r="A783" s="1"/>
      <c r="B783" s="2"/>
    </row>
    <row r="784" spans="1:2" ht="12.75" customHeight="1" x14ac:dyDescent="0.15">
      <c r="A784" s="1"/>
      <c r="B784" s="2"/>
    </row>
    <row r="785" spans="1:2" ht="12.75" customHeight="1" x14ac:dyDescent="0.15">
      <c r="A785" s="1"/>
      <c r="B785" s="2"/>
    </row>
    <row r="786" spans="1:2" ht="12.75" customHeight="1" x14ac:dyDescent="0.15">
      <c r="A786" s="1"/>
      <c r="B786" s="2"/>
    </row>
    <row r="787" spans="1:2" ht="12.75" customHeight="1" x14ac:dyDescent="0.15">
      <c r="A787" s="1"/>
      <c r="B787" s="2"/>
    </row>
    <row r="788" spans="1:2" ht="12.75" customHeight="1" x14ac:dyDescent="0.15">
      <c r="A788" s="1"/>
      <c r="B788" s="2"/>
    </row>
    <row r="789" spans="1:2" ht="12.75" customHeight="1" x14ac:dyDescent="0.15">
      <c r="A789" s="1"/>
      <c r="B789" s="2"/>
    </row>
    <row r="790" spans="1:2" ht="12.75" customHeight="1" x14ac:dyDescent="0.15">
      <c r="A790" s="1"/>
      <c r="B790" s="2"/>
    </row>
    <row r="791" spans="1:2" ht="12.75" customHeight="1" x14ac:dyDescent="0.15">
      <c r="A791" s="1"/>
      <c r="B791" s="2"/>
    </row>
    <row r="792" spans="1:2" ht="12.75" customHeight="1" x14ac:dyDescent="0.15">
      <c r="A792" s="1"/>
      <c r="B792" s="2"/>
    </row>
    <row r="793" spans="1:2" ht="12.75" customHeight="1" x14ac:dyDescent="0.15">
      <c r="A793" s="1"/>
      <c r="B793" s="2"/>
    </row>
    <row r="794" spans="1:2" ht="12.75" customHeight="1" x14ac:dyDescent="0.15">
      <c r="A794" s="1"/>
      <c r="B794" s="2"/>
    </row>
    <row r="795" spans="1:2" ht="12.75" customHeight="1" x14ac:dyDescent="0.15">
      <c r="A795" s="1"/>
      <c r="B795" s="2"/>
    </row>
    <row r="796" spans="1:2" ht="12.75" customHeight="1" x14ac:dyDescent="0.15">
      <c r="A796" s="1"/>
      <c r="B796" s="2"/>
    </row>
    <row r="797" spans="1:2" ht="12.75" customHeight="1" x14ac:dyDescent="0.15">
      <c r="A797" s="1"/>
      <c r="B797" s="2"/>
    </row>
    <row r="798" spans="1:2" ht="12.75" customHeight="1" x14ac:dyDescent="0.15">
      <c r="A798" s="1"/>
      <c r="B798" s="2"/>
    </row>
    <row r="799" spans="1:2" ht="12.75" customHeight="1" x14ac:dyDescent="0.15">
      <c r="A799" s="1"/>
      <c r="B799" s="2"/>
    </row>
    <row r="800" spans="1:2" ht="12.75" customHeight="1" x14ac:dyDescent="0.15">
      <c r="A800" s="1"/>
      <c r="B800" s="2"/>
    </row>
    <row r="801" spans="1:2" ht="12.75" customHeight="1" x14ac:dyDescent="0.15">
      <c r="A801" s="1"/>
      <c r="B801" s="2"/>
    </row>
    <row r="802" spans="1:2" ht="12.75" customHeight="1" x14ac:dyDescent="0.15">
      <c r="A802" s="1"/>
      <c r="B802" s="2"/>
    </row>
    <row r="803" spans="1:2" ht="12.75" customHeight="1" x14ac:dyDescent="0.15">
      <c r="A803" s="1"/>
      <c r="B803" s="2"/>
    </row>
    <row r="804" spans="1:2" ht="12.75" customHeight="1" x14ac:dyDescent="0.15">
      <c r="A804" s="1"/>
      <c r="B804" s="2"/>
    </row>
    <row r="805" spans="1:2" ht="12.75" customHeight="1" x14ac:dyDescent="0.15">
      <c r="A805" s="1"/>
      <c r="B805" s="2"/>
    </row>
    <row r="806" spans="1:2" ht="12.75" customHeight="1" x14ac:dyDescent="0.15">
      <c r="A806" s="1"/>
      <c r="B806" s="2"/>
    </row>
    <row r="807" spans="1:2" ht="12.75" customHeight="1" x14ac:dyDescent="0.15">
      <c r="A807" s="1"/>
      <c r="B807" s="2"/>
    </row>
    <row r="808" spans="1:2" ht="12.75" customHeight="1" x14ac:dyDescent="0.15">
      <c r="A808" s="1"/>
      <c r="B808" s="2"/>
    </row>
    <row r="809" spans="1:2" ht="12.75" customHeight="1" x14ac:dyDescent="0.15">
      <c r="A809" s="1"/>
      <c r="B809" s="2"/>
    </row>
    <row r="810" spans="1:2" ht="12.75" customHeight="1" x14ac:dyDescent="0.15">
      <c r="A810" s="1"/>
      <c r="B810" s="2"/>
    </row>
    <row r="811" spans="1:2" ht="12.75" customHeight="1" x14ac:dyDescent="0.15">
      <c r="A811" s="1"/>
      <c r="B811" s="2"/>
    </row>
    <row r="812" spans="1:2" ht="12.75" customHeight="1" x14ac:dyDescent="0.15">
      <c r="A812" s="1"/>
      <c r="B812" s="2"/>
    </row>
    <row r="813" spans="1:2" ht="12.75" customHeight="1" x14ac:dyDescent="0.15">
      <c r="A813" s="1"/>
      <c r="B813" s="2"/>
    </row>
    <row r="814" spans="1:2" ht="12.75" customHeight="1" x14ac:dyDescent="0.15">
      <c r="A814" s="1"/>
      <c r="B814" s="2"/>
    </row>
    <row r="815" spans="1:2" ht="12.75" customHeight="1" x14ac:dyDescent="0.15">
      <c r="A815" s="1"/>
      <c r="B815" s="2"/>
    </row>
    <row r="816" spans="1:2" ht="12.75" customHeight="1" x14ac:dyDescent="0.15">
      <c r="A816" s="1"/>
      <c r="B816" s="2"/>
    </row>
    <row r="817" spans="1:2" ht="12.75" customHeight="1" x14ac:dyDescent="0.15">
      <c r="A817" s="1"/>
      <c r="B817" s="2"/>
    </row>
    <row r="818" spans="1:2" ht="12.75" customHeight="1" x14ac:dyDescent="0.15">
      <c r="A818" s="1"/>
      <c r="B818" s="2"/>
    </row>
    <row r="819" spans="1:2" ht="12.75" customHeight="1" x14ac:dyDescent="0.15">
      <c r="A819" s="1"/>
      <c r="B819" s="2"/>
    </row>
    <row r="820" spans="1:2" ht="12.75" customHeight="1" x14ac:dyDescent="0.15">
      <c r="A820" s="1"/>
      <c r="B820" s="2"/>
    </row>
    <row r="821" spans="1:2" ht="12.75" customHeight="1" x14ac:dyDescent="0.15">
      <c r="A821" s="1"/>
      <c r="B821" s="2"/>
    </row>
    <row r="822" spans="1:2" ht="12.75" customHeight="1" x14ac:dyDescent="0.15">
      <c r="A822" s="1"/>
      <c r="B822" s="2"/>
    </row>
    <row r="823" spans="1:2" ht="12.75" customHeight="1" x14ac:dyDescent="0.15">
      <c r="A823" s="1"/>
      <c r="B823" s="2"/>
    </row>
    <row r="824" spans="1:2" ht="12.75" customHeight="1" x14ac:dyDescent="0.15">
      <c r="A824" s="1"/>
      <c r="B824" s="2"/>
    </row>
    <row r="825" spans="1:2" ht="12.75" customHeight="1" x14ac:dyDescent="0.15">
      <c r="A825" s="1"/>
      <c r="B825" s="2"/>
    </row>
    <row r="826" spans="1:2" ht="12.75" customHeight="1" x14ac:dyDescent="0.15">
      <c r="A826" s="1"/>
      <c r="B826" s="2"/>
    </row>
    <row r="827" spans="1:2" ht="12.75" customHeight="1" x14ac:dyDescent="0.15">
      <c r="A827" s="1"/>
      <c r="B827" s="2"/>
    </row>
    <row r="828" spans="1:2" ht="12.75" customHeight="1" x14ac:dyDescent="0.15">
      <c r="A828" s="1"/>
      <c r="B828" s="2"/>
    </row>
    <row r="829" spans="1:2" ht="12.75" customHeight="1" x14ac:dyDescent="0.15">
      <c r="A829" s="1"/>
      <c r="B829" s="2"/>
    </row>
    <row r="830" spans="1:2" ht="12.75" customHeight="1" x14ac:dyDescent="0.15">
      <c r="A830" s="1"/>
      <c r="B830" s="2"/>
    </row>
    <row r="831" spans="1:2" ht="12.75" customHeight="1" x14ac:dyDescent="0.15">
      <c r="A831" s="1"/>
      <c r="B831" s="2"/>
    </row>
    <row r="832" spans="1:2" ht="12.75" customHeight="1" x14ac:dyDescent="0.15">
      <c r="A832" s="1"/>
      <c r="B832" s="2"/>
    </row>
    <row r="833" spans="1:2" ht="12.75" customHeight="1" x14ac:dyDescent="0.15">
      <c r="A833" s="1"/>
      <c r="B833" s="2"/>
    </row>
    <row r="834" spans="1:2" ht="12.75" customHeight="1" x14ac:dyDescent="0.15">
      <c r="A834" s="1"/>
      <c r="B834" s="2"/>
    </row>
    <row r="835" spans="1:2" ht="12.75" customHeight="1" x14ac:dyDescent="0.15">
      <c r="A835" s="1"/>
      <c r="B835" s="2"/>
    </row>
    <row r="836" spans="1:2" ht="12.75" customHeight="1" x14ac:dyDescent="0.15">
      <c r="A836" s="1"/>
      <c r="B836" s="2"/>
    </row>
    <row r="837" spans="1:2" ht="12.75" customHeight="1" x14ac:dyDescent="0.15">
      <c r="A837" s="1"/>
      <c r="B837" s="2"/>
    </row>
    <row r="838" spans="1:2" ht="12.75" customHeight="1" x14ac:dyDescent="0.15">
      <c r="A838" s="1"/>
      <c r="B838" s="2"/>
    </row>
    <row r="839" spans="1:2" ht="12.75" customHeight="1" x14ac:dyDescent="0.15">
      <c r="A839" s="1"/>
      <c r="B839" s="2"/>
    </row>
    <row r="840" spans="1:2" ht="12.75" customHeight="1" x14ac:dyDescent="0.15">
      <c r="A840" s="1"/>
      <c r="B840" s="2"/>
    </row>
    <row r="841" spans="1:2" ht="12.75" customHeight="1" x14ac:dyDescent="0.15">
      <c r="A841" s="1"/>
      <c r="B841" s="2"/>
    </row>
    <row r="842" spans="1:2" ht="12.75" customHeight="1" x14ac:dyDescent="0.15">
      <c r="A842" s="1"/>
      <c r="B842" s="2"/>
    </row>
    <row r="843" spans="1:2" ht="12.75" customHeight="1" x14ac:dyDescent="0.15">
      <c r="A843" s="1"/>
      <c r="B843" s="2"/>
    </row>
    <row r="844" spans="1:2" ht="12.75" customHeight="1" x14ac:dyDescent="0.15">
      <c r="A844" s="1"/>
      <c r="B844" s="2"/>
    </row>
    <row r="845" spans="1:2" ht="12.75" customHeight="1" x14ac:dyDescent="0.15">
      <c r="A845" s="1"/>
      <c r="B845" s="2"/>
    </row>
    <row r="846" spans="1:2" ht="12.75" customHeight="1" x14ac:dyDescent="0.15">
      <c r="A846" s="1"/>
      <c r="B846" s="2"/>
    </row>
    <row r="847" spans="1:2" ht="12.75" customHeight="1" x14ac:dyDescent="0.15">
      <c r="A847" s="1"/>
      <c r="B847" s="2"/>
    </row>
    <row r="848" spans="1:2" ht="12.75" customHeight="1" x14ac:dyDescent="0.15">
      <c r="A848" s="1"/>
      <c r="B848" s="2"/>
    </row>
    <row r="849" spans="1:2" ht="12.75" customHeight="1" x14ac:dyDescent="0.15">
      <c r="A849" s="1"/>
      <c r="B849" s="2"/>
    </row>
    <row r="850" spans="1:2" ht="12.75" customHeight="1" x14ac:dyDescent="0.15">
      <c r="A850" s="1"/>
      <c r="B850" s="2"/>
    </row>
    <row r="851" spans="1:2" ht="12.75" customHeight="1" x14ac:dyDescent="0.15">
      <c r="A851" s="1"/>
      <c r="B851" s="2"/>
    </row>
    <row r="852" spans="1:2" ht="12.75" customHeight="1" x14ac:dyDescent="0.15">
      <c r="A852" s="1"/>
      <c r="B852" s="2"/>
    </row>
    <row r="853" spans="1:2" ht="12.75" customHeight="1" x14ac:dyDescent="0.15">
      <c r="A853" s="1"/>
      <c r="B853" s="2"/>
    </row>
    <row r="854" spans="1:2" ht="12.75" customHeight="1" x14ac:dyDescent="0.15">
      <c r="A854" s="1"/>
      <c r="B854" s="2"/>
    </row>
    <row r="855" spans="1:2" ht="12.75" customHeight="1" x14ac:dyDescent="0.15">
      <c r="A855" s="1"/>
      <c r="B855" s="2"/>
    </row>
    <row r="856" spans="1:2" ht="12.75" customHeight="1" x14ac:dyDescent="0.15">
      <c r="A856" s="1"/>
      <c r="B856" s="2"/>
    </row>
    <row r="857" spans="1:2" ht="12.75" customHeight="1" x14ac:dyDescent="0.15">
      <c r="A857" s="1"/>
      <c r="B857" s="2"/>
    </row>
    <row r="858" spans="1:2" ht="12.75" customHeight="1" x14ac:dyDescent="0.15">
      <c r="A858" s="1"/>
      <c r="B858" s="2"/>
    </row>
    <row r="859" spans="1:2" ht="12.75" customHeight="1" x14ac:dyDescent="0.15">
      <c r="A859" s="1"/>
      <c r="B859" s="2"/>
    </row>
    <row r="860" spans="1:2" ht="12.75" customHeight="1" x14ac:dyDescent="0.15">
      <c r="A860" s="1"/>
      <c r="B860" s="2"/>
    </row>
    <row r="861" spans="1:2" ht="12.75" customHeight="1" x14ac:dyDescent="0.15">
      <c r="A861" s="1"/>
      <c r="B861" s="2"/>
    </row>
    <row r="862" spans="1:2" ht="12.75" customHeight="1" x14ac:dyDescent="0.15">
      <c r="A862" s="1"/>
      <c r="B862" s="2"/>
    </row>
    <row r="863" spans="1:2" ht="12.75" customHeight="1" x14ac:dyDescent="0.15">
      <c r="A863" s="1"/>
      <c r="B863" s="2"/>
    </row>
    <row r="864" spans="1:2" ht="12.75" customHeight="1" x14ac:dyDescent="0.15">
      <c r="A864" s="1"/>
      <c r="B864" s="2"/>
    </row>
    <row r="865" spans="1:2" ht="12.75" customHeight="1" x14ac:dyDescent="0.15">
      <c r="A865" s="1"/>
      <c r="B865" s="2"/>
    </row>
    <row r="866" spans="1:2" ht="12.75" customHeight="1" x14ac:dyDescent="0.15">
      <c r="A866" s="1"/>
      <c r="B866" s="2"/>
    </row>
    <row r="867" spans="1:2" ht="12.75" customHeight="1" x14ac:dyDescent="0.15">
      <c r="A867" s="1"/>
      <c r="B867" s="2"/>
    </row>
    <row r="868" spans="1:2" ht="12.75" customHeight="1" x14ac:dyDescent="0.15">
      <c r="A868" s="1"/>
      <c r="B868" s="2"/>
    </row>
    <row r="869" spans="1:2" ht="12.75" customHeight="1" x14ac:dyDescent="0.15">
      <c r="A869" s="1"/>
      <c r="B869" s="2"/>
    </row>
    <row r="870" spans="1:2" ht="12.75" customHeight="1" x14ac:dyDescent="0.15">
      <c r="A870" s="1"/>
      <c r="B870" s="2"/>
    </row>
    <row r="871" spans="1:2" ht="12.75" customHeight="1" x14ac:dyDescent="0.15">
      <c r="A871" s="1"/>
      <c r="B871" s="2"/>
    </row>
    <row r="872" spans="1:2" ht="12.75" customHeight="1" x14ac:dyDescent="0.15">
      <c r="A872" s="1"/>
      <c r="B872" s="2"/>
    </row>
    <row r="873" spans="1:2" ht="12.75" customHeight="1" x14ac:dyDescent="0.15">
      <c r="A873" s="1"/>
      <c r="B873" s="2"/>
    </row>
    <row r="874" spans="1:2" ht="12.75" customHeight="1" x14ac:dyDescent="0.15">
      <c r="A874" s="1"/>
      <c r="B874" s="2"/>
    </row>
    <row r="875" spans="1:2" ht="12.75" customHeight="1" x14ac:dyDescent="0.15">
      <c r="A875" s="1"/>
      <c r="B875" s="2"/>
    </row>
    <row r="876" spans="1:2" ht="12.75" customHeight="1" x14ac:dyDescent="0.15">
      <c r="A876" s="1"/>
      <c r="B876" s="2"/>
    </row>
    <row r="877" spans="1:2" ht="12.75" customHeight="1" x14ac:dyDescent="0.15">
      <c r="A877" s="1"/>
      <c r="B877" s="2"/>
    </row>
    <row r="878" spans="1:2" ht="12.75" customHeight="1" x14ac:dyDescent="0.15">
      <c r="A878" s="1"/>
      <c r="B878" s="2"/>
    </row>
    <row r="879" spans="1:2" ht="12.75" customHeight="1" x14ac:dyDescent="0.15">
      <c r="A879" s="1"/>
      <c r="B879" s="2"/>
    </row>
    <row r="880" spans="1:2" ht="12.75" customHeight="1" x14ac:dyDescent="0.15">
      <c r="A880" s="1"/>
      <c r="B880" s="2"/>
    </row>
    <row r="881" spans="1:2" ht="12.75" customHeight="1" x14ac:dyDescent="0.15">
      <c r="A881" s="1"/>
      <c r="B881" s="2"/>
    </row>
    <row r="882" spans="1:2" ht="12.75" customHeight="1" x14ac:dyDescent="0.15">
      <c r="A882" s="1"/>
      <c r="B882" s="2"/>
    </row>
    <row r="883" spans="1:2" ht="12.75" customHeight="1" x14ac:dyDescent="0.15">
      <c r="A883" s="1"/>
      <c r="B883" s="2"/>
    </row>
    <row r="884" spans="1:2" ht="12.75" customHeight="1" x14ac:dyDescent="0.15">
      <c r="A884" s="1"/>
      <c r="B884" s="2"/>
    </row>
    <row r="885" spans="1:2" ht="12.75" customHeight="1" x14ac:dyDescent="0.15">
      <c r="A885" s="1"/>
      <c r="B885" s="2"/>
    </row>
    <row r="886" spans="1:2" ht="12.75" customHeight="1" x14ac:dyDescent="0.15">
      <c r="A886" s="1"/>
      <c r="B886" s="2"/>
    </row>
    <row r="887" spans="1:2" ht="12.75" customHeight="1" x14ac:dyDescent="0.15">
      <c r="A887" s="1"/>
      <c r="B887" s="2"/>
    </row>
    <row r="888" spans="1:2" ht="12.75" customHeight="1" x14ac:dyDescent="0.15">
      <c r="A888" s="1"/>
      <c r="B888" s="2"/>
    </row>
    <row r="889" spans="1:2" ht="12.75" customHeight="1" x14ac:dyDescent="0.15">
      <c r="A889" s="1"/>
      <c r="B889" s="2"/>
    </row>
    <row r="890" spans="1:2" ht="12.75" customHeight="1" x14ac:dyDescent="0.15">
      <c r="A890" s="1"/>
      <c r="B890" s="2"/>
    </row>
    <row r="891" spans="1:2" ht="12.75" customHeight="1" x14ac:dyDescent="0.15">
      <c r="A891" s="1"/>
      <c r="B891" s="2"/>
    </row>
    <row r="892" spans="1:2" ht="12.75" customHeight="1" x14ac:dyDescent="0.15">
      <c r="A892" s="1"/>
      <c r="B892" s="2"/>
    </row>
    <row r="893" spans="1:2" ht="12.75" customHeight="1" x14ac:dyDescent="0.15">
      <c r="A893" s="1"/>
      <c r="B893" s="2"/>
    </row>
    <row r="894" spans="1:2" ht="12.75" customHeight="1" x14ac:dyDescent="0.15">
      <c r="A894" s="1"/>
      <c r="B894" s="2"/>
    </row>
    <row r="895" spans="1:2" ht="12.75" customHeight="1" x14ac:dyDescent="0.15">
      <c r="A895" s="1"/>
      <c r="B895" s="2"/>
    </row>
    <row r="896" spans="1:2" ht="12.75" customHeight="1" x14ac:dyDescent="0.15">
      <c r="A896" s="1"/>
      <c r="B896" s="2"/>
    </row>
    <row r="897" spans="1:2" ht="12.75" customHeight="1" x14ac:dyDescent="0.15">
      <c r="A897" s="1"/>
      <c r="B897" s="2"/>
    </row>
    <row r="898" spans="1:2" ht="12.75" customHeight="1" x14ac:dyDescent="0.15">
      <c r="A898" s="1"/>
      <c r="B898" s="2"/>
    </row>
    <row r="899" spans="1:2" ht="12.75" customHeight="1" x14ac:dyDescent="0.15">
      <c r="A899" s="1"/>
      <c r="B899" s="2"/>
    </row>
    <row r="900" spans="1:2" ht="12.75" customHeight="1" x14ac:dyDescent="0.15">
      <c r="A900" s="1"/>
      <c r="B900" s="2"/>
    </row>
    <row r="901" spans="1:2" ht="12.75" customHeight="1" x14ac:dyDescent="0.15">
      <c r="A901" s="1"/>
      <c r="B901" s="2"/>
    </row>
    <row r="902" spans="1:2" ht="12.75" customHeight="1" x14ac:dyDescent="0.15">
      <c r="A902" s="1"/>
      <c r="B902" s="2"/>
    </row>
    <row r="903" spans="1:2" ht="12.75" customHeight="1" x14ac:dyDescent="0.15">
      <c r="A903" s="1"/>
      <c r="B903" s="2"/>
    </row>
    <row r="904" spans="1:2" ht="12.75" customHeight="1" x14ac:dyDescent="0.15">
      <c r="A904" s="1"/>
      <c r="B904" s="2"/>
    </row>
    <row r="905" spans="1:2" ht="12.75" customHeight="1" x14ac:dyDescent="0.15">
      <c r="A905" s="1"/>
      <c r="B905" s="2"/>
    </row>
    <row r="906" spans="1:2" ht="12.75" customHeight="1" x14ac:dyDescent="0.15">
      <c r="A906" s="1"/>
      <c r="B906" s="2"/>
    </row>
    <row r="907" spans="1:2" ht="12.75" customHeight="1" x14ac:dyDescent="0.15">
      <c r="A907" s="1"/>
      <c r="B907" s="2"/>
    </row>
    <row r="908" spans="1:2" ht="12.75" customHeight="1" x14ac:dyDescent="0.15">
      <c r="A908" s="1"/>
      <c r="B908" s="2"/>
    </row>
    <row r="909" spans="1:2" ht="12.75" customHeight="1" x14ac:dyDescent="0.15">
      <c r="A909" s="1"/>
      <c r="B909" s="2"/>
    </row>
    <row r="910" spans="1:2" ht="12.75" customHeight="1" x14ac:dyDescent="0.15">
      <c r="A910" s="1"/>
      <c r="B910" s="2"/>
    </row>
    <row r="911" spans="1:2" ht="12.75" customHeight="1" x14ac:dyDescent="0.15">
      <c r="A911" s="1"/>
      <c r="B911" s="2"/>
    </row>
    <row r="912" spans="1:2" ht="12.75" customHeight="1" x14ac:dyDescent="0.15">
      <c r="A912" s="1"/>
      <c r="B912" s="2"/>
    </row>
    <row r="913" spans="1:2" ht="12.75" customHeight="1" x14ac:dyDescent="0.15">
      <c r="A913" s="1"/>
      <c r="B913" s="2"/>
    </row>
    <row r="914" spans="1:2" ht="12.75" customHeight="1" x14ac:dyDescent="0.15">
      <c r="A914" s="1"/>
      <c r="B914" s="2"/>
    </row>
    <row r="915" spans="1:2" ht="12.75" customHeight="1" x14ac:dyDescent="0.15">
      <c r="A915" s="1"/>
      <c r="B915" s="2"/>
    </row>
    <row r="916" spans="1:2" ht="12.75" customHeight="1" x14ac:dyDescent="0.15">
      <c r="A916" s="1"/>
      <c r="B916" s="2"/>
    </row>
    <row r="917" spans="1:2" ht="12.75" customHeight="1" x14ac:dyDescent="0.15">
      <c r="A917" s="1"/>
      <c r="B917" s="2"/>
    </row>
    <row r="918" spans="1:2" ht="12.75" customHeight="1" x14ac:dyDescent="0.15">
      <c r="A918" s="1"/>
      <c r="B918" s="2"/>
    </row>
    <row r="919" spans="1:2" ht="12.75" customHeight="1" x14ac:dyDescent="0.15">
      <c r="A919" s="1"/>
      <c r="B919" s="2"/>
    </row>
    <row r="920" spans="1:2" ht="12.75" customHeight="1" x14ac:dyDescent="0.15">
      <c r="A920" s="1"/>
      <c r="B920" s="2"/>
    </row>
    <row r="921" spans="1:2" ht="12.75" customHeight="1" x14ac:dyDescent="0.15">
      <c r="A921" s="1"/>
      <c r="B921" s="2"/>
    </row>
    <row r="922" spans="1:2" ht="12.75" customHeight="1" x14ac:dyDescent="0.15">
      <c r="A922" s="1"/>
      <c r="B922" s="2"/>
    </row>
    <row r="923" spans="1:2" ht="12.75" customHeight="1" x14ac:dyDescent="0.15">
      <c r="A923" s="1"/>
      <c r="B923" s="2"/>
    </row>
    <row r="924" spans="1:2" ht="12.75" customHeight="1" x14ac:dyDescent="0.15">
      <c r="A924" s="1"/>
      <c r="B924" s="2"/>
    </row>
    <row r="925" spans="1:2" ht="12.75" customHeight="1" x14ac:dyDescent="0.15">
      <c r="A925" s="1"/>
      <c r="B925" s="2"/>
    </row>
    <row r="926" spans="1:2" ht="12.75" customHeight="1" x14ac:dyDescent="0.15">
      <c r="A926" s="1"/>
      <c r="B926" s="2"/>
    </row>
    <row r="927" spans="1:2" ht="12.75" customHeight="1" x14ac:dyDescent="0.15">
      <c r="A927" s="1"/>
      <c r="B927" s="2"/>
    </row>
    <row r="928" spans="1:2" ht="12.75" customHeight="1" x14ac:dyDescent="0.15">
      <c r="A928" s="1"/>
      <c r="B928" s="2"/>
    </row>
    <row r="929" spans="1:2" ht="12.75" customHeight="1" x14ac:dyDescent="0.15">
      <c r="A929" s="1"/>
      <c r="B929" s="2"/>
    </row>
    <row r="930" spans="1:2" ht="12.75" customHeight="1" x14ac:dyDescent="0.15">
      <c r="A930" s="1"/>
      <c r="B930" s="2"/>
    </row>
    <row r="931" spans="1:2" ht="12.75" customHeight="1" x14ac:dyDescent="0.15">
      <c r="A931" s="1"/>
      <c r="B931" s="2"/>
    </row>
    <row r="932" spans="1:2" ht="12.75" customHeight="1" x14ac:dyDescent="0.15">
      <c r="A932" s="1"/>
      <c r="B932" s="2"/>
    </row>
    <row r="933" spans="1:2" ht="12.75" customHeight="1" x14ac:dyDescent="0.15">
      <c r="A933" s="1"/>
      <c r="B933" s="2"/>
    </row>
    <row r="934" spans="1:2" ht="12.75" customHeight="1" x14ac:dyDescent="0.15">
      <c r="A934" s="1"/>
      <c r="B934" s="2"/>
    </row>
    <row r="935" spans="1:2" ht="12.75" customHeight="1" x14ac:dyDescent="0.15">
      <c r="A935" s="1"/>
      <c r="B935" s="2"/>
    </row>
    <row r="936" spans="1:2" ht="12.75" customHeight="1" x14ac:dyDescent="0.15">
      <c r="A936" s="1"/>
      <c r="B936" s="2"/>
    </row>
    <row r="937" spans="1:2" ht="12.75" customHeight="1" x14ac:dyDescent="0.15">
      <c r="A937" s="1"/>
      <c r="B937" s="2"/>
    </row>
    <row r="938" spans="1:2" ht="12.75" customHeight="1" x14ac:dyDescent="0.15">
      <c r="A938" s="1"/>
      <c r="B938" s="2"/>
    </row>
    <row r="939" spans="1:2" ht="12.75" customHeight="1" x14ac:dyDescent="0.15">
      <c r="A939" s="1"/>
      <c r="B939" s="2"/>
    </row>
    <row r="940" spans="1:2" ht="12.75" customHeight="1" x14ac:dyDescent="0.15">
      <c r="A940" s="1"/>
      <c r="B940" s="2"/>
    </row>
    <row r="941" spans="1:2" ht="12.75" customHeight="1" x14ac:dyDescent="0.15">
      <c r="A941" s="1"/>
      <c r="B941" s="2"/>
    </row>
    <row r="942" spans="1:2" ht="12.75" customHeight="1" x14ac:dyDescent="0.15">
      <c r="A942" s="1"/>
      <c r="B942" s="2"/>
    </row>
    <row r="943" spans="1:2" ht="12.75" customHeight="1" x14ac:dyDescent="0.15">
      <c r="A943" s="1"/>
      <c r="B943" s="2"/>
    </row>
    <row r="944" spans="1:2" ht="12.75" customHeight="1" x14ac:dyDescent="0.15">
      <c r="A944" s="1"/>
      <c r="B944" s="2"/>
    </row>
    <row r="945" spans="1:2" ht="12.75" customHeight="1" x14ac:dyDescent="0.15">
      <c r="A945" s="1"/>
      <c r="B945" s="2"/>
    </row>
    <row r="946" spans="1:2" ht="12.75" customHeight="1" x14ac:dyDescent="0.15">
      <c r="A946" s="1"/>
      <c r="B946" s="2"/>
    </row>
    <row r="947" spans="1:2" ht="12.75" customHeight="1" x14ac:dyDescent="0.15">
      <c r="A947" s="1"/>
      <c r="B947" s="2"/>
    </row>
    <row r="948" spans="1:2" ht="12.75" customHeight="1" x14ac:dyDescent="0.15">
      <c r="A948" s="1"/>
      <c r="B948" s="2"/>
    </row>
    <row r="949" spans="1:2" ht="12.75" customHeight="1" x14ac:dyDescent="0.15">
      <c r="A949" s="1"/>
      <c r="B949" s="2"/>
    </row>
    <row r="950" spans="1:2" ht="12.75" customHeight="1" x14ac:dyDescent="0.15">
      <c r="A950" s="1"/>
      <c r="B950" s="2"/>
    </row>
    <row r="951" spans="1:2" ht="12.75" customHeight="1" x14ac:dyDescent="0.15">
      <c r="A951" s="1"/>
      <c r="B951" s="2"/>
    </row>
    <row r="952" spans="1:2" ht="12.75" customHeight="1" x14ac:dyDescent="0.15">
      <c r="A952" s="1"/>
      <c r="B952" s="2"/>
    </row>
    <row r="953" spans="1:2" ht="12.75" customHeight="1" x14ac:dyDescent="0.15">
      <c r="A953" s="1"/>
      <c r="B953" s="2"/>
    </row>
    <row r="954" spans="1:2" ht="12.75" customHeight="1" x14ac:dyDescent="0.15">
      <c r="A954" s="1"/>
      <c r="B954" s="2"/>
    </row>
    <row r="955" spans="1:2" ht="12.75" customHeight="1" x14ac:dyDescent="0.15">
      <c r="A955" s="1"/>
      <c r="B955" s="2"/>
    </row>
    <row r="956" spans="1:2" ht="12.75" customHeight="1" x14ac:dyDescent="0.15">
      <c r="A956" s="1"/>
      <c r="B956" s="2"/>
    </row>
    <row r="957" spans="1:2" ht="12.75" customHeight="1" x14ac:dyDescent="0.15">
      <c r="A957" s="1"/>
      <c r="B957" s="2"/>
    </row>
    <row r="958" spans="1:2" ht="12.75" customHeight="1" x14ac:dyDescent="0.15">
      <c r="A958" s="1"/>
      <c r="B958" s="2"/>
    </row>
    <row r="959" spans="1:2" ht="12.75" customHeight="1" x14ac:dyDescent="0.15">
      <c r="A959" s="1"/>
      <c r="B959" s="2"/>
    </row>
    <row r="960" spans="1:2" ht="12.75" customHeight="1" x14ac:dyDescent="0.15">
      <c r="A960" s="1"/>
      <c r="B960" s="2"/>
    </row>
    <row r="961" spans="1:2" ht="12.75" customHeight="1" x14ac:dyDescent="0.15">
      <c r="A961" s="1"/>
      <c r="B961" s="2"/>
    </row>
    <row r="962" spans="1:2" ht="12.75" customHeight="1" x14ac:dyDescent="0.15">
      <c r="A962" s="1"/>
      <c r="B962" s="2"/>
    </row>
    <row r="963" spans="1:2" ht="12.75" customHeight="1" x14ac:dyDescent="0.15">
      <c r="A963" s="1"/>
      <c r="B963" s="2"/>
    </row>
    <row r="964" spans="1:2" ht="12.75" customHeight="1" x14ac:dyDescent="0.15">
      <c r="A964" s="1"/>
      <c r="B964" s="2"/>
    </row>
    <row r="965" spans="1:2" ht="12.75" customHeight="1" x14ac:dyDescent="0.15">
      <c r="A965" s="1"/>
      <c r="B965" s="2"/>
    </row>
    <row r="966" spans="1:2" ht="12.75" customHeight="1" x14ac:dyDescent="0.15">
      <c r="A966" s="1"/>
      <c r="B966" s="2"/>
    </row>
    <row r="967" spans="1:2" ht="12.75" customHeight="1" x14ac:dyDescent="0.15">
      <c r="A967" s="1"/>
      <c r="B967" s="2"/>
    </row>
    <row r="968" spans="1:2" ht="12.75" customHeight="1" x14ac:dyDescent="0.15">
      <c r="A968" s="1"/>
      <c r="B968" s="2"/>
    </row>
    <row r="969" spans="1:2" ht="12.75" customHeight="1" x14ac:dyDescent="0.15">
      <c r="A969" s="1"/>
      <c r="B969" s="2"/>
    </row>
    <row r="970" spans="1:2" ht="12.75" customHeight="1" x14ac:dyDescent="0.15">
      <c r="A970" s="1"/>
      <c r="B970" s="2"/>
    </row>
    <row r="971" spans="1:2" ht="12.75" customHeight="1" x14ac:dyDescent="0.15">
      <c r="A971" s="1"/>
      <c r="B971" s="2"/>
    </row>
    <row r="972" spans="1:2" ht="12.75" customHeight="1" x14ac:dyDescent="0.15">
      <c r="A972" s="1"/>
      <c r="B972" s="2"/>
    </row>
    <row r="973" spans="1:2" ht="12.75" customHeight="1" x14ac:dyDescent="0.15">
      <c r="A973" s="1"/>
      <c r="B973" s="2"/>
    </row>
    <row r="974" spans="1:2" ht="12.75" customHeight="1" x14ac:dyDescent="0.15">
      <c r="A974" s="1"/>
      <c r="B974" s="2"/>
    </row>
    <row r="975" spans="1:2" ht="12.75" customHeight="1" x14ac:dyDescent="0.15">
      <c r="A975" s="1"/>
      <c r="B975" s="2"/>
    </row>
    <row r="976" spans="1:2" ht="12.75" customHeight="1" x14ac:dyDescent="0.15">
      <c r="A976" s="1"/>
      <c r="B976" s="2"/>
    </row>
    <row r="977" spans="1:2" ht="12.75" customHeight="1" x14ac:dyDescent="0.15">
      <c r="A977" s="1"/>
      <c r="B977" s="2"/>
    </row>
    <row r="978" spans="1:2" ht="12.75" customHeight="1" x14ac:dyDescent="0.15">
      <c r="A978" s="1"/>
      <c r="B978" s="2"/>
    </row>
    <row r="979" spans="1:2" ht="12.75" customHeight="1" x14ac:dyDescent="0.15">
      <c r="A979" s="1"/>
      <c r="B979" s="2"/>
    </row>
    <row r="980" spans="1:2" ht="12.75" customHeight="1" x14ac:dyDescent="0.15">
      <c r="A980" s="1"/>
      <c r="B980" s="2"/>
    </row>
    <row r="981" spans="1:2" ht="12.75" customHeight="1" x14ac:dyDescent="0.15">
      <c r="A981" s="1"/>
      <c r="B981" s="2"/>
    </row>
    <row r="982" spans="1:2" ht="12.75" customHeight="1" x14ac:dyDescent="0.15">
      <c r="A982" s="1"/>
      <c r="B982" s="2"/>
    </row>
    <row r="983" spans="1:2" ht="12.75" customHeight="1" x14ac:dyDescent="0.15">
      <c r="A983" s="1"/>
      <c r="B983" s="2"/>
    </row>
    <row r="984" spans="1:2" ht="12.75" customHeight="1" x14ac:dyDescent="0.15">
      <c r="A984" s="1"/>
      <c r="B984" s="2"/>
    </row>
    <row r="985" spans="1:2" ht="12.75" customHeight="1" x14ac:dyDescent="0.15">
      <c r="A985" s="1"/>
      <c r="B985" s="2"/>
    </row>
    <row r="986" spans="1:2" ht="12.75" customHeight="1" x14ac:dyDescent="0.15">
      <c r="A986" s="1"/>
      <c r="B986" s="2"/>
    </row>
    <row r="987" spans="1:2" ht="12.75" customHeight="1" x14ac:dyDescent="0.15">
      <c r="A987" s="1"/>
      <c r="B987" s="2"/>
    </row>
    <row r="988" spans="1:2" ht="12.75" customHeight="1" x14ac:dyDescent="0.15">
      <c r="A988" s="1"/>
      <c r="B988" s="2"/>
    </row>
    <row r="989" spans="1:2" ht="12.75" customHeight="1" x14ac:dyDescent="0.15">
      <c r="A989" s="1"/>
      <c r="B989" s="2"/>
    </row>
    <row r="990" spans="1:2" ht="12.75" customHeight="1" x14ac:dyDescent="0.15">
      <c r="A990" s="1"/>
      <c r="B990" s="2"/>
    </row>
    <row r="991" spans="1:2" ht="12.75" customHeight="1" x14ac:dyDescent="0.15">
      <c r="A991" s="1"/>
      <c r="B991" s="2"/>
    </row>
    <row r="992" spans="1:2" ht="12.75" customHeight="1" x14ac:dyDescent="0.15">
      <c r="A992" s="1"/>
      <c r="B992" s="2"/>
    </row>
    <row r="993" spans="1:2" ht="12.75" customHeight="1" x14ac:dyDescent="0.15">
      <c r="A993" s="1"/>
      <c r="B993" s="2"/>
    </row>
    <row r="994" spans="1:2" ht="12.75" customHeight="1" x14ac:dyDescent="0.15">
      <c r="A994" s="1"/>
      <c r="B994" s="2"/>
    </row>
    <row r="995" spans="1:2" ht="12.75" customHeight="1" x14ac:dyDescent="0.15">
      <c r="A995" s="1"/>
      <c r="B995" s="2"/>
    </row>
    <row r="996" spans="1:2" ht="12.75" customHeight="1" x14ac:dyDescent="0.15">
      <c r="A996" s="1"/>
      <c r="B996" s="2"/>
    </row>
    <row r="997" spans="1:2" ht="12.75" customHeight="1" x14ac:dyDescent="0.15">
      <c r="A997" s="1"/>
      <c r="B997" s="2"/>
    </row>
    <row r="998" spans="1:2" ht="12.75" customHeight="1" x14ac:dyDescent="0.15">
      <c r="A998" s="1"/>
      <c r="B998" s="2"/>
    </row>
    <row r="999" spans="1:2" ht="12.75" customHeight="1" x14ac:dyDescent="0.15">
      <c r="A999" s="1"/>
      <c r="B999" s="2"/>
    </row>
    <row r="1000" spans="1:2" ht="12.75" customHeight="1" x14ac:dyDescent="0.15">
      <c r="A1000" s="1"/>
      <c r="B1000" s="2"/>
    </row>
  </sheetData>
  <pageMargins left="0.7" right="0.7" top="0.75" bottom="0.75" header="0" footer="0"/>
  <pageSetup orientation="landscape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1000"/>
  <sheetViews>
    <sheetView workbookViewId="0"/>
  </sheetViews>
  <sheetFormatPr baseColWidth="10" defaultColWidth="12.6640625" defaultRowHeight="15" customHeight="1" x14ac:dyDescent="0.15"/>
  <cols>
    <col min="1" max="1" width="14.5" customWidth="1"/>
    <col min="2" max="2" width="41.5" customWidth="1"/>
    <col min="3" max="3" width="10.6640625" customWidth="1"/>
    <col min="4" max="4" width="165" customWidth="1"/>
    <col min="5" max="22" width="10.6640625" customWidth="1"/>
  </cols>
  <sheetData>
    <row r="1" spans="1:22" ht="12.75" customHeight="1" x14ac:dyDescent="0.15">
      <c r="A1" s="1" t="s">
        <v>0</v>
      </c>
      <c r="B1" s="2" t="s">
        <v>1</v>
      </c>
      <c r="C1" s="14" t="s">
        <v>49</v>
      </c>
      <c r="D1" s="14" t="s">
        <v>50</v>
      </c>
    </row>
    <row r="2" spans="1:22" ht="12.75" customHeight="1" x14ac:dyDescent="0.15">
      <c r="A2" s="3" t="s">
        <v>2</v>
      </c>
      <c r="B2" s="4" t="s">
        <v>3</v>
      </c>
      <c r="C2" s="15">
        <v>1</v>
      </c>
      <c r="D2" s="16"/>
    </row>
    <row r="3" spans="1:22" ht="12.75" customHeight="1" x14ac:dyDescent="0.15">
      <c r="A3" s="3" t="s">
        <v>2</v>
      </c>
      <c r="B3" s="4" t="s">
        <v>4</v>
      </c>
      <c r="C3" s="17">
        <v>1</v>
      </c>
      <c r="D3" s="18"/>
    </row>
    <row r="4" spans="1:22" ht="12.75" customHeight="1" x14ac:dyDescent="0.15">
      <c r="A4" s="3" t="s">
        <v>5</v>
      </c>
      <c r="B4" s="4" t="s">
        <v>6</v>
      </c>
      <c r="C4" s="15">
        <v>1</v>
      </c>
      <c r="D4" s="16"/>
    </row>
    <row r="5" spans="1:22" ht="12.75" customHeight="1" x14ac:dyDescent="0.15">
      <c r="A5" s="3" t="s">
        <v>2</v>
      </c>
      <c r="B5" s="4" t="s">
        <v>7</v>
      </c>
      <c r="C5" s="17">
        <v>0</v>
      </c>
      <c r="D5" s="18"/>
    </row>
    <row r="6" spans="1:22" ht="12.75" customHeight="1" x14ac:dyDescent="0.15">
      <c r="A6" s="3" t="s">
        <v>5</v>
      </c>
      <c r="B6" s="4" t="s">
        <v>8</v>
      </c>
      <c r="C6" s="15">
        <v>0</v>
      </c>
      <c r="D6" s="16"/>
    </row>
    <row r="7" spans="1:22" ht="12.75" customHeight="1" x14ac:dyDescent="0.15">
      <c r="A7" s="3" t="s">
        <v>5</v>
      </c>
      <c r="B7" s="4" t="s">
        <v>9</v>
      </c>
      <c r="C7" s="17">
        <v>0</v>
      </c>
      <c r="D7" s="18"/>
    </row>
    <row r="8" spans="1:22" ht="12.75" customHeight="1" x14ac:dyDescent="0.15">
      <c r="A8" s="3" t="s">
        <v>2</v>
      </c>
      <c r="B8" s="4" t="s">
        <v>10</v>
      </c>
      <c r="C8" s="15">
        <v>1</v>
      </c>
      <c r="D8" s="16"/>
    </row>
    <row r="9" spans="1:22" ht="12.75" customHeight="1" x14ac:dyDescent="0.15">
      <c r="A9" s="3" t="s">
        <v>5</v>
      </c>
      <c r="B9" s="4" t="s">
        <v>11</v>
      </c>
      <c r="C9" s="17">
        <v>1</v>
      </c>
      <c r="D9" s="18"/>
    </row>
    <row r="10" spans="1:22" ht="12.75" customHeight="1" x14ac:dyDescent="0.15">
      <c r="A10" s="3" t="s">
        <v>12</v>
      </c>
      <c r="B10" s="4" t="s">
        <v>13</v>
      </c>
      <c r="C10" s="15">
        <v>1</v>
      </c>
      <c r="D10" s="16"/>
    </row>
    <row r="11" spans="1:22" ht="12.75" customHeight="1" x14ac:dyDescent="0.15">
      <c r="A11" s="3" t="s">
        <v>14</v>
      </c>
      <c r="B11" s="4" t="s">
        <v>15</v>
      </c>
      <c r="C11" s="17">
        <v>0</v>
      </c>
      <c r="D11" s="18"/>
    </row>
    <row r="12" spans="1:22" ht="12.75" customHeight="1" x14ac:dyDescent="0.15">
      <c r="A12" s="3" t="s">
        <v>5</v>
      </c>
      <c r="B12" s="4" t="s">
        <v>16</v>
      </c>
      <c r="C12" s="15">
        <v>1</v>
      </c>
      <c r="D12" s="16"/>
    </row>
    <row r="13" spans="1:22" ht="12.75" customHeight="1" x14ac:dyDescent="0.15">
      <c r="A13" s="3" t="s">
        <v>5</v>
      </c>
      <c r="B13" s="4" t="s">
        <v>17</v>
      </c>
      <c r="C13" s="17">
        <v>1</v>
      </c>
      <c r="D13" s="18"/>
    </row>
    <row r="14" spans="1:22" ht="12.75" customHeight="1" x14ac:dyDescent="0.15">
      <c r="A14" s="3" t="s">
        <v>2</v>
      </c>
      <c r="B14" s="4" t="s">
        <v>18</v>
      </c>
      <c r="C14" s="15">
        <v>1</v>
      </c>
      <c r="D14" s="16"/>
    </row>
    <row r="15" spans="1:22" ht="12.75" customHeight="1" x14ac:dyDescent="0.15">
      <c r="A15" s="3" t="s">
        <v>2</v>
      </c>
      <c r="B15" s="4" t="s">
        <v>19</v>
      </c>
      <c r="C15" s="17">
        <v>1</v>
      </c>
      <c r="D15" s="18"/>
    </row>
    <row r="16" spans="1:22" ht="15" customHeight="1" x14ac:dyDescent="0.15">
      <c r="A16" s="3" t="s">
        <v>5</v>
      </c>
      <c r="B16" s="4" t="s">
        <v>20</v>
      </c>
      <c r="C16" s="15">
        <v>1</v>
      </c>
      <c r="D16" s="16" t="s">
        <v>51</v>
      </c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</row>
    <row r="17" spans="1:22" ht="12.75" customHeight="1" x14ac:dyDescent="0.15">
      <c r="A17" s="3" t="s">
        <v>5</v>
      </c>
      <c r="B17" s="4" t="s">
        <v>21</v>
      </c>
      <c r="C17" s="17">
        <v>0</v>
      </c>
      <c r="D17" s="18"/>
    </row>
    <row r="18" spans="1:22" ht="12.75" customHeight="1" x14ac:dyDescent="0.15">
      <c r="A18" s="3" t="s">
        <v>22</v>
      </c>
      <c r="B18" s="4" t="s">
        <v>23</v>
      </c>
      <c r="C18" s="15">
        <v>1</v>
      </c>
      <c r="D18" s="16" t="s">
        <v>52</v>
      </c>
    </row>
    <row r="19" spans="1:22" ht="12.75" customHeight="1" x14ac:dyDescent="0.15">
      <c r="A19" s="6" t="s">
        <v>24</v>
      </c>
      <c r="B19" s="7" t="s">
        <v>25</v>
      </c>
      <c r="C19" s="17">
        <v>0</v>
      </c>
      <c r="D19" s="18"/>
    </row>
    <row r="20" spans="1:22" ht="12.75" customHeight="1" x14ac:dyDescent="0.15">
      <c r="A20" s="3" t="s">
        <v>2</v>
      </c>
      <c r="B20" s="4" t="s">
        <v>26</v>
      </c>
      <c r="C20" s="15">
        <v>1</v>
      </c>
      <c r="D20" s="16"/>
    </row>
    <row r="21" spans="1:22" ht="12.75" customHeight="1" x14ac:dyDescent="0.15">
      <c r="A21" s="3" t="s">
        <v>5</v>
      </c>
      <c r="B21" s="4" t="s">
        <v>27</v>
      </c>
      <c r="C21" s="17">
        <v>1</v>
      </c>
      <c r="D21" s="18"/>
    </row>
    <row r="22" spans="1:22" ht="12.75" customHeight="1" x14ac:dyDescent="0.15">
      <c r="A22" s="3" t="s">
        <v>5</v>
      </c>
      <c r="B22" s="4" t="s">
        <v>28</v>
      </c>
      <c r="C22" s="15">
        <v>0</v>
      </c>
      <c r="D22" s="16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</row>
    <row r="23" spans="1:22" ht="12.75" customHeight="1" x14ac:dyDescent="0.15">
      <c r="A23" s="3" t="s">
        <v>2</v>
      </c>
      <c r="B23" s="4" t="s">
        <v>29</v>
      </c>
      <c r="C23" s="17">
        <v>0</v>
      </c>
      <c r="D23" s="18"/>
    </row>
    <row r="24" spans="1:22" ht="12.75" customHeight="1" x14ac:dyDescent="0.15">
      <c r="A24" s="3" t="s">
        <v>5</v>
      </c>
      <c r="B24" s="4" t="s">
        <v>30</v>
      </c>
      <c r="C24" s="15">
        <v>0</v>
      </c>
      <c r="D24" s="16"/>
    </row>
    <row r="25" spans="1:22" ht="12.75" customHeight="1" x14ac:dyDescent="0.15">
      <c r="A25" s="3" t="s">
        <v>22</v>
      </c>
      <c r="B25" s="4" t="s">
        <v>31</v>
      </c>
      <c r="C25" s="17">
        <v>0</v>
      </c>
      <c r="D25" s="18"/>
    </row>
    <row r="26" spans="1:22" ht="12.75" customHeight="1" x14ac:dyDescent="0.15">
      <c r="A26" s="3" t="s">
        <v>24</v>
      </c>
      <c r="B26" s="4" t="s">
        <v>25</v>
      </c>
      <c r="C26" s="17">
        <v>0</v>
      </c>
      <c r="D26" s="18"/>
    </row>
    <row r="27" spans="1:22" ht="12.75" customHeight="1" x14ac:dyDescent="0.15">
      <c r="A27" s="3" t="s">
        <v>5</v>
      </c>
      <c r="B27" s="4" t="s">
        <v>32</v>
      </c>
      <c r="C27" s="15">
        <v>1</v>
      </c>
      <c r="D27" s="16"/>
    </row>
    <row r="28" spans="1:22" ht="12.75" customHeight="1" x14ac:dyDescent="0.15">
      <c r="A28" s="3" t="s">
        <v>22</v>
      </c>
      <c r="B28" s="4" t="s">
        <v>33</v>
      </c>
      <c r="C28" s="17">
        <v>1</v>
      </c>
      <c r="D28" s="18"/>
    </row>
    <row r="29" spans="1:22" ht="12.75" customHeight="1" x14ac:dyDescent="0.15">
      <c r="A29" s="3" t="s">
        <v>24</v>
      </c>
      <c r="B29" s="4" t="s">
        <v>34</v>
      </c>
      <c r="C29" s="15">
        <v>1</v>
      </c>
      <c r="D29" s="16"/>
    </row>
    <row r="30" spans="1:22" ht="12.75" customHeight="1" x14ac:dyDescent="0.15">
      <c r="A30" s="3" t="s">
        <v>2</v>
      </c>
      <c r="B30" s="4" t="s">
        <v>35</v>
      </c>
      <c r="C30" s="17">
        <v>1</v>
      </c>
      <c r="D30" s="18"/>
    </row>
    <row r="31" spans="1:22" ht="12.75" customHeight="1" x14ac:dyDescent="0.15">
      <c r="A31" s="3" t="s">
        <v>5</v>
      </c>
      <c r="B31" s="4" t="s">
        <v>36</v>
      </c>
      <c r="C31" s="15">
        <v>0</v>
      </c>
      <c r="D31" s="16"/>
    </row>
    <row r="32" spans="1:22" ht="12.75" customHeight="1" x14ac:dyDescent="0.15">
      <c r="A32" s="3" t="s">
        <v>22</v>
      </c>
      <c r="B32" s="4" t="s">
        <v>37</v>
      </c>
      <c r="C32" s="17">
        <v>0</v>
      </c>
      <c r="D32" s="18"/>
    </row>
    <row r="33" spans="1:22" ht="12.75" customHeight="1" x14ac:dyDescent="0.15">
      <c r="A33" s="6" t="s">
        <v>24</v>
      </c>
      <c r="B33" s="7" t="s">
        <v>25</v>
      </c>
      <c r="C33" s="15">
        <v>0</v>
      </c>
      <c r="D33" s="16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</row>
    <row r="34" spans="1:22" ht="12.75" customHeight="1" x14ac:dyDescent="0.15">
      <c r="A34" s="3" t="s">
        <v>5</v>
      </c>
      <c r="B34" s="4" t="s">
        <v>38</v>
      </c>
      <c r="C34" s="17">
        <v>1</v>
      </c>
      <c r="D34" s="18"/>
    </row>
    <row r="35" spans="1:22" ht="15" customHeight="1" x14ac:dyDescent="0.15">
      <c r="A35" s="3" t="s">
        <v>22</v>
      </c>
      <c r="B35" s="4" t="s">
        <v>39</v>
      </c>
      <c r="C35" s="15">
        <v>0</v>
      </c>
      <c r="D35" s="16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</row>
    <row r="36" spans="1:22" ht="15" customHeight="1" x14ac:dyDescent="0.15">
      <c r="A36" s="3" t="s">
        <v>24</v>
      </c>
      <c r="B36" s="4" t="s">
        <v>40</v>
      </c>
      <c r="C36" s="17">
        <v>1</v>
      </c>
      <c r="D36" s="18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</row>
    <row r="37" spans="1:22" ht="15" customHeight="1" x14ac:dyDescent="0.15">
      <c r="A37" s="3" t="s">
        <v>2</v>
      </c>
      <c r="B37" s="4" t="s">
        <v>41</v>
      </c>
      <c r="C37" s="15">
        <v>1</v>
      </c>
      <c r="D37" s="16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</row>
    <row r="38" spans="1:22" ht="15" customHeight="1" x14ac:dyDescent="0.15">
      <c r="A38" s="3" t="s">
        <v>5</v>
      </c>
      <c r="B38" s="4" t="s">
        <v>42</v>
      </c>
      <c r="C38" s="17">
        <v>0</v>
      </c>
      <c r="D38" s="18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</row>
    <row r="39" spans="1:22" ht="15" customHeight="1" x14ac:dyDescent="0.15">
      <c r="A39" s="8" t="s">
        <v>22</v>
      </c>
      <c r="B39" s="9" t="s">
        <v>37</v>
      </c>
      <c r="C39" s="15">
        <v>0</v>
      </c>
      <c r="D39" s="16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</row>
    <row r="40" spans="1:22" ht="15" customHeight="1" x14ac:dyDescent="0.15">
      <c r="A40" s="6" t="s">
        <v>24</v>
      </c>
      <c r="B40" s="7" t="s">
        <v>25</v>
      </c>
      <c r="C40" s="17">
        <v>0</v>
      </c>
      <c r="D40" s="18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</row>
    <row r="41" spans="1:22" ht="15" customHeight="1" x14ac:dyDescent="0.15">
      <c r="A41" s="3" t="s">
        <v>5</v>
      </c>
      <c r="B41" s="4" t="s">
        <v>43</v>
      </c>
      <c r="C41" s="15">
        <v>1</v>
      </c>
      <c r="D41" s="16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</row>
    <row r="42" spans="1:22" ht="15" customHeight="1" x14ac:dyDescent="0.15">
      <c r="A42" s="3" t="s">
        <v>22</v>
      </c>
      <c r="B42" s="4" t="s">
        <v>44</v>
      </c>
      <c r="C42" s="17">
        <v>0.5</v>
      </c>
      <c r="D42" s="18" t="s">
        <v>53</v>
      </c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</row>
    <row r="43" spans="1:22" ht="15" customHeight="1" x14ac:dyDescent="0.15">
      <c r="A43" s="3" t="s">
        <v>2</v>
      </c>
      <c r="B43" s="4" t="s">
        <v>45</v>
      </c>
      <c r="C43" s="15">
        <v>1</v>
      </c>
      <c r="D43" s="16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</row>
    <row r="44" spans="1:22" ht="15" customHeight="1" x14ac:dyDescent="0.15">
      <c r="A44" s="10" t="s">
        <v>5</v>
      </c>
      <c r="B44" s="11" t="s">
        <v>46</v>
      </c>
      <c r="C44" s="19">
        <v>1</v>
      </c>
      <c r="D44" s="20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</row>
    <row r="45" spans="1:22" ht="12.75" customHeight="1" x14ac:dyDescent="0.15">
      <c r="A45" s="12" t="s">
        <v>2</v>
      </c>
      <c r="B45" s="13" t="s">
        <v>47</v>
      </c>
      <c r="C45" s="21">
        <v>0</v>
      </c>
      <c r="D45" s="22"/>
    </row>
    <row r="46" spans="1:22" ht="12.75" customHeight="1" x14ac:dyDescent="0.15">
      <c r="A46" s="12" t="s">
        <v>5</v>
      </c>
      <c r="B46" s="13" t="s">
        <v>47</v>
      </c>
      <c r="C46" s="23">
        <v>0</v>
      </c>
      <c r="D46" s="24"/>
    </row>
    <row r="47" spans="1:22" ht="12.75" customHeight="1" x14ac:dyDescent="0.15">
      <c r="A47" s="3" t="s">
        <v>22</v>
      </c>
      <c r="B47" s="4" t="s">
        <v>47</v>
      </c>
      <c r="C47" s="21">
        <v>0</v>
      </c>
      <c r="D47" s="22"/>
    </row>
    <row r="48" spans="1:22" ht="12.75" customHeight="1" x14ac:dyDescent="0.15">
      <c r="A48" s="12" t="s">
        <v>24</v>
      </c>
      <c r="B48" s="13" t="s">
        <v>47</v>
      </c>
      <c r="C48" s="23">
        <v>0</v>
      </c>
      <c r="D48" s="24"/>
    </row>
    <row r="49" spans="1:4" ht="12.75" customHeight="1" x14ac:dyDescent="0.15">
      <c r="A49" s="3" t="s">
        <v>12</v>
      </c>
      <c r="B49" s="4" t="s">
        <v>47</v>
      </c>
      <c r="C49" s="21">
        <v>0</v>
      </c>
      <c r="D49" s="22"/>
    </row>
    <row r="50" spans="1:4" ht="12.75" customHeight="1" x14ac:dyDescent="0.15">
      <c r="A50" s="12" t="s">
        <v>48</v>
      </c>
      <c r="B50" s="13" t="s">
        <v>47</v>
      </c>
      <c r="C50" s="23">
        <v>0</v>
      </c>
      <c r="D50" s="24"/>
    </row>
    <row r="51" spans="1:4" ht="12.75" customHeight="1" x14ac:dyDescent="0.15">
      <c r="A51" s="3" t="s">
        <v>14</v>
      </c>
      <c r="B51" s="4" t="s">
        <v>47</v>
      </c>
      <c r="C51" s="21">
        <v>0</v>
      </c>
      <c r="D51" s="22"/>
    </row>
    <row r="52" spans="1:4" ht="12.75" customHeight="1" x14ac:dyDescent="0.15">
      <c r="A52" s="1"/>
      <c r="B52" s="25"/>
      <c r="C52" s="26"/>
      <c r="D52" s="26"/>
    </row>
    <row r="53" spans="1:4" ht="12.75" customHeight="1" x14ac:dyDescent="0.15">
      <c r="A53" s="1"/>
      <c r="B53" s="25"/>
      <c r="C53" s="26"/>
      <c r="D53" s="26"/>
    </row>
    <row r="54" spans="1:4" ht="12.75" customHeight="1" x14ac:dyDescent="0.15">
      <c r="A54" s="1"/>
      <c r="B54" s="2"/>
    </row>
    <row r="55" spans="1:4" ht="12.75" customHeight="1" x14ac:dyDescent="0.15">
      <c r="A55" s="1"/>
      <c r="B55" s="2"/>
    </row>
    <row r="56" spans="1:4" ht="12.75" customHeight="1" x14ac:dyDescent="0.15">
      <c r="A56" s="1"/>
      <c r="B56" s="2"/>
    </row>
    <row r="57" spans="1:4" ht="12.75" customHeight="1" x14ac:dyDescent="0.15">
      <c r="A57" s="1"/>
      <c r="B57" s="2"/>
    </row>
    <row r="58" spans="1:4" ht="12.75" customHeight="1" x14ac:dyDescent="0.15">
      <c r="A58" s="1"/>
      <c r="B58" s="2"/>
    </row>
    <row r="59" spans="1:4" ht="12.75" customHeight="1" x14ac:dyDescent="0.15">
      <c r="A59" s="1"/>
      <c r="B59" s="2"/>
    </row>
    <row r="60" spans="1:4" ht="12.75" customHeight="1" x14ac:dyDescent="0.15">
      <c r="A60" s="1"/>
      <c r="B60" s="2"/>
    </row>
    <row r="61" spans="1:4" ht="12.75" customHeight="1" x14ac:dyDescent="0.15">
      <c r="A61" s="1"/>
      <c r="B61" s="2"/>
    </row>
    <row r="62" spans="1:4" ht="12.75" customHeight="1" x14ac:dyDescent="0.15">
      <c r="A62" s="1"/>
      <c r="B62" s="2"/>
    </row>
    <row r="63" spans="1:4" ht="12.75" customHeight="1" x14ac:dyDescent="0.15">
      <c r="A63" s="1"/>
      <c r="B63" s="2"/>
    </row>
    <row r="64" spans="1:4" ht="12.75" customHeight="1" x14ac:dyDescent="0.15">
      <c r="A64" s="1"/>
      <c r="B64" s="2"/>
    </row>
    <row r="65" spans="1:2" ht="12.75" customHeight="1" x14ac:dyDescent="0.15">
      <c r="A65" s="1"/>
      <c r="B65" s="2"/>
    </row>
    <row r="66" spans="1:2" ht="12.75" customHeight="1" x14ac:dyDescent="0.15">
      <c r="A66" s="1"/>
      <c r="B66" s="2"/>
    </row>
    <row r="67" spans="1:2" ht="12.75" customHeight="1" x14ac:dyDescent="0.15">
      <c r="A67" s="1"/>
      <c r="B67" s="2"/>
    </row>
    <row r="68" spans="1:2" ht="12.75" customHeight="1" x14ac:dyDescent="0.15">
      <c r="A68" s="1"/>
      <c r="B68" s="2"/>
    </row>
    <row r="69" spans="1:2" ht="12.75" customHeight="1" x14ac:dyDescent="0.15">
      <c r="A69" s="1"/>
      <c r="B69" s="2"/>
    </row>
    <row r="70" spans="1:2" ht="12.75" customHeight="1" x14ac:dyDescent="0.15">
      <c r="A70" s="1"/>
      <c r="B70" s="2"/>
    </row>
    <row r="71" spans="1:2" ht="12.75" customHeight="1" x14ac:dyDescent="0.15">
      <c r="A71" s="1"/>
      <c r="B71" s="2"/>
    </row>
    <row r="72" spans="1:2" ht="12.75" customHeight="1" x14ac:dyDescent="0.15">
      <c r="A72" s="1"/>
      <c r="B72" s="2"/>
    </row>
    <row r="73" spans="1:2" ht="12.75" customHeight="1" x14ac:dyDescent="0.15">
      <c r="A73" s="1"/>
      <c r="B73" s="2"/>
    </row>
    <row r="74" spans="1:2" ht="12.75" customHeight="1" x14ac:dyDescent="0.15">
      <c r="A74" s="1"/>
      <c r="B74" s="2"/>
    </row>
    <row r="75" spans="1:2" ht="12.75" customHeight="1" x14ac:dyDescent="0.15">
      <c r="A75" s="1"/>
      <c r="B75" s="2"/>
    </row>
    <row r="76" spans="1:2" ht="12.75" customHeight="1" x14ac:dyDescent="0.15">
      <c r="A76" s="1"/>
      <c r="B76" s="2"/>
    </row>
    <row r="77" spans="1:2" ht="12.75" customHeight="1" x14ac:dyDescent="0.15">
      <c r="A77" s="1"/>
      <c r="B77" s="2"/>
    </row>
    <row r="78" spans="1:2" ht="12.75" customHeight="1" x14ac:dyDescent="0.15">
      <c r="A78" s="1"/>
      <c r="B78" s="2"/>
    </row>
    <row r="79" spans="1:2" ht="12.75" customHeight="1" x14ac:dyDescent="0.15">
      <c r="A79" s="1"/>
      <c r="B79" s="2"/>
    </row>
    <row r="80" spans="1:2" ht="12.75" customHeight="1" x14ac:dyDescent="0.15">
      <c r="A80" s="1"/>
      <c r="B80" s="2"/>
    </row>
    <row r="81" spans="1:2" ht="12.75" customHeight="1" x14ac:dyDescent="0.15">
      <c r="A81" s="1"/>
      <c r="B81" s="2"/>
    </row>
    <row r="82" spans="1:2" ht="12.75" customHeight="1" x14ac:dyDescent="0.15">
      <c r="A82" s="1"/>
      <c r="B82" s="2"/>
    </row>
    <row r="83" spans="1:2" ht="12.75" customHeight="1" x14ac:dyDescent="0.15">
      <c r="A83" s="1"/>
      <c r="B83" s="2"/>
    </row>
    <row r="84" spans="1:2" ht="12.75" customHeight="1" x14ac:dyDescent="0.15">
      <c r="A84" s="1"/>
      <c r="B84" s="2"/>
    </row>
    <row r="85" spans="1:2" ht="12.75" customHeight="1" x14ac:dyDescent="0.15">
      <c r="A85" s="1"/>
      <c r="B85" s="2"/>
    </row>
    <row r="86" spans="1:2" ht="12.75" customHeight="1" x14ac:dyDescent="0.15">
      <c r="A86" s="1"/>
      <c r="B86" s="2"/>
    </row>
    <row r="87" spans="1:2" ht="12.75" customHeight="1" x14ac:dyDescent="0.15">
      <c r="A87" s="1"/>
      <c r="B87" s="2"/>
    </row>
    <row r="88" spans="1:2" ht="12.75" customHeight="1" x14ac:dyDescent="0.15">
      <c r="A88" s="1"/>
      <c r="B88" s="2"/>
    </row>
    <row r="89" spans="1:2" ht="12.75" customHeight="1" x14ac:dyDescent="0.15">
      <c r="A89" s="1"/>
      <c r="B89" s="2"/>
    </row>
    <row r="90" spans="1:2" ht="12.75" customHeight="1" x14ac:dyDescent="0.15">
      <c r="A90" s="1"/>
      <c r="B90" s="2"/>
    </row>
    <row r="91" spans="1:2" ht="12.75" customHeight="1" x14ac:dyDescent="0.15">
      <c r="A91" s="1"/>
      <c r="B91" s="2"/>
    </row>
    <row r="92" spans="1:2" ht="12.75" customHeight="1" x14ac:dyDescent="0.15">
      <c r="A92" s="1"/>
      <c r="B92" s="2"/>
    </row>
    <row r="93" spans="1:2" ht="12.75" customHeight="1" x14ac:dyDescent="0.15">
      <c r="A93" s="1"/>
      <c r="B93" s="2"/>
    </row>
    <row r="94" spans="1:2" ht="12.75" customHeight="1" x14ac:dyDescent="0.15">
      <c r="A94" s="1"/>
      <c r="B94" s="2"/>
    </row>
    <row r="95" spans="1:2" ht="12.75" customHeight="1" x14ac:dyDescent="0.15">
      <c r="A95" s="1"/>
      <c r="B95" s="2"/>
    </row>
    <row r="96" spans="1:2" ht="12.75" customHeight="1" x14ac:dyDescent="0.15">
      <c r="A96" s="1"/>
      <c r="B96" s="2"/>
    </row>
    <row r="97" spans="1:2" ht="12.75" customHeight="1" x14ac:dyDescent="0.15">
      <c r="A97" s="1"/>
      <c r="B97" s="2"/>
    </row>
    <row r="98" spans="1:2" ht="12.75" customHeight="1" x14ac:dyDescent="0.15">
      <c r="A98" s="1"/>
      <c r="B98" s="2"/>
    </row>
    <row r="99" spans="1:2" ht="12.75" customHeight="1" x14ac:dyDescent="0.15">
      <c r="A99" s="1"/>
      <c r="B99" s="2"/>
    </row>
    <row r="100" spans="1:2" ht="12.75" customHeight="1" x14ac:dyDescent="0.15">
      <c r="A100" s="1"/>
      <c r="B100" s="2"/>
    </row>
    <row r="101" spans="1:2" ht="12.75" customHeight="1" x14ac:dyDescent="0.15">
      <c r="A101" s="1"/>
      <c r="B101" s="2"/>
    </row>
    <row r="102" spans="1:2" ht="12.75" customHeight="1" x14ac:dyDescent="0.15">
      <c r="A102" s="1"/>
      <c r="B102" s="2"/>
    </row>
    <row r="103" spans="1:2" ht="12.75" customHeight="1" x14ac:dyDescent="0.15">
      <c r="A103" s="1"/>
      <c r="B103" s="2"/>
    </row>
    <row r="104" spans="1:2" ht="12.75" customHeight="1" x14ac:dyDescent="0.15">
      <c r="A104" s="1"/>
      <c r="B104" s="2"/>
    </row>
    <row r="105" spans="1:2" ht="12.75" customHeight="1" x14ac:dyDescent="0.15">
      <c r="A105" s="1"/>
      <c r="B105" s="2"/>
    </row>
    <row r="106" spans="1:2" ht="12.75" customHeight="1" x14ac:dyDescent="0.15">
      <c r="A106" s="1"/>
      <c r="B106" s="2"/>
    </row>
    <row r="107" spans="1:2" ht="12.75" customHeight="1" x14ac:dyDescent="0.15">
      <c r="A107" s="1"/>
      <c r="B107" s="2"/>
    </row>
    <row r="108" spans="1:2" ht="12.75" customHeight="1" x14ac:dyDescent="0.15">
      <c r="A108" s="1"/>
      <c r="B108" s="2"/>
    </row>
    <row r="109" spans="1:2" ht="12.75" customHeight="1" x14ac:dyDescent="0.15">
      <c r="A109" s="1"/>
      <c r="B109" s="2"/>
    </row>
    <row r="110" spans="1:2" ht="12.75" customHeight="1" x14ac:dyDescent="0.15">
      <c r="A110" s="1"/>
      <c r="B110" s="2"/>
    </row>
    <row r="111" spans="1:2" ht="12.75" customHeight="1" x14ac:dyDescent="0.15">
      <c r="A111" s="1"/>
      <c r="B111" s="2"/>
    </row>
    <row r="112" spans="1:2" ht="12.75" customHeight="1" x14ac:dyDescent="0.15">
      <c r="A112" s="1"/>
      <c r="B112" s="2"/>
    </row>
    <row r="113" spans="1:2" ht="12.75" customHeight="1" x14ac:dyDescent="0.15">
      <c r="A113" s="1"/>
      <c r="B113" s="2"/>
    </row>
    <row r="114" spans="1:2" ht="12.75" customHeight="1" x14ac:dyDescent="0.15">
      <c r="A114" s="1"/>
      <c r="B114" s="2"/>
    </row>
    <row r="115" spans="1:2" ht="12.75" customHeight="1" x14ac:dyDescent="0.15">
      <c r="A115" s="1"/>
      <c r="B115" s="2"/>
    </row>
    <row r="116" spans="1:2" ht="12.75" customHeight="1" x14ac:dyDescent="0.15">
      <c r="A116" s="1"/>
      <c r="B116" s="2"/>
    </row>
    <row r="117" spans="1:2" ht="12.75" customHeight="1" x14ac:dyDescent="0.15">
      <c r="A117" s="1"/>
      <c r="B117" s="2"/>
    </row>
    <row r="118" spans="1:2" ht="12.75" customHeight="1" x14ac:dyDescent="0.15">
      <c r="A118" s="1"/>
      <c r="B118" s="2"/>
    </row>
    <row r="119" spans="1:2" ht="12.75" customHeight="1" x14ac:dyDescent="0.15">
      <c r="A119" s="1"/>
      <c r="B119" s="2"/>
    </row>
    <row r="120" spans="1:2" ht="12.75" customHeight="1" x14ac:dyDescent="0.15">
      <c r="A120" s="1"/>
      <c r="B120" s="2"/>
    </row>
    <row r="121" spans="1:2" ht="12.75" customHeight="1" x14ac:dyDescent="0.15">
      <c r="A121" s="1"/>
      <c r="B121" s="2"/>
    </row>
    <row r="122" spans="1:2" ht="12.75" customHeight="1" x14ac:dyDescent="0.15">
      <c r="A122" s="1"/>
      <c r="B122" s="2"/>
    </row>
    <row r="123" spans="1:2" ht="12.75" customHeight="1" x14ac:dyDescent="0.15">
      <c r="A123" s="1"/>
      <c r="B123" s="2"/>
    </row>
    <row r="124" spans="1:2" ht="12.75" customHeight="1" x14ac:dyDescent="0.15">
      <c r="A124" s="1"/>
      <c r="B124" s="2"/>
    </row>
    <row r="125" spans="1:2" ht="12.75" customHeight="1" x14ac:dyDescent="0.15">
      <c r="A125" s="1"/>
      <c r="B125" s="2"/>
    </row>
    <row r="126" spans="1:2" ht="12.75" customHeight="1" x14ac:dyDescent="0.15">
      <c r="A126" s="1"/>
      <c r="B126" s="2"/>
    </row>
    <row r="127" spans="1:2" ht="12.75" customHeight="1" x14ac:dyDescent="0.15">
      <c r="A127" s="1"/>
      <c r="B127" s="2"/>
    </row>
    <row r="128" spans="1:2" ht="12.75" customHeight="1" x14ac:dyDescent="0.15">
      <c r="A128" s="1"/>
      <c r="B128" s="2"/>
    </row>
    <row r="129" spans="1:2" ht="12.75" customHeight="1" x14ac:dyDescent="0.15">
      <c r="A129" s="1"/>
      <c r="B129" s="2"/>
    </row>
    <row r="130" spans="1:2" ht="12.75" customHeight="1" x14ac:dyDescent="0.15">
      <c r="A130" s="1"/>
      <c r="B130" s="2"/>
    </row>
    <row r="131" spans="1:2" ht="12.75" customHeight="1" x14ac:dyDescent="0.15">
      <c r="A131" s="1"/>
      <c r="B131" s="2"/>
    </row>
    <row r="132" spans="1:2" ht="12.75" customHeight="1" x14ac:dyDescent="0.15">
      <c r="A132" s="1"/>
      <c r="B132" s="2"/>
    </row>
    <row r="133" spans="1:2" ht="12.75" customHeight="1" x14ac:dyDescent="0.15">
      <c r="A133" s="1"/>
      <c r="B133" s="2"/>
    </row>
    <row r="134" spans="1:2" ht="12.75" customHeight="1" x14ac:dyDescent="0.15">
      <c r="A134" s="1"/>
      <c r="B134" s="2"/>
    </row>
    <row r="135" spans="1:2" ht="12.75" customHeight="1" x14ac:dyDescent="0.15">
      <c r="A135" s="1"/>
      <c r="B135" s="2"/>
    </row>
    <row r="136" spans="1:2" ht="12.75" customHeight="1" x14ac:dyDescent="0.15">
      <c r="A136" s="1"/>
      <c r="B136" s="2"/>
    </row>
    <row r="137" spans="1:2" ht="12.75" customHeight="1" x14ac:dyDescent="0.15">
      <c r="A137" s="1"/>
      <c r="B137" s="2"/>
    </row>
    <row r="138" spans="1:2" ht="12.75" customHeight="1" x14ac:dyDescent="0.15">
      <c r="A138" s="1"/>
      <c r="B138" s="2"/>
    </row>
    <row r="139" spans="1:2" ht="12.75" customHeight="1" x14ac:dyDescent="0.15">
      <c r="A139" s="1"/>
      <c r="B139" s="2"/>
    </row>
    <row r="140" spans="1:2" ht="12.75" customHeight="1" x14ac:dyDescent="0.15">
      <c r="A140" s="1"/>
      <c r="B140" s="2"/>
    </row>
    <row r="141" spans="1:2" ht="12.75" customHeight="1" x14ac:dyDescent="0.15">
      <c r="A141" s="1"/>
      <c r="B141" s="2"/>
    </row>
    <row r="142" spans="1:2" ht="12.75" customHeight="1" x14ac:dyDescent="0.15">
      <c r="A142" s="1"/>
      <c r="B142" s="2"/>
    </row>
    <row r="143" spans="1:2" ht="12.75" customHeight="1" x14ac:dyDescent="0.15">
      <c r="A143" s="1"/>
      <c r="B143" s="2"/>
    </row>
    <row r="144" spans="1:2" ht="12.75" customHeight="1" x14ac:dyDescent="0.15">
      <c r="A144" s="1"/>
      <c r="B144" s="2"/>
    </row>
    <row r="145" spans="1:2" ht="12.75" customHeight="1" x14ac:dyDescent="0.15">
      <c r="A145" s="1"/>
      <c r="B145" s="2"/>
    </row>
    <row r="146" spans="1:2" ht="12.75" customHeight="1" x14ac:dyDescent="0.15">
      <c r="A146" s="1"/>
      <c r="B146" s="2"/>
    </row>
    <row r="147" spans="1:2" ht="12.75" customHeight="1" x14ac:dyDescent="0.15">
      <c r="A147" s="1"/>
      <c r="B147" s="2"/>
    </row>
    <row r="148" spans="1:2" ht="12.75" customHeight="1" x14ac:dyDescent="0.15">
      <c r="A148" s="1"/>
      <c r="B148" s="2"/>
    </row>
    <row r="149" spans="1:2" ht="12.75" customHeight="1" x14ac:dyDescent="0.15">
      <c r="A149" s="1"/>
      <c r="B149" s="2"/>
    </row>
    <row r="150" spans="1:2" ht="12.75" customHeight="1" x14ac:dyDescent="0.15">
      <c r="A150" s="1"/>
      <c r="B150" s="2"/>
    </row>
    <row r="151" spans="1:2" ht="12.75" customHeight="1" x14ac:dyDescent="0.15">
      <c r="A151" s="1"/>
      <c r="B151" s="2"/>
    </row>
    <row r="152" spans="1:2" ht="12.75" customHeight="1" x14ac:dyDescent="0.15">
      <c r="A152" s="1"/>
      <c r="B152" s="2"/>
    </row>
    <row r="153" spans="1:2" ht="12.75" customHeight="1" x14ac:dyDescent="0.15">
      <c r="A153" s="1"/>
      <c r="B153" s="2"/>
    </row>
    <row r="154" spans="1:2" ht="12.75" customHeight="1" x14ac:dyDescent="0.15">
      <c r="A154" s="1"/>
      <c r="B154" s="2"/>
    </row>
    <row r="155" spans="1:2" ht="12.75" customHeight="1" x14ac:dyDescent="0.15">
      <c r="A155" s="1"/>
      <c r="B155" s="2"/>
    </row>
    <row r="156" spans="1:2" ht="12.75" customHeight="1" x14ac:dyDescent="0.15">
      <c r="A156" s="1"/>
      <c r="B156" s="2"/>
    </row>
    <row r="157" spans="1:2" ht="12.75" customHeight="1" x14ac:dyDescent="0.15">
      <c r="A157" s="1"/>
      <c r="B157" s="2"/>
    </row>
    <row r="158" spans="1:2" ht="12.75" customHeight="1" x14ac:dyDescent="0.15">
      <c r="A158" s="1"/>
      <c r="B158" s="2"/>
    </row>
    <row r="159" spans="1:2" ht="12.75" customHeight="1" x14ac:dyDescent="0.15">
      <c r="A159" s="1"/>
      <c r="B159" s="2"/>
    </row>
    <row r="160" spans="1:2" ht="12.75" customHeight="1" x14ac:dyDescent="0.15">
      <c r="A160" s="1"/>
      <c r="B160" s="2"/>
    </row>
    <row r="161" spans="1:2" ht="12.75" customHeight="1" x14ac:dyDescent="0.15">
      <c r="A161" s="1"/>
      <c r="B161" s="2"/>
    </row>
    <row r="162" spans="1:2" ht="12.75" customHeight="1" x14ac:dyDescent="0.15">
      <c r="A162" s="1"/>
      <c r="B162" s="2"/>
    </row>
    <row r="163" spans="1:2" ht="12.75" customHeight="1" x14ac:dyDescent="0.15">
      <c r="A163" s="1"/>
      <c r="B163" s="2"/>
    </row>
    <row r="164" spans="1:2" ht="12.75" customHeight="1" x14ac:dyDescent="0.15">
      <c r="A164" s="1"/>
      <c r="B164" s="2"/>
    </row>
    <row r="165" spans="1:2" ht="12.75" customHeight="1" x14ac:dyDescent="0.15">
      <c r="A165" s="1"/>
      <c r="B165" s="2"/>
    </row>
    <row r="166" spans="1:2" ht="12.75" customHeight="1" x14ac:dyDescent="0.15">
      <c r="A166" s="1"/>
      <c r="B166" s="2"/>
    </row>
    <row r="167" spans="1:2" ht="12.75" customHeight="1" x14ac:dyDescent="0.15">
      <c r="A167" s="1"/>
      <c r="B167" s="2"/>
    </row>
    <row r="168" spans="1:2" ht="12.75" customHeight="1" x14ac:dyDescent="0.15">
      <c r="A168" s="1"/>
      <c r="B168" s="2"/>
    </row>
    <row r="169" spans="1:2" ht="12.75" customHeight="1" x14ac:dyDescent="0.15">
      <c r="A169" s="1"/>
      <c r="B169" s="2"/>
    </row>
    <row r="170" spans="1:2" ht="12.75" customHeight="1" x14ac:dyDescent="0.15">
      <c r="A170" s="1"/>
      <c r="B170" s="2"/>
    </row>
    <row r="171" spans="1:2" ht="12.75" customHeight="1" x14ac:dyDescent="0.15">
      <c r="A171" s="1"/>
      <c r="B171" s="2"/>
    </row>
    <row r="172" spans="1:2" ht="12.75" customHeight="1" x14ac:dyDescent="0.15">
      <c r="A172" s="1"/>
      <c r="B172" s="2"/>
    </row>
    <row r="173" spans="1:2" ht="12.75" customHeight="1" x14ac:dyDescent="0.15">
      <c r="A173" s="1"/>
      <c r="B173" s="2"/>
    </row>
    <row r="174" spans="1:2" ht="12.75" customHeight="1" x14ac:dyDescent="0.15">
      <c r="A174" s="1"/>
      <c r="B174" s="2"/>
    </row>
    <row r="175" spans="1:2" ht="12.75" customHeight="1" x14ac:dyDescent="0.15">
      <c r="A175" s="1"/>
      <c r="B175" s="2"/>
    </row>
    <row r="176" spans="1:2" ht="12.75" customHeight="1" x14ac:dyDescent="0.15">
      <c r="A176" s="1"/>
      <c r="B176" s="2"/>
    </row>
    <row r="177" spans="1:2" ht="12.75" customHeight="1" x14ac:dyDescent="0.15">
      <c r="A177" s="1"/>
      <c r="B177" s="2"/>
    </row>
    <row r="178" spans="1:2" ht="12.75" customHeight="1" x14ac:dyDescent="0.15">
      <c r="A178" s="1"/>
      <c r="B178" s="2"/>
    </row>
    <row r="179" spans="1:2" ht="12.75" customHeight="1" x14ac:dyDescent="0.15">
      <c r="A179" s="1"/>
      <c r="B179" s="2"/>
    </row>
    <row r="180" spans="1:2" ht="12.75" customHeight="1" x14ac:dyDescent="0.15">
      <c r="A180" s="1"/>
      <c r="B180" s="2"/>
    </row>
    <row r="181" spans="1:2" ht="12.75" customHeight="1" x14ac:dyDescent="0.15">
      <c r="A181" s="1"/>
      <c r="B181" s="2"/>
    </row>
    <row r="182" spans="1:2" ht="12.75" customHeight="1" x14ac:dyDescent="0.15">
      <c r="A182" s="1"/>
      <c r="B182" s="2"/>
    </row>
    <row r="183" spans="1:2" ht="12.75" customHeight="1" x14ac:dyDescent="0.15">
      <c r="A183" s="1"/>
      <c r="B183" s="2"/>
    </row>
    <row r="184" spans="1:2" ht="12.75" customHeight="1" x14ac:dyDescent="0.15">
      <c r="A184" s="1"/>
      <c r="B184" s="2"/>
    </row>
    <row r="185" spans="1:2" ht="12.75" customHeight="1" x14ac:dyDescent="0.15">
      <c r="A185" s="1"/>
      <c r="B185" s="2"/>
    </row>
    <row r="186" spans="1:2" ht="12.75" customHeight="1" x14ac:dyDescent="0.15">
      <c r="A186" s="1"/>
      <c r="B186" s="2"/>
    </row>
    <row r="187" spans="1:2" ht="12.75" customHeight="1" x14ac:dyDescent="0.15">
      <c r="A187" s="1"/>
      <c r="B187" s="2"/>
    </row>
    <row r="188" spans="1:2" ht="12.75" customHeight="1" x14ac:dyDescent="0.15">
      <c r="A188" s="1"/>
      <c r="B188" s="2"/>
    </row>
    <row r="189" spans="1:2" ht="12.75" customHeight="1" x14ac:dyDescent="0.15">
      <c r="A189" s="1"/>
      <c r="B189" s="2"/>
    </row>
    <row r="190" spans="1:2" ht="12.75" customHeight="1" x14ac:dyDescent="0.15">
      <c r="A190" s="1"/>
      <c r="B190" s="2"/>
    </row>
    <row r="191" spans="1:2" ht="12.75" customHeight="1" x14ac:dyDescent="0.15">
      <c r="A191" s="1"/>
      <c r="B191" s="2"/>
    </row>
    <row r="192" spans="1:2" ht="12.75" customHeight="1" x14ac:dyDescent="0.15">
      <c r="A192" s="1"/>
      <c r="B192" s="2"/>
    </row>
    <row r="193" spans="1:2" ht="12.75" customHeight="1" x14ac:dyDescent="0.15">
      <c r="A193" s="1"/>
      <c r="B193" s="2"/>
    </row>
    <row r="194" spans="1:2" ht="12.75" customHeight="1" x14ac:dyDescent="0.15">
      <c r="A194" s="1"/>
      <c r="B194" s="2"/>
    </row>
    <row r="195" spans="1:2" ht="12.75" customHeight="1" x14ac:dyDescent="0.15">
      <c r="A195" s="1"/>
      <c r="B195" s="2"/>
    </row>
    <row r="196" spans="1:2" ht="12.75" customHeight="1" x14ac:dyDescent="0.15">
      <c r="A196" s="1"/>
      <c r="B196" s="2"/>
    </row>
    <row r="197" spans="1:2" ht="12.75" customHeight="1" x14ac:dyDescent="0.15">
      <c r="A197" s="1"/>
      <c r="B197" s="2"/>
    </row>
    <row r="198" spans="1:2" ht="12.75" customHeight="1" x14ac:dyDescent="0.15">
      <c r="A198" s="1"/>
      <c r="B198" s="2"/>
    </row>
    <row r="199" spans="1:2" ht="12.75" customHeight="1" x14ac:dyDescent="0.15">
      <c r="A199" s="1"/>
      <c r="B199" s="2"/>
    </row>
    <row r="200" spans="1:2" ht="12.75" customHeight="1" x14ac:dyDescent="0.15">
      <c r="A200" s="1"/>
      <c r="B200" s="2"/>
    </row>
    <row r="201" spans="1:2" ht="12.75" customHeight="1" x14ac:dyDescent="0.15">
      <c r="A201" s="1"/>
      <c r="B201" s="2"/>
    </row>
    <row r="202" spans="1:2" ht="12.75" customHeight="1" x14ac:dyDescent="0.15">
      <c r="A202" s="1"/>
      <c r="B202" s="2"/>
    </row>
    <row r="203" spans="1:2" ht="12.75" customHeight="1" x14ac:dyDescent="0.15">
      <c r="A203" s="1"/>
      <c r="B203" s="2"/>
    </row>
    <row r="204" spans="1:2" ht="12.75" customHeight="1" x14ac:dyDescent="0.15">
      <c r="A204" s="1"/>
      <c r="B204" s="2"/>
    </row>
    <row r="205" spans="1:2" ht="12.75" customHeight="1" x14ac:dyDescent="0.15">
      <c r="A205" s="1"/>
      <c r="B205" s="2"/>
    </row>
    <row r="206" spans="1:2" ht="12.75" customHeight="1" x14ac:dyDescent="0.15">
      <c r="A206" s="1"/>
      <c r="B206" s="2"/>
    </row>
    <row r="207" spans="1:2" ht="12.75" customHeight="1" x14ac:dyDescent="0.15">
      <c r="A207" s="1"/>
      <c r="B207" s="2"/>
    </row>
    <row r="208" spans="1:2" ht="12.75" customHeight="1" x14ac:dyDescent="0.15">
      <c r="A208" s="1"/>
      <c r="B208" s="2"/>
    </row>
    <row r="209" spans="1:2" ht="12.75" customHeight="1" x14ac:dyDescent="0.15">
      <c r="A209" s="1"/>
      <c r="B209" s="2"/>
    </row>
    <row r="210" spans="1:2" ht="12.75" customHeight="1" x14ac:dyDescent="0.15">
      <c r="A210" s="1"/>
      <c r="B210" s="2"/>
    </row>
    <row r="211" spans="1:2" ht="12.75" customHeight="1" x14ac:dyDescent="0.15">
      <c r="A211" s="1"/>
      <c r="B211" s="2"/>
    </row>
    <row r="212" spans="1:2" ht="12.75" customHeight="1" x14ac:dyDescent="0.15">
      <c r="A212" s="1"/>
      <c r="B212" s="2"/>
    </row>
    <row r="213" spans="1:2" ht="12.75" customHeight="1" x14ac:dyDescent="0.15">
      <c r="A213" s="1"/>
      <c r="B213" s="2"/>
    </row>
    <row r="214" spans="1:2" ht="12.75" customHeight="1" x14ac:dyDescent="0.15">
      <c r="A214" s="1"/>
      <c r="B214" s="2"/>
    </row>
    <row r="215" spans="1:2" ht="12.75" customHeight="1" x14ac:dyDescent="0.15">
      <c r="A215" s="1"/>
      <c r="B215" s="2"/>
    </row>
    <row r="216" spans="1:2" ht="12.75" customHeight="1" x14ac:dyDescent="0.15">
      <c r="A216" s="1"/>
      <c r="B216" s="2"/>
    </row>
    <row r="217" spans="1:2" ht="12.75" customHeight="1" x14ac:dyDescent="0.15">
      <c r="A217" s="1"/>
      <c r="B217" s="2"/>
    </row>
    <row r="218" spans="1:2" ht="12.75" customHeight="1" x14ac:dyDescent="0.15">
      <c r="A218" s="1"/>
      <c r="B218" s="2"/>
    </row>
    <row r="219" spans="1:2" ht="12.75" customHeight="1" x14ac:dyDescent="0.15">
      <c r="A219" s="1"/>
      <c r="B219" s="2"/>
    </row>
    <row r="220" spans="1:2" ht="12.75" customHeight="1" x14ac:dyDescent="0.15">
      <c r="A220" s="1"/>
      <c r="B220" s="2"/>
    </row>
    <row r="221" spans="1:2" ht="12.75" customHeight="1" x14ac:dyDescent="0.15">
      <c r="A221" s="1"/>
      <c r="B221" s="2"/>
    </row>
    <row r="222" spans="1:2" ht="12.75" customHeight="1" x14ac:dyDescent="0.15">
      <c r="A222" s="1"/>
      <c r="B222" s="2"/>
    </row>
    <row r="223" spans="1:2" ht="12.75" customHeight="1" x14ac:dyDescent="0.15">
      <c r="A223" s="1"/>
      <c r="B223" s="2"/>
    </row>
    <row r="224" spans="1:2" ht="12.75" customHeight="1" x14ac:dyDescent="0.15">
      <c r="A224" s="1"/>
      <c r="B224" s="2"/>
    </row>
    <row r="225" spans="1:2" ht="12.75" customHeight="1" x14ac:dyDescent="0.15">
      <c r="A225" s="1"/>
      <c r="B225" s="2"/>
    </row>
    <row r="226" spans="1:2" ht="12.75" customHeight="1" x14ac:dyDescent="0.15">
      <c r="A226" s="1"/>
      <c r="B226" s="2"/>
    </row>
    <row r="227" spans="1:2" ht="12.75" customHeight="1" x14ac:dyDescent="0.15">
      <c r="A227" s="1"/>
      <c r="B227" s="2"/>
    </row>
    <row r="228" spans="1:2" ht="12.75" customHeight="1" x14ac:dyDescent="0.15">
      <c r="A228" s="1"/>
      <c r="B228" s="2"/>
    </row>
    <row r="229" spans="1:2" ht="12.75" customHeight="1" x14ac:dyDescent="0.15">
      <c r="A229" s="1"/>
      <c r="B229" s="2"/>
    </row>
    <row r="230" spans="1:2" ht="12.75" customHeight="1" x14ac:dyDescent="0.15">
      <c r="A230" s="1"/>
      <c r="B230" s="2"/>
    </row>
    <row r="231" spans="1:2" ht="12.75" customHeight="1" x14ac:dyDescent="0.15">
      <c r="A231" s="1"/>
      <c r="B231" s="2"/>
    </row>
    <row r="232" spans="1:2" ht="12.75" customHeight="1" x14ac:dyDescent="0.15">
      <c r="A232" s="1"/>
      <c r="B232" s="2"/>
    </row>
    <row r="233" spans="1:2" ht="12.75" customHeight="1" x14ac:dyDescent="0.15">
      <c r="A233" s="1"/>
      <c r="B233" s="2"/>
    </row>
    <row r="234" spans="1:2" ht="12.75" customHeight="1" x14ac:dyDescent="0.15">
      <c r="A234" s="1"/>
      <c r="B234" s="2"/>
    </row>
    <row r="235" spans="1:2" ht="12.75" customHeight="1" x14ac:dyDescent="0.15">
      <c r="A235" s="1"/>
      <c r="B235" s="2"/>
    </row>
    <row r="236" spans="1:2" ht="12.75" customHeight="1" x14ac:dyDescent="0.15">
      <c r="A236" s="1"/>
      <c r="B236" s="2"/>
    </row>
    <row r="237" spans="1:2" ht="12.75" customHeight="1" x14ac:dyDescent="0.15">
      <c r="A237" s="1"/>
      <c r="B237" s="2"/>
    </row>
    <row r="238" spans="1:2" ht="12.75" customHeight="1" x14ac:dyDescent="0.15">
      <c r="A238" s="1"/>
      <c r="B238" s="2"/>
    </row>
    <row r="239" spans="1:2" ht="12.75" customHeight="1" x14ac:dyDescent="0.15">
      <c r="A239" s="1"/>
      <c r="B239" s="2"/>
    </row>
    <row r="240" spans="1:2" ht="12.75" customHeight="1" x14ac:dyDescent="0.15">
      <c r="A240" s="1"/>
      <c r="B240" s="2"/>
    </row>
    <row r="241" spans="1:2" ht="12.75" customHeight="1" x14ac:dyDescent="0.15">
      <c r="A241" s="1"/>
      <c r="B241" s="2"/>
    </row>
    <row r="242" spans="1:2" ht="12.75" customHeight="1" x14ac:dyDescent="0.15">
      <c r="A242" s="1"/>
      <c r="B242" s="2"/>
    </row>
    <row r="243" spans="1:2" ht="12.75" customHeight="1" x14ac:dyDescent="0.15">
      <c r="A243" s="1"/>
      <c r="B243" s="2"/>
    </row>
    <row r="244" spans="1:2" ht="12.75" customHeight="1" x14ac:dyDescent="0.15">
      <c r="A244" s="1"/>
      <c r="B244" s="2"/>
    </row>
    <row r="245" spans="1:2" ht="12.75" customHeight="1" x14ac:dyDescent="0.15">
      <c r="A245" s="1"/>
      <c r="B245" s="2"/>
    </row>
    <row r="246" spans="1:2" ht="12.75" customHeight="1" x14ac:dyDescent="0.15">
      <c r="A246" s="1"/>
      <c r="B246" s="2"/>
    </row>
    <row r="247" spans="1:2" ht="12.75" customHeight="1" x14ac:dyDescent="0.15">
      <c r="A247" s="1"/>
      <c r="B247" s="2"/>
    </row>
    <row r="248" spans="1:2" ht="12.75" customHeight="1" x14ac:dyDescent="0.15">
      <c r="A248" s="1"/>
      <c r="B248" s="2"/>
    </row>
    <row r="249" spans="1:2" ht="12.75" customHeight="1" x14ac:dyDescent="0.15">
      <c r="A249" s="1"/>
      <c r="B249" s="2"/>
    </row>
    <row r="250" spans="1:2" ht="12.75" customHeight="1" x14ac:dyDescent="0.15">
      <c r="A250" s="1"/>
      <c r="B250" s="2"/>
    </row>
    <row r="251" spans="1:2" ht="12.75" customHeight="1" x14ac:dyDescent="0.15">
      <c r="A251" s="1"/>
      <c r="B251" s="2"/>
    </row>
    <row r="252" spans="1:2" ht="12.75" customHeight="1" x14ac:dyDescent="0.15">
      <c r="A252" s="1"/>
      <c r="B252" s="2"/>
    </row>
    <row r="253" spans="1:2" ht="12.75" customHeight="1" x14ac:dyDescent="0.15">
      <c r="A253" s="1"/>
      <c r="B253" s="2"/>
    </row>
    <row r="254" spans="1:2" ht="12.75" customHeight="1" x14ac:dyDescent="0.15">
      <c r="A254" s="1"/>
      <c r="B254" s="2"/>
    </row>
    <row r="255" spans="1:2" ht="12.75" customHeight="1" x14ac:dyDescent="0.15">
      <c r="A255" s="1"/>
      <c r="B255" s="2"/>
    </row>
    <row r="256" spans="1:2" ht="12.75" customHeight="1" x14ac:dyDescent="0.15">
      <c r="A256" s="1"/>
      <c r="B256" s="2"/>
    </row>
    <row r="257" spans="1:2" ht="12.75" customHeight="1" x14ac:dyDescent="0.15">
      <c r="A257" s="1"/>
      <c r="B257" s="2"/>
    </row>
    <row r="258" spans="1:2" ht="12.75" customHeight="1" x14ac:dyDescent="0.15">
      <c r="A258" s="1"/>
      <c r="B258" s="2"/>
    </row>
    <row r="259" spans="1:2" ht="12.75" customHeight="1" x14ac:dyDescent="0.15">
      <c r="A259" s="1"/>
      <c r="B259" s="2"/>
    </row>
    <row r="260" spans="1:2" ht="12.75" customHeight="1" x14ac:dyDescent="0.15">
      <c r="A260" s="1"/>
      <c r="B260" s="2"/>
    </row>
    <row r="261" spans="1:2" ht="12.75" customHeight="1" x14ac:dyDescent="0.15">
      <c r="A261" s="1"/>
      <c r="B261" s="2"/>
    </row>
    <row r="262" spans="1:2" ht="12.75" customHeight="1" x14ac:dyDescent="0.15">
      <c r="A262" s="1"/>
      <c r="B262" s="2"/>
    </row>
    <row r="263" spans="1:2" ht="12.75" customHeight="1" x14ac:dyDescent="0.15">
      <c r="A263" s="1"/>
      <c r="B263" s="2"/>
    </row>
    <row r="264" spans="1:2" ht="12.75" customHeight="1" x14ac:dyDescent="0.15">
      <c r="A264" s="1"/>
      <c r="B264" s="2"/>
    </row>
    <row r="265" spans="1:2" ht="12.75" customHeight="1" x14ac:dyDescent="0.15">
      <c r="A265" s="1"/>
      <c r="B265" s="2"/>
    </row>
    <row r="266" spans="1:2" ht="12.75" customHeight="1" x14ac:dyDescent="0.15">
      <c r="A266" s="1"/>
      <c r="B266" s="2"/>
    </row>
    <row r="267" spans="1:2" ht="12.75" customHeight="1" x14ac:dyDescent="0.15">
      <c r="A267" s="1"/>
      <c r="B267" s="2"/>
    </row>
    <row r="268" spans="1:2" ht="12.75" customHeight="1" x14ac:dyDescent="0.15">
      <c r="A268" s="1"/>
      <c r="B268" s="2"/>
    </row>
    <row r="269" spans="1:2" ht="12.75" customHeight="1" x14ac:dyDescent="0.15">
      <c r="A269" s="1"/>
      <c r="B269" s="2"/>
    </row>
    <row r="270" spans="1:2" ht="12.75" customHeight="1" x14ac:dyDescent="0.15">
      <c r="A270" s="1"/>
      <c r="B270" s="2"/>
    </row>
    <row r="271" spans="1:2" ht="12.75" customHeight="1" x14ac:dyDescent="0.15">
      <c r="A271" s="1"/>
      <c r="B271" s="2"/>
    </row>
    <row r="272" spans="1:2" ht="12.75" customHeight="1" x14ac:dyDescent="0.15">
      <c r="A272" s="1"/>
      <c r="B272" s="2"/>
    </row>
    <row r="273" spans="1:2" ht="12.75" customHeight="1" x14ac:dyDescent="0.15">
      <c r="A273" s="1"/>
      <c r="B273" s="2"/>
    </row>
    <row r="274" spans="1:2" ht="12.75" customHeight="1" x14ac:dyDescent="0.15">
      <c r="A274" s="1"/>
      <c r="B274" s="2"/>
    </row>
    <row r="275" spans="1:2" ht="12.75" customHeight="1" x14ac:dyDescent="0.15">
      <c r="A275" s="1"/>
      <c r="B275" s="2"/>
    </row>
    <row r="276" spans="1:2" ht="12.75" customHeight="1" x14ac:dyDescent="0.15">
      <c r="A276" s="1"/>
      <c r="B276" s="2"/>
    </row>
    <row r="277" spans="1:2" ht="12.75" customHeight="1" x14ac:dyDescent="0.15">
      <c r="A277" s="1"/>
      <c r="B277" s="2"/>
    </row>
    <row r="278" spans="1:2" ht="12.75" customHeight="1" x14ac:dyDescent="0.15">
      <c r="A278" s="1"/>
      <c r="B278" s="2"/>
    </row>
    <row r="279" spans="1:2" ht="12.75" customHeight="1" x14ac:dyDescent="0.15">
      <c r="A279" s="1"/>
      <c r="B279" s="2"/>
    </row>
    <row r="280" spans="1:2" ht="12.75" customHeight="1" x14ac:dyDescent="0.15">
      <c r="A280" s="1"/>
      <c r="B280" s="2"/>
    </row>
    <row r="281" spans="1:2" ht="12.75" customHeight="1" x14ac:dyDescent="0.15">
      <c r="A281" s="1"/>
      <c r="B281" s="2"/>
    </row>
    <row r="282" spans="1:2" ht="12.75" customHeight="1" x14ac:dyDescent="0.15">
      <c r="A282" s="1"/>
      <c r="B282" s="2"/>
    </row>
    <row r="283" spans="1:2" ht="12.75" customHeight="1" x14ac:dyDescent="0.15">
      <c r="A283" s="1"/>
      <c r="B283" s="2"/>
    </row>
    <row r="284" spans="1:2" ht="12.75" customHeight="1" x14ac:dyDescent="0.15">
      <c r="A284" s="1"/>
      <c r="B284" s="2"/>
    </row>
    <row r="285" spans="1:2" ht="12.75" customHeight="1" x14ac:dyDescent="0.15">
      <c r="A285" s="1"/>
      <c r="B285" s="2"/>
    </row>
    <row r="286" spans="1:2" ht="12.75" customHeight="1" x14ac:dyDescent="0.15">
      <c r="A286" s="1"/>
      <c r="B286" s="2"/>
    </row>
    <row r="287" spans="1:2" ht="12.75" customHeight="1" x14ac:dyDescent="0.15">
      <c r="A287" s="1"/>
      <c r="B287" s="2"/>
    </row>
    <row r="288" spans="1:2" ht="12.75" customHeight="1" x14ac:dyDescent="0.15">
      <c r="A288" s="1"/>
      <c r="B288" s="2"/>
    </row>
    <row r="289" spans="1:2" ht="12.75" customHeight="1" x14ac:dyDescent="0.15">
      <c r="A289" s="1"/>
      <c r="B289" s="2"/>
    </row>
    <row r="290" spans="1:2" ht="12.75" customHeight="1" x14ac:dyDescent="0.15">
      <c r="A290" s="1"/>
      <c r="B290" s="2"/>
    </row>
    <row r="291" spans="1:2" ht="12.75" customHeight="1" x14ac:dyDescent="0.15">
      <c r="A291" s="1"/>
      <c r="B291" s="2"/>
    </row>
    <row r="292" spans="1:2" ht="12.75" customHeight="1" x14ac:dyDescent="0.15">
      <c r="A292" s="1"/>
      <c r="B292" s="2"/>
    </row>
    <row r="293" spans="1:2" ht="12.75" customHeight="1" x14ac:dyDescent="0.15">
      <c r="A293" s="1"/>
      <c r="B293" s="2"/>
    </row>
    <row r="294" spans="1:2" ht="12.75" customHeight="1" x14ac:dyDescent="0.15">
      <c r="A294" s="1"/>
      <c r="B294" s="2"/>
    </row>
    <row r="295" spans="1:2" ht="12.75" customHeight="1" x14ac:dyDescent="0.15">
      <c r="A295" s="1"/>
      <c r="B295" s="2"/>
    </row>
    <row r="296" spans="1:2" ht="12.75" customHeight="1" x14ac:dyDescent="0.15">
      <c r="A296" s="1"/>
      <c r="B296" s="2"/>
    </row>
    <row r="297" spans="1:2" ht="12.75" customHeight="1" x14ac:dyDescent="0.15">
      <c r="A297" s="1"/>
      <c r="B297" s="2"/>
    </row>
    <row r="298" spans="1:2" ht="12.75" customHeight="1" x14ac:dyDescent="0.15">
      <c r="A298" s="1"/>
      <c r="B298" s="2"/>
    </row>
    <row r="299" spans="1:2" ht="12.75" customHeight="1" x14ac:dyDescent="0.15">
      <c r="A299" s="1"/>
      <c r="B299" s="2"/>
    </row>
    <row r="300" spans="1:2" ht="12.75" customHeight="1" x14ac:dyDescent="0.15">
      <c r="A300" s="1"/>
      <c r="B300" s="2"/>
    </row>
    <row r="301" spans="1:2" ht="12.75" customHeight="1" x14ac:dyDescent="0.15">
      <c r="A301" s="1"/>
      <c r="B301" s="2"/>
    </row>
    <row r="302" spans="1:2" ht="12.75" customHeight="1" x14ac:dyDescent="0.15">
      <c r="A302" s="1"/>
      <c r="B302" s="2"/>
    </row>
    <row r="303" spans="1:2" ht="12.75" customHeight="1" x14ac:dyDescent="0.15">
      <c r="A303" s="1"/>
      <c r="B303" s="2"/>
    </row>
    <row r="304" spans="1:2" ht="12.75" customHeight="1" x14ac:dyDescent="0.15">
      <c r="A304" s="1"/>
      <c r="B304" s="2"/>
    </row>
    <row r="305" spans="1:2" ht="12.75" customHeight="1" x14ac:dyDescent="0.15">
      <c r="A305" s="1"/>
      <c r="B305" s="2"/>
    </row>
    <row r="306" spans="1:2" ht="12.75" customHeight="1" x14ac:dyDescent="0.15">
      <c r="A306" s="1"/>
      <c r="B306" s="2"/>
    </row>
    <row r="307" spans="1:2" ht="12.75" customHeight="1" x14ac:dyDescent="0.15">
      <c r="A307" s="1"/>
      <c r="B307" s="2"/>
    </row>
    <row r="308" spans="1:2" ht="12.75" customHeight="1" x14ac:dyDescent="0.15">
      <c r="A308" s="1"/>
      <c r="B308" s="2"/>
    </row>
    <row r="309" spans="1:2" ht="12.75" customHeight="1" x14ac:dyDescent="0.15">
      <c r="A309" s="1"/>
      <c r="B309" s="2"/>
    </row>
    <row r="310" spans="1:2" ht="12.75" customHeight="1" x14ac:dyDescent="0.15">
      <c r="A310" s="1"/>
      <c r="B310" s="2"/>
    </row>
    <row r="311" spans="1:2" ht="12.75" customHeight="1" x14ac:dyDescent="0.15">
      <c r="A311" s="1"/>
      <c r="B311" s="2"/>
    </row>
    <row r="312" spans="1:2" ht="12.75" customHeight="1" x14ac:dyDescent="0.15">
      <c r="A312" s="1"/>
      <c r="B312" s="2"/>
    </row>
    <row r="313" spans="1:2" ht="12.75" customHeight="1" x14ac:dyDescent="0.15">
      <c r="A313" s="1"/>
      <c r="B313" s="2"/>
    </row>
    <row r="314" spans="1:2" ht="12.75" customHeight="1" x14ac:dyDescent="0.15">
      <c r="A314" s="1"/>
      <c r="B314" s="2"/>
    </row>
    <row r="315" spans="1:2" ht="12.75" customHeight="1" x14ac:dyDescent="0.15">
      <c r="A315" s="1"/>
      <c r="B315" s="2"/>
    </row>
    <row r="316" spans="1:2" ht="12.75" customHeight="1" x14ac:dyDescent="0.15">
      <c r="A316" s="1"/>
      <c r="B316" s="2"/>
    </row>
    <row r="317" spans="1:2" ht="12.75" customHeight="1" x14ac:dyDescent="0.15">
      <c r="A317" s="1"/>
      <c r="B317" s="2"/>
    </row>
    <row r="318" spans="1:2" ht="12.75" customHeight="1" x14ac:dyDescent="0.15">
      <c r="A318" s="1"/>
      <c r="B318" s="2"/>
    </row>
    <row r="319" spans="1:2" ht="12.75" customHeight="1" x14ac:dyDescent="0.15">
      <c r="A319" s="1"/>
      <c r="B319" s="2"/>
    </row>
    <row r="320" spans="1:2" ht="12.75" customHeight="1" x14ac:dyDescent="0.15">
      <c r="A320" s="1"/>
      <c r="B320" s="2"/>
    </row>
    <row r="321" spans="1:2" ht="12.75" customHeight="1" x14ac:dyDescent="0.15">
      <c r="A321" s="1"/>
      <c r="B321" s="2"/>
    </row>
    <row r="322" spans="1:2" ht="12.75" customHeight="1" x14ac:dyDescent="0.15">
      <c r="A322" s="1"/>
      <c r="B322" s="2"/>
    </row>
    <row r="323" spans="1:2" ht="12.75" customHeight="1" x14ac:dyDescent="0.15">
      <c r="A323" s="1"/>
      <c r="B323" s="2"/>
    </row>
    <row r="324" spans="1:2" ht="12.75" customHeight="1" x14ac:dyDescent="0.15">
      <c r="A324" s="1"/>
      <c r="B324" s="2"/>
    </row>
    <row r="325" spans="1:2" ht="12.75" customHeight="1" x14ac:dyDescent="0.15">
      <c r="A325" s="1"/>
      <c r="B325" s="2"/>
    </row>
    <row r="326" spans="1:2" ht="12.75" customHeight="1" x14ac:dyDescent="0.15">
      <c r="A326" s="1"/>
      <c r="B326" s="2"/>
    </row>
    <row r="327" spans="1:2" ht="12.75" customHeight="1" x14ac:dyDescent="0.15">
      <c r="A327" s="1"/>
      <c r="B327" s="2"/>
    </row>
    <row r="328" spans="1:2" ht="12.75" customHeight="1" x14ac:dyDescent="0.15">
      <c r="A328" s="1"/>
      <c r="B328" s="2"/>
    </row>
    <row r="329" spans="1:2" ht="12.75" customHeight="1" x14ac:dyDescent="0.15">
      <c r="A329" s="1"/>
      <c r="B329" s="2"/>
    </row>
    <row r="330" spans="1:2" ht="12.75" customHeight="1" x14ac:dyDescent="0.15">
      <c r="A330" s="1"/>
      <c r="B330" s="2"/>
    </row>
    <row r="331" spans="1:2" ht="12.75" customHeight="1" x14ac:dyDescent="0.15">
      <c r="A331" s="1"/>
      <c r="B331" s="2"/>
    </row>
    <row r="332" spans="1:2" ht="12.75" customHeight="1" x14ac:dyDescent="0.15">
      <c r="A332" s="1"/>
      <c r="B332" s="2"/>
    </row>
    <row r="333" spans="1:2" ht="12.75" customHeight="1" x14ac:dyDescent="0.15">
      <c r="A333" s="1"/>
      <c r="B333" s="2"/>
    </row>
    <row r="334" spans="1:2" ht="12.75" customHeight="1" x14ac:dyDescent="0.15">
      <c r="A334" s="1"/>
      <c r="B334" s="2"/>
    </row>
    <row r="335" spans="1:2" ht="12.75" customHeight="1" x14ac:dyDescent="0.15">
      <c r="A335" s="1"/>
      <c r="B335" s="2"/>
    </row>
    <row r="336" spans="1:2" ht="12.75" customHeight="1" x14ac:dyDescent="0.15">
      <c r="A336" s="1"/>
      <c r="B336" s="2"/>
    </row>
    <row r="337" spans="1:2" ht="12.75" customHeight="1" x14ac:dyDescent="0.15">
      <c r="A337" s="1"/>
      <c r="B337" s="2"/>
    </row>
    <row r="338" spans="1:2" ht="12.75" customHeight="1" x14ac:dyDescent="0.15">
      <c r="A338" s="1"/>
      <c r="B338" s="2"/>
    </row>
    <row r="339" spans="1:2" ht="12.75" customHeight="1" x14ac:dyDescent="0.15">
      <c r="A339" s="1"/>
      <c r="B339" s="2"/>
    </row>
    <row r="340" spans="1:2" ht="12.75" customHeight="1" x14ac:dyDescent="0.15">
      <c r="A340" s="1"/>
      <c r="B340" s="2"/>
    </row>
    <row r="341" spans="1:2" ht="12.75" customHeight="1" x14ac:dyDescent="0.15">
      <c r="A341" s="1"/>
      <c r="B341" s="2"/>
    </row>
    <row r="342" spans="1:2" ht="12.75" customHeight="1" x14ac:dyDescent="0.15">
      <c r="A342" s="1"/>
      <c r="B342" s="2"/>
    </row>
    <row r="343" spans="1:2" ht="12.75" customHeight="1" x14ac:dyDescent="0.15">
      <c r="A343" s="1"/>
      <c r="B343" s="2"/>
    </row>
    <row r="344" spans="1:2" ht="12.75" customHeight="1" x14ac:dyDescent="0.15">
      <c r="A344" s="1"/>
      <c r="B344" s="2"/>
    </row>
    <row r="345" spans="1:2" ht="12.75" customHeight="1" x14ac:dyDescent="0.15">
      <c r="A345" s="1"/>
      <c r="B345" s="2"/>
    </row>
    <row r="346" spans="1:2" ht="12.75" customHeight="1" x14ac:dyDescent="0.15">
      <c r="A346" s="1"/>
      <c r="B346" s="2"/>
    </row>
    <row r="347" spans="1:2" ht="12.75" customHeight="1" x14ac:dyDescent="0.15">
      <c r="A347" s="1"/>
      <c r="B347" s="2"/>
    </row>
    <row r="348" spans="1:2" ht="12.75" customHeight="1" x14ac:dyDescent="0.15">
      <c r="A348" s="1"/>
      <c r="B348" s="2"/>
    </row>
    <row r="349" spans="1:2" ht="12.75" customHeight="1" x14ac:dyDescent="0.15">
      <c r="A349" s="1"/>
      <c r="B349" s="2"/>
    </row>
    <row r="350" spans="1:2" ht="12.75" customHeight="1" x14ac:dyDescent="0.15">
      <c r="A350" s="1"/>
      <c r="B350" s="2"/>
    </row>
    <row r="351" spans="1:2" ht="12.75" customHeight="1" x14ac:dyDescent="0.15">
      <c r="A351" s="1"/>
      <c r="B351" s="2"/>
    </row>
    <row r="352" spans="1:2" ht="12.75" customHeight="1" x14ac:dyDescent="0.15">
      <c r="A352" s="1"/>
      <c r="B352" s="2"/>
    </row>
    <row r="353" spans="1:2" ht="12.75" customHeight="1" x14ac:dyDescent="0.15">
      <c r="A353" s="1"/>
      <c r="B353" s="2"/>
    </row>
    <row r="354" spans="1:2" ht="12.75" customHeight="1" x14ac:dyDescent="0.15">
      <c r="A354" s="1"/>
      <c r="B354" s="2"/>
    </row>
    <row r="355" spans="1:2" ht="12.75" customHeight="1" x14ac:dyDescent="0.15">
      <c r="A355" s="1"/>
      <c r="B355" s="2"/>
    </row>
    <row r="356" spans="1:2" ht="12.75" customHeight="1" x14ac:dyDescent="0.15">
      <c r="A356" s="1"/>
      <c r="B356" s="2"/>
    </row>
    <row r="357" spans="1:2" ht="12.75" customHeight="1" x14ac:dyDescent="0.15">
      <c r="A357" s="1"/>
      <c r="B357" s="2"/>
    </row>
    <row r="358" spans="1:2" ht="12.75" customHeight="1" x14ac:dyDescent="0.15">
      <c r="A358" s="1"/>
      <c r="B358" s="2"/>
    </row>
    <row r="359" spans="1:2" ht="12.75" customHeight="1" x14ac:dyDescent="0.15">
      <c r="A359" s="1"/>
      <c r="B359" s="2"/>
    </row>
    <row r="360" spans="1:2" ht="12.75" customHeight="1" x14ac:dyDescent="0.15">
      <c r="A360" s="1"/>
      <c r="B360" s="2"/>
    </row>
    <row r="361" spans="1:2" ht="12.75" customHeight="1" x14ac:dyDescent="0.15">
      <c r="A361" s="1"/>
      <c r="B361" s="2"/>
    </row>
    <row r="362" spans="1:2" ht="12.75" customHeight="1" x14ac:dyDescent="0.15">
      <c r="A362" s="1"/>
      <c r="B362" s="2"/>
    </row>
    <row r="363" spans="1:2" ht="12.75" customHeight="1" x14ac:dyDescent="0.15">
      <c r="A363" s="1"/>
      <c r="B363" s="2"/>
    </row>
    <row r="364" spans="1:2" ht="12.75" customHeight="1" x14ac:dyDescent="0.15">
      <c r="A364" s="1"/>
      <c r="B364" s="2"/>
    </row>
    <row r="365" spans="1:2" ht="12.75" customHeight="1" x14ac:dyDescent="0.15">
      <c r="A365" s="1"/>
      <c r="B365" s="2"/>
    </row>
    <row r="366" spans="1:2" ht="12.75" customHeight="1" x14ac:dyDescent="0.15">
      <c r="A366" s="1"/>
      <c r="B366" s="2"/>
    </row>
    <row r="367" spans="1:2" ht="12.75" customHeight="1" x14ac:dyDescent="0.15">
      <c r="A367" s="1"/>
      <c r="B367" s="2"/>
    </row>
    <row r="368" spans="1:2" ht="12.75" customHeight="1" x14ac:dyDescent="0.15">
      <c r="A368" s="1"/>
      <c r="B368" s="2"/>
    </row>
    <row r="369" spans="1:2" ht="12.75" customHeight="1" x14ac:dyDescent="0.15">
      <c r="A369" s="1"/>
      <c r="B369" s="2"/>
    </row>
    <row r="370" spans="1:2" ht="12.75" customHeight="1" x14ac:dyDescent="0.15">
      <c r="A370" s="1"/>
      <c r="B370" s="2"/>
    </row>
    <row r="371" spans="1:2" ht="12.75" customHeight="1" x14ac:dyDescent="0.15">
      <c r="A371" s="1"/>
      <c r="B371" s="2"/>
    </row>
    <row r="372" spans="1:2" ht="12.75" customHeight="1" x14ac:dyDescent="0.15">
      <c r="A372" s="1"/>
      <c r="B372" s="2"/>
    </row>
    <row r="373" spans="1:2" ht="12.75" customHeight="1" x14ac:dyDescent="0.15">
      <c r="A373" s="1"/>
      <c r="B373" s="2"/>
    </row>
    <row r="374" spans="1:2" ht="12.75" customHeight="1" x14ac:dyDescent="0.15">
      <c r="A374" s="1"/>
      <c r="B374" s="2"/>
    </row>
    <row r="375" spans="1:2" ht="12.75" customHeight="1" x14ac:dyDescent="0.15">
      <c r="A375" s="1"/>
      <c r="B375" s="2"/>
    </row>
    <row r="376" spans="1:2" ht="12.75" customHeight="1" x14ac:dyDescent="0.15">
      <c r="A376" s="1"/>
      <c r="B376" s="2"/>
    </row>
    <row r="377" spans="1:2" ht="12.75" customHeight="1" x14ac:dyDescent="0.15">
      <c r="A377" s="1"/>
      <c r="B377" s="2"/>
    </row>
    <row r="378" spans="1:2" ht="12.75" customHeight="1" x14ac:dyDescent="0.15">
      <c r="A378" s="1"/>
      <c r="B378" s="2"/>
    </row>
    <row r="379" spans="1:2" ht="12.75" customHeight="1" x14ac:dyDescent="0.15">
      <c r="A379" s="1"/>
      <c r="B379" s="2"/>
    </row>
    <row r="380" spans="1:2" ht="12.75" customHeight="1" x14ac:dyDescent="0.15">
      <c r="A380" s="1"/>
      <c r="B380" s="2"/>
    </row>
    <row r="381" spans="1:2" ht="12.75" customHeight="1" x14ac:dyDescent="0.15">
      <c r="A381" s="1"/>
      <c r="B381" s="2"/>
    </row>
    <row r="382" spans="1:2" ht="12.75" customHeight="1" x14ac:dyDescent="0.15">
      <c r="A382" s="1"/>
      <c r="B382" s="2"/>
    </row>
    <row r="383" spans="1:2" ht="12.75" customHeight="1" x14ac:dyDescent="0.15">
      <c r="A383" s="1"/>
      <c r="B383" s="2"/>
    </row>
    <row r="384" spans="1:2" ht="12.75" customHeight="1" x14ac:dyDescent="0.15">
      <c r="A384" s="1"/>
      <c r="B384" s="2"/>
    </row>
    <row r="385" spans="1:2" ht="12.75" customHeight="1" x14ac:dyDescent="0.15">
      <c r="A385" s="1"/>
      <c r="B385" s="2"/>
    </row>
    <row r="386" spans="1:2" ht="12.75" customHeight="1" x14ac:dyDescent="0.15">
      <c r="A386" s="1"/>
      <c r="B386" s="2"/>
    </row>
    <row r="387" spans="1:2" ht="12.75" customHeight="1" x14ac:dyDescent="0.15">
      <c r="A387" s="1"/>
      <c r="B387" s="2"/>
    </row>
    <row r="388" spans="1:2" ht="12.75" customHeight="1" x14ac:dyDescent="0.15">
      <c r="A388" s="1"/>
      <c r="B388" s="2"/>
    </row>
    <row r="389" spans="1:2" ht="12.75" customHeight="1" x14ac:dyDescent="0.15">
      <c r="A389" s="1"/>
      <c r="B389" s="2"/>
    </row>
    <row r="390" spans="1:2" ht="12.75" customHeight="1" x14ac:dyDescent="0.15">
      <c r="A390" s="1"/>
      <c r="B390" s="2"/>
    </row>
    <row r="391" spans="1:2" ht="12.75" customHeight="1" x14ac:dyDescent="0.15">
      <c r="A391" s="1"/>
      <c r="B391" s="2"/>
    </row>
    <row r="392" spans="1:2" ht="12.75" customHeight="1" x14ac:dyDescent="0.15">
      <c r="A392" s="1"/>
      <c r="B392" s="2"/>
    </row>
    <row r="393" spans="1:2" ht="12.75" customHeight="1" x14ac:dyDescent="0.15">
      <c r="A393" s="1"/>
      <c r="B393" s="2"/>
    </row>
    <row r="394" spans="1:2" ht="12.75" customHeight="1" x14ac:dyDescent="0.15">
      <c r="A394" s="1"/>
      <c r="B394" s="2"/>
    </row>
    <row r="395" spans="1:2" ht="12.75" customHeight="1" x14ac:dyDescent="0.15">
      <c r="A395" s="1"/>
      <c r="B395" s="2"/>
    </row>
    <row r="396" spans="1:2" ht="12.75" customHeight="1" x14ac:dyDescent="0.15">
      <c r="A396" s="1"/>
      <c r="B396" s="2"/>
    </row>
    <row r="397" spans="1:2" ht="12.75" customHeight="1" x14ac:dyDescent="0.15">
      <c r="A397" s="1"/>
      <c r="B397" s="2"/>
    </row>
    <row r="398" spans="1:2" ht="12.75" customHeight="1" x14ac:dyDescent="0.15">
      <c r="A398" s="1"/>
      <c r="B398" s="2"/>
    </row>
    <row r="399" spans="1:2" ht="12.75" customHeight="1" x14ac:dyDescent="0.15">
      <c r="A399" s="1"/>
      <c r="B399" s="2"/>
    </row>
    <row r="400" spans="1:2" ht="12.75" customHeight="1" x14ac:dyDescent="0.15">
      <c r="A400" s="1"/>
      <c r="B400" s="2"/>
    </row>
    <row r="401" spans="1:2" ht="12.75" customHeight="1" x14ac:dyDescent="0.15">
      <c r="A401" s="1"/>
      <c r="B401" s="2"/>
    </row>
    <row r="402" spans="1:2" ht="12.75" customHeight="1" x14ac:dyDescent="0.15">
      <c r="A402" s="1"/>
      <c r="B402" s="2"/>
    </row>
    <row r="403" spans="1:2" ht="12.75" customHeight="1" x14ac:dyDescent="0.15">
      <c r="A403" s="1"/>
      <c r="B403" s="2"/>
    </row>
    <row r="404" spans="1:2" ht="12.75" customHeight="1" x14ac:dyDescent="0.15">
      <c r="A404" s="1"/>
      <c r="B404" s="2"/>
    </row>
    <row r="405" spans="1:2" ht="12.75" customHeight="1" x14ac:dyDescent="0.15">
      <c r="A405" s="1"/>
      <c r="B405" s="2"/>
    </row>
    <row r="406" spans="1:2" ht="12.75" customHeight="1" x14ac:dyDescent="0.15">
      <c r="A406" s="1"/>
      <c r="B406" s="2"/>
    </row>
    <row r="407" spans="1:2" ht="12.75" customHeight="1" x14ac:dyDescent="0.15">
      <c r="A407" s="1"/>
      <c r="B407" s="2"/>
    </row>
    <row r="408" spans="1:2" ht="12.75" customHeight="1" x14ac:dyDescent="0.15">
      <c r="A408" s="1"/>
      <c r="B408" s="2"/>
    </row>
    <row r="409" spans="1:2" ht="12.75" customHeight="1" x14ac:dyDescent="0.15">
      <c r="A409" s="1"/>
      <c r="B409" s="2"/>
    </row>
    <row r="410" spans="1:2" ht="12.75" customHeight="1" x14ac:dyDescent="0.15">
      <c r="A410" s="1"/>
      <c r="B410" s="2"/>
    </row>
    <row r="411" spans="1:2" ht="12.75" customHeight="1" x14ac:dyDescent="0.15">
      <c r="A411" s="1"/>
      <c r="B411" s="2"/>
    </row>
    <row r="412" spans="1:2" ht="12.75" customHeight="1" x14ac:dyDescent="0.15">
      <c r="A412" s="1"/>
      <c r="B412" s="2"/>
    </row>
    <row r="413" spans="1:2" ht="12.75" customHeight="1" x14ac:dyDescent="0.15">
      <c r="A413" s="1"/>
      <c r="B413" s="2"/>
    </row>
    <row r="414" spans="1:2" ht="12.75" customHeight="1" x14ac:dyDescent="0.15">
      <c r="A414" s="1"/>
      <c r="B414" s="2"/>
    </row>
    <row r="415" spans="1:2" ht="12.75" customHeight="1" x14ac:dyDescent="0.15">
      <c r="A415" s="1"/>
      <c r="B415" s="2"/>
    </row>
    <row r="416" spans="1:2" ht="12.75" customHeight="1" x14ac:dyDescent="0.15">
      <c r="A416" s="1"/>
      <c r="B416" s="2"/>
    </row>
    <row r="417" spans="1:2" ht="12.75" customHeight="1" x14ac:dyDescent="0.15">
      <c r="A417" s="1"/>
      <c r="B417" s="2"/>
    </row>
    <row r="418" spans="1:2" ht="12.75" customHeight="1" x14ac:dyDescent="0.15">
      <c r="A418" s="1"/>
      <c r="B418" s="2"/>
    </row>
    <row r="419" spans="1:2" ht="12.75" customHeight="1" x14ac:dyDescent="0.15">
      <c r="A419" s="1"/>
      <c r="B419" s="2"/>
    </row>
    <row r="420" spans="1:2" ht="12.75" customHeight="1" x14ac:dyDescent="0.15">
      <c r="A420" s="1"/>
      <c r="B420" s="2"/>
    </row>
    <row r="421" spans="1:2" ht="12.75" customHeight="1" x14ac:dyDescent="0.15">
      <c r="A421" s="1"/>
      <c r="B421" s="2"/>
    </row>
    <row r="422" spans="1:2" ht="12.75" customHeight="1" x14ac:dyDescent="0.15">
      <c r="A422" s="1"/>
      <c r="B422" s="2"/>
    </row>
    <row r="423" spans="1:2" ht="12.75" customHeight="1" x14ac:dyDescent="0.15">
      <c r="A423" s="1"/>
      <c r="B423" s="2"/>
    </row>
    <row r="424" spans="1:2" ht="12.75" customHeight="1" x14ac:dyDescent="0.15">
      <c r="A424" s="1"/>
      <c r="B424" s="2"/>
    </row>
    <row r="425" spans="1:2" ht="12.75" customHeight="1" x14ac:dyDescent="0.15">
      <c r="A425" s="1"/>
      <c r="B425" s="2"/>
    </row>
    <row r="426" spans="1:2" ht="12.75" customHeight="1" x14ac:dyDescent="0.15">
      <c r="A426" s="1"/>
      <c r="B426" s="2"/>
    </row>
    <row r="427" spans="1:2" ht="12.75" customHeight="1" x14ac:dyDescent="0.15">
      <c r="A427" s="1"/>
      <c r="B427" s="2"/>
    </row>
    <row r="428" spans="1:2" ht="12.75" customHeight="1" x14ac:dyDescent="0.15">
      <c r="A428" s="1"/>
      <c r="B428" s="2"/>
    </row>
    <row r="429" spans="1:2" ht="12.75" customHeight="1" x14ac:dyDescent="0.15">
      <c r="A429" s="1"/>
      <c r="B429" s="2"/>
    </row>
    <row r="430" spans="1:2" ht="12.75" customHeight="1" x14ac:dyDescent="0.15">
      <c r="A430" s="1"/>
      <c r="B430" s="2"/>
    </row>
    <row r="431" spans="1:2" ht="12.75" customHeight="1" x14ac:dyDescent="0.15">
      <c r="A431" s="1"/>
      <c r="B431" s="2"/>
    </row>
    <row r="432" spans="1:2" ht="12.75" customHeight="1" x14ac:dyDescent="0.15">
      <c r="A432" s="1"/>
      <c r="B432" s="2"/>
    </row>
    <row r="433" spans="1:2" ht="12.75" customHeight="1" x14ac:dyDescent="0.15">
      <c r="A433" s="1"/>
      <c r="B433" s="2"/>
    </row>
    <row r="434" spans="1:2" ht="12.75" customHeight="1" x14ac:dyDescent="0.15">
      <c r="A434" s="1"/>
      <c r="B434" s="2"/>
    </row>
    <row r="435" spans="1:2" ht="12.75" customHeight="1" x14ac:dyDescent="0.15">
      <c r="A435" s="1"/>
      <c r="B435" s="2"/>
    </row>
    <row r="436" spans="1:2" ht="12.75" customHeight="1" x14ac:dyDescent="0.15">
      <c r="A436" s="1"/>
      <c r="B436" s="2"/>
    </row>
    <row r="437" spans="1:2" ht="12.75" customHeight="1" x14ac:dyDescent="0.15">
      <c r="A437" s="1"/>
      <c r="B437" s="2"/>
    </row>
    <row r="438" spans="1:2" ht="12.75" customHeight="1" x14ac:dyDescent="0.15">
      <c r="A438" s="1"/>
      <c r="B438" s="2"/>
    </row>
    <row r="439" spans="1:2" ht="12.75" customHeight="1" x14ac:dyDescent="0.15">
      <c r="A439" s="1"/>
      <c r="B439" s="2"/>
    </row>
    <row r="440" spans="1:2" ht="12.75" customHeight="1" x14ac:dyDescent="0.15">
      <c r="A440" s="1"/>
      <c r="B440" s="2"/>
    </row>
    <row r="441" spans="1:2" ht="12.75" customHeight="1" x14ac:dyDescent="0.15">
      <c r="A441" s="1"/>
      <c r="B441" s="2"/>
    </row>
    <row r="442" spans="1:2" ht="12.75" customHeight="1" x14ac:dyDescent="0.15">
      <c r="A442" s="1"/>
      <c r="B442" s="2"/>
    </row>
    <row r="443" spans="1:2" ht="12.75" customHeight="1" x14ac:dyDescent="0.15">
      <c r="A443" s="1"/>
      <c r="B443" s="2"/>
    </row>
    <row r="444" spans="1:2" ht="12.75" customHeight="1" x14ac:dyDescent="0.15">
      <c r="A444" s="1"/>
      <c r="B444" s="2"/>
    </row>
    <row r="445" spans="1:2" ht="12.75" customHeight="1" x14ac:dyDescent="0.15">
      <c r="A445" s="1"/>
      <c r="B445" s="2"/>
    </row>
    <row r="446" spans="1:2" ht="12.75" customHeight="1" x14ac:dyDescent="0.15">
      <c r="A446" s="1"/>
      <c r="B446" s="2"/>
    </row>
    <row r="447" spans="1:2" ht="12.75" customHeight="1" x14ac:dyDescent="0.15">
      <c r="A447" s="1"/>
      <c r="B447" s="2"/>
    </row>
    <row r="448" spans="1:2" ht="12.75" customHeight="1" x14ac:dyDescent="0.15">
      <c r="A448" s="1"/>
      <c r="B448" s="2"/>
    </row>
    <row r="449" spans="1:2" ht="12.75" customHeight="1" x14ac:dyDescent="0.15">
      <c r="A449" s="1"/>
      <c r="B449" s="2"/>
    </row>
    <row r="450" spans="1:2" ht="12.75" customHeight="1" x14ac:dyDescent="0.15">
      <c r="A450" s="1"/>
      <c r="B450" s="2"/>
    </row>
    <row r="451" spans="1:2" ht="12.75" customHeight="1" x14ac:dyDescent="0.15">
      <c r="A451" s="1"/>
      <c r="B451" s="2"/>
    </row>
    <row r="452" spans="1:2" ht="12.75" customHeight="1" x14ac:dyDescent="0.15">
      <c r="A452" s="1"/>
      <c r="B452" s="2"/>
    </row>
    <row r="453" spans="1:2" ht="12.75" customHeight="1" x14ac:dyDescent="0.15">
      <c r="A453" s="1"/>
      <c r="B453" s="2"/>
    </row>
    <row r="454" spans="1:2" ht="12.75" customHeight="1" x14ac:dyDescent="0.15">
      <c r="A454" s="1"/>
      <c r="B454" s="2"/>
    </row>
    <row r="455" spans="1:2" ht="12.75" customHeight="1" x14ac:dyDescent="0.15">
      <c r="A455" s="1"/>
      <c r="B455" s="2"/>
    </row>
    <row r="456" spans="1:2" ht="12.75" customHeight="1" x14ac:dyDescent="0.15">
      <c r="A456" s="1"/>
      <c r="B456" s="2"/>
    </row>
    <row r="457" spans="1:2" ht="12.75" customHeight="1" x14ac:dyDescent="0.15">
      <c r="A457" s="1"/>
      <c r="B457" s="2"/>
    </row>
    <row r="458" spans="1:2" ht="12.75" customHeight="1" x14ac:dyDescent="0.15">
      <c r="A458" s="1"/>
      <c r="B458" s="2"/>
    </row>
    <row r="459" spans="1:2" ht="12.75" customHeight="1" x14ac:dyDescent="0.15">
      <c r="A459" s="1"/>
      <c r="B459" s="2"/>
    </row>
    <row r="460" spans="1:2" ht="12.75" customHeight="1" x14ac:dyDescent="0.15">
      <c r="A460" s="1"/>
      <c r="B460" s="2"/>
    </row>
    <row r="461" spans="1:2" ht="12.75" customHeight="1" x14ac:dyDescent="0.15">
      <c r="A461" s="1"/>
      <c r="B461" s="2"/>
    </row>
    <row r="462" spans="1:2" ht="12.75" customHeight="1" x14ac:dyDescent="0.15">
      <c r="A462" s="1"/>
      <c r="B462" s="2"/>
    </row>
    <row r="463" spans="1:2" ht="12.75" customHeight="1" x14ac:dyDescent="0.15">
      <c r="A463" s="1"/>
      <c r="B463" s="2"/>
    </row>
    <row r="464" spans="1:2" ht="12.75" customHeight="1" x14ac:dyDescent="0.15">
      <c r="A464" s="1"/>
      <c r="B464" s="2"/>
    </row>
    <row r="465" spans="1:2" ht="12.75" customHeight="1" x14ac:dyDescent="0.15">
      <c r="A465" s="1"/>
      <c r="B465" s="2"/>
    </row>
    <row r="466" spans="1:2" ht="12.75" customHeight="1" x14ac:dyDescent="0.15">
      <c r="A466" s="1"/>
      <c r="B466" s="2"/>
    </row>
    <row r="467" spans="1:2" ht="12.75" customHeight="1" x14ac:dyDescent="0.15">
      <c r="A467" s="1"/>
      <c r="B467" s="2"/>
    </row>
    <row r="468" spans="1:2" ht="12.75" customHeight="1" x14ac:dyDescent="0.15">
      <c r="A468" s="1"/>
      <c r="B468" s="2"/>
    </row>
    <row r="469" spans="1:2" ht="12.75" customHeight="1" x14ac:dyDescent="0.15">
      <c r="A469" s="1"/>
      <c r="B469" s="2"/>
    </row>
    <row r="470" spans="1:2" ht="12.75" customHeight="1" x14ac:dyDescent="0.15">
      <c r="A470" s="1"/>
      <c r="B470" s="2"/>
    </row>
    <row r="471" spans="1:2" ht="12.75" customHeight="1" x14ac:dyDescent="0.15">
      <c r="A471" s="1"/>
      <c r="B471" s="2"/>
    </row>
    <row r="472" spans="1:2" ht="12.75" customHeight="1" x14ac:dyDescent="0.15">
      <c r="A472" s="1"/>
      <c r="B472" s="2"/>
    </row>
    <row r="473" spans="1:2" ht="12.75" customHeight="1" x14ac:dyDescent="0.15">
      <c r="A473" s="1"/>
      <c r="B473" s="2"/>
    </row>
    <row r="474" spans="1:2" ht="12.75" customHeight="1" x14ac:dyDescent="0.15">
      <c r="A474" s="1"/>
      <c r="B474" s="2"/>
    </row>
    <row r="475" spans="1:2" ht="12.75" customHeight="1" x14ac:dyDescent="0.15">
      <c r="A475" s="1"/>
      <c r="B475" s="2"/>
    </row>
    <row r="476" spans="1:2" ht="12.75" customHeight="1" x14ac:dyDescent="0.15">
      <c r="A476" s="1"/>
      <c r="B476" s="2"/>
    </row>
    <row r="477" spans="1:2" ht="12.75" customHeight="1" x14ac:dyDescent="0.15">
      <c r="A477" s="1"/>
      <c r="B477" s="2"/>
    </row>
    <row r="478" spans="1:2" ht="12.75" customHeight="1" x14ac:dyDescent="0.15">
      <c r="A478" s="1"/>
      <c r="B478" s="2"/>
    </row>
    <row r="479" spans="1:2" ht="12.75" customHeight="1" x14ac:dyDescent="0.15">
      <c r="A479" s="1"/>
      <c r="B479" s="2"/>
    </row>
    <row r="480" spans="1:2" ht="12.75" customHeight="1" x14ac:dyDescent="0.15">
      <c r="A480" s="1"/>
      <c r="B480" s="2"/>
    </row>
    <row r="481" spans="1:2" ht="12.75" customHeight="1" x14ac:dyDescent="0.15">
      <c r="A481" s="1"/>
      <c r="B481" s="2"/>
    </row>
    <row r="482" spans="1:2" ht="12.75" customHeight="1" x14ac:dyDescent="0.15">
      <c r="A482" s="1"/>
      <c r="B482" s="2"/>
    </row>
    <row r="483" spans="1:2" ht="12.75" customHeight="1" x14ac:dyDescent="0.15">
      <c r="A483" s="1"/>
      <c r="B483" s="2"/>
    </row>
    <row r="484" spans="1:2" ht="12.75" customHeight="1" x14ac:dyDescent="0.15">
      <c r="A484" s="1"/>
      <c r="B484" s="2"/>
    </row>
    <row r="485" spans="1:2" ht="12.75" customHeight="1" x14ac:dyDescent="0.15">
      <c r="A485" s="1"/>
      <c r="B485" s="2"/>
    </row>
    <row r="486" spans="1:2" ht="12.75" customHeight="1" x14ac:dyDescent="0.15">
      <c r="A486" s="1"/>
      <c r="B486" s="2"/>
    </row>
    <row r="487" spans="1:2" ht="12.75" customHeight="1" x14ac:dyDescent="0.15">
      <c r="A487" s="1"/>
      <c r="B487" s="2"/>
    </row>
    <row r="488" spans="1:2" ht="12.75" customHeight="1" x14ac:dyDescent="0.15">
      <c r="A488" s="1"/>
      <c r="B488" s="2"/>
    </row>
    <row r="489" spans="1:2" ht="12.75" customHeight="1" x14ac:dyDescent="0.15">
      <c r="A489" s="1"/>
      <c r="B489" s="2"/>
    </row>
    <row r="490" spans="1:2" ht="12.75" customHeight="1" x14ac:dyDescent="0.15">
      <c r="A490" s="1"/>
      <c r="B490" s="2"/>
    </row>
    <row r="491" spans="1:2" ht="12.75" customHeight="1" x14ac:dyDescent="0.15">
      <c r="A491" s="1"/>
      <c r="B491" s="2"/>
    </row>
    <row r="492" spans="1:2" ht="12.75" customHeight="1" x14ac:dyDescent="0.15">
      <c r="A492" s="1"/>
      <c r="B492" s="2"/>
    </row>
    <row r="493" spans="1:2" ht="12.75" customHeight="1" x14ac:dyDescent="0.15">
      <c r="A493" s="1"/>
      <c r="B493" s="2"/>
    </row>
    <row r="494" spans="1:2" ht="12.75" customHeight="1" x14ac:dyDescent="0.15">
      <c r="A494" s="1"/>
      <c r="B494" s="2"/>
    </row>
    <row r="495" spans="1:2" ht="12.75" customHeight="1" x14ac:dyDescent="0.15">
      <c r="A495" s="1"/>
      <c r="B495" s="2"/>
    </row>
    <row r="496" spans="1:2" ht="12.75" customHeight="1" x14ac:dyDescent="0.15">
      <c r="A496" s="1"/>
      <c r="B496" s="2"/>
    </row>
    <row r="497" spans="1:2" ht="12.75" customHeight="1" x14ac:dyDescent="0.15">
      <c r="A497" s="1"/>
      <c r="B497" s="2"/>
    </row>
    <row r="498" spans="1:2" ht="12.75" customHeight="1" x14ac:dyDescent="0.15">
      <c r="A498" s="1"/>
      <c r="B498" s="2"/>
    </row>
    <row r="499" spans="1:2" ht="12.75" customHeight="1" x14ac:dyDescent="0.15">
      <c r="A499" s="1"/>
      <c r="B499" s="2"/>
    </row>
    <row r="500" spans="1:2" ht="12.75" customHeight="1" x14ac:dyDescent="0.15">
      <c r="A500" s="1"/>
      <c r="B500" s="2"/>
    </row>
    <row r="501" spans="1:2" ht="12.75" customHeight="1" x14ac:dyDescent="0.15">
      <c r="A501" s="1"/>
      <c r="B501" s="2"/>
    </row>
    <row r="502" spans="1:2" ht="12.75" customHeight="1" x14ac:dyDescent="0.15">
      <c r="A502" s="1"/>
      <c r="B502" s="2"/>
    </row>
    <row r="503" spans="1:2" ht="12.75" customHeight="1" x14ac:dyDescent="0.15">
      <c r="A503" s="1"/>
      <c r="B503" s="2"/>
    </row>
    <row r="504" spans="1:2" ht="12.75" customHeight="1" x14ac:dyDescent="0.15">
      <c r="A504" s="1"/>
      <c r="B504" s="2"/>
    </row>
    <row r="505" spans="1:2" ht="12.75" customHeight="1" x14ac:dyDescent="0.15">
      <c r="A505" s="1"/>
      <c r="B505" s="2"/>
    </row>
    <row r="506" spans="1:2" ht="12.75" customHeight="1" x14ac:dyDescent="0.15">
      <c r="A506" s="1"/>
      <c r="B506" s="2"/>
    </row>
    <row r="507" spans="1:2" ht="12.75" customHeight="1" x14ac:dyDescent="0.15">
      <c r="A507" s="1"/>
      <c r="B507" s="2"/>
    </row>
    <row r="508" spans="1:2" ht="12.75" customHeight="1" x14ac:dyDescent="0.15">
      <c r="A508" s="1"/>
      <c r="B508" s="2"/>
    </row>
    <row r="509" spans="1:2" ht="12.75" customHeight="1" x14ac:dyDescent="0.15">
      <c r="A509" s="1"/>
      <c r="B509" s="2"/>
    </row>
    <row r="510" spans="1:2" ht="12.75" customHeight="1" x14ac:dyDescent="0.15">
      <c r="A510" s="1"/>
      <c r="B510" s="2"/>
    </row>
    <row r="511" spans="1:2" ht="12.75" customHeight="1" x14ac:dyDescent="0.15">
      <c r="A511" s="1"/>
      <c r="B511" s="2"/>
    </row>
    <row r="512" spans="1:2" ht="12.75" customHeight="1" x14ac:dyDescent="0.15">
      <c r="A512" s="1"/>
      <c r="B512" s="2"/>
    </row>
    <row r="513" spans="1:2" ht="12.75" customHeight="1" x14ac:dyDescent="0.15">
      <c r="A513" s="1"/>
      <c r="B513" s="2"/>
    </row>
    <row r="514" spans="1:2" ht="12.75" customHeight="1" x14ac:dyDescent="0.15">
      <c r="A514" s="1"/>
      <c r="B514" s="2"/>
    </row>
    <row r="515" spans="1:2" ht="12.75" customHeight="1" x14ac:dyDescent="0.15">
      <c r="A515" s="1"/>
      <c r="B515" s="2"/>
    </row>
    <row r="516" spans="1:2" ht="12.75" customHeight="1" x14ac:dyDescent="0.15">
      <c r="A516" s="1"/>
      <c r="B516" s="2"/>
    </row>
    <row r="517" spans="1:2" ht="12.75" customHeight="1" x14ac:dyDescent="0.15">
      <c r="A517" s="1"/>
      <c r="B517" s="2"/>
    </row>
    <row r="518" spans="1:2" ht="12.75" customHeight="1" x14ac:dyDescent="0.15">
      <c r="A518" s="1"/>
      <c r="B518" s="2"/>
    </row>
    <row r="519" spans="1:2" ht="12.75" customHeight="1" x14ac:dyDescent="0.15">
      <c r="A519" s="1"/>
      <c r="B519" s="2"/>
    </row>
    <row r="520" spans="1:2" ht="12.75" customHeight="1" x14ac:dyDescent="0.15">
      <c r="A520" s="1"/>
      <c r="B520" s="2"/>
    </row>
    <row r="521" spans="1:2" ht="12.75" customHeight="1" x14ac:dyDescent="0.15">
      <c r="A521" s="1"/>
      <c r="B521" s="2"/>
    </row>
    <row r="522" spans="1:2" ht="12.75" customHeight="1" x14ac:dyDescent="0.15">
      <c r="A522" s="1"/>
      <c r="B522" s="2"/>
    </row>
    <row r="523" spans="1:2" ht="12.75" customHeight="1" x14ac:dyDescent="0.15">
      <c r="A523" s="1"/>
      <c r="B523" s="2"/>
    </row>
    <row r="524" spans="1:2" ht="12.75" customHeight="1" x14ac:dyDescent="0.15">
      <c r="A524" s="1"/>
      <c r="B524" s="2"/>
    </row>
    <row r="525" spans="1:2" ht="12.75" customHeight="1" x14ac:dyDescent="0.15">
      <c r="A525" s="1"/>
      <c r="B525" s="2"/>
    </row>
    <row r="526" spans="1:2" ht="12.75" customHeight="1" x14ac:dyDescent="0.15">
      <c r="A526" s="1"/>
      <c r="B526" s="2"/>
    </row>
    <row r="527" spans="1:2" ht="12.75" customHeight="1" x14ac:dyDescent="0.15">
      <c r="A527" s="1"/>
      <c r="B527" s="2"/>
    </row>
    <row r="528" spans="1:2" ht="12.75" customHeight="1" x14ac:dyDescent="0.15">
      <c r="A528" s="1"/>
      <c r="B528" s="2"/>
    </row>
    <row r="529" spans="1:2" ht="12.75" customHeight="1" x14ac:dyDescent="0.15">
      <c r="A529" s="1"/>
      <c r="B529" s="2"/>
    </row>
    <row r="530" spans="1:2" ht="12.75" customHeight="1" x14ac:dyDescent="0.15">
      <c r="A530" s="1"/>
      <c r="B530" s="2"/>
    </row>
    <row r="531" spans="1:2" ht="12.75" customHeight="1" x14ac:dyDescent="0.15">
      <c r="A531" s="1"/>
      <c r="B531" s="2"/>
    </row>
    <row r="532" spans="1:2" ht="12.75" customHeight="1" x14ac:dyDescent="0.15">
      <c r="A532" s="1"/>
      <c r="B532" s="2"/>
    </row>
    <row r="533" spans="1:2" ht="12.75" customHeight="1" x14ac:dyDescent="0.15">
      <c r="A533" s="1"/>
      <c r="B533" s="2"/>
    </row>
    <row r="534" spans="1:2" ht="12.75" customHeight="1" x14ac:dyDescent="0.15">
      <c r="A534" s="1"/>
      <c r="B534" s="2"/>
    </row>
    <row r="535" spans="1:2" ht="12.75" customHeight="1" x14ac:dyDescent="0.15">
      <c r="A535" s="1"/>
      <c r="B535" s="2"/>
    </row>
    <row r="536" spans="1:2" ht="12.75" customHeight="1" x14ac:dyDescent="0.15">
      <c r="A536" s="1"/>
      <c r="B536" s="2"/>
    </row>
    <row r="537" spans="1:2" ht="12.75" customHeight="1" x14ac:dyDescent="0.15">
      <c r="A537" s="1"/>
      <c r="B537" s="2"/>
    </row>
    <row r="538" spans="1:2" ht="12.75" customHeight="1" x14ac:dyDescent="0.15">
      <c r="A538" s="1"/>
      <c r="B538" s="2"/>
    </row>
    <row r="539" spans="1:2" ht="12.75" customHeight="1" x14ac:dyDescent="0.15">
      <c r="A539" s="1"/>
      <c r="B539" s="2"/>
    </row>
    <row r="540" spans="1:2" ht="12.75" customHeight="1" x14ac:dyDescent="0.15">
      <c r="A540" s="1"/>
      <c r="B540" s="2"/>
    </row>
    <row r="541" spans="1:2" ht="12.75" customHeight="1" x14ac:dyDescent="0.15">
      <c r="A541" s="1"/>
      <c r="B541" s="2"/>
    </row>
    <row r="542" spans="1:2" ht="12.75" customHeight="1" x14ac:dyDescent="0.15">
      <c r="A542" s="1"/>
      <c r="B542" s="2"/>
    </row>
    <row r="543" spans="1:2" ht="12.75" customHeight="1" x14ac:dyDescent="0.15">
      <c r="A543" s="1"/>
      <c r="B543" s="2"/>
    </row>
    <row r="544" spans="1:2" ht="12.75" customHeight="1" x14ac:dyDescent="0.15">
      <c r="A544" s="1"/>
      <c r="B544" s="2"/>
    </row>
    <row r="545" spans="1:2" ht="12.75" customHeight="1" x14ac:dyDescent="0.15">
      <c r="A545" s="1"/>
      <c r="B545" s="2"/>
    </row>
    <row r="546" spans="1:2" ht="12.75" customHeight="1" x14ac:dyDescent="0.15">
      <c r="A546" s="1"/>
      <c r="B546" s="2"/>
    </row>
    <row r="547" spans="1:2" ht="12.75" customHeight="1" x14ac:dyDescent="0.15">
      <c r="A547" s="1"/>
      <c r="B547" s="2"/>
    </row>
    <row r="548" spans="1:2" ht="12.75" customHeight="1" x14ac:dyDescent="0.15">
      <c r="A548" s="1"/>
      <c r="B548" s="2"/>
    </row>
    <row r="549" spans="1:2" ht="12.75" customHeight="1" x14ac:dyDescent="0.15">
      <c r="A549" s="1"/>
      <c r="B549" s="2"/>
    </row>
    <row r="550" spans="1:2" ht="12.75" customHeight="1" x14ac:dyDescent="0.15">
      <c r="A550" s="1"/>
      <c r="B550" s="2"/>
    </row>
    <row r="551" spans="1:2" ht="12.75" customHeight="1" x14ac:dyDescent="0.15">
      <c r="A551" s="1"/>
      <c r="B551" s="2"/>
    </row>
    <row r="552" spans="1:2" ht="12.75" customHeight="1" x14ac:dyDescent="0.15">
      <c r="A552" s="1"/>
      <c r="B552" s="2"/>
    </row>
    <row r="553" spans="1:2" ht="12.75" customHeight="1" x14ac:dyDescent="0.15">
      <c r="A553" s="1"/>
      <c r="B553" s="2"/>
    </row>
    <row r="554" spans="1:2" ht="12.75" customHeight="1" x14ac:dyDescent="0.15">
      <c r="A554" s="1"/>
      <c r="B554" s="2"/>
    </row>
    <row r="555" spans="1:2" ht="12.75" customHeight="1" x14ac:dyDescent="0.15">
      <c r="A555" s="1"/>
      <c r="B555" s="2"/>
    </row>
    <row r="556" spans="1:2" ht="12.75" customHeight="1" x14ac:dyDescent="0.15">
      <c r="A556" s="1"/>
      <c r="B556" s="2"/>
    </row>
    <row r="557" spans="1:2" ht="12.75" customHeight="1" x14ac:dyDescent="0.15">
      <c r="A557" s="1"/>
      <c r="B557" s="2"/>
    </row>
    <row r="558" spans="1:2" ht="12.75" customHeight="1" x14ac:dyDescent="0.15">
      <c r="A558" s="1"/>
      <c r="B558" s="2"/>
    </row>
    <row r="559" spans="1:2" ht="12.75" customHeight="1" x14ac:dyDescent="0.15">
      <c r="A559" s="1"/>
      <c r="B559" s="2"/>
    </row>
    <row r="560" spans="1:2" ht="12.75" customHeight="1" x14ac:dyDescent="0.15">
      <c r="A560" s="1"/>
      <c r="B560" s="2"/>
    </row>
    <row r="561" spans="1:2" ht="12.75" customHeight="1" x14ac:dyDescent="0.15">
      <c r="A561" s="1"/>
      <c r="B561" s="2"/>
    </row>
    <row r="562" spans="1:2" ht="12.75" customHeight="1" x14ac:dyDescent="0.15">
      <c r="A562" s="1"/>
      <c r="B562" s="2"/>
    </row>
    <row r="563" spans="1:2" ht="12.75" customHeight="1" x14ac:dyDescent="0.15">
      <c r="A563" s="1"/>
      <c r="B563" s="2"/>
    </row>
    <row r="564" spans="1:2" ht="12.75" customHeight="1" x14ac:dyDescent="0.15">
      <c r="A564" s="1"/>
      <c r="B564" s="2"/>
    </row>
    <row r="565" spans="1:2" ht="12.75" customHeight="1" x14ac:dyDescent="0.15">
      <c r="A565" s="1"/>
      <c r="B565" s="2"/>
    </row>
    <row r="566" spans="1:2" ht="12.75" customHeight="1" x14ac:dyDescent="0.15">
      <c r="A566" s="1"/>
      <c r="B566" s="2"/>
    </row>
    <row r="567" spans="1:2" ht="12.75" customHeight="1" x14ac:dyDescent="0.15">
      <c r="A567" s="1"/>
      <c r="B567" s="2"/>
    </row>
    <row r="568" spans="1:2" ht="12.75" customHeight="1" x14ac:dyDescent="0.15">
      <c r="A568" s="1"/>
      <c r="B568" s="2"/>
    </row>
    <row r="569" spans="1:2" ht="12.75" customHeight="1" x14ac:dyDescent="0.15">
      <c r="A569" s="1"/>
      <c r="B569" s="2"/>
    </row>
    <row r="570" spans="1:2" ht="12.75" customHeight="1" x14ac:dyDescent="0.15">
      <c r="A570" s="1"/>
      <c r="B570" s="2"/>
    </row>
    <row r="571" spans="1:2" ht="12.75" customHeight="1" x14ac:dyDescent="0.15">
      <c r="A571" s="1"/>
      <c r="B571" s="2"/>
    </row>
    <row r="572" spans="1:2" ht="12.75" customHeight="1" x14ac:dyDescent="0.15">
      <c r="A572" s="1"/>
      <c r="B572" s="2"/>
    </row>
    <row r="573" spans="1:2" ht="12.75" customHeight="1" x14ac:dyDescent="0.15">
      <c r="A573" s="1"/>
      <c r="B573" s="2"/>
    </row>
    <row r="574" spans="1:2" ht="12.75" customHeight="1" x14ac:dyDescent="0.15">
      <c r="A574" s="1"/>
      <c r="B574" s="2"/>
    </row>
    <row r="575" spans="1:2" ht="12.75" customHeight="1" x14ac:dyDescent="0.15">
      <c r="A575" s="1"/>
      <c r="B575" s="2"/>
    </row>
    <row r="576" spans="1:2" ht="12.75" customHeight="1" x14ac:dyDescent="0.15">
      <c r="A576" s="1"/>
      <c r="B576" s="2"/>
    </row>
    <row r="577" spans="1:2" ht="12.75" customHeight="1" x14ac:dyDescent="0.15">
      <c r="A577" s="1"/>
      <c r="B577" s="2"/>
    </row>
    <row r="578" spans="1:2" ht="12.75" customHeight="1" x14ac:dyDescent="0.15">
      <c r="A578" s="1"/>
      <c r="B578" s="2"/>
    </row>
    <row r="579" spans="1:2" ht="12.75" customHeight="1" x14ac:dyDescent="0.15">
      <c r="A579" s="1"/>
      <c r="B579" s="2"/>
    </row>
    <row r="580" spans="1:2" ht="12.75" customHeight="1" x14ac:dyDescent="0.15">
      <c r="A580" s="1"/>
      <c r="B580" s="2"/>
    </row>
    <row r="581" spans="1:2" ht="12.75" customHeight="1" x14ac:dyDescent="0.15">
      <c r="A581" s="1"/>
      <c r="B581" s="2"/>
    </row>
    <row r="582" spans="1:2" ht="12.75" customHeight="1" x14ac:dyDescent="0.15">
      <c r="A582" s="1"/>
      <c r="B582" s="2"/>
    </row>
    <row r="583" spans="1:2" ht="12.75" customHeight="1" x14ac:dyDescent="0.15">
      <c r="A583" s="1"/>
      <c r="B583" s="2"/>
    </row>
    <row r="584" spans="1:2" ht="12.75" customHeight="1" x14ac:dyDescent="0.15">
      <c r="A584" s="1"/>
      <c r="B584" s="2"/>
    </row>
    <row r="585" spans="1:2" ht="12.75" customHeight="1" x14ac:dyDescent="0.15">
      <c r="A585" s="1"/>
      <c r="B585" s="2"/>
    </row>
    <row r="586" spans="1:2" ht="12.75" customHeight="1" x14ac:dyDescent="0.15">
      <c r="A586" s="1"/>
      <c r="B586" s="2"/>
    </row>
    <row r="587" spans="1:2" ht="12.75" customHeight="1" x14ac:dyDescent="0.15">
      <c r="A587" s="1"/>
      <c r="B587" s="2"/>
    </row>
    <row r="588" spans="1:2" ht="12.75" customHeight="1" x14ac:dyDescent="0.15">
      <c r="A588" s="1"/>
      <c r="B588" s="2"/>
    </row>
    <row r="589" spans="1:2" ht="12.75" customHeight="1" x14ac:dyDescent="0.15">
      <c r="A589" s="1"/>
      <c r="B589" s="2"/>
    </row>
    <row r="590" spans="1:2" ht="12.75" customHeight="1" x14ac:dyDescent="0.15">
      <c r="A590" s="1"/>
      <c r="B590" s="2"/>
    </row>
    <row r="591" spans="1:2" ht="12.75" customHeight="1" x14ac:dyDescent="0.15">
      <c r="A591" s="1"/>
      <c r="B591" s="2"/>
    </row>
    <row r="592" spans="1:2" ht="12.75" customHeight="1" x14ac:dyDescent="0.15">
      <c r="A592" s="1"/>
      <c r="B592" s="2"/>
    </row>
    <row r="593" spans="1:2" ht="12.75" customHeight="1" x14ac:dyDescent="0.15">
      <c r="A593" s="1"/>
      <c r="B593" s="2"/>
    </row>
    <row r="594" spans="1:2" ht="12.75" customHeight="1" x14ac:dyDescent="0.15">
      <c r="A594" s="1"/>
      <c r="B594" s="2"/>
    </row>
    <row r="595" spans="1:2" ht="12.75" customHeight="1" x14ac:dyDescent="0.15">
      <c r="A595" s="1"/>
      <c r="B595" s="2"/>
    </row>
    <row r="596" spans="1:2" ht="12.75" customHeight="1" x14ac:dyDescent="0.15">
      <c r="A596" s="1"/>
      <c r="B596" s="2"/>
    </row>
    <row r="597" spans="1:2" ht="12.75" customHeight="1" x14ac:dyDescent="0.15">
      <c r="A597" s="1"/>
      <c r="B597" s="2"/>
    </row>
    <row r="598" spans="1:2" ht="12.75" customHeight="1" x14ac:dyDescent="0.15">
      <c r="A598" s="1"/>
      <c r="B598" s="2"/>
    </row>
    <row r="599" spans="1:2" ht="12.75" customHeight="1" x14ac:dyDescent="0.15">
      <c r="A599" s="1"/>
      <c r="B599" s="2"/>
    </row>
    <row r="600" spans="1:2" ht="12.75" customHeight="1" x14ac:dyDescent="0.15">
      <c r="A600" s="1"/>
      <c r="B600" s="2"/>
    </row>
    <row r="601" spans="1:2" ht="12.75" customHeight="1" x14ac:dyDescent="0.15">
      <c r="A601" s="1"/>
      <c r="B601" s="2"/>
    </row>
    <row r="602" spans="1:2" ht="12.75" customHeight="1" x14ac:dyDescent="0.15">
      <c r="A602" s="1"/>
      <c r="B602" s="2"/>
    </row>
    <row r="603" spans="1:2" ht="12.75" customHeight="1" x14ac:dyDescent="0.15">
      <c r="A603" s="1"/>
      <c r="B603" s="2"/>
    </row>
    <row r="604" spans="1:2" ht="12.75" customHeight="1" x14ac:dyDescent="0.15">
      <c r="A604" s="1"/>
      <c r="B604" s="2"/>
    </row>
    <row r="605" spans="1:2" ht="12.75" customHeight="1" x14ac:dyDescent="0.15">
      <c r="A605" s="1"/>
      <c r="B605" s="2"/>
    </row>
    <row r="606" spans="1:2" ht="12.75" customHeight="1" x14ac:dyDescent="0.15">
      <c r="A606" s="1"/>
      <c r="B606" s="2"/>
    </row>
    <row r="607" spans="1:2" ht="12.75" customHeight="1" x14ac:dyDescent="0.15">
      <c r="A607" s="1"/>
      <c r="B607" s="2"/>
    </row>
    <row r="608" spans="1:2" ht="12.75" customHeight="1" x14ac:dyDescent="0.15">
      <c r="A608" s="1"/>
      <c r="B608" s="2"/>
    </row>
    <row r="609" spans="1:2" ht="12.75" customHeight="1" x14ac:dyDescent="0.15">
      <c r="A609" s="1"/>
      <c r="B609" s="2"/>
    </row>
    <row r="610" spans="1:2" ht="12.75" customHeight="1" x14ac:dyDescent="0.15">
      <c r="A610" s="1"/>
      <c r="B610" s="2"/>
    </row>
    <row r="611" spans="1:2" ht="12.75" customHeight="1" x14ac:dyDescent="0.15">
      <c r="A611" s="1"/>
      <c r="B611" s="2"/>
    </row>
    <row r="612" spans="1:2" ht="12.75" customHeight="1" x14ac:dyDescent="0.15">
      <c r="A612" s="1"/>
      <c r="B612" s="2"/>
    </row>
    <row r="613" spans="1:2" ht="12.75" customHeight="1" x14ac:dyDescent="0.15">
      <c r="A613" s="1"/>
      <c r="B613" s="2"/>
    </row>
    <row r="614" spans="1:2" ht="12.75" customHeight="1" x14ac:dyDescent="0.15">
      <c r="A614" s="1"/>
      <c r="B614" s="2"/>
    </row>
    <row r="615" spans="1:2" ht="12.75" customHeight="1" x14ac:dyDescent="0.15">
      <c r="A615" s="1"/>
      <c r="B615" s="2"/>
    </row>
    <row r="616" spans="1:2" ht="12.75" customHeight="1" x14ac:dyDescent="0.15">
      <c r="A616" s="1"/>
      <c r="B616" s="2"/>
    </row>
    <row r="617" spans="1:2" ht="12.75" customHeight="1" x14ac:dyDescent="0.15">
      <c r="A617" s="1"/>
      <c r="B617" s="2"/>
    </row>
    <row r="618" spans="1:2" ht="12.75" customHeight="1" x14ac:dyDescent="0.15">
      <c r="A618" s="1"/>
      <c r="B618" s="2"/>
    </row>
    <row r="619" spans="1:2" ht="12.75" customHeight="1" x14ac:dyDescent="0.15">
      <c r="A619" s="1"/>
      <c r="B619" s="2"/>
    </row>
    <row r="620" spans="1:2" ht="12.75" customHeight="1" x14ac:dyDescent="0.15">
      <c r="A620" s="1"/>
      <c r="B620" s="2"/>
    </row>
    <row r="621" spans="1:2" ht="12.75" customHeight="1" x14ac:dyDescent="0.15">
      <c r="A621" s="1"/>
      <c r="B621" s="2"/>
    </row>
    <row r="622" spans="1:2" ht="12.75" customHeight="1" x14ac:dyDescent="0.15">
      <c r="A622" s="1"/>
      <c r="B622" s="2"/>
    </row>
    <row r="623" spans="1:2" ht="12.75" customHeight="1" x14ac:dyDescent="0.15">
      <c r="A623" s="1"/>
      <c r="B623" s="2"/>
    </row>
    <row r="624" spans="1:2" ht="12.75" customHeight="1" x14ac:dyDescent="0.15">
      <c r="A624" s="1"/>
      <c r="B624" s="2"/>
    </row>
    <row r="625" spans="1:2" ht="12.75" customHeight="1" x14ac:dyDescent="0.15">
      <c r="A625" s="1"/>
      <c r="B625" s="2"/>
    </row>
    <row r="626" spans="1:2" ht="12.75" customHeight="1" x14ac:dyDescent="0.15">
      <c r="A626" s="1"/>
      <c r="B626" s="2"/>
    </row>
    <row r="627" spans="1:2" ht="12.75" customHeight="1" x14ac:dyDescent="0.15">
      <c r="A627" s="1"/>
      <c r="B627" s="2"/>
    </row>
    <row r="628" spans="1:2" ht="12.75" customHeight="1" x14ac:dyDescent="0.15">
      <c r="A628" s="1"/>
      <c r="B628" s="2"/>
    </row>
    <row r="629" spans="1:2" ht="12.75" customHeight="1" x14ac:dyDescent="0.15">
      <c r="A629" s="1"/>
      <c r="B629" s="2"/>
    </row>
    <row r="630" spans="1:2" ht="12.75" customHeight="1" x14ac:dyDescent="0.15">
      <c r="A630" s="1"/>
      <c r="B630" s="2"/>
    </row>
    <row r="631" spans="1:2" ht="12.75" customHeight="1" x14ac:dyDescent="0.15">
      <c r="A631" s="1"/>
      <c r="B631" s="2"/>
    </row>
    <row r="632" spans="1:2" ht="12.75" customHeight="1" x14ac:dyDescent="0.15">
      <c r="A632" s="1"/>
      <c r="B632" s="2"/>
    </row>
    <row r="633" spans="1:2" ht="12.75" customHeight="1" x14ac:dyDescent="0.15">
      <c r="A633" s="1"/>
      <c r="B633" s="2"/>
    </row>
    <row r="634" spans="1:2" ht="12.75" customHeight="1" x14ac:dyDescent="0.15">
      <c r="A634" s="1"/>
      <c r="B634" s="2"/>
    </row>
    <row r="635" spans="1:2" ht="12.75" customHeight="1" x14ac:dyDescent="0.15">
      <c r="A635" s="1"/>
      <c r="B635" s="2"/>
    </row>
    <row r="636" spans="1:2" ht="12.75" customHeight="1" x14ac:dyDescent="0.15">
      <c r="A636" s="1"/>
      <c r="B636" s="2"/>
    </row>
    <row r="637" spans="1:2" ht="12.75" customHeight="1" x14ac:dyDescent="0.15">
      <c r="A637" s="1"/>
      <c r="B637" s="2"/>
    </row>
    <row r="638" spans="1:2" ht="12.75" customHeight="1" x14ac:dyDescent="0.15">
      <c r="A638" s="1"/>
      <c r="B638" s="2"/>
    </row>
    <row r="639" spans="1:2" ht="12.75" customHeight="1" x14ac:dyDescent="0.15">
      <c r="A639" s="1"/>
      <c r="B639" s="2"/>
    </row>
    <row r="640" spans="1:2" ht="12.75" customHeight="1" x14ac:dyDescent="0.15">
      <c r="A640" s="1"/>
      <c r="B640" s="2"/>
    </row>
    <row r="641" spans="1:2" ht="12.75" customHeight="1" x14ac:dyDescent="0.15">
      <c r="A641" s="1"/>
      <c r="B641" s="2"/>
    </row>
    <row r="642" spans="1:2" ht="12.75" customHeight="1" x14ac:dyDescent="0.15">
      <c r="A642" s="1"/>
      <c r="B642" s="2"/>
    </row>
    <row r="643" spans="1:2" ht="12.75" customHeight="1" x14ac:dyDescent="0.15">
      <c r="A643" s="1"/>
      <c r="B643" s="2"/>
    </row>
    <row r="644" spans="1:2" ht="12.75" customHeight="1" x14ac:dyDescent="0.15">
      <c r="A644" s="1"/>
      <c r="B644" s="2"/>
    </row>
    <row r="645" spans="1:2" ht="12.75" customHeight="1" x14ac:dyDescent="0.15">
      <c r="A645" s="1"/>
      <c r="B645" s="2"/>
    </row>
    <row r="646" spans="1:2" ht="12.75" customHeight="1" x14ac:dyDescent="0.15">
      <c r="A646" s="1"/>
      <c r="B646" s="2"/>
    </row>
    <row r="647" spans="1:2" ht="12.75" customHeight="1" x14ac:dyDescent="0.15">
      <c r="A647" s="1"/>
      <c r="B647" s="2"/>
    </row>
    <row r="648" spans="1:2" ht="12.75" customHeight="1" x14ac:dyDescent="0.15">
      <c r="A648" s="1"/>
      <c r="B648" s="2"/>
    </row>
    <row r="649" spans="1:2" ht="12.75" customHeight="1" x14ac:dyDescent="0.15">
      <c r="A649" s="1"/>
      <c r="B649" s="2"/>
    </row>
    <row r="650" spans="1:2" ht="12.75" customHeight="1" x14ac:dyDescent="0.15">
      <c r="A650" s="1"/>
      <c r="B650" s="2"/>
    </row>
    <row r="651" spans="1:2" ht="12.75" customHeight="1" x14ac:dyDescent="0.15">
      <c r="A651" s="1"/>
      <c r="B651" s="2"/>
    </row>
    <row r="652" spans="1:2" ht="12.75" customHeight="1" x14ac:dyDescent="0.15">
      <c r="A652" s="1"/>
      <c r="B652" s="2"/>
    </row>
    <row r="653" spans="1:2" ht="12.75" customHeight="1" x14ac:dyDescent="0.15">
      <c r="A653" s="1"/>
      <c r="B653" s="2"/>
    </row>
    <row r="654" spans="1:2" ht="12.75" customHeight="1" x14ac:dyDescent="0.15">
      <c r="A654" s="1"/>
      <c r="B654" s="2"/>
    </row>
    <row r="655" spans="1:2" ht="12.75" customHeight="1" x14ac:dyDescent="0.15">
      <c r="A655" s="1"/>
      <c r="B655" s="2"/>
    </row>
    <row r="656" spans="1:2" ht="12.75" customHeight="1" x14ac:dyDescent="0.15">
      <c r="A656" s="1"/>
      <c r="B656" s="2"/>
    </row>
    <row r="657" spans="1:2" ht="12.75" customHeight="1" x14ac:dyDescent="0.15">
      <c r="A657" s="1"/>
      <c r="B657" s="2"/>
    </row>
    <row r="658" spans="1:2" ht="12.75" customHeight="1" x14ac:dyDescent="0.15">
      <c r="A658" s="1"/>
      <c r="B658" s="2"/>
    </row>
    <row r="659" spans="1:2" ht="12.75" customHeight="1" x14ac:dyDescent="0.15">
      <c r="A659" s="1"/>
      <c r="B659" s="2"/>
    </row>
    <row r="660" spans="1:2" ht="12.75" customHeight="1" x14ac:dyDescent="0.15">
      <c r="A660" s="1"/>
      <c r="B660" s="2"/>
    </row>
    <row r="661" spans="1:2" ht="12.75" customHeight="1" x14ac:dyDescent="0.15">
      <c r="A661" s="1"/>
      <c r="B661" s="2"/>
    </row>
    <row r="662" spans="1:2" ht="12.75" customHeight="1" x14ac:dyDescent="0.15">
      <c r="A662" s="1"/>
      <c r="B662" s="2"/>
    </row>
    <row r="663" spans="1:2" ht="12.75" customHeight="1" x14ac:dyDescent="0.15">
      <c r="A663" s="1"/>
      <c r="B663" s="2"/>
    </row>
    <row r="664" spans="1:2" ht="12.75" customHeight="1" x14ac:dyDescent="0.15">
      <c r="A664" s="1"/>
      <c r="B664" s="2"/>
    </row>
    <row r="665" spans="1:2" ht="12.75" customHeight="1" x14ac:dyDescent="0.15">
      <c r="A665" s="1"/>
      <c r="B665" s="2"/>
    </row>
    <row r="666" spans="1:2" ht="12.75" customHeight="1" x14ac:dyDescent="0.15">
      <c r="A666" s="1"/>
      <c r="B666" s="2"/>
    </row>
    <row r="667" spans="1:2" ht="12.75" customHeight="1" x14ac:dyDescent="0.15">
      <c r="A667" s="1"/>
      <c r="B667" s="2"/>
    </row>
    <row r="668" spans="1:2" ht="12.75" customHeight="1" x14ac:dyDescent="0.15">
      <c r="A668" s="1"/>
      <c r="B668" s="2"/>
    </row>
    <row r="669" spans="1:2" ht="12.75" customHeight="1" x14ac:dyDescent="0.15">
      <c r="A669" s="1"/>
      <c r="B669" s="2"/>
    </row>
    <row r="670" spans="1:2" ht="12.75" customHeight="1" x14ac:dyDescent="0.15">
      <c r="A670" s="1"/>
      <c r="B670" s="2"/>
    </row>
    <row r="671" spans="1:2" ht="12.75" customHeight="1" x14ac:dyDescent="0.15">
      <c r="A671" s="1"/>
      <c r="B671" s="2"/>
    </row>
    <row r="672" spans="1:2" ht="12.75" customHeight="1" x14ac:dyDescent="0.15">
      <c r="A672" s="1"/>
      <c r="B672" s="2"/>
    </row>
    <row r="673" spans="1:2" ht="12.75" customHeight="1" x14ac:dyDescent="0.15">
      <c r="A673" s="1"/>
      <c r="B673" s="2"/>
    </row>
    <row r="674" spans="1:2" ht="12.75" customHeight="1" x14ac:dyDescent="0.15">
      <c r="A674" s="1"/>
      <c r="B674" s="2"/>
    </row>
    <row r="675" spans="1:2" ht="12.75" customHeight="1" x14ac:dyDescent="0.15">
      <c r="A675" s="1"/>
      <c r="B675" s="2"/>
    </row>
    <row r="676" spans="1:2" ht="12.75" customHeight="1" x14ac:dyDescent="0.15">
      <c r="A676" s="1"/>
      <c r="B676" s="2"/>
    </row>
    <row r="677" spans="1:2" ht="12.75" customHeight="1" x14ac:dyDescent="0.15">
      <c r="A677" s="1"/>
      <c r="B677" s="2"/>
    </row>
    <row r="678" spans="1:2" ht="12.75" customHeight="1" x14ac:dyDescent="0.15">
      <c r="A678" s="1"/>
      <c r="B678" s="2"/>
    </row>
    <row r="679" spans="1:2" ht="12.75" customHeight="1" x14ac:dyDescent="0.15">
      <c r="A679" s="1"/>
      <c r="B679" s="2"/>
    </row>
    <row r="680" spans="1:2" ht="12.75" customHeight="1" x14ac:dyDescent="0.15">
      <c r="A680" s="1"/>
      <c r="B680" s="2"/>
    </row>
    <row r="681" spans="1:2" ht="12.75" customHeight="1" x14ac:dyDescent="0.15">
      <c r="A681" s="1"/>
      <c r="B681" s="2"/>
    </row>
    <row r="682" spans="1:2" ht="12.75" customHeight="1" x14ac:dyDescent="0.15">
      <c r="A682" s="1"/>
      <c r="B682" s="2"/>
    </row>
    <row r="683" spans="1:2" ht="12.75" customHeight="1" x14ac:dyDescent="0.15">
      <c r="A683" s="1"/>
      <c r="B683" s="2"/>
    </row>
    <row r="684" spans="1:2" ht="12.75" customHeight="1" x14ac:dyDescent="0.15">
      <c r="A684" s="1"/>
      <c r="B684" s="2"/>
    </row>
    <row r="685" spans="1:2" ht="12.75" customHeight="1" x14ac:dyDescent="0.15">
      <c r="A685" s="1"/>
      <c r="B685" s="2"/>
    </row>
    <row r="686" spans="1:2" ht="12.75" customHeight="1" x14ac:dyDescent="0.15">
      <c r="A686" s="1"/>
      <c r="B686" s="2"/>
    </row>
    <row r="687" spans="1:2" ht="12.75" customHeight="1" x14ac:dyDescent="0.15">
      <c r="A687" s="1"/>
      <c r="B687" s="2"/>
    </row>
    <row r="688" spans="1:2" ht="12.75" customHeight="1" x14ac:dyDescent="0.15">
      <c r="A688" s="1"/>
      <c r="B688" s="2"/>
    </row>
    <row r="689" spans="1:2" ht="12.75" customHeight="1" x14ac:dyDescent="0.15">
      <c r="A689" s="1"/>
      <c r="B689" s="2"/>
    </row>
    <row r="690" spans="1:2" ht="12.75" customHeight="1" x14ac:dyDescent="0.15">
      <c r="A690" s="1"/>
      <c r="B690" s="2"/>
    </row>
    <row r="691" spans="1:2" ht="12.75" customHeight="1" x14ac:dyDescent="0.15">
      <c r="A691" s="1"/>
      <c r="B691" s="2"/>
    </row>
    <row r="692" spans="1:2" ht="12.75" customHeight="1" x14ac:dyDescent="0.15">
      <c r="A692" s="1"/>
      <c r="B692" s="2"/>
    </row>
    <row r="693" spans="1:2" ht="12.75" customHeight="1" x14ac:dyDescent="0.15">
      <c r="A693" s="1"/>
      <c r="B693" s="2"/>
    </row>
    <row r="694" spans="1:2" ht="12.75" customHeight="1" x14ac:dyDescent="0.15">
      <c r="A694" s="1"/>
      <c r="B694" s="2"/>
    </row>
    <row r="695" spans="1:2" ht="12.75" customHeight="1" x14ac:dyDescent="0.15">
      <c r="A695" s="1"/>
      <c r="B695" s="2"/>
    </row>
    <row r="696" spans="1:2" ht="12.75" customHeight="1" x14ac:dyDescent="0.15">
      <c r="A696" s="1"/>
      <c r="B696" s="2"/>
    </row>
    <row r="697" spans="1:2" ht="12.75" customHeight="1" x14ac:dyDescent="0.15">
      <c r="A697" s="1"/>
      <c r="B697" s="2"/>
    </row>
    <row r="698" spans="1:2" ht="12.75" customHeight="1" x14ac:dyDescent="0.15">
      <c r="A698" s="1"/>
      <c r="B698" s="2"/>
    </row>
    <row r="699" spans="1:2" ht="12.75" customHeight="1" x14ac:dyDescent="0.15">
      <c r="A699" s="1"/>
      <c r="B699" s="2"/>
    </row>
    <row r="700" spans="1:2" ht="12.75" customHeight="1" x14ac:dyDescent="0.15">
      <c r="A700" s="1"/>
      <c r="B700" s="2"/>
    </row>
    <row r="701" spans="1:2" ht="12.75" customHeight="1" x14ac:dyDescent="0.15">
      <c r="A701" s="1"/>
      <c r="B701" s="2"/>
    </row>
    <row r="702" spans="1:2" ht="12.75" customHeight="1" x14ac:dyDescent="0.15">
      <c r="A702" s="1"/>
      <c r="B702" s="2"/>
    </row>
    <row r="703" spans="1:2" ht="12.75" customHeight="1" x14ac:dyDescent="0.15">
      <c r="A703" s="1"/>
      <c r="B703" s="2"/>
    </row>
    <row r="704" spans="1:2" ht="12.75" customHeight="1" x14ac:dyDescent="0.15">
      <c r="A704" s="1"/>
      <c r="B704" s="2"/>
    </row>
    <row r="705" spans="1:2" ht="12.75" customHeight="1" x14ac:dyDescent="0.15">
      <c r="A705" s="1"/>
      <c r="B705" s="2"/>
    </row>
    <row r="706" spans="1:2" ht="12.75" customHeight="1" x14ac:dyDescent="0.15">
      <c r="A706" s="1"/>
      <c r="B706" s="2"/>
    </row>
    <row r="707" spans="1:2" ht="12.75" customHeight="1" x14ac:dyDescent="0.15">
      <c r="A707" s="1"/>
      <c r="B707" s="2"/>
    </row>
    <row r="708" spans="1:2" ht="12.75" customHeight="1" x14ac:dyDescent="0.15">
      <c r="A708" s="1"/>
      <c r="B708" s="2"/>
    </row>
    <row r="709" spans="1:2" ht="12.75" customHeight="1" x14ac:dyDescent="0.15">
      <c r="A709" s="1"/>
      <c r="B709" s="2"/>
    </row>
    <row r="710" spans="1:2" ht="12.75" customHeight="1" x14ac:dyDescent="0.15">
      <c r="A710" s="1"/>
      <c r="B710" s="2"/>
    </row>
    <row r="711" spans="1:2" ht="12.75" customHeight="1" x14ac:dyDescent="0.15">
      <c r="A711" s="1"/>
      <c r="B711" s="2"/>
    </row>
    <row r="712" spans="1:2" ht="12.75" customHeight="1" x14ac:dyDescent="0.15">
      <c r="A712" s="1"/>
      <c r="B712" s="2"/>
    </row>
    <row r="713" spans="1:2" ht="12.75" customHeight="1" x14ac:dyDescent="0.15">
      <c r="A713" s="1"/>
      <c r="B713" s="2"/>
    </row>
    <row r="714" spans="1:2" ht="12.75" customHeight="1" x14ac:dyDescent="0.15">
      <c r="A714" s="1"/>
      <c r="B714" s="2"/>
    </row>
    <row r="715" spans="1:2" ht="12.75" customHeight="1" x14ac:dyDescent="0.15">
      <c r="A715" s="1"/>
      <c r="B715" s="2"/>
    </row>
    <row r="716" spans="1:2" ht="12.75" customHeight="1" x14ac:dyDescent="0.15">
      <c r="A716" s="1"/>
      <c r="B716" s="2"/>
    </row>
    <row r="717" spans="1:2" ht="12.75" customHeight="1" x14ac:dyDescent="0.15">
      <c r="A717" s="1"/>
      <c r="B717" s="2"/>
    </row>
    <row r="718" spans="1:2" ht="12.75" customHeight="1" x14ac:dyDescent="0.15">
      <c r="A718" s="1"/>
      <c r="B718" s="2"/>
    </row>
    <row r="719" spans="1:2" ht="12.75" customHeight="1" x14ac:dyDescent="0.15">
      <c r="A719" s="1"/>
      <c r="B719" s="2"/>
    </row>
    <row r="720" spans="1:2" ht="12.75" customHeight="1" x14ac:dyDescent="0.15">
      <c r="A720" s="1"/>
      <c r="B720" s="2"/>
    </row>
    <row r="721" spans="1:2" ht="12.75" customHeight="1" x14ac:dyDescent="0.15">
      <c r="A721" s="1"/>
      <c r="B721" s="2"/>
    </row>
    <row r="722" spans="1:2" ht="12.75" customHeight="1" x14ac:dyDescent="0.15">
      <c r="A722" s="1"/>
      <c r="B722" s="2"/>
    </row>
    <row r="723" spans="1:2" ht="12.75" customHeight="1" x14ac:dyDescent="0.15">
      <c r="A723" s="1"/>
      <c r="B723" s="2"/>
    </row>
    <row r="724" spans="1:2" ht="12.75" customHeight="1" x14ac:dyDescent="0.15">
      <c r="A724" s="1"/>
      <c r="B724" s="2"/>
    </row>
    <row r="725" spans="1:2" ht="12.75" customHeight="1" x14ac:dyDescent="0.15">
      <c r="A725" s="1"/>
      <c r="B725" s="2"/>
    </row>
    <row r="726" spans="1:2" ht="12.75" customHeight="1" x14ac:dyDescent="0.15">
      <c r="A726" s="1"/>
      <c r="B726" s="2"/>
    </row>
    <row r="727" spans="1:2" ht="12.75" customHeight="1" x14ac:dyDescent="0.15">
      <c r="A727" s="1"/>
      <c r="B727" s="2"/>
    </row>
    <row r="728" spans="1:2" ht="12.75" customHeight="1" x14ac:dyDescent="0.15">
      <c r="A728" s="1"/>
      <c r="B728" s="2"/>
    </row>
    <row r="729" spans="1:2" ht="12.75" customHeight="1" x14ac:dyDescent="0.15">
      <c r="A729" s="1"/>
      <c r="B729" s="2"/>
    </row>
    <row r="730" spans="1:2" ht="12.75" customHeight="1" x14ac:dyDescent="0.15">
      <c r="A730" s="1"/>
      <c r="B730" s="2"/>
    </row>
    <row r="731" spans="1:2" ht="12.75" customHeight="1" x14ac:dyDescent="0.15">
      <c r="A731" s="1"/>
      <c r="B731" s="2"/>
    </row>
    <row r="732" spans="1:2" ht="12.75" customHeight="1" x14ac:dyDescent="0.15">
      <c r="A732" s="1"/>
      <c r="B732" s="2"/>
    </row>
    <row r="733" spans="1:2" ht="12.75" customHeight="1" x14ac:dyDescent="0.15">
      <c r="A733" s="1"/>
      <c r="B733" s="2"/>
    </row>
    <row r="734" spans="1:2" ht="12.75" customHeight="1" x14ac:dyDescent="0.15">
      <c r="A734" s="1"/>
      <c r="B734" s="2"/>
    </row>
    <row r="735" spans="1:2" ht="12.75" customHeight="1" x14ac:dyDescent="0.15">
      <c r="A735" s="1"/>
      <c r="B735" s="2"/>
    </row>
    <row r="736" spans="1:2" ht="12.75" customHeight="1" x14ac:dyDescent="0.15">
      <c r="A736" s="1"/>
      <c r="B736" s="2"/>
    </row>
    <row r="737" spans="1:2" ht="12.75" customHeight="1" x14ac:dyDescent="0.15">
      <c r="A737" s="1"/>
      <c r="B737" s="2"/>
    </row>
    <row r="738" spans="1:2" ht="12.75" customHeight="1" x14ac:dyDescent="0.15">
      <c r="A738" s="1"/>
      <c r="B738" s="2"/>
    </row>
    <row r="739" spans="1:2" ht="12.75" customHeight="1" x14ac:dyDescent="0.15">
      <c r="A739" s="1"/>
      <c r="B739" s="2"/>
    </row>
    <row r="740" spans="1:2" ht="12.75" customHeight="1" x14ac:dyDescent="0.15">
      <c r="A740" s="1"/>
      <c r="B740" s="2"/>
    </row>
    <row r="741" spans="1:2" ht="12.75" customHeight="1" x14ac:dyDescent="0.15">
      <c r="A741" s="1"/>
      <c r="B741" s="2"/>
    </row>
    <row r="742" spans="1:2" ht="12.75" customHeight="1" x14ac:dyDescent="0.15">
      <c r="A742" s="1"/>
      <c r="B742" s="2"/>
    </row>
    <row r="743" spans="1:2" ht="12.75" customHeight="1" x14ac:dyDescent="0.15">
      <c r="A743" s="1"/>
      <c r="B743" s="2"/>
    </row>
    <row r="744" spans="1:2" ht="12.75" customHeight="1" x14ac:dyDescent="0.15">
      <c r="A744" s="1"/>
      <c r="B744" s="2"/>
    </row>
    <row r="745" spans="1:2" ht="12.75" customHeight="1" x14ac:dyDescent="0.15">
      <c r="A745" s="1"/>
      <c r="B745" s="2"/>
    </row>
    <row r="746" spans="1:2" ht="12.75" customHeight="1" x14ac:dyDescent="0.15">
      <c r="A746" s="1"/>
      <c r="B746" s="2"/>
    </row>
    <row r="747" spans="1:2" ht="12.75" customHeight="1" x14ac:dyDescent="0.15">
      <c r="A747" s="1"/>
      <c r="B747" s="2"/>
    </row>
    <row r="748" spans="1:2" ht="12.75" customHeight="1" x14ac:dyDescent="0.15">
      <c r="A748" s="1"/>
      <c r="B748" s="2"/>
    </row>
    <row r="749" spans="1:2" ht="12.75" customHeight="1" x14ac:dyDescent="0.15">
      <c r="A749" s="1"/>
      <c r="B749" s="2"/>
    </row>
    <row r="750" spans="1:2" ht="12.75" customHeight="1" x14ac:dyDescent="0.15">
      <c r="A750" s="1"/>
      <c r="B750" s="2"/>
    </row>
    <row r="751" spans="1:2" ht="12.75" customHeight="1" x14ac:dyDescent="0.15">
      <c r="A751" s="1"/>
      <c r="B751" s="2"/>
    </row>
    <row r="752" spans="1:2" ht="12.75" customHeight="1" x14ac:dyDescent="0.15">
      <c r="A752" s="1"/>
      <c r="B752" s="2"/>
    </row>
    <row r="753" spans="1:2" ht="12.75" customHeight="1" x14ac:dyDescent="0.15">
      <c r="A753" s="1"/>
      <c r="B753" s="2"/>
    </row>
    <row r="754" spans="1:2" ht="12.75" customHeight="1" x14ac:dyDescent="0.15">
      <c r="A754" s="1"/>
      <c r="B754" s="2"/>
    </row>
    <row r="755" spans="1:2" ht="12.75" customHeight="1" x14ac:dyDescent="0.15">
      <c r="A755" s="1"/>
      <c r="B755" s="2"/>
    </row>
    <row r="756" spans="1:2" ht="12.75" customHeight="1" x14ac:dyDescent="0.15">
      <c r="A756" s="1"/>
      <c r="B756" s="2"/>
    </row>
    <row r="757" spans="1:2" ht="12.75" customHeight="1" x14ac:dyDescent="0.15">
      <c r="A757" s="1"/>
      <c r="B757" s="2"/>
    </row>
    <row r="758" spans="1:2" ht="12.75" customHeight="1" x14ac:dyDescent="0.15">
      <c r="A758" s="1"/>
      <c r="B758" s="2"/>
    </row>
    <row r="759" spans="1:2" ht="12.75" customHeight="1" x14ac:dyDescent="0.15">
      <c r="A759" s="1"/>
      <c r="B759" s="2"/>
    </row>
    <row r="760" spans="1:2" ht="12.75" customHeight="1" x14ac:dyDescent="0.15">
      <c r="A760" s="1"/>
      <c r="B760" s="2"/>
    </row>
    <row r="761" spans="1:2" ht="12.75" customHeight="1" x14ac:dyDescent="0.15">
      <c r="A761" s="1"/>
      <c r="B761" s="2"/>
    </row>
    <row r="762" spans="1:2" ht="12.75" customHeight="1" x14ac:dyDescent="0.15">
      <c r="A762" s="1"/>
      <c r="B762" s="2"/>
    </row>
    <row r="763" spans="1:2" ht="12.75" customHeight="1" x14ac:dyDescent="0.15">
      <c r="A763" s="1"/>
      <c r="B763" s="2"/>
    </row>
    <row r="764" spans="1:2" ht="12.75" customHeight="1" x14ac:dyDescent="0.15">
      <c r="A764" s="1"/>
      <c r="B764" s="2"/>
    </row>
    <row r="765" spans="1:2" ht="12.75" customHeight="1" x14ac:dyDescent="0.15">
      <c r="A765" s="1"/>
      <c r="B765" s="2"/>
    </row>
    <row r="766" spans="1:2" ht="12.75" customHeight="1" x14ac:dyDescent="0.15">
      <c r="A766" s="1"/>
      <c r="B766" s="2"/>
    </row>
    <row r="767" spans="1:2" ht="12.75" customHeight="1" x14ac:dyDescent="0.15">
      <c r="A767" s="1"/>
      <c r="B767" s="2"/>
    </row>
    <row r="768" spans="1:2" ht="12.75" customHeight="1" x14ac:dyDescent="0.15">
      <c r="A768" s="1"/>
      <c r="B768" s="2"/>
    </row>
    <row r="769" spans="1:2" ht="12.75" customHeight="1" x14ac:dyDescent="0.15">
      <c r="A769" s="1"/>
      <c r="B769" s="2"/>
    </row>
    <row r="770" spans="1:2" ht="12.75" customHeight="1" x14ac:dyDescent="0.15">
      <c r="A770" s="1"/>
      <c r="B770" s="2"/>
    </row>
    <row r="771" spans="1:2" ht="12.75" customHeight="1" x14ac:dyDescent="0.15">
      <c r="A771" s="1"/>
      <c r="B771" s="2"/>
    </row>
    <row r="772" spans="1:2" ht="12.75" customHeight="1" x14ac:dyDescent="0.15">
      <c r="A772" s="1"/>
      <c r="B772" s="2"/>
    </row>
    <row r="773" spans="1:2" ht="12.75" customHeight="1" x14ac:dyDescent="0.15">
      <c r="A773" s="1"/>
      <c r="B773" s="2"/>
    </row>
    <row r="774" spans="1:2" ht="12.75" customHeight="1" x14ac:dyDescent="0.15">
      <c r="A774" s="1"/>
      <c r="B774" s="2"/>
    </row>
    <row r="775" spans="1:2" ht="12.75" customHeight="1" x14ac:dyDescent="0.15">
      <c r="A775" s="1"/>
      <c r="B775" s="2"/>
    </row>
    <row r="776" spans="1:2" ht="12.75" customHeight="1" x14ac:dyDescent="0.15">
      <c r="A776" s="1"/>
      <c r="B776" s="2"/>
    </row>
    <row r="777" spans="1:2" ht="12.75" customHeight="1" x14ac:dyDescent="0.15">
      <c r="A777" s="1"/>
      <c r="B777" s="2"/>
    </row>
    <row r="778" spans="1:2" ht="12.75" customHeight="1" x14ac:dyDescent="0.15">
      <c r="A778" s="1"/>
      <c r="B778" s="2"/>
    </row>
    <row r="779" spans="1:2" ht="12.75" customHeight="1" x14ac:dyDescent="0.15">
      <c r="A779" s="1"/>
      <c r="B779" s="2"/>
    </row>
    <row r="780" spans="1:2" ht="12.75" customHeight="1" x14ac:dyDescent="0.15">
      <c r="A780" s="1"/>
      <c r="B780" s="2"/>
    </row>
    <row r="781" spans="1:2" ht="12.75" customHeight="1" x14ac:dyDescent="0.15">
      <c r="A781" s="1"/>
      <c r="B781" s="2"/>
    </row>
    <row r="782" spans="1:2" ht="12.75" customHeight="1" x14ac:dyDescent="0.15">
      <c r="A782" s="1"/>
      <c r="B782" s="2"/>
    </row>
    <row r="783" spans="1:2" ht="12.75" customHeight="1" x14ac:dyDescent="0.15">
      <c r="A783" s="1"/>
      <c r="B783" s="2"/>
    </row>
    <row r="784" spans="1:2" ht="12.75" customHeight="1" x14ac:dyDescent="0.15">
      <c r="A784" s="1"/>
      <c r="B784" s="2"/>
    </row>
    <row r="785" spans="1:2" ht="12.75" customHeight="1" x14ac:dyDescent="0.15">
      <c r="A785" s="1"/>
      <c r="B785" s="2"/>
    </row>
    <row r="786" spans="1:2" ht="12.75" customHeight="1" x14ac:dyDescent="0.15">
      <c r="A786" s="1"/>
      <c r="B786" s="2"/>
    </row>
    <row r="787" spans="1:2" ht="12.75" customHeight="1" x14ac:dyDescent="0.15">
      <c r="A787" s="1"/>
      <c r="B787" s="2"/>
    </row>
    <row r="788" spans="1:2" ht="12.75" customHeight="1" x14ac:dyDescent="0.15">
      <c r="A788" s="1"/>
      <c r="B788" s="2"/>
    </row>
    <row r="789" spans="1:2" ht="12.75" customHeight="1" x14ac:dyDescent="0.15">
      <c r="A789" s="1"/>
      <c r="B789" s="2"/>
    </row>
    <row r="790" spans="1:2" ht="12.75" customHeight="1" x14ac:dyDescent="0.15">
      <c r="A790" s="1"/>
      <c r="B790" s="2"/>
    </row>
    <row r="791" spans="1:2" ht="12.75" customHeight="1" x14ac:dyDescent="0.15">
      <c r="A791" s="1"/>
      <c r="B791" s="2"/>
    </row>
    <row r="792" spans="1:2" ht="12.75" customHeight="1" x14ac:dyDescent="0.15">
      <c r="A792" s="1"/>
      <c r="B792" s="2"/>
    </row>
    <row r="793" spans="1:2" ht="12.75" customHeight="1" x14ac:dyDescent="0.15">
      <c r="A793" s="1"/>
      <c r="B793" s="2"/>
    </row>
    <row r="794" spans="1:2" ht="12.75" customHeight="1" x14ac:dyDescent="0.15">
      <c r="A794" s="1"/>
      <c r="B794" s="2"/>
    </row>
    <row r="795" spans="1:2" ht="12.75" customHeight="1" x14ac:dyDescent="0.15">
      <c r="A795" s="1"/>
      <c r="B795" s="2"/>
    </row>
    <row r="796" spans="1:2" ht="12.75" customHeight="1" x14ac:dyDescent="0.15">
      <c r="A796" s="1"/>
      <c r="B796" s="2"/>
    </row>
    <row r="797" spans="1:2" ht="12.75" customHeight="1" x14ac:dyDescent="0.15">
      <c r="A797" s="1"/>
      <c r="B797" s="2"/>
    </row>
    <row r="798" spans="1:2" ht="12.75" customHeight="1" x14ac:dyDescent="0.15">
      <c r="A798" s="1"/>
      <c r="B798" s="2"/>
    </row>
    <row r="799" spans="1:2" ht="12.75" customHeight="1" x14ac:dyDescent="0.15">
      <c r="A799" s="1"/>
      <c r="B799" s="2"/>
    </row>
    <row r="800" spans="1:2" ht="12.75" customHeight="1" x14ac:dyDescent="0.15">
      <c r="A800" s="1"/>
      <c r="B800" s="2"/>
    </row>
    <row r="801" spans="1:2" ht="12.75" customHeight="1" x14ac:dyDescent="0.15">
      <c r="A801" s="1"/>
      <c r="B801" s="2"/>
    </row>
    <row r="802" spans="1:2" ht="12.75" customHeight="1" x14ac:dyDescent="0.15">
      <c r="A802" s="1"/>
      <c r="B802" s="2"/>
    </row>
    <row r="803" spans="1:2" ht="12.75" customHeight="1" x14ac:dyDescent="0.15">
      <c r="A803" s="1"/>
      <c r="B803" s="2"/>
    </row>
    <row r="804" spans="1:2" ht="12.75" customHeight="1" x14ac:dyDescent="0.15">
      <c r="A804" s="1"/>
      <c r="B804" s="2"/>
    </row>
    <row r="805" spans="1:2" ht="12.75" customHeight="1" x14ac:dyDescent="0.15">
      <c r="A805" s="1"/>
      <c r="B805" s="2"/>
    </row>
    <row r="806" spans="1:2" ht="12.75" customHeight="1" x14ac:dyDescent="0.15">
      <c r="A806" s="1"/>
      <c r="B806" s="2"/>
    </row>
    <row r="807" spans="1:2" ht="12.75" customHeight="1" x14ac:dyDescent="0.15">
      <c r="A807" s="1"/>
      <c r="B807" s="2"/>
    </row>
    <row r="808" spans="1:2" ht="12.75" customHeight="1" x14ac:dyDescent="0.15">
      <c r="A808" s="1"/>
      <c r="B808" s="2"/>
    </row>
    <row r="809" spans="1:2" ht="12.75" customHeight="1" x14ac:dyDescent="0.15">
      <c r="A809" s="1"/>
      <c r="B809" s="2"/>
    </row>
    <row r="810" spans="1:2" ht="12.75" customHeight="1" x14ac:dyDescent="0.15">
      <c r="A810" s="1"/>
      <c r="B810" s="2"/>
    </row>
    <row r="811" spans="1:2" ht="12.75" customHeight="1" x14ac:dyDescent="0.15">
      <c r="A811" s="1"/>
      <c r="B811" s="2"/>
    </row>
    <row r="812" spans="1:2" ht="12.75" customHeight="1" x14ac:dyDescent="0.15">
      <c r="A812" s="1"/>
      <c r="B812" s="2"/>
    </row>
    <row r="813" spans="1:2" ht="12.75" customHeight="1" x14ac:dyDescent="0.15">
      <c r="A813" s="1"/>
      <c r="B813" s="2"/>
    </row>
    <row r="814" spans="1:2" ht="12.75" customHeight="1" x14ac:dyDescent="0.15">
      <c r="A814" s="1"/>
      <c r="B814" s="2"/>
    </row>
    <row r="815" spans="1:2" ht="12.75" customHeight="1" x14ac:dyDescent="0.15">
      <c r="A815" s="1"/>
      <c r="B815" s="2"/>
    </row>
    <row r="816" spans="1:2" ht="12.75" customHeight="1" x14ac:dyDescent="0.15">
      <c r="A816" s="1"/>
      <c r="B816" s="2"/>
    </row>
    <row r="817" spans="1:2" ht="12.75" customHeight="1" x14ac:dyDescent="0.15">
      <c r="A817" s="1"/>
      <c r="B817" s="2"/>
    </row>
    <row r="818" spans="1:2" ht="12.75" customHeight="1" x14ac:dyDescent="0.15">
      <c r="A818" s="1"/>
      <c r="B818" s="2"/>
    </row>
    <row r="819" spans="1:2" ht="12.75" customHeight="1" x14ac:dyDescent="0.15">
      <c r="A819" s="1"/>
      <c r="B819" s="2"/>
    </row>
    <row r="820" spans="1:2" ht="12.75" customHeight="1" x14ac:dyDescent="0.15">
      <c r="A820" s="1"/>
      <c r="B820" s="2"/>
    </row>
    <row r="821" spans="1:2" ht="12.75" customHeight="1" x14ac:dyDescent="0.15">
      <c r="A821" s="1"/>
      <c r="B821" s="2"/>
    </row>
    <row r="822" spans="1:2" ht="12.75" customHeight="1" x14ac:dyDescent="0.15">
      <c r="A822" s="1"/>
      <c r="B822" s="2"/>
    </row>
    <row r="823" spans="1:2" ht="12.75" customHeight="1" x14ac:dyDescent="0.15">
      <c r="A823" s="1"/>
      <c r="B823" s="2"/>
    </row>
    <row r="824" spans="1:2" ht="12.75" customHeight="1" x14ac:dyDescent="0.15">
      <c r="A824" s="1"/>
      <c r="B824" s="2"/>
    </row>
    <row r="825" spans="1:2" ht="12.75" customHeight="1" x14ac:dyDescent="0.15">
      <c r="A825" s="1"/>
      <c r="B825" s="2"/>
    </row>
    <row r="826" spans="1:2" ht="12.75" customHeight="1" x14ac:dyDescent="0.15">
      <c r="A826" s="1"/>
      <c r="B826" s="2"/>
    </row>
    <row r="827" spans="1:2" ht="12.75" customHeight="1" x14ac:dyDescent="0.15">
      <c r="A827" s="1"/>
      <c r="B827" s="2"/>
    </row>
    <row r="828" spans="1:2" ht="12.75" customHeight="1" x14ac:dyDescent="0.15">
      <c r="A828" s="1"/>
      <c r="B828" s="2"/>
    </row>
    <row r="829" spans="1:2" ht="12.75" customHeight="1" x14ac:dyDescent="0.15">
      <c r="A829" s="1"/>
      <c r="B829" s="2"/>
    </row>
    <row r="830" spans="1:2" ht="12.75" customHeight="1" x14ac:dyDescent="0.15">
      <c r="A830" s="1"/>
      <c r="B830" s="2"/>
    </row>
    <row r="831" spans="1:2" ht="12.75" customHeight="1" x14ac:dyDescent="0.15">
      <c r="A831" s="1"/>
      <c r="B831" s="2"/>
    </row>
    <row r="832" spans="1:2" ht="12.75" customHeight="1" x14ac:dyDescent="0.15">
      <c r="A832" s="1"/>
      <c r="B832" s="2"/>
    </row>
    <row r="833" spans="1:2" ht="12.75" customHeight="1" x14ac:dyDescent="0.15">
      <c r="A833" s="1"/>
      <c r="B833" s="2"/>
    </row>
    <row r="834" spans="1:2" ht="12.75" customHeight="1" x14ac:dyDescent="0.15">
      <c r="A834" s="1"/>
      <c r="B834" s="2"/>
    </row>
    <row r="835" spans="1:2" ht="12.75" customHeight="1" x14ac:dyDescent="0.15">
      <c r="A835" s="1"/>
      <c r="B835" s="2"/>
    </row>
    <row r="836" spans="1:2" ht="12.75" customHeight="1" x14ac:dyDescent="0.15">
      <c r="A836" s="1"/>
      <c r="B836" s="2"/>
    </row>
    <row r="837" spans="1:2" ht="12.75" customHeight="1" x14ac:dyDescent="0.15">
      <c r="A837" s="1"/>
      <c r="B837" s="2"/>
    </row>
    <row r="838" spans="1:2" ht="12.75" customHeight="1" x14ac:dyDescent="0.15">
      <c r="A838" s="1"/>
      <c r="B838" s="2"/>
    </row>
    <row r="839" spans="1:2" ht="12.75" customHeight="1" x14ac:dyDescent="0.15">
      <c r="A839" s="1"/>
      <c r="B839" s="2"/>
    </row>
    <row r="840" spans="1:2" ht="12.75" customHeight="1" x14ac:dyDescent="0.15">
      <c r="A840" s="1"/>
      <c r="B840" s="2"/>
    </row>
    <row r="841" spans="1:2" ht="12.75" customHeight="1" x14ac:dyDescent="0.15">
      <c r="A841" s="1"/>
      <c r="B841" s="2"/>
    </row>
    <row r="842" spans="1:2" ht="12.75" customHeight="1" x14ac:dyDescent="0.15">
      <c r="A842" s="1"/>
      <c r="B842" s="2"/>
    </row>
    <row r="843" spans="1:2" ht="12.75" customHeight="1" x14ac:dyDescent="0.15">
      <c r="A843" s="1"/>
      <c r="B843" s="2"/>
    </row>
    <row r="844" spans="1:2" ht="12.75" customHeight="1" x14ac:dyDescent="0.15">
      <c r="A844" s="1"/>
      <c r="B844" s="2"/>
    </row>
    <row r="845" spans="1:2" ht="12.75" customHeight="1" x14ac:dyDescent="0.15">
      <c r="A845" s="1"/>
      <c r="B845" s="2"/>
    </row>
    <row r="846" spans="1:2" ht="12.75" customHeight="1" x14ac:dyDescent="0.15">
      <c r="A846" s="1"/>
      <c r="B846" s="2"/>
    </row>
    <row r="847" spans="1:2" ht="12.75" customHeight="1" x14ac:dyDescent="0.15">
      <c r="A847" s="1"/>
      <c r="B847" s="2"/>
    </row>
    <row r="848" spans="1:2" ht="12.75" customHeight="1" x14ac:dyDescent="0.15">
      <c r="A848" s="1"/>
      <c r="B848" s="2"/>
    </row>
    <row r="849" spans="1:2" ht="12.75" customHeight="1" x14ac:dyDescent="0.15">
      <c r="A849" s="1"/>
      <c r="B849" s="2"/>
    </row>
    <row r="850" spans="1:2" ht="12.75" customHeight="1" x14ac:dyDescent="0.15">
      <c r="A850" s="1"/>
      <c r="B850" s="2"/>
    </row>
    <row r="851" spans="1:2" ht="12.75" customHeight="1" x14ac:dyDescent="0.15">
      <c r="A851" s="1"/>
      <c r="B851" s="2"/>
    </row>
    <row r="852" spans="1:2" ht="12.75" customHeight="1" x14ac:dyDescent="0.15">
      <c r="A852" s="1"/>
      <c r="B852" s="2"/>
    </row>
    <row r="853" spans="1:2" ht="12.75" customHeight="1" x14ac:dyDescent="0.15">
      <c r="A853" s="1"/>
      <c r="B853" s="2"/>
    </row>
    <row r="854" spans="1:2" ht="12.75" customHeight="1" x14ac:dyDescent="0.15">
      <c r="A854" s="1"/>
      <c r="B854" s="2"/>
    </row>
    <row r="855" spans="1:2" ht="12.75" customHeight="1" x14ac:dyDescent="0.15">
      <c r="A855" s="1"/>
      <c r="B855" s="2"/>
    </row>
    <row r="856" spans="1:2" ht="12.75" customHeight="1" x14ac:dyDescent="0.15">
      <c r="A856" s="1"/>
      <c r="B856" s="2"/>
    </row>
    <row r="857" spans="1:2" ht="12.75" customHeight="1" x14ac:dyDescent="0.15">
      <c r="A857" s="1"/>
      <c r="B857" s="2"/>
    </row>
    <row r="858" spans="1:2" ht="12.75" customHeight="1" x14ac:dyDescent="0.15">
      <c r="A858" s="1"/>
      <c r="B858" s="2"/>
    </row>
    <row r="859" spans="1:2" ht="12.75" customHeight="1" x14ac:dyDescent="0.15">
      <c r="A859" s="1"/>
      <c r="B859" s="2"/>
    </row>
    <row r="860" spans="1:2" ht="12.75" customHeight="1" x14ac:dyDescent="0.15">
      <c r="A860" s="1"/>
      <c r="B860" s="2"/>
    </row>
    <row r="861" spans="1:2" ht="12.75" customHeight="1" x14ac:dyDescent="0.15">
      <c r="A861" s="1"/>
      <c r="B861" s="2"/>
    </row>
    <row r="862" spans="1:2" ht="12.75" customHeight="1" x14ac:dyDescent="0.15">
      <c r="A862" s="1"/>
      <c r="B862" s="2"/>
    </row>
    <row r="863" spans="1:2" ht="12.75" customHeight="1" x14ac:dyDescent="0.15">
      <c r="A863" s="1"/>
      <c r="B863" s="2"/>
    </row>
    <row r="864" spans="1:2" ht="12.75" customHeight="1" x14ac:dyDescent="0.15">
      <c r="A864" s="1"/>
      <c r="B864" s="2"/>
    </row>
    <row r="865" spans="1:2" ht="12.75" customHeight="1" x14ac:dyDescent="0.15">
      <c r="A865" s="1"/>
      <c r="B865" s="2"/>
    </row>
    <row r="866" spans="1:2" ht="12.75" customHeight="1" x14ac:dyDescent="0.15">
      <c r="A866" s="1"/>
      <c r="B866" s="2"/>
    </row>
    <row r="867" spans="1:2" ht="12.75" customHeight="1" x14ac:dyDescent="0.15">
      <c r="A867" s="1"/>
      <c r="B867" s="2"/>
    </row>
    <row r="868" spans="1:2" ht="12.75" customHeight="1" x14ac:dyDescent="0.15">
      <c r="A868" s="1"/>
      <c r="B868" s="2"/>
    </row>
    <row r="869" spans="1:2" ht="12.75" customHeight="1" x14ac:dyDescent="0.15">
      <c r="A869" s="1"/>
      <c r="B869" s="2"/>
    </row>
    <row r="870" spans="1:2" ht="12.75" customHeight="1" x14ac:dyDescent="0.15">
      <c r="A870" s="1"/>
      <c r="B870" s="2"/>
    </row>
    <row r="871" spans="1:2" ht="12.75" customHeight="1" x14ac:dyDescent="0.15">
      <c r="A871" s="1"/>
      <c r="B871" s="2"/>
    </row>
    <row r="872" spans="1:2" ht="12.75" customHeight="1" x14ac:dyDescent="0.15">
      <c r="A872" s="1"/>
      <c r="B872" s="2"/>
    </row>
    <row r="873" spans="1:2" ht="12.75" customHeight="1" x14ac:dyDescent="0.15">
      <c r="A873" s="1"/>
      <c r="B873" s="2"/>
    </row>
    <row r="874" spans="1:2" ht="12.75" customHeight="1" x14ac:dyDescent="0.15">
      <c r="A874" s="1"/>
      <c r="B874" s="2"/>
    </row>
    <row r="875" spans="1:2" ht="12.75" customHeight="1" x14ac:dyDescent="0.15">
      <c r="A875" s="1"/>
      <c r="B875" s="2"/>
    </row>
    <row r="876" spans="1:2" ht="12.75" customHeight="1" x14ac:dyDescent="0.15">
      <c r="A876" s="1"/>
      <c r="B876" s="2"/>
    </row>
    <row r="877" spans="1:2" ht="12.75" customHeight="1" x14ac:dyDescent="0.15">
      <c r="A877" s="1"/>
      <c r="B877" s="2"/>
    </row>
    <row r="878" spans="1:2" ht="12.75" customHeight="1" x14ac:dyDescent="0.15">
      <c r="A878" s="1"/>
      <c r="B878" s="2"/>
    </row>
    <row r="879" spans="1:2" ht="12.75" customHeight="1" x14ac:dyDescent="0.15">
      <c r="A879" s="1"/>
      <c r="B879" s="2"/>
    </row>
    <row r="880" spans="1:2" ht="12.75" customHeight="1" x14ac:dyDescent="0.15">
      <c r="A880" s="1"/>
      <c r="B880" s="2"/>
    </row>
    <row r="881" spans="1:2" ht="12.75" customHeight="1" x14ac:dyDescent="0.15">
      <c r="A881" s="1"/>
      <c r="B881" s="2"/>
    </row>
    <row r="882" spans="1:2" ht="12.75" customHeight="1" x14ac:dyDescent="0.15">
      <c r="A882" s="1"/>
      <c r="B882" s="2"/>
    </row>
    <row r="883" spans="1:2" ht="12.75" customHeight="1" x14ac:dyDescent="0.15">
      <c r="A883" s="1"/>
      <c r="B883" s="2"/>
    </row>
    <row r="884" spans="1:2" ht="12.75" customHeight="1" x14ac:dyDescent="0.15">
      <c r="A884" s="1"/>
      <c r="B884" s="2"/>
    </row>
    <row r="885" spans="1:2" ht="12.75" customHeight="1" x14ac:dyDescent="0.15">
      <c r="A885" s="1"/>
      <c r="B885" s="2"/>
    </row>
    <row r="886" spans="1:2" ht="12.75" customHeight="1" x14ac:dyDescent="0.15">
      <c r="A886" s="1"/>
      <c r="B886" s="2"/>
    </row>
    <row r="887" spans="1:2" ht="12.75" customHeight="1" x14ac:dyDescent="0.15">
      <c r="A887" s="1"/>
      <c r="B887" s="2"/>
    </row>
    <row r="888" spans="1:2" ht="12.75" customHeight="1" x14ac:dyDescent="0.15">
      <c r="A888" s="1"/>
      <c r="B888" s="2"/>
    </row>
    <row r="889" spans="1:2" ht="12.75" customHeight="1" x14ac:dyDescent="0.15">
      <c r="A889" s="1"/>
      <c r="B889" s="2"/>
    </row>
    <row r="890" spans="1:2" ht="12.75" customHeight="1" x14ac:dyDescent="0.15">
      <c r="A890" s="1"/>
      <c r="B890" s="2"/>
    </row>
    <row r="891" spans="1:2" ht="12.75" customHeight="1" x14ac:dyDescent="0.15">
      <c r="A891" s="1"/>
      <c r="B891" s="2"/>
    </row>
    <row r="892" spans="1:2" ht="12.75" customHeight="1" x14ac:dyDescent="0.15">
      <c r="A892" s="1"/>
      <c r="B892" s="2"/>
    </row>
    <row r="893" spans="1:2" ht="12.75" customHeight="1" x14ac:dyDescent="0.15">
      <c r="A893" s="1"/>
      <c r="B893" s="2"/>
    </row>
    <row r="894" spans="1:2" ht="12.75" customHeight="1" x14ac:dyDescent="0.15">
      <c r="A894" s="1"/>
      <c r="B894" s="2"/>
    </row>
    <row r="895" spans="1:2" ht="12.75" customHeight="1" x14ac:dyDescent="0.15">
      <c r="A895" s="1"/>
      <c r="B895" s="2"/>
    </row>
    <row r="896" spans="1:2" ht="12.75" customHeight="1" x14ac:dyDescent="0.15">
      <c r="A896" s="1"/>
      <c r="B896" s="2"/>
    </row>
    <row r="897" spans="1:2" ht="12.75" customHeight="1" x14ac:dyDescent="0.15">
      <c r="A897" s="1"/>
      <c r="B897" s="2"/>
    </row>
    <row r="898" spans="1:2" ht="12.75" customHeight="1" x14ac:dyDescent="0.15">
      <c r="A898" s="1"/>
      <c r="B898" s="2"/>
    </row>
    <row r="899" spans="1:2" ht="12.75" customHeight="1" x14ac:dyDescent="0.15">
      <c r="A899" s="1"/>
      <c r="B899" s="2"/>
    </row>
    <row r="900" spans="1:2" ht="12.75" customHeight="1" x14ac:dyDescent="0.15">
      <c r="A900" s="1"/>
      <c r="B900" s="2"/>
    </row>
    <row r="901" spans="1:2" ht="12.75" customHeight="1" x14ac:dyDescent="0.15">
      <c r="A901" s="1"/>
      <c r="B901" s="2"/>
    </row>
    <row r="902" spans="1:2" ht="12.75" customHeight="1" x14ac:dyDescent="0.15">
      <c r="A902" s="1"/>
      <c r="B902" s="2"/>
    </row>
    <row r="903" spans="1:2" ht="12.75" customHeight="1" x14ac:dyDescent="0.15">
      <c r="A903" s="1"/>
      <c r="B903" s="2"/>
    </row>
    <row r="904" spans="1:2" ht="12.75" customHeight="1" x14ac:dyDescent="0.15">
      <c r="A904" s="1"/>
      <c r="B904" s="2"/>
    </row>
    <row r="905" spans="1:2" ht="12.75" customHeight="1" x14ac:dyDescent="0.15">
      <c r="A905" s="1"/>
      <c r="B905" s="2"/>
    </row>
    <row r="906" spans="1:2" ht="12.75" customHeight="1" x14ac:dyDescent="0.15">
      <c r="A906" s="1"/>
      <c r="B906" s="2"/>
    </row>
    <row r="907" spans="1:2" ht="12.75" customHeight="1" x14ac:dyDescent="0.15">
      <c r="A907" s="1"/>
      <c r="B907" s="2"/>
    </row>
    <row r="908" spans="1:2" ht="12.75" customHeight="1" x14ac:dyDescent="0.15">
      <c r="A908" s="1"/>
      <c r="B908" s="2"/>
    </row>
    <row r="909" spans="1:2" ht="12.75" customHeight="1" x14ac:dyDescent="0.15">
      <c r="A909" s="1"/>
      <c r="B909" s="2"/>
    </row>
    <row r="910" spans="1:2" ht="12.75" customHeight="1" x14ac:dyDescent="0.15">
      <c r="A910" s="1"/>
      <c r="B910" s="2"/>
    </row>
    <row r="911" spans="1:2" ht="12.75" customHeight="1" x14ac:dyDescent="0.15">
      <c r="A911" s="1"/>
      <c r="B911" s="2"/>
    </row>
    <row r="912" spans="1:2" ht="12.75" customHeight="1" x14ac:dyDescent="0.15">
      <c r="A912" s="1"/>
      <c r="B912" s="2"/>
    </row>
    <row r="913" spans="1:2" ht="12.75" customHeight="1" x14ac:dyDescent="0.15">
      <c r="A913" s="1"/>
      <c r="B913" s="2"/>
    </row>
    <row r="914" spans="1:2" ht="12.75" customHeight="1" x14ac:dyDescent="0.15">
      <c r="A914" s="1"/>
      <c r="B914" s="2"/>
    </row>
    <row r="915" spans="1:2" ht="12.75" customHeight="1" x14ac:dyDescent="0.15">
      <c r="A915" s="1"/>
      <c r="B915" s="2"/>
    </row>
    <row r="916" spans="1:2" ht="12.75" customHeight="1" x14ac:dyDescent="0.15">
      <c r="A916" s="1"/>
      <c r="B916" s="2"/>
    </row>
    <row r="917" spans="1:2" ht="12.75" customHeight="1" x14ac:dyDescent="0.15">
      <c r="A917" s="1"/>
      <c r="B917" s="2"/>
    </row>
    <row r="918" spans="1:2" ht="12.75" customHeight="1" x14ac:dyDescent="0.15">
      <c r="A918" s="1"/>
      <c r="B918" s="2"/>
    </row>
    <row r="919" spans="1:2" ht="12.75" customHeight="1" x14ac:dyDescent="0.15">
      <c r="A919" s="1"/>
      <c r="B919" s="2"/>
    </row>
    <row r="920" spans="1:2" ht="12.75" customHeight="1" x14ac:dyDescent="0.15">
      <c r="A920" s="1"/>
      <c r="B920" s="2"/>
    </row>
    <row r="921" spans="1:2" ht="12.75" customHeight="1" x14ac:dyDescent="0.15">
      <c r="A921" s="1"/>
      <c r="B921" s="2"/>
    </row>
    <row r="922" spans="1:2" ht="12.75" customHeight="1" x14ac:dyDescent="0.15">
      <c r="A922" s="1"/>
      <c r="B922" s="2"/>
    </row>
    <row r="923" spans="1:2" ht="12.75" customHeight="1" x14ac:dyDescent="0.15">
      <c r="A923" s="1"/>
      <c r="B923" s="2"/>
    </row>
    <row r="924" spans="1:2" ht="12.75" customHeight="1" x14ac:dyDescent="0.15">
      <c r="A924" s="1"/>
      <c r="B924" s="2"/>
    </row>
    <row r="925" spans="1:2" ht="12.75" customHeight="1" x14ac:dyDescent="0.15">
      <c r="A925" s="1"/>
      <c r="B925" s="2"/>
    </row>
    <row r="926" spans="1:2" ht="12.75" customHeight="1" x14ac:dyDescent="0.15">
      <c r="A926" s="1"/>
      <c r="B926" s="2"/>
    </row>
    <row r="927" spans="1:2" ht="12.75" customHeight="1" x14ac:dyDescent="0.15">
      <c r="A927" s="1"/>
      <c r="B927" s="2"/>
    </row>
    <row r="928" spans="1:2" ht="12.75" customHeight="1" x14ac:dyDescent="0.15">
      <c r="A928" s="1"/>
      <c r="B928" s="2"/>
    </row>
    <row r="929" spans="1:2" ht="12.75" customHeight="1" x14ac:dyDescent="0.15">
      <c r="A929" s="1"/>
      <c r="B929" s="2"/>
    </row>
    <row r="930" spans="1:2" ht="12.75" customHeight="1" x14ac:dyDescent="0.15">
      <c r="A930" s="1"/>
      <c r="B930" s="2"/>
    </row>
    <row r="931" spans="1:2" ht="12.75" customHeight="1" x14ac:dyDescent="0.15">
      <c r="A931" s="1"/>
      <c r="B931" s="2"/>
    </row>
    <row r="932" spans="1:2" ht="12.75" customHeight="1" x14ac:dyDescent="0.15">
      <c r="A932" s="1"/>
      <c r="B932" s="2"/>
    </row>
    <row r="933" spans="1:2" ht="12.75" customHeight="1" x14ac:dyDescent="0.15">
      <c r="A933" s="1"/>
      <c r="B933" s="2"/>
    </row>
    <row r="934" spans="1:2" ht="12.75" customHeight="1" x14ac:dyDescent="0.15">
      <c r="A934" s="1"/>
      <c r="B934" s="2"/>
    </row>
    <row r="935" spans="1:2" ht="12.75" customHeight="1" x14ac:dyDescent="0.15">
      <c r="A935" s="1"/>
      <c r="B935" s="2"/>
    </row>
    <row r="936" spans="1:2" ht="12.75" customHeight="1" x14ac:dyDescent="0.15">
      <c r="A936" s="1"/>
      <c r="B936" s="2"/>
    </row>
    <row r="937" spans="1:2" ht="12.75" customHeight="1" x14ac:dyDescent="0.15">
      <c r="A937" s="1"/>
      <c r="B937" s="2"/>
    </row>
    <row r="938" spans="1:2" ht="12.75" customHeight="1" x14ac:dyDescent="0.15">
      <c r="A938" s="1"/>
      <c r="B938" s="2"/>
    </row>
    <row r="939" spans="1:2" ht="12.75" customHeight="1" x14ac:dyDescent="0.15">
      <c r="A939" s="1"/>
      <c r="B939" s="2"/>
    </row>
    <row r="940" spans="1:2" ht="12.75" customHeight="1" x14ac:dyDescent="0.15">
      <c r="A940" s="1"/>
      <c r="B940" s="2"/>
    </row>
    <row r="941" spans="1:2" ht="12.75" customHeight="1" x14ac:dyDescent="0.15">
      <c r="A941" s="1"/>
      <c r="B941" s="2"/>
    </row>
    <row r="942" spans="1:2" ht="12.75" customHeight="1" x14ac:dyDescent="0.15">
      <c r="A942" s="1"/>
      <c r="B942" s="2"/>
    </row>
    <row r="943" spans="1:2" ht="12.75" customHeight="1" x14ac:dyDescent="0.15">
      <c r="A943" s="1"/>
      <c r="B943" s="2"/>
    </row>
    <row r="944" spans="1:2" ht="12.75" customHeight="1" x14ac:dyDescent="0.15">
      <c r="A944" s="1"/>
      <c r="B944" s="2"/>
    </row>
    <row r="945" spans="1:2" ht="12.75" customHeight="1" x14ac:dyDescent="0.15">
      <c r="A945" s="1"/>
      <c r="B945" s="2"/>
    </row>
    <row r="946" spans="1:2" ht="12.75" customHeight="1" x14ac:dyDescent="0.15">
      <c r="A946" s="1"/>
      <c r="B946" s="2"/>
    </row>
    <row r="947" spans="1:2" ht="12.75" customHeight="1" x14ac:dyDescent="0.15">
      <c r="A947" s="1"/>
      <c r="B947" s="2"/>
    </row>
    <row r="948" spans="1:2" ht="12.75" customHeight="1" x14ac:dyDescent="0.15">
      <c r="A948" s="1"/>
      <c r="B948" s="2"/>
    </row>
    <row r="949" spans="1:2" ht="12.75" customHeight="1" x14ac:dyDescent="0.15">
      <c r="A949" s="1"/>
      <c r="B949" s="2"/>
    </row>
    <row r="950" spans="1:2" ht="12.75" customHeight="1" x14ac:dyDescent="0.15">
      <c r="A950" s="1"/>
      <c r="B950" s="2"/>
    </row>
    <row r="951" spans="1:2" ht="12.75" customHeight="1" x14ac:dyDescent="0.15">
      <c r="A951" s="1"/>
      <c r="B951" s="2"/>
    </row>
    <row r="952" spans="1:2" ht="12.75" customHeight="1" x14ac:dyDescent="0.15">
      <c r="A952" s="1"/>
      <c r="B952" s="2"/>
    </row>
    <row r="953" spans="1:2" ht="12.75" customHeight="1" x14ac:dyDescent="0.15">
      <c r="A953" s="1"/>
      <c r="B953" s="2"/>
    </row>
    <row r="954" spans="1:2" ht="12.75" customHeight="1" x14ac:dyDescent="0.15">
      <c r="A954" s="1"/>
      <c r="B954" s="2"/>
    </row>
    <row r="955" spans="1:2" ht="12.75" customHeight="1" x14ac:dyDescent="0.15">
      <c r="A955" s="1"/>
      <c r="B955" s="2"/>
    </row>
    <row r="956" spans="1:2" ht="12.75" customHeight="1" x14ac:dyDescent="0.15">
      <c r="A956" s="1"/>
      <c r="B956" s="2"/>
    </row>
    <row r="957" spans="1:2" ht="12.75" customHeight="1" x14ac:dyDescent="0.15">
      <c r="A957" s="1"/>
      <c r="B957" s="2"/>
    </row>
    <row r="958" spans="1:2" ht="12.75" customHeight="1" x14ac:dyDescent="0.15">
      <c r="A958" s="1"/>
      <c r="B958" s="2"/>
    </row>
    <row r="959" spans="1:2" ht="12.75" customHeight="1" x14ac:dyDescent="0.15">
      <c r="A959" s="1"/>
      <c r="B959" s="2"/>
    </row>
    <row r="960" spans="1:2" ht="12.75" customHeight="1" x14ac:dyDescent="0.15">
      <c r="A960" s="1"/>
      <c r="B960" s="2"/>
    </row>
    <row r="961" spans="1:2" ht="12.75" customHeight="1" x14ac:dyDescent="0.15">
      <c r="A961" s="1"/>
      <c r="B961" s="2"/>
    </row>
    <row r="962" spans="1:2" ht="12.75" customHeight="1" x14ac:dyDescent="0.15">
      <c r="A962" s="1"/>
      <c r="B962" s="2"/>
    </row>
    <row r="963" spans="1:2" ht="12.75" customHeight="1" x14ac:dyDescent="0.15">
      <c r="A963" s="1"/>
      <c r="B963" s="2"/>
    </row>
    <row r="964" spans="1:2" ht="12.75" customHeight="1" x14ac:dyDescent="0.15">
      <c r="A964" s="1"/>
      <c r="B964" s="2"/>
    </row>
    <row r="965" spans="1:2" ht="12.75" customHeight="1" x14ac:dyDescent="0.15">
      <c r="A965" s="1"/>
      <c r="B965" s="2"/>
    </row>
    <row r="966" spans="1:2" ht="12.75" customHeight="1" x14ac:dyDescent="0.15">
      <c r="A966" s="1"/>
      <c r="B966" s="2"/>
    </row>
    <row r="967" spans="1:2" ht="12.75" customHeight="1" x14ac:dyDescent="0.15">
      <c r="A967" s="1"/>
      <c r="B967" s="2"/>
    </row>
    <row r="968" spans="1:2" ht="12.75" customHeight="1" x14ac:dyDescent="0.15">
      <c r="A968" s="1"/>
      <c r="B968" s="2"/>
    </row>
    <row r="969" spans="1:2" ht="12.75" customHeight="1" x14ac:dyDescent="0.15">
      <c r="A969" s="1"/>
      <c r="B969" s="2"/>
    </row>
    <row r="970" spans="1:2" ht="12.75" customHeight="1" x14ac:dyDescent="0.15">
      <c r="A970" s="1"/>
      <c r="B970" s="2"/>
    </row>
    <row r="971" spans="1:2" ht="12.75" customHeight="1" x14ac:dyDescent="0.15">
      <c r="A971" s="1"/>
      <c r="B971" s="2"/>
    </row>
    <row r="972" spans="1:2" ht="12.75" customHeight="1" x14ac:dyDescent="0.15">
      <c r="A972" s="1"/>
      <c r="B972" s="2"/>
    </row>
    <row r="973" spans="1:2" ht="12.75" customHeight="1" x14ac:dyDescent="0.15">
      <c r="A973" s="1"/>
      <c r="B973" s="2"/>
    </row>
    <row r="974" spans="1:2" ht="12.75" customHeight="1" x14ac:dyDescent="0.15">
      <c r="A974" s="1"/>
      <c r="B974" s="2"/>
    </row>
    <row r="975" spans="1:2" ht="12.75" customHeight="1" x14ac:dyDescent="0.15">
      <c r="A975" s="1"/>
      <c r="B975" s="2"/>
    </row>
    <row r="976" spans="1:2" ht="12.75" customHeight="1" x14ac:dyDescent="0.15">
      <c r="A976" s="1"/>
      <c r="B976" s="2"/>
    </row>
    <row r="977" spans="1:2" ht="12.75" customHeight="1" x14ac:dyDescent="0.15">
      <c r="A977" s="1"/>
      <c r="B977" s="2"/>
    </row>
    <row r="978" spans="1:2" ht="12.75" customHeight="1" x14ac:dyDescent="0.15">
      <c r="A978" s="1"/>
      <c r="B978" s="2"/>
    </row>
    <row r="979" spans="1:2" ht="12.75" customHeight="1" x14ac:dyDescent="0.15">
      <c r="A979" s="1"/>
      <c r="B979" s="2"/>
    </row>
    <row r="980" spans="1:2" ht="12.75" customHeight="1" x14ac:dyDescent="0.15">
      <c r="A980" s="1"/>
      <c r="B980" s="2"/>
    </row>
    <row r="981" spans="1:2" ht="12.75" customHeight="1" x14ac:dyDescent="0.15">
      <c r="A981" s="1"/>
      <c r="B981" s="2"/>
    </row>
    <row r="982" spans="1:2" ht="12.75" customHeight="1" x14ac:dyDescent="0.15">
      <c r="A982" s="1"/>
      <c r="B982" s="2"/>
    </row>
    <row r="983" spans="1:2" ht="12.75" customHeight="1" x14ac:dyDescent="0.15">
      <c r="A983" s="1"/>
      <c r="B983" s="2"/>
    </row>
    <row r="984" spans="1:2" ht="12.75" customHeight="1" x14ac:dyDescent="0.15">
      <c r="A984" s="1"/>
      <c r="B984" s="2"/>
    </row>
    <row r="985" spans="1:2" ht="12.75" customHeight="1" x14ac:dyDescent="0.15">
      <c r="A985" s="1"/>
      <c r="B985" s="2"/>
    </row>
    <row r="986" spans="1:2" ht="12.75" customHeight="1" x14ac:dyDescent="0.15">
      <c r="A986" s="1"/>
      <c r="B986" s="2"/>
    </row>
    <row r="987" spans="1:2" ht="12.75" customHeight="1" x14ac:dyDescent="0.15">
      <c r="A987" s="1"/>
      <c r="B987" s="2"/>
    </row>
    <row r="988" spans="1:2" ht="12.75" customHeight="1" x14ac:dyDescent="0.15">
      <c r="A988" s="1"/>
      <c r="B988" s="2"/>
    </row>
    <row r="989" spans="1:2" ht="12.75" customHeight="1" x14ac:dyDescent="0.15">
      <c r="A989" s="1"/>
      <c r="B989" s="2"/>
    </row>
    <row r="990" spans="1:2" ht="12.75" customHeight="1" x14ac:dyDescent="0.15">
      <c r="A990" s="1"/>
      <c r="B990" s="2"/>
    </row>
    <row r="991" spans="1:2" ht="12.75" customHeight="1" x14ac:dyDescent="0.15">
      <c r="A991" s="1"/>
      <c r="B991" s="2"/>
    </row>
    <row r="992" spans="1:2" ht="12.75" customHeight="1" x14ac:dyDescent="0.15">
      <c r="A992" s="1"/>
      <c r="B992" s="2"/>
    </row>
    <row r="993" spans="1:2" ht="12.75" customHeight="1" x14ac:dyDescent="0.15">
      <c r="A993" s="1"/>
      <c r="B993" s="2"/>
    </row>
    <row r="994" spans="1:2" ht="12.75" customHeight="1" x14ac:dyDescent="0.15">
      <c r="A994" s="1"/>
      <c r="B994" s="2"/>
    </row>
    <row r="995" spans="1:2" ht="12.75" customHeight="1" x14ac:dyDescent="0.15">
      <c r="A995" s="1"/>
      <c r="B995" s="2"/>
    </row>
    <row r="996" spans="1:2" ht="12.75" customHeight="1" x14ac:dyDescent="0.15">
      <c r="A996" s="1"/>
      <c r="B996" s="2"/>
    </row>
    <row r="997" spans="1:2" ht="12.75" customHeight="1" x14ac:dyDescent="0.15">
      <c r="A997" s="1"/>
      <c r="B997" s="2"/>
    </row>
    <row r="998" spans="1:2" ht="12.75" customHeight="1" x14ac:dyDescent="0.15">
      <c r="A998" s="1"/>
      <c r="B998" s="2"/>
    </row>
    <row r="999" spans="1:2" ht="12.75" customHeight="1" x14ac:dyDescent="0.15">
      <c r="A999" s="1"/>
      <c r="B999" s="2"/>
    </row>
    <row r="1000" spans="1:2" ht="12.75" customHeight="1" x14ac:dyDescent="0.15">
      <c r="A1000" s="1"/>
      <c r="B1000" s="2"/>
    </row>
  </sheetData>
  <pageMargins left="0.7" right="0.7" top="0.75" bottom="0.75" header="0" footer="0"/>
  <pageSetup orientation="landscape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V1000"/>
  <sheetViews>
    <sheetView workbookViewId="0"/>
  </sheetViews>
  <sheetFormatPr baseColWidth="10" defaultColWidth="12.6640625" defaultRowHeight="15" customHeight="1" x14ac:dyDescent="0.15"/>
  <cols>
    <col min="1" max="1" width="14.5" customWidth="1"/>
    <col min="2" max="2" width="41.5" customWidth="1"/>
    <col min="3" max="3" width="10.6640625" customWidth="1"/>
    <col min="4" max="4" width="55.33203125" customWidth="1"/>
    <col min="5" max="22" width="10.6640625" customWidth="1"/>
  </cols>
  <sheetData>
    <row r="1" spans="1:22" ht="12.75" customHeight="1" x14ac:dyDescent="0.15">
      <c r="A1" s="1" t="s">
        <v>0</v>
      </c>
      <c r="B1" s="2" t="s">
        <v>1</v>
      </c>
      <c r="C1" s="14" t="s">
        <v>54</v>
      </c>
      <c r="D1" s="14" t="s">
        <v>50</v>
      </c>
    </row>
    <row r="2" spans="1:22" ht="12.75" customHeight="1" x14ac:dyDescent="0.15">
      <c r="A2" s="3" t="s">
        <v>2</v>
      </c>
      <c r="B2" s="4" t="s">
        <v>3</v>
      </c>
      <c r="C2" s="27">
        <v>1</v>
      </c>
      <c r="D2" s="9" t="s">
        <v>55</v>
      </c>
    </row>
    <row r="3" spans="1:22" ht="12.75" customHeight="1" x14ac:dyDescent="0.15">
      <c r="A3" s="3" t="s">
        <v>2</v>
      </c>
      <c r="B3" s="4" t="s">
        <v>4</v>
      </c>
      <c r="C3" s="28">
        <v>1</v>
      </c>
      <c r="D3" s="7" t="s">
        <v>56</v>
      </c>
    </row>
    <row r="4" spans="1:22" ht="12.75" customHeight="1" x14ac:dyDescent="0.15">
      <c r="A4" s="3" t="s">
        <v>5</v>
      </c>
      <c r="B4" s="4" t="s">
        <v>6</v>
      </c>
      <c r="C4" s="27">
        <v>1</v>
      </c>
      <c r="D4" s="9" t="s">
        <v>57</v>
      </c>
    </row>
    <row r="5" spans="1:22" ht="12.75" customHeight="1" x14ac:dyDescent="0.15">
      <c r="A5" s="3" t="s">
        <v>2</v>
      </c>
      <c r="B5" s="4" t="s">
        <v>7</v>
      </c>
      <c r="C5" s="28">
        <v>0</v>
      </c>
      <c r="D5" s="7" t="s">
        <v>58</v>
      </c>
    </row>
    <row r="6" spans="1:22" ht="12.75" customHeight="1" x14ac:dyDescent="0.15">
      <c r="A6" s="3" t="s">
        <v>5</v>
      </c>
      <c r="B6" s="4" t="s">
        <v>8</v>
      </c>
      <c r="C6" s="27">
        <v>0</v>
      </c>
      <c r="D6" s="9" t="s">
        <v>59</v>
      </c>
    </row>
    <row r="7" spans="1:22" ht="12.75" customHeight="1" x14ac:dyDescent="0.15">
      <c r="A7" s="3" t="s">
        <v>5</v>
      </c>
      <c r="B7" s="4" t="s">
        <v>9</v>
      </c>
      <c r="C7" s="28">
        <v>0</v>
      </c>
      <c r="D7" s="7" t="s">
        <v>60</v>
      </c>
    </row>
    <row r="8" spans="1:22" ht="12.75" customHeight="1" x14ac:dyDescent="0.15">
      <c r="A8" s="3" t="s">
        <v>2</v>
      </c>
      <c r="B8" s="4" t="s">
        <v>10</v>
      </c>
      <c r="C8" s="27">
        <v>1</v>
      </c>
      <c r="D8" s="9" t="s">
        <v>61</v>
      </c>
    </row>
    <row r="9" spans="1:22" ht="12.75" customHeight="1" x14ac:dyDescent="0.15">
      <c r="A9" s="3" t="s">
        <v>5</v>
      </c>
      <c r="B9" s="4" t="s">
        <v>11</v>
      </c>
      <c r="C9" s="28">
        <v>1</v>
      </c>
      <c r="D9" s="7" t="s">
        <v>62</v>
      </c>
    </row>
    <row r="10" spans="1:22" ht="12.75" customHeight="1" x14ac:dyDescent="0.15">
      <c r="A10" s="3" t="s">
        <v>12</v>
      </c>
      <c r="B10" s="4" t="s">
        <v>13</v>
      </c>
      <c r="C10" s="28">
        <v>1</v>
      </c>
      <c r="D10" s="7" t="s">
        <v>63</v>
      </c>
    </row>
    <row r="11" spans="1:22" ht="12.75" customHeight="1" x14ac:dyDescent="0.15">
      <c r="A11" s="3" t="s">
        <v>14</v>
      </c>
      <c r="B11" s="4" t="s">
        <v>15</v>
      </c>
      <c r="C11" s="27">
        <v>0</v>
      </c>
      <c r="D11" s="9" t="s">
        <v>64</v>
      </c>
    </row>
    <row r="12" spans="1:22" ht="12.75" customHeight="1" x14ac:dyDescent="0.15">
      <c r="A12" s="3" t="s">
        <v>5</v>
      </c>
      <c r="B12" s="4" t="s">
        <v>16</v>
      </c>
      <c r="C12" s="28">
        <v>0.5</v>
      </c>
      <c r="D12" s="7" t="s">
        <v>65</v>
      </c>
    </row>
    <row r="13" spans="1:22" ht="12.75" customHeight="1" x14ac:dyDescent="0.15">
      <c r="A13" s="3" t="s">
        <v>5</v>
      </c>
      <c r="B13" s="4" t="s">
        <v>17</v>
      </c>
      <c r="C13" s="27">
        <v>0</v>
      </c>
      <c r="D13" s="9" t="s">
        <v>66</v>
      </c>
    </row>
    <row r="14" spans="1:22" ht="12.75" customHeight="1" x14ac:dyDescent="0.15">
      <c r="A14" s="3" t="s">
        <v>2</v>
      </c>
      <c r="B14" s="4" t="s">
        <v>18</v>
      </c>
      <c r="C14" s="28">
        <v>1</v>
      </c>
      <c r="D14" s="7" t="s">
        <v>67</v>
      </c>
    </row>
    <row r="15" spans="1:22" ht="12.75" customHeight="1" x14ac:dyDescent="0.15">
      <c r="A15" s="3" t="s">
        <v>2</v>
      </c>
      <c r="B15" s="4" t="s">
        <v>19</v>
      </c>
      <c r="C15" s="27">
        <v>1</v>
      </c>
      <c r="D15" s="9" t="s">
        <v>68</v>
      </c>
    </row>
    <row r="16" spans="1:22" ht="15" customHeight="1" x14ac:dyDescent="0.15">
      <c r="A16" s="3" t="s">
        <v>5</v>
      </c>
      <c r="B16" s="4" t="s">
        <v>20</v>
      </c>
      <c r="C16" s="28">
        <v>1</v>
      </c>
      <c r="D16" s="7" t="s">
        <v>69</v>
      </c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</row>
    <row r="17" spans="1:22" ht="12.75" customHeight="1" x14ac:dyDescent="0.15">
      <c r="A17" s="3" t="s">
        <v>5</v>
      </c>
      <c r="B17" s="4" t="s">
        <v>21</v>
      </c>
      <c r="C17" s="27">
        <v>0.5</v>
      </c>
      <c r="D17" s="9" t="s">
        <v>70</v>
      </c>
    </row>
    <row r="18" spans="1:22" ht="12.75" customHeight="1" x14ac:dyDescent="0.15">
      <c r="A18" s="3" t="s">
        <v>22</v>
      </c>
      <c r="B18" s="4" t="s">
        <v>23</v>
      </c>
      <c r="C18" s="28">
        <v>1</v>
      </c>
      <c r="D18" s="7" t="s">
        <v>71</v>
      </c>
    </row>
    <row r="19" spans="1:22" ht="12.75" customHeight="1" x14ac:dyDescent="0.15">
      <c r="A19" s="6" t="s">
        <v>24</v>
      </c>
      <c r="B19" s="7" t="s">
        <v>25</v>
      </c>
      <c r="C19" s="27">
        <v>0</v>
      </c>
      <c r="D19" s="9" t="s">
        <v>72</v>
      </c>
    </row>
    <row r="20" spans="1:22" ht="12.75" customHeight="1" x14ac:dyDescent="0.15">
      <c r="A20" s="3" t="s">
        <v>2</v>
      </c>
      <c r="B20" s="4" t="s">
        <v>26</v>
      </c>
      <c r="C20" s="28">
        <v>1</v>
      </c>
      <c r="D20" s="7" t="s">
        <v>73</v>
      </c>
    </row>
    <row r="21" spans="1:22" ht="12.75" customHeight="1" x14ac:dyDescent="0.15">
      <c r="A21" s="3" t="s">
        <v>5</v>
      </c>
      <c r="B21" s="4" t="s">
        <v>27</v>
      </c>
      <c r="C21" s="27">
        <v>1</v>
      </c>
      <c r="D21" s="9" t="s">
        <v>74</v>
      </c>
    </row>
    <row r="22" spans="1:22" ht="12.75" customHeight="1" x14ac:dyDescent="0.15">
      <c r="A22" s="3" t="s">
        <v>5</v>
      </c>
      <c r="B22" s="4" t="s">
        <v>28</v>
      </c>
      <c r="C22" s="28">
        <v>1</v>
      </c>
      <c r="D22" s="7" t="s">
        <v>75</v>
      </c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</row>
    <row r="23" spans="1:22" ht="12.75" customHeight="1" x14ac:dyDescent="0.15">
      <c r="A23" s="3" t="s">
        <v>2</v>
      </c>
      <c r="B23" s="4" t="s">
        <v>29</v>
      </c>
      <c r="C23" s="27">
        <v>0.5</v>
      </c>
      <c r="D23" s="9" t="s">
        <v>76</v>
      </c>
    </row>
    <row r="24" spans="1:22" ht="12.75" customHeight="1" x14ac:dyDescent="0.15">
      <c r="A24" s="3" t="s">
        <v>5</v>
      </c>
      <c r="B24" s="4" t="s">
        <v>30</v>
      </c>
      <c r="C24" s="28">
        <v>0</v>
      </c>
      <c r="D24" s="7" t="s">
        <v>77</v>
      </c>
    </row>
    <row r="25" spans="1:22" ht="13" x14ac:dyDescent="0.15">
      <c r="A25" s="3" t="s">
        <v>22</v>
      </c>
      <c r="B25" s="4" t="s">
        <v>31</v>
      </c>
      <c r="C25" s="27">
        <v>0</v>
      </c>
      <c r="D25" s="9" t="s">
        <v>78</v>
      </c>
    </row>
    <row r="26" spans="1:22" ht="12.75" customHeight="1" x14ac:dyDescent="0.15">
      <c r="A26" s="3" t="s">
        <v>24</v>
      </c>
      <c r="B26" s="4" t="s">
        <v>25</v>
      </c>
      <c r="C26" s="27">
        <v>0</v>
      </c>
      <c r="D26" s="9" t="s">
        <v>79</v>
      </c>
    </row>
    <row r="27" spans="1:22" ht="12.75" customHeight="1" x14ac:dyDescent="0.15">
      <c r="A27" s="3" t="s">
        <v>5</v>
      </c>
      <c r="B27" s="4" t="s">
        <v>32</v>
      </c>
      <c r="C27" s="28">
        <v>1</v>
      </c>
      <c r="D27" s="7" t="s">
        <v>80</v>
      </c>
    </row>
    <row r="28" spans="1:22" ht="12.75" customHeight="1" x14ac:dyDescent="0.15">
      <c r="A28" s="3" t="s">
        <v>22</v>
      </c>
      <c r="B28" s="4" t="s">
        <v>33</v>
      </c>
      <c r="C28" s="27">
        <v>1</v>
      </c>
      <c r="D28" s="9" t="s">
        <v>81</v>
      </c>
    </row>
    <row r="29" spans="1:22" ht="12.75" customHeight="1" x14ac:dyDescent="0.15">
      <c r="A29" s="3" t="s">
        <v>24</v>
      </c>
      <c r="B29" s="4" t="s">
        <v>34</v>
      </c>
      <c r="C29" s="28">
        <v>1</v>
      </c>
      <c r="D29" s="7" t="s">
        <v>82</v>
      </c>
    </row>
    <row r="30" spans="1:22" ht="12.75" customHeight="1" x14ac:dyDescent="0.15">
      <c r="A30" s="3" t="s">
        <v>2</v>
      </c>
      <c r="B30" s="4" t="s">
        <v>35</v>
      </c>
      <c r="C30" s="27">
        <v>1</v>
      </c>
      <c r="D30" s="9" t="s">
        <v>83</v>
      </c>
    </row>
    <row r="31" spans="1:22" ht="12.75" customHeight="1" x14ac:dyDescent="0.15">
      <c r="A31" s="3" t="s">
        <v>5</v>
      </c>
      <c r="B31" s="4" t="s">
        <v>36</v>
      </c>
      <c r="C31" s="28">
        <v>0</v>
      </c>
      <c r="D31" s="7" t="s">
        <v>84</v>
      </c>
    </row>
    <row r="32" spans="1:22" ht="12.75" customHeight="1" x14ac:dyDescent="0.15">
      <c r="A32" s="3" t="s">
        <v>22</v>
      </c>
      <c r="B32" s="4" t="s">
        <v>37</v>
      </c>
      <c r="C32" s="27">
        <v>0</v>
      </c>
      <c r="D32" s="9" t="s">
        <v>85</v>
      </c>
    </row>
    <row r="33" spans="1:22" ht="12.75" customHeight="1" x14ac:dyDescent="0.15">
      <c r="A33" s="6" t="s">
        <v>24</v>
      </c>
      <c r="B33" s="7" t="s">
        <v>25</v>
      </c>
      <c r="C33" s="28">
        <v>0</v>
      </c>
      <c r="D33" s="7" t="s">
        <v>79</v>
      </c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</row>
    <row r="34" spans="1:22" ht="12.75" customHeight="1" x14ac:dyDescent="0.15">
      <c r="A34" s="3" t="s">
        <v>5</v>
      </c>
      <c r="B34" s="4" t="s">
        <v>38</v>
      </c>
      <c r="C34" s="27">
        <v>1</v>
      </c>
      <c r="D34" s="9" t="s">
        <v>86</v>
      </c>
    </row>
    <row r="35" spans="1:22" ht="15" customHeight="1" x14ac:dyDescent="0.15">
      <c r="A35" s="3" t="s">
        <v>22</v>
      </c>
      <c r="B35" s="4" t="s">
        <v>39</v>
      </c>
      <c r="C35" s="28">
        <v>0</v>
      </c>
      <c r="D35" s="7" t="s">
        <v>87</v>
      </c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</row>
    <row r="36" spans="1:22" ht="15" customHeight="1" x14ac:dyDescent="0.15">
      <c r="A36" s="3" t="s">
        <v>24</v>
      </c>
      <c r="B36" s="4" t="s">
        <v>40</v>
      </c>
      <c r="C36" s="27">
        <v>1</v>
      </c>
      <c r="D36" s="9" t="s">
        <v>88</v>
      </c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</row>
    <row r="37" spans="1:22" ht="15" customHeight="1" x14ac:dyDescent="0.15">
      <c r="A37" s="3" t="s">
        <v>2</v>
      </c>
      <c r="B37" s="4" t="s">
        <v>41</v>
      </c>
      <c r="C37" s="28">
        <v>1</v>
      </c>
      <c r="D37" s="7" t="s">
        <v>89</v>
      </c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</row>
    <row r="38" spans="1:22" ht="15" customHeight="1" x14ac:dyDescent="0.15">
      <c r="A38" s="3" t="s">
        <v>5</v>
      </c>
      <c r="B38" s="4" t="s">
        <v>42</v>
      </c>
      <c r="C38" s="27">
        <v>0.5</v>
      </c>
      <c r="D38" s="9" t="s">
        <v>90</v>
      </c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</row>
    <row r="39" spans="1:22" ht="15" customHeight="1" x14ac:dyDescent="0.15">
      <c r="A39" s="8" t="s">
        <v>22</v>
      </c>
      <c r="B39" s="9" t="s">
        <v>37</v>
      </c>
      <c r="C39" s="28">
        <v>0.5</v>
      </c>
      <c r="D39" s="7" t="s">
        <v>91</v>
      </c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</row>
    <row r="40" spans="1:22" ht="15" customHeight="1" x14ac:dyDescent="0.15">
      <c r="A40" s="6" t="s">
        <v>24</v>
      </c>
      <c r="B40" s="7" t="s">
        <v>25</v>
      </c>
      <c r="C40" s="27">
        <v>0</v>
      </c>
      <c r="D40" s="9" t="s">
        <v>92</v>
      </c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</row>
    <row r="41" spans="1:22" ht="15" customHeight="1" x14ac:dyDescent="0.15">
      <c r="A41" s="3" t="s">
        <v>5</v>
      </c>
      <c r="B41" s="4" t="s">
        <v>43</v>
      </c>
      <c r="C41" s="28">
        <v>0.5</v>
      </c>
      <c r="D41" s="7" t="s">
        <v>93</v>
      </c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</row>
    <row r="42" spans="1:22" ht="15" customHeight="1" x14ac:dyDescent="0.15">
      <c r="A42" s="3" t="s">
        <v>22</v>
      </c>
      <c r="B42" s="4" t="s">
        <v>44</v>
      </c>
      <c r="C42" s="27">
        <v>1</v>
      </c>
      <c r="D42" s="9" t="s">
        <v>94</v>
      </c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</row>
    <row r="43" spans="1:22" ht="15" customHeight="1" x14ac:dyDescent="0.15">
      <c r="A43" s="3" t="s">
        <v>2</v>
      </c>
      <c r="B43" s="4" t="s">
        <v>45</v>
      </c>
      <c r="C43" s="28">
        <v>1</v>
      </c>
      <c r="D43" s="7" t="s">
        <v>95</v>
      </c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</row>
    <row r="44" spans="1:22" ht="15" customHeight="1" x14ac:dyDescent="0.15">
      <c r="A44" s="10" t="s">
        <v>5</v>
      </c>
      <c r="B44" s="11" t="s">
        <v>46</v>
      </c>
      <c r="C44" s="29">
        <v>0</v>
      </c>
      <c r="D44" s="30" t="s">
        <v>96</v>
      </c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</row>
    <row r="45" spans="1:22" ht="12.75" customHeight="1" x14ac:dyDescent="0.15">
      <c r="A45" s="12" t="s">
        <v>2</v>
      </c>
      <c r="B45" s="13" t="s">
        <v>47</v>
      </c>
      <c r="C45" s="31">
        <v>0</v>
      </c>
      <c r="D45" s="5" t="s">
        <v>97</v>
      </c>
    </row>
    <row r="46" spans="1:22" ht="12.75" customHeight="1" x14ac:dyDescent="0.15">
      <c r="A46" s="12" t="s">
        <v>5</v>
      </c>
      <c r="B46" s="13" t="s">
        <v>47</v>
      </c>
      <c r="C46" s="31">
        <v>0</v>
      </c>
      <c r="D46" s="5" t="s">
        <v>98</v>
      </c>
    </row>
    <row r="47" spans="1:22" ht="12.75" customHeight="1" x14ac:dyDescent="0.15">
      <c r="A47" s="3" t="s">
        <v>22</v>
      </c>
      <c r="B47" s="4" t="s">
        <v>47</v>
      </c>
      <c r="C47" s="31">
        <v>0</v>
      </c>
      <c r="D47" s="5" t="s">
        <v>99</v>
      </c>
    </row>
    <row r="48" spans="1:22" ht="12.75" customHeight="1" x14ac:dyDescent="0.15">
      <c r="A48" s="12" t="s">
        <v>24</v>
      </c>
      <c r="B48" s="13" t="s">
        <v>47</v>
      </c>
      <c r="C48" s="31">
        <v>1</v>
      </c>
      <c r="D48" s="5" t="s">
        <v>100</v>
      </c>
    </row>
    <row r="49" spans="1:4" ht="12.75" customHeight="1" x14ac:dyDescent="0.15">
      <c r="A49" s="3" t="s">
        <v>12</v>
      </c>
      <c r="B49" s="4" t="s">
        <v>47</v>
      </c>
      <c r="C49" s="31">
        <v>1</v>
      </c>
      <c r="D49" s="5" t="s">
        <v>101</v>
      </c>
    </row>
    <row r="50" spans="1:4" ht="12.75" customHeight="1" x14ac:dyDescent="0.15">
      <c r="A50" s="12" t="s">
        <v>48</v>
      </c>
      <c r="B50" s="13" t="s">
        <v>47</v>
      </c>
      <c r="C50" s="31">
        <v>0</v>
      </c>
      <c r="D50" s="5" t="s">
        <v>102</v>
      </c>
    </row>
    <row r="51" spans="1:4" ht="12.75" customHeight="1" x14ac:dyDescent="0.15">
      <c r="A51" s="3" t="s">
        <v>14</v>
      </c>
      <c r="B51" s="4" t="s">
        <v>47</v>
      </c>
      <c r="C51" s="31">
        <v>0</v>
      </c>
      <c r="D51" s="5" t="s">
        <v>103</v>
      </c>
    </row>
    <row r="52" spans="1:4" ht="12.75" customHeight="1" x14ac:dyDescent="0.15">
      <c r="A52" s="1"/>
      <c r="B52" s="2"/>
    </row>
    <row r="53" spans="1:4" ht="12.75" customHeight="1" x14ac:dyDescent="0.15">
      <c r="A53" s="1"/>
      <c r="B53" s="2"/>
    </row>
    <row r="54" spans="1:4" ht="12.75" customHeight="1" x14ac:dyDescent="0.15">
      <c r="A54" s="1"/>
      <c r="B54" s="2"/>
    </row>
    <row r="55" spans="1:4" ht="12.75" customHeight="1" x14ac:dyDescent="0.15">
      <c r="A55" s="1"/>
      <c r="B55" s="2"/>
    </row>
    <row r="56" spans="1:4" ht="12.75" customHeight="1" x14ac:dyDescent="0.15">
      <c r="A56" s="1"/>
      <c r="B56" s="2"/>
    </row>
    <row r="57" spans="1:4" ht="12.75" customHeight="1" x14ac:dyDescent="0.15">
      <c r="A57" s="1"/>
      <c r="B57" s="2"/>
    </row>
    <row r="58" spans="1:4" ht="12.75" customHeight="1" x14ac:dyDescent="0.15">
      <c r="A58" s="1"/>
      <c r="B58" s="2"/>
    </row>
    <row r="59" spans="1:4" ht="12.75" customHeight="1" x14ac:dyDescent="0.15">
      <c r="A59" s="1"/>
      <c r="B59" s="2"/>
    </row>
    <row r="60" spans="1:4" ht="12.75" customHeight="1" x14ac:dyDescent="0.15">
      <c r="A60" s="1"/>
      <c r="B60" s="2"/>
    </row>
    <row r="61" spans="1:4" ht="12.75" customHeight="1" x14ac:dyDescent="0.15">
      <c r="A61" s="1"/>
      <c r="B61" s="2"/>
    </row>
    <row r="62" spans="1:4" ht="12.75" customHeight="1" x14ac:dyDescent="0.15">
      <c r="A62" s="1"/>
      <c r="B62" s="2"/>
    </row>
    <row r="63" spans="1:4" ht="12.75" customHeight="1" x14ac:dyDescent="0.15">
      <c r="A63" s="1"/>
      <c r="B63" s="2"/>
    </row>
    <row r="64" spans="1:4" ht="12.75" customHeight="1" x14ac:dyDescent="0.15">
      <c r="A64" s="1"/>
      <c r="B64" s="2"/>
    </row>
    <row r="65" spans="1:2" ht="12.75" customHeight="1" x14ac:dyDescent="0.15">
      <c r="A65" s="1"/>
      <c r="B65" s="2"/>
    </row>
    <row r="66" spans="1:2" ht="12.75" customHeight="1" x14ac:dyDescent="0.15">
      <c r="A66" s="1"/>
      <c r="B66" s="2"/>
    </row>
    <row r="67" spans="1:2" ht="12.75" customHeight="1" x14ac:dyDescent="0.15">
      <c r="A67" s="1"/>
      <c r="B67" s="2"/>
    </row>
    <row r="68" spans="1:2" ht="12.75" customHeight="1" x14ac:dyDescent="0.15">
      <c r="A68" s="1"/>
      <c r="B68" s="2"/>
    </row>
    <row r="69" spans="1:2" ht="12.75" customHeight="1" x14ac:dyDescent="0.15">
      <c r="A69" s="1"/>
      <c r="B69" s="2"/>
    </row>
    <row r="70" spans="1:2" ht="12.75" customHeight="1" x14ac:dyDescent="0.15">
      <c r="A70" s="1"/>
      <c r="B70" s="2"/>
    </row>
    <row r="71" spans="1:2" ht="12.75" customHeight="1" x14ac:dyDescent="0.15">
      <c r="A71" s="1"/>
      <c r="B71" s="2"/>
    </row>
    <row r="72" spans="1:2" ht="12.75" customHeight="1" x14ac:dyDescent="0.15">
      <c r="A72" s="1"/>
      <c r="B72" s="2"/>
    </row>
    <row r="73" spans="1:2" ht="12.75" customHeight="1" x14ac:dyDescent="0.15">
      <c r="A73" s="1"/>
      <c r="B73" s="2"/>
    </row>
    <row r="74" spans="1:2" ht="12.75" customHeight="1" x14ac:dyDescent="0.15">
      <c r="A74" s="1"/>
      <c r="B74" s="2"/>
    </row>
    <row r="75" spans="1:2" ht="12.75" customHeight="1" x14ac:dyDescent="0.15">
      <c r="A75" s="1"/>
      <c r="B75" s="2"/>
    </row>
    <row r="76" spans="1:2" ht="12.75" customHeight="1" x14ac:dyDescent="0.15">
      <c r="A76" s="1"/>
      <c r="B76" s="2"/>
    </row>
    <row r="77" spans="1:2" ht="12.75" customHeight="1" x14ac:dyDescent="0.15">
      <c r="A77" s="1"/>
      <c r="B77" s="2"/>
    </row>
    <row r="78" spans="1:2" ht="12.75" customHeight="1" x14ac:dyDescent="0.15">
      <c r="A78" s="1"/>
      <c r="B78" s="2"/>
    </row>
    <row r="79" spans="1:2" ht="12.75" customHeight="1" x14ac:dyDescent="0.15">
      <c r="A79" s="1"/>
      <c r="B79" s="2"/>
    </row>
    <row r="80" spans="1:2" ht="12.75" customHeight="1" x14ac:dyDescent="0.15">
      <c r="A80" s="1"/>
      <c r="B80" s="2"/>
    </row>
    <row r="81" spans="1:2" ht="12.75" customHeight="1" x14ac:dyDescent="0.15">
      <c r="A81" s="1"/>
      <c r="B81" s="2"/>
    </row>
    <row r="82" spans="1:2" ht="12.75" customHeight="1" x14ac:dyDescent="0.15">
      <c r="A82" s="1"/>
      <c r="B82" s="2"/>
    </row>
    <row r="83" spans="1:2" ht="12.75" customHeight="1" x14ac:dyDescent="0.15">
      <c r="A83" s="1"/>
      <c r="B83" s="2"/>
    </row>
    <row r="84" spans="1:2" ht="12.75" customHeight="1" x14ac:dyDescent="0.15">
      <c r="A84" s="1"/>
      <c r="B84" s="2"/>
    </row>
    <row r="85" spans="1:2" ht="12.75" customHeight="1" x14ac:dyDescent="0.15">
      <c r="A85" s="1"/>
      <c r="B85" s="2"/>
    </row>
    <row r="86" spans="1:2" ht="12.75" customHeight="1" x14ac:dyDescent="0.15">
      <c r="A86" s="1"/>
      <c r="B86" s="2"/>
    </row>
    <row r="87" spans="1:2" ht="12.75" customHeight="1" x14ac:dyDescent="0.15">
      <c r="A87" s="1"/>
      <c r="B87" s="2"/>
    </row>
    <row r="88" spans="1:2" ht="12.75" customHeight="1" x14ac:dyDescent="0.15">
      <c r="A88" s="1"/>
      <c r="B88" s="2"/>
    </row>
    <row r="89" spans="1:2" ht="12.75" customHeight="1" x14ac:dyDescent="0.15">
      <c r="A89" s="1"/>
      <c r="B89" s="2"/>
    </row>
    <row r="90" spans="1:2" ht="12.75" customHeight="1" x14ac:dyDescent="0.15">
      <c r="A90" s="1"/>
      <c r="B90" s="2"/>
    </row>
    <row r="91" spans="1:2" ht="12.75" customHeight="1" x14ac:dyDescent="0.15">
      <c r="A91" s="1"/>
      <c r="B91" s="2"/>
    </row>
    <row r="92" spans="1:2" ht="12.75" customHeight="1" x14ac:dyDescent="0.15">
      <c r="A92" s="1"/>
      <c r="B92" s="2"/>
    </row>
    <row r="93" spans="1:2" ht="12.75" customHeight="1" x14ac:dyDescent="0.15">
      <c r="A93" s="1"/>
      <c r="B93" s="2"/>
    </row>
    <row r="94" spans="1:2" ht="12.75" customHeight="1" x14ac:dyDescent="0.15">
      <c r="A94" s="1"/>
      <c r="B94" s="2"/>
    </row>
    <row r="95" spans="1:2" ht="12.75" customHeight="1" x14ac:dyDescent="0.15">
      <c r="A95" s="1"/>
      <c r="B95" s="2"/>
    </row>
    <row r="96" spans="1:2" ht="12.75" customHeight="1" x14ac:dyDescent="0.15">
      <c r="A96" s="1"/>
      <c r="B96" s="2"/>
    </row>
    <row r="97" spans="1:2" ht="12.75" customHeight="1" x14ac:dyDescent="0.15">
      <c r="A97" s="1"/>
      <c r="B97" s="2"/>
    </row>
    <row r="98" spans="1:2" ht="12.75" customHeight="1" x14ac:dyDescent="0.15">
      <c r="A98" s="1"/>
      <c r="B98" s="2"/>
    </row>
    <row r="99" spans="1:2" ht="12.75" customHeight="1" x14ac:dyDescent="0.15">
      <c r="A99" s="1"/>
      <c r="B99" s="2"/>
    </row>
    <row r="100" spans="1:2" ht="12.75" customHeight="1" x14ac:dyDescent="0.15">
      <c r="A100" s="1"/>
      <c r="B100" s="2"/>
    </row>
    <row r="101" spans="1:2" ht="12.75" customHeight="1" x14ac:dyDescent="0.15">
      <c r="A101" s="1"/>
      <c r="B101" s="2"/>
    </row>
    <row r="102" spans="1:2" ht="12.75" customHeight="1" x14ac:dyDescent="0.15">
      <c r="A102" s="1"/>
      <c r="B102" s="2"/>
    </row>
    <row r="103" spans="1:2" ht="12.75" customHeight="1" x14ac:dyDescent="0.15">
      <c r="A103" s="1"/>
      <c r="B103" s="2"/>
    </row>
    <row r="104" spans="1:2" ht="12.75" customHeight="1" x14ac:dyDescent="0.15">
      <c r="A104" s="1"/>
      <c r="B104" s="2"/>
    </row>
    <row r="105" spans="1:2" ht="12.75" customHeight="1" x14ac:dyDescent="0.15">
      <c r="A105" s="1"/>
      <c r="B105" s="2"/>
    </row>
    <row r="106" spans="1:2" ht="12.75" customHeight="1" x14ac:dyDescent="0.15">
      <c r="A106" s="1"/>
      <c r="B106" s="2"/>
    </row>
    <row r="107" spans="1:2" ht="12.75" customHeight="1" x14ac:dyDescent="0.15">
      <c r="A107" s="1"/>
      <c r="B107" s="2"/>
    </row>
    <row r="108" spans="1:2" ht="12.75" customHeight="1" x14ac:dyDescent="0.15">
      <c r="A108" s="1"/>
      <c r="B108" s="2"/>
    </row>
    <row r="109" spans="1:2" ht="12.75" customHeight="1" x14ac:dyDescent="0.15">
      <c r="A109" s="1"/>
      <c r="B109" s="2"/>
    </row>
    <row r="110" spans="1:2" ht="12.75" customHeight="1" x14ac:dyDescent="0.15">
      <c r="A110" s="1"/>
      <c r="B110" s="2"/>
    </row>
    <row r="111" spans="1:2" ht="12.75" customHeight="1" x14ac:dyDescent="0.15">
      <c r="A111" s="1"/>
      <c r="B111" s="2"/>
    </row>
    <row r="112" spans="1:2" ht="12.75" customHeight="1" x14ac:dyDescent="0.15">
      <c r="A112" s="1"/>
      <c r="B112" s="2"/>
    </row>
    <row r="113" spans="1:2" ht="12.75" customHeight="1" x14ac:dyDescent="0.15">
      <c r="A113" s="1"/>
      <c r="B113" s="2"/>
    </row>
    <row r="114" spans="1:2" ht="12.75" customHeight="1" x14ac:dyDescent="0.15">
      <c r="A114" s="1"/>
      <c r="B114" s="2"/>
    </row>
    <row r="115" spans="1:2" ht="12.75" customHeight="1" x14ac:dyDescent="0.15">
      <c r="A115" s="1"/>
      <c r="B115" s="2"/>
    </row>
    <row r="116" spans="1:2" ht="12.75" customHeight="1" x14ac:dyDescent="0.15">
      <c r="A116" s="1"/>
      <c r="B116" s="2"/>
    </row>
    <row r="117" spans="1:2" ht="12.75" customHeight="1" x14ac:dyDescent="0.15">
      <c r="A117" s="1"/>
      <c r="B117" s="2"/>
    </row>
    <row r="118" spans="1:2" ht="12.75" customHeight="1" x14ac:dyDescent="0.15">
      <c r="A118" s="1"/>
      <c r="B118" s="2"/>
    </row>
    <row r="119" spans="1:2" ht="12.75" customHeight="1" x14ac:dyDescent="0.15">
      <c r="A119" s="1"/>
      <c r="B119" s="2"/>
    </row>
    <row r="120" spans="1:2" ht="12.75" customHeight="1" x14ac:dyDescent="0.15">
      <c r="A120" s="1"/>
      <c r="B120" s="2"/>
    </row>
    <row r="121" spans="1:2" ht="12.75" customHeight="1" x14ac:dyDescent="0.15">
      <c r="A121" s="1"/>
      <c r="B121" s="2"/>
    </row>
    <row r="122" spans="1:2" ht="12.75" customHeight="1" x14ac:dyDescent="0.15">
      <c r="A122" s="1"/>
      <c r="B122" s="2"/>
    </row>
    <row r="123" spans="1:2" ht="12.75" customHeight="1" x14ac:dyDescent="0.15">
      <c r="A123" s="1"/>
      <c r="B123" s="2"/>
    </row>
    <row r="124" spans="1:2" ht="12.75" customHeight="1" x14ac:dyDescent="0.15">
      <c r="A124" s="1"/>
      <c r="B124" s="2"/>
    </row>
    <row r="125" spans="1:2" ht="12.75" customHeight="1" x14ac:dyDescent="0.15">
      <c r="A125" s="1"/>
      <c r="B125" s="2"/>
    </row>
    <row r="126" spans="1:2" ht="12.75" customHeight="1" x14ac:dyDescent="0.15">
      <c r="A126" s="1"/>
      <c r="B126" s="2"/>
    </row>
    <row r="127" spans="1:2" ht="12.75" customHeight="1" x14ac:dyDescent="0.15">
      <c r="A127" s="1"/>
      <c r="B127" s="2"/>
    </row>
    <row r="128" spans="1:2" ht="12.75" customHeight="1" x14ac:dyDescent="0.15">
      <c r="A128" s="1"/>
      <c r="B128" s="2"/>
    </row>
    <row r="129" spans="1:2" ht="12.75" customHeight="1" x14ac:dyDescent="0.15">
      <c r="A129" s="1"/>
      <c r="B129" s="2"/>
    </row>
    <row r="130" spans="1:2" ht="12.75" customHeight="1" x14ac:dyDescent="0.15">
      <c r="A130" s="1"/>
      <c r="B130" s="2"/>
    </row>
    <row r="131" spans="1:2" ht="12.75" customHeight="1" x14ac:dyDescent="0.15">
      <c r="A131" s="1"/>
      <c r="B131" s="2"/>
    </row>
    <row r="132" spans="1:2" ht="12.75" customHeight="1" x14ac:dyDescent="0.15">
      <c r="A132" s="1"/>
      <c r="B132" s="2"/>
    </row>
    <row r="133" spans="1:2" ht="12.75" customHeight="1" x14ac:dyDescent="0.15">
      <c r="A133" s="1"/>
      <c r="B133" s="2"/>
    </row>
    <row r="134" spans="1:2" ht="12.75" customHeight="1" x14ac:dyDescent="0.15">
      <c r="A134" s="1"/>
      <c r="B134" s="2"/>
    </row>
    <row r="135" spans="1:2" ht="12.75" customHeight="1" x14ac:dyDescent="0.15">
      <c r="A135" s="1"/>
      <c r="B135" s="2"/>
    </row>
    <row r="136" spans="1:2" ht="12.75" customHeight="1" x14ac:dyDescent="0.15">
      <c r="A136" s="1"/>
      <c r="B136" s="2"/>
    </row>
    <row r="137" spans="1:2" ht="12.75" customHeight="1" x14ac:dyDescent="0.15">
      <c r="A137" s="1"/>
      <c r="B137" s="2"/>
    </row>
    <row r="138" spans="1:2" ht="12.75" customHeight="1" x14ac:dyDescent="0.15">
      <c r="A138" s="1"/>
      <c r="B138" s="2"/>
    </row>
    <row r="139" spans="1:2" ht="12.75" customHeight="1" x14ac:dyDescent="0.15">
      <c r="A139" s="1"/>
      <c r="B139" s="2"/>
    </row>
    <row r="140" spans="1:2" ht="12.75" customHeight="1" x14ac:dyDescent="0.15">
      <c r="A140" s="1"/>
      <c r="B140" s="2"/>
    </row>
    <row r="141" spans="1:2" ht="12.75" customHeight="1" x14ac:dyDescent="0.15">
      <c r="A141" s="1"/>
      <c r="B141" s="2"/>
    </row>
    <row r="142" spans="1:2" ht="12.75" customHeight="1" x14ac:dyDescent="0.15">
      <c r="A142" s="1"/>
      <c r="B142" s="2"/>
    </row>
    <row r="143" spans="1:2" ht="12.75" customHeight="1" x14ac:dyDescent="0.15">
      <c r="A143" s="1"/>
      <c r="B143" s="2"/>
    </row>
    <row r="144" spans="1:2" ht="12.75" customHeight="1" x14ac:dyDescent="0.15">
      <c r="A144" s="1"/>
      <c r="B144" s="2"/>
    </row>
    <row r="145" spans="1:2" ht="12.75" customHeight="1" x14ac:dyDescent="0.15">
      <c r="A145" s="1"/>
      <c r="B145" s="2"/>
    </row>
    <row r="146" spans="1:2" ht="12.75" customHeight="1" x14ac:dyDescent="0.15">
      <c r="A146" s="1"/>
      <c r="B146" s="2"/>
    </row>
    <row r="147" spans="1:2" ht="12.75" customHeight="1" x14ac:dyDescent="0.15">
      <c r="A147" s="1"/>
      <c r="B147" s="2"/>
    </row>
    <row r="148" spans="1:2" ht="12.75" customHeight="1" x14ac:dyDescent="0.15">
      <c r="A148" s="1"/>
      <c r="B148" s="2"/>
    </row>
    <row r="149" spans="1:2" ht="12.75" customHeight="1" x14ac:dyDescent="0.15">
      <c r="A149" s="1"/>
      <c r="B149" s="2"/>
    </row>
    <row r="150" spans="1:2" ht="12.75" customHeight="1" x14ac:dyDescent="0.15">
      <c r="A150" s="1"/>
      <c r="B150" s="2"/>
    </row>
    <row r="151" spans="1:2" ht="12.75" customHeight="1" x14ac:dyDescent="0.15">
      <c r="A151" s="1"/>
      <c r="B151" s="2"/>
    </row>
    <row r="152" spans="1:2" ht="12.75" customHeight="1" x14ac:dyDescent="0.15">
      <c r="A152" s="1"/>
      <c r="B152" s="2"/>
    </row>
    <row r="153" spans="1:2" ht="12.75" customHeight="1" x14ac:dyDescent="0.15">
      <c r="A153" s="1"/>
      <c r="B153" s="2"/>
    </row>
    <row r="154" spans="1:2" ht="12.75" customHeight="1" x14ac:dyDescent="0.15">
      <c r="A154" s="1"/>
      <c r="B154" s="2"/>
    </row>
    <row r="155" spans="1:2" ht="12.75" customHeight="1" x14ac:dyDescent="0.15">
      <c r="A155" s="1"/>
      <c r="B155" s="2"/>
    </row>
    <row r="156" spans="1:2" ht="12.75" customHeight="1" x14ac:dyDescent="0.15">
      <c r="A156" s="1"/>
      <c r="B156" s="2"/>
    </row>
    <row r="157" spans="1:2" ht="12.75" customHeight="1" x14ac:dyDescent="0.15">
      <c r="A157" s="1"/>
      <c r="B157" s="2"/>
    </row>
    <row r="158" spans="1:2" ht="12.75" customHeight="1" x14ac:dyDescent="0.15">
      <c r="A158" s="1"/>
      <c r="B158" s="2"/>
    </row>
    <row r="159" spans="1:2" ht="12.75" customHeight="1" x14ac:dyDescent="0.15">
      <c r="A159" s="1"/>
      <c r="B159" s="2"/>
    </row>
    <row r="160" spans="1:2" ht="12.75" customHeight="1" x14ac:dyDescent="0.15">
      <c r="A160" s="1"/>
      <c r="B160" s="2"/>
    </row>
    <row r="161" spans="1:2" ht="12.75" customHeight="1" x14ac:dyDescent="0.15">
      <c r="A161" s="1"/>
      <c r="B161" s="2"/>
    </row>
    <row r="162" spans="1:2" ht="12.75" customHeight="1" x14ac:dyDescent="0.15">
      <c r="A162" s="1"/>
      <c r="B162" s="2"/>
    </row>
    <row r="163" spans="1:2" ht="12.75" customHeight="1" x14ac:dyDescent="0.15">
      <c r="A163" s="1"/>
      <c r="B163" s="2"/>
    </row>
    <row r="164" spans="1:2" ht="12.75" customHeight="1" x14ac:dyDescent="0.15">
      <c r="A164" s="1"/>
      <c r="B164" s="2"/>
    </row>
    <row r="165" spans="1:2" ht="12.75" customHeight="1" x14ac:dyDescent="0.15">
      <c r="A165" s="1"/>
      <c r="B165" s="2"/>
    </row>
    <row r="166" spans="1:2" ht="12.75" customHeight="1" x14ac:dyDescent="0.15">
      <c r="A166" s="1"/>
      <c r="B166" s="2"/>
    </row>
    <row r="167" spans="1:2" ht="12.75" customHeight="1" x14ac:dyDescent="0.15">
      <c r="A167" s="1"/>
      <c r="B167" s="2"/>
    </row>
    <row r="168" spans="1:2" ht="12.75" customHeight="1" x14ac:dyDescent="0.15">
      <c r="A168" s="1"/>
      <c r="B168" s="2"/>
    </row>
    <row r="169" spans="1:2" ht="12.75" customHeight="1" x14ac:dyDescent="0.15">
      <c r="A169" s="1"/>
      <c r="B169" s="2"/>
    </row>
    <row r="170" spans="1:2" ht="12.75" customHeight="1" x14ac:dyDescent="0.15">
      <c r="A170" s="1"/>
      <c r="B170" s="2"/>
    </row>
    <row r="171" spans="1:2" ht="12.75" customHeight="1" x14ac:dyDescent="0.15">
      <c r="A171" s="1"/>
      <c r="B171" s="2"/>
    </row>
    <row r="172" spans="1:2" ht="12.75" customHeight="1" x14ac:dyDescent="0.15">
      <c r="A172" s="1"/>
      <c r="B172" s="2"/>
    </row>
    <row r="173" spans="1:2" ht="12.75" customHeight="1" x14ac:dyDescent="0.15">
      <c r="A173" s="1"/>
      <c r="B173" s="2"/>
    </row>
    <row r="174" spans="1:2" ht="12.75" customHeight="1" x14ac:dyDescent="0.15">
      <c r="A174" s="1"/>
      <c r="B174" s="2"/>
    </row>
    <row r="175" spans="1:2" ht="12.75" customHeight="1" x14ac:dyDescent="0.15">
      <c r="A175" s="1"/>
      <c r="B175" s="2"/>
    </row>
    <row r="176" spans="1:2" ht="12.75" customHeight="1" x14ac:dyDescent="0.15">
      <c r="A176" s="1"/>
      <c r="B176" s="2"/>
    </row>
    <row r="177" spans="1:2" ht="12.75" customHeight="1" x14ac:dyDescent="0.15">
      <c r="A177" s="1"/>
      <c r="B177" s="2"/>
    </row>
    <row r="178" spans="1:2" ht="12.75" customHeight="1" x14ac:dyDescent="0.15">
      <c r="A178" s="1"/>
      <c r="B178" s="2"/>
    </row>
    <row r="179" spans="1:2" ht="12.75" customHeight="1" x14ac:dyDescent="0.15">
      <c r="A179" s="1"/>
      <c r="B179" s="2"/>
    </row>
    <row r="180" spans="1:2" ht="12.75" customHeight="1" x14ac:dyDescent="0.15">
      <c r="A180" s="1"/>
      <c r="B180" s="2"/>
    </row>
    <row r="181" spans="1:2" ht="12.75" customHeight="1" x14ac:dyDescent="0.15">
      <c r="A181" s="1"/>
      <c r="B181" s="2"/>
    </row>
    <row r="182" spans="1:2" ht="12.75" customHeight="1" x14ac:dyDescent="0.15">
      <c r="A182" s="1"/>
      <c r="B182" s="2"/>
    </row>
    <row r="183" spans="1:2" ht="12.75" customHeight="1" x14ac:dyDescent="0.15">
      <c r="A183" s="1"/>
      <c r="B183" s="2"/>
    </row>
    <row r="184" spans="1:2" ht="12.75" customHeight="1" x14ac:dyDescent="0.15">
      <c r="A184" s="1"/>
      <c r="B184" s="2"/>
    </row>
    <row r="185" spans="1:2" ht="12.75" customHeight="1" x14ac:dyDescent="0.15">
      <c r="A185" s="1"/>
      <c r="B185" s="2"/>
    </row>
    <row r="186" spans="1:2" ht="12.75" customHeight="1" x14ac:dyDescent="0.15">
      <c r="A186" s="1"/>
      <c r="B186" s="2"/>
    </row>
    <row r="187" spans="1:2" ht="12.75" customHeight="1" x14ac:dyDescent="0.15">
      <c r="A187" s="1"/>
      <c r="B187" s="2"/>
    </row>
    <row r="188" spans="1:2" ht="12.75" customHeight="1" x14ac:dyDescent="0.15">
      <c r="A188" s="1"/>
      <c r="B188" s="2"/>
    </row>
    <row r="189" spans="1:2" ht="12.75" customHeight="1" x14ac:dyDescent="0.15">
      <c r="A189" s="1"/>
      <c r="B189" s="2"/>
    </row>
    <row r="190" spans="1:2" ht="12.75" customHeight="1" x14ac:dyDescent="0.15">
      <c r="A190" s="1"/>
      <c r="B190" s="2"/>
    </row>
    <row r="191" spans="1:2" ht="12.75" customHeight="1" x14ac:dyDescent="0.15">
      <c r="A191" s="1"/>
      <c r="B191" s="2"/>
    </row>
    <row r="192" spans="1:2" ht="12.75" customHeight="1" x14ac:dyDescent="0.15">
      <c r="A192" s="1"/>
      <c r="B192" s="2"/>
    </row>
    <row r="193" spans="1:2" ht="12.75" customHeight="1" x14ac:dyDescent="0.15">
      <c r="A193" s="1"/>
      <c r="B193" s="2"/>
    </row>
    <row r="194" spans="1:2" ht="12.75" customHeight="1" x14ac:dyDescent="0.15">
      <c r="A194" s="1"/>
      <c r="B194" s="2"/>
    </row>
    <row r="195" spans="1:2" ht="12.75" customHeight="1" x14ac:dyDescent="0.15">
      <c r="A195" s="1"/>
      <c r="B195" s="2"/>
    </row>
    <row r="196" spans="1:2" ht="12.75" customHeight="1" x14ac:dyDescent="0.15">
      <c r="A196" s="1"/>
      <c r="B196" s="2"/>
    </row>
    <row r="197" spans="1:2" ht="12.75" customHeight="1" x14ac:dyDescent="0.15">
      <c r="A197" s="1"/>
      <c r="B197" s="2"/>
    </row>
    <row r="198" spans="1:2" ht="12.75" customHeight="1" x14ac:dyDescent="0.15">
      <c r="A198" s="1"/>
      <c r="B198" s="2"/>
    </row>
    <row r="199" spans="1:2" ht="12.75" customHeight="1" x14ac:dyDescent="0.15">
      <c r="A199" s="1"/>
      <c r="B199" s="2"/>
    </row>
    <row r="200" spans="1:2" ht="12.75" customHeight="1" x14ac:dyDescent="0.15">
      <c r="A200" s="1"/>
      <c r="B200" s="2"/>
    </row>
    <row r="201" spans="1:2" ht="12.75" customHeight="1" x14ac:dyDescent="0.15">
      <c r="A201" s="1"/>
      <c r="B201" s="2"/>
    </row>
    <row r="202" spans="1:2" ht="12.75" customHeight="1" x14ac:dyDescent="0.15">
      <c r="A202" s="1"/>
      <c r="B202" s="2"/>
    </row>
    <row r="203" spans="1:2" ht="12.75" customHeight="1" x14ac:dyDescent="0.15">
      <c r="A203" s="1"/>
      <c r="B203" s="2"/>
    </row>
    <row r="204" spans="1:2" ht="12.75" customHeight="1" x14ac:dyDescent="0.15">
      <c r="A204" s="1"/>
      <c r="B204" s="2"/>
    </row>
    <row r="205" spans="1:2" ht="12.75" customHeight="1" x14ac:dyDescent="0.15">
      <c r="A205" s="1"/>
      <c r="B205" s="2"/>
    </row>
    <row r="206" spans="1:2" ht="12.75" customHeight="1" x14ac:dyDescent="0.15">
      <c r="A206" s="1"/>
      <c r="B206" s="2"/>
    </row>
    <row r="207" spans="1:2" ht="12.75" customHeight="1" x14ac:dyDescent="0.15">
      <c r="A207" s="1"/>
      <c r="B207" s="2"/>
    </row>
    <row r="208" spans="1:2" ht="12.75" customHeight="1" x14ac:dyDescent="0.15">
      <c r="A208" s="1"/>
      <c r="B208" s="2"/>
    </row>
    <row r="209" spans="1:2" ht="12.75" customHeight="1" x14ac:dyDescent="0.15">
      <c r="A209" s="1"/>
      <c r="B209" s="2"/>
    </row>
    <row r="210" spans="1:2" ht="12.75" customHeight="1" x14ac:dyDescent="0.15">
      <c r="A210" s="1"/>
      <c r="B210" s="2"/>
    </row>
    <row r="211" spans="1:2" ht="12.75" customHeight="1" x14ac:dyDescent="0.15">
      <c r="A211" s="1"/>
      <c r="B211" s="2"/>
    </row>
    <row r="212" spans="1:2" ht="12.75" customHeight="1" x14ac:dyDescent="0.15">
      <c r="A212" s="1"/>
      <c r="B212" s="2"/>
    </row>
    <row r="213" spans="1:2" ht="12.75" customHeight="1" x14ac:dyDescent="0.15">
      <c r="A213" s="1"/>
      <c r="B213" s="2"/>
    </row>
    <row r="214" spans="1:2" ht="12.75" customHeight="1" x14ac:dyDescent="0.15">
      <c r="A214" s="1"/>
      <c r="B214" s="2"/>
    </row>
    <row r="215" spans="1:2" ht="12.75" customHeight="1" x14ac:dyDescent="0.15">
      <c r="A215" s="1"/>
      <c r="B215" s="2"/>
    </row>
    <row r="216" spans="1:2" ht="12.75" customHeight="1" x14ac:dyDescent="0.15">
      <c r="A216" s="1"/>
      <c r="B216" s="2"/>
    </row>
    <row r="217" spans="1:2" ht="12.75" customHeight="1" x14ac:dyDescent="0.15">
      <c r="A217" s="1"/>
      <c r="B217" s="2"/>
    </row>
    <row r="218" spans="1:2" ht="12.75" customHeight="1" x14ac:dyDescent="0.15">
      <c r="A218" s="1"/>
      <c r="B218" s="2"/>
    </row>
    <row r="219" spans="1:2" ht="12.75" customHeight="1" x14ac:dyDescent="0.15">
      <c r="A219" s="1"/>
      <c r="B219" s="2"/>
    </row>
    <row r="220" spans="1:2" ht="12.75" customHeight="1" x14ac:dyDescent="0.15">
      <c r="A220" s="1"/>
      <c r="B220" s="2"/>
    </row>
    <row r="221" spans="1:2" ht="12.75" customHeight="1" x14ac:dyDescent="0.15">
      <c r="A221" s="1"/>
      <c r="B221" s="2"/>
    </row>
    <row r="222" spans="1:2" ht="12.75" customHeight="1" x14ac:dyDescent="0.15">
      <c r="A222" s="1"/>
      <c r="B222" s="2"/>
    </row>
    <row r="223" spans="1:2" ht="12.75" customHeight="1" x14ac:dyDescent="0.15">
      <c r="A223" s="1"/>
      <c r="B223" s="2"/>
    </row>
    <row r="224" spans="1:2" ht="12.75" customHeight="1" x14ac:dyDescent="0.15">
      <c r="A224" s="1"/>
      <c r="B224" s="2"/>
    </row>
    <row r="225" spans="1:2" ht="12.75" customHeight="1" x14ac:dyDescent="0.15">
      <c r="A225" s="1"/>
      <c r="B225" s="2"/>
    </row>
    <row r="226" spans="1:2" ht="12.75" customHeight="1" x14ac:dyDescent="0.15">
      <c r="A226" s="1"/>
      <c r="B226" s="2"/>
    </row>
    <row r="227" spans="1:2" ht="12.75" customHeight="1" x14ac:dyDescent="0.15">
      <c r="A227" s="1"/>
      <c r="B227" s="2"/>
    </row>
    <row r="228" spans="1:2" ht="12.75" customHeight="1" x14ac:dyDescent="0.15">
      <c r="A228" s="1"/>
      <c r="B228" s="2"/>
    </row>
    <row r="229" spans="1:2" ht="12.75" customHeight="1" x14ac:dyDescent="0.15">
      <c r="A229" s="1"/>
      <c r="B229" s="2"/>
    </row>
    <row r="230" spans="1:2" ht="12.75" customHeight="1" x14ac:dyDescent="0.15">
      <c r="A230" s="1"/>
      <c r="B230" s="2"/>
    </row>
    <row r="231" spans="1:2" ht="12.75" customHeight="1" x14ac:dyDescent="0.15">
      <c r="A231" s="1"/>
      <c r="B231" s="2"/>
    </row>
    <row r="232" spans="1:2" ht="12.75" customHeight="1" x14ac:dyDescent="0.15">
      <c r="A232" s="1"/>
      <c r="B232" s="2"/>
    </row>
    <row r="233" spans="1:2" ht="12.75" customHeight="1" x14ac:dyDescent="0.15">
      <c r="A233" s="1"/>
      <c r="B233" s="2"/>
    </row>
    <row r="234" spans="1:2" ht="12.75" customHeight="1" x14ac:dyDescent="0.15">
      <c r="A234" s="1"/>
      <c r="B234" s="2"/>
    </row>
    <row r="235" spans="1:2" ht="12.75" customHeight="1" x14ac:dyDescent="0.15">
      <c r="A235" s="1"/>
      <c r="B235" s="2"/>
    </row>
    <row r="236" spans="1:2" ht="12.75" customHeight="1" x14ac:dyDescent="0.15">
      <c r="A236" s="1"/>
      <c r="B236" s="2"/>
    </row>
    <row r="237" spans="1:2" ht="12.75" customHeight="1" x14ac:dyDescent="0.15">
      <c r="A237" s="1"/>
      <c r="B237" s="2"/>
    </row>
    <row r="238" spans="1:2" ht="12.75" customHeight="1" x14ac:dyDescent="0.15">
      <c r="A238" s="1"/>
      <c r="B238" s="2"/>
    </row>
    <row r="239" spans="1:2" ht="12.75" customHeight="1" x14ac:dyDescent="0.15">
      <c r="A239" s="1"/>
      <c r="B239" s="2"/>
    </row>
    <row r="240" spans="1:2" ht="12.75" customHeight="1" x14ac:dyDescent="0.15">
      <c r="A240" s="1"/>
      <c r="B240" s="2"/>
    </row>
    <row r="241" spans="1:2" ht="12.75" customHeight="1" x14ac:dyDescent="0.15">
      <c r="A241" s="1"/>
      <c r="B241" s="2"/>
    </row>
    <row r="242" spans="1:2" ht="12.75" customHeight="1" x14ac:dyDescent="0.15">
      <c r="A242" s="1"/>
      <c r="B242" s="2"/>
    </row>
    <row r="243" spans="1:2" ht="12.75" customHeight="1" x14ac:dyDescent="0.15">
      <c r="A243" s="1"/>
      <c r="B243" s="2"/>
    </row>
    <row r="244" spans="1:2" ht="12.75" customHeight="1" x14ac:dyDescent="0.15">
      <c r="A244" s="1"/>
      <c r="B244" s="2"/>
    </row>
    <row r="245" spans="1:2" ht="12.75" customHeight="1" x14ac:dyDescent="0.15">
      <c r="A245" s="1"/>
      <c r="B245" s="2"/>
    </row>
    <row r="246" spans="1:2" ht="12.75" customHeight="1" x14ac:dyDescent="0.15">
      <c r="A246" s="1"/>
      <c r="B246" s="2"/>
    </row>
    <row r="247" spans="1:2" ht="12.75" customHeight="1" x14ac:dyDescent="0.15">
      <c r="A247" s="1"/>
      <c r="B247" s="2"/>
    </row>
    <row r="248" spans="1:2" ht="12.75" customHeight="1" x14ac:dyDescent="0.15">
      <c r="A248" s="1"/>
      <c r="B248" s="2"/>
    </row>
    <row r="249" spans="1:2" ht="12.75" customHeight="1" x14ac:dyDescent="0.15">
      <c r="A249" s="1"/>
      <c r="B249" s="2"/>
    </row>
    <row r="250" spans="1:2" ht="12.75" customHeight="1" x14ac:dyDescent="0.15">
      <c r="A250" s="1"/>
      <c r="B250" s="2"/>
    </row>
    <row r="251" spans="1:2" ht="12.75" customHeight="1" x14ac:dyDescent="0.15">
      <c r="A251" s="1"/>
      <c r="B251" s="2"/>
    </row>
    <row r="252" spans="1:2" ht="12.75" customHeight="1" x14ac:dyDescent="0.15">
      <c r="A252" s="1"/>
      <c r="B252" s="2"/>
    </row>
    <row r="253" spans="1:2" ht="12.75" customHeight="1" x14ac:dyDescent="0.15">
      <c r="A253" s="1"/>
      <c r="B253" s="2"/>
    </row>
    <row r="254" spans="1:2" ht="12.75" customHeight="1" x14ac:dyDescent="0.15">
      <c r="A254" s="1"/>
      <c r="B254" s="2"/>
    </row>
    <row r="255" spans="1:2" ht="12.75" customHeight="1" x14ac:dyDescent="0.15">
      <c r="A255" s="1"/>
      <c r="B255" s="2"/>
    </row>
    <row r="256" spans="1:2" ht="12.75" customHeight="1" x14ac:dyDescent="0.15">
      <c r="A256" s="1"/>
      <c r="B256" s="2"/>
    </row>
    <row r="257" spans="1:2" ht="12.75" customHeight="1" x14ac:dyDescent="0.15">
      <c r="A257" s="1"/>
      <c r="B257" s="2"/>
    </row>
    <row r="258" spans="1:2" ht="12.75" customHeight="1" x14ac:dyDescent="0.15">
      <c r="A258" s="1"/>
      <c r="B258" s="2"/>
    </row>
    <row r="259" spans="1:2" ht="12.75" customHeight="1" x14ac:dyDescent="0.15">
      <c r="A259" s="1"/>
      <c r="B259" s="2"/>
    </row>
    <row r="260" spans="1:2" ht="12.75" customHeight="1" x14ac:dyDescent="0.15">
      <c r="A260" s="1"/>
      <c r="B260" s="2"/>
    </row>
    <row r="261" spans="1:2" ht="12.75" customHeight="1" x14ac:dyDescent="0.15">
      <c r="A261" s="1"/>
      <c r="B261" s="2"/>
    </row>
    <row r="262" spans="1:2" ht="12.75" customHeight="1" x14ac:dyDescent="0.15">
      <c r="A262" s="1"/>
      <c r="B262" s="2"/>
    </row>
    <row r="263" spans="1:2" ht="12.75" customHeight="1" x14ac:dyDescent="0.15">
      <c r="A263" s="1"/>
      <c r="B263" s="2"/>
    </row>
    <row r="264" spans="1:2" ht="12.75" customHeight="1" x14ac:dyDescent="0.15">
      <c r="A264" s="1"/>
      <c r="B264" s="2"/>
    </row>
    <row r="265" spans="1:2" ht="12.75" customHeight="1" x14ac:dyDescent="0.15">
      <c r="A265" s="1"/>
      <c r="B265" s="2"/>
    </row>
    <row r="266" spans="1:2" ht="12.75" customHeight="1" x14ac:dyDescent="0.15">
      <c r="A266" s="1"/>
      <c r="B266" s="2"/>
    </row>
    <row r="267" spans="1:2" ht="12.75" customHeight="1" x14ac:dyDescent="0.15">
      <c r="A267" s="1"/>
      <c r="B267" s="2"/>
    </row>
    <row r="268" spans="1:2" ht="12.75" customHeight="1" x14ac:dyDescent="0.15">
      <c r="A268" s="1"/>
      <c r="B268" s="2"/>
    </row>
    <row r="269" spans="1:2" ht="12.75" customHeight="1" x14ac:dyDescent="0.15">
      <c r="A269" s="1"/>
      <c r="B269" s="2"/>
    </row>
    <row r="270" spans="1:2" ht="12.75" customHeight="1" x14ac:dyDescent="0.15">
      <c r="A270" s="1"/>
      <c r="B270" s="2"/>
    </row>
    <row r="271" spans="1:2" ht="12.75" customHeight="1" x14ac:dyDescent="0.15">
      <c r="A271" s="1"/>
      <c r="B271" s="2"/>
    </row>
    <row r="272" spans="1:2" ht="12.75" customHeight="1" x14ac:dyDescent="0.15">
      <c r="A272" s="1"/>
      <c r="B272" s="2"/>
    </row>
    <row r="273" spans="1:2" ht="12.75" customHeight="1" x14ac:dyDescent="0.15">
      <c r="A273" s="1"/>
      <c r="B273" s="2"/>
    </row>
    <row r="274" spans="1:2" ht="12.75" customHeight="1" x14ac:dyDescent="0.15">
      <c r="A274" s="1"/>
      <c r="B274" s="2"/>
    </row>
    <row r="275" spans="1:2" ht="12.75" customHeight="1" x14ac:dyDescent="0.15">
      <c r="A275" s="1"/>
      <c r="B275" s="2"/>
    </row>
    <row r="276" spans="1:2" ht="12.75" customHeight="1" x14ac:dyDescent="0.15">
      <c r="A276" s="1"/>
      <c r="B276" s="2"/>
    </row>
    <row r="277" spans="1:2" ht="12.75" customHeight="1" x14ac:dyDescent="0.15">
      <c r="A277" s="1"/>
      <c r="B277" s="2"/>
    </row>
    <row r="278" spans="1:2" ht="12.75" customHeight="1" x14ac:dyDescent="0.15">
      <c r="A278" s="1"/>
      <c r="B278" s="2"/>
    </row>
    <row r="279" spans="1:2" ht="12.75" customHeight="1" x14ac:dyDescent="0.15">
      <c r="A279" s="1"/>
      <c r="B279" s="2"/>
    </row>
    <row r="280" spans="1:2" ht="12.75" customHeight="1" x14ac:dyDescent="0.15">
      <c r="A280" s="1"/>
      <c r="B280" s="2"/>
    </row>
    <row r="281" spans="1:2" ht="12.75" customHeight="1" x14ac:dyDescent="0.15">
      <c r="A281" s="1"/>
      <c r="B281" s="2"/>
    </row>
    <row r="282" spans="1:2" ht="12.75" customHeight="1" x14ac:dyDescent="0.15">
      <c r="A282" s="1"/>
      <c r="B282" s="2"/>
    </row>
    <row r="283" spans="1:2" ht="12.75" customHeight="1" x14ac:dyDescent="0.15">
      <c r="A283" s="1"/>
      <c r="B283" s="2"/>
    </row>
    <row r="284" spans="1:2" ht="12.75" customHeight="1" x14ac:dyDescent="0.15">
      <c r="A284" s="1"/>
      <c r="B284" s="2"/>
    </row>
    <row r="285" spans="1:2" ht="12.75" customHeight="1" x14ac:dyDescent="0.15">
      <c r="A285" s="1"/>
      <c r="B285" s="2"/>
    </row>
    <row r="286" spans="1:2" ht="12.75" customHeight="1" x14ac:dyDescent="0.15">
      <c r="A286" s="1"/>
      <c r="B286" s="2"/>
    </row>
    <row r="287" spans="1:2" ht="12.75" customHeight="1" x14ac:dyDescent="0.15">
      <c r="A287" s="1"/>
      <c r="B287" s="2"/>
    </row>
    <row r="288" spans="1:2" ht="12.75" customHeight="1" x14ac:dyDescent="0.15">
      <c r="A288" s="1"/>
      <c r="B288" s="2"/>
    </row>
    <row r="289" spans="1:2" ht="12.75" customHeight="1" x14ac:dyDescent="0.15">
      <c r="A289" s="1"/>
      <c r="B289" s="2"/>
    </row>
    <row r="290" spans="1:2" ht="12.75" customHeight="1" x14ac:dyDescent="0.15">
      <c r="A290" s="1"/>
      <c r="B290" s="2"/>
    </row>
    <row r="291" spans="1:2" ht="12.75" customHeight="1" x14ac:dyDescent="0.15">
      <c r="A291" s="1"/>
      <c r="B291" s="2"/>
    </row>
    <row r="292" spans="1:2" ht="12.75" customHeight="1" x14ac:dyDescent="0.15">
      <c r="A292" s="1"/>
      <c r="B292" s="2"/>
    </row>
    <row r="293" spans="1:2" ht="12.75" customHeight="1" x14ac:dyDescent="0.15">
      <c r="A293" s="1"/>
      <c r="B293" s="2"/>
    </row>
    <row r="294" spans="1:2" ht="12.75" customHeight="1" x14ac:dyDescent="0.15">
      <c r="A294" s="1"/>
      <c r="B294" s="2"/>
    </row>
    <row r="295" spans="1:2" ht="12.75" customHeight="1" x14ac:dyDescent="0.15">
      <c r="A295" s="1"/>
      <c r="B295" s="2"/>
    </row>
    <row r="296" spans="1:2" ht="12.75" customHeight="1" x14ac:dyDescent="0.15">
      <c r="A296" s="1"/>
      <c r="B296" s="2"/>
    </row>
    <row r="297" spans="1:2" ht="12.75" customHeight="1" x14ac:dyDescent="0.15">
      <c r="A297" s="1"/>
      <c r="B297" s="2"/>
    </row>
    <row r="298" spans="1:2" ht="12.75" customHeight="1" x14ac:dyDescent="0.15">
      <c r="A298" s="1"/>
      <c r="B298" s="2"/>
    </row>
    <row r="299" spans="1:2" ht="12.75" customHeight="1" x14ac:dyDescent="0.15">
      <c r="A299" s="1"/>
      <c r="B299" s="2"/>
    </row>
    <row r="300" spans="1:2" ht="12.75" customHeight="1" x14ac:dyDescent="0.15">
      <c r="A300" s="1"/>
      <c r="B300" s="2"/>
    </row>
    <row r="301" spans="1:2" ht="12.75" customHeight="1" x14ac:dyDescent="0.15">
      <c r="A301" s="1"/>
      <c r="B301" s="2"/>
    </row>
    <row r="302" spans="1:2" ht="12.75" customHeight="1" x14ac:dyDescent="0.15">
      <c r="A302" s="1"/>
      <c r="B302" s="2"/>
    </row>
    <row r="303" spans="1:2" ht="12.75" customHeight="1" x14ac:dyDescent="0.15">
      <c r="A303" s="1"/>
      <c r="B303" s="2"/>
    </row>
    <row r="304" spans="1:2" ht="12.75" customHeight="1" x14ac:dyDescent="0.15">
      <c r="A304" s="1"/>
      <c r="B304" s="2"/>
    </row>
    <row r="305" spans="1:2" ht="12.75" customHeight="1" x14ac:dyDescent="0.15">
      <c r="A305" s="1"/>
      <c r="B305" s="2"/>
    </row>
    <row r="306" spans="1:2" ht="12.75" customHeight="1" x14ac:dyDescent="0.15">
      <c r="A306" s="1"/>
      <c r="B306" s="2"/>
    </row>
    <row r="307" spans="1:2" ht="12.75" customHeight="1" x14ac:dyDescent="0.15">
      <c r="A307" s="1"/>
      <c r="B307" s="2"/>
    </row>
    <row r="308" spans="1:2" ht="12.75" customHeight="1" x14ac:dyDescent="0.15">
      <c r="A308" s="1"/>
      <c r="B308" s="2"/>
    </row>
    <row r="309" spans="1:2" ht="12.75" customHeight="1" x14ac:dyDescent="0.15">
      <c r="A309" s="1"/>
      <c r="B309" s="2"/>
    </row>
    <row r="310" spans="1:2" ht="12.75" customHeight="1" x14ac:dyDescent="0.15">
      <c r="A310" s="1"/>
      <c r="B310" s="2"/>
    </row>
    <row r="311" spans="1:2" ht="12.75" customHeight="1" x14ac:dyDescent="0.15">
      <c r="A311" s="1"/>
      <c r="B311" s="2"/>
    </row>
    <row r="312" spans="1:2" ht="12.75" customHeight="1" x14ac:dyDescent="0.15">
      <c r="A312" s="1"/>
      <c r="B312" s="2"/>
    </row>
    <row r="313" spans="1:2" ht="12.75" customHeight="1" x14ac:dyDescent="0.15">
      <c r="A313" s="1"/>
      <c r="B313" s="2"/>
    </row>
    <row r="314" spans="1:2" ht="12.75" customHeight="1" x14ac:dyDescent="0.15">
      <c r="A314" s="1"/>
      <c r="B314" s="2"/>
    </row>
    <row r="315" spans="1:2" ht="12.75" customHeight="1" x14ac:dyDescent="0.15">
      <c r="A315" s="1"/>
      <c r="B315" s="2"/>
    </row>
    <row r="316" spans="1:2" ht="12.75" customHeight="1" x14ac:dyDescent="0.15">
      <c r="A316" s="1"/>
      <c r="B316" s="2"/>
    </row>
    <row r="317" spans="1:2" ht="12.75" customHeight="1" x14ac:dyDescent="0.15">
      <c r="A317" s="1"/>
      <c r="B317" s="2"/>
    </row>
    <row r="318" spans="1:2" ht="12.75" customHeight="1" x14ac:dyDescent="0.15">
      <c r="A318" s="1"/>
      <c r="B318" s="2"/>
    </row>
    <row r="319" spans="1:2" ht="12.75" customHeight="1" x14ac:dyDescent="0.15">
      <c r="A319" s="1"/>
      <c r="B319" s="2"/>
    </row>
    <row r="320" spans="1:2" ht="12.75" customHeight="1" x14ac:dyDescent="0.15">
      <c r="A320" s="1"/>
      <c r="B320" s="2"/>
    </row>
    <row r="321" spans="1:2" ht="12.75" customHeight="1" x14ac:dyDescent="0.15">
      <c r="A321" s="1"/>
      <c r="B321" s="2"/>
    </row>
    <row r="322" spans="1:2" ht="12.75" customHeight="1" x14ac:dyDescent="0.15">
      <c r="A322" s="1"/>
      <c r="B322" s="2"/>
    </row>
    <row r="323" spans="1:2" ht="12.75" customHeight="1" x14ac:dyDescent="0.15">
      <c r="A323" s="1"/>
      <c r="B323" s="2"/>
    </row>
    <row r="324" spans="1:2" ht="12.75" customHeight="1" x14ac:dyDescent="0.15">
      <c r="A324" s="1"/>
      <c r="B324" s="2"/>
    </row>
    <row r="325" spans="1:2" ht="12.75" customHeight="1" x14ac:dyDescent="0.15">
      <c r="A325" s="1"/>
      <c r="B325" s="2"/>
    </row>
    <row r="326" spans="1:2" ht="12.75" customHeight="1" x14ac:dyDescent="0.15">
      <c r="A326" s="1"/>
      <c r="B326" s="2"/>
    </row>
    <row r="327" spans="1:2" ht="12.75" customHeight="1" x14ac:dyDescent="0.15">
      <c r="A327" s="1"/>
      <c r="B327" s="2"/>
    </row>
    <row r="328" spans="1:2" ht="12.75" customHeight="1" x14ac:dyDescent="0.15">
      <c r="A328" s="1"/>
      <c r="B328" s="2"/>
    </row>
    <row r="329" spans="1:2" ht="12.75" customHeight="1" x14ac:dyDescent="0.15">
      <c r="A329" s="1"/>
      <c r="B329" s="2"/>
    </row>
    <row r="330" spans="1:2" ht="12.75" customHeight="1" x14ac:dyDescent="0.15">
      <c r="A330" s="1"/>
      <c r="B330" s="2"/>
    </row>
    <row r="331" spans="1:2" ht="12.75" customHeight="1" x14ac:dyDescent="0.15">
      <c r="A331" s="1"/>
      <c r="B331" s="2"/>
    </row>
    <row r="332" spans="1:2" ht="12.75" customHeight="1" x14ac:dyDescent="0.15">
      <c r="A332" s="1"/>
      <c r="B332" s="2"/>
    </row>
    <row r="333" spans="1:2" ht="12.75" customHeight="1" x14ac:dyDescent="0.15">
      <c r="A333" s="1"/>
      <c r="B333" s="2"/>
    </row>
    <row r="334" spans="1:2" ht="12.75" customHeight="1" x14ac:dyDescent="0.15">
      <c r="A334" s="1"/>
      <c r="B334" s="2"/>
    </row>
    <row r="335" spans="1:2" ht="12.75" customHeight="1" x14ac:dyDescent="0.15">
      <c r="A335" s="1"/>
      <c r="B335" s="2"/>
    </row>
    <row r="336" spans="1:2" ht="12.75" customHeight="1" x14ac:dyDescent="0.15">
      <c r="A336" s="1"/>
      <c r="B336" s="2"/>
    </row>
    <row r="337" spans="1:2" ht="12.75" customHeight="1" x14ac:dyDescent="0.15">
      <c r="A337" s="1"/>
      <c r="B337" s="2"/>
    </row>
    <row r="338" spans="1:2" ht="12.75" customHeight="1" x14ac:dyDescent="0.15">
      <c r="A338" s="1"/>
      <c r="B338" s="2"/>
    </row>
    <row r="339" spans="1:2" ht="12.75" customHeight="1" x14ac:dyDescent="0.15">
      <c r="A339" s="1"/>
      <c r="B339" s="2"/>
    </row>
    <row r="340" spans="1:2" ht="12.75" customHeight="1" x14ac:dyDescent="0.15">
      <c r="A340" s="1"/>
      <c r="B340" s="2"/>
    </row>
    <row r="341" spans="1:2" ht="12.75" customHeight="1" x14ac:dyDescent="0.15">
      <c r="A341" s="1"/>
      <c r="B341" s="2"/>
    </row>
    <row r="342" spans="1:2" ht="12.75" customHeight="1" x14ac:dyDescent="0.15">
      <c r="A342" s="1"/>
      <c r="B342" s="2"/>
    </row>
    <row r="343" spans="1:2" ht="12.75" customHeight="1" x14ac:dyDescent="0.15">
      <c r="A343" s="1"/>
      <c r="B343" s="2"/>
    </row>
    <row r="344" spans="1:2" ht="12.75" customHeight="1" x14ac:dyDescent="0.15">
      <c r="A344" s="1"/>
      <c r="B344" s="2"/>
    </row>
    <row r="345" spans="1:2" ht="12.75" customHeight="1" x14ac:dyDescent="0.15">
      <c r="A345" s="1"/>
      <c r="B345" s="2"/>
    </row>
    <row r="346" spans="1:2" ht="12.75" customHeight="1" x14ac:dyDescent="0.15">
      <c r="A346" s="1"/>
      <c r="B346" s="2"/>
    </row>
    <row r="347" spans="1:2" ht="12.75" customHeight="1" x14ac:dyDescent="0.15">
      <c r="A347" s="1"/>
      <c r="B347" s="2"/>
    </row>
    <row r="348" spans="1:2" ht="12.75" customHeight="1" x14ac:dyDescent="0.15">
      <c r="A348" s="1"/>
      <c r="B348" s="2"/>
    </row>
    <row r="349" spans="1:2" ht="12.75" customHeight="1" x14ac:dyDescent="0.15">
      <c r="A349" s="1"/>
      <c r="B349" s="2"/>
    </row>
    <row r="350" spans="1:2" ht="12.75" customHeight="1" x14ac:dyDescent="0.15">
      <c r="A350" s="1"/>
      <c r="B350" s="2"/>
    </row>
    <row r="351" spans="1:2" ht="12.75" customHeight="1" x14ac:dyDescent="0.15">
      <c r="A351" s="1"/>
      <c r="B351" s="2"/>
    </row>
    <row r="352" spans="1:2" ht="12.75" customHeight="1" x14ac:dyDescent="0.15">
      <c r="A352" s="1"/>
      <c r="B352" s="2"/>
    </row>
    <row r="353" spans="1:2" ht="12.75" customHeight="1" x14ac:dyDescent="0.15">
      <c r="A353" s="1"/>
      <c r="B353" s="2"/>
    </row>
    <row r="354" spans="1:2" ht="12.75" customHeight="1" x14ac:dyDescent="0.15">
      <c r="A354" s="1"/>
      <c r="B354" s="2"/>
    </row>
    <row r="355" spans="1:2" ht="12.75" customHeight="1" x14ac:dyDescent="0.15">
      <c r="A355" s="1"/>
      <c r="B355" s="2"/>
    </row>
    <row r="356" spans="1:2" ht="12.75" customHeight="1" x14ac:dyDescent="0.15">
      <c r="A356" s="1"/>
      <c r="B356" s="2"/>
    </row>
    <row r="357" spans="1:2" ht="12.75" customHeight="1" x14ac:dyDescent="0.15">
      <c r="A357" s="1"/>
      <c r="B357" s="2"/>
    </row>
    <row r="358" spans="1:2" ht="12.75" customHeight="1" x14ac:dyDescent="0.15">
      <c r="A358" s="1"/>
      <c r="B358" s="2"/>
    </row>
    <row r="359" spans="1:2" ht="12.75" customHeight="1" x14ac:dyDescent="0.15">
      <c r="A359" s="1"/>
      <c r="B359" s="2"/>
    </row>
    <row r="360" spans="1:2" ht="12.75" customHeight="1" x14ac:dyDescent="0.15">
      <c r="A360" s="1"/>
      <c r="B360" s="2"/>
    </row>
    <row r="361" spans="1:2" ht="12.75" customHeight="1" x14ac:dyDescent="0.15">
      <c r="A361" s="1"/>
      <c r="B361" s="2"/>
    </row>
    <row r="362" spans="1:2" ht="12.75" customHeight="1" x14ac:dyDescent="0.15">
      <c r="A362" s="1"/>
      <c r="B362" s="2"/>
    </row>
    <row r="363" spans="1:2" ht="12.75" customHeight="1" x14ac:dyDescent="0.15">
      <c r="A363" s="1"/>
      <c r="B363" s="2"/>
    </row>
    <row r="364" spans="1:2" ht="12.75" customHeight="1" x14ac:dyDescent="0.15">
      <c r="A364" s="1"/>
      <c r="B364" s="2"/>
    </row>
    <row r="365" spans="1:2" ht="12.75" customHeight="1" x14ac:dyDescent="0.15">
      <c r="A365" s="1"/>
      <c r="B365" s="2"/>
    </row>
    <row r="366" spans="1:2" ht="12.75" customHeight="1" x14ac:dyDescent="0.15">
      <c r="A366" s="1"/>
      <c r="B366" s="2"/>
    </row>
    <row r="367" spans="1:2" ht="12.75" customHeight="1" x14ac:dyDescent="0.15">
      <c r="A367" s="1"/>
      <c r="B367" s="2"/>
    </row>
    <row r="368" spans="1:2" ht="12.75" customHeight="1" x14ac:dyDescent="0.15">
      <c r="A368" s="1"/>
      <c r="B368" s="2"/>
    </row>
    <row r="369" spans="1:2" ht="12.75" customHeight="1" x14ac:dyDescent="0.15">
      <c r="A369" s="1"/>
      <c r="B369" s="2"/>
    </row>
    <row r="370" spans="1:2" ht="12.75" customHeight="1" x14ac:dyDescent="0.15">
      <c r="A370" s="1"/>
      <c r="B370" s="2"/>
    </row>
    <row r="371" spans="1:2" ht="12.75" customHeight="1" x14ac:dyDescent="0.15">
      <c r="A371" s="1"/>
      <c r="B371" s="2"/>
    </row>
    <row r="372" spans="1:2" ht="12.75" customHeight="1" x14ac:dyDescent="0.15">
      <c r="A372" s="1"/>
      <c r="B372" s="2"/>
    </row>
    <row r="373" spans="1:2" ht="12.75" customHeight="1" x14ac:dyDescent="0.15">
      <c r="A373" s="1"/>
      <c r="B373" s="2"/>
    </row>
    <row r="374" spans="1:2" ht="12.75" customHeight="1" x14ac:dyDescent="0.15">
      <c r="A374" s="1"/>
      <c r="B374" s="2"/>
    </row>
    <row r="375" spans="1:2" ht="12.75" customHeight="1" x14ac:dyDescent="0.15">
      <c r="A375" s="1"/>
      <c r="B375" s="2"/>
    </row>
    <row r="376" spans="1:2" ht="12.75" customHeight="1" x14ac:dyDescent="0.15">
      <c r="A376" s="1"/>
      <c r="B376" s="2"/>
    </row>
    <row r="377" spans="1:2" ht="12.75" customHeight="1" x14ac:dyDescent="0.15">
      <c r="A377" s="1"/>
      <c r="B377" s="2"/>
    </row>
    <row r="378" spans="1:2" ht="12.75" customHeight="1" x14ac:dyDescent="0.15">
      <c r="A378" s="1"/>
      <c r="B378" s="2"/>
    </row>
    <row r="379" spans="1:2" ht="12.75" customHeight="1" x14ac:dyDescent="0.15">
      <c r="A379" s="1"/>
      <c r="B379" s="2"/>
    </row>
    <row r="380" spans="1:2" ht="12.75" customHeight="1" x14ac:dyDescent="0.15">
      <c r="A380" s="1"/>
      <c r="B380" s="2"/>
    </row>
    <row r="381" spans="1:2" ht="12.75" customHeight="1" x14ac:dyDescent="0.15">
      <c r="A381" s="1"/>
      <c r="B381" s="2"/>
    </row>
    <row r="382" spans="1:2" ht="12.75" customHeight="1" x14ac:dyDescent="0.15">
      <c r="A382" s="1"/>
      <c r="B382" s="2"/>
    </row>
    <row r="383" spans="1:2" ht="12.75" customHeight="1" x14ac:dyDescent="0.15">
      <c r="A383" s="1"/>
      <c r="B383" s="2"/>
    </row>
    <row r="384" spans="1:2" ht="12.75" customHeight="1" x14ac:dyDescent="0.15">
      <c r="A384" s="1"/>
      <c r="B384" s="2"/>
    </row>
    <row r="385" spans="1:2" ht="12.75" customHeight="1" x14ac:dyDescent="0.15">
      <c r="A385" s="1"/>
      <c r="B385" s="2"/>
    </row>
    <row r="386" spans="1:2" ht="12.75" customHeight="1" x14ac:dyDescent="0.15">
      <c r="A386" s="1"/>
      <c r="B386" s="2"/>
    </row>
    <row r="387" spans="1:2" ht="12.75" customHeight="1" x14ac:dyDescent="0.15">
      <c r="A387" s="1"/>
      <c r="B387" s="2"/>
    </row>
    <row r="388" spans="1:2" ht="12.75" customHeight="1" x14ac:dyDescent="0.15">
      <c r="A388" s="1"/>
      <c r="B388" s="2"/>
    </row>
    <row r="389" spans="1:2" ht="12.75" customHeight="1" x14ac:dyDescent="0.15">
      <c r="A389" s="1"/>
      <c r="B389" s="2"/>
    </row>
    <row r="390" spans="1:2" ht="12.75" customHeight="1" x14ac:dyDescent="0.15">
      <c r="A390" s="1"/>
      <c r="B390" s="2"/>
    </row>
    <row r="391" spans="1:2" ht="12.75" customHeight="1" x14ac:dyDescent="0.15">
      <c r="A391" s="1"/>
      <c r="B391" s="2"/>
    </row>
    <row r="392" spans="1:2" ht="12.75" customHeight="1" x14ac:dyDescent="0.15">
      <c r="A392" s="1"/>
      <c r="B392" s="2"/>
    </row>
    <row r="393" spans="1:2" ht="12.75" customHeight="1" x14ac:dyDescent="0.15">
      <c r="A393" s="1"/>
      <c r="B393" s="2"/>
    </row>
    <row r="394" spans="1:2" ht="12.75" customHeight="1" x14ac:dyDescent="0.15">
      <c r="A394" s="1"/>
      <c r="B394" s="2"/>
    </row>
    <row r="395" spans="1:2" ht="12.75" customHeight="1" x14ac:dyDescent="0.15">
      <c r="A395" s="1"/>
      <c r="B395" s="2"/>
    </row>
    <row r="396" spans="1:2" ht="12.75" customHeight="1" x14ac:dyDescent="0.15">
      <c r="A396" s="1"/>
      <c r="B396" s="2"/>
    </row>
    <row r="397" spans="1:2" ht="12.75" customHeight="1" x14ac:dyDescent="0.15">
      <c r="A397" s="1"/>
      <c r="B397" s="2"/>
    </row>
    <row r="398" spans="1:2" ht="12.75" customHeight="1" x14ac:dyDescent="0.15">
      <c r="A398" s="1"/>
      <c r="B398" s="2"/>
    </row>
    <row r="399" spans="1:2" ht="12.75" customHeight="1" x14ac:dyDescent="0.15">
      <c r="A399" s="1"/>
      <c r="B399" s="2"/>
    </row>
    <row r="400" spans="1:2" ht="12.75" customHeight="1" x14ac:dyDescent="0.15">
      <c r="A400" s="1"/>
      <c r="B400" s="2"/>
    </row>
    <row r="401" spans="1:2" ht="12.75" customHeight="1" x14ac:dyDescent="0.15">
      <c r="A401" s="1"/>
      <c r="B401" s="2"/>
    </row>
    <row r="402" spans="1:2" ht="12.75" customHeight="1" x14ac:dyDescent="0.15">
      <c r="A402" s="1"/>
      <c r="B402" s="2"/>
    </row>
    <row r="403" spans="1:2" ht="12.75" customHeight="1" x14ac:dyDescent="0.15">
      <c r="A403" s="1"/>
      <c r="B403" s="2"/>
    </row>
    <row r="404" spans="1:2" ht="12.75" customHeight="1" x14ac:dyDescent="0.15">
      <c r="A404" s="1"/>
      <c r="B404" s="2"/>
    </row>
    <row r="405" spans="1:2" ht="12.75" customHeight="1" x14ac:dyDescent="0.15">
      <c r="A405" s="1"/>
      <c r="B405" s="2"/>
    </row>
    <row r="406" spans="1:2" ht="12.75" customHeight="1" x14ac:dyDescent="0.15">
      <c r="A406" s="1"/>
      <c r="B406" s="2"/>
    </row>
    <row r="407" spans="1:2" ht="12.75" customHeight="1" x14ac:dyDescent="0.15">
      <c r="A407" s="1"/>
      <c r="B407" s="2"/>
    </row>
    <row r="408" spans="1:2" ht="12.75" customHeight="1" x14ac:dyDescent="0.15">
      <c r="A408" s="1"/>
      <c r="B408" s="2"/>
    </row>
    <row r="409" spans="1:2" ht="12.75" customHeight="1" x14ac:dyDescent="0.15">
      <c r="A409" s="1"/>
      <c r="B409" s="2"/>
    </row>
    <row r="410" spans="1:2" ht="12.75" customHeight="1" x14ac:dyDescent="0.15">
      <c r="A410" s="1"/>
      <c r="B410" s="2"/>
    </row>
    <row r="411" spans="1:2" ht="12.75" customHeight="1" x14ac:dyDescent="0.15">
      <c r="A411" s="1"/>
      <c r="B411" s="2"/>
    </row>
    <row r="412" spans="1:2" ht="12.75" customHeight="1" x14ac:dyDescent="0.15">
      <c r="A412" s="1"/>
      <c r="B412" s="2"/>
    </row>
    <row r="413" spans="1:2" ht="12.75" customHeight="1" x14ac:dyDescent="0.15">
      <c r="A413" s="1"/>
      <c r="B413" s="2"/>
    </row>
    <row r="414" spans="1:2" ht="12.75" customHeight="1" x14ac:dyDescent="0.15">
      <c r="A414" s="1"/>
      <c r="B414" s="2"/>
    </row>
    <row r="415" spans="1:2" ht="12.75" customHeight="1" x14ac:dyDescent="0.15">
      <c r="A415" s="1"/>
      <c r="B415" s="2"/>
    </row>
    <row r="416" spans="1:2" ht="12.75" customHeight="1" x14ac:dyDescent="0.15">
      <c r="A416" s="1"/>
      <c r="B416" s="2"/>
    </row>
    <row r="417" spans="1:2" ht="12.75" customHeight="1" x14ac:dyDescent="0.15">
      <c r="A417" s="1"/>
      <c r="B417" s="2"/>
    </row>
    <row r="418" spans="1:2" ht="12.75" customHeight="1" x14ac:dyDescent="0.15">
      <c r="A418" s="1"/>
      <c r="B418" s="2"/>
    </row>
    <row r="419" spans="1:2" ht="12.75" customHeight="1" x14ac:dyDescent="0.15">
      <c r="A419" s="1"/>
      <c r="B419" s="2"/>
    </row>
    <row r="420" spans="1:2" ht="12.75" customHeight="1" x14ac:dyDescent="0.15">
      <c r="A420" s="1"/>
      <c r="B420" s="2"/>
    </row>
    <row r="421" spans="1:2" ht="12.75" customHeight="1" x14ac:dyDescent="0.15">
      <c r="A421" s="1"/>
      <c r="B421" s="2"/>
    </row>
    <row r="422" spans="1:2" ht="12.75" customHeight="1" x14ac:dyDescent="0.15">
      <c r="A422" s="1"/>
      <c r="B422" s="2"/>
    </row>
    <row r="423" spans="1:2" ht="12.75" customHeight="1" x14ac:dyDescent="0.15">
      <c r="A423" s="1"/>
      <c r="B423" s="2"/>
    </row>
    <row r="424" spans="1:2" ht="12.75" customHeight="1" x14ac:dyDescent="0.15">
      <c r="A424" s="1"/>
      <c r="B424" s="2"/>
    </row>
    <row r="425" spans="1:2" ht="12.75" customHeight="1" x14ac:dyDescent="0.15">
      <c r="A425" s="1"/>
      <c r="B425" s="2"/>
    </row>
    <row r="426" spans="1:2" ht="12.75" customHeight="1" x14ac:dyDescent="0.15">
      <c r="A426" s="1"/>
      <c r="B426" s="2"/>
    </row>
    <row r="427" spans="1:2" ht="12.75" customHeight="1" x14ac:dyDescent="0.15">
      <c r="A427" s="1"/>
      <c r="B427" s="2"/>
    </row>
    <row r="428" spans="1:2" ht="12.75" customHeight="1" x14ac:dyDescent="0.15">
      <c r="A428" s="1"/>
      <c r="B428" s="2"/>
    </row>
    <row r="429" spans="1:2" ht="12.75" customHeight="1" x14ac:dyDescent="0.15">
      <c r="A429" s="1"/>
      <c r="B429" s="2"/>
    </row>
    <row r="430" spans="1:2" ht="12.75" customHeight="1" x14ac:dyDescent="0.15">
      <c r="A430" s="1"/>
      <c r="B430" s="2"/>
    </row>
    <row r="431" spans="1:2" ht="12.75" customHeight="1" x14ac:dyDescent="0.15">
      <c r="A431" s="1"/>
      <c r="B431" s="2"/>
    </row>
    <row r="432" spans="1:2" ht="12.75" customHeight="1" x14ac:dyDescent="0.15">
      <c r="A432" s="1"/>
      <c r="B432" s="2"/>
    </row>
    <row r="433" spans="1:2" ht="12.75" customHeight="1" x14ac:dyDescent="0.15">
      <c r="A433" s="1"/>
      <c r="B433" s="2"/>
    </row>
    <row r="434" spans="1:2" ht="12.75" customHeight="1" x14ac:dyDescent="0.15">
      <c r="A434" s="1"/>
      <c r="B434" s="2"/>
    </row>
    <row r="435" spans="1:2" ht="12.75" customHeight="1" x14ac:dyDescent="0.15">
      <c r="A435" s="1"/>
      <c r="B435" s="2"/>
    </row>
    <row r="436" spans="1:2" ht="12.75" customHeight="1" x14ac:dyDescent="0.15">
      <c r="A436" s="1"/>
      <c r="B436" s="2"/>
    </row>
    <row r="437" spans="1:2" ht="12.75" customHeight="1" x14ac:dyDescent="0.15">
      <c r="A437" s="1"/>
      <c r="B437" s="2"/>
    </row>
    <row r="438" spans="1:2" ht="12.75" customHeight="1" x14ac:dyDescent="0.15">
      <c r="A438" s="1"/>
      <c r="B438" s="2"/>
    </row>
    <row r="439" spans="1:2" ht="12.75" customHeight="1" x14ac:dyDescent="0.15">
      <c r="A439" s="1"/>
      <c r="B439" s="2"/>
    </row>
    <row r="440" spans="1:2" ht="12.75" customHeight="1" x14ac:dyDescent="0.15">
      <c r="A440" s="1"/>
      <c r="B440" s="2"/>
    </row>
    <row r="441" spans="1:2" ht="12.75" customHeight="1" x14ac:dyDescent="0.15">
      <c r="A441" s="1"/>
      <c r="B441" s="2"/>
    </row>
    <row r="442" spans="1:2" ht="12.75" customHeight="1" x14ac:dyDescent="0.15">
      <c r="A442" s="1"/>
      <c r="B442" s="2"/>
    </row>
    <row r="443" spans="1:2" ht="12.75" customHeight="1" x14ac:dyDescent="0.15">
      <c r="A443" s="1"/>
      <c r="B443" s="2"/>
    </row>
    <row r="444" spans="1:2" ht="12.75" customHeight="1" x14ac:dyDescent="0.15">
      <c r="A444" s="1"/>
      <c r="B444" s="2"/>
    </row>
    <row r="445" spans="1:2" ht="12.75" customHeight="1" x14ac:dyDescent="0.15">
      <c r="A445" s="1"/>
      <c r="B445" s="2"/>
    </row>
    <row r="446" spans="1:2" ht="12.75" customHeight="1" x14ac:dyDescent="0.15">
      <c r="A446" s="1"/>
      <c r="B446" s="2"/>
    </row>
    <row r="447" spans="1:2" ht="12.75" customHeight="1" x14ac:dyDescent="0.15">
      <c r="A447" s="1"/>
      <c r="B447" s="2"/>
    </row>
    <row r="448" spans="1:2" ht="12.75" customHeight="1" x14ac:dyDescent="0.15">
      <c r="A448" s="1"/>
      <c r="B448" s="2"/>
    </row>
    <row r="449" spans="1:2" ht="12.75" customHeight="1" x14ac:dyDescent="0.15">
      <c r="A449" s="1"/>
      <c r="B449" s="2"/>
    </row>
    <row r="450" spans="1:2" ht="12.75" customHeight="1" x14ac:dyDescent="0.15">
      <c r="A450" s="1"/>
      <c r="B450" s="2"/>
    </row>
    <row r="451" spans="1:2" ht="12.75" customHeight="1" x14ac:dyDescent="0.15">
      <c r="A451" s="1"/>
      <c r="B451" s="2"/>
    </row>
    <row r="452" spans="1:2" ht="12.75" customHeight="1" x14ac:dyDescent="0.15">
      <c r="A452" s="1"/>
      <c r="B452" s="2"/>
    </row>
    <row r="453" spans="1:2" ht="12.75" customHeight="1" x14ac:dyDescent="0.15">
      <c r="A453" s="1"/>
      <c r="B453" s="2"/>
    </row>
    <row r="454" spans="1:2" ht="12.75" customHeight="1" x14ac:dyDescent="0.15">
      <c r="A454" s="1"/>
      <c r="B454" s="2"/>
    </row>
    <row r="455" spans="1:2" ht="12.75" customHeight="1" x14ac:dyDescent="0.15">
      <c r="A455" s="1"/>
      <c r="B455" s="2"/>
    </row>
    <row r="456" spans="1:2" ht="12.75" customHeight="1" x14ac:dyDescent="0.15">
      <c r="A456" s="1"/>
      <c r="B456" s="2"/>
    </row>
    <row r="457" spans="1:2" ht="12.75" customHeight="1" x14ac:dyDescent="0.15">
      <c r="A457" s="1"/>
      <c r="B457" s="2"/>
    </row>
    <row r="458" spans="1:2" ht="12.75" customHeight="1" x14ac:dyDescent="0.15">
      <c r="A458" s="1"/>
      <c r="B458" s="2"/>
    </row>
    <row r="459" spans="1:2" ht="12.75" customHeight="1" x14ac:dyDescent="0.15">
      <c r="A459" s="1"/>
      <c r="B459" s="2"/>
    </row>
    <row r="460" spans="1:2" ht="12.75" customHeight="1" x14ac:dyDescent="0.15">
      <c r="A460" s="1"/>
      <c r="B460" s="2"/>
    </row>
    <row r="461" spans="1:2" ht="12.75" customHeight="1" x14ac:dyDescent="0.15">
      <c r="A461" s="1"/>
      <c r="B461" s="2"/>
    </row>
    <row r="462" spans="1:2" ht="12.75" customHeight="1" x14ac:dyDescent="0.15">
      <c r="A462" s="1"/>
      <c r="B462" s="2"/>
    </row>
    <row r="463" spans="1:2" ht="12.75" customHeight="1" x14ac:dyDescent="0.15">
      <c r="A463" s="1"/>
      <c r="B463" s="2"/>
    </row>
    <row r="464" spans="1:2" ht="12.75" customHeight="1" x14ac:dyDescent="0.15">
      <c r="A464" s="1"/>
      <c r="B464" s="2"/>
    </row>
    <row r="465" spans="1:2" ht="12.75" customHeight="1" x14ac:dyDescent="0.15">
      <c r="A465" s="1"/>
      <c r="B465" s="2"/>
    </row>
    <row r="466" spans="1:2" ht="12.75" customHeight="1" x14ac:dyDescent="0.15">
      <c r="A466" s="1"/>
      <c r="B466" s="2"/>
    </row>
    <row r="467" spans="1:2" ht="12.75" customHeight="1" x14ac:dyDescent="0.15">
      <c r="A467" s="1"/>
      <c r="B467" s="2"/>
    </row>
    <row r="468" spans="1:2" ht="12.75" customHeight="1" x14ac:dyDescent="0.15">
      <c r="A468" s="1"/>
      <c r="B468" s="2"/>
    </row>
    <row r="469" spans="1:2" ht="12.75" customHeight="1" x14ac:dyDescent="0.15">
      <c r="A469" s="1"/>
      <c r="B469" s="2"/>
    </row>
    <row r="470" spans="1:2" ht="12.75" customHeight="1" x14ac:dyDescent="0.15">
      <c r="A470" s="1"/>
      <c r="B470" s="2"/>
    </row>
    <row r="471" spans="1:2" ht="12.75" customHeight="1" x14ac:dyDescent="0.15">
      <c r="A471" s="1"/>
      <c r="B471" s="2"/>
    </row>
    <row r="472" spans="1:2" ht="12.75" customHeight="1" x14ac:dyDescent="0.15">
      <c r="A472" s="1"/>
      <c r="B472" s="2"/>
    </row>
    <row r="473" spans="1:2" ht="12.75" customHeight="1" x14ac:dyDescent="0.15">
      <c r="A473" s="1"/>
      <c r="B473" s="2"/>
    </row>
    <row r="474" spans="1:2" ht="12.75" customHeight="1" x14ac:dyDescent="0.15">
      <c r="A474" s="1"/>
      <c r="B474" s="2"/>
    </row>
    <row r="475" spans="1:2" ht="12.75" customHeight="1" x14ac:dyDescent="0.15">
      <c r="A475" s="1"/>
      <c r="B475" s="2"/>
    </row>
    <row r="476" spans="1:2" ht="12.75" customHeight="1" x14ac:dyDescent="0.15">
      <c r="A476" s="1"/>
      <c r="B476" s="2"/>
    </row>
    <row r="477" spans="1:2" ht="12.75" customHeight="1" x14ac:dyDescent="0.15">
      <c r="A477" s="1"/>
      <c r="B477" s="2"/>
    </row>
    <row r="478" spans="1:2" ht="12.75" customHeight="1" x14ac:dyDescent="0.15">
      <c r="A478" s="1"/>
      <c r="B478" s="2"/>
    </row>
    <row r="479" spans="1:2" ht="12.75" customHeight="1" x14ac:dyDescent="0.15">
      <c r="A479" s="1"/>
      <c r="B479" s="2"/>
    </row>
    <row r="480" spans="1:2" ht="12.75" customHeight="1" x14ac:dyDescent="0.15">
      <c r="A480" s="1"/>
      <c r="B480" s="2"/>
    </row>
    <row r="481" spans="1:2" ht="12.75" customHeight="1" x14ac:dyDescent="0.15">
      <c r="A481" s="1"/>
      <c r="B481" s="2"/>
    </row>
    <row r="482" spans="1:2" ht="12.75" customHeight="1" x14ac:dyDescent="0.15">
      <c r="A482" s="1"/>
      <c r="B482" s="2"/>
    </row>
    <row r="483" spans="1:2" ht="12.75" customHeight="1" x14ac:dyDescent="0.15">
      <c r="A483" s="1"/>
      <c r="B483" s="2"/>
    </row>
    <row r="484" spans="1:2" ht="12.75" customHeight="1" x14ac:dyDescent="0.15">
      <c r="A484" s="1"/>
      <c r="B484" s="2"/>
    </row>
    <row r="485" spans="1:2" ht="12.75" customHeight="1" x14ac:dyDescent="0.15">
      <c r="A485" s="1"/>
      <c r="B485" s="2"/>
    </row>
    <row r="486" spans="1:2" ht="12.75" customHeight="1" x14ac:dyDescent="0.15">
      <c r="A486" s="1"/>
      <c r="B486" s="2"/>
    </row>
    <row r="487" spans="1:2" ht="12.75" customHeight="1" x14ac:dyDescent="0.15">
      <c r="A487" s="1"/>
      <c r="B487" s="2"/>
    </row>
    <row r="488" spans="1:2" ht="12.75" customHeight="1" x14ac:dyDescent="0.15">
      <c r="A488" s="1"/>
      <c r="B488" s="2"/>
    </row>
    <row r="489" spans="1:2" ht="12.75" customHeight="1" x14ac:dyDescent="0.15">
      <c r="A489" s="1"/>
      <c r="B489" s="2"/>
    </row>
    <row r="490" spans="1:2" ht="12.75" customHeight="1" x14ac:dyDescent="0.15">
      <c r="A490" s="1"/>
      <c r="B490" s="2"/>
    </row>
    <row r="491" spans="1:2" ht="12.75" customHeight="1" x14ac:dyDescent="0.15">
      <c r="A491" s="1"/>
      <c r="B491" s="2"/>
    </row>
    <row r="492" spans="1:2" ht="12.75" customHeight="1" x14ac:dyDescent="0.15">
      <c r="A492" s="1"/>
      <c r="B492" s="2"/>
    </row>
    <row r="493" spans="1:2" ht="12.75" customHeight="1" x14ac:dyDescent="0.15">
      <c r="A493" s="1"/>
      <c r="B493" s="2"/>
    </row>
    <row r="494" spans="1:2" ht="12.75" customHeight="1" x14ac:dyDescent="0.15">
      <c r="A494" s="1"/>
      <c r="B494" s="2"/>
    </row>
    <row r="495" spans="1:2" ht="12.75" customHeight="1" x14ac:dyDescent="0.15">
      <c r="A495" s="1"/>
      <c r="B495" s="2"/>
    </row>
    <row r="496" spans="1:2" ht="12.75" customHeight="1" x14ac:dyDescent="0.15">
      <c r="A496" s="1"/>
      <c r="B496" s="2"/>
    </row>
    <row r="497" spans="1:2" ht="12.75" customHeight="1" x14ac:dyDescent="0.15">
      <c r="A497" s="1"/>
      <c r="B497" s="2"/>
    </row>
    <row r="498" spans="1:2" ht="12.75" customHeight="1" x14ac:dyDescent="0.15">
      <c r="A498" s="1"/>
      <c r="B498" s="2"/>
    </row>
    <row r="499" spans="1:2" ht="12.75" customHeight="1" x14ac:dyDescent="0.15">
      <c r="A499" s="1"/>
      <c r="B499" s="2"/>
    </row>
    <row r="500" spans="1:2" ht="12.75" customHeight="1" x14ac:dyDescent="0.15">
      <c r="A500" s="1"/>
      <c r="B500" s="2"/>
    </row>
    <row r="501" spans="1:2" ht="12.75" customHeight="1" x14ac:dyDescent="0.15">
      <c r="A501" s="1"/>
      <c r="B501" s="2"/>
    </row>
    <row r="502" spans="1:2" ht="12.75" customHeight="1" x14ac:dyDescent="0.15">
      <c r="A502" s="1"/>
      <c r="B502" s="2"/>
    </row>
    <row r="503" spans="1:2" ht="12.75" customHeight="1" x14ac:dyDescent="0.15">
      <c r="A503" s="1"/>
      <c r="B503" s="2"/>
    </row>
    <row r="504" spans="1:2" ht="12.75" customHeight="1" x14ac:dyDescent="0.15">
      <c r="A504" s="1"/>
      <c r="B504" s="2"/>
    </row>
    <row r="505" spans="1:2" ht="12.75" customHeight="1" x14ac:dyDescent="0.15">
      <c r="A505" s="1"/>
      <c r="B505" s="2"/>
    </row>
    <row r="506" spans="1:2" ht="12.75" customHeight="1" x14ac:dyDescent="0.15">
      <c r="A506" s="1"/>
      <c r="B506" s="2"/>
    </row>
    <row r="507" spans="1:2" ht="12.75" customHeight="1" x14ac:dyDescent="0.15">
      <c r="A507" s="1"/>
      <c r="B507" s="2"/>
    </row>
    <row r="508" spans="1:2" ht="12.75" customHeight="1" x14ac:dyDescent="0.15">
      <c r="A508" s="1"/>
      <c r="B508" s="2"/>
    </row>
    <row r="509" spans="1:2" ht="12.75" customHeight="1" x14ac:dyDescent="0.15">
      <c r="A509" s="1"/>
      <c r="B509" s="2"/>
    </row>
    <row r="510" spans="1:2" ht="12.75" customHeight="1" x14ac:dyDescent="0.15">
      <c r="A510" s="1"/>
      <c r="B510" s="2"/>
    </row>
    <row r="511" spans="1:2" ht="12.75" customHeight="1" x14ac:dyDescent="0.15">
      <c r="A511" s="1"/>
      <c r="B511" s="2"/>
    </row>
    <row r="512" spans="1:2" ht="12.75" customHeight="1" x14ac:dyDescent="0.15">
      <c r="A512" s="1"/>
      <c r="B512" s="2"/>
    </row>
    <row r="513" spans="1:2" ht="12.75" customHeight="1" x14ac:dyDescent="0.15">
      <c r="A513" s="1"/>
      <c r="B513" s="2"/>
    </row>
    <row r="514" spans="1:2" ht="12.75" customHeight="1" x14ac:dyDescent="0.15">
      <c r="A514" s="1"/>
      <c r="B514" s="2"/>
    </row>
    <row r="515" spans="1:2" ht="12.75" customHeight="1" x14ac:dyDescent="0.15">
      <c r="A515" s="1"/>
      <c r="B515" s="2"/>
    </row>
    <row r="516" spans="1:2" ht="12.75" customHeight="1" x14ac:dyDescent="0.15">
      <c r="A516" s="1"/>
      <c r="B516" s="2"/>
    </row>
    <row r="517" spans="1:2" ht="12.75" customHeight="1" x14ac:dyDescent="0.15">
      <c r="A517" s="1"/>
      <c r="B517" s="2"/>
    </row>
    <row r="518" spans="1:2" ht="12.75" customHeight="1" x14ac:dyDescent="0.15">
      <c r="A518" s="1"/>
      <c r="B518" s="2"/>
    </row>
    <row r="519" spans="1:2" ht="12.75" customHeight="1" x14ac:dyDescent="0.15">
      <c r="A519" s="1"/>
      <c r="B519" s="2"/>
    </row>
    <row r="520" spans="1:2" ht="12.75" customHeight="1" x14ac:dyDescent="0.15">
      <c r="A520" s="1"/>
      <c r="B520" s="2"/>
    </row>
    <row r="521" spans="1:2" ht="12.75" customHeight="1" x14ac:dyDescent="0.15">
      <c r="A521" s="1"/>
      <c r="B521" s="2"/>
    </row>
    <row r="522" spans="1:2" ht="12.75" customHeight="1" x14ac:dyDescent="0.15">
      <c r="A522" s="1"/>
      <c r="B522" s="2"/>
    </row>
    <row r="523" spans="1:2" ht="12.75" customHeight="1" x14ac:dyDescent="0.15">
      <c r="A523" s="1"/>
      <c r="B523" s="2"/>
    </row>
    <row r="524" spans="1:2" ht="12.75" customHeight="1" x14ac:dyDescent="0.15">
      <c r="A524" s="1"/>
      <c r="B524" s="2"/>
    </row>
    <row r="525" spans="1:2" ht="12.75" customHeight="1" x14ac:dyDescent="0.15">
      <c r="A525" s="1"/>
      <c r="B525" s="2"/>
    </row>
    <row r="526" spans="1:2" ht="12.75" customHeight="1" x14ac:dyDescent="0.15">
      <c r="A526" s="1"/>
      <c r="B526" s="2"/>
    </row>
    <row r="527" spans="1:2" ht="12.75" customHeight="1" x14ac:dyDescent="0.15">
      <c r="A527" s="1"/>
      <c r="B527" s="2"/>
    </row>
    <row r="528" spans="1:2" ht="12.75" customHeight="1" x14ac:dyDescent="0.15">
      <c r="A528" s="1"/>
      <c r="B528" s="2"/>
    </row>
    <row r="529" spans="1:2" ht="12.75" customHeight="1" x14ac:dyDescent="0.15">
      <c r="A529" s="1"/>
      <c r="B529" s="2"/>
    </row>
    <row r="530" spans="1:2" ht="12.75" customHeight="1" x14ac:dyDescent="0.15">
      <c r="A530" s="1"/>
      <c r="B530" s="2"/>
    </row>
    <row r="531" spans="1:2" ht="12.75" customHeight="1" x14ac:dyDescent="0.15">
      <c r="A531" s="1"/>
      <c r="B531" s="2"/>
    </row>
    <row r="532" spans="1:2" ht="12.75" customHeight="1" x14ac:dyDescent="0.15">
      <c r="A532" s="1"/>
      <c r="B532" s="2"/>
    </row>
    <row r="533" spans="1:2" ht="12.75" customHeight="1" x14ac:dyDescent="0.15">
      <c r="A533" s="1"/>
      <c r="B533" s="2"/>
    </row>
    <row r="534" spans="1:2" ht="12.75" customHeight="1" x14ac:dyDescent="0.15">
      <c r="A534" s="1"/>
      <c r="B534" s="2"/>
    </row>
    <row r="535" spans="1:2" ht="12.75" customHeight="1" x14ac:dyDescent="0.15">
      <c r="A535" s="1"/>
      <c r="B535" s="2"/>
    </row>
    <row r="536" spans="1:2" ht="12.75" customHeight="1" x14ac:dyDescent="0.15">
      <c r="A536" s="1"/>
      <c r="B536" s="2"/>
    </row>
    <row r="537" spans="1:2" ht="12.75" customHeight="1" x14ac:dyDescent="0.15">
      <c r="A537" s="1"/>
      <c r="B537" s="2"/>
    </row>
    <row r="538" spans="1:2" ht="12.75" customHeight="1" x14ac:dyDescent="0.15">
      <c r="A538" s="1"/>
      <c r="B538" s="2"/>
    </row>
    <row r="539" spans="1:2" ht="12.75" customHeight="1" x14ac:dyDescent="0.15">
      <c r="A539" s="1"/>
      <c r="B539" s="2"/>
    </row>
    <row r="540" spans="1:2" ht="12.75" customHeight="1" x14ac:dyDescent="0.15">
      <c r="A540" s="1"/>
      <c r="B540" s="2"/>
    </row>
    <row r="541" spans="1:2" ht="12.75" customHeight="1" x14ac:dyDescent="0.15">
      <c r="A541" s="1"/>
      <c r="B541" s="2"/>
    </row>
    <row r="542" spans="1:2" ht="12.75" customHeight="1" x14ac:dyDescent="0.15">
      <c r="A542" s="1"/>
      <c r="B542" s="2"/>
    </row>
    <row r="543" spans="1:2" ht="12.75" customHeight="1" x14ac:dyDescent="0.15">
      <c r="A543" s="1"/>
      <c r="B543" s="2"/>
    </row>
    <row r="544" spans="1:2" ht="12.75" customHeight="1" x14ac:dyDescent="0.15">
      <c r="A544" s="1"/>
      <c r="B544" s="2"/>
    </row>
    <row r="545" spans="1:2" ht="12.75" customHeight="1" x14ac:dyDescent="0.15">
      <c r="A545" s="1"/>
      <c r="B545" s="2"/>
    </row>
    <row r="546" spans="1:2" ht="12.75" customHeight="1" x14ac:dyDescent="0.15">
      <c r="A546" s="1"/>
      <c r="B546" s="2"/>
    </row>
    <row r="547" spans="1:2" ht="12.75" customHeight="1" x14ac:dyDescent="0.15">
      <c r="A547" s="1"/>
      <c r="B547" s="2"/>
    </row>
    <row r="548" spans="1:2" ht="12.75" customHeight="1" x14ac:dyDescent="0.15">
      <c r="A548" s="1"/>
      <c r="B548" s="2"/>
    </row>
    <row r="549" spans="1:2" ht="12.75" customHeight="1" x14ac:dyDescent="0.15">
      <c r="A549" s="1"/>
      <c r="B549" s="2"/>
    </row>
    <row r="550" spans="1:2" ht="12.75" customHeight="1" x14ac:dyDescent="0.15">
      <c r="A550" s="1"/>
      <c r="B550" s="2"/>
    </row>
    <row r="551" spans="1:2" ht="12.75" customHeight="1" x14ac:dyDescent="0.15">
      <c r="A551" s="1"/>
      <c r="B551" s="2"/>
    </row>
    <row r="552" spans="1:2" ht="12.75" customHeight="1" x14ac:dyDescent="0.15">
      <c r="A552" s="1"/>
      <c r="B552" s="2"/>
    </row>
    <row r="553" spans="1:2" ht="12.75" customHeight="1" x14ac:dyDescent="0.15">
      <c r="A553" s="1"/>
      <c r="B553" s="2"/>
    </row>
    <row r="554" spans="1:2" ht="12.75" customHeight="1" x14ac:dyDescent="0.15">
      <c r="A554" s="1"/>
      <c r="B554" s="2"/>
    </row>
    <row r="555" spans="1:2" ht="12.75" customHeight="1" x14ac:dyDescent="0.15">
      <c r="A555" s="1"/>
      <c r="B555" s="2"/>
    </row>
    <row r="556" spans="1:2" ht="12.75" customHeight="1" x14ac:dyDescent="0.15">
      <c r="A556" s="1"/>
      <c r="B556" s="2"/>
    </row>
    <row r="557" spans="1:2" ht="12.75" customHeight="1" x14ac:dyDescent="0.15">
      <c r="A557" s="1"/>
      <c r="B557" s="2"/>
    </row>
    <row r="558" spans="1:2" ht="12.75" customHeight="1" x14ac:dyDescent="0.15">
      <c r="A558" s="1"/>
      <c r="B558" s="2"/>
    </row>
    <row r="559" spans="1:2" ht="12.75" customHeight="1" x14ac:dyDescent="0.15">
      <c r="A559" s="1"/>
      <c r="B559" s="2"/>
    </row>
    <row r="560" spans="1:2" ht="12.75" customHeight="1" x14ac:dyDescent="0.15">
      <c r="A560" s="1"/>
      <c r="B560" s="2"/>
    </row>
    <row r="561" spans="1:2" ht="12.75" customHeight="1" x14ac:dyDescent="0.15">
      <c r="A561" s="1"/>
      <c r="B561" s="2"/>
    </row>
    <row r="562" spans="1:2" ht="12.75" customHeight="1" x14ac:dyDescent="0.15">
      <c r="A562" s="1"/>
      <c r="B562" s="2"/>
    </row>
    <row r="563" spans="1:2" ht="12.75" customHeight="1" x14ac:dyDescent="0.15">
      <c r="A563" s="1"/>
      <c r="B563" s="2"/>
    </row>
    <row r="564" spans="1:2" ht="12.75" customHeight="1" x14ac:dyDescent="0.15">
      <c r="A564" s="1"/>
      <c r="B564" s="2"/>
    </row>
    <row r="565" spans="1:2" ht="12.75" customHeight="1" x14ac:dyDescent="0.15">
      <c r="A565" s="1"/>
      <c r="B565" s="2"/>
    </row>
    <row r="566" spans="1:2" ht="12.75" customHeight="1" x14ac:dyDescent="0.15">
      <c r="A566" s="1"/>
      <c r="B566" s="2"/>
    </row>
    <row r="567" spans="1:2" ht="12.75" customHeight="1" x14ac:dyDescent="0.15">
      <c r="A567" s="1"/>
      <c r="B567" s="2"/>
    </row>
    <row r="568" spans="1:2" ht="12.75" customHeight="1" x14ac:dyDescent="0.15">
      <c r="A568" s="1"/>
      <c r="B568" s="2"/>
    </row>
    <row r="569" spans="1:2" ht="12.75" customHeight="1" x14ac:dyDescent="0.15">
      <c r="A569" s="1"/>
      <c r="B569" s="2"/>
    </row>
    <row r="570" spans="1:2" ht="12.75" customHeight="1" x14ac:dyDescent="0.15">
      <c r="A570" s="1"/>
      <c r="B570" s="2"/>
    </row>
    <row r="571" spans="1:2" ht="12.75" customHeight="1" x14ac:dyDescent="0.15">
      <c r="A571" s="1"/>
      <c r="B571" s="2"/>
    </row>
    <row r="572" spans="1:2" ht="12.75" customHeight="1" x14ac:dyDescent="0.15">
      <c r="A572" s="1"/>
      <c r="B572" s="2"/>
    </row>
    <row r="573" spans="1:2" ht="12.75" customHeight="1" x14ac:dyDescent="0.15">
      <c r="A573" s="1"/>
      <c r="B573" s="2"/>
    </row>
    <row r="574" spans="1:2" ht="12.75" customHeight="1" x14ac:dyDescent="0.15">
      <c r="A574" s="1"/>
      <c r="B574" s="2"/>
    </row>
    <row r="575" spans="1:2" ht="12.75" customHeight="1" x14ac:dyDescent="0.15">
      <c r="A575" s="1"/>
      <c r="B575" s="2"/>
    </row>
    <row r="576" spans="1:2" ht="12.75" customHeight="1" x14ac:dyDescent="0.15">
      <c r="A576" s="1"/>
      <c r="B576" s="2"/>
    </row>
    <row r="577" spans="1:2" ht="12.75" customHeight="1" x14ac:dyDescent="0.15">
      <c r="A577" s="1"/>
      <c r="B577" s="2"/>
    </row>
    <row r="578" spans="1:2" ht="12.75" customHeight="1" x14ac:dyDescent="0.15">
      <c r="A578" s="1"/>
      <c r="B578" s="2"/>
    </row>
    <row r="579" spans="1:2" ht="12.75" customHeight="1" x14ac:dyDescent="0.15">
      <c r="A579" s="1"/>
      <c r="B579" s="2"/>
    </row>
    <row r="580" spans="1:2" ht="12.75" customHeight="1" x14ac:dyDescent="0.15">
      <c r="A580" s="1"/>
      <c r="B580" s="2"/>
    </row>
    <row r="581" spans="1:2" ht="12.75" customHeight="1" x14ac:dyDescent="0.15">
      <c r="A581" s="1"/>
      <c r="B581" s="2"/>
    </row>
    <row r="582" spans="1:2" ht="12.75" customHeight="1" x14ac:dyDescent="0.15">
      <c r="A582" s="1"/>
      <c r="B582" s="2"/>
    </row>
    <row r="583" spans="1:2" ht="12.75" customHeight="1" x14ac:dyDescent="0.15">
      <c r="A583" s="1"/>
      <c r="B583" s="2"/>
    </row>
    <row r="584" spans="1:2" ht="12.75" customHeight="1" x14ac:dyDescent="0.15">
      <c r="A584" s="1"/>
      <c r="B584" s="2"/>
    </row>
    <row r="585" spans="1:2" ht="12.75" customHeight="1" x14ac:dyDescent="0.15">
      <c r="A585" s="1"/>
      <c r="B585" s="2"/>
    </row>
    <row r="586" spans="1:2" ht="12.75" customHeight="1" x14ac:dyDescent="0.15">
      <c r="A586" s="1"/>
      <c r="B586" s="2"/>
    </row>
    <row r="587" spans="1:2" ht="12.75" customHeight="1" x14ac:dyDescent="0.15">
      <c r="A587" s="1"/>
      <c r="B587" s="2"/>
    </row>
    <row r="588" spans="1:2" ht="12.75" customHeight="1" x14ac:dyDescent="0.15">
      <c r="A588" s="1"/>
      <c r="B588" s="2"/>
    </row>
    <row r="589" spans="1:2" ht="12.75" customHeight="1" x14ac:dyDescent="0.15">
      <c r="A589" s="1"/>
      <c r="B589" s="2"/>
    </row>
    <row r="590" spans="1:2" ht="12.75" customHeight="1" x14ac:dyDescent="0.15">
      <c r="A590" s="1"/>
      <c r="B590" s="2"/>
    </row>
    <row r="591" spans="1:2" ht="12.75" customHeight="1" x14ac:dyDescent="0.15">
      <c r="A591" s="1"/>
      <c r="B591" s="2"/>
    </row>
    <row r="592" spans="1:2" ht="12.75" customHeight="1" x14ac:dyDescent="0.15">
      <c r="A592" s="1"/>
      <c r="B592" s="2"/>
    </row>
    <row r="593" spans="1:2" ht="12.75" customHeight="1" x14ac:dyDescent="0.15">
      <c r="A593" s="1"/>
      <c r="B593" s="2"/>
    </row>
    <row r="594" spans="1:2" ht="12.75" customHeight="1" x14ac:dyDescent="0.15">
      <c r="A594" s="1"/>
      <c r="B594" s="2"/>
    </row>
    <row r="595" spans="1:2" ht="12.75" customHeight="1" x14ac:dyDescent="0.15">
      <c r="A595" s="1"/>
      <c r="B595" s="2"/>
    </row>
    <row r="596" spans="1:2" ht="12.75" customHeight="1" x14ac:dyDescent="0.15">
      <c r="A596" s="1"/>
      <c r="B596" s="2"/>
    </row>
    <row r="597" spans="1:2" ht="12.75" customHeight="1" x14ac:dyDescent="0.15">
      <c r="A597" s="1"/>
      <c r="B597" s="2"/>
    </row>
    <row r="598" spans="1:2" ht="12.75" customHeight="1" x14ac:dyDescent="0.15">
      <c r="A598" s="1"/>
      <c r="B598" s="2"/>
    </row>
    <row r="599" spans="1:2" ht="12.75" customHeight="1" x14ac:dyDescent="0.15">
      <c r="A599" s="1"/>
      <c r="B599" s="2"/>
    </row>
    <row r="600" spans="1:2" ht="12.75" customHeight="1" x14ac:dyDescent="0.15">
      <c r="A600" s="1"/>
      <c r="B600" s="2"/>
    </row>
    <row r="601" spans="1:2" ht="12.75" customHeight="1" x14ac:dyDescent="0.15">
      <c r="A601" s="1"/>
      <c r="B601" s="2"/>
    </row>
    <row r="602" spans="1:2" ht="12.75" customHeight="1" x14ac:dyDescent="0.15">
      <c r="A602" s="1"/>
      <c r="B602" s="2"/>
    </row>
    <row r="603" spans="1:2" ht="12.75" customHeight="1" x14ac:dyDescent="0.15">
      <c r="A603" s="1"/>
      <c r="B603" s="2"/>
    </row>
    <row r="604" spans="1:2" ht="12.75" customHeight="1" x14ac:dyDescent="0.15">
      <c r="A604" s="1"/>
      <c r="B604" s="2"/>
    </row>
    <row r="605" spans="1:2" ht="12.75" customHeight="1" x14ac:dyDescent="0.15">
      <c r="A605" s="1"/>
      <c r="B605" s="2"/>
    </row>
    <row r="606" spans="1:2" ht="12.75" customHeight="1" x14ac:dyDescent="0.15">
      <c r="A606" s="1"/>
      <c r="B606" s="2"/>
    </row>
    <row r="607" spans="1:2" ht="12.75" customHeight="1" x14ac:dyDescent="0.15">
      <c r="A607" s="1"/>
      <c r="B607" s="2"/>
    </row>
    <row r="608" spans="1:2" ht="12.75" customHeight="1" x14ac:dyDescent="0.15">
      <c r="A608" s="1"/>
      <c r="B608" s="2"/>
    </row>
    <row r="609" spans="1:2" ht="12.75" customHeight="1" x14ac:dyDescent="0.15">
      <c r="A609" s="1"/>
      <c r="B609" s="2"/>
    </row>
    <row r="610" spans="1:2" ht="12.75" customHeight="1" x14ac:dyDescent="0.15">
      <c r="A610" s="1"/>
      <c r="B610" s="2"/>
    </row>
    <row r="611" spans="1:2" ht="12.75" customHeight="1" x14ac:dyDescent="0.15">
      <c r="A611" s="1"/>
      <c r="B611" s="2"/>
    </row>
    <row r="612" spans="1:2" ht="12.75" customHeight="1" x14ac:dyDescent="0.15">
      <c r="A612" s="1"/>
      <c r="B612" s="2"/>
    </row>
    <row r="613" spans="1:2" ht="12.75" customHeight="1" x14ac:dyDescent="0.15">
      <c r="A613" s="1"/>
      <c r="B613" s="2"/>
    </row>
    <row r="614" spans="1:2" ht="12.75" customHeight="1" x14ac:dyDescent="0.15">
      <c r="A614" s="1"/>
      <c r="B614" s="2"/>
    </row>
    <row r="615" spans="1:2" ht="12.75" customHeight="1" x14ac:dyDescent="0.15">
      <c r="A615" s="1"/>
      <c r="B615" s="2"/>
    </row>
    <row r="616" spans="1:2" ht="12.75" customHeight="1" x14ac:dyDescent="0.15">
      <c r="A616" s="1"/>
      <c r="B616" s="2"/>
    </row>
    <row r="617" spans="1:2" ht="12.75" customHeight="1" x14ac:dyDescent="0.15">
      <c r="A617" s="1"/>
      <c r="B617" s="2"/>
    </row>
    <row r="618" spans="1:2" ht="12.75" customHeight="1" x14ac:dyDescent="0.15">
      <c r="A618" s="1"/>
      <c r="B618" s="2"/>
    </row>
    <row r="619" spans="1:2" ht="12.75" customHeight="1" x14ac:dyDescent="0.15">
      <c r="A619" s="1"/>
      <c r="B619" s="2"/>
    </row>
    <row r="620" spans="1:2" ht="12.75" customHeight="1" x14ac:dyDescent="0.15">
      <c r="A620" s="1"/>
      <c r="B620" s="2"/>
    </row>
    <row r="621" spans="1:2" ht="12.75" customHeight="1" x14ac:dyDescent="0.15">
      <c r="A621" s="1"/>
      <c r="B621" s="2"/>
    </row>
    <row r="622" spans="1:2" ht="12.75" customHeight="1" x14ac:dyDescent="0.15">
      <c r="A622" s="1"/>
      <c r="B622" s="2"/>
    </row>
    <row r="623" spans="1:2" ht="12.75" customHeight="1" x14ac:dyDescent="0.15">
      <c r="A623" s="1"/>
      <c r="B623" s="2"/>
    </row>
    <row r="624" spans="1:2" ht="12.75" customHeight="1" x14ac:dyDescent="0.15">
      <c r="A624" s="1"/>
      <c r="B624" s="2"/>
    </row>
    <row r="625" spans="1:2" ht="12.75" customHeight="1" x14ac:dyDescent="0.15">
      <c r="A625" s="1"/>
      <c r="B625" s="2"/>
    </row>
    <row r="626" spans="1:2" ht="12.75" customHeight="1" x14ac:dyDescent="0.15">
      <c r="A626" s="1"/>
      <c r="B626" s="2"/>
    </row>
    <row r="627" spans="1:2" ht="12.75" customHeight="1" x14ac:dyDescent="0.15">
      <c r="A627" s="1"/>
      <c r="B627" s="2"/>
    </row>
    <row r="628" spans="1:2" ht="12.75" customHeight="1" x14ac:dyDescent="0.15">
      <c r="A628" s="1"/>
      <c r="B628" s="2"/>
    </row>
    <row r="629" spans="1:2" ht="12.75" customHeight="1" x14ac:dyDescent="0.15">
      <c r="A629" s="1"/>
      <c r="B629" s="2"/>
    </row>
    <row r="630" spans="1:2" ht="12.75" customHeight="1" x14ac:dyDescent="0.15">
      <c r="A630" s="1"/>
      <c r="B630" s="2"/>
    </row>
    <row r="631" spans="1:2" ht="12.75" customHeight="1" x14ac:dyDescent="0.15">
      <c r="A631" s="1"/>
      <c r="B631" s="2"/>
    </row>
    <row r="632" spans="1:2" ht="12.75" customHeight="1" x14ac:dyDescent="0.15">
      <c r="A632" s="1"/>
      <c r="B632" s="2"/>
    </row>
    <row r="633" spans="1:2" ht="12.75" customHeight="1" x14ac:dyDescent="0.15">
      <c r="A633" s="1"/>
      <c r="B633" s="2"/>
    </row>
    <row r="634" spans="1:2" ht="12.75" customHeight="1" x14ac:dyDescent="0.15">
      <c r="A634" s="1"/>
      <c r="B634" s="2"/>
    </row>
    <row r="635" spans="1:2" ht="12.75" customHeight="1" x14ac:dyDescent="0.15">
      <c r="A635" s="1"/>
      <c r="B635" s="2"/>
    </row>
    <row r="636" spans="1:2" ht="12.75" customHeight="1" x14ac:dyDescent="0.15">
      <c r="A636" s="1"/>
      <c r="B636" s="2"/>
    </row>
    <row r="637" spans="1:2" ht="12.75" customHeight="1" x14ac:dyDescent="0.15">
      <c r="A637" s="1"/>
      <c r="B637" s="2"/>
    </row>
    <row r="638" spans="1:2" ht="12.75" customHeight="1" x14ac:dyDescent="0.15">
      <c r="A638" s="1"/>
      <c r="B638" s="2"/>
    </row>
    <row r="639" spans="1:2" ht="12.75" customHeight="1" x14ac:dyDescent="0.15">
      <c r="A639" s="1"/>
      <c r="B639" s="2"/>
    </row>
    <row r="640" spans="1:2" ht="12.75" customHeight="1" x14ac:dyDescent="0.15">
      <c r="A640" s="1"/>
      <c r="B640" s="2"/>
    </row>
    <row r="641" spans="1:2" ht="12.75" customHeight="1" x14ac:dyDescent="0.15">
      <c r="A641" s="1"/>
      <c r="B641" s="2"/>
    </row>
    <row r="642" spans="1:2" ht="12.75" customHeight="1" x14ac:dyDescent="0.15">
      <c r="A642" s="1"/>
      <c r="B642" s="2"/>
    </row>
    <row r="643" spans="1:2" ht="12.75" customHeight="1" x14ac:dyDescent="0.15">
      <c r="A643" s="1"/>
      <c r="B643" s="2"/>
    </row>
    <row r="644" spans="1:2" ht="12.75" customHeight="1" x14ac:dyDescent="0.15">
      <c r="A644" s="1"/>
      <c r="B644" s="2"/>
    </row>
    <row r="645" spans="1:2" ht="12.75" customHeight="1" x14ac:dyDescent="0.15">
      <c r="A645" s="1"/>
      <c r="B645" s="2"/>
    </row>
    <row r="646" spans="1:2" ht="12.75" customHeight="1" x14ac:dyDescent="0.15">
      <c r="A646" s="1"/>
      <c r="B646" s="2"/>
    </row>
    <row r="647" spans="1:2" ht="12.75" customHeight="1" x14ac:dyDescent="0.15">
      <c r="A647" s="1"/>
      <c r="B647" s="2"/>
    </row>
    <row r="648" spans="1:2" ht="12.75" customHeight="1" x14ac:dyDescent="0.15">
      <c r="A648" s="1"/>
      <c r="B648" s="2"/>
    </row>
    <row r="649" spans="1:2" ht="12.75" customHeight="1" x14ac:dyDescent="0.15">
      <c r="A649" s="1"/>
      <c r="B649" s="2"/>
    </row>
    <row r="650" spans="1:2" ht="12.75" customHeight="1" x14ac:dyDescent="0.15">
      <c r="A650" s="1"/>
      <c r="B650" s="2"/>
    </row>
    <row r="651" spans="1:2" ht="12.75" customHeight="1" x14ac:dyDescent="0.15">
      <c r="A651" s="1"/>
      <c r="B651" s="2"/>
    </row>
    <row r="652" spans="1:2" ht="12.75" customHeight="1" x14ac:dyDescent="0.15">
      <c r="A652" s="1"/>
      <c r="B652" s="2"/>
    </row>
    <row r="653" spans="1:2" ht="12.75" customHeight="1" x14ac:dyDescent="0.15">
      <c r="A653" s="1"/>
      <c r="B653" s="2"/>
    </row>
    <row r="654" spans="1:2" ht="12.75" customHeight="1" x14ac:dyDescent="0.15">
      <c r="A654" s="1"/>
      <c r="B654" s="2"/>
    </row>
    <row r="655" spans="1:2" ht="12.75" customHeight="1" x14ac:dyDescent="0.15">
      <c r="A655" s="1"/>
      <c r="B655" s="2"/>
    </row>
    <row r="656" spans="1:2" ht="12.75" customHeight="1" x14ac:dyDescent="0.15">
      <c r="A656" s="1"/>
      <c r="B656" s="2"/>
    </row>
    <row r="657" spans="1:2" ht="12.75" customHeight="1" x14ac:dyDescent="0.15">
      <c r="A657" s="1"/>
      <c r="B657" s="2"/>
    </row>
    <row r="658" spans="1:2" ht="12.75" customHeight="1" x14ac:dyDescent="0.15">
      <c r="A658" s="1"/>
      <c r="B658" s="2"/>
    </row>
    <row r="659" spans="1:2" ht="12.75" customHeight="1" x14ac:dyDescent="0.15">
      <c r="A659" s="1"/>
      <c r="B659" s="2"/>
    </row>
    <row r="660" spans="1:2" ht="12.75" customHeight="1" x14ac:dyDescent="0.15">
      <c r="A660" s="1"/>
      <c r="B660" s="2"/>
    </row>
    <row r="661" spans="1:2" ht="12.75" customHeight="1" x14ac:dyDescent="0.15">
      <c r="A661" s="1"/>
      <c r="B661" s="2"/>
    </row>
    <row r="662" spans="1:2" ht="12.75" customHeight="1" x14ac:dyDescent="0.15">
      <c r="A662" s="1"/>
      <c r="B662" s="2"/>
    </row>
    <row r="663" spans="1:2" ht="12.75" customHeight="1" x14ac:dyDescent="0.15">
      <c r="A663" s="1"/>
      <c r="B663" s="2"/>
    </row>
    <row r="664" spans="1:2" ht="12.75" customHeight="1" x14ac:dyDescent="0.15">
      <c r="A664" s="1"/>
      <c r="B664" s="2"/>
    </row>
    <row r="665" spans="1:2" ht="12.75" customHeight="1" x14ac:dyDescent="0.15">
      <c r="A665" s="1"/>
      <c r="B665" s="2"/>
    </row>
    <row r="666" spans="1:2" ht="12.75" customHeight="1" x14ac:dyDescent="0.15">
      <c r="A666" s="1"/>
      <c r="B666" s="2"/>
    </row>
    <row r="667" spans="1:2" ht="12.75" customHeight="1" x14ac:dyDescent="0.15">
      <c r="A667" s="1"/>
      <c r="B667" s="2"/>
    </row>
    <row r="668" spans="1:2" ht="12.75" customHeight="1" x14ac:dyDescent="0.15">
      <c r="A668" s="1"/>
      <c r="B668" s="2"/>
    </row>
    <row r="669" spans="1:2" ht="12.75" customHeight="1" x14ac:dyDescent="0.15">
      <c r="A669" s="1"/>
      <c r="B669" s="2"/>
    </row>
    <row r="670" spans="1:2" ht="12.75" customHeight="1" x14ac:dyDescent="0.15">
      <c r="A670" s="1"/>
      <c r="B670" s="2"/>
    </row>
    <row r="671" spans="1:2" ht="12.75" customHeight="1" x14ac:dyDescent="0.15">
      <c r="A671" s="1"/>
      <c r="B671" s="2"/>
    </row>
    <row r="672" spans="1:2" ht="12.75" customHeight="1" x14ac:dyDescent="0.15">
      <c r="A672" s="1"/>
      <c r="B672" s="2"/>
    </row>
    <row r="673" spans="1:2" ht="12.75" customHeight="1" x14ac:dyDescent="0.15">
      <c r="A673" s="1"/>
      <c r="B673" s="2"/>
    </row>
    <row r="674" spans="1:2" ht="12.75" customHeight="1" x14ac:dyDescent="0.15">
      <c r="A674" s="1"/>
      <c r="B674" s="2"/>
    </row>
    <row r="675" spans="1:2" ht="12.75" customHeight="1" x14ac:dyDescent="0.15">
      <c r="A675" s="1"/>
      <c r="B675" s="2"/>
    </row>
    <row r="676" spans="1:2" ht="12.75" customHeight="1" x14ac:dyDescent="0.15">
      <c r="A676" s="1"/>
      <c r="B676" s="2"/>
    </row>
    <row r="677" spans="1:2" ht="12.75" customHeight="1" x14ac:dyDescent="0.15">
      <c r="A677" s="1"/>
      <c r="B677" s="2"/>
    </row>
    <row r="678" spans="1:2" ht="12.75" customHeight="1" x14ac:dyDescent="0.15">
      <c r="A678" s="1"/>
      <c r="B678" s="2"/>
    </row>
    <row r="679" spans="1:2" ht="12.75" customHeight="1" x14ac:dyDescent="0.15">
      <c r="A679" s="1"/>
      <c r="B679" s="2"/>
    </row>
    <row r="680" spans="1:2" ht="12.75" customHeight="1" x14ac:dyDescent="0.15">
      <c r="A680" s="1"/>
      <c r="B680" s="2"/>
    </row>
    <row r="681" spans="1:2" ht="12.75" customHeight="1" x14ac:dyDescent="0.15">
      <c r="A681" s="1"/>
      <c r="B681" s="2"/>
    </row>
    <row r="682" spans="1:2" ht="12.75" customHeight="1" x14ac:dyDescent="0.15">
      <c r="A682" s="1"/>
      <c r="B682" s="2"/>
    </row>
    <row r="683" spans="1:2" ht="12.75" customHeight="1" x14ac:dyDescent="0.15">
      <c r="A683" s="1"/>
      <c r="B683" s="2"/>
    </row>
    <row r="684" spans="1:2" ht="12.75" customHeight="1" x14ac:dyDescent="0.15">
      <c r="A684" s="1"/>
      <c r="B684" s="2"/>
    </row>
    <row r="685" spans="1:2" ht="12.75" customHeight="1" x14ac:dyDescent="0.15">
      <c r="A685" s="1"/>
      <c r="B685" s="2"/>
    </row>
    <row r="686" spans="1:2" ht="12.75" customHeight="1" x14ac:dyDescent="0.15">
      <c r="A686" s="1"/>
      <c r="B686" s="2"/>
    </row>
    <row r="687" spans="1:2" ht="12.75" customHeight="1" x14ac:dyDescent="0.15">
      <c r="A687" s="1"/>
      <c r="B687" s="2"/>
    </row>
    <row r="688" spans="1:2" ht="12.75" customHeight="1" x14ac:dyDescent="0.15">
      <c r="A688" s="1"/>
      <c r="B688" s="2"/>
    </row>
    <row r="689" spans="1:2" ht="12.75" customHeight="1" x14ac:dyDescent="0.15">
      <c r="A689" s="1"/>
      <c r="B689" s="2"/>
    </row>
    <row r="690" spans="1:2" ht="12.75" customHeight="1" x14ac:dyDescent="0.15">
      <c r="A690" s="1"/>
      <c r="B690" s="2"/>
    </row>
    <row r="691" spans="1:2" ht="12.75" customHeight="1" x14ac:dyDescent="0.15">
      <c r="A691" s="1"/>
      <c r="B691" s="2"/>
    </row>
    <row r="692" spans="1:2" ht="12.75" customHeight="1" x14ac:dyDescent="0.15">
      <c r="A692" s="1"/>
      <c r="B692" s="2"/>
    </row>
    <row r="693" spans="1:2" ht="12.75" customHeight="1" x14ac:dyDescent="0.15">
      <c r="A693" s="1"/>
      <c r="B693" s="2"/>
    </row>
    <row r="694" spans="1:2" ht="12.75" customHeight="1" x14ac:dyDescent="0.15">
      <c r="A694" s="1"/>
      <c r="B694" s="2"/>
    </row>
    <row r="695" spans="1:2" ht="12.75" customHeight="1" x14ac:dyDescent="0.15">
      <c r="A695" s="1"/>
      <c r="B695" s="2"/>
    </row>
    <row r="696" spans="1:2" ht="12.75" customHeight="1" x14ac:dyDescent="0.15">
      <c r="A696" s="1"/>
      <c r="B696" s="2"/>
    </row>
    <row r="697" spans="1:2" ht="12.75" customHeight="1" x14ac:dyDescent="0.15">
      <c r="A697" s="1"/>
      <c r="B697" s="2"/>
    </row>
    <row r="698" spans="1:2" ht="12.75" customHeight="1" x14ac:dyDescent="0.15">
      <c r="A698" s="1"/>
      <c r="B698" s="2"/>
    </row>
    <row r="699" spans="1:2" ht="12.75" customHeight="1" x14ac:dyDescent="0.15">
      <c r="A699" s="1"/>
      <c r="B699" s="2"/>
    </row>
    <row r="700" spans="1:2" ht="12.75" customHeight="1" x14ac:dyDescent="0.15">
      <c r="A700" s="1"/>
      <c r="B700" s="2"/>
    </row>
    <row r="701" spans="1:2" ht="12.75" customHeight="1" x14ac:dyDescent="0.15">
      <c r="A701" s="1"/>
      <c r="B701" s="2"/>
    </row>
    <row r="702" spans="1:2" ht="12.75" customHeight="1" x14ac:dyDescent="0.15">
      <c r="A702" s="1"/>
      <c r="B702" s="2"/>
    </row>
    <row r="703" spans="1:2" ht="12.75" customHeight="1" x14ac:dyDescent="0.15">
      <c r="A703" s="1"/>
      <c r="B703" s="2"/>
    </row>
    <row r="704" spans="1:2" ht="12.75" customHeight="1" x14ac:dyDescent="0.15">
      <c r="A704" s="1"/>
      <c r="B704" s="2"/>
    </row>
    <row r="705" spans="1:2" ht="12.75" customHeight="1" x14ac:dyDescent="0.15">
      <c r="A705" s="1"/>
      <c r="B705" s="2"/>
    </row>
    <row r="706" spans="1:2" ht="12.75" customHeight="1" x14ac:dyDescent="0.15">
      <c r="A706" s="1"/>
      <c r="B706" s="2"/>
    </row>
    <row r="707" spans="1:2" ht="12.75" customHeight="1" x14ac:dyDescent="0.15">
      <c r="A707" s="1"/>
      <c r="B707" s="2"/>
    </row>
    <row r="708" spans="1:2" ht="12.75" customHeight="1" x14ac:dyDescent="0.15">
      <c r="A708" s="1"/>
      <c r="B708" s="2"/>
    </row>
    <row r="709" spans="1:2" ht="12.75" customHeight="1" x14ac:dyDescent="0.15">
      <c r="A709" s="1"/>
      <c r="B709" s="2"/>
    </row>
    <row r="710" spans="1:2" ht="12.75" customHeight="1" x14ac:dyDescent="0.15">
      <c r="A710" s="1"/>
      <c r="B710" s="2"/>
    </row>
    <row r="711" spans="1:2" ht="12.75" customHeight="1" x14ac:dyDescent="0.15">
      <c r="A711" s="1"/>
      <c r="B711" s="2"/>
    </row>
    <row r="712" spans="1:2" ht="12.75" customHeight="1" x14ac:dyDescent="0.15">
      <c r="A712" s="1"/>
      <c r="B712" s="2"/>
    </row>
    <row r="713" spans="1:2" ht="12.75" customHeight="1" x14ac:dyDescent="0.15">
      <c r="A713" s="1"/>
      <c r="B713" s="2"/>
    </row>
    <row r="714" spans="1:2" ht="12.75" customHeight="1" x14ac:dyDescent="0.15">
      <c r="A714" s="1"/>
      <c r="B714" s="2"/>
    </row>
    <row r="715" spans="1:2" ht="12.75" customHeight="1" x14ac:dyDescent="0.15">
      <c r="A715" s="1"/>
      <c r="B715" s="2"/>
    </row>
    <row r="716" spans="1:2" ht="12.75" customHeight="1" x14ac:dyDescent="0.15">
      <c r="A716" s="1"/>
      <c r="B716" s="2"/>
    </row>
    <row r="717" spans="1:2" ht="12.75" customHeight="1" x14ac:dyDescent="0.15">
      <c r="A717" s="1"/>
      <c r="B717" s="2"/>
    </row>
    <row r="718" spans="1:2" ht="12.75" customHeight="1" x14ac:dyDescent="0.15">
      <c r="A718" s="1"/>
      <c r="B718" s="2"/>
    </row>
    <row r="719" spans="1:2" ht="12.75" customHeight="1" x14ac:dyDescent="0.15">
      <c r="A719" s="1"/>
      <c r="B719" s="2"/>
    </row>
    <row r="720" spans="1:2" ht="12.75" customHeight="1" x14ac:dyDescent="0.15">
      <c r="A720" s="1"/>
      <c r="B720" s="2"/>
    </row>
    <row r="721" spans="1:2" ht="12.75" customHeight="1" x14ac:dyDescent="0.15">
      <c r="A721" s="1"/>
      <c r="B721" s="2"/>
    </row>
    <row r="722" spans="1:2" ht="12.75" customHeight="1" x14ac:dyDescent="0.15">
      <c r="A722" s="1"/>
      <c r="B722" s="2"/>
    </row>
    <row r="723" spans="1:2" ht="12.75" customHeight="1" x14ac:dyDescent="0.15">
      <c r="A723" s="1"/>
      <c r="B723" s="2"/>
    </row>
    <row r="724" spans="1:2" ht="12.75" customHeight="1" x14ac:dyDescent="0.15">
      <c r="A724" s="1"/>
      <c r="B724" s="2"/>
    </row>
    <row r="725" spans="1:2" ht="12.75" customHeight="1" x14ac:dyDescent="0.15">
      <c r="A725" s="1"/>
      <c r="B725" s="2"/>
    </row>
    <row r="726" spans="1:2" ht="12.75" customHeight="1" x14ac:dyDescent="0.15">
      <c r="A726" s="1"/>
      <c r="B726" s="2"/>
    </row>
    <row r="727" spans="1:2" ht="12.75" customHeight="1" x14ac:dyDescent="0.15">
      <c r="A727" s="1"/>
      <c r="B727" s="2"/>
    </row>
    <row r="728" spans="1:2" ht="12.75" customHeight="1" x14ac:dyDescent="0.15">
      <c r="A728" s="1"/>
      <c r="B728" s="2"/>
    </row>
    <row r="729" spans="1:2" ht="12.75" customHeight="1" x14ac:dyDescent="0.15">
      <c r="A729" s="1"/>
      <c r="B729" s="2"/>
    </row>
    <row r="730" spans="1:2" ht="12.75" customHeight="1" x14ac:dyDescent="0.15">
      <c r="A730" s="1"/>
      <c r="B730" s="2"/>
    </row>
    <row r="731" spans="1:2" ht="12.75" customHeight="1" x14ac:dyDescent="0.15">
      <c r="A731" s="1"/>
      <c r="B731" s="2"/>
    </row>
    <row r="732" spans="1:2" ht="12.75" customHeight="1" x14ac:dyDescent="0.15">
      <c r="A732" s="1"/>
      <c r="B732" s="2"/>
    </row>
    <row r="733" spans="1:2" ht="12.75" customHeight="1" x14ac:dyDescent="0.15">
      <c r="A733" s="1"/>
      <c r="B733" s="2"/>
    </row>
    <row r="734" spans="1:2" ht="12.75" customHeight="1" x14ac:dyDescent="0.15">
      <c r="A734" s="1"/>
      <c r="B734" s="2"/>
    </row>
    <row r="735" spans="1:2" ht="12.75" customHeight="1" x14ac:dyDescent="0.15">
      <c r="A735" s="1"/>
      <c r="B735" s="2"/>
    </row>
    <row r="736" spans="1:2" ht="12.75" customHeight="1" x14ac:dyDescent="0.15">
      <c r="A736" s="1"/>
      <c r="B736" s="2"/>
    </row>
    <row r="737" spans="1:2" ht="12.75" customHeight="1" x14ac:dyDescent="0.15">
      <c r="A737" s="1"/>
      <c r="B737" s="2"/>
    </row>
    <row r="738" spans="1:2" ht="12.75" customHeight="1" x14ac:dyDescent="0.15">
      <c r="A738" s="1"/>
      <c r="B738" s="2"/>
    </row>
    <row r="739" spans="1:2" ht="12.75" customHeight="1" x14ac:dyDescent="0.15">
      <c r="A739" s="1"/>
      <c r="B739" s="2"/>
    </row>
    <row r="740" spans="1:2" ht="12.75" customHeight="1" x14ac:dyDescent="0.15">
      <c r="A740" s="1"/>
      <c r="B740" s="2"/>
    </row>
    <row r="741" spans="1:2" ht="12.75" customHeight="1" x14ac:dyDescent="0.15">
      <c r="A741" s="1"/>
      <c r="B741" s="2"/>
    </row>
    <row r="742" spans="1:2" ht="12.75" customHeight="1" x14ac:dyDescent="0.15">
      <c r="A742" s="1"/>
      <c r="B742" s="2"/>
    </row>
    <row r="743" spans="1:2" ht="12.75" customHeight="1" x14ac:dyDescent="0.15">
      <c r="A743" s="1"/>
      <c r="B743" s="2"/>
    </row>
    <row r="744" spans="1:2" ht="12.75" customHeight="1" x14ac:dyDescent="0.15">
      <c r="A744" s="1"/>
      <c r="B744" s="2"/>
    </row>
    <row r="745" spans="1:2" ht="12.75" customHeight="1" x14ac:dyDescent="0.15">
      <c r="A745" s="1"/>
      <c r="B745" s="2"/>
    </row>
    <row r="746" spans="1:2" ht="12.75" customHeight="1" x14ac:dyDescent="0.15">
      <c r="A746" s="1"/>
      <c r="B746" s="2"/>
    </row>
    <row r="747" spans="1:2" ht="12.75" customHeight="1" x14ac:dyDescent="0.15">
      <c r="A747" s="1"/>
      <c r="B747" s="2"/>
    </row>
    <row r="748" spans="1:2" ht="12.75" customHeight="1" x14ac:dyDescent="0.15">
      <c r="A748" s="1"/>
      <c r="B748" s="2"/>
    </row>
    <row r="749" spans="1:2" ht="12.75" customHeight="1" x14ac:dyDescent="0.15">
      <c r="A749" s="1"/>
      <c r="B749" s="2"/>
    </row>
    <row r="750" spans="1:2" ht="12.75" customHeight="1" x14ac:dyDescent="0.15">
      <c r="A750" s="1"/>
      <c r="B750" s="2"/>
    </row>
    <row r="751" spans="1:2" ht="12.75" customHeight="1" x14ac:dyDescent="0.15">
      <c r="A751" s="1"/>
      <c r="B751" s="2"/>
    </row>
    <row r="752" spans="1:2" ht="12.75" customHeight="1" x14ac:dyDescent="0.15">
      <c r="A752" s="1"/>
      <c r="B752" s="2"/>
    </row>
    <row r="753" spans="1:2" ht="12.75" customHeight="1" x14ac:dyDescent="0.15">
      <c r="A753" s="1"/>
      <c r="B753" s="2"/>
    </row>
    <row r="754" spans="1:2" ht="12.75" customHeight="1" x14ac:dyDescent="0.15">
      <c r="A754" s="1"/>
      <c r="B754" s="2"/>
    </row>
    <row r="755" spans="1:2" ht="12.75" customHeight="1" x14ac:dyDescent="0.15">
      <c r="A755" s="1"/>
      <c r="B755" s="2"/>
    </row>
    <row r="756" spans="1:2" ht="12.75" customHeight="1" x14ac:dyDescent="0.15">
      <c r="A756" s="1"/>
      <c r="B756" s="2"/>
    </row>
    <row r="757" spans="1:2" ht="12.75" customHeight="1" x14ac:dyDescent="0.15">
      <c r="A757" s="1"/>
      <c r="B757" s="2"/>
    </row>
    <row r="758" spans="1:2" ht="12.75" customHeight="1" x14ac:dyDescent="0.15">
      <c r="A758" s="1"/>
      <c r="B758" s="2"/>
    </row>
    <row r="759" spans="1:2" ht="12.75" customHeight="1" x14ac:dyDescent="0.15">
      <c r="A759" s="1"/>
      <c r="B759" s="2"/>
    </row>
    <row r="760" spans="1:2" ht="12.75" customHeight="1" x14ac:dyDescent="0.15">
      <c r="A760" s="1"/>
      <c r="B760" s="2"/>
    </row>
    <row r="761" spans="1:2" ht="12.75" customHeight="1" x14ac:dyDescent="0.15">
      <c r="A761" s="1"/>
      <c r="B761" s="2"/>
    </row>
    <row r="762" spans="1:2" ht="12.75" customHeight="1" x14ac:dyDescent="0.15">
      <c r="A762" s="1"/>
      <c r="B762" s="2"/>
    </row>
    <row r="763" spans="1:2" ht="12.75" customHeight="1" x14ac:dyDescent="0.15">
      <c r="A763" s="1"/>
      <c r="B763" s="2"/>
    </row>
    <row r="764" spans="1:2" ht="12.75" customHeight="1" x14ac:dyDescent="0.15">
      <c r="A764" s="1"/>
      <c r="B764" s="2"/>
    </row>
    <row r="765" spans="1:2" ht="12.75" customHeight="1" x14ac:dyDescent="0.15">
      <c r="A765" s="1"/>
      <c r="B765" s="2"/>
    </row>
    <row r="766" spans="1:2" ht="12.75" customHeight="1" x14ac:dyDescent="0.15">
      <c r="A766" s="1"/>
      <c r="B766" s="2"/>
    </row>
    <row r="767" spans="1:2" ht="12.75" customHeight="1" x14ac:dyDescent="0.15">
      <c r="A767" s="1"/>
      <c r="B767" s="2"/>
    </row>
    <row r="768" spans="1:2" ht="12.75" customHeight="1" x14ac:dyDescent="0.15">
      <c r="A768" s="1"/>
      <c r="B768" s="2"/>
    </row>
    <row r="769" spans="1:2" ht="12.75" customHeight="1" x14ac:dyDescent="0.15">
      <c r="A769" s="1"/>
      <c r="B769" s="2"/>
    </row>
    <row r="770" spans="1:2" ht="12.75" customHeight="1" x14ac:dyDescent="0.15">
      <c r="A770" s="1"/>
      <c r="B770" s="2"/>
    </row>
    <row r="771" spans="1:2" ht="12.75" customHeight="1" x14ac:dyDescent="0.15">
      <c r="A771" s="1"/>
      <c r="B771" s="2"/>
    </row>
    <row r="772" spans="1:2" ht="12.75" customHeight="1" x14ac:dyDescent="0.15">
      <c r="A772" s="1"/>
      <c r="B772" s="2"/>
    </row>
    <row r="773" spans="1:2" ht="12.75" customHeight="1" x14ac:dyDescent="0.15">
      <c r="A773" s="1"/>
      <c r="B773" s="2"/>
    </row>
    <row r="774" spans="1:2" ht="12.75" customHeight="1" x14ac:dyDescent="0.15">
      <c r="A774" s="1"/>
      <c r="B774" s="2"/>
    </row>
    <row r="775" spans="1:2" ht="12.75" customHeight="1" x14ac:dyDescent="0.15">
      <c r="A775" s="1"/>
      <c r="B775" s="2"/>
    </row>
    <row r="776" spans="1:2" ht="12.75" customHeight="1" x14ac:dyDescent="0.15">
      <c r="A776" s="1"/>
      <c r="B776" s="2"/>
    </row>
    <row r="777" spans="1:2" ht="12.75" customHeight="1" x14ac:dyDescent="0.15">
      <c r="A777" s="1"/>
      <c r="B777" s="2"/>
    </row>
    <row r="778" spans="1:2" ht="12.75" customHeight="1" x14ac:dyDescent="0.15">
      <c r="A778" s="1"/>
      <c r="B778" s="2"/>
    </row>
    <row r="779" spans="1:2" ht="12.75" customHeight="1" x14ac:dyDescent="0.15">
      <c r="A779" s="1"/>
      <c r="B779" s="2"/>
    </row>
    <row r="780" spans="1:2" ht="12.75" customHeight="1" x14ac:dyDescent="0.15">
      <c r="A780" s="1"/>
      <c r="B780" s="2"/>
    </row>
    <row r="781" spans="1:2" ht="12.75" customHeight="1" x14ac:dyDescent="0.15">
      <c r="A781" s="1"/>
      <c r="B781" s="2"/>
    </row>
    <row r="782" spans="1:2" ht="12.75" customHeight="1" x14ac:dyDescent="0.15">
      <c r="A782" s="1"/>
      <c r="B782" s="2"/>
    </row>
    <row r="783" spans="1:2" ht="12.75" customHeight="1" x14ac:dyDescent="0.15">
      <c r="A783" s="1"/>
      <c r="B783" s="2"/>
    </row>
    <row r="784" spans="1:2" ht="12.75" customHeight="1" x14ac:dyDescent="0.15">
      <c r="A784" s="1"/>
      <c r="B784" s="2"/>
    </row>
    <row r="785" spans="1:2" ht="12.75" customHeight="1" x14ac:dyDescent="0.15">
      <c r="A785" s="1"/>
      <c r="B785" s="2"/>
    </row>
    <row r="786" spans="1:2" ht="12.75" customHeight="1" x14ac:dyDescent="0.15">
      <c r="A786" s="1"/>
      <c r="B786" s="2"/>
    </row>
    <row r="787" spans="1:2" ht="12.75" customHeight="1" x14ac:dyDescent="0.15">
      <c r="A787" s="1"/>
      <c r="B787" s="2"/>
    </row>
    <row r="788" spans="1:2" ht="12.75" customHeight="1" x14ac:dyDescent="0.15">
      <c r="A788" s="1"/>
      <c r="B788" s="2"/>
    </row>
    <row r="789" spans="1:2" ht="12.75" customHeight="1" x14ac:dyDescent="0.15">
      <c r="A789" s="1"/>
      <c r="B789" s="2"/>
    </row>
    <row r="790" spans="1:2" ht="12.75" customHeight="1" x14ac:dyDescent="0.15">
      <c r="A790" s="1"/>
      <c r="B790" s="2"/>
    </row>
    <row r="791" spans="1:2" ht="12.75" customHeight="1" x14ac:dyDescent="0.15">
      <c r="A791" s="1"/>
      <c r="B791" s="2"/>
    </row>
    <row r="792" spans="1:2" ht="12.75" customHeight="1" x14ac:dyDescent="0.15">
      <c r="A792" s="1"/>
      <c r="B792" s="2"/>
    </row>
    <row r="793" spans="1:2" ht="12.75" customHeight="1" x14ac:dyDescent="0.15">
      <c r="A793" s="1"/>
      <c r="B793" s="2"/>
    </row>
    <row r="794" spans="1:2" ht="12.75" customHeight="1" x14ac:dyDescent="0.15">
      <c r="A794" s="1"/>
      <c r="B794" s="2"/>
    </row>
    <row r="795" spans="1:2" ht="12.75" customHeight="1" x14ac:dyDescent="0.15">
      <c r="A795" s="1"/>
      <c r="B795" s="2"/>
    </row>
    <row r="796" spans="1:2" ht="12.75" customHeight="1" x14ac:dyDescent="0.15">
      <c r="A796" s="1"/>
      <c r="B796" s="2"/>
    </row>
    <row r="797" spans="1:2" ht="12.75" customHeight="1" x14ac:dyDescent="0.15">
      <c r="A797" s="1"/>
      <c r="B797" s="2"/>
    </row>
    <row r="798" spans="1:2" ht="12.75" customHeight="1" x14ac:dyDescent="0.15">
      <c r="A798" s="1"/>
      <c r="B798" s="2"/>
    </row>
    <row r="799" spans="1:2" ht="12.75" customHeight="1" x14ac:dyDescent="0.15">
      <c r="A799" s="1"/>
      <c r="B799" s="2"/>
    </row>
    <row r="800" spans="1:2" ht="12.75" customHeight="1" x14ac:dyDescent="0.15">
      <c r="A800" s="1"/>
      <c r="B800" s="2"/>
    </row>
    <row r="801" spans="1:2" ht="12.75" customHeight="1" x14ac:dyDescent="0.15">
      <c r="A801" s="1"/>
      <c r="B801" s="2"/>
    </row>
    <row r="802" spans="1:2" ht="12.75" customHeight="1" x14ac:dyDescent="0.15">
      <c r="A802" s="1"/>
      <c r="B802" s="2"/>
    </row>
    <row r="803" spans="1:2" ht="12.75" customHeight="1" x14ac:dyDescent="0.15">
      <c r="A803" s="1"/>
      <c r="B803" s="2"/>
    </row>
    <row r="804" spans="1:2" ht="12.75" customHeight="1" x14ac:dyDescent="0.15">
      <c r="A804" s="1"/>
      <c r="B804" s="2"/>
    </row>
    <row r="805" spans="1:2" ht="12.75" customHeight="1" x14ac:dyDescent="0.15">
      <c r="A805" s="1"/>
      <c r="B805" s="2"/>
    </row>
    <row r="806" spans="1:2" ht="12.75" customHeight="1" x14ac:dyDescent="0.15">
      <c r="A806" s="1"/>
      <c r="B806" s="2"/>
    </row>
    <row r="807" spans="1:2" ht="12.75" customHeight="1" x14ac:dyDescent="0.15">
      <c r="A807" s="1"/>
      <c r="B807" s="2"/>
    </row>
    <row r="808" spans="1:2" ht="12.75" customHeight="1" x14ac:dyDescent="0.15">
      <c r="A808" s="1"/>
      <c r="B808" s="2"/>
    </row>
    <row r="809" spans="1:2" ht="12.75" customHeight="1" x14ac:dyDescent="0.15">
      <c r="A809" s="1"/>
      <c r="B809" s="2"/>
    </row>
    <row r="810" spans="1:2" ht="12.75" customHeight="1" x14ac:dyDescent="0.15">
      <c r="A810" s="1"/>
      <c r="B810" s="2"/>
    </row>
    <row r="811" spans="1:2" ht="12.75" customHeight="1" x14ac:dyDescent="0.15">
      <c r="A811" s="1"/>
      <c r="B811" s="2"/>
    </row>
    <row r="812" spans="1:2" ht="12.75" customHeight="1" x14ac:dyDescent="0.15">
      <c r="A812" s="1"/>
      <c r="B812" s="2"/>
    </row>
    <row r="813" spans="1:2" ht="12.75" customHeight="1" x14ac:dyDescent="0.15">
      <c r="A813" s="1"/>
      <c r="B813" s="2"/>
    </row>
    <row r="814" spans="1:2" ht="12.75" customHeight="1" x14ac:dyDescent="0.15">
      <c r="A814" s="1"/>
      <c r="B814" s="2"/>
    </row>
    <row r="815" spans="1:2" ht="12.75" customHeight="1" x14ac:dyDescent="0.15">
      <c r="A815" s="1"/>
      <c r="B815" s="2"/>
    </row>
    <row r="816" spans="1:2" ht="12.75" customHeight="1" x14ac:dyDescent="0.15">
      <c r="A816" s="1"/>
      <c r="B816" s="2"/>
    </row>
    <row r="817" spans="1:2" ht="12.75" customHeight="1" x14ac:dyDescent="0.15">
      <c r="A817" s="1"/>
      <c r="B817" s="2"/>
    </row>
    <row r="818" spans="1:2" ht="12.75" customHeight="1" x14ac:dyDescent="0.15">
      <c r="A818" s="1"/>
      <c r="B818" s="2"/>
    </row>
    <row r="819" spans="1:2" ht="12.75" customHeight="1" x14ac:dyDescent="0.15">
      <c r="A819" s="1"/>
      <c r="B819" s="2"/>
    </row>
    <row r="820" spans="1:2" ht="12.75" customHeight="1" x14ac:dyDescent="0.15">
      <c r="A820" s="1"/>
      <c r="B820" s="2"/>
    </row>
    <row r="821" spans="1:2" ht="12.75" customHeight="1" x14ac:dyDescent="0.15">
      <c r="A821" s="1"/>
      <c r="B821" s="2"/>
    </row>
    <row r="822" spans="1:2" ht="12.75" customHeight="1" x14ac:dyDescent="0.15">
      <c r="A822" s="1"/>
      <c r="B822" s="2"/>
    </row>
    <row r="823" spans="1:2" ht="12.75" customHeight="1" x14ac:dyDescent="0.15">
      <c r="A823" s="1"/>
      <c r="B823" s="2"/>
    </row>
    <row r="824" spans="1:2" ht="12.75" customHeight="1" x14ac:dyDescent="0.15">
      <c r="A824" s="1"/>
      <c r="B824" s="2"/>
    </row>
    <row r="825" spans="1:2" ht="12.75" customHeight="1" x14ac:dyDescent="0.15">
      <c r="A825" s="1"/>
      <c r="B825" s="2"/>
    </row>
    <row r="826" spans="1:2" ht="12.75" customHeight="1" x14ac:dyDescent="0.15">
      <c r="A826" s="1"/>
      <c r="B826" s="2"/>
    </row>
    <row r="827" spans="1:2" ht="12.75" customHeight="1" x14ac:dyDescent="0.15">
      <c r="A827" s="1"/>
      <c r="B827" s="2"/>
    </row>
    <row r="828" spans="1:2" ht="12.75" customHeight="1" x14ac:dyDescent="0.15">
      <c r="A828" s="1"/>
      <c r="B828" s="2"/>
    </row>
    <row r="829" spans="1:2" ht="12.75" customHeight="1" x14ac:dyDescent="0.15">
      <c r="A829" s="1"/>
      <c r="B829" s="2"/>
    </row>
    <row r="830" spans="1:2" ht="12.75" customHeight="1" x14ac:dyDescent="0.15">
      <c r="A830" s="1"/>
      <c r="B830" s="2"/>
    </row>
    <row r="831" spans="1:2" ht="12.75" customHeight="1" x14ac:dyDescent="0.15">
      <c r="A831" s="1"/>
      <c r="B831" s="2"/>
    </row>
    <row r="832" spans="1:2" ht="12.75" customHeight="1" x14ac:dyDescent="0.15">
      <c r="A832" s="1"/>
      <c r="B832" s="2"/>
    </row>
    <row r="833" spans="1:2" ht="12.75" customHeight="1" x14ac:dyDescent="0.15">
      <c r="A833" s="1"/>
      <c r="B833" s="2"/>
    </row>
    <row r="834" spans="1:2" ht="12.75" customHeight="1" x14ac:dyDescent="0.15">
      <c r="A834" s="1"/>
      <c r="B834" s="2"/>
    </row>
    <row r="835" spans="1:2" ht="12.75" customHeight="1" x14ac:dyDescent="0.15">
      <c r="A835" s="1"/>
      <c r="B835" s="2"/>
    </row>
    <row r="836" spans="1:2" ht="12.75" customHeight="1" x14ac:dyDescent="0.15">
      <c r="A836" s="1"/>
      <c r="B836" s="2"/>
    </row>
    <row r="837" spans="1:2" ht="12.75" customHeight="1" x14ac:dyDescent="0.15">
      <c r="A837" s="1"/>
      <c r="B837" s="2"/>
    </row>
    <row r="838" spans="1:2" ht="12.75" customHeight="1" x14ac:dyDescent="0.15">
      <c r="A838" s="1"/>
      <c r="B838" s="2"/>
    </row>
    <row r="839" spans="1:2" ht="12.75" customHeight="1" x14ac:dyDescent="0.15">
      <c r="A839" s="1"/>
      <c r="B839" s="2"/>
    </row>
    <row r="840" spans="1:2" ht="12.75" customHeight="1" x14ac:dyDescent="0.15">
      <c r="A840" s="1"/>
      <c r="B840" s="2"/>
    </row>
    <row r="841" spans="1:2" ht="12.75" customHeight="1" x14ac:dyDescent="0.15">
      <c r="A841" s="1"/>
      <c r="B841" s="2"/>
    </row>
    <row r="842" spans="1:2" ht="12.75" customHeight="1" x14ac:dyDescent="0.15">
      <c r="A842" s="1"/>
      <c r="B842" s="2"/>
    </row>
    <row r="843" spans="1:2" ht="12.75" customHeight="1" x14ac:dyDescent="0.15">
      <c r="A843" s="1"/>
      <c r="B843" s="2"/>
    </row>
    <row r="844" spans="1:2" ht="12.75" customHeight="1" x14ac:dyDescent="0.15">
      <c r="A844" s="1"/>
      <c r="B844" s="2"/>
    </row>
    <row r="845" spans="1:2" ht="12.75" customHeight="1" x14ac:dyDescent="0.15">
      <c r="A845" s="1"/>
      <c r="B845" s="2"/>
    </row>
    <row r="846" spans="1:2" ht="12.75" customHeight="1" x14ac:dyDescent="0.15">
      <c r="A846" s="1"/>
      <c r="B846" s="2"/>
    </row>
    <row r="847" spans="1:2" ht="12.75" customHeight="1" x14ac:dyDescent="0.15">
      <c r="A847" s="1"/>
      <c r="B847" s="2"/>
    </row>
    <row r="848" spans="1:2" ht="12.75" customHeight="1" x14ac:dyDescent="0.15">
      <c r="A848" s="1"/>
      <c r="B848" s="2"/>
    </row>
    <row r="849" spans="1:2" ht="12.75" customHeight="1" x14ac:dyDescent="0.15">
      <c r="A849" s="1"/>
      <c r="B849" s="2"/>
    </row>
    <row r="850" spans="1:2" ht="12.75" customHeight="1" x14ac:dyDescent="0.15">
      <c r="A850" s="1"/>
      <c r="B850" s="2"/>
    </row>
    <row r="851" spans="1:2" ht="12.75" customHeight="1" x14ac:dyDescent="0.15">
      <c r="A851" s="1"/>
      <c r="B851" s="2"/>
    </row>
    <row r="852" spans="1:2" ht="12.75" customHeight="1" x14ac:dyDescent="0.15">
      <c r="A852" s="1"/>
      <c r="B852" s="2"/>
    </row>
    <row r="853" spans="1:2" ht="12.75" customHeight="1" x14ac:dyDescent="0.15">
      <c r="A853" s="1"/>
      <c r="B853" s="2"/>
    </row>
    <row r="854" spans="1:2" ht="12.75" customHeight="1" x14ac:dyDescent="0.15">
      <c r="A854" s="1"/>
      <c r="B854" s="2"/>
    </row>
    <row r="855" spans="1:2" ht="12.75" customHeight="1" x14ac:dyDescent="0.15">
      <c r="A855" s="1"/>
      <c r="B855" s="2"/>
    </row>
    <row r="856" spans="1:2" ht="12.75" customHeight="1" x14ac:dyDescent="0.15">
      <c r="A856" s="1"/>
      <c r="B856" s="2"/>
    </row>
    <row r="857" spans="1:2" ht="12.75" customHeight="1" x14ac:dyDescent="0.15">
      <c r="A857" s="1"/>
      <c r="B857" s="2"/>
    </row>
    <row r="858" spans="1:2" ht="12.75" customHeight="1" x14ac:dyDescent="0.15">
      <c r="A858" s="1"/>
      <c r="B858" s="2"/>
    </row>
    <row r="859" spans="1:2" ht="12.75" customHeight="1" x14ac:dyDescent="0.15">
      <c r="A859" s="1"/>
      <c r="B859" s="2"/>
    </row>
    <row r="860" spans="1:2" ht="12.75" customHeight="1" x14ac:dyDescent="0.15">
      <c r="A860" s="1"/>
      <c r="B860" s="2"/>
    </row>
    <row r="861" spans="1:2" ht="12.75" customHeight="1" x14ac:dyDescent="0.15">
      <c r="A861" s="1"/>
      <c r="B861" s="2"/>
    </row>
    <row r="862" spans="1:2" ht="12.75" customHeight="1" x14ac:dyDescent="0.15">
      <c r="A862" s="1"/>
      <c r="B862" s="2"/>
    </row>
    <row r="863" spans="1:2" ht="12.75" customHeight="1" x14ac:dyDescent="0.15">
      <c r="A863" s="1"/>
      <c r="B863" s="2"/>
    </row>
    <row r="864" spans="1:2" ht="12.75" customHeight="1" x14ac:dyDescent="0.15">
      <c r="A864" s="1"/>
      <c r="B864" s="2"/>
    </row>
    <row r="865" spans="1:2" ht="12.75" customHeight="1" x14ac:dyDescent="0.15">
      <c r="A865" s="1"/>
      <c r="B865" s="2"/>
    </row>
    <row r="866" spans="1:2" ht="12.75" customHeight="1" x14ac:dyDescent="0.15">
      <c r="A866" s="1"/>
      <c r="B866" s="2"/>
    </row>
    <row r="867" spans="1:2" ht="12.75" customHeight="1" x14ac:dyDescent="0.15">
      <c r="A867" s="1"/>
      <c r="B867" s="2"/>
    </row>
    <row r="868" spans="1:2" ht="12.75" customHeight="1" x14ac:dyDescent="0.15">
      <c r="A868" s="1"/>
      <c r="B868" s="2"/>
    </row>
    <row r="869" spans="1:2" ht="12.75" customHeight="1" x14ac:dyDescent="0.15">
      <c r="A869" s="1"/>
      <c r="B869" s="2"/>
    </row>
    <row r="870" spans="1:2" ht="12.75" customHeight="1" x14ac:dyDescent="0.15">
      <c r="A870" s="1"/>
      <c r="B870" s="2"/>
    </row>
    <row r="871" spans="1:2" ht="12.75" customHeight="1" x14ac:dyDescent="0.15">
      <c r="A871" s="1"/>
      <c r="B871" s="2"/>
    </row>
    <row r="872" spans="1:2" ht="12.75" customHeight="1" x14ac:dyDescent="0.15">
      <c r="A872" s="1"/>
      <c r="B872" s="2"/>
    </row>
    <row r="873" spans="1:2" ht="12.75" customHeight="1" x14ac:dyDescent="0.15">
      <c r="A873" s="1"/>
      <c r="B873" s="2"/>
    </row>
    <row r="874" spans="1:2" ht="12.75" customHeight="1" x14ac:dyDescent="0.15">
      <c r="A874" s="1"/>
      <c r="B874" s="2"/>
    </row>
    <row r="875" spans="1:2" ht="12.75" customHeight="1" x14ac:dyDescent="0.15">
      <c r="A875" s="1"/>
      <c r="B875" s="2"/>
    </row>
    <row r="876" spans="1:2" ht="12.75" customHeight="1" x14ac:dyDescent="0.15">
      <c r="A876" s="1"/>
      <c r="B876" s="2"/>
    </row>
    <row r="877" spans="1:2" ht="12.75" customHeight="1" x14ac:dyDescent="0.15">
      <c r="A877" s="1"/>
      <c r="B877" s="2"/>
    </row>
    <row r="878" spans="1:2" ht="12.75" customHeight="1" x14ac:dyDescent="0.15">
      <c r="A878" s="1"/>
      <c r="B878" s="2"/>
    </row>
    <row r="879" spans="1:2" ht="12.75" customHeight="1" x14ac:dyDescent="0.15">
      <c r="A879" s="1"/>
      <c r="B879" s="2"/>
    </row>
    <row r="880" spans="1:2" ht="12.75" customHeight="1" x14ac:dyDescent="0.15">
      <c r="A880" s="1"/>
      <c r="B880" s="2"/>
    </row>
    <row r="881" spans="1:2" ht="12.75" customHeight="1" x14ac:dyDescent="0.15">
      <c r="A881" s="1"/>
      <c r="B881" s="2"/>
    </row>
    <row r="882" spans="1:2" ht="12.75" customHeight="1" x14ac:dyDescent="0.15">
      <c r="A882" s="1"/>
      <c r="B882" s="2"/>
    </row>
    <row r="883" spans="1:2" ht="12.75" customHeight="1" x14ac:dyDescent="0.15">
      <c r="A883" s="1"/>
      <c r="B883" s="2"/>
    </row>
    <row r="884" spans="1:2" ht="12.75" customHeight="1" x14ac:dyDescent="0.15">
      <c r="A884" s="1"/>
      <c r="B884" s="2"/>
    </row>
    <row r="885" spans="1:2" ht="12.75" customHeight="1" x14ac:dyDescent="0.15">
      <c r="A885" s="1"/>
      <c r="B885" s="2"/>
    </row>
    <row r="886" spans="1:2" ht="12.75" customHeight="1" x14ac:dyDescent="0.15">
      <c r="A886" s="1"/>
      <c r="B886" s="2"/>
    </row>
    <row r="887" spans="1:2" ht="12.75" customHeight="1" x14ac:dyDescent="0.15">
      <c r="A887" s="1"/>
      <c r="B887" s="2"/>
    </row>
    <row r="888" spans="1:2" ht="12.75" customHeight="1" x14ac:dyDescent="0.15">
      <c r="A888" s="1"/>
      <c r="B888" s="2"/>
    </row>
    <row r="889" spans="1:2" ht="12.75" customHeight="1" x14ac:dyDescent="0.15">
      <c r="A889" s="1"/>
      <c r="B889" s="2"/>
    </row>
    <row r="890" spans="1:2" ht="12.75" customHeight="1" x14ac:dyDescent="0.15">
      <c r="A890" s="1"/>
      <c r="B890" s="2"/>
    </row>
    <row r="891" spans="1:2" ht="12.75" customHeight="1" x14ac:dyDescent="0.15">
      <c r="A891" s="1"/>
      <c r="B891" s="2"/>
    </row>
    <row r="892" spans="1:2" ht="12.75" customHeight="1" x14ac:dyDescent="0.15">
      <c r="A892" s="1"/>
      <c r="B892" s="2"/>
    </row>
    <row r="893" spans="1:2" ht="12.75" customHeight="1" x14ac:dyDescent="0.15">
      <c r="A893" s="1"/>
      <c r="B893" s="2"/>
    </row>
    <row r="894" spans="1:2" ht="12.75" customHeight="1" x14ac:dyDescent="0.15">
      <c r="A894" s="1"/>
      <c r="B894" s="2"/>
    </row>
    <row r="895" spans="1:2" ht="12.75" customHeight="1" x14ac:dyDescent="0.15">
      <c r="A895" s="1"/>
      <c r="B895" s="2"/>
    </row>
    <row r="896" spans="1:2" ht="12.75" customHeight="1" x14ac:dyDescent="0.15">
      <c r="A896" s="1"/>
      <c r="B896" s="2"/>
    </row>
    <row r="897" spans="1:2" ht="12.75" customHeight="1" x14ac:dyDescent="0.15">
      <c r="A897" s="1"/>
      <c r="B897" s="2"/>
    </row>
    <row r="898" spans="1:2" ht="12.75" customHeight="1" x14ac:dyDescent="0.15">
      <c r="A898" s="1"/>
      <c r="B898" s="2"/>
    </row>
    <row r="899" spans="1:2" ht="12.75" customHeight="1" x14ac:dyDescent="0.15">
      <c r="A899" s="1"/>
      <c r="B899" s="2"/>
    </row>
    <row r="900" spans="1:2" ht="12.75" customHeight="1" x14ac:dyDescent="0.15">
      <c r="A900" s="1"/>
      <c r="B900" s="2"/>
    </row>
    <row r="901" spans="1:2" ht="12.75" customHeight="1" x14ac:dyDescent="0.15">
      <c r="A901" s="1"/>
      <c r="B901" s="2"/>
    </row>
    <row r="902" spans="1:2" ht="12.75" customHeight="1" x14ac:dyDescent="0.15">
      <c r="A902" s="1"/>
      <c r="B902" s="2"/>
    </row>
    <row r="903" spans="1:2" ht="12.75" customHeight="1" x14ac:dyDescent="0.15">
      <c r="A903" s="1"/>
      <c r="B903" s="2"/>
    </row>
    <row r="904" spans="1:2" ht="12.75" customHeight="1" x14ac:dyDescent="0.15">
      <c r="A904" s="1"/>
      <c r="B904" s="2"/>
    </row>
    <row r="905" spans="1:2" ht="12.75" customHeight="1" x14ac:dyDescent="0.15">
      <c r="A905" s="1"/>
      <c r="B905" s="2"/>
    </row>
    <row r="906" spans="1:2" ht="12.75" customHeight="1" x14ac:dyDescent="0.15">
      <c r="A906" s="1"/>
      <c r="B906" s="2"/>
    </row>
    <row r="907" spans="1:2" ht="12.75" customHeight="1" x14ac:dyDescent="0.15">
      <c r="A907" s="1"/>
      <c r="B907" s="2"/>
    </row>
    <row r="908" spans="1:2" ht="12.75" customHeight="1" x14ac:dyDescent="0.15">
      <c r="A908" s="1"/>
      <c r="B908" s="2"/>
    </row>
    <row r="909" spans="1:2" ht="12.75" customHeight="1" x14ac:dyDescent="0.15">
      <c r="A909" s="1"/>
      <c r="B909" s="2"/>
    </row>
    <row r="910" spans="1:2" ht="12.75" customHeight="1" x14ac:dyDescent="0.15">
      <c r="A910" s="1"/>
      <c r="B910" s="2"/>
    </row>
    <row r="911" spans="1:2" ht="12.75" customHeight="1" x14ac:dyDescent="0.15">
      <c r="A911" s="1"/>
      <c r="B911" s="2"/>
    </row>
    <row r="912" spans="1:2" ht="12.75" customHeight="1" x14ac:dyDescent="0.15">
      <c r="A912" s="1"/>
      <c r="B912" s="2"/>
    </row>
    <row r="913" spans="1:2" ht="12.75" customHeight="1" x14ac:dyDescent="0.15">
      <c r="A913" s="1"/>
      <c r="B913" s="2"/>
    </row>
    <row r="914" spans="1:2" ht="12.75" customHeight="1" x14ac:dyDescent="0.15">
      <c r="A914" s="1"/>
      <c r="B914" s="2"/>
    </row>
    <row r="915" spans="1:2" ht="12.75" customHeight="1" x14ac:dyDescent="0.15">
      <c r="A915" s="1"/>
      <c r="B915" s="2"/>
    </row>
    <row r="916" spans="1:2" ht="12.75" customHeight="1" x14ac:dyDescent="0.15">
      <c r="A916" s="1"/>
      <c r="B916" s="2"/>
    </row>
    <row r="917" spans="1:2" ht="12.75" customHeight="1" x14ac:dyDescent="0.15">
      <c r="A917" s="1"/>
      <c r="B917" s="2"/>
    </row>
    <row r="918" spans="1:2" ht="12.75" customHeight="1" x14ac:dyDescent="0.15">
      <c r="A918" s="1"/>
      <c r="B918" s="2"/>
    </row>
    <row r="919" spans="1:2" ht="12.75" customHeight="1" x14ac:dyDescent="0.15">
      <c r="A919" s="1"/>
      <c r="B919" s="2"/>
    </row>
    <row r="920" spans="1:2" ht="12.75" customHeight="1" x14ac:dyDescent="0.15">
      <c r="A920" s="1"/>
      <c r="B920" s="2"/>
    </row>
    <row r="921" spans="1:2" ht="12.75" customHeight="1" x14ac:dyDescent="0.15">
      <c r="A921" s="1"/>
      <c r="B921" s="2"/>
    </row>
    <row r="922" spans="1:2" ht="12.75" customHeight="1" x14ac:dyDescent="0.15">
      <c r="A922" s="1"/>
      <c r="B922" s="2"/>
    </row>
    <row r="923" spans="1:2" ht="12.75" customHeight="1" x14ac:dyDescent="0.15">
      <c r="A923" s="1"/>
      <c r="B923" s="2"/>
    </row>
    <row r="924" spans="1:2" ht="12.75" customHeight="1" x14ac:dyDescent="0.15">
      <c r="A924" s="1"/>
      <c r="B924" s="2"/>
    </row>
    <row r="925" spans="1:2" ht="12.75" customHeight="1" x14ac:dyDescent="0.15">
      <c r="A925" s="1"/>
      <c r="B925" s="2"/>
    </row>
    <row r="926" spans="1:2" ht="12.75" customHeight="1" x14ac:dyDescent="0.15">
      <c r="A926" s="1"/>
      <c r="B926" s="2"/>
    </row>
    <row r="927" spans="1:2" ht="12.75" customHeight="1" x14ac:dyDescent="0.15">
      <c r="A927" s="1"/>
      <c r="B927" s="2"/>
    </row>
    <row r="928" spans="1:2" ht="12.75" customHeight="1" x14ac:dyDescent="0.15">
      <c r="A928" s="1"/>
      <c r="B928" s="2"/>
    </row>
    <row r="929" spans="1:2" ht="12.75" customHeight="1" x14ac:dyDescent="0.15">
      <c r="A929" s="1"/>
      <c r="B929" s="2"/>
    </row>
    <row r="930" spans="1:2" ht="12.75" customHeight="1" x14ac:dyDescent="0.15">
      <c r="A930" s="1"/>
      <c r="B930" s="2"/>
    </row>
    <row r="931" spans="1:2" ht="12.75" customHeight="1" x14ac:dyDescent="0.15">
      <c r="A931" s="1"/>
      <c r="B931" s="2"/>
    </row>
    <row r="932" spans="1:2" ht="12.75" customHeight="1" x14ac:dyDescent="0.15">
      <c r="A932" s="1"/>
      <c r="B932" s="2"/>
    </row>
    <row r="933" spans="1:2" ht="12.75" customHeight="1" x14ac:dyDescent="0.15">
      <c r="A933" s="1"/>
      <c r="B933" s="2"/>
    </row>
    <row r="934" spans="1:2" ht="12.75" customHeight="1" x14ac:dyDescent="0.15">
      <c r="A934" s="1"/>
      <c r="B934" s="2"/>
    </row>
    <row r="935" spans="1:2" ht="12.75" customHeight="1" x14ac:dyDescent="0.15">
      <c r="A935" s="1"/>
      <c r="B935" s="2"/>
    </row>
    <row r="936" spans="1:2" ht="12.75" customHeight="1" x14ac:dyDescent="0.15">
      <c r="A936" s="1"/>
      <c r="B936" s="2"/>
    </row>
    <row r="937" spans="1:2" ht="12.75" customHeight="1" x14ac:dyDescent="0.15">
      <c r="A937" s="1"/>
      <c r="B937" s="2"/>
    </row>
    <row r="938" spans="1:2" ht="12.75" customHeight="1" x14ac:dyDescent="0.15">
      <c r="A938" s="1"/>
      <c r="B938" s="2"/>
    </row>
    <row r="939" spans="1:2" ht="12.75" customHeight="1" x14ac:dyDescent="0.15">
      <c r="A939" s="1"/>
      <c r="B939" s="2"/>
    </row>
    <row r="940" spans="1:2" ht="12.75" customHeight="1" x14ac:dyDescent="0.15">
      <c r="A940" s="1"/>
      <c r="B940" s="2"/>
    </row>
    <row r="941" spans="1:2" ht="12.75" customHeight="1" x14ac:dyDescent="0.15">
      <c r="A941" s="1"/>
      <c r="B941" s="2"/>
    </row>
    <row r="942" spans="1:2" ht="12.75" customHeight="1" x14ac:dyDescent="0.15">
      <c r="A942" s="1"/>
      <c r="B942" s="2"/>
    </row>
    <row r="943" spans="1:2" ht="12.75" customHeight="1" x14ac:dyDescent="0.15">
      <c r="A943" s="1"/>
      <c r="B943" s="2"/>
    </row>
    <row r="944" spans="1:2" ht="12.75" customHeight="1" x14ac:dyDescent="0.15">
      <c r="A944" s="1"/>
      <c r="B944" s="2"/>
    </row>
    <row r="945" spans="1:2" ht="12.75" customHeight="1" x14ac:dyDescent="0.15">
      <c r="A945" s="1"/>
      <c r="B945" s="2"/>
    </row>
    <row r="946" spans="1:2" ht="12.75" customHeight="1" x14ac:dyDescent="0.15">
      <c r="A946" s="1"/>
      <c r="B946" s="2"/>
    </row>
    <row r="947" spans="1:2" ht="12.75" customHeight="1" x14ac:dyDescent="0.15">
      <c r="A947" s="1"/>
      <c r="B947" s="2"/>
    </row>
    <row r="948" spans="1:2" ht="12.75" customHeight="1" x14ac:dyDescent="0.15">
      <c r="A948" s="1"/>
      <c r="B948" s="2"/>
    </row>
    <row r="949" spans="1:2" ht="12.75" customHeight="1" x14ac:dyDescent="0.15">
      <c r="A949" s="1"/>
      <c r="B949" s="2"/>
    </row>
    <row r="950" spans="1:2" ht="12.75" customHeight="1" x14ac:dyDescent="0.15">
      <c r="A950" s="1"/>
      <c r="B950" s="2"/>
    </row>
    <row r="951" spans="1:2" ht="12.75" customHeight="1" x14ac:dyDescent="0.15">
      <c r="A951" s="1"/>
      <c r="B951" s="2"/>
    </row>
    <row r="952" spans="1:2" ht="12.75" customHeight="1" x14ac:dyDescent="0.15">
      <c r="A952" s="1"/>
      <c r="B952" s="2"/>
    </row>
    <row r="953" spans="1:2" ht="12.75" customHeight="1" x14ac:dyDescent="0.15">
      <c r="A953" s="1"/>
      <c r="B953" s="2"/>
    </row>
    <row r="954" spans="1:2" ht="12.75" customHeight="1" x14ac:dyDescent="0.15">
      <c r="A954" s="1"/>
      <c r="B954" s="2"/>
    </row>
    <row r="955" spans="1:2" ht="12.75" customHeight="1" x14ac:dyDescent="0.15">
      <c r="A955" s="1"/>
      <c r="B955" s="2"/>
    </row>
    <row r="956" spans="1:2" ht="12.75" customHeight="1" x14ac:dyDescent="0.15">
      <c r="A956" s="1"/>
      <c r="B956" s="2"/>
    </row>
    <row r="957" spans="1:2" ht="12.75" customHeight="1" x14ac:dyDescent="0.15">
      <c r="A957" s="1"/>
      <c r="B957" s="2"/>
    </row>
    <row r="958" spans="1:2" ht="12.75" customHeight="1" x14ac:dyDescent="0.15">
      <c r="A958" s="1"/>
      <c r="B958" s="2"/>
    </row>
    <row r="959" spans="1:2" ht="12.75" customHeight="1" x14ac:dyDescent="0.15">
      <c r="A959" s="1"/>
      <c r="B959" s="2"/>
    </row>
    <row r="960" spans="1:2" ht="12.75" customHeight="1" x14ac:dyDescent="0.15">
      <c r="A960" s="1"/>
      <c r="B960" s="2"/>
    </row>
    <row r="961" spans="1:2" ht="12.75" customHeight="1" x14ac:dyDescent="0.15">
      <c r="A961" s="1"/>
      <c r="B961" s="2"/>
    </row>
    <row r="962" spans="1:2" ht="12.75" customHeight="1" x14ac:dyDescent="0.15">
      <c r="A962" s="1"/>
      <c r="B962" s="2"/>
    </row>
    <row r="963" spans="1:2" ht="12.75" customHeight="1" x14ac:dyDescent="0.15">
      <c r="A963" s="1"/>
      <c r="B963" s="2"/>
    </row>
    <row r="964" spans="1:2" ht="12.75" customHeight="1" x14ac:dyDescent="0.15">
      <c r="A964" s="1"/>
      <c r="B964" s="2"/>
    </row>
    <row r="965" spans="1:2" ht="12.75" customHeight="1" x14ac:dyDescent="0.15">
      <c r="A965" s="1"/>
      <c r="B965" s="2"/>
    </row>
    <row r="966" spans="1:2" ht="12.75" customHeight="1" x14ac:dyDescent="0.15">
      <c r="A966" s="1"/>
      <c r="B966" s="2"/>
    </row>
    <row r="967" spans="1:2" ht="12.75" customHeight="1" x14ac:dyDescent="0.15">
      <c r="A967" s="1"/>
      <c r="B967" s="2"/>
    </row>
    <row r="968" spans="1:2" ht="12.75" customHeight="1" x14ac:dyDescent="0.15">
      <c r="A968" s="1"/>
      <c r="B968" s="2"/>
    </row>
    <row r="969" spans="1:2" ht="12.75" customHeight="1" x14ac:dyDescent="0.15">
      <c r="A969" s="1"/>
      <c r="B969" s="2"/>
    </row>
    <row r="970" spans="1:2" ht="12.75" customHeight="1" x14ac:dyDescent="0.15">
      <c r="A970" s="1"/>
      <c r="B970" s="2"/>
    </row>
    <row r="971" spans="1:2" ht="12.75" customHeight="1" x14ac:dyDescent="0.15">
      <c r="A971" s="1"/>
      <c r="B971" s="2"/>
    </row>
    <row r="972" spans="1:2" ht="12.75" customHeight="1" x14ac:dyDescent="0.15">
      <c r="A972" s="1"/>
      <c r="B972" s="2"/>
    </row>
    <row r="973" spans="1:2" ht="12.75" customHeight="1" x14ac:dyDescent="0.15">
      <c r="A973" s="1"/>
      <c r="B973" s="2"/>
    </row>
    <row r="974" spans="1:2" ht="12.75" customHeight="1" x14ac:dyDescent="0.15">
      <c r="A974" s="1"/>
      <c r="B974" s="2"/>
    </row>
    <row r="975" spans="1:2" ht="12.75" customHeight="1" x14ac:dyDescent="0.15">
      <c r="A975" s="1"/>
      <c r="B975" s="2"/>
    </row>
    <row r="976" spans="1:2" ht="12.75" customHeight="1" x14ac:dyDescent="0.15">
      <c r="A976" s="1"/>
      <c r="B976" s="2"/>
    </row>
    <row r="977" spans="1:2" ht="12.75" customHeight="1" x14ac:dyDescent="0.15">
      <c r="A977" s="1"/>
      <c r="B977" s="2"/>
    </row>
    <row r="978" spans="1:2" ht="12.75" customHeight="1" x14ac:dyDescent="0.15">
      <c r="A978" s="1"/>
      <c r="B978" s="2"/>
    </row>
    <row r="979" spans="1:2" ht="12.75" customHeight="1" x14ac:dyDescent="0.15">
      <c r="A979" s="1"/>
      <c r="B979" s="2"/>
    </row>
    <row r="980" spans="1:2" ht="12.75" customHeight="1" x14ac:dyDescent="0.15">
      <c r="A980" s="1"/>
      <c r="B980" s="2"/>
    </row>
    <row r="981" spans="1:2" ht="12.75" customHeight="1" x14ac:dyDescent="0.15">
      <c r="A981" s="1"/>
      <c r="B981" s="2"/>
    </row>
    <row r="982" spans="1:2" ht="12.75" customHeight="1" x14ac:dyDescent="0.15">
      <c r="A982" s="1"/>
      <c r="B982" s="2"/>
    </row>
    <row r="983" spans="1:2" ht="12.75" customHeight="1" x14ac:dyDescent="0.15">
      <c r="A983" s="1"/>
      <c r="B983" s="2"/>
    </row>
    <row r="984" spans="1:2" ht="12.75" customHeight="1" x14ac:dyDescent="0.15">
      <c r="A984" s="1"/>
      <c r="B984" s="2"/>
    </row>
    <row r="985" spans="1:2" ht="12.75" customHeight="1" x14ac:dyDescent="0.15">
      <c r="A985" s="1"/>
      <c r="B985" s="2"/>
    </row>
    <row r="986" spans="1:2" ht="12.75" customHeight="1" x14ac:dyDescent="0.15">
      <c r="A986" s="1"/>
      <c r="B986" s="2"/>
    </row>
    <row r="987" spans="1:2" ht="12.75" customHeight="1" x14ac:dyDescent="0.15">
      <c r="A987" s="1"/>
      <c r="B987" s="2"/>
    </row>
    <row r="988" spans="1:2" ht="12.75" customHeight="1" x14ac:dyDescent="0.15">
      <c r="A988" s="1"/>
      <c r="B988" s="2"/>
    </row>
    <row r="989" spans="1:2" ht="12.75" customHeight="1" x14ac:dyDescent="0.15">
      <c r="A989" s="1"/>
      <c r="B989" s="2"/>
    </row>
    <row r="990" spans="1:2" ht="12.75" customHeight="1" x14ac:dyDescent="0.15">
      <c r="A990" s="1"/>
      <c r="B990" s="2"/>
    </row>
    <row r="991" spans="1:2" ht="12.75" customHeight="1" x14ac:dyDescent="0.15">
      <c r="A991" s="1"/>
      <c r="B991" s="2"/>
    </row>
    <row r="992" spans="1:2" ht="12.75" customHeight="1" x14ac:dyDescent="0.15">
      <c r="A992" s="1"/>
      <c r="B992" s="2"/>
    </row>
    <row r="993" spans="1:2" ht="12.75" customHeight="1" x14ac:dyDescent="0.15">
      <c r="A993" s="1"/>
      <c r="B993" s="2"/>
    </row>
    <row r="994" spans="1:2" ht="12.75" customHeight="1" x14ac:dyDescent="0.15">
      <c r="A994" s="1"/>
      <c r="B994" s="2"/>
    </row>
    <row r="995" spans="1:2" ht="12.75" customHeight="1" x14ac:dyDescent="0.15">
      <c r="A995" s="1"/>
      <c r="B995" s="2"/>
    </row>
    <row r="996" spans="1:2" ht="12.75" customHeight="1" x14ac:dyDescent="0.15">
      <c r="A996" s="1"/>
      <c r="B996" s="2"/>
    </row>
    <row r="997" spans="1:2" ht="12.75" customHeight="1" x14ac:dyDescent="0.15">
      <c r="A997" s="1"/>
      <c r="B997" s="2"/>
    </row>
    <row r="998" spans="1:2" ht="12.75" customHeight="1" x14ac:dyDescent="0.15">
      <c r="A998" s="1"/>
      <c r="B998" s="2"/>
    </row>
    <row r="999" spans="1:2" ht="12.75" customHeight="1" x14ac:dyDescent="0.15">
      <c r="A999" s="1"/>
      <c r="B999" s="2"/>
    </row>
    <row r="1000" spans="1:2" ht="12.75" customHeight="1" x14ac:dyDescent="0.15">
      <c r="A1000" s="1"/>
      <c r="B1000" s="2"/>
    </row>
  </sheetData>
  <pageMargins left="0.7" right="0.7" top="0.75" bottom="0.75" header="0" footer="0"/>
  <pageSetup orientation="landscape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J1000"/>
  <sheetViews>
    <sheetView tabSelected="1" workbookViewId="0">
      <selection activeCell="F10" sqref="F10"/>
    </sheetView>
  </sheetViews>
  <sheetFormatPr baseColWidth="10" defaultColWidth="12.6640625" defaultRowHeight="15" customHeight="1" x14ac:dyDescent="0.15"/>
  <cols>
    <col min="1" max="1" width="20" customWidth="1"/>
    <col min="2" max="6" width="17.6640625" customWidth="1"/>
  </cols>
  <sheetData>
    <row r="1" spans="1:10" ht="15.75" customHeight="1" x14ac:dyDescent="0.15">
      <c r="A1" s="77" t="s">
        <v>154</v>
      </c>
      <c r="B1" s="78"/>
      <c r="C1" s="78"/>
      <c r="D1" s="78"/>
      <c r="E1" s="78"/>
      <c r="F1" s="78"/>
      <c r="G1" s="78"/>
      <c r="H1" s="78"/>
      <c r="J1" s="32" t="s">
        <v>104</v>
      </c>
    </row>
    <row r="2" spans="1:10" ht="15.75" customHeight="1" x14ac:dyDescent="0.15">
      <c r="A2" s="33" t="s">
        <v>0</v>
      </c>
      <c r="B2" s="33" t="s">
        <v>105</v>
      </c>
      <c r="C2" s="33" t="s">
        <v>106</v>
      </c>
      <c r="D2" s="33" t="s">
        <v>107</v>
      </c>
      <c r="E2" s="33" t="s">
        <v>108</v>
      </c>
      <c r="F2" s="33" t="s">
        <v>109</v>
      </c>
      <c r="G2" s="33" t="s">
        <v>110</v>
      </c>
      <c r="H2" s="33" t="s">
        <v>111</v>
      </c>
      <c r="J2" s="22" t="s">
        <v>112</v>
      </c>
    </row>
    <row r="3" spans="1:10" ht="15.75" customHeight="1" x14ac:dyDescent="0.15">
      <c r="A3" s="34" t="s">
        <v>12</v>
      </c>
      <c r="B3" s="35">
        <f>COUNTIF(Thermonix!$A$2:$A$44, A3)</f>
        <v>1</v>
      </c>
      <c r="C3" s="36">
        <f>SUMIF('Human Grading'!$A$2:$A$44, $A3, 'Human Grading'!$C$2:$C$44)</f>
        <v>1</v>
      </c>
      <c r="D3" s="36">
        <f>SUMIF('Human Grading'!$A$45:$A$51, $A3, 'Human Grading'!$C$45:$C$51)</f>
        <v>0</v>
      </c>
      <c r="E3" s="36">
        <f>COUNTIFS('Human Grading'!$A$2:$A$44, $A3, 'Human Grading'!$C$2:$C$44,0)</f>
        <v>0</v>
      </c>
      <c r="F3" s="36">
        <f t="shared" ref="F3:F10" si="0">IFERROR(C3 / (C3 + D3), "Not Available")</f>
        <v>1</v>
      </c>
      <c r="G3" s="36">
        <f t="shared" ref="G3:G10" si="1">IFERROR(C3 / B3, "Not Available")</f>
        <v>1</v>
      </c>
      <c r="H3" s="36">
        <f t="shared" ref="H3:H10" si="2">IFERROR(2*((F3*G3)/(F3+G3)),"Not Available")</f>
        <v>1</v>
      </c>
      <c r="J3" s="26"/>
    </row>
    <row r="4" spans="1:10" ht="15.75" customHeight="1" x14ac:dyDescent="0.15">
      <c r="A4" s="37" t="s">
        <v>2</v>
      </c>
      <c r="B4" s="35">
        <f>COUNTIF(Thermonix!$A$2:$A$44, A4)</f>
        <v>11</v>
      </c>
      <c r="C4" s="36">
        <f>SUMIF('Human Grading'!$A$2:$A$44, $A4, 'Human Grading'!$C$2:$C$44)</f>
        <v>9</v>
      </c>
      <c r="D4" s="36">
        <f>SUMIF('Human Grading'!$A$45:$A$51, $A4, 'Human Grading'!$C$45:$C$51)</f>
        <v>0</v>
      </c>
      <c r="E4" s="36">
        <f>COUNTIFS('Human Grading'!$A$2:$A$44, $A4, 'Human Grading'!$C$2:$C$44,0)</f>
        <v>2</v>
      </c>
      <c r="F4" s="36">
        <f t="shared" si="0"/>
        <v>1</v>
      </c>
      <c r="G4" s="36">
        <f t="shared" si="1"/>
        <v>0.81818181818181823</v>
      </c>
      <c r="H4" s="36">
        <f t="shared" si="2"/>
        <v>0.9</v>
      </c>
      <c r="J4" s="32" t="s">
        <v>113</v>
      </c>
    </row>
    <row r="5" spans="1:10" ht="15.75" customHeight="1" x14ac:dyDescent="0.15">
      <c r="A5" s="37" t="s">
        <v>5</v>
      </c>
      <c r="B5" s="35">
        <f>COUNTIF(Thermonix!$A$2:$A$44, A5)</f>
        <v>17</v>
      </c>
      <c r="C5" s="36">
        <f>SUMIF('Human Grading'!$A$2:$A$44, $A5, 'Human Grading'!$C$2:$C$44)</f>
        <v>10</v>
      </c>
      <c r="D5" s="36">
        <f>SUMIF('Human Grading'!$A$45:$A$51, $A5, 'Human Grading'!$C$45:$C$51)</f>
        <v>0</v>
      </c>
      <c r="E5" s="36">
        <f>COUNTIFS('Human Grading'!$A$2:$A$44, $A5, 'Human Grading'!$C$2:$C$44,0)</f>
        <v>7</v>
      </c>
      <c r="F5" s="36">
        <f t="shared" si="0"/>
        <v>1</v>
      </c>
      <c r="G5" s="36">
        <f t="shared" si="1"/>
        <v>0.58823529411764708</v>
      </c>
      <c r="H5" s="36">
        <f t="shared" si="2"/>
        <v>0.7407407407407407</v>
      </c>
      <c r="J5" s="22" t="s">
        <v>114</v>
      </c>
    </row>
    <row r="6" spans="1:10" ht="15.75" customHeight="1" x14ac:dyDescent="0.15">
      <c r="A6" s="37" t="s">
        <v>24</v>
      </c>
      <c r="B6" s="35">
        <f>COUNTIF(Thermonix!$A$2:$A$44, A6)</f>
        <v>6</v>
      </c>
      <c r="C6" s="36">
        <f>SUMIF('Human Grading'!$A$2:$A$44, $A6, 'Human Grading'!$C$2:$C$44)</f>
        <v>2</v>
      </c>
      <c r="D6" s="36">
        <f>SUMIF('Human Grading'!$A$45:$A$51, $A6, 'Human Grading'!$C$45:$C$51)</f>
        <v>0</v>
      </c>
      <c r="E6" s="36">
        <f>COUNTIFS('Human Grading'!$A$2:$A$44, $A6, 'Human Grading'!$C$2:$C$44,0)</f>
        <v>4</v>
      </c>
      <c r="F6" s="36">
        <f t="shared" si="0"/>
        <v>1</v>
      </c>
      <c r="G6" s="36">
        <f t="shared" si="1"/>
        <v>0.33333333333333331</v>
      </c>
      <c r="H6" s="36">
        <f t="shared" si="2"/>
        <v>0.5</v>
      </c>
    </row>
    <row r="7" spans="1:10" ht="15.75" customHeight="1" x14ac:dyDescent="0.15">
      <c r="A7" s="37" t="s">
        <v>48</v>
      </c>
      <c r="B7" s="35">
        <f>COUNTIF(Thermonix!$A$2:$A$44, A7)</f>
        <v>0</v>
      </c>
      <c r="C7" s="36">
        <f>SUMIF('Human Grading'!$A$2:$A$44, $A7, 'Human Grading'!$C$2:$C$44)</f>
        <v>0</v>
      </c>
      <c r="D7" s="36">
        <f>SUMIF('Human Grading'!$A$45:$A$51, $A7, 'Human Grading'!$C$45:$C$51)</f>
        <v>0</v>
      </c>
      <c r="E7" s="36">
        <f>COUNTIFS('Human Grading'!$A$2:$A$44, $A7, 'Human Grading'!$C$2:$C$44,0)</f>
        <v>0</v>
      </c>
      <c r="F7" s="36" t="str">
        <f t="shared" si="0"/>
        <v>Not Available</v>
      </c>
      <c r="G7" s="36" t="str">
        <f t="shared" si="1"/>
        <v>Not Available</v>
      </c>
      <c r="H7" s="36" t="str">
        <f t="shared" si="2"/>
        <v>Not Available</v>
      </c>
    </row>
    <row r="8" spans="1:10" ht="15.75" customHeight="1" x14ac:dyDescent="0.15">
      <c r="A8" s="37" t="s">
        <v>14</v>
      </c>
      <c r="B8" s="35">
        <f>COUNTIF(Thermonix!$A$2:$A$44, A8)</f>
        <v>1</v>
      </c>
      <c r="C8" s="36">
        <f>SUMIF('Human Grading'!$A$2:$A$44, $A8, 'Human Grading'!$C$2:$C$44)</f>
        <v>0</v>
      </c>
      <c r="D8" s="36">
        <f>SUMIF('Human Grading'!$A$45:$A$51, $A8, 'Human Grading'!$C$45:$C$51)</f>
        <v>0</v>
      </c>
      <c r="E8" s="36">
        <f>COUNTIFS('Human Grading'!$A$2:$A$44, $A8, 'Human Grading'!$C$2:$C$44,0)</f>
        <v>1</v>
      </c>
      <c r="F8" s="36" t="str">
        <f t="shared" si="0"/>
        <v>Not Available</v>
      </c>
      <c r="G8" s="36">
        <f t="shared" si="1"/>
        <v>0</v>
      </c>
      <c r="H8" s="36" t="str">
        <f t="shared" si="2"/>
        <v>Not Available</v>
      </c>
    </row>
    <row r="9" spans="1:10" ht="15.75" customHeight="1" x14ac:dyDescent="0.15">
      <c r="A9" s="37" t="s">
        <v>22</v>
      </c>
      <c r="B9" s="35">
        <f>COUNTIF(Thermonix!$A$2:$A$44, A9)</f>
        <v>7</v>
      </c>
      <c r="C9" s="36">
        <f>SUMIF('Human Grading'!$A$2:$A$44, $A9, 'Human Grading'!$C$2:$C$44)</f>
        <v>2.5</v>
      </c>
      <c r="D9" s="36">
        <f>SUMIF('Human Grading'!$A$45:$A$51, $A9, 'Human Grading'!$C$45:$C$51)</f>
        <v>0</v>
      </c>
      <c r="E9" s="36">
        <f>COUNTIFS('Human Grading'!$A$2:$A$44, $A9, 'Human Grading'!$C$2:$C$44,0)</f>
        <v>4</v>
      </c>
      <c r="F9" s="36">
        <f t="shared" si="0"/>
        <v>1</v>
      </c>
      <c r="G9" s="36">
        <f t="shared" si="1"/>
        <v>0.35714285714285715</v>
      </c>
      <c r="H9" s="36">
        <f t="shared" si="2"/>
        <v>0.52631578947368418</v>
      </c>
    </row>
    <row r="10" spans="1:10" ht="15.75" customHeight="1" x14ac:dyDescent="0.15">
      <c r="A10" s="37" t="s">
        <v>115</v>
      </c>
      <c r="B10" s="38">
        <f t="shared" ref="B10:E10" si="3">SUM(B3:B9)</f>
        <v>43</v>
      </c>
      <c r="C10" s="38">
        <f t="shared" si="3"/>
        <v>24.5</v>
      </c>
      <c r="D10" s="38">
        <f t="shared" si="3"/>
        <v>0</v>
      </c>
      <c r="E10" s="38">
        <f t="shared" si="3"/>
        <v>18</v>
      </c>
      <c r="F10" s="36">
        <f t="shared" si="0"/>
        <v>1</v>
      </c>
      <c r="G10" s="36">
        <f t="shared" si="1"/>
        <v>0.56976744186046513</v>
      </c>
      <c r="H10" s="36">
        <f t="shared" si="2"/>
        <v>0.72592592592592586</v>
      </c>
    </row>
    <row r="11" spans="1:10" ht="15.75" customHeight="1" x14ac:dyDescent="0.15"/>
    <row r="12" spans="1:10" ht="15.75" customHeight="1" x14ac:dyDescent="0.15">
      <c r="A12" s="77" t="s">
        <v>153</v>
      </c>
      <c r="B12" s="78"/>
      <c r="C12" s="78"/>
      <c r="D12" s="78"/>
      <c r="E12" s="78"/>
      <c r="F12" s="78"/>
      <c r="G12" s="78"/>
      <c r="H12" s="78"/>
    </row>
    <row r="13" spans="1:10" ht="15.75" customHeight="1" x14ac:dyDescent="0.15">
      <c r="A13" s="33" t="s">
        <v>0</v>
      </c>
      <c r="B13" s="33" t="s">
        <v>105</v>
      </c>
      <c r="C13" s="33" t="s">
        <v>106</v>
      </c>
      <c r="D13" s="33" t="s">
        <v>107</v>
      </c>
      <c r="E13" s="33" t="s">
        <v>108</v>
      </c>
      <c r="F13" s="33" t="s">
        <v>109</v>
      </c>
      <c r="G13" s="33" t="s">
        <v>110</v>
      </c>
      <c r="H13" s="33" t="s">
        <v>111</v>
      </c>
    </row>
    <row r="14" spans="1:10" ht="15.75" customHeight="1" x14ac:dyDescent="0.15">
      <c r="A14" s="34" t="s">
        <v>116</v>
      </c>
      <c r="B14" s="35">
        <f>COUNTIF(Thermonix!$A$2:$A$44, A14)</f>
        <v>1</v>
      </c>
      <c r="C14" s="36">
        <f>SUMIF('LLM Grading'!$A$2:$A$44, $A14, 'LLM Grading'!$C$2:$C$44)</f>
        <v>1</v>
      </c>
      <c r="D14" s="36">
        <f>SUMIF('LLM Grading'!$A$45:$A$51, $A14, 'LLM Grading'!$C$45:$C$51)</f>
        <v>1</v>
      </c>
      <c r="E14" s="36">
        <f>COUNTIFS('LLM Grading'!$A$2:$A$44, $A14, 'LLM Grading'!$C$2:$C$44,0)</f>
        <v>0</v>
      </c>
      <c r="F14" s="36">
        <f t="shared" ref="F14:F21" si="4">IFERROR(C14 / (C14 + D14), "Not Available")</f>
        <v>0.5</v>
      </c>
      <c r="G14" s="36">
        <f t="shared" ref="G14:G21" si="5">IFERROR(C14 / B14, "Not Available")</f>
        <v>1</v>
      </c>
      <c r="H14" s="36">
        <f t="shared" ref="H14:H21" si="6">IFERROR(2*((F14*G14)/(F14+G14)),"Not Available")</f>
        <v>0.66666666666666663</v>
      </c>
    </row>
    <row r="15" spans="1:10" ht="15.75" customHeight="1" x14ac:dyDescent="0.15">
      <c r="A15" s="37" t="s">
        <v>2</v>
      </c>
      <c r="B15" s="35">
        <f>COUNTIF(Thermonix!$A$2:$A$44, A15)</f>
        <v>11</v>
      </c>
      <c r="C15" s="36">
        <f>SUMIF('LLM Grading'!$A$2:$A$44, $A15, 'LLM Grading'!$C$2:$C$44)</f>
        <v>9.5</v>
      </c>
      <c r="D15" s="36">
        <f>SUMIF('LLM Grading'!$A$45:$A$51, $A15, 'LLM Grading'!$C$45:$C$51)</f>
        <v>0</v>
      </c>
      <c r="E15" s="36">
        <f>COUNTIFS('LLM Grading'!$A$2:$A$44, $A15, 'LLM Grading'!$C$2:$C$44,0)</f>
        <v>1</v>
      </c>
      <c r="F15" s="36">
        <f t="shared" si="4"/>
        <v>1</v>
      </c>
      <c r="G15" s="36">
        <f t="shared" si="5"/>
        <v>0.86363636363636365</v>
      </c>
      <c r="H15" s="36">
        <f t="shared" si="6"/>
        <v>0.92682926829268286</v>
      </c>
    </row>
    <row r="16" spans="1:10" ht="15.75" customHeight="1" x14ac:dyDescent="0.15">
      <c r="A16" s="37" t="s">
        <v>5</v>
      </c>
      <c r="B16" s="35">
        <f>COUNTIF(Thermonix!$A$2:$A$44, A16)</f>
        <v>17</v>
      </c>
      <c r="C16" s="36">
        <f>SUMIF('LLM Grading'!$A$2:$A$44, $A16, 'LLM Grading'!$C$2:$C$44)</f>
        <v>9</v>
      </c>
      <c r="D16" s="36">
        <f>SUMIF('LLM Grading'!$A$45:$A$51, $A16, 'LLM Grading'!$C$45:$C$51)</f>
        <v>0</v>
      </c>
      <c r="E16" s="36">
        <f>COUNTIFS('LLM Grading'!$A$2:$A$44, $A16, 'LLM Grading'!$C$2:$C$44,0)</f>
        <v>6</v>
      </c>
      <c r="F16" s="36">
        <f t="shared" si="4"/>
        <v>1</v>
      </c>
      <c r="G16" s="36">
        <f t="shared" si="5"/>
        <v>0.52941176470588236</v>
      </c>
      <c r="H16" s="36">
        <f t="shared" si="6"/>
        <v>0.6923076923076924</v>
      </c>
    </row>
    <row r="17" spans="1:8" ht="15.75" customHeight="1" x14ac:dyDescent="0.15">
      <c r="A17" s="37" t="s">
        <v>24</v>
      </c>
      <c r="B17" s="35">
        <f>COUNTIF(Thermonix!$A$2:$A$44, A17)</f>
        <v>6</v>
      </c>
      <c r="C17" s="36">
        <f>SUMIF('LLM Grading'!$A$2:$A$44, $A17, 'LLM Grading'!$C$2:$C$44)</f>
        <v>2</v>
      </c>
      <c r="D17" s="36">
        <f>SUMIF('LLM Grading'!$A$45:$A$51, $A17, 'LLM Grading'!$C$45:$C$51)</f>
        <v>1</v>
      </c>
      <c r="E17" s="36">
        <f>COUNTIFS('LLM Grading'!$A$2:$A$44, $A17, 'LLM Grading'!$C$2:$C$44,0)</f>
        <v>4</v>
      </c>
      <c r="F17" s="36">
        <f t="shared" si="4"/>
        <v>0.66666666666666663</v>
      </c>
      <c r="G17" s="36">
        <f t="shared" si="5"/>
        <v>0.33333333333333331</v>
      </c>
      <c r="H17" s="36">
        <f t="shared" si="6"/>
        <v>0.44444444444444442</v>
      </c>
    </row>
    <row r="18" spans="1:8" ht="15.75" customHeight="1" x14ac:dyDescent="0.15">
      <c r="A18" s="37" t="s">
        <v>48</v>
      </c>
      <c r="B18" s="35">
        <f>COUNTIF(Thermonix!$A$2:$A$44, A18)</f>
        <v>0</v>
      </c>
      <c r="C18" s="36">
        <f>SUMIF('LLM Grading'!$A$2:$A$44, $A18, 'LLM Grading'!$C$2:$C$44)</f>
        <v>0</v>
      </c>
      <c r="D18" s="36">
        <f>SUMIF('LLM Grading'!$A$45:$A$51, $A18, 'LLM Grading'!$C$45:$C$51)</f>
        <v>0</v>
      </c>
      <c r="E18" s="36">
        <f>COUNTIFS('LLM Grading'!$A$2:$A$44, $A18, 'LLM Grading'!$C$2:$C$44,0)</f>
        <v>0</v>
      </c>
      <c r="F18" s="36" t="str">
        <f t="shared" si="4"/>
        <v>Not Available</v>
      </c>
      <c r="G18" s="36" t="str">
        <f t="shared" si="5"/>
        <v>Not Available</v>
      </c>
      <c r="H18" s="36" t="str">
        <f t="shared" si="6"/>
        <v>Not Available</v>
      </c>
    </row>
    <row r="19" spans="1:8" ht="15.75" customHeight="1" x14ac:dyDescent="0.15">
      <c r="A19" s="37" t="s">
        <v>14</v>
      </c>
      <c r="B19" s="35">
        <f>COUNTIF(Thermonix!$A$2:$A$44, A19)</f>
        <v>1</v>
      </c>
      <c r="C19" s="36">
        <f>SUMIF('LLM Grading'!$A$2:$A$44, $A19, 'LLM Grading'!$C$2:$C$44)</f>
        <v>0</v>
      </c>
      <c r="D19" s="36">
        <f>SUMIF('LLM Grading'!$A$45:$A$51, $A19, 'LLM Grading'!$C$45:$C$51)</f>
        <v>0</v>
      </c>
      <c r="E19" s="36">
        <f>COUNTIFS('LLM Grading'!$A$2:$A$44, $A19, 'LLM Grading'!$C$2:$C$44,0)</f>
        <v>1</v>
      </c>
      <c r="F19" s="36" t="str">
        <f t="shared" si="4"/>
        <v>Not Available</v>
      </c>
      <c r="G19" s="36">
        <f t="shared" si="5"/>
        <v>0</v>
      </c>
      <c r="H19" s="36" t="str">
        <f t="shared" si="6"/>
        <v>Not Available</v>
      </c>
    </row>
    <row r="20" spans="1:8" ht="15.75" customHeight="1" x14ac:dyDescent="0.15">
      <c r="A20" s="37" t="s">
        <v>22</v>
      </c>
      <c r="B20" s="35">
        <f>COUNTIF(Thermonix!$A$2:$A$44, A20)</f>
        <v>7</v>
      </c>
      <c r="C20" s="36">
        <f>SUMIF('LLM Grading'!$A$2:$A$44, $A20, 'LLM Grading'!$C$2:$C$44)</f>
        <v>3.5</v>
      </c>
      <c r="D20" s="36">
        <f>SUMIF('LLM Grading'!$A$45:$A$51, $A20, 'LLM Grading'!$C$45:$C$51)</f>
        <v>0</v>
      </c>
      <c r="E20" s="36">
        <f>COUNTIFS('LLM Grading'!$A$2:$A$44, $A20, 'LLM Grading'!$C$2:$C$44,0)</f>
        <v>3</v>
      </c>
      <c r="F20" s="36">
        <f t="shared" si="4"/>
        <v>1</v>
      </c>
      <c r="G20" s="36">
        <f t="shared" si="5"/>
        <v>0.5</v>
      </c>
      <c r="H20" s="36">
        <f t="shared" si="6"/>
        <v>0.66666666666666663</v>
      </c>
    </row>
    <row r="21" spans="1:8" ht="15.75" customHeight="1" x14ac:dyDescent="0.15">
      <c r="A21" s="37" t="s">
        <v>115</v>
      </c>
      <c r="B21" s="36">
        <f t="shared" ref="B21:E21" si="7">SUM(B14:B20)</f>
        <v>43</v>
      </c>
      <c r="C21" s="36">
        <f t="shared" si="7"/>
        <v>25</v>
      </c>
      <c r="D21" s="36">
        <f t="shared" si="7"/>
        <v>2</v>
      </c>
      <c r="E21" s="36">
        <f t="shared" si="7"/>
        <v>15</v>
      </c>
      <c r="F21" s="36">
        <f t="shared" si="4"/>
        <v>0.92592592592592593</v>
      </c>
      <c r="G21" s="36">
        <f t="shared" si="5"/>
        <v>0.58139534883720934</v>
      </c>
      <c r="H21" s="36">
        <f t="shared" si="6"/>
        <v>0.71428571428571419</v>
      </c>
    </row>
    <row r="22" spans="1:8" ht="15.75" customHeight="1" x14ac:dyDescent="0.15"/>
    <row r="23" spans="1:8" ht="15.75" customHeight="1" x14ac:dyDescent="0.15"/>
    <row r="24" spans="1:8" ht="15.75" customHeight="1" x14ac:dyDescent="0.15"/>
    <row r="25" spans="1:8" ht="15.75" customHeight="1" x14ac:dyDescent="0.15"/>
    <row r="26" spans="1:8" ht="15.75" customHeight="1" x14ac:dyDescent="0.15"/>
    <row r="27" spans="1:8" ht="15.75" customHeight="1" x14ac:dyDescent="0.15"/>
    <row r="28" spans="1:8" ht="15.75" customHeight="1" x14ac:dyDescent="0.15"/>
    <row r="29" spans="1:8" ht="15.75" customHeight="1" x14ac:dyDescent="0.15"/>
    <row r="30" spans="1:8" ht="15.75" customHeight="1" x14ac:dyDescent="0.15"/>
    <row r="31" spans="1:8" ht="15.75" customHeight="1" x14ac:dyDescent="0.15"/>
    <row r="32" spans="1:8" ht="15.75" customHeight="1" x14ac:dyDescent="0.15"/>
    <row r="33" ht="15.75" customHeight="1" x14ac:dyDescent="0.15"/>
    <row r="34" ht="15.75" customHeight="1" x14ac:dyDescent="0.15"/>
    <row r="35" ht="15.75" customHeight="1" x14ac:dyDescent="0.15"/>
    <row r="36" ht="15.75" customHeight="1" x14ac:dyDescent="0.15"/>
    <row r="37" ht="15.75" customHeight="1" x14ac:dyDescent="0.15"/>
    <row r="38" ht="15.75" customHeight="1" x14ac:dyDescent="0.15"/>
    <row r="39" ht="15.75" customHeight="1" x14ac:dyDescent="0.15"/>
    <row r="40" ht="15.75" customHeight="1" x14ac:dyDescent="0.15"/>
    <row r="41" ht="15.75" customHeight="1" x14ac:dyDescent="0.15"/>
    <row r="42" ht="15.75" customHeight="1" x14ac:dyDescent="0.15"/>
    <row r="43" ht="15.75" customHeight="1" x14ac:dyDescent="0.15"/>
    <row r="44" ht="15.75" customHeight="1" x14ac:dyDescent="0.15"/>
    <row r="45" ht="15.75" customHeight="1" x14ac:dyDescent="0.15"/>
    <row r="46" ht="15.75" customHeight="1" x14ac:dyDescent="0.15"/>
    <row r="47" ht="15.75" customHeight="1" x14ac:dyDescent="0.15"/>
    <row r="48" ht="15.75" customHeight="1" x14ac:dyDescent="0.15"/>
    <row r="49" ht="15.75" customHeight="1" x14ac:dyDescent="0.15"/>
    <row r="50" ht="15.75" customHeight="1" x14ac:dyDescent="0.15"/>
    <row r="51" ht="15.75" customHeight="1" x14ac:dyDescent="0.15"/>
    <row r="52" ht="15.75" customHeight="1" x14ac:dyDescent="0.15"/>
    <row r="53" ht="15.75" customHeight="1" x14ac:dyDescent="0.15"/>
    <row r="54" ht="15.75" customHeight="1" x14ac:dyDescent="0.15"/>
    <row r="55" ht="15.75" customHeight="1" x14ac:dyDescent="0.15"/>
    <row r="56" ht="15.75" customHeight="1" x14ac:dyDescent="0.15"/>
    <row r="57" ht="15.75" customHeight="1" x14ac:dyDescent="0.15"/>
    <row r="58" ht="15.75" customHeight="1" x14ac:dyDescent="0.15"/>
    <row r="59" ht="15.75" customHeight="1" x14ac:dyDescent="0.15"/>
    <row r="60" ht="15.75" customHeight="1" x14ac:dyDescent="0.15"/>
    <row r="61" ht="15.75" customHeight="1" x14ac:dyDescent="0.15"/>
    <row r="62" ht="15.75" customHeight="1" x14ac:dyDescent="0.15"/>
    <row r="63" ht="15.75" customHeight="1" x14ac:dyDescent="0.15"/>
    <row r="64" ht="15.75" customHeight="1" x14ac:dyDescent="0.15"/>
    <row r="65" ht="15.75" customHeight="1" x14ac:dyDescent="0.15"/>
    <row r="66" ht="15.75" customHeight="1" x14ac:dyDescent="0.15"/>
    <row r="67" ht="15.75" customHeight="1" x14ac:dyDescent="0.15"/>
    <row r="68" ht="15.75" customHeight="1" x14ac:dyDescent="0.15"/>
    <row r="69" ht="15.75" customHeight="1" x14ac:dyDescent="0.15"/>
    <row r="70" ht="15.75" customHeight="1" x14ac:dyDescent="0.15"/>
    <row r="71" ht="15.75" customHeight="1" x14ac:dyDescent="0.15"/>
    <row r="72" ht="15.75" customHeight="1" x14ac:dyDescent="0.15"/>
    <row r="73" ht="15.75" customHeight="1" x14ac:dyDescent="0.15"/>
    <row r="74" ht="15.75" customHeight="1" x14ac:dyDescent="0.15"/>
    <row r="75" ht="15.75" customHeight="1" x14ac:dyDescent="0.15"/>
    <row r="76" ht="15.75" customHeight="1" x14ac:dyDescent="0.15"/>
    <row r="77" ht="15.75" customHeight="1" x14ac:dyDescent="0.15"/>
    <row r="78" ht="15.75" customHeight="1" x14ac:dyDescent="0.15"/>
    <row r="79" ht="15.75" customHeight="1" x14ac:dyDescent="0.15"/>
    <row r="80" ht="15.75" customHeight="1" x14ac:dyDescent="0.15"/>
    <row r="81" ht="15.75" customHeight="1" x14ac:dyDescent="0.15"/>
    <row r="82" ht="15.75" customHeight="1" x14ac:dyDescent="0.15"/>
    <row r="83" ht="15.75" customHeight="1" x14ac:dyDescent="0.15"/>
    <row r="84" ht="15.75" customHeight="1" x14ac:dyDescent="0.15"/>
    <row r="85" ht="15.75" customHeight="1" x14ac:dyDescent="0.15"/>
    <row r="86" ht="15.75" customHeight="1" x14ac:dyDescent="0.15"/>
    <row r="87" ht="15.75" customHeight="1" x14ac:dyDescent="0.15"/>
    <row r="88" ht="15.75" customHeight="1" x14ac:dyDescent="0.15"/>
    <row r="89" ht="15.75" customHeight="1" x14ac:dyDescent="0.15"/>
    <row r="90" ht="15.75" customHeight="1" x14ac:dyDescent="0.15"/>
    <row r="91" ht="15.75" customHeight="1" x14ac:dyDescent="0.15"/>
    <row r="92" ht="15.75" customHeight="1" x14ac:dyDescent="0.15"/>
    <row r="93" ht="15.75" customHeight="1" x14ac:dyDescent="0.15"/>
    <row r="94" ht="15.75" customHeight="1" x14ac:dyDescent="0.15"/>
    <row r="95" ht="15.75" customHeight="1" x14ac:dyDescent="0.15"/>
    <row r="96" ht="15.75" customHeight="1" x14ac:dyDescent="0.15"/>
    <row r="97" ht="15.75" customHeight="1" x14ac:dyDescent="0.15"/>
    <row r="98" ht="15.75" customHeight="1" x14ac:dyDescent="0.15"/>
    <row r="99" ht="15.75" customHeight="1" x14ac:dyDescent="0.15"/>
    <row r="100" ht="15.75" customHeight="1" x14ac:dyDescent="0.15"/>
    <row r="101" ht="15.75" customHeight="1" x14ac:dyDescent="0.15"/>
    <row r="102" ht="15.75" customHeight="1" x14ac:dyDescent="0.15"/>
    <row r="103" ht="15.75" customHeight="1" x14ac:dyDescent="0.15"/>
    <row r="104" ht="15.75" customHeight="1" x14ac:dyDescent="0.15"/>
    <row r="105" ht="15.75" customHeight="1" x14ac:dyDescent="0.15"/>
    <row r="106" ht="15.75" customHeight="1" x14ac:dyDescent="0.15"/>
    <row r="107" ht="15.75" customHeight="1" x14ac:dyDescent="0.15"/>
    <row r="108" ht="15.75" customHeight="1" x14ac:dyDescent="0.15"/>
    <row r="109" ht="15.75" customHeight="1" x14ac:dyDescent="0.15"/>
    <row r="110" ht="15.75" customHeight="1" x14ac:dyDescent="0.15"/>
    <row r="111" ht="15.75" customHeight="1" x14ac:dyDescent="0.15"/>
    <row r="112" ht="15.75" customHeight="1" x14ac:dyDescent="0.15"/>
    <row r="113" ht="15.75" customHeight="1" x14ac:dyDescent="0.15"/>
    <row r="114" ht="15.75" customHeight="1" x14ac:dyDescent="0.15"/>
    <row r="115" ht="15.75" customHeight="1" x14ac:dyDescent="0.15"/>
    <row r="116" ht="15.75" customHeight="1" x14ac:dyDescent="0.15"/>
    <row r="117" ht="15.75" customHeight="1" x14ac:dyDescent="0.15"/>
    <row r="118" ht="15.75" customHeight="1" x14ac:dyDescent="0.15"/>
    <row r="119" ht="15.75" customHeight="1" x14ac:dyDescent="0.15"/>
    <row r="120" ht="15.75" customHeight="1" x14ac:dyDescent="0.15"/>
    <row r="121" ht="15.75" customHeight="1" x14ac:dyDescent="0.15"/>
    <row r="122" ht="15.75" customHeight="1" x14ac:dyDescent="0.15"/>
    <row r="123" ht="15.75" customHeight="1" x14ac:dyDescent="0.15"/>
    <row r="124" ht="15.75" customHeight="1" x14ac:dyDescent="0.15"/>
    <row r="125" ht="15.75" customHeight="1" x14ac:dyDescent="0.15"/>
    <row r="126" ht="15.75" customHeight="1" x14ac:dyDescent="0.15"/>
    <row r="127" ht="15.75" customHeight="1" x14ac:dyDescent="0.15"/>
    <row r="128" ht="15.75" customHeight="1" x14ac:dyDescent="0.15"/>
    <row r="129" ht="15.75" customHeight="1" x14ac:dyDescent="0.15"/>
    <row r="130" ht="15.75" customHeight="1" x14ac:dyDescent="0.15"/>
    <row r="131" ht="15.75" customHeight="1" x14ac:dyDescent="0.15"/>
    <row r="132" ht="15.75" customHeight="1" x14ac:dyDescent="0.15"/>
    <row r="133" ht="15.75" customHeight="1" x14ac:dyDescent="0.15"/>
    <row r="134" ht="15.75" customHeight="1" x14ac:dyDescent="0.15"/>
    <row r="135" ht="15.75" customHeight="1" x14ac:dyDescent="0.15"/>
    <row r="136" ht="15.75" customHeight="1" x14ac:dyDescent="0.15"/>
    <row r="137" ht="15.75" customHeight="1" x14ac:dyDescent="0.15"/>
    <row r="138" ht="15.75" customHeight="1" x14ac:dyDescent="0.15"/>
    <row r="139" ht="15.75" customHeight="1" x14ac:dyDescent="0.15"/>
    <row r="140" ht="15.75" customHeight="1" x14ac:dyDescent="0.15"/>
    <row r="141" ht="15.75" customHeight="1" x14ac:dyDescent="0.15"/>
    <row r="142" ht="15.75" customHeight="1" x14ac:dyDescent="0.15"/>
    <row r="143" ht="15.75" customHeight="1" x14ac:dyDescent="0.15"/>
    <row r="144" ht="15.75" customHeight="1" x14ac:dyDescent="0.15"/>
    <row r="145" ht="15.75" customHeight="1" x14ac:dyDescent="0.15"/>
    <row r="146" ht="15.75" customHeight="1" x14ac:dyDescent="0.15"/>
    <row r="147" ht="15.75" customHeight="1" x14ac:dyDescent="0.15"/>
    <row r="148" ht="15.75" customHeight="1" x14ac:dyDescent="0.15"/>
    <row r="149" ht="15.75" customHeight="1" x14ac:dyDescent="0.15"/>
    <row r="150" ht="15.75" customHeight="1" x14ac:dyDescent="0.15"/>
    <row r="151" ht="15.75" customHeight="1" x14ac:dyDescent="0.15"/>
    <row r="152" ht="15.75" customHeight="1" x14ac:dyDescent="0.15"/>
    <row r="153" ht="15.75" customHeight="1" x14ac:dyDescent="0.15"/>
    <row r="154" ht="15.75" customHeight="1" x14ac:dyDescent="0.15"/>
    <row r="155" ht="15.75" customHeight="1" x14ac:dyDescent="0.15"/>
    <row r="156" ht="15.75" customHeight="1" x14ac:dyDescent="0.15"/>
    <row r="157" ht="15.75" customHeight="1" x14ac:dyDescent="0.15"/>
    <row r="158" ht="15.75" customHeight="1" x14ac:dyDescent="0.15"/>
    <row r="159" ht="15.75" customHeight="1" x14ac:dyDescent="0.15"/>
    <row r="160" ht="15.75" customHeight="1" x14ac:dyDescent="0.15"/>
    <row r="161" ht="15.75" customHeight="1" x14ac:dyDescent="0.15"/>
    <row r="162" ht="15.75" customHeight="1" x14ac:dyDescent="0.15"/>
    <row r="163" ht="15.75" customHeight="1" x14ac:dyDescent="0.15"/>
    <row r="164" ht="15.75" customHeight="1" x14ac:dyDescent="0.15"/>
    <row r="165" ht="15.75" customHeight="1" x14ac:dyDescent="0.15"/>
    <row r="166" ht="15.75" customHeight="1" x14ac:dyDescent="0.15"/>
    <row r="167" ht="15.75" customHeight="1" x14ac:dyDescent="0.15"/>
    <row r="168" ht="15.75" customHeight="1" x14ac:dyDescent="0.15"/>
    <row r="169" ht="15.75" customHeight="1" x14ac:dyDescent="0.15"/>
    <row r="170" ht="15.75" customHeight="1" x14ac:dyDescent="0.15"/>
    <row r="171" ht="15.75" customHeight="1" x14ac:dyDescent="0.15"/>
    <row r="172" ht="15.75" customHeight="1" x14ac:dyDescent="0.15"/>
    <row r="173" ht="15.75" customHeight="1" x14ac:dyDescent="0.15"/>
    <row r="174" ht="15.75" customHeight="1" x14ac:dyDescent="0.15"/>
    <row r="175" ht="15.75" customHeight="1" x14ac:dyDescent="0.15"/>
    <row r="176" ht="15.75" customHeight="1" x14ac:dyDescent="0.15"/>
    <row r="177" ht="15.75" customHeight="1" x14ac:dyDescent="0.15"/>
    <row r="178" ht="15.75" customHeight="1" x14ac:dyDescent="0.15"/>
    <row r="179" ht="15.75" customHeight="1" x14ac:dyDescent="0.15"/>
    <row r="180" ht="15.75" customHeight="1" x14ac:dyDescent="0.15"/>
    <row r="181" ht="15.75" customHeight="1" x14ac:dyDescent="0.15"/>
    <row r="182" ht="15.75" customHeight="1" x14ac:dyDescent="0.15"/>
    <row r="183" ht="15.75" customHeight="1" x14ac:dyDescent="0.15"/>
    <row r="184" ht="15.75" customHeight="1" x14ac:dyDescent="0.15"/>
    <row r="185" ht="15.75" customHeight="1" x14ac:dyDescent="0.15"/>
    <row r="186" ht="15.75" customHeight="1" x14ac:dyDescent="0.15"/>
    <row r="187" ht="15.75" customHeight="1" x14ac:dyDescent="0.15"/>
    <row r="188" ht="15.75" customHeight="1" x14ac:dyDescent="0.15"/>
    <row r="189" ht="15.75" customHeight="1" x14ac:dyDescent="0.15"/>
    <row r="190" ht="15.75" customHeight="1" x14ac:dyDescent="0.15"/>
    <row r="191" ht="15.75" customHeight="1" x14ac:dyDescent="0.15"/>
    <row r="192" ht="15.75" customHeight="1" x14ac:dyDescent="0.15"/>
    <row r="193" ht="15.75" customHeight="1" x14ac:dyDescent="0.15"/>
    <row r="194" ht="15.75" customHeight="1" x14ac:dyDescent="0.15"/>
    <row r="195" ht="15.75" customHeight="1" x14ac:dyDescent="0.15"/>
    <row r="196" ht="15.75" customHeight="1" x14ac:dyDescent="0.15"/>
    <row r="197" ht="15.75" customHeight="1" x14ac:dyDescent="0.15"/>
    <row r="198" ht="15.75" customHeight="1" x14ac:dyDescent="0.15"/>
    <row r="199" ht="15.75" customHeight="1" x14ac:dyDescent="0.15"/>
    <row r="200" ht="15.75" customHeight="1" x14ac:dyDescent="0.15"/>
    <row r="201" ht="15.75" customHeight="1" x14ac:dyDescent="0.15"/>
    <row r="202" ht="15.75" customHeight="1" x14ac:dyDescent="0.15"/>
    <row r="203" ht="15.75" customHeight="1" x14ac:dyDescent="0.15"/>
    <row r="204" ht="15.75" customHeight="1" x14ac:dyDescent="0.15"/>
    <row r="205" ht="15.75" customHeight="1" x14ac:dyDescent="0.15"/>
    <row r="206" ht="15.75" customHeight="1" x14ac:dyDescent="0.15"/>
    <row r="207" ht="15.75" customHeight="1" x14ac:dyDescent="0.15"/>
    <row r="208" ht="15.75" customHeight="1" x14ac:dyDescent="0.15"/>
    <row r="209" ht="15.75" customHeight="1" x14ac:dyDescent="0.15"/>
    <row r="210" ht="15.75" customHeight="1" x14ac:dyDescent="0.15"/>
    <row r="211" ht="15.75" customHeight="1" x14ac:dyDescent="0.15"/>
    <row r="212" ht="15.75" customHeight="1" x14ac:dyDescent="0.15"/>
    <row r="213" ht="15.75" customHeight="1" x14ac:dyDescent="0.15"/>
    <row r="214" ht="15.75" customHeight="1" x14ac:dyDescent="0.15"/>
    <row r="215" ht="15.75" customHeight="1" x14ac:dyDescent="0.15"/>
    <row r="216" ht="15.75" customHeight="1" x14ac:dyDescent="0.15"/>
    <row r="217" ht="15.75" customHeight="1" x14ac:dyDescent="0.15"/>
    <row r="218" ht="15.75" customHeight="1" x14ac:dyDescent="0.15"/>
    <row r="219" ht="15.75" customHeight="1" x14ac:dyDescent="0.15"/>
    <row r="220" ht="15.75" customHeight="1" x14ac:dyDescent="0.15"/>
    <row r="221" ht="15.75" customHeight="1" x14ac:dyDescent="0.15"/>
    <row r="222" ht="15.75" customHeight="1" x14ac:dyDescent="0.15"/>
    <row r="223" ht="15.75" customHeight="1" x14ac:dyDescent="0.15"/>
    <row r="224" ht="15.75" customHeight="1" x14ac:dyDescent="0.15"/>
    <row r="225" ht="15.75" customHeight="1" x14ac:dyDescent="0.15"/>
    <row r="226" ht="15.75" customHeight="1" x14ac:dyDescent="0.15"/>
    <row r="227" ht="15.75" customHeight="1" x14ac:dyDescent="0.15"/>
    <row r="228" ht="15.75" customHeight="1" x14ac:dyDescent="0.15"/>
    <row r="229" ht="15.75" customHeight="1" x14ac:dyDescent="0.15"/>
    <row r="230" ht="15.75" customHeight="1" x14ac:dyDescent="0.15"/>
    <row r="231" ht="15.75" customHeight="1" x14ac:dyDescent="0.15"/>
    <row r="232" ht="15.75" customHeight="1" x14ac:dyDescent="0.15"/>
    <row r="233" ht="15.75" customHeight="1" x14ac:dyDescent="0.15"/>
    <row r="234" ht="15.75" customHeight="1" x14ac:dyDescent="0.15"/>
    <row r="235" ht="15.75" customHeight="1" x14ac:dyDescent="0.15"/>
    <row r="236" ht="15.75" customHeight="1" x14ac:dyDescent="0.15"/>
    <row r="237" ht="15.75" customHeight="1" x14ac:dyDescent="0.15"/>
    <row r="238" ht="15.75" customHeight="1" x14ac:dyDescent="0.15"/>
    <row r="239" ht="15.75" customHeight="1" x14ac:dyDescent="0.15"/>
    <row r="240" ht="15.75" customHeight="1" x14ac:dyDescent="0.15"/>
    <row r="241" ht="15.75" customHeight="1" x14ac:dyDescent="0.15"/>
    <row r="242" ht="15.75" customHeight="1" x14ac:dyDescent="0.15"/>
    <row r="243" ht="15.75" customHeight="1" x14ac:dyDescent="0.15"/>
    <row r="244" ht="15.75" customHeight="1" x14ac:dyDescent="0.15"/>
    <row r="245" ht="15.75" customHeight="1" x14ac:dyDescent="0.15"/>
    <row r="246" ht="15.75" customHeight="1" x14ac:dyDescent="0.15"/>
    <row r="247" ht="15.75" customHeight="1" x14ac:dyDescent="0.15"/>
    <row r="248" ht="15.75" customHeight="1" x14ac:dyDescent="0.15"/>
    <row r="249" ht="15.75" customHeight="1" x14ac:dyDescent="0.15"/>
    <row r="250" ht="15.75" customHeight="1" x14ac:dyDescent="0.15"/>
    <row r="251" ht="15.75" customHeight="1" x14ac:dyDescent="0.15"/>
    <row r="252" ht="15.75" customHeight="1" x14ac:dyDescent="0.15"/>
    <row r="253" ht="15.75" customHeight="1" x14ac:dyDescent="0.15"/>
    <row r="254" ht="15.75" customHeight="1" x14ac:dyDescent="0.15"/>
    <row r="255" ht="15.75" customHeight="1" x14ac:dyDescent="0.15"/>
    <row r="256" ht="15.75" customHeight="1" x14ac:dyDescent="0.15"/>
    <row r="257" ht="15.75" customHeight="1" x14ac:dyDescent="0.15"/>
    <row r="258" ht="15.75" customHeight="1" x14ac:dyDescent="0.15"/>
    <row r="259" ht="15.75" customHeight="1" x14ac:dyDescent="0.15"/>
    <row r="260" ht="15.75" customHeight="1" x14ac:dyDescent="0.15"/>
    <row r="261" ht="15.75" customHeight="1" x14ac:dyDescent="0.15"/>
    <row r="262" ht="15.75" customHeight="1" x14ac:dyDescent="0.15"/>
    <row r="263" ht="15.75" customHeight="1" x14ac:dyDescent="0.15"/>
    <row r="264" ht="15.75" customHeight="1" x14ac:dyDescent="0.15"/>
    <row r="265" ht="15.75" customHeight="1" x14ac:dyDescent="0.15"/>
    <row r="266" ht="15.75" customHeight="1" x14ac:dyDescent="0.15"/>
    <row r="267" ht="15.75" customHeight="1" x14ac:dyDescent="0.15"/>
    <row r="268" ht="15.75" customHeight="1" x14ac:dyDescent="0.15"/>
    <row r="269" ht="15.75" customHeight="1" x14ac:dyDescent="0.15"/>
    <row r="270" ht="15.75" customHeight="1" x14ac:dyDescent="0.15"/>
    <row r="271" ht="15.75" customHeight="1" x14ac:dyDescent="0.15"/>
    <row r="27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  <row r="1000" ht="15.75" customHeight="1" x14ac:dyDescent="0.15"/>
  </sheetData>
  <mergeCells count="2">
    <mergeCell ref="A1:H1"/>
    <mergeCell ref="A12:H12"/>
  </mergeCells>
  <pageMargins left="0.7" right="0.7" top="0.75" bottom="0.75" header="0" footer="0"/>
  <pageSetup orientation="landscape"/>
  <tableParts count="2">
    <tablePart r:id="rId1"/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T999"/>
  <sheetViews>
    <sheetView workbookViewId="0">
      <selection activeCell="D1" sqref="D1"/>
    </sheetView>
  </sheetViews>
  <sheetFormatPr baseColWidth="10" defaultColWidth="12.6640625" defaultRowHeight="15" customHeight="1" x14ac:dyDescent="0.15"/>
  <cols>
    <col min="1" max="1" width="14.5" customWidth="1"/>
    <col min="2" max="2" width="41.5" customWidth="1"/>
    <col min="3" max="3" width="10.6640625" customWidth="1"/>
    <col min="4" max="4" width="10.83203125" customWidth="1"/>
    <col min="5" max="11" width="10.6640625" customWidth="1"/>
    <col min="12" max="12" width="27.6640625" customWidth="1"/>
    <col min="14" max="14" width="50" customWidth="1"/>
    <col min="15" max="20" width="10.6640625" customWidth="1"/>
  </cols>
  <sheetData>
    <row r="1" spans="1:20" ht="12.75" customHeight="1" x14ac:dyDescent="0.15">
      <c r="A1" s="1" t="s">
        <v>0</v>
      </c>
      <c r="B1" s="2" t="s">
        <v>1</v>
      </c>
      <c r="C1" s="39" t="s">
        <v>155</v>
      </c>
      <c r="D1" s="39" t="s">
        <v>54</v>
      </c>
      <c r="F1" s="79" t="s">
        <v>117</v>
      </c>
      <c r="G1" s="80"/>
      <c r="H1" s="80"/>
      <c r="I1" s="80"/>
      <c r="L1" s="81" t="s">
        <v>118</v>
      </c>
      <c r="M1" s="82"/>
      <c r="N1" s="82"/>
    </row>
    <row r="2" spans="1:20" ht="12.75" customHeight="1" x14ac:dyDescent="0.15">
      <c r="A2" s="3" t="str">
        <f>Thermonix!A2</f>
        <v>State</v>
      </c>
      <c r="B2" s="4" t="str">
        <f>Thermonix!B2</f>
        <v>initial state (⇒ TransportationMode)</v>
      </c>
      <c r="C2" s="27">
        <f>'Human Grading'!C2</f>
        <v>1</v>
      </c>
      <c r="D2" s="27">
        <f>'LLM Grading'!C2</f>
        <v>1</v>
      </c>
      <c r="F2" s="2" t="s">
        <v>119</v>
      </c>
      <c r="G2" s="40" t="s">
        <v>120</v>
      </c>
      <c r="H2" s="41" t="s">
        <v>121</v>
      </c>
      <c r="I2" s="42" t="s">
        <v>122</v>
      </c>
      <c r="J2" s="43" t="s">
        <v>123</v>
      </c>
      <c r="K2" s="2"/>
      <c r="L2" s="44" t="s">
        <v>124</v>
      </c>
      <c r="M2" s="44" t="s">
        <v>125</v>
      </c>
      <c r="N2" s="44" t="s">
        <v>126</v>
      </c>
    </row>
    <row r="3" spans="1:20" ht="12.75" customHeight="1" x14ac:dyDescent="0.15">
      <c r="A3" s="3" t="str">
        <f>Thermonix!A3</f>
        <v>State</v>
      </c>
      <c r="B3" s="4" t="str">
        <f>Thermonix!B3</f>
        <v>TransportationMode</v>
      </c>
      <c r="C3" s="27">
        <f>'Human Grading'!C3</f>
        <v>1</v>
      </c>
      <c r="D3" s="27">
        <f>'LLM Grading'!C3</f>
        <v>1</v>
      </c>
      <c r="F3" s="45">
        <v>0</v>
      </c>
      <c r="G3" s="46">
        <f>COUNTIFS($C$2:$C$88, $F3, $D$2:$D$88, G$2)</f>
        <v>18</v>
      </c>
      <c r="H3" s="47">
        <f>COUNTIFS($C$2:$C$44, $F3, $D$2:$D$44, H$2)</f>
        <v>4</v>
      </c>
      <c r="I3" s="48">
        <f>COUNTIFS($C$2:$C$44, $F3, $D$2:$D$44, I$2)+MAX(D45-C45,0)+MAX(D46-C46,0)+MAX(D47-C47,0)+MAX(D48-C48,0)+MAX(D49-C49,0)+MAX(D50-C50,0)+MAX(D51-C51,0)</f>
        <v>3</v>
      </c>
      <c r="J3" s="2">
        <f t="shared" ref="J3:J5" si="0">SUM(G3:I3)</f>
        <v>25</v>
      </c>
      <c r="K3" s="2"/>
      <c r="L3" s="49" t="s">
        <v>127</v>
      </c>
      <c r="M3" s="46">
        <f>(G3+H4+I5)/COUNTA($C$2:$C$98)</f>
        <v>0.76</v>
      </c>
      <c r="N3" s="48" t="s">
        <v>128</v>
      </c>
    </row>
    <row r="4" spans="1:20" ht="12.75" customHeight="1" x14ac:dyDescent="0.15">
      <c r="A4" s="3" t="str">
        <f>Thermonix!A4</f>
        <v>Transition</v>
      </c>
      <c r="B4" s="4" t="str">
        <f>Thermonix!B4</f>
        <v>selectorPressed (TransportationMode ⇒ On)</v>
      </c>
      <c r="C4" s="27">
        <f>'Human Grading'!C4</f>
        <v>1</v>
      </c>
      <c r="D4" s="27">
        <f>'LLM Grading'!C4</f>
        <v>1</v>
      </c>
      <c r="F4" s="45">
        <v>0.5</v>
      </c>
      <c r="G4" s="50">
        <f t="shared" ref="G4:I4" si="1">COUNTIFS($C$2:$C$44, $F4, $D$2:$D$44, G$2)</f>
        <v>0</v>
      </c>
      <c r="H4" s="2">
        <f t="shared" si="1"/>
        <v>0</v>
      </c>
      <c r="I4" s="51">
        <f t="shared" si="1"/>
        <v>1</v>
      </c>
      <c r="J4" s="2">
        <f t="shared" si="0"/>
        <v>1</v>
      </c>
      <c r="K4" s="2"/>
      <c r="L4" s="49" t="s">
        <v>129</v>
      </c>
      <c r="M4" s="50">
        <f t="array" ref="M4">SUMPRODUCT(J3:J5/COUNTA($C$2:$C$98), TRANSPOSE(G6:I6)/COUNTA($C$2:$C$98))</f>
        <v>0.43280000000000002</v>
      </c>
      <c r="N4" s="51" t="s">
        <v>130</v>
      </c>
    </row>
    <row r="5" spans="1:20" ht="12.75" customHeight="1" x14ac:dyDescent="0.15">
      <c r="A5" s="3" t="str">
        <f>Thermonix!A5</f>
        <v>State</v>
      </c>
      <c r="B5" s="4" t="str">
        <f>Thermonix!B5</f>
        <v>PreparingOff</v>
      </c>
      <c r="C5" s="27">
        <f>'Human Grading'!C5</f>
        <v>0</v>
      </c>
      <c r="D5" s="27">
        <f>'LLM Grading'!C5</f>
        <v>0</v>
      </c>
      <c r="F5" s="45">
        <v>1</v>
      </c>
      <c r="G5" s="52">
        <f>COUNTIFS($C$2:$C$44, $F5, $D$2:$D$44, G$2)+MAX(C45-D45,0)+MAX(C46-D46,0)+MAX(C47-D47,0)+MAX(C48-D48,0)+MAX(C49-D49,0)+MAX(C50-D50,0)+MAX(C51-D51,0)</f>
        <v>2</v>
      </c>
      <c r="H5" s="53">
        <f>COUNTIFS($C$2:$C$44, $F5, $D$2:$D$44, H$2)</f>
        <v>2</v>
      </c>
      <c r="I5" s="54">
        <f>COUNTIFS($C$2:$C$44, $F5, $D$2:$D$44, I$2)+ SUM(MIN(C45,D45), MIN(C46,D46), MIN(C47,D47), MIN(C48,D48), MIN(C49,D49), MIN(C50,D50), MIN(C51,D51))</f>
        <v>20</v>
      </c>
      <c r="J5" s="2">
        <f t="shared" si="0"/>
        <v>24</v>
      </c>
      <c r="K5" s="2"/>
      <c r="L5" s="49" t="s">
        <v>118</v>
      </c>
      <c r="M5" s="52">
        <f>(M3-M4)/(1-M4)</f>
        <v>0.5768688293370946</v>
      </c>
      <c r="N5" s="54" t="s">
        <v>131</v>
      </c>
    </row>
    <row r="6" spans="1:20" ht="12.75" customHeight="1" x14ac:dyDescent="0.15">
      <c r="A6" s="3" t="str">
        <f>Thermonix!A6</f>
        <v>Transition</v>
      </c>
      <c r="B6" s="4" t="str">
        <f>Thermonix!B6</f>
        <v>selectorReleased (PreparingOff ⇒ On)</v>
      </c>
      <c r="C6" s="27">
        <f>'Human Grading'!C6</f>
        <v>0</v>
      </c>
      <c r="D6" s="27">
        <f>'LLM Grading'!C6</f>
        <v>0</v>
      </c>
      <c r="F6" s="55" t="s">
        <v>132</v>
      </c>
      <c r="G6" s="2">
        <f t="shared" ref="G6:I6" si="2">SUM(G3:G5)</f>
        <v>20</v>
      </c>
      <c r="H6" s="2">
        <f t="shared" si="2"/>
        <v>6</v>
      </c>
      <c r="I6" s="2">
        <f t="shared" si="2"/>
        <v>24</v>
      </c>
      <c r="J6" s="2"/>
      <c r="L6" s="2"/>
      <c r="M6" s="56"/>
    </row>
    <row r="7" spans="1:20" ht="12.75" customHeight="1" x14ac:dyDescent="0.15">
      <c r="A7" s="3" t="str">
        <f>Thermonix!A7</f>
        <v>Transition</v>
      </c>
      <c r="B7" s="4" t="str">
        <f>Thermonix!B7</f>
        <v>after 5sec (PreparingOff ⇒ Off)</v>
      </c>
      <c r="C7" s="27">
        <f>'Human Grading'!C7</f>
        <v>0</v>
      </c>
      <c r="D7" s="27">
        <f>'LLM Grading'!C7</f>
        <v>0</v>
      </c>
      <c r="L7" s="2"/>
      <c r="M7" s="2"/>
      <c r="N7" s="2"/>
    </row>
    <row r="8" spans="1:20" ht="12.75" customHeight="1" x14ac:dyDescent="0.15">
      <c r="A8" s="3" t="str">
        <f>Thermonix!A8</f>
        <v>State</v>
      </c>
      <c r="B8" s="4" t="str">
        <f>Thermonix!B8</f>
        <v>Off</v>
      </c>
      <c r="C8" s="27">
        <f>'Human Grading'!C8</f>
        <v>1</v>
      </c>
      <c r="D8" s="27">
        <f>'LLM Grading'!C8</f>
        <v>1</v>
      </c>
      <c r="F8" s="79" t="s">
        <v>133</v>
      </c>
      <c r="G8" s="80"/>
      <c r="H8" s="80"/>
      <c r="I8" s="80"/>
      <c r="L8" s="81" t="s">
        <v>134</v>
      </c>
      <c r="M8" s="82"/>
      <c r="N8" s="82"/>
    </row>
    <row r="9" spans="1:20" ht="12.75" customHeight="1" x14ac:dyDescent="0.15">
      <c r="A9" s="3" t="str">
        <f>Thermonix!A9</f>
        <v>Transition</v>
      </c>
      <c r="B9" s="4" t="str">
        <f>Thermonix!B9</f>
        <v>selectorPressed (Off ⇒ On)</v>
      </c>
      <c r="C9" s="27">
        <f>'Human Grading'!C9</f>
        <v>1</v>
      </c>
      <c r="D9" s="27">
        <f>'LLM Grading'!C9</f>
        <v>1</v>
      </c>
      <c r="F9" s="2" t="s">
        <v>2</v>
      </c>
      <c r="G9" s="57" t="s">
        <v>120</v>
      </c>
      <c r="H9" s="57" t="s">
        <v>121</v>
      </c>
      <c r="I9" s="57" t="s">
        <v>122</v>
      </c>
      <c r="J9" s="58" t="s">
        <v>123</v>
      </c>
      <c r="K9" s="2"/>
      <c r="L9" s="44" t="s">
        <v>124</v>
      </c>
      <c r="M9" s="44" t="s">
        <v>125</v>
      </c>
      <c r="N9" s="44" t="s">
        <v>126</v>
      </c>
    </row>
    <row r="10" spans="1:20" ht="12.75" customHeight="1" x14ac:dyDescent="0.15">
      <c r="A10" s="3" t="str">
        <f>Thermonix!A10</f>
        <v>Composite State</v>
      </c>
      <c r="B10" s="4" t="str">
        <f>Thermonix!B10</f>
        <v>On</v>
      </c>
      <c r="C10" s="27">
        <f>'Human Grading'!C10</f>
        <v>1</v>
      </c>
      <c r="D10" s="27">
        <f>'LLM Grading'!C10</f>
        <v>1</v>
      </c>
      <c r="F10" s="45">
        <v>0</v>
      </c>
      <c r="G10" s="46">
        <f t="shared" ref="G10:H10" si="3">COUNTIFS($A$2:$A$88,$F$9,$C$2:$C$88,$F10,$D$2:$D$88,G$9)</f>
        <v>2</v>
      </c>
      <c r="H10" s="47">
        <f t="shared" si="3"/>
        <v>1</v>
      </c>
      <c r="I10" s="48">
        <f t="shared" ref="I10:I11" si="4">COUNTIFS($A$2:$A$44,$F$9,$C$2:$C$44,$F10,$D$2:$D$44,I$9)+MAX(D45-C45,0)</f>
        <v>0</v>
      </c>
      <c r="J10" s="2">
        <f t="shared" ref="J10:J12" si="5">SUM(G10:I10)</f>
        <v>3</v>
      </c>
      <c r="K10" s="2"/>
      <c r="L10" s="49" t="s">
        <v>127</v>
      </c>
      <c r="M10" s="46">
        <f>(G10+H11+I12)/COUNTIF($A$2:$A$98,F9)</f>
        <v>0.91666666666666663</v>
      </c>
      <c r="N10" s="48" t="s">
        <v>128</v>
      </c>
    </row>
    <row r="11" spans="1:20" ht="12.75" customHeight="1" x14ac:dyDescent="0.15">
      <c r="A11" s="3" t="str">
        <f>Thermonix!A11</f>
        <v>History State</v>
      </c>
      <c r="B11" s="4" t="str">
        <f>Thermonix!B11</f>
        <v>History State for On</v>
      </c>
      <c r="C11" s="27">
        <f>'Human Grading'!C11</f>
        <v>0</v>
      </c>
      <c r="D11" s="27">
        <f>'LLM Grading'!C11</f>
        <v>0</v>
      </c>
      <c r="F11" s="45">
        <v>0.5</v>
      </c>
      <c r="G11" s="46">
        <f t="shared" ref="G11:H11" si="6">COUNTIFS($A$2:$A$88,$F$9,$C$2:$C$88,$F11,$D$2:$D$88,G$9)</f>
        <v>0</v>
      </c>
      <c r="H11" s="47">
        <f t="shared" si="6"/>
        <v>0</v>
      </c>
      <c r="I11" s="48">
        <f t="shared" si="4"/>
        <v>0</v>
      </c>
      <c r="J11" s="2">
        <f t="shared" si="5"/>
        <v>0</v>
      </c>
      <c r="K11" s="2"/>
      <c r="L11" s="49" t="s">
        <v>129</v>
      </c>
      <c r="M11" s="50">
        <f t="array" ref="M11">SUMPRODUCT(J10:J12/COUNTA($C$2:$C$98), TRANSPOSE(G13:I13)/COUNTA($C$2:$C$98))</f>
        <v>3.4799999999999998E-2</v>
      </c>
      <c r="N11" s="51"/>
    </row>
    <row r="12" spans="1:20" ht="12.75" customHeight="1" x14ac:dyDescent="0.15">
      <c r="A12" s="3" t="str">
        <f>Thermonix!A12</f>
        <v>Transition</v>
      </c>
      <c r="B12" s="4" t="str">
        <f>Thermonix!B12</f>
        <v>selectorHeld (On ⇒ PreparingOff)</v>
      </c>
      <c r="C12" s="27">
        <f>'Human Grading'!C12</f>
        <v>1</v>
      </c>
      <c r="D12" s="27">
        <f>'LLM Grading'!C12</f>
        <v>0.5</v>
      </c>
      <c r="F12" s="45">
        <v>1</v>
      </c>
      <c r="G12" s="52">
        <f>COUNTIFS($A$2:$A$44,$F$9,$C$2:$C$44,$F12,$D$2:$D$44,G$9)+MAX(C45-D45,0)</f>
        <v>0</v>
      </c>
      <c r="H12" s="53">
        <f>COUNTIFS($A$2:$A$88,$F$9,$C$2:$C$88,$F12,$D$2:$D$88,H$9)</f>
        <v>0</v>
      </c>
      <c r="I12" s="54">
        <f>COUNTIFS($A$2:$A$44,$F$9,$C$2:$C$44,$F12,$D$2:$D$44,I$9)+MIN(C45-D45)</f>
        <v>9</v>
      </c>
      <c r="J12" s="2">
        <f t="shared" si="5"/>
        <v>9</v>
      </c>
      <c r="L12" s="49" t="s">
        <v>118</v>
      </c>
      <c r="M12" s="52">
        <f>(M3-M4)/(1-M4)</f>
        <v>0.5768688293370946</v>
      </c>
      <c r="N12" s="54" t="s">
        <v>131</v>
      </c>
    </row>
    <row r="13" spans="1:20" ht="12.75" customHeight="1" x14ac:dyDescent="0.15">
      <c r="A13" s="3" t="str">
        <f>Thermonix!A13</f>
        <v>Transition</v>
      </c>
      <c r="B13" s="4" t="str">
        <f>Thermonix!B13</f>
        <v>bowlRemoved (On ⇒ On)</v>
      </c>
      <c r="C13" s="27">
        <f>'Human Grading'!C13</f>
        <v>1</v>
      </c>
      <c r="D13" s="27">
        <f>'LLM Grading'!C13</f>
        <v>0</v>
      </c>
      <c r="F13" s="55" t="s">
        <v>132</v>
      </c>
      <c r="G13" s="2">
        <f t="shared" ref="G13:I13" si="7">SUM(G10:G12)</f>
        <v>2</v>
      </c>
      <c r="H13" s="2">
        <f t="shared" si="7"/>
        <v>1</v>
      </c>
      <c r="I13" s="2">
        <f t="shared" si="7"/>
        <v>9</v>
      </c>
      <c r="J13" s="2"/>
      <c r="L13" s="2"/>
      <c r="M13" s="56"/>
    </row>
    <row r="14" spans="1:20" ht="12.75" customHeight="1" x14ac:dyDescent="0.15">
      <c r="A14" s="3" t="str">
        <f>Thermonix!A14</f>
        <v>State</v>
      </c>
      <c r="B14" s="4" t="str">
        <f>Thermonix!B14</f>
        <v>Initial State (On ⇒  Home)</v>
      </c>
      <c r="C14" s="27">
        <f>'Human Grading'!C14</f>
        <v>1</v>
      </c>
      <c r="D14" s="27">
        <f>'LLM Grading'!C14</f>
        <v>1</v>
      </c>
    </row>
    <row r="15" spans="1:20" ht="12.75" customHeight="1" x14ac:dyDescent="0.15">
      <c r="A15" s="3" t="str">
        <f>Thermonix!A15</f>
        <v>State</v>
      </c>
      <c r="B15" s="4" t="str">
        <f>Thermonix!B15</f>
        <v>Home</v>
      </c>
      <c r="C15" s="27">
        <f>'Human Grading'!C15</f>
        <v>1</v>
      </c>
      <c r="D15" s="27">
        <f>'LLM Grading'!C15</f>
        <v>1</v>
      </c>
      <c r="F15" s="79" t="s">
        <v>135</v>
      </c>
      <c r="G15" s="80"/>
      <c r="H15" s="80"/>
      <c r="I15" s="80"/>
      <c r="K15" s="2"/>
      <c r="L15" s="81" t="s">
        <v>136</v>
      </c>
      <c r="M15" s="82"/>
      <c r="N15" s="82"/>
    </row>
    <row r="16" spans="1:20" ht="15" customHeight="1" x14ac:dyDescent="0.15">
      <c r="A16" s="3" t="str">
        <f>Thermonix!A16</f>
        <v>Transition</v>
      </c>
      <c r="B16" s="4" t="str">
        <f>Thermonix!B16</f>
        <v>after 14min 30sec (Home ⇒ Preparing Shutdown)</v>
      </c>
      <c r="C16" s="27">
        <f>'Human Grading'!C16</f>
        <v>1</v>
      </c>
      <c r="D16" s="27">
        <f>'LLM Grading'!C16</f>
        <v>1</v>
      </c>
      <c r="E16" s="5"/>
      <c r="F16" s="2" t="s">
        <v>5</v>
      </c>
      <c r="G16" s="57" t="s">
        <v>120</v>
      </c>
      <c r="H16" s="57" t="s">
        <v>121</v>
      </c>
      <c r="I16" s="57" t="s">
        <v>122</v>
      </c>
      <c r="J16" s="58" t="s">
        <v>123</v>
      </c>
      <c r="K16" s="2"/>
      <c r="L16" s="59" t="s">
        <v>124</v>
      </c>
      <c r="M16" s="59" t="s">
        <v>125</v>
      </c>
      <c r="N16" s="59" t="s">
        <v>126</v>
      </c>
      <c r="O16" s="5"/>
      <c r="P16" s="5"/>
      <c r="Q16" s="5"/>
      <c r="R16" s="5"/>
      <c r="S16" s="5"/>
      <c r="T16" s="5"/>
    </row>
    <row r="17" spans="1:20" ht="12.75" customHeight="1" x14ac:dyDescent="0.15">
      <c r="A17" s="3" t="str">
        <f>Thermonix!A17</f>
        <v>Transition</v>
      </c>
      <c r="B17" s="4" t="str">
        <f>Thermonix!B17</f>
        <v>start (Home ⇒ PromptToAdd)</v>
      </c>
      <c r="C17" s="27">
        <f>'Human Grading'!C17</f>
        <v>0</v>
      </c>
      <c r="D17" s="27">
        <f>'LLM Grading'!C17</f>
        <v>0.5</v>
      </c>
      <c r="F17" s="45">
        <v>0</v>
      </c>
      <c r="G17" s="46">
        <f t="shared" ref="G17:H17" si="8">COUNTIFS($A$2:$A$88,$F$16,$C$2:$C$88,$F17,$D$2:$D$88,G$16)</f>
        <v>5</v>
      </c>
      <c r="H17" s="47">
        <f t="shared" si="8"/>
        <v>2</v>
      </c>
      <c r="I17" s="48">
        <f>COUNTIFS($A$2:$A$44,$F$16,$C$2:$C$44,$F17,$D$2:$D$44,I$16) + MAX(D46-C46,0)</f>
        <v>1</v>
      </c>
      <c r="J17" s="2">
        <f t="shared" ref="J17:J19" si="9">SUM(G17:I17)</f>
        <v>8</v>
      </c>
      <c r="K17" s="2"/>
      <c r="L17" s="49" t="s">
        <v>127</v>
      </c>
      <c r="M17" s="46">
        <f>(G17+H18+I19)/COUNTIF($A$2:$A$98,F16)</f>
        <v>0.61111111111111116</v>
      </c>
      <c r="N17" s="48" t="s">
        <v>128</v>
      </c>
    </row>
    <row r="18" spans="1:20" ht="12.75" customHeight="1" x14ac:dyDescent="0.15">
      <c r="A18" s="3" t="str">
        <f>Thermonix!A18</f>
        <v>Guard</v>
      </c>
      <c r="B18" s="4" t="str">
        <f>Thermonix!B18</f>
        <v>[!bowlRemoved()]</v>
      </c>
      <c r="C18" s="27">
        <f>'Human Grading'!C18</f>
        <v>1</v>
      </c>
      <c r="D18" s="27">
        <f>'LLM Grading'!C18</f>
        <v>1</v>
      </c>
      <c r="F18" s="45">
        <v>0.5</v>
      </c>
      <c r="G18" s="50">
        <f t="shared" ref="G18:I18" si="10">COUNTIFS($A$2:$A$88,$F$16,$C$2:$C$88,$F18,$D$2:$D$88,G$16)</f>
        <v>0</v>
      </c>
      <c r="H18" s="2">
        <f t="shared" si="10"/>
        <v>0</v>
      </c>
      <c r="I18" s="51">
        <f t="shared" si="10"/>
        <v>0</v>
      </c>
      <c r="J18" s="2">
        <f t="shared" si="9"/>
        <v>0</v>
      </c>
      <c r="K18" s="2"/>
      <c r="L18" s="49" t="s">
        <v>129</v>
      </c>
      <c r="M18" s="50">
        <f t="array" ref="M18">SUMPRODUCT(J17:J19/COUNTIF($A$2:$A$98,F16), TRANSPOSE(G20:I20)/COUNTIF($A$2:$A$98,F16))</f>
        <v>0.3888888888888889</v>
      </c>
      <c r="N18" s="51" t="s">
        <v>130</v>
      </c>
    </row>
    <row r="19" spans="1:20" ht="12.75" customHeight="1" x14ac:dyDescent="0.15">
      <c r="A19" s="3" t="str">
        <f>Thermonix!A19</f>
        <v>Action</v>
      </c>
      <c r="B19" s="4" t="str">
        <f>Thermonix!B19</f>
        <v>setIngredients()</v>
      </c>
      <c r="C19" s="27">
        <f>'Human Grading'!C19</f>
        <v>0</v>
      </c>
      <c r="D19" s="27">
        <f>'LLM Grading'!C19</f>
        <v>0</v>
      </c>
      <c r="F19" s="45">
        <v>1</v>
      </c>
      <c r="G19" s="52">
        <f>COUNTIFS($A$2:$A$44,$F$16,$C$2:$C$44,$F19,$D$2:$D$44,G$16)+MAX(C46-D46,0)</f>
        <v>2</v>
      </c>
      <c r="H19" s="53">
        <f>COUNTIFS($A$2:$A$88,$F$16,$C$2:$C$88,$F19,$D$2:$D$88,H$16)</f>
        <v>2</v>
      </c>
      <c r="I19" s="54">
        <f>COUNTIFS($A$2:$A$44,$F$16,$C$2:$C$44,$F19,$D$2:$D$44,I$16) + MIN(C46,D46)</f>
        <v>6</v>
      </c>
      <c r="J19" s="2">
        <f t="shared" si="9"/>
        <v>10</v>
      </c>
      <c r="L19" s="49" t="s">
        <v>118</v>
      </c>
      <c r="M19" s="52">
        <f>(M17-M18)/(1-M18)</f>
        <v>0.3636363636363637</v>
      </c>
      <c r="N19" s="54" t="s">
        <v>131</v>
      </c>
    </row>
    <row r="20" spans="1:20" ht="12.75" customHeight="1" x14ac:dyDescent="0.15">
      <c r="A20" s="3" t="str">
        <f>Thermonix!A20</f>
        <v>State</v>
      </c>
      <c r="B20" s="4" t="str">
        <f>Thermonix!B20</f>
        <v>Preparing Shutdown</v>
      </c>
      <c r="C20" s="27">
        <f>'Human Grading'!C20</f>
        <v>1</v>
      </c>
      <c r="D20" s="27">
        <f>'LLM Grading'!C20</f>
        <v>1</v>
      </c>
      <c r="F20" s="55" t="s">
        <v>132</v>
      </c>
      <c r="G20" s="2">
        <f t="shared" ref="G20:I20" si="11">SUM(G17:G19)</f>
        <v>7</v>
      </c>
      <c r="H20" s="2">
        <f t="shared" si="11"/>
        <v>4</v>
      </c>
      <c r="I20" s="2">
        <f t="shared" si="11"/>
        <v>7</v>
      </c>
      <c r="J20" s="2"/>
      <c r="L20" s="2"/>
      <c r="M20" s="56"/>
    </row>
    <row r="21" spans="1:20" ht="12.75" customHeight="1" x14ac:dyDescent="0.15">
      <c r="A21" s="3" t="str">
        <f>Thermonix!A21</f>
        <v>Transition</v>
      </c>
      <c r="B21" s="4" t="str">
        <f>Thermonix!B21</f>
        <v>after 30sec (Preparing Shutdown ⇒ Off)</v>
      </c>
      <c r="C21" s="27">
        <f>'Human Grading'!C21</f>
        <v>1</v>
      </c>
      <c r="D21" s="27">
        <f>'LLM Grading'!C21</f>
        <v>1</v>
      </c>
    </row>
    <row r="22" spans="1:20" ht="12.75" customHeight="1" x14ac:dyDescent="0.15">
      <c r="A22" s="3" t="str">
        <f>Thermonix!A22</f>
        <v>Transition</v>
      </c>
      <c r="B22" s="4" t="str">
        <f>Thermonix!B22</f>
        <v>cancel (Preparing Shutdown ⇒ Home)</v>
      </c>
      <c r="C22" s="27">
        <f>'Human Grading'!C22</f>
        <v>0</v>
      </c>
      <c r="D22" s="27">
        <f>'LLM Grading'!C22</f>
        <v>1</v>
      </c>
      <c r="E22" s="5"/>
      <c r="F22" s="79" t="s">
        <v>137</v>
      </c>
      <c r="G22" s="80"/>
      <c r="H22" s="80"/>
      <c r="I22" s="80"/>
      <c r="K22" s="2"/>
      <c r="L22" s="81" t="s">
        <v>138</v>
      </c>
      <c r="M22" s="82"/>
      <c r="N22" s="82"/>
      <c r="O22" s="5"/>
      <c r="P22" s="5"/>
      <c r="Q22" s="5"/>
      <c r="R22" s="5"/>
      <c r="S22" s="5"/>
      <c r="T22" s="5"/>
    </row>
    <row r="23" spans="1:20" ht="12.75" customHeight="1" x14ac:dyDescent="0.15">
      <c r="A23" s="3" t="str">
        <f>Thermonix!A23</f>
        <v>State</v>
      </c>
      <c r="B23" s="4" t="str">
        <f>Thermonix!B23</f>
        <v>PromptToAdd</v>
      </c>
      <c r="C23" s="27">
        <f>'Human Grading'!C23</f>
        <v>0</v>
      </c>
      <c r="D23" s="27">
        <f>'LLM Grading'!C23</f>
        <v>0.5</v>
      </c>
      <c r="F23" s="2" t="s">
        <v>12</v>
      </c>
      <c r="G23" s="57" t="s">
        <v>120</v>
      </c>
      <c r="H23" s="57" t="s">
        <v>121</v>
      </c>
      <c r="I23" s="57" t="s">
        <v>122</v>
      </c>
      <c r="J23" s="58" t="s">
        <v>123</v>
      </c>
      <c r="K23" s="2"/>
      <c r="L23" s="59" t="s">
        <v>124</v>
      </c>
      <c r="M23" s="59" t="s">
        <v>125</v>
      </c>
      <c r="N23" s="59" t="s">
        <v>126</v>
      </c>
    </row>
    <row r="24" spans="1:20" ht="12.75" customHeight="1" x14ac:dyDescent="0.15">
      <c r="A24" s="3" t="str">
        <f>Thermonix!A24</f>
        <v>Transition</v>
      </c>
      <c r="B24" s="4" t="str">
        <f>Thermonix!B24</f>
        <v>next (PromptToAdd ⇒ PromptToAdd)</v>
      </c>
      <c r="C24" s="27">
        <f>'Human Grading'!C24</f>
        <v>0</v>
      </c>
      <c r="D24" s="27">
        <f>'LLM Grading'!C24</f>
        <v>0</v>
      </c>
      <c r="F24" s="45">
        <v>0</v>
      </c>
      <c r="G24" s="46">
        <f t="shared" ref="G24:H24" si="12">COUNTIFS($A$2:$A$88,$F$23,$C$2:$C$88,$F24,$D$2:$D$88,G$23)</f>
        <v>0</v>
      </c>
      <c r="H24" s="47">
        <f t="shared" si="12"/>
        <v>0</v>
      </c>
      <c r="I24" s="48">
        <f>COUNTIFS($A$2:$A$44,$F$23,$C$2:$C$44,$F24,$D$2:$D$44,I$23) + MAX(D49-C49,0)</f>
        <v>1</v>
      </c>
      <c r="J24" s="2">
        <f t="shared" ref="J24:J26" si="13">SUM(G24:I24)</f>
        <v>1</v>
      </c>
      <c r="K24" s="2"/>
      <c r="L24" s="49" t="s">
        <v>127</v>
      </c>
      <c r="M24" s="46">
        <f>(G24+H25+I26)/COUNTIF($A$2:$A$98,F23)</f>
        <v>0.5</v>
      </c>
      <c r="N24" s="48" t="s">
        <v>128</v>
      </c>
    </row>
    <row r="25" spans="1:20" ht="12.75" customHeight="1" x14ac:dyDescent="0.15">
      <c r="A25" s="3" t="str">
        <f>Thermonix!A25</f>
        <v>Guard</v>
      </c>
      <c r="B25" s="4" t="str">
        <f>Thermonix!B25</f>
        <v>[weightCorrect() &amp;&amp; moreIngredientsRequired()]</v>
      </c>
      <c r="C25" s="27">
        <f>'Human Grading'!C25</f>
        <v>0</v>
      </c>
      <c r="D25" s="27">
        <f>'LLM Grading'!C25</f>
        <v>0</v>
      </c>
      <c r="F25" s="45">
        <v>0.5</v>
      </c>
      <c r="G25" s="50">
        <f t="shared" ref="G25:I25" si="14">COUNTIFS($A$2:$A$88,$F$23,$C$2:$C$88,$F25,$D$2:$D$88,G$23)</f>
        <v>0</v>
      </c>
      <c r="H25" s="2">
        <f t="shared" si="14"/>
        <v>0</v>
      </c>
      <c r="I25" s="51">
        <f t="shared" si="14"/>
        <v>0</v>
      </c>
      <c r="J25" s="2">
        <f t="shared" si="13"/>
        <v>0</v>
      </c>
      <c r="K25" s="2"/>
      <c r="L25" s="49" t="s">
        <v>129</v>
      </c>
      <c r="M25" s="50">
        <f t="array" ref="M25">SUMPRODUCT(J24:J26/COUNTIF($A$2:$A$98,F23), TRANSPOSE(G27:I27)/COUNTIF($A$2:$A$98,F23))</f>
        <v>0.5</v>
      </c>
      <c r="N25" s="51" t="s">
        <v>130</v>
      </c>
    </row>
    <row r="26" spans="1:20" ht="13" x14ac:dyDescent="0.15">
      <c r="A26" s="3" t="str">
        <f>Thermonix!A26</f>
        <v>Action</v>
      </c>
      <c r="B26" s="4" t="str">
        <f>Thermonix!B26</f>
        <v>setIngredients()</v>
      </c>
      <c r="C26" s="27">
        <f>'Human Grading'!C26</f>
        <v>0</v>
      </c>
      <c r="D26" s="27">
        <f>'LLM Grading'!C26</f>
        <v>0</v>
      </c>
      <c r="F26" s="45">
        <v>1</v>
      </c>
      <c r="G26" s="52">
        <f>COUNTIFS($A$2:$A$44,$F$23,$C$2:$C$44,$F26,$D$2:$D$44,G$23) + MAX(C49-D49,0)</f>
        <v>0</v>
      </c>
      <c r="H26" s="53">
        <f>COUNTIFS($A$2:$A$88,$F$23,$C$2:$C$88,$F26,$D$2:$D$88,H$23)</f>
        <v>0</v>
      </c>
      <c r="I26" s="54">
        <f>COUNTIFS($A$2:$A$44,$F$23,$C$2:$C$44,$F26,$D$2:$D$44,I$23) + MIN(C49,D49)</f>
        <v>1</v>
      </c>
      <c r="J26" s="2">
        <f t="shared" si="13"/>
        <v>1</v>
      </c>
      <c r="L26" s="49" t="s">
        <v>118</v>
      </c>
      <c r="M26" s="52">
        <f>(M24-M25)/(1-M25)</f>
        <v>0</v>
      </c>
      <c r="N26" s="54" t="s">
        <v>131</v>
      </c>
    </row>
    <row r="27" spans="1:20" ht="12.75" customHeight="1" x14ac:dyDescent="0.15">
      <c r="A27" s="3" t="str">
        <f>Thermonix!A27</f>
        <v>Transition</v>
      </c>
      <c r="B27" s="4" t="str">
        <f>Thermonix!B27</f>
        <v>next (PromptToAdd ⇒ Chop)</v>
      </c>
      <c r="C27" s="27">
        <f>'Human Grading'!C27</f>
        <v>1</v>
      </c>
      <c r="D27" s="27">
        <f>'LLM Grading'!C27</f>
        <v>1</v>
      </c>
      <c r="F27" s="55" t="s">
        <v>132</v>
      </c>
      <c r="G27" s="2">
        <f t="shared" ref="G27:I27" si="15">SUM(G24:G26)</f>
        <v>0</v>
      </c>
      <c r="H27" s="2">
        <f t="shared" si="15"/>
        <v>0</v>
      </c>
      <c r="I27" s="2">
        <f t="shared" si="15"/>
        <v>2</v>
      </c>
      <c r="J27" s="2"/>
      <c r="L27" s="2"/>
      <c r="M27" s="56"/>
    </row>
    <row r="28" spans="1:20" ht="12.75" customHeight="1" x14ac:dyDescent="0.15">
      <c r="A28" s="3" t="str">
        <f>Thermonix!A28</f>
        <v>Guard</v>
      </c>
      <c r="B28" s="4" t="str">
        <f>Thermonix!B28</f>
        <v>[weightCorrect() &amp;&amp; !moreIngredientsRequired()]</v>
      </c>
      <c r="C28" s="27">
        <f>'Human Grading'!C28</f>
        <v>1</v>
      </c>
      <c r="D28" s="27">
        <f>'LLM Grading'!C28</f>
        <v>1</v>
      </c>
    </row>
    <row r="29" spans="1:20" ht="12.75" customHeight="1" x14ac:dyDescent="0.15">
      <c r="A29" s="3" t="str">
        <f>Thermonix!A29</f>
        <v>Action</v>
      </c>
      <c r="B29" s="4" t="str">
        <f>Thermonix!B29</f>
        <v>setChoppingSpeedAndTime()</v>
      </c>
      <c r="C29" s="27">
        <f>'Human Grading'!C29</f>
        <v>1</v>
      </c>
      <c r="D29" s="27">
        <f>'LLM Grading'!C29</f>
        <v>1</v>
      </c>
      <c r="F29" s="79" t="s">
        <v>139</v>
      </c>
      <c r="G29" s="80"/>
      <c r="H29" s="80"/>
      <c r="I29" s="80"/>
      <c r="K29" s="2"/>
      <c r="L29" s="81" t="s">
        <v>140</v>
      </c>
      <c r="M29" s="82"/>
      <c r="N29" s="82"/>
    </row>
    <row r="30" spans="1:20" ht="12.75" customHeight="1" x14ac:dyDescent="0.15">
      <c r="A30" s="3" t="str">
        <f>Thermonix!A30</f>
        <v>State</v>
      </c>
      <c r="B30" s="4" t="str">
        <f>Thermonix!B30</f>
        <v>Chop</v>
      </c>
      <c r="C30" s="27">
        <f>'Human Grading'!C30</f>
        <v>1</v>
      </c>
      <c r="D30" s="27">
        <f>'LLM Grading'!C30</f>
        <v>1</v>
      </c>
      <c r="F30" s="2" t="s">
        <v>22</v>
      </c>
      <c r="G30" s="57" t="s">
        <v>120</v>
      </c>
      <c r="H30" s="57" t="s">
        <v>121</v>
      </c>
      <c r="I30" s="57" t="s">
        <v>122</v>
      </c>
      <c r="J30" s="58" t="s">
        <v>123</v>
      </c>
      <c r="K30" s="2"/>
      <c r="L30" s="59" t="s">
        <v>124</v>
      </c>
      <c r="M30" s="59" t="s">
        <v>125</v>
      </c>
      <c r="N30" s="59" t="s">
        <v>126</v>
      </c>
    </row>
    <row r="31" spans="1:20" ht="12.75" customHeight="1" x14ac:dyDescent="0.15">
      <c r="A31" s="3" t="str">
        <f>Thermonix!A31</f>
        <v>Transition</v>
      </c>
      <c r="B31" s="4" t="str">
        <f>Thermonix!B31</f>
        <v>next (Chop ⇒ PromptToAdd)</v>
      </c>
      <c r="C31" s="27">
        <f>'Human Grading'!C31</f>
        <v>0</v>
      </c>
      <c r="D31" s="27">
        <f>'LLM Grading'!C31</f>
        <v>0</v>
      </c>
      <c r="F31" s="45">
        <v>0</v>
      </c>
      <c r="G31" s="46">
        <f t="shared" ref="G31:H31" si="16">COUNTIFS($A$2:$A$88,$F$30,$C$2:$C$88,$F31,$D$2:$D$88,G$30)</f>
        <v>4</v>
      </c>
      <c r="H31" s="47">
        <f t="shared" si="16"/>
        <v>1</v>
      </c>
      <c r="I31" s="48">
        <f>COUNTIFS($A$2:$A$44,$F$30,$C$2:$C$44,$F31,$D$2:$D$44,I$30) + MAX(D47-C47,0)</f>
        <v>0</v>
      </c>
      <c r="J31" s="2">
        <f t="shared" ref="J31:J33" si="17">SUM(G31:I31)</f>
        <v>5</v>
      </c>
      <c r="K31" s="2"/>
      <c r="L31" s="49" t="s">
        <v>127</v>
      </c>
      <c r="M31" s="46">
        <f>(G31+H32+I33)/COUNTIF($A$2:$A$98,F30)</f>
        <v>0.75</v>
      </c>
      <c r="N31" s="48" t="s">
        <v>128</v>
      </c>
    </row>
    <row r="32" spans="1:20" ht="12.75" customHeight="1" x14ac:dyDescent="0.15">
      <c r="A32" s="3" t="str">
        <f>Thermonix!A32</f>
        <v>Guard</v>
      </c>
      <c r="B32" s="4" t="str">
        <f>Thermonix!B32</f>
        <v>[choppingTimeDone &amp;&amp; moreIngredientsRequired()]</v>
      </c>
      <c r="C32" s="27">
        <f>'Human Grading'!C32</f>
        <v>0</v>
      </c>
      <c r="D32" s="27">
        <f>'LLM Grading'!C32</f>
        <v>0</v>
      </c>
      <c r="F32" s="45">
        <v>0.5</v>
      </c>
      <c r="G32" s="50">
        <f t="shared" ref="G32:I32" si="18">COUNTIFS($A$2:$A$88,$F$30,$C$2:$C$88,$F32,$D$2:$D$88,G$30)</f>
        <v>0</v>
      </c>
      <c r="H32" s="2">
        <f t="shared" si="18"/>
        <v>0</v>
      </c>
      <c r="I32" s="51">
        <f t="shared" si="18"/>
        <v>1</v>
      </c>
      <c r="J32" s="2">
        <f t="shared" si="17"/>
        <v>1</v>
      </c>
      <c r="K32" s="2"/>
      <c r="L32" s="49" t="s">
        <v>129</v>
      </c>
      <c r="M32" s="50">
        <f t="array" ref="M32">SUMPRODUCT(J31:J33/COUNTIF($A$2:$A$98,F30), TRANSPOSE(G34:I34)/COUNTIF($A$2:$A$98,F30))</f>
        <v>0.421875</v>
      </c>
      <c r="N32" s="51" t="s">
        <v>130</v>
      </c>
    </row>
    <row r="33" spans="1:20" ht="12.75" customHeight="1" x14ac:dyDescent="0.15">
      <c r="A33" s="3" t="str">
        <f>Thermonix!A33</f>
        <v>Action</v>
      </c>
      <c r="B33" s="4" t="str">
        <f>Thermonix!B33</f>
        <v>setIngredients()</v>
      </c>
      <c r="C33" s="27">
        <f>'Human Grading'!C33</f>
        <v>0</v>
      </c>
      <c r="D33" s="27">
        <f>'LLM Grading'!C33</f>
        <v>0</v>
      </c>
      <c r="F33" s="45">
        <v>1</v>
      </c>
      <c r="G33" s="52">
        <f>COUNTIFS($A$2:$A$44,$F$30,$C$2:$C$44,$F33,$D$2:$D$44,G$30) + MAX(C47-D47,0)</f>
        <v>0</v>
      </c>
      <c r="H33" s="53">
        <f>COUNTIFS($A$2:$A$88,$F$30,$C$2:$C$88,$F33,$D$2:$D$88,H$30)</f>
        <v>0</v>
      </c>
      <c r="I33" s="54">
        <f>COUNTIFS($A$2:$A$44,$F$30,$C$2:$C$44,$F33,$D$2:$D$44,I$30) + MIN(C47,D47)</f>
        <v>2</v>
      </c>
      <c r="J33" s="2">
        <f t="shared" si="17"/>
        <v>2</v>
      </c>
      <c r="L33" s="49" t="s">
        <v>118</v>
      </c>
      <c r="M33" s="52">
        <f>(M31-M32)/(1-M32)</f>
        <v>0.56756756756756754</v>
      </c>
      <c r="N33" s="54" t="s">
        <v>131</v>
      </c>
    </row>
    <row r="34" spans="1:20" ht="12.75" customHeight="1" x14ac:dyDescent="0.15">
      <c r="A34" s="3" t="str">
        <f>Thermonix!A34</f>
        <v>Transition</v>
      </c>
      <c r="B34" s="4" t="str">
        <f>Thermonix!B34</f>
        <v>next (Chop ⇒ Cook)</v>
      </c>
      <c r="C34" s="27">
        <f>'Human Grading'!C34</f>
        <v>1</v>
      </c>
      <c r="D34" s="27">
        <f>'LLM Grading'!C34</f>
        <v>1</v>
      </c>
      <c r="E34" s="5"/>
      <c r="F34" s="55" t="s">
        <v>132</v>
      </c>
      <c r="G34" s="2">
        <f t="shared" ref="G34:I34" si="19">SUM(G31:G33)</f>
        <v>4</v>
      </c>
      <c r="H34" s="2">
        <f t="shared" si="19"/>
        <v>1</v>
      </c>
      <c r="I34" s="2">
        <f t="shared" si="19"/>
        <v>3</v>
      </c>
      <c r="J34" s="2"/>
      <c r="L34" s="2"/>
      <c r="M34" s="56"/>
      <c r="O34" s="5"/>
      <c r="P34" s="5"/>
      <c r="Q34" s="5"/>
      <c r="R34" s="5"/>
      <c r="S34" s="5"/>
      <c r="T34" s="5"/>
    </row>
    <row r="35" spans="1:20" ht="12.75" customHeight="1" x14ac:dyDescent="0.15">
      <c r="A35" s="3" t="str">
        <f>Thermonix!A35</f>
        <v>Guard</v>
      </c>
      <c r="B35" s="4" t="str">
        <f>Thermonix!B35</f>
        <v>[choppingTimeDone &amp;&amp; !moreIngredientsRequired()]</v>
      </c>
      <c r="C35" s="27">
        <f>'Human Grading'!C35</f>
        <v>0</v>
      </c>
      <c r="D35" s="27">
        <f>'LLM Grading'!C35</f>
        <v>0</v>
      </c>
    </row>
    <row r="36" spans="1:20" ht="15" customHeight="1" x14ac:dyDescent="0.15">
      <c r="A36" s="3" t="str">
        <f>Thermonix!A36</f>
        <v>Action</v>
      </c>
      <c r="B36" s="4" t="str">
        <f>Thermonix!B36</f>
        <v>setCookingSpeedAndTime()</v>
      </c>
      <c r="C36" s="27">
        <f>'Human Grading'!C36</f>
        <v>1</v>
      </c>
      <c r="D36" s="27">
        <f>'LLM Grading'!C36</f>
        <v>1</v>
      </c>
      <c r="E36" s="5"/>
      <c r="F36" s="79" t="s">
        <v>141</v>
      </c>
      <c r="G36" s="80"/>
      <c r="H36" s="80"/>
      <c r="I36" s="80"/>
      <c r="K36" s="2"/>
      <c r="L36" s="81" t="s">
        <v>142</v>
      </c>
      <c r="M36" s="82"/>
      <c r="N36" s="82"/>
      <c r="O36" s="5"/>
      <c r="P36" s="5"/>
      <c r="Q36" s="5"/>
      <c r="R36" s="5"/>
      <c r="S36" s="5"/>
      <c r="T36" s="5"/>
    </row>
    <row r="37" spans="1:20" ht="15" customHeight="1" x14ac:dyDescent="0.15">
      <c r="A37" s="3" t="str">
        <f>Thermonix!A37</f>
        <v>State</v>
      </c>
      <c r="B37" s="4" t="str">
        <f>Thermonix!B37</f>
        <v>Cook</v>
      </c>
      <c r="C37" s="27">
        <f>'Human Grading'!C37</f>
        <v>1</v>
      </c>
      <c r="D37" s="27">
        <f>'LLM Grading'!C37</f>
        <v>1</v>
      </c>
      <c r="E37" s="5"/>
      <c r="F37" s="2" t="s">
        <v>24</v>
      </c>
      <c r="G37" s="57" t="s">
        <v>120</v>
      </c>
      <c r="H37" s="57" t="s">
        <v>121</v>
      </c>
      <c r="I37" s="57" t="s">
        <v>122</v>
      </c>
      <c r="J37" s="58" t="s">
        <v>123</v>
      </c>
      <c r="K37" s="2"/>
      <c r="L37" s="59" t="s">
        <v>124</v>
      </c>
      <c r="M37" s="59" t="s">
        <v>125</v>
      </c>
      <c r="N37" s="59" t="s">
        <v>126</v>
      </c>
      <c r="O37" s="5"/>
      <c r="P37" s="5"/>
      <c r="Q37" s="5"/>
      <c r="R37" s="5"/>
      <c r="S37" s="5"/>
      <c r="T37" s="5"/>
    </row>
    <row r="38" spans="1:20" ht="15" customHeight="1" x14ac:dyDescent="0.15">
      <c r="A38" s="3" t="str">
        <f>Thermonix!A38</f>
        <v>Transition</v>
      </c>
      <c r="B38" s="4" t="str">
        <f>Thermonix!B38</f>
        <v>after choppingTime (Cook ⇒ PromptToAdd)</v>
      </c>
      <c r="C38" s="27">
        <f>'Human Grading'!C38</f>
        <v>0</v>
      </c>
      <c r="D38" s="27">
        <f>'LLM Grading'!C38</f>
        <v>0.5</v>
      </c>
      <c r="E38" s="5"/>
      <c r="F38" s="45">
        <v>0</v>
      </c>
      <c r="G38" s="46">
        <f t="shared" ref="G38:H38" si="20">COUNTIFS($A$2:$A$88,$F$37,$C$2:$C$88,$F38,$D$2:$D$88,G$37)</f>
        <v>4</v>
      </c>
      <c r="H38" s="47">
        <f t="shared" si="20"/>
        <v>0</v>
      </c>
      <c r="I38" s="48">
        <f>COUNTIFS($A$2:$A$44,$F$37,$C$2:$C$44,$F38,$D$2:$D$44,I$37)+MAX(D48-C48,0)</f>
        <v>1</v>
      </c>
      <c r="J38" s="2">
        <f t="shared" ref="J38:J40" si="21">SUM(G38:I38)</f>
        <v>5</v>
      </c>
      <c r="K38" s="2"/>
      <c r="L38" s="49" t="s">
        <v>127</v>
      </c>
      <c r="M38" s="46">
        <f>(G38+H39+I40)/COUNTIF($A$2:$A$98,F37)</f>
        <v>0.8571428571428571</v>
      </c>
      <c r="N38" s="48" t="s">
        <v>128</v>
      </c>
      <c r="O38" s="5"/>
      <c r="P38" s="5"/>
      <c r="Q38" s="5"/>
      <c r="R38" s="5"/>
      <c r="S38" s="5"/>
      <c r="T38" s="5"/>
    </row>
    <row r="39" spans="1:20" ht="15" customHeight="1" x14ac:dyDescent="0.15">
      <c r="A39" s="3" t="str">
        <f>Thermonix!A39</f>
        <v>Guard</v>
      </c>
      <c r="B39" s="4" t="str">
        <f>Thermonix!B39</f>
        <v>[choppingTimeDone &amp;&amp; moreIngredientsRequired()]</v>
      </c>
      <c r="C39" s="27">
        <f>'Human Grading'!C39</f>
        <v>0</v>
      </c>
      <c r="D39" s="27">
        <f>'LLM Grading'!C39</f>
        <v>0.5</v>
      </c>
      <c r="E39" s="5"/>
      <c r="F39" s="45">
        <v>0.5</v>
      </c>
      <c r="G39" s="50">
        <f t="shared" ref="G39:I39" si="22">COUNTIFS($A$2:$A$88,$F$37,$C$2:$C$88,$F39,$D$2:$D$88,G$37)</f>
        <v>0</v>
      </c>
      <c r="H39" s="2">
        <f t="shared" si="22"/>
        <v>0</v>
      </c>
      <c r="I39" s="51">
        <f t="shared" si="22"/>
        <v>0</v>
      </c>
      <c r="J39" s="2">
        <f t="shared" si="21"/>
        <v>0</v>
      </c>
      <c r="K39" s="2"/>
      <c r="L39" s="49" t="s">
        <v>129</v>
      </c>
      <c r="M39" s="50">
        <f t="array" ref="M39">SUMPRODUCT(J38:J40/COUNTIF($A$2:$A$98,F37), TRANSPOSE(G41:I41)/COUNTIF($A$2:$A$98,F37))</f>
        <v>0.53061224489795922</v>
      </c>
      <c r="N39" s="51" t="s">
        <v>130</v>
      </c>
      <c r="O39" s="5"/>
      <c r="P39" s="5"/>
      <c r="Q39" s="5"/>
      <c r="R39" s="5"/>
      <c r="S39" s="5"/>
      <c r="T39" s="5"/>
    </row>
    <row r="40" spans="1:20" ht="15" customHeight="1" x14ac:dyDescent="0.15">
      <c r="A40" s="3" t="str">
        <f>Thermonix!A40</f>
        <v>Action</v>
      </c>
      <c r="B40" s="4" t="str">
        <f>Thermonix!B40</f>
        <v>setIngredients()</v>
      </c>
      <c r="C40" s="27">
        <f>'Human Grading'!C40</f>
        <v>0</v>
      </c>
      <c r="D40" s="27">
        <f>'LLM Grading'!C40</f>
        <v>0</v>
      </c>
      <c r="E40" s="5"/>
      <c r="F40" s="45">
        <v>1</v>
      </c>
      <c r="G40" s="52">
        <f>COUNTIFS($A$2:$A$44,$F$37,$C$2:$C$44,$F40,$D$2:$D$44,G$37)+MAX(C48-D48,0)</f>
        <v>0</v>
      </c>
      <c r="H40" s="53">
        <f>COUNTIFS($A$2:$A$88,$F$37,$C$2:$C$88,$F40,$D$2:$D$88,H$37)</f>
        <v>0</v>
      </c>
      <c r="I40" s="54">
        <f>COUNTIFS($A$2:$A$44,$F$37,$C$2:$C$44,$F40,$D$2:$D$44,I$37) + MIN(C48,D48)</f>
        <v>2</v>
      </c>
      <c r="J40" s="2">
        <f t="shared" si="21"/>
        <v>2</v>
      </c>
      <c r="L40" s="49" t="s">
        <v>118</v>
      </c>
      <c r="M40" s="52">
        <f>(M38-M39)/(1-M39)</f>
        <v>0.69565217391304335</v>
      </c>
      <c r="N40" s="54" t="s">
        <v>131</v>
      </c>
      <c r="O40" s="5"/>
      <c r="P40" s="5"/>
      <c r="Q40" s="5"/>
      <c r="R40" s="5"/>
      <c r="S40" s="5"/>
      <c r="T40" s="5"/>
    </row>
    <row r="41" spans="1:20" ht="15" customHeight="1" x14ac:dyDescent="0.15">
      <c r="A41" s="3" t="str">
        <f>Thermonix!A41</f>
        <v>Transition</v>
      </c>
      <c r="B41" s="4" t="str">
        <f>Thermonix!B41</f>
        <v>after cookingTime (Cook ⇒ Ready)</v>
      </c>
      <c r="C41" s="27">
        <f>'Human Grading'!C41</f>
        <v>1</v>
      </c>
      <c r="D41" s="27">
        <f>'LLM Grading'!C41</f>
        <v>0.5</v>
      </c>
      <c r="E41" s="5"/>
      <c r="F41" s="55" t="s">
        <v>132</v>
      </c>
      <c r="G41" s="2">
        <f t="shared" ref="G41:I41" si="23">SUM(G38:G40)</f>
        <v>4</v>
      </c>
      <c r="H41" s="2">
        <f t="shared" si="23"/>
        <v>0</v>
      </c>
      <c r="I41" s="2">
        <f t="shared" si="23"/>
        <v>3</v>
      </c>
      <c r="J41" s="2"/>
      <c r="L41" s="2"/>
      <c r="M41" s="56"/>
      <c r="O41" s="5"/>
      <c r="P41" s="5"/>
      <c r="Q41" s="5"/>
      <c r="R41" s="5"/>
      <c r="S41" s="5"/>
      <c r="T41" s="5"/>
    </row>
    <row r="42" spans="1:20" ht="15" customHeight="1" x14ac:dyDescent="0.15">
      <c r="A42" s="3" t="str">
        <f>Thermonix!A42</f>
        <v>Guard</v>
      </c>
      <c r="B42" s="4" t="str">
        <f>Thermonix!B42</f>
        <v>[!moreIngredientsRequired()]</v>
      </c>
      <c r="C42" s="27">
        <f>'Human Grading'!C42</f>
        <v>0.5</v>
      </c>
      <c r="D42" s="27">
        <f>'LLM Grading'!C42</f>
        <v>1</v>
      </c>
      <c r="E42" s="5"/>
      <c r="O42" s="5"/>
      <c r="P42" s="5"/>
      <c r="Q42" s="5"/>
      <c r="R42" s="5"/>
      <c r="S42" s="5"/>
      <c r="T42" s="5"/>
    </row>
    <row r="43" spans="1:20" ht="15" customHeight="1" x14ac:dyDescent="0.15">
      <c r="A43" s="3" t="str">
        <f>Thermonix!A43</f>
        <v>State</v>
      </c>
      <c r="B43" s="4" t="str">
        <f>Thermonix!B43</f>
        <v>Ready</v>
      </c>
      <c r="C43" s="27">
        <f>'Human Grading'!C43</f>
        <v>1</v>
      </c>
      <c r="D43" s="27">
        <f>'LLM Grading'!C43</f>
        <v>1</v>
      </c>
      <c r="E43" s="5"/>
      <c r="F43" s="79" t="s">
        <v>143</v>
      </c>
      <c r="G43" s="80"/>
      <c r="H43" s="80"/>
      <c r="I43" s="80"/>
      <c r="K43" s="2"/>
      <c r="L43" s="81" t="s">
        <v>144</v>
      </c>
      <c r="M43" s="82"/>
      <c r="N43" s="82"/>
      <c r="O43" s="5"/>
      <c r="P43" s="5"/>
      <c r="Q43" s="5"/>
      <c r="R43" s="5"/>
      <c r="S43" s="5"/>
      <c r="T43" s="5"/>
    </row>
    <row r="44" spans="1:20" ht="15" customHeight="1" x14ac:dyDescent="0.15">
      <c r="A44" s="3" t="str">
        <f>Thermonix!A44</f>
        <v>Transition</v>
      </c>
      <c r="B44" s="4" t="str">
        <f>Thermonix!B44</f>
        <v>after 14min 30sec (Ready ⇒ Preparing Shutdown)</v>
      </c>
      <c r="C44" s="27">
        <f>'Human Grading'!C44</f>
        <v>1</v>
      </c>
      <c r="D44" s="27">
        <f>'LLM Grading'!C44</f>
        <v>0</v>
      </c>
      <c r="E44" s="5"/>
      <c r="F44" s="2" t="s">
        <v>14</v>
      </c>
      <c r="G44" s="57" t="s">
        <v>120</v>
      </c>
      <c r="H44" s="57" t="s">
        <v>121</v>
      </c>
      <c r="I44" s="57" t="s">
        <v>122</v>
      </c>
      <c r="J44" s="58" t="s">
        <v>123</v>
      </c>
      <c r="K44" s="2"/>
      <c r="L44" s="59" t="s">
        <v>124</v>
      </c>
      <c r="M44" s="59" t="s">
        <v>125</v>
      </c>
      <c r="N44" s="59" t="s">
        <v>126</v>
      </c>
      <c r="O44" s="5"/>
      <c r="P44" s="5"/>
      <c r="Q44" s="5"/>
      <c r="R44" s="5"/>
      <c r="S44" s="5"/>
      <c r="T44" s="5"/>
    </row>
    <row r="45" spans="1:20" ht="15" customHeight="1" x14ac:dyDescent="0.15">
      <c r="A45" s="60" t="str">
        <f>Thermonix!A45</f>
        <v>State</v>
      </c>
      <c r="B45" s="61" t="str">
        <f>Thermonix!B45</f>
        <v>additional elements</v>
      </c>
      <c r="C45" s="62">
        <f>'Human Grading'!C45</f>
        <v>0</v>
      </c>
      <c r="D45" s="62">
        <f>'LLM Grading'!C45</f>
        <v>0</v>
      </c>
      <c r="E45" s="5"/>
      <c r="F45" s="45">
        <v>0</v>
      </c>
      <c r="G45" s="46">
        <f t="shared" ref="G45:H45" si="24">COUNTIFS($A$2:$A$88,$F$44,$C$2:$C$88,$F45,$D$2:$D$88,G$44)</f>
        <v>2</v>
      </c>
      <c r="H45" s="47">
        <f t="shared" si="24"/>
        <v>0</v>
      </c>
      <c r="I45" s="48">
        <f>COUNTIFS($A$2:$A$44,$F$44,$C$2:$C$44,$F45,$D$2:$D$44,I$44) + MAX(D51-C51,0)</f>
        <v>0</v>
      </c>
      <c r="J45" s="2">
        <f t="shared" ref="J45:J47" si="25">SUM(G45:I45)</f>
        <v>2</v>
      </c>
      <c r="K45" s="2"/>
      <c r="L45" s="49" t="s">
        <v>127</v>
      </c>
      <c r="M45" s="46">
        <f>(G45+H46+I47)/COUNTIF($A$2:$A$98,F44)</f>
        <v>1</v>
      </c>
      <c r="N45" s="48" t="s">
        <v>128</v>
      </c>
      <c r="O45" s="5"/>
      <c r="P45" s="5"/>
      <c r="Q45" s="5"/>
      <c r="R45" s="5"/>
      <c r="S45" s="5"/>
      <c r="T45" s="5"/>
    </row>
    <row r="46" spans="1:20" ht="12.75" customHeight="1" x14ac:dyDescent="0.15">
      <c r="A46" s="3" t="str">
        <f>Thermonix!A46</f>
        <v>Transition</v>
      </c>
      <c r="B46" s="4" t="str">
        <f>Thermonix!B46</f>
        <v>additional elements</v>
      </c>
      <c r="C46" s="27">
        <f>'Human Grading'!C46</f>
        <v>0</v>
      </c>
      <c r="D46" s="27">
        <f>'LLM Grading'!C46</f>
        <v>0</v>
      </c>
      <c r="F46" s="45">
        <v>0.5</v>
      </c>
      <c r="G46" s="50">
        <f t="shared" ref="G46:I46" si="26">COUNTIFS($A$2:$A$88,$F$44,$C$2:$C$88,$F46,$D$2:$D$88,G$44)</f>
        <v>0</v>
      </c>
      <c r="H46" s="2">
        <f t="shared" si="26"/>
        <v>0</v>
      </c>
      <c r="I46" s="51">
        <f t="shared" si="26"/>
        <v>0</v>
      </c>
      <c r="J46" s="2">
        <f t="shared" si="25"/>
        <v>0</v>
      </c>
      <c r="K46" s="2"/>
      <c r="L46" s="49" t="s">
        <v>129</v>
      </c>
      <c r="M46" s="50">
        <f t="array" ref="M46">SUMPRODUCT(J45:J47/COUNTIF($A$2:$A$98,F44), TRANSPOSE(G48:I48)/COUNTIF($A$2:$A$98,F44))</f>
        <v>1</v>
      </c>
      <c r="N46" s="51" t="s">
        <v>130</v>
      </c>
    </row>
    <row r="47" spans="1:20" ht="12.75" customHeight="1" x14ac:dyDescent="0.15">
      <c r="A47" s="3" t="str">
        <f>Thermonix!A47</f>
        <v>Guard</v>
      </c>
      <c r="B47" s="4" t="str">
        <f>Thermonix!B47</f>
        <v>additional elements</v>
      </c>
      <c r="C47" s="27">
        <f>'Human Grading'!C47</f>
        <v>0</v>
      </c>
      <c r="D47" s="27">
        <f>'LLM Grading'!C47</f>
        <v>0</v>
      </c>
      <c r="F47" s="45">
        <v>1</v>
      </c>
      <c r="G47" s="52">
        <f>COUNTIFS($A$2:$A$44,$F$44,$C$2:$C$44,$F47,$D$2:$D$44,G$44) + MAX(C51-D51,0)</f>
        <v>0</v>
      </c>
      <c r="H47" s="53">
        <f>COUNTIFS($A$2:$A$88,$F$44,$C$2:$C$88,$F47,$D$2:$D$88,H$44)</f>
        <v>0</v>
      </c>
      <c r="I47" s="54">
        <f>COUNTIFS($A$2:$A$44,$F$44,$C$2:$C$44,$F47,$D$2:$D$44,I$44) + MIN(C51,D51)</f>
        <v>0</v>
      </c>
      <c r="J47" s="2">
        <f t="shared" si="25"/>
        <v>0</v>
      </c>
      <c r="L47" s="49" t="s">
        <v>118</v>
      </c>
      <c r="M47" s="52" t="e">
        <f>(M45-M46)/(1-M46)</f>
        <v>#DIV/0!</v>
      </c>
      <c r="N47" s="54" t="s">
        <v>131</v>
      </c>
    </row>
    <row r="48" spans="1:20" ht="12.75" customHeight="1" x14ac:dyDescent="0.15">
      <c r="A48" s="3" t="str">
        <f>Thermonix!A48</f>
        <v>Action</v>
      </c>
      <c r="B48" s="4" t="str">
        <f>Thermonix!B48</f>
        <v>additional elements</v>
      </c>
      <c r="C48" s="27">
        <f>'Human Grading'!C48</f>
        <v>0</v>
      </c>
      <c r="D48" s="27">
        <f>'LLM Grading'!C48</f>
        <v>1</v>
      </c>
      <c r="F48" s="55" t="s">
        <v>132</v>
      </c>
      <c r="G48" s="2">
        <f t="shared" ref="G48:I48" si="27">SUM(G45:G47)</f>
        <v>2</v>
      </c>
      <c r="H48" s="2">
        <f t="shared" si="27"/>
        <v>0</v>
      </c>
      <c r="I48" s="2">
        <f t="shared" si="27"/>
        <v>0</v>
      </c>
      <c r="J48" s="2"/>
      <c r="L48" s="2"/>
      <c r="M48" s="56"/>
    </row>
    <row r="49" spans="1:14" ht="12.75" customHeight="1" x14ac:dyDescent="0.15">
      <c r="A49" s="3" t="str">
        <f>Thermonix!A49</f>
        <v>Composite State</v>
      </c>
      <c r="B49" s="4" t="str">
        <f>Thermonix!B49</f>
        <v>additional elements</v>
      </c>
      <c r="C49" s="27">
        <f>'Human Grading'!C49</f>
        <v>0</v>
      </c>
      <c r="D49" s="27">
        <f>'LLM Grading'!C49</f>
        <v>1</v>
      </c>
    </row>
    <row r="50" spans="1:14" ht="12.75" customHeight="1" x14ac:dyDescent="0.15">
      <c r="A50" s="3" t="str">
        <f>Thermonix!A50</f>
        <v>Region</v>
      </c>
      <c r="B50" s="4" t="str">
        <f>Thermonix!B50</f>
        <v>additional elements</v>
      </c>
      <c r="C50" s="27">
        <f>'Human Grading'!C50</f>
        <v>0</v>
      </c>
      <c r="D50" s="27">
        <f>'LLM Grading'!C50</f>
        <v>0</v>
      </c>
      <c r="F50" s="79" t="s">
        <v>145</v>
      </c>
      <c r="G50" s="80"/>
      <c r="H50" s="80"/>
      <c r="I50" s="80"/>
      <c r="K50" s="2"/>
      <c r="L50" s="81" t="s">
        <v>146</v>
      </c>
      <c r="M50" s="82"/>
      <c r="N50" s="82"/>
    </row>
    <row r="51" spans="1:14" ht="12.75" customHeight="1" x14ac:dyDescent="0.15">
      <c r="A51" s="3" t="str">
        <f>Thermonix!A51</f>
        <v>History State</v>
      </c>
      <c r="B51" s="4" t="str">
        <f>Thermonix!B51</f>
        <v>additional elements</v>
      </c>
      <c r="C51" s="27">
        <f>'Human Grading'!C51</f>
        <v>0</v>
      </c>
      <c r="D51" s="27">
        <f>'LLM Grading'!C51</f>
        <v>0</v>
      </c>
      <c r="F51" s="2" t="s">
        <v>48</v>
      </c>
      <c r="G51" s="57" t="s">
        <v>120</v>
      </c>
      <c r="H51" s="57" t="s">
        <v>121</v>
      </c>
      <c r="I51" s="57" t="s">
        <v>122</v>
      </c>
      <c r="J51" s="58" t="s">
        <v>123</v>
      </c>
      <c r="K51" s="2"/>
      <c r="L51" s="59" t="s">
        <v>124</v>
      </c>
      <c r="M51" s="59" t="s">
        <v>125</v>
      </c>
      <c r="N51" s="59" t="s">
        <v>126</v>
      </c>
    </row>
    <row r="52" spans="1:14" ht="12.75" customHeight="1" x14ac:dyDescent="0.15">
      <c r="A52" s="3"/>
      <c r="B52" s="4"/>
      <c r="C52" s="5"/>
      <c r="D52" s="5"/>
      <c r="F52" s="45">
        <v>0</v>
      </c>
      <c r="G52" s="46">
        <f t="shared" ref="G52:H52" si="28">COUNTIFS($A$2:$A$88,$F$51,$C$2:$C$88,$F52,$D$2:$D$88,G$51)</f>
        <v>1</v>
      </c>
      <c r="H52" s="47">
        <f t="shared" si="28"/>
        <v>0</v>
      </c>
      <c r="I52" s="48">
        <f>COUNTIFS($A$2:$A$44,$F$51,$C$2:$C$44,$F52,$D$2:$D$44,I$51)+MAX(D50-C50,0)</f>
        <v>0</v>
      </c>
      <c r="J52" s="2">
        <f t="shared" ref="J52:J54" si="29">SUM(G52:I52)</f>
        <v>1</v>
      </c>
      <c r="K52" s="2"/>
      <c r="L52" s="49" t="s">
        <v>127</v>
      </c>
      <c r="M52" s="46">
        <f>(G52+H53+I54)/COUNTIF($A$2:$A$98,F51)</f>
        <v>1</v>
      </c>
      <c r="N52" s="48" t="s">
        <v>128</v>
      </c>
    </row>
    <row r="53" spans="1:14" ht="12.75" customHeight="1" x14ac:dyDescent="0.15">
      <c r="A53" s="3"/>
      <c r="B53" s="4"/>
      <c r="C53" s="5"/>
      <c r="D53" s="5"/>
      <c r="F53" s="45">
        <v>0.5</v>
      </c>
      <c r="G53" s="50">
        <f t="shared" ref="G53:I53" si="30">COUNTIFS($A$2:$A$88,$F$51,$C$2:$C$88,$F53,$D$2:$D$88,G$51)</f>
        <v>0</v>
      </c>
      <c r="H53" s="2">
        <f t="shared" si="30"/>
        <v>0</v>
      </c>
      <c r="I53" s="51">
        <f t="shared" si="30"/>
        <v>0</v>
      </c>
      <c r="J53" s="2">
        <f t="shared" si="29"/>
        <v>0</v>
      </c>
      <c r="K53" s="2"/>
      <c r="L53" s="49" t="s">
        <v>129</v>
      </c>
      <c r="M53" s="50">
        <f t="array" ref="M53">SUMPRODUCT(J52:J54/COUNTIF($A$2:$A$98,F51), TRANSPOSE(G55:I55)/COUNTIF($A$2:$A$98,F51))</f>
        <v>1</v>
      </c>
      <c r="N53" s="51" t="s">
        <v>130</v>
      </c>
    </row>
    <row r="54" spans="1:14" ht="12.75" customHeight="1" x14ac:dyDescent="0.15">
      <c r="A54" s="3"/>
      <c r="B54" s="4"/>
      <c r="C54" s="5"/>
      <c r="D54" s="5"/>
      <c r="F54" s="45">
        <v>1</v>
      </c>
      <c r="G54" s="52">
        <f>COUNTIFS($A$2:$A$44,$F$51,$C$2:$C$44,$F54,$D$2:$D$44,G$51) + MAX(C50-D50,0)</f>
        <v>0</v>
      </c>
      <c r="H54" s="53">
        <f>COUNTIFS($A$2:$A$88,$F$51,$C$2:$C$88,$F54,$D$2:$D$88,H$51)</f>
        <v>0</v>
      </c>
      <c r="I54" s="54">
        <f>COUNTIFS($A$2:$A$44,$F$51,$C$2:$C$44,$F54,$D$2:$D$44,I$51)+MIN(C50,D50)</f>
        <v>0</v>
      </c>
      <c r="J54" s="2">
        <f t="shared" si="29"/>
        <v>0</v>
      </c>
      <c r="L54" s="49" t="s">
        <v>118</v>
      </c>
      <c r="M54" s="52" t="e">
        <f>(M52-M53)/(1-M53)</f>
        <v>#DIV/0!</v>
      </c>
      <c r="N54" s="54" t="s">
        <v>131</v>
      </c>
    </row>
    <row r="55" spans="1:14" ht="12.75" customHeight="1" x14ac:dyDescent="0.15">
      <c r="A55" s="3"/>
      <c r="B55" s="4"/>
      <c r="C55" s="5"/>
      <c r="D55" s="5"/>
      <c r="F55" s="55" t="s">
        <v>132</v>
      </c>
      <c r="G55" s="2">
        <f t="shared" ref="G55:I55" si="31">SUM(G52:G54)</f>
        <v>1</v>
      </c>
      <c r="H55" s="2">
        <f t="shared" si="31"/>
        <v>0</v>
      </c>
      <c r="I55" s="2">
        <f t="shared" si="31"/>
        <v>0</v>
      </c>
      <c r="J55" s="2"/>
      <c r="L55" s="2"/>
      <c r="M55" s="56"/>
    </row>
    <row r="56" spans="1:14" ht="12.75" customHeight="1" x14ac:dyDescent="0.15">
      <c r="A56" s="3"/>
      <c r="B56" s="4"/>
      <c r="C56" s="5"/>
      <c r="D56" s="5"/>
    </row>
    <row r="57" spans="1:14" ht="12.75" customHeight="1" x14ac:dyDescent="0.15">
      <c r="A57" s="3"/>
      <c r="B57" s="4"/>
      <c r="C57" s="5"/>
      <c r="D57" s="5"/>
    </row>
    <row r="58" spans="1:14" ht="12.75" customHeight="1" x14ac:dyDescent="0.15">
      <c r="A58" s="3"/>
      <c r="B58" s="4"/>
      <c r="C58" s="5"/>
      <c r="D58" s="5"/>
    </row>
    <row r="59" spans="1:14" ht="12.75" customHeight="1" x14ac:dyDescent="0.15">
      <c r="A59" s="3"/>
      <c r="B59" s="4"/>
      <c r="C59" s="5"/>
      <c r="D59" s="5"/>
    </row>
    <row r="60" spans="1:14" ht="12.75" customHeight="1" x14ac:dyDescent="0.15">
      <c r="A60" s="3"/>
      <c r="B60" s="4"/>
      <c r="C60" s="5"/>
      <c r="D60" s="5"/>
    </row>
    <row r="61" spans="1:14" ht="12.75" customHeight="1" x14ac:dyDescent="0.15">
      <c r="A61" s="3"/>
      <c r="B61" s="4"/>
      <c r="C61" s="5"/>
      <c r="D61" s="5"/>
    </row>
    <row r="62" spans="1:14" ht="12.75" customHeight="1" x14ac:dyDescent="0.15">
      <c r="A62" s="3"/>
      <c r="B62" s="4"/>
      <c r="C62" s="5"/>
      <c r="D62" s="5"/>
    </row>
    <row r="63" spans="1:14" ht="12.75" customHeight="1" x14ac:dyDescent="0.15">
      <c r="A63" s="3"/>
      <c r="B63" s="4"/>
      <c r="C63" s="5"/>
      <c r="D63" s="5"/>
    </row>
    <row r="64" spans="1:14" ht="12.75" customHeight="1" x14ac:dyDescent="0.15">
      <c r="A64" s="3"/>
      <c r="B64" s="4"/>
      <c r="C64" s="5"/>
      <c r="D64" s="5"/>
    </row>
    <row r="65" spans="1:4" ht="12.75" customHeight="1" x14ac:dyDescent="0.15">
      <c r="A65" s="3"/>
      <c r="B65" s="4"/>
      <c r="C65" s="5"/>
      <c r="D65" s="5"/>
    </row>
    <row r="66" spans="1:4" ht="12.75" customHeight="1" x14ac:dyDescent="0.15">
      <c r="A66" s="3"/>
      <c r="B66" s="4"/>
      <c r="C66" s="5"/>
      <c r="D66" s="5"/>
    </row>
    <row r="67" spans="1:4" ht="12.75" customHeight="1" x14ac:dyDescent="0.15">
      <c r="A67" s="3"/>
      <c r="B67" s="4"/>
      <c r="C67" s="5"/>
      <c r="D67" s="5"/>
    </row>
    <row r="68" spans="1:4" ht="12.75" customHeight="1" x14ac:dyDescent="0.15">
      <c r="A68" s="3"/>
      <c r="B68" s="4"/>
      <c r="C68" s="5"/>
      <c r="D68" s="5"/>
    </row>
    <row r="69" spans="1:4" ht="12.75" customHeight="1" x14ac:dyDescent="0.15">
      <c r="A69" s="3"/>
      <c r="B69" s="4"/>
      <c r="C69" s="5"/>
      <c r="D69" s="5"/>
    </row>
    <row r="70" spans="1:4" ht="12.75" customHeight="1" x14ac:dyDescent="0.15">
      <c r="A70" s="3"/>
      <c r="B70" s="4"/>
      <c r="C70" s="5"/>
      <c r="D70" s="5"/>
    </row>
    <row r="71" spans="1:4" ht="12.75" customHeight="1" x14ac:dyDescent="0.15">
      <c r="A71" s="3"/>
      <c r="B71" s="4"/>
      <c r="C71" s="5"/>
      <c r="D71" s="5"/>
    </row>
    <row r="72" spans="1:4" ht="12.75" customHeight="1" x14ac:dyDescent="0.15">
      <c r="A72" s="3"/>
      <c r="B72" s="4"/>
      <c r="C72" s="5"/>
      <c r="D72" s="5"/>
    </row>
    <row r="73" spans="1:4" ht="12.75" customHeight="1" x14ac:dyDescent="0.15">
      <c r="A73" s="3"/>
      <c r="B73" s="4"/>
      <c r="C73" s="5"/>
      <c r="D73" s="5"/>
    </row>
    <row r="74" spans="1:4" ht="12.75" customHeight="1" x14ac:dyDescent="0.15">
      <c r="A74" s="3"/>
      <c r="B74" s="4"/>
      <c r="C74" s="5"/>
      <c r="D74" s="5"/>
    </row>
    <row r="75" spans="1:4" ht="12.75" customHeight="1" x14ac:dyDescent="0.15">
      <c r="A75" s="3"/>
      <c r="B75" s="4"/>
      <c r="D75" s="5"/>
    </row>
    <row r="76" spans="1:4" ht="12.75" customHeight="1" x14ac:dyDescent="0.15">
      <c r="A76" s="3"/>
      <c r="B76" s="4"/>
      <c r="D76" s="5"/>
    </row>
    <row r="77" spans="1:4" ht="12.75" customHeight="1" x14ac:dyDescent="0.15">
      <c r="A77" s="3"/>
      <c r="B77" s="4"/>
      <c r="D77" s="5"/>
    </row>
    <row r="78" spans="1:4" ht="12.75" customHeight="1" x14ac:dyDescent="0.15">
      <c r="A78" s="3"/>
      <c r="B78" s="4"/>
      <c r="D78" s="5"/>
    </row>
    <row r="79" spans="1:4" ht="12.75" customHeight="1" x14ac:dyDescent="0.15">
      <c r="A79" s="3"/>
      <c r="B79" s="4"/>
      <c r="D79" s="5"/>
    </row>
    <row r="80" spans="1:4" ht="12.75" customHeight="1" x14ac:dyDescent="0.15">
      <c r="A80" s="3"/>
      <c r="B80" s="4"/>
      <c r="D80" s="5"/>
    </row>
    <row r="81" spans="1:4" ht="12.75" customHeight="1" x14ac:dyDescent="0.15">
      <c r="A81" s="3"/>
      <c r="B81" s="4"/>
      <c r="D81" s="5"/>
    </row>
    <row r="82" spans="1:4" ht="12.75" customHeight="1" x14ac:dyDescent="0.15">
      <c r="A82" s="3"/>
      <c r="B82" s="4"/>
      <c r="D82" s="5"/>
    </row>
    <row r="83" spans="1:4" ht="12.75" customHeight="1" x14ac:dyDescent="0.15">
      <c r="A83" s="3"/>
      <c r="B83" s="4"/>
      <c r="D83" s="5"/>
    </row>
    <row r="84" spans="1:4" ht="12.75" customHeight="1" x14ac:dyDescent="0.15">
      <c r="A84" s="3"/>
      <c r="B84" s="4"/>
    </row>
    <row r="85" spans="1:4" ht="12.75" customHeight="1" x14ac:dyDescent="0.15">
      <c r="A85" s="1"/>
      <c r="B85" s="2"/>
    </row>
    <row r="86" spans="1:4" ht="12.75" customHeight="1" x14ac:dyDescent="0.15">
      <c r="A86" s="1"/>
      <c r="B86" s="2"/>
    </row>
    <row r="87" spans="1:4" ht="12.75" customHeight="1" x14ac:dyDescent="0.15">
      <c r="A87" s="1"/>
      <c r="B87" s="2"/>
    </row>
    <row r="88" spans="1:4" ht="12.75" customHeight="1" x14ac:dyDescent="0.15">
      <c r="A88" s="1"/>
      <c r="B88" s="2"/>
    </row>
    <row r="89" spans="1:4" ht="12.75" customHeight="1" x14ac:dyDescent="0.15">
      <c r="A89" s="1"/>
      <c r="B89" s="2"/>
    </row>
    <row r="90" spans="1:4" ht="12.75" customHeight="1" x14ac:dyDescent="0.15">
      <c r="A90" s="1"/>
      <c r="B90" s="2"/>
    </row>
    <row r="91" spans="1:4" ht="12.75" customHeight="1" x14ac:dyDescent="0.15">
      <c r="A91" s="1"/>
      <c r="B91" s="2"/>
    </row>
    <row r="92" spans="1:4" ht="12.75" customHeight="1" x14ac:dyDescent="0.15">
      <c r="A92" s="1"/>
      <c r="B92" s="2"/>
    </row>
    <row r="93" spans="1:4" ht="12.75" customHeight="1" x14ac:dyDescent="0.15">
      <c r="A93" s="1"/>
      <c r="B93" s="2"/>
    </row>
    <row r="94" spans="1:4" ht="12.75" customHeight="1" x14ac:dyDescent="0.15">
      <c r="A94" s="1"/>
      <c r="B94" s="2"/>
    </row>
    <row r="95" spans="1:4" ht="12.75" customHeight="1" x14ac:dyDescent="0.15">
      <c r="A95" s="1"/>
      <c r="B95" s="2"/>
    </row>
    <row r="96" spans="1:4" ht="12.75" customHeight="1" x14ac:dyDescent="0.15">
      <c r="A96" s="1"/>
      <c r="B96" s="2"/>
    </row>
    <row r="97" spans="1:2" ht="12.75" customHeight="1" x14ac:dyDescent="0.15">
      <c r="A97" s="1"/>
      <c r="B97" s="2"/>
    </row>
    <row r="98" spans="1:2" ht="12.75" customHeight="1" x14ac:dyDescent="0.15">
      <c r="A98" s="1"/>
      <c r="B98" s="2"/>
    </row>
    <row r="99" spans="1:2" ht="12.75" customHeight="1" x14ac:dyDescent="0.15">
      <c r="A99" s="1"/>
      <c r="B99" s="2"/>
    </row>
    <row r="100" spans="1:2" ht="12.75" customHeight="1" x14ac:dyDescent="0.15">
      <c r="A100" s="1"/>
      <c r="B100" s="2"/>
    </row>
    <row r="101" spans="1:2" ht="12.75" customHeight="1" x14ac:dyDescent="0.15">
      <c r="A101" s="1"/>
      <c r="B101" s="2"/>
    </row>
    <row r="102" spans="1:2" ht="12.75" customHeight="1" x14ac:dyDescent="0.15">
      <c r="A102" s="1"/>
      <c r="B102" s="2"/>
    </row>
    <row r="103" spans="1:2" ht="12.75" customHeight="1" x14ac:dyDescent="0.15">
      <c r="A103" s="1"/>
      <c r="B103" s="2"/>
    </row>
    <row r="104" spans="1:2" ht="12.75" customHeight="1" x14ac:dyDescent="0.15">
      <c r="A104" s="1"/>
      <c r="B104" s="2"/>
    </row>
    <row r="105" spans="1:2" ht="12.75" customHeight="1" x14ac:dyDescent="0.15">
      <c r="A105" s="1"/>
      <c r="B105" s="2"/>
    </row>
    <row r="106" spans="1:2" ht="12.75" customHeight="1" x14ac:dyDescent="0.15">
      <c r="A106" s="1"/>
      <c r="B106" s="2"/>
    </row>
    <row r="107" spans="1:2" ht="12.75" customHeight="1" x14ac:dyDescent="0.15">
      <c r="A107" s="1"/>
      <c r="B107" s="2"/>
    </row>
    <row r="108" spans="1:2" ht="12.75" customHeight="1" x14ac:dyDescent="0.15">
      <c r="A108" s="1"/>
      <c r="B108" s="2"/>
    </row>
    <row r="109" spans="1:2" ht="12.75" customHeight="1" x14ac:dyDescent="0.15">
      <c r="A109" s="1"/>
      <c r="B109" s="2"/>
    </row>
    <row r="110" spans="1:2" ht="12.75" customHeight="1" x14ac:dyDescent="0.15">
      <c r="A110" s="1"/>
      <c r="B110" s="2"/>
    </row>
    <row r="111" spans="1:2" ht="12.75" customHeight="1" x14ac:dyDescent="0.15">
      <c r="A111" s="1"/>
      <c r="B111" s="2"/>
    </row>
    <row r="112" spans="1:2" ht="12.75" customHeight="1" x14ac:dyDescent="0.15">
      <c r="A112" s="1"/>
      <c r="B112" s="2"/>
    </row>
    <row r="113" spans="1:2" ht="12.75" customHeight="1" x14ac:dyDescent="0.15">
      <c r="A113" s="1"/>
      <c r="B113" s="2"/>
    </row>
    <row r="114" spans="1:2" ht="12.75" customHeight="1" x14ac:dyDescent="0.15">
      <c r="A114" s="1"/>
      <c r="B114" s="2"/>
    </row>
    <row r="115" spans="1:2" ht="12.75" customHeight="1" x14ac:dyDescent="0.15">
      <c r="A115" s="1"/>
      <c r="B115" s="2"/>
    </row>
    <row r="116" spans="1:2" ht="12.75" customHeight="1" x14ac:dyDescent="0.15">
      <c r="A116" s="1"/>
      <c r="B116" s="2"/>
    </row>
    <row r="117" spans="1:2" ht="12.75" customHeight="1" x14ac:dyDescent="0.15">
      <c r="A117" s="1"/>
      <c r="B117" s="2"/>
    </row>
    <row r="118" spans="1:2" ht="12.75" customHeight="1" x14ac:dyDescent="0.15">
      <c r="A118" s="1"/>
      <c r="B118" s="2"/>
    </row>
    <row r="119" spans="1:2" ht="12.75" customHeight="1" x14ac:dyDescent="0.15">
      <c r="A119" s="1"/>
      <c r="B119" s="2"/>
    </row>
    <row r="120" spans="1:2" ht="12.75" customHeight="1" x14ac:dyDescent="0.15">
      <c r="A120" s="1"/>
      <c r="B120" s="2"/>
    </row>
    <row r="121" spans="1:2" ht="12.75" customHeight="1" x14ac:dyDescent="0.15">
      <c r="A121" s="1"/>
      <c r="B121" s="2"/>
    </row>
    <row r="122" spans="1:2" ht="12.75" customHeight="1" x14ac:dyDescent="0.15">
      <c r="A122" s="1"/>
      <c r="B122" s="2"/>
    </row>
    <row r="123" spans="1:2" ht="12.75" customHeight="1" x14ac:dyDescent="0.15">
      <c r="A123" s="1"/>
      <c r="B123" s="2"/>
    </row>
    <row r="124" spans="1:2" ht="12.75" customHeight="1" x14ac:dyDescent="0.15">
      <c r="A124" s="1"/>
      <c r="B124" s="2"/>
    </row>
    <row r="125" spans="1:2" ht="12.75" customHeight="1" x14ac:dyDescent="0.15">
      <c r="A125" s="1"/>
      <c r="B125" s="2"/>
    </row>
    <row r="126" spans="1:2" ht="12.75" customHeight="1" x14ac:dyDescent="0.15">
      <c r="A126" s="1"/>
      <c r="B126" s="2"/>
    </row>
    <row r="127" spans="1:2" ht="12.75" customHeight="1" x14ac:dyDescent="0.15">
      <c r="A127" s="1"/>
      <c r="B127" s="2"/>
    </row>
    <row r="128" spans="1:2" ht="12.75" customHeight="1" x14ac:dyDescent="0.15">
      <c r="A128" s="1"/>
      <c r="B128" s="2"/>
    </row>
    <row r="129" spans="1:2" ht="12.75" customHeight="1" x14ac:dyDescent="0.15">
      <c r="A129" s="1"/>
      <c r="B129" s="2"/>
    </row>
    <row r="130" spans="1:2" ht="12.75" customHeight="1" x14ac:dyDescent="0.15">
      <c r="A130" s="1"/>
      <c r="B130" s="2"/>
    </row>
    <row r="131" spans="1:2" ht="12.75" customHeight="1" x14ac:dyDescent="0.15">
      <c r="A131" s="1"/>
      <c r="B131" s="2"/>
    </row>
    <row r="132" spans="1:2" ht="12.75" customHeight="1" x14ac:dyDescent="0.15">
      <c r="A132" s="1"/>
      <c r="B132" s="2"/>
    </row>
    <row r="133" spans="1:2" ht="12.75" customHeight="1" x14ac:dyDescent="0.15">
      <c r="A133" s="1"/>
      <c r="B133" s="2"/>
    </row>
    <row r="134" spans="1:2" ht="12.75" customHeight="1" x14ac:dyDescent="0.15">
      <c r="A134" s="1"/>
      <c r="B134" s="2"/>
    </row>
    <row r="135" spans="1:2" ht="12.75" customHeight="1" x14ac:dyDescent="0.15">
      <c r="A135" s="1"/>
      <c r="B135" s="2"/>
    </row>
    <row r="136" spans="1:2" ht="12.75" customHeight="1" x14ac:dyDescent="0.15">
      <c r="A136" s="1"/>
      <c r="B136" s="2"/>
    </row>
    <row r="137" spans="1:2" ht="12.75" customHeight="1" x14ac:dyDescent="0.15">
      <c r="A137" s="1"/>
      <c r="B137" s="2"/>
    </row>
    <row r="138" spans="1:2" ht="12.75" customHeight="1" x14ac:dyDescent="0.15">
      <c r="A138" s="1"/>
      <c r="B138" s="2"/>
    </row>
    <row r="139" spans="1:2" ht="12.75" customHeight="1" x14ac:dyDescent="0.15">
      <c r="A139" s="1"/>
      <c r="B139" s="2"/>
    </row>
    <row r="140" spans="1:2" ht="12.75" customHeight="1" x14ac:dyDescent="0.15">
      <c r="A140" s="1"/>
      <c r="B140" s="2"/>
    </row>
    <row r="141" spans="1:2" ht="12.75" customHeight="1" x14ac:dyDescent="0.15">
      <c r="A141" s="1"/>
      <c r="B141" s="2"/>
    </row>
    <row r="142" spans="1:2" ht="12.75" customHeight="1" x14ac:dyDescent="0.15">
      <c r="A142" s="1"/>
      <c r="B142" s="2"/>
    </row>
    <row r="143" spans="1:2" ht="12.75" customHeight="1" x14ac:dyDescent="0.15">
      <c r="A143" s="1"/>
      <c r="B143" s="2"/>
    </row>
    <row r="144" spans="1:2" ht="12.75" customHeight="1" x14ac:dyDescent="0.15">
      <c r="A144" s="1"/>
      <c r="B144" s="2"/>
    </row>
    <row r="145" spans="1:2" ht="12.75" customHeight="1" x14ac:dyDescent="0.15">
      <c r="A145" s="1"/>
      <c r="B145" s="2"/>
    </row>
    <row r="146" spans="1:2" ht="12.75" customHeight="1" x14ac:dyDescent="0.15">
      <c r="A146" s="1"/>
      <c r="B146" s="2"/>
    </row>
    <row r="147" spans="1:2" ht="12.75" customHeight="1" x14ac:dyDescent="0.15">
      <c r="A147" s="1"/>
      <c r="B147" s="2"/>
    </row>
    <row r="148" spans="1:2" ht="12.75" customHeight="1" x14ac:dyDescent="0.15">
      <c r="A148" s="1"/>
      <c r="B148" s="2"/>
    </row>
    <row r="149" spans="1:2" ht="12.75" customHeight="1" x14ac:dyDescent="0.15">
      <c r="A149" s="1"/>
      <c r="B149" s="2"/>
    </row>
    <row r="150" spans="1:2" ht="12.75" customHeight="1" x14ac:dyDescent="0.15">
      <c r="A150" s="1"/>
      <c r="B150" s="2"/>
    </row>
    <row r="151" spans="1:2" ht="12.75" customHeight="1" x14ac:dyDescent="0.15">
      <c r="A151" s="1"/>
      <c r="B151" s="2"/>
    </row>
    <row r="152" spans="1:2" ht="12.75" customHeight="1" x14ac:dyDescent="0.15">
      <c r="A152" s="1"/>
      <c r="B152" s="2"/>
    </row>
    <row r="153" spans="1:2" ht="12.75" customHeight="1" x14ac:dyDescent="0.15">
      <c r="A153" s="1"/>
      <c r="B153" s="2"/>
    </row>
    <row r="154" spans="1:2" ht="12.75" customHeight="1" x14ac:dyDescent="0.15">
      <c r="A154" s="1"/>
      <c r="B154" s="2"/>
    </row>
    <row r="155" spans="1:2" ht="12.75" customHeight="1" x14ac:dyDescent="0.15">
      <c r="A155" s="1"/>
      <c r="B155" s="2"/>
    </row>
    <row r="156" spans="1:2" ht="12.75" customHeight="1" x14ac:dyDescent="0.15">
      <c r="A156" s="1"/>
      <c r="B156" s="2"/>
    </row>
    <row r="157" spans="1:2" ht="12.75" customHeight="1" x14ac:dyDescent="0.15">
      <c r="A157" s="1"/>
      <c r="B157" s="2"/>
    </row>
    <row r="158" spans="1:2" ht="12.75" customHeight="1" x14ac:dyDescent="0.15">
      <c r="A158" s="1"/>
      <c r="B158" s="2"/>
    </row>
    <row r="159" spans="1:2" ht="12.75" customHeight="1" x14ac:dyDescent="0.15">
      <c r="A159" s="1"/>
      <c r="B159" s="2"/>
    </row>
    <row r="160" spans="1:2" ht="12.75" customHeight="1" x14ac:dyDescent="0.15">
      <c r="A160" s="1"/>
      <c r="B160" s="2"/>
    </row>
    <row r="161" spans="1:2" ht="12.75" customHeight="1" x14ac:dyDescent="0.15">
      <c r="A161" s="1"/>
      <c r="B161" s="2"/>
    </row>
    <row r="162" spans="1:2" ht="12.75" customHeight="1" x14ac:dyDescent="0.15">
      <c r="A162" s="1"/>
      <c r="B162" s="2"/>
    </row>
    <row r="163" spans="1:2" ht="12.75" customHeight="1" x14ac:dyDescent="0.15">
      <c r="A163" s="1"/>
      <c r="B163" s="2"/>
    </row>
    <row r="164" spans="1:2" ht="12.75" customHeight="1" x14ac:dyDescent="0.15">
      <c r="A164" s="1"/>
      <c r="B164" s="2"/>
    </row>
    <row r="165" spans="1:2" ht="12.75" customHeight="1" x14ac:dyDescent="0.15">
      <c r="A165" s="1"/>
      <c r="B165" s="2"/>
    </row>
    <row r="166" spans="1:2" ht="12.75" customHeight="1" x14ac:dyDescent="0.15">
      <c r="A166" s="1"/>
      <c r="B166" s="2"/>
    </row>
    <row r="167" spans="1:2" ht="12.75" customHeight="1" x14ac:dyDescent="0.15">
      <c r="A167" s="1"/>
      <c r="B167" s="2"/>
    </row>
    <row r="168" spans="1:2" ht="12.75" customHeight="1" x14ac:dyDescent="0.15">
      <c r="A168" s="1"/>
      <c r="B168" s="2"/>
    </row>
    <row r="169" spans="1:2" ht="12.75" customHeight="1" x14ac:dyDescent="0.15">
      <c r="A169" s="1"/>
      <c r="B169" s="2"/>
    </row>
    <row r="170" spans="1:2" ht="12.75" customHeight="1" x14ac:dyDescent="0.15">
      <c r="A170" s="1"/>
      <c r="B170" s="2"/>
    </row>
    <row r="171" spans="1:2" ht="12.75" customHeight="1" x14ac:dyDescent="0.15">
      <c r="A171" s="1"/>
      <c r="B171" s="2"/>
    </row>
    <row r="172" spans="1:2" ht="12.75" customHeight="1" x14ac:dyDescent="0.15">
      <c r="A172" s="1"/>
      <c r="B172" s="2"/>
    </row>
    <row r="173" spans="1:2" ht="12.75" customHeight="1" x14ac:dyDescent="0.15">
      <c r="A173" s="1"/>
      <c r="B173" s="2"/>
    </row>
    <row r="174" spans="1:2" ht="12.75" customHeight="1" x14ac:dyDescent="0.15">
      <c r="A174" s="1"/>
      <c r="B174" s="2"/>
    </row>
    <row r="175" spans="1:2" ht="12.75" customHeight="1" x14ac:dyDescent="0.15">
      <c r="A175" s="1"/>
      <c r="B175" s="2"/>
    </row>
    <row r="176" spans="1:2" ht="12.75" customHeight="1" x14ac:dyDescent="0.15">
      <c r="A176" s="1"/>
      <c r="B176" s="2"/>
    </row>
    <row r="177" spans="1:2" ht="12.75" customHeight="1" x14ac:dyDescent="0.15">
      <c r="A177" s="1"/>
      <c r="B177" s="2"/>
    </row>
    <row r="178" spans="1:2" ht="12.75" customHeight="1" x14ac:dyDescent="0.15">
      <c r="A178" s="1"/>
      <c r="B178" s="2"/>
    </row>
    <row r="179" spans="1:2" ht="12.75" customHeight="1" x14ac:dyDescent="0.15">
      <c r="A179" s="1"/>
      <c r="B179" s="2"/>
    </row>
    <row r="180" spans="1:2" ht="12.75" customHeight="1" x14ac:dyDescent="0.15">
      <c r="A180" s="1"/>
      <c r="B180" s="2"/>
    </row>
    <row r="181" spans="1:2" ht="12.75" customHeight="1" x14ac:dyDescent="0.15">
      <c r="A181" s="1"/>
      <c r="B181" s="2"/>
    </row>
    <row r="182" spans="1:2" ht="12.75" customHeight="1" x14ac:dyDescent="0.15">
      <c r="A182" s="1"/>
      <c r="B182" s="2"/>
    </row>
    <row r="183" spans="1:2" ht="12.75" customHeight="1" x14ac:dyDescent="0.15">
      <c r="A183" s="1"/>
      <c r="B183" s="2"/>
    </row>
    <row r="184" spans="1:2" ht="12.75" customHeight="1" x14ac:dyDescent="0.15">
      <c r="A184" s="1"/>
      <c r="B184" s="2"/>
    </row>
    <row r="185" spans="1:2" ht="12.75" customHeight="1" x14ac:dyDescent="0.15">
      <c r="A185" s="1"/>
      <c r="B185" s="2"/>
    </row>
    <row r="186" spans="1:2" ht="12.75" customHeight="1" x14ac:dyDescent="0.15">
      <c r="A186" s="1"/>
      <c r="B186" s="2"/>
    </row>
    <row r="187" spans="1:2" ht="12.75" customHeight="1" x14ac:dyDescent="0.15">
      <c r="A187" s="1"/>
      <c r="B187" s="2"/>
    </row>
    <row r="188" spans="1:2" ht="12.75" customHeight="1" x14ac:dyDescent="0.15">
      <c r="A188" s="1"/>
      <c r="B188" s="2"/>
    </row>
    <row r="189" spans="1:2" ht="12.75" customHeight="1" x14ac:dyDescent="0.15">
      <c r="A189" s="1"/>
      <c r="B189" s="2"/>
    </row>
    <row r="190" spans="1:2" ht="12.75" customHeight="1" x14ac:dyDescent="0.15">
      <c r="A190" s="1"/>
      <c r="B190" s="2"/>
    </row>
    <row r="191" spans="1:2" ht="12.75" customHeight="1" x14ac:dyDescent="0.15">
      <c r="A191" s="1"/>
      <c r="B191" s="2"/>
    </row>
    <row r="192" spans="1:2" ht="12.75" customHeight="1" x14ac:dyDescent="0.15">
      <c r="A192" s="1"/>
      <c r="B192" s="2"/>
    </row>
    <row r="193" spans="1:2" ht="12.75" customHeight="1" x14ac:dyDescent="0.15">
      <c r="A193" s="1"/>
      <c r="B193" s="2"/>
    </row>
    <row r="194" spans="1:2" ht="12.75" customHeight="1" x14ac:dyDescent="0.15">
      <c r="A194" s="1"/>
      <c r="B194" s="2"/>
    </row>
    <row r="195" spans="1:2" ht="12.75" customHeight="1" x14ac:dyDescent="0.15">
      <c r="A195" s="1"/>
      <c r="B195" s="2"/>
    </row>
    <row r="196" spans="1:2" ht="12.75" customHeight="1" x14ac:dyDescent="0.15">
      <c r="A196" s="1"/>
      <c r="B196" s="2"/>
    </row>
    <row r="197" spans="1:2" ht="12.75" customHeight="1" x14ac:dyDescent="0.15">
      <c r="A197" s="1"/>
      <c r="B197" s="2"/>
    </row>
    <row r="198" spans="1:2" ht="12.75" customHeight="1" x14ac:dyDescent="0.15">
      <c r="A198" s="1"/>
      <c r="B198" s="2"/>
    </row>
    <row r="199" spans="1:2" ht="12.75" customHeight="1" x14ac:dyDescent="0.15">
      <c r="A199" s="1"/>
      <c r="B199" s="2"/>
    </row>
    <row r="200" spans="1:2" ht="12.75" customHeight="1" x14ac:dyDescent="0.15">
      <c r="A200" s="1"/>
      <c r="B200" s="2"/>
    </row>
    <row r="201" spans="1:2" ht="12.75" customHeight="1" x14ac:dyDescent="0.15">
      <c r="A201" s="1"/>
      <c r="B201" s="2"/>
    </row>
    <row r="202" spans="1:2" ht="12.75" customHeight="1" x14ac:dyDescent="0.15">
      <c r="A202" s="1"/>
      <c r="B202" s="2"/>
    </row>
    <row r="203" spans="1:2" ht="12.75" customHeight="1" x14ac:dyDescent="0.15">
      <c r="A203" s="1"/>
      <c r="B203" s="2"/>
    </row>
    <row r="204" spans="1:2" ht="12.75" customHeight="1" x14ac:dyDescent="0.15">
      <c r="A204" s="1"/>
      <c r="B204" s="2"/>
    </row>
    <row r="205" spans="1:2" ht="12.75" customHeight="1" x14ac:dyDescent="0.15">
      <c r="A205" s="1"/>
      <c r="B205" s="2"/>
    </row>
    <row r="206" spans="1:2" ht="12.75" customHeight="1" x14ac:dyDescent="0.15">
      <c r="A206" s="1"/>
      <c r="B206" s="2"/>
    </row>
    <row r="207" spans="1:2" ht="12.75" customHeight="1" x14ac:dyDescent="0.15">
      <c r="A207" s="1"/>
      <c r="B207" s="2"/>
    </row>
    <row r="208" spans="1:2" ht="12.75" customHeight="1" x14ac:dyDescent="0.15">
      <c r="A208" s="1"/>
      <c r="B208" s="2"/>
    </row>
    <row r="209" spans="1:2" ht="12.75" customHeight="1" x14ac:dyDescent="0.15">
      <c r="A209" s="1"/>
      <c r="B209" s="2"/>
    </row>
    <row r="210" spans="1:2" ht="12.75" customHeight="1" x14ac:dyDescent="0.15">
      <c r="A210" s="1"/>
      <c r="B210" s="2"/>
    </row>
    <row r="211" spans="1:2" ht="12.75" customHeight="1" x14ac:dyDescent="0.15">
      <c r="A211" s="1"/>
      <c r="B211" s="2"/>
    </row>
    <row r="212" spans="1:2" ht="12.75" customHeight="1" x14ac:dyDescent="0.15">
      <c r="A212" s="1"/>
      <c r="B212" s="2"/>
    </row>
    <row r="213" spans="1:2" ht="12.75" customHeight="1" x14ac:dyDescent="0.15">
      <c r="A213" s="1"/>
      <c r="B213" s="2"/>
    </row>
    <row r="214" spans="1:2" ht="12.75" customHeight="1" x14ac:dyDescent="0.15">
      <c r="A214" s="1"/>
      <c r="B214" s="2"/>
    </row>
    <row r="215" spans="1:2" ht="12.75" customHeight="1" x14ac:dyDescent="0.15">
      <c r="A215" s="1"/>
      <c r="B215" s="2"/>
    </row>
    <row r="216" spans="1:2" ht="12.75" customHeight="1" x14ac:dyDescent="0.15">
      <c r="A216" s="1"/>
      <c r="B216" s="2"/>
    </row>
    <row r="217" spans="1:2" ht="12.75" customHeight="1" x14ac:dyDescent="0.15">
      <c r="A217" s="1"/>
      <c r="B217" s="2"/>
    </row>
    <row r="218" spans="1:2" ht="12.75" customHeight="1" x14ac:dyDescent="0.15">
      <c r="A218" s="1"/>
      <c r="B218" s="2"/>
    </row>
    <row r="219" spans="1:2" ht="12.75" customHeight="1" x14ac:dyDescent="0.15">
      <c r="A219" s="1"/>
      <c r="B219" s="2"/>
    </row>
    <row r="220" spans="1:2" ht="12.75" customHeight="1" x14ac:dyDescent="0.15">
      <c r="A220" s="1"/>
      <c r="B220" s="2"/>
    </row>
    <row r="221" spans="1:2" ht="12.75" customHeight="1" x14ac:dyDescent="0.15">
      <c r="A221" s="1"/>
      <c r="B221" s="2"/>
    </row>
    <row r="222" spans="1:2" ht="12.75" customHeight="1" x14ac:dyDescent="0.15">
      <c r="A222" s="1"/>
      <c r="B222" s="2"/>
    </row>
    <row r="223" spans="1:2" ht="12.75" customHeight="1" x14ac:dyDescent="0.15">
      <c r="A223" s="1"/>
      <c r="B223" s="2"/>
    </row>
    <row r="224" spans="1:2" ht="12.75" customHeight="1" x14ac:dyDescent="0.15">
      <c r="A224" s="1"/>
      <c r="B224" s="2"/>
    </row>
    <row r="225" spans="1:2" ht="12.75" customHeight="1" x14ac:dyDescent="0.15">
      <c r="A225" s="1"/>
      <c r="B225" s="2"/>
    </row>
    <row r="226" spans="1:2" ht="12.75" customHeight="1" x14ac:dyDescent="0.15">
      <c r="A226" s="1"/>
      <c r="B226" s="2"/>
    </row>
    <row r="227" spans="1:2" ht="12.75" customHeight="1" x14ac:dyDescent="0.15">
      <c r="A227" s="1"/>
      <c r="B227" s="2"/>
    </row>
    <row r="228" spans="1:2" ht="12.75" customHeight="1" x14ac:dyDescent="0.15">
      <c r="A228" s="1"/>
      <c r="B228" s="2"/>
    </row>
    <row r="229" spans="1:2" ht="12.75" customHeight="1" x14ac:dyDescent="0.15">
      <c r="A229" s="1"/>
      <c r="B229" s="2"/>
    </row>
    <row r="230" spans="1:2" ht="12.75" customHeight="1" x14ac:dyDescent="0.15">
      <c r="A230" s="1"/>
      <c r="B230" s="2"/>
    </row>
    <row r="231" spans="1:2" ht="12.75" customHeight="1" x14ac:dyDescent="0.15">
      <c r="A231" s="1"/>
      <c r="B231" s="2"/>
    </row>
    <row r="232" spans="1:2" ht="12.75" customHeight="1" x14ac:dyDescent="0.15">
      <c r="A232" s="1"/>
      <c r="B232" s="2"/>
    </row>
    <row r="233" spans="1:2" ht="12.75" customHeight="1" x14ac:dyDescent="0.15">
      <c r="A233" s="1"/>
      <c r="B233" s="2"/>
    </row>
    <row r="234" spans="1:2" ht="12.75" customHeight="1" x14ac:dyDescent="0.15">
      <c r="A234" s="1"/>
      <c r="B234" s="2"/>
    </row>
    <row r="235" spans="1:2" ht="12.75" customHeight="1" x14ac:dyDescent="0.15">
      <c r="A235" s="1"/>
      <c r="B235" s="2"/>
    </row>
    <row r="236" spans="1:2" ht="12.75" customHeight="1" x14ac:dyDescent="0.15">
      <c r="A236" s="1"/>
      <c r="B236" s="2"/>
    </row>
    <row r="237" spans="1:2" ht="12.75" customHeight="1" x14ac:dyDescent="0.15">
      <c r="A237" s="1"/>
      <c r="B237" s="2"/>
    </row>
    <row r="238" spans="1:2" ht="12.75" customHeight="1" x14ac:dyDescent="0.15">
      <c r="A238" s="1"/>
      <c r="B238" s="2"/>
    </row>
    <row r="239" spans="1:2" ht="12.75" customHeight="1" x14ac:dyDescent="0.15">
      <c r="A239" s="1"/>
      <c r="B239" s="2"/>
    </row>
    <row r="240" spans="1:2" ht="12.75" customHeight="1" x14ac:dyDescent="0.15">
      <c r="A240" s="1"/>
      <c r="B240" s="2"/>
    </row>
    <row r="241" spans="1:2" ht="12.75" customHeight="1" x14ac:dyDescent="0.15">
      <c r="A241" s="1"/>
      <c r="B241" s="2"/>
    </row>
    <row r="242" spans="1:2" ht="12.75" customHeight="1" x14ac:dyDescent="0.15">
      <c r="A242" s="1"/>
      <c r="B242" s="2"/>
    </row>
    <row r="243" spans="1:2" ht="12.75" customHeight="1" x14ac:dyDescent="0.15">
      <c r="A243" s="1"/>
      <c r="B243" s="2"/>
    </row>
    <row r="244" spans="1:2" ht="12.75" customHeight="1" x14ac:dyDescent="0.15">
      <c r="A244" s="1"/>
      <c r="B244" s="2"/>
    </row>
    <row r="245" spans="1:2" ht="12.75" customHeight="1" x14ac:dyDescent="0.15">
      <c r="A245" s="1"/>
      <c r="B245" s="2"/>
    </row>
    <row r="246" spans="1:2" ht="12.75" customHeight="1" x14ac:dyDescent="0.15">
      <c r="A246" s="1"/>
      <c r="B246" s="2"/>
    </row>
    <row r="247" spans="1:2" ht="12.75" customHeight="1" x14ac:dyDescent="0.15">
      <c r="A247" s="1"/>
      <c r="B247" s="2"/>
    </row>
    <row r="248" spans="1:2" ht="12.75" customHeight="1" x14ac:dyDescent="0.15">
      <c r="A248" s="1"/>
      <c r="B248" s="2"/>
    </row>
    <row r="249" spans="1:2" ht="12.75" customHeight="1" x14ac:dyDescent="0.15">
      <c r="A249" s="1"/>
      <c r="B249" s="2"/>
    </row>
    <row r="250" spans="1:2" ht="12.75" customHeight="1" x14ac:dyDescent="0.15">
      <c r="A250" s="1"/>
      <c r="B250" s="2"/>
    </row>
    <row r="251" spans="1:2" ht="12.75" customHeight="1" x14ac:dyDescent="0.15">
      <c r="A251" s="1"/>
      <c r="B251" s="2"/>
    </row>
    <row r="252" spans="1:2" ht="12.75" customHeight="1" x14ac:dyDescent="0.15">
      <c r="A252" s="1"/>
      <c r="B252" s="2"/>
    </row>
    <row r="253" spans="1:2" ht="12.75" customHeight="1" x14ac:dyDescent="0.15">
      <c r="A253" s="1"/>
      <c r="B253" s="2"/>
    </row>
    <row r="254" spans="1:2" ht="12.75" customHeight="1" x14ac:dyDescent="0.15">
      <c r="A254" s="1"/>
      <c r="B254" s="2"/>
    </row>
    <row r="255" spans="1:2" ht="12.75" customHeight="1" x14ac:dyDescent="0.15">
      <c r="A255" s="1"/>
      <c r="B255" s="2"/>
    </row>
    <row r="256" spans="1:2" ht="12.75" customHeight="1" x14ac:dyDescent="0.15">
      <c r="A256" s="1"/>
      <c r="B256" s="2"/>
    </row>
    <row r="257" spans="1:2" ht="12.75" customHeight="1" x14ac:dyDescent="0.15">
      <c r="A257" s="1"/>
      <c r="B257" s="2"/>
    </row>
    <row r="258" spans="1:2" ht="12.75" customHeight="1" x14ac:dyDescent="0.15">
      <c r="A258" s="1"/>
      <c r="B258" s="2"/>
    </row>
    <row r="259" spans="1:2" ht="12.75" customHeight="1" x14ac:dyDescent="0.15">
      <c r="A259" s="1"/>
      <c r="B259" s="2"/>
    </row>
    <row r="260" spans="1:2" ht="12.75" customHeight="1" x14ac:dyDescent="0.15">
      <c r="A260" s="1"/>
      <c r="B260" s="2"/>
    </row>
    <row r="261" spans="1:2" ht="12.75" customHeight="1" x14ac:dyDescent="0.15">
      <c r="A261" s="1"/>
      <c r="B261" s="2"/>
    </row>
    <row r="262" spans="1:2" ht="12.75" customHeight="1" x14ac:dyDescent="0.15">
      <c r="A262" s="1"/>
      <c r="B262" s="2"/>
    </row>
    <row r="263" spans="1:2" ht="12.75" customHeight="1" x14ac:dyDescent="0.15">
      <c r="A263" s="1"/>
      <c r="B263" s="2"/>
    </row>
    <row r="264" spans="1:2" ht="12.75" customHeight="1" x14ac:dyDescent="0.15">
      <c r="A264" s="1"/>
      <c r="B264" s="2"/>
    </row>
    <row r="265" spans="1:2" ht="12.75" customHeight="1" x14ac:dyDescent="0.15">
      <c r="A265" s="1"/>
      <c r="B265" s="2"/>
    </row>
    <row r="266" spans="1:2" ht="12.75" customHeight="1" x14ac:dyDescent="0.15">
      <c r="A266" s="1"/>
      <c r="B266" s="2"/>
    </row>
    <row r="267" spans="1:2" ht="12.75" customHeight="1" x14ac:dyDescent="0.15">
      <c r="A267" s="1"/>
      <c r="B267" s="2"/>
    </row>
    <row r="268" spans="1:2" ht="12.75" customHeight="1" x14ac:dyDescent="0.15">
      <c r="A268" s="1"/>
      <c r="B268" s="2"/>
    </row>
    <row r="269" spans="1:2" ht="12.75" customHeight="1" x14ac:dyDescent="0.15">
      <c r="A269" s="1"/>
      <c r="B269" s="2"/>
    </row>
    <row r="270" spans="1:2" ht="12.75" customHeight="1" x14ac:dyDescent="0.15"/>
    <row r="271" spans="1:2" ht="15.75" customHeight="1" x14ac:dyDescent="0.15"/>
    <row r="272" spans="1: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</sheetData>
  <mergeCells count="16">
    <mergeCell ref="L22:N22"/>
    <mergeCell ref="F50:I50"/>
    <mergeCell ref="L50:N50"/>
    <mergeCell ref="F22:I22"/>
    <mergeCell ref="F29:I29"/>
    <mergeCell ref="L29:N29"/>
    <mergeCell ref="F36:I36"/>
    <mergeCell ref="L36:N36"/>
    <mergeCell ref="F43:I43"/>
    <mergeCell ref="L43:N43"/>
    <mergeCell ref="F1:I1"/>
    <mergeCell ref="L1:N1"/>
    <mergeCell ref="F8:I8"/>
    <mergeCell ref="L8:N8"/>
    <mergeCell ref="F15:I15"/>
    <mergeCell ref="L15:N15"/>
  </mergeCells>
  <pageMargins left="0.7" right="0.7" top="0.75" bottom="0.75" header="0" footer="0"/>
  <pageSetup orientation="landscape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X999"/>
  <sheetViews>
    <sheetView workbookViewId="0">
      <selection activeCell="D2" sqref="D2"/>
    </sheetView>
  </sheetViews>
  <sheetFormatPr baseColWidth="10" defaultColWidth="12.6640625" defaultRowHeight="15" customHeight="1" x14ac:dyDescent="0.15"/>
  <cols>
    <col min="1" max="1" width="14.5" customWidth="1"/>
    <col min="2" max="2" width="41.5" customWidth="1"/>
    <col min="3" max="3" width="10.6640625" customWidth="1"/>
    <col min="4" max="4" width="10.83203125" customWidth="1"/>
    <col min="5" max="5" width="10.6640625" customWidth="1"/>
    <col min="6" max="6" width="29.33203125" customWidth="1"/>
    <col min="7" max="9" width="10.6640625" customWidth="1"/>
    <col min="11" max="11" width="10.6640625" customWidth="1"/>
    <col min="12" max="12" width="11.5" customWidth="1"/>
    <col min="13" max="13" width="11.6640625" customWidth="1"/>
    <col min="14" max="14" width="13.33203125" customWidth="1"/>
    <col min="15" max="17" width="10.6640625" customWidth="1"/>
    <col min="18" max="18" width="13.5" customWidth="1"/>
    <col min="22" max="22" width="36.33203125" customWidth="1"/>
    <col min="23" max="23" width="12.5" customWidth="1"/>
    <col min="24" max="24" width="54.83203125" customWidth="1"/>
  </cols>
  <sheetData>
    <row r="1" spans="1:24" ht="12.75" customHeight="1" x14ac:dyDescent="0.15">
      <c r="A1" s="1" t="s">
        <v>0</v>
      </c>
      <c r="B1" s="2" t="s">
        <v>1</v>
      </c>
      <c r="C1" s="14" t="s">
        <v>155</v>
      </c>
      <c r="D1" s="14" t="s">
        <v>54</v>
      </c>
      <c r="F1" s="79" t="s">
        <v>117</v>
      </c>
      <c r="G1" s="80"/>
      <c r="H1" s="80"/>
      <c r="I1" s="80"/>
      <c r="L1" s="79" t="s">
        <v>147</v>
      </c>
      <c r="M1" s="80"/>
      <c r="N1" s="80"/>
      <c r="O1" s="80"/>
    </row>
    <row r="2" spans="1:24" ht="12.75" customHeight="1" x14ac:dyDescent="0.15">
      <c r="A2" s="3" t="str">
        <f>Thermonix!A2</f>
        <v>State</v>
      </c>
      <c r="B2" s="4" t="str">
        <f>Thermonix!B2</f>
        <v>initial state (⇒ TransportationMode)</v>
      </c>
      <c r="C2" s="27">
        <f>'Human Grading'!C2</f>
        <v>1</v>
      </c>
      <c r="D2" s="27">
        <f>'LLM Grading'!C2</f>
        <v>1</v>
      </c>
      <c r="F2" s="2" t="s">
        <v>119</v>
      </c>
      <c r="G2" s="40" t="s">
        <v>120</v>
      </c>
      <c r="H2" s="41" t="s">
        <v>121</v>
      </c>
      <c r="I2" s="42" t="s">
        <v>122</v>
      </c>
      <c r="J2" s="58" t="s">
        <v>123</v>
      </c>
      <c r="K2" s="2"/>
      <c r="L2" s="2" t="s">
        <v>119</v>
      </c>
      <c r="M2" s="57" t="s">
        <v>120</v>
      </c>
      <c r="N2" s="57" t="s">
        <v>121</v>
      </c>
      <c r="O2" s="57" t="s">
        <v>122</v>
      </c>
      <c r="P2" s="2"/>
      <c r="Q2" s="2" t="s">
        <v>119</v>
      </c>
      <c r="R2" s="57" t="s">
        <v>120</v>
      </c>
      <c r="S2" s="57" t="s">
        <v>121</v>
      </c>
      <c r="T2" s="57" t="s">
        <v>122</v>
      </c>
      <c r="V2" s="44" t="s">
        <v>124</v>
      </c>
      <c r="W2" s="44" t="s">
        <v>125</v>
      </c>
      <c r="X2" s="44" t="s">
        <v>126</v>
      </c>
    </row>
    <row r="3" spans="1:24" ht="12.75" customHeight="1" x14ac:dyDescent="0.15">
      <c r="A3" s="3" t="str">
        <f>Thermonix!A3</f>
        <v>State</v>
      </c>
      <c r="B3" s="4" t="str">
        <f>Thermonix!B3</f>
        <v>TransportationMode</v>
      </c>
      <c r="C3" s="27">
        <f>'Human Grading'!C3</f>
        <v>1</v>
      </c>
      <c r="D3" s="27">
        <f>'LLM Grading'!C3</f>
        <v>1</v>
      </c>
      <c r="F3" s="45">
        <v>0</v>
      </c>
      <c r="G3" s="46">
        <f>COUNTIFS($C$2:$C$88, $F3, $D$2:$D$88, G$2)</f>
        <v>18</v>
      </c>
      <c r="H3" s="47">
        <f>COUNTIFS($C$2:$C$44, $F3, $D$2:$D$44, H$2)</f>
        <v>4</v>
      </c>
      <c r="I3" s="48">
        <f>COUNTIFS($C$2:$C$44, $F3, $D$2:$D$44, I$2)+MAX(D45-C45,0)+MAX(D46-C46,0)+MAX(D47-C47,0)+MAX(D48-C48,0)+MAX(D49-C49,0)+MAX(D50-C50,0)+MAX(D51-C51,0)</f>
        <v>3</v>
      </c>
      <c r="J3" s="2">
        <f t="shared" ref="J3:J5" si="0">SUM(G3:I3)</f>
        <v>25</v>
      </c>
      <c r="K3" s="2"/>
      <c r="L3" s="45">
        <v>0</v>
      </c>
      <c r="M3" s="46">
        <f t="shared" ref="M3:O3" si="1">ABS(G$2-$F3)/1</f>
        <v>0</v>
      </c>
      <c r="N3" s="47">
        <f t="shared" si="1"/>
        <v>0.5</v>
      </c>
      <c r="O3" s="48">
        <f t="shared" si="1"/>
        <v>1</v>
      </c>
      <c r="P3" s="2"/>
      <c r="Q3" s="45">
        <v>0</v>
      </c>
      <c r="R3" s="46">
        <f t="shared" ref="R3:T3" si="2">($J3/$J$6) * (G$6/$J$6)</f>
        <v>0.2</v>
      </c>
      <c r="S3" s="47">
        <f t="shared" si="2"/>
        <v>0.06</v>
      </c>
      <c r="T3" s="48">
        <f t="shared" si="2"/>
        <v>0.24</v>
      </c>
      <c r="U3" s="2"/>
      <c r="V3" s="49" t="s">
        <v>148</v>
      </c>
      <c r="W3" s="46">
        <f>SUMPRODUCT(G3:I5, M3:O5) /$J$6</f>
        <v>0.17</v>
      </c>
      <c r="X3" s="48" t="s">
        <v>149</v>
      </c>
    </row>
    <row r="4" spans="1:24" ht="12.75" customHeight="1" x14ac:dyDescent="0.15">
      <c r="A4" s="3" t="str">
        <f>Thermonix!A4</f>
        <v>Transition</v>
      </c>
      <c r="B4" s="4" t="str">
        <f>Thermonix!B4</f>
        <v>selectorPressed (TransportationMode ⇒ On)</v>
      </c>
      <c r="C4" s="27">
        <f>'Human Grading'!C4</f>
        <v>1</v>
      </c>
      <c r="D4" s="27">
        <f>'LLM Grading'!C4</f>
        <v>1</v>
      </c>
      <c r="F4" s="45">
        <v>0.5</v>
      </c>
      <c r="G4" s="50">
        <f t="shared" ref="G4:I4" si="3">COUNTIFS($C$2:$C$44, $F4, $D$2:$D$44, G$2)</f>
        <v>0</v>
      </c>
      <c r="H4" s="2">
        <f t="shared" si="3"/>
        <v>0</v>
      </c>
      <c r="I4" s="51">
        <f t="shared" si="3"/>
        <v>1</v>
      </c>
      <c r="J4" s="2">
        <f t="shared" si="0"/>
        <v>1</v>
      </c>
      <c r="K4" s="2"/>
      <c r="L4" s="45">
        <v>0.5</v>
      </c>
      <c r="M4" s="50">
        <f t="shared" ref="M4:M5" si="4">ABS(G$2-$F4)/1</f>
        <v>0.5</v>
      </c>
      <c r="N4" s="2">
        <f>ABS(H$2-$F4)/3</f>
        <v>0</v>
      </c>
      <c r="O4" s="51">
        <f>ABS(I$2-$F4)/1</f>
        <v>0.5</v>
      </c>
      <c r="P4" s="2"/>
      <c r="Q4" s="45">
        <v>0.5</v>
      </c>
      <c r="R4" s="50">
        <f t="shared" ref="R4:T4" si="5">($J4/$J$6) * (G$6/$J$6)</f>
        <v>8.0000000000000002E-3</v>
      </c>
      <c r="S4" s="2">
        <f t="shared" si="5"/>
        <v>2.3999999999999998E-3</v>
      </c>
      <c r="T4" s="51">
        <f t="shared" si="5"/>
        <v>9.5999999999999992E-3</v>
      </c>
      <c r="U4" s="2"/>
      <c r="V4" s="49" t="s">
        <v>150</v>
      </c>
      <c r="W4" s="50">
        <f>SUMPRODUCT(R3:T5, M3:O5)</f>
        <v>0.49960000000000004</v>
      </c>
      <c r="X4" s="51" t="s">
        <v>151</v>
      </c>
    </row>
    <row r="5" spans="1:24" ht="12.75" customHeight="1" x14ac:dyDescent="0.15">
      <c r="A5" s="3" t="str">
        <f>Thermonix!A5</f>
        <v>State</v>
      </c>
      <c r="B5" s="4" t="str">
        <f>Thermonix!B5</f>
        <v>PreparingOff</v>
      </c>
      <c r="C5" s="27">
        <f>'Human Grading'!C5</f>
        <v>0</v>
      </c>
      <c r="D5" s="27">
        <f>'LLM Grading'!C5</f>
        <v>0</v>
      </c>
      <c r="F5" s="45">
        <v>1</v>
      </c>
      <c r="G5" s="52">
        <f>COUNTIFS($C$2:$C$44, $F5, $D$2:$D$44, G$2)+MAX(C45-D45,0)+MAX(C46-D46,0)+MAX(C47-D47,0)+MAX(C48-D48,0)+MAX(C49-D49,0)+MAX(C50-D50,0)+MAX(C51-D51,0)</f>
        <v>2</v>
      </c>
      <c r="H5" s="53">
        <f>COUNTIFS($C$2:$C$44, $F5, $D$2:$D$44, H$2)</f>
        <v>2</v>
      </c>
      <c r="I5" s="54">
        <f>COUNTIFS($C$2:$C$44, $F5, $D$2:$D$44, I$2)+ SUM(MIN(C45,D45), MIN(C46,D46), MIN(C47,D47), MIN(C48,D48), MIN(C49,D49), MIN(C50,D50), MIN(C51,D51))</f>
        <v>20</v>
      </c>
      <c r="J5" s="2">
        <f t="shared" si="0"/>
        <v>24</v>
      </c>
      <c r="K5" s="2"/>
      <c r="L5" s="45">
        <v>1</v>
      </c>
      <c r="M5" s="52">
        <f t="shared" si="4"/>
        <v>1</v>
      </c>
      <c r="N5" s="53">
        <f t="shared" ref="N5:O5" si="6">ABS(H$2-$F5)/1</f>
        <v>0.5</v>
      </c>
      <c r="O5" s="54">
        <f t="shared" si="6"/>
        <v>0</v>
      </c>
      <c r="P5" s="2"/>
      <c r="Q5" s="45">
        <v>1</v>
      </c>
      <c r="R5" s="52">
        <f t="shared" ref="R5:T5" si="7">($J5/$J$6) * (G$6/$J$6)</f>
        <v>0.192</v>
      </c>
      <c r="S5" s="53">
        <f t="shared" si="7"/>
        <v>5.7599999999999998E-2</v>
      </c>
      <c r="T5" s="54">
        <f t="shared" si="7"/>
        <v>0.23039999999999999</v>
      </c>
      <c r="U5" s="2"/>
      <c r="V5" s="49" t="s">
        <v>118</v>
      </c>
      <c r="W5" s="52">
        <f>1-W3/W4</f>
        <v>0.65972778222578066</v>
      </c>
      <c r="X5" s="54" t="s">
        <v>152</v>
      </c>
    </row>
    <row r="6" spans="1:24" ht="12.75" customHeight="1" x14ac:dyDescent="0.15">
      <c r="A6" s="3" t="str">
        <f>Thermonix!A6</f>
        <v>Transition</v>
      </c>
      <c r="B6" s="4" t="str">
        <f>Thermonix!B6</f>
        <v>selectorReleased (PreparingOff ⇒ On)</v>
      </c>
      <c r="C6" s="27">
        <f>'Human Grading'!C6</f>
        <v>0</v>
      </c>
      <c r="D6" s="27">
        <f>'LLM Grading'!C6</f>
        <v>0</v>
      </c>
      <c r="F6" s="55" t="s">
        <v>132</v>
      </c>
      <c r="G6" s="2">
        <f t="shared" ref="G6:I6" si="8">SUM(G3:G5)</f>
        <v>20</v>
      </c>
      <c r="H6" s="2">
        <f t="shared" si="8"/>
        <v>6</v>
      </c>
      <c r="I6" s="2">
        <f t="shared" si="8"/>
        <v>24</v>
      </c>
      <c r="J6" s="2">
        <f>SUM(G3:I5)</f>
        <v>50</v>
      </c>
      <c r="L6" s="2"/>
      <c r="M6" s="2"/>
      <c r="N6" s="2"/>
      <c r="O6" s="2"/>
      <c r="P6" s="2"/>
      <c r="Q6" s="2"/>
      <c r="R6" s="2"/>
      <c r="S6" s="2"/>
      <c r="T6" s="2"/>
      <c r="V6" s="2"/>
      <c r="W6" s="56"/>
    </row>
    <row r="7" spans="1:24" ht="12.75" customHeight="1" x14ac:dyDescent="0.15">
      <c r="A7" s="3" t="str">
        <f>Thermonix!A7</f>
        <v>Transition</v>
      </c>
      <c r="B7" s="4" t="str">
        <f>Thermonix!B7</f>
        <v>after 5sec (PreparingOff ⇒ Off)</v>
      </c>
      <c r="C7" s="27">
        <f>'Human Grading'!C7</f>
        <v>0</v>
      </c>
      <c r="D7" s="27">
        <f>'LLM Grading'!C7</f>
        <v>0</v>
      </c>
      <c r="L7" s="2"/>
      <c r="M7" s="2"/>
      <c r="N7" s="2"/>
    </row>
    <row r="8" spans="1:24" ht="12.75" customHeight="1" x14ac:dyDescent="0.15">
      <c r="A8" s="3" t="str">
        <f>Thermonix!A8</f>
        <v>State</v>
      </c>
      <c r="B8" s="4" t="str">
        <f>Thermonix!B8</f>
        <v>Off</v>
      </c>
      <c r="C8" s="27">
        <f>'Human Grading'!C8</f>
        <v>1</v>
      </c>
      <c r="D8" s="27">
        <f>'LLM Grading'!C8</f>
        <v>1</v>
      </c>
      <c r="F8" s="79" t="s">
        <v>133</v>
      </c>
      <c r="G8" s="80"/>
      <c r="H8" s="80"/>
      <c r="I8" s="80"/>
    </row>
    <row r="9" spans="1:24" ht="12.75" customHeight="1" x14ac:dyDescent="0.15">
      <c r="A9" s="3" t="str">
        <f>Thermonix!A9</f>
        <v>Transition</v>
      </c>
      <c r="B9" s="4" t="str">
        <f>Thermonix!B9</f>
        <v>selectorPressed (Off ⇒ On)</v>
      </c>
      <c r="C9" s="27">
        <f>'Human Grading'!C9</f>
        <v>1</v>
      </c>
      <c r="D9" s="27">
        <f>'LLM Grading'!C9</f>
        <v>1</v>
      </c>
      <c r="F9" s="2" t="s">
        <v>2</v>
      </c>
      <c r="G9" s="63" t="s">
        <v>120</v>
      </c>
      <c r="H9" s="63" t="s">
        <v>121</v>
      </c>
      <c r="I9" s="63" t="s">
        <v>122</v>
      </c>
      <c r="J9" s="58" t="s">
        <v>123</v>
      </c>
      <c r="K9" s="2"/>
      <c r="L9" s="2" t="s">
        <v>119</v>
      </c>
      <c r="M9" s="63" t="s">
        <v>120</v>
      </c>
      <c r="N9" s="63" t="s">
        <v>121</v>
      </c>
      <c r="O9" s="63" t="s">
        <v>122</v>
      </c>
      <c r="P9" s="2"/>
      <c r="Q9" s="2" t="s">
        <v>119</v>
      </c>
      <c r="R9" s="63" t="s">
        <v>120</v>
      </c>
      <c r="S9" s="63" t="s">
        <v>121</v>
      </c>
      <c r="T9" s="63" t="s">
        <v>122</v>
      </c>
      <c r="V9" s="44" t="s">
        <v>124</v>
      </c>
      <c r="W9" s="64" t="s">
        <v>125</v>
      </c>
      <c r="X9" s="64" t="s">
        <v>126</v>
      </c>
    </row>
    <row r="10" spans="1:24" ht="12.75" customHeight="1" x14ac:dyDescent="0.15">
      <c r="A10" s="3" t="str">
        <f>Thermonix!A10</f>
        <v>Composite State</v>
      </c>
      <c r="B10" s="4" t="str">
        <f>Thermonix!B10</f>
        <v>On</v>
      </c>
      <c r="C10" s="27">
        <f>'Human Grading'!C10</f>
        <v>1</v>
      </c>
      <c r="D10" s="27">
        <f>'LLM Grading'!C10</f>
        <v>1</v>
      </c>
      <c r="F10" s="65">
        <v>0</v>
      </c>
      <c r="G10" s="46">
        <f t="shared" ref="G10:H10" si="9">COUNTIFS($A$2:$A$88,$F$9,$C$2:$C$88,$F10,$D$2:$D$88,G$9)</f>
        <v>2</v>
      </c>
      <c r="H10" s="47">
        <f t="shared" si="9"/>
        <v>1</v>
      </c>
      <c r="I10" s="48">
        <f>COUNTIFS($A$2:$A$44,$F$9,$C$2:$C$44,$F10,$D$2:$D$44,I$9) + MAX(D45-C45,0)</f>
        <v>0</v>
      </c>
      <c r="J10" s="2">
        <f t="shared" ref="J10:J12" si="10">SUM(G10:I10)</f>
        <v>3</v>
      </c>
      <c r="K10" s="2"/>
      <c r="L10" s="65">
        <v>0</v>
      </c>
      <c r="M10" s="46">
        <f t="shared" ref="M10:M12" si="11">ABS(G$2-$F10)/1</f>
        <v>0</v>
      </c>
      <c r="N10" s="47">
        <f t="shared" ref="N10:N11" si="12">ABS(H$2-$F10)/3</f>
        <v>0.16666666666666666</v>
      </c>
      <c r="O10" s="48">
        <f t="shared" ref="O10:O11" si="13">ABS(I$2-$F10)/1</f>
        <v>1</v>
      </c>
      <c r="P10" s="2"/>
      <c r="Q10" s="65">
        <v>0</v>
      </c>
      <c r="R10" s="46">
        <f t="shared" ref="R10:T10" si="14">($J10/$J$13) * (G$13/$J$13)</f>
        <v>0</v>
      </c>
      <c r="S10" s="47">
        <f t="shared" si="14"/>
        <v>0</v>
      </c>
      <c r="T10" s="48">
        <f t="shared" si="14"/>
        <v>0.33333333333333331</v>
      </c>
      <c r="U10" s="2"/>
      <c r="V10" s="49" t="s">
        <v>148</v>
      </c>
      <c r="W10" s="46">
        <f>SUMPRODUCT(G3:I5, M3:O5) /$J$6</f>
        <v>0.17</v>
      </c>
      <c r="X10" s="48" t="s">
        <v>149</v>
      </c>
    </row>
    <row r="11" spans="1:24" ht="12.75" customHeight="1" x14ac:dyDescent="0.15">
      <c r="A11" s="3" t="str">
        <f>Thermonix!A11</f>
        <v>History State</v>
      </c>
      <c r="B11" s="4" t="str">
        <f>Thermonix!B11</f>
        <v>History State for On</v>
      </c>
      <c r="C11" s="27">
        <f>'Human Grading'!C11</f>
        <v>0</v>
      </c>
      <c r="D11" s="27">
        <f>'LLM Grading'!C11</f>
        <v>0</v>
      </c>
      <c r="F11" s="45">
        <v>0.5</v>
      </c>
      <c r="G11" s="50">
        <f t="shared" ref="G11:I11" si="15">COUNTIFS($A$2:$A$88,$F$9,$C$2:$C$88,$F11,$D$2:$D$88,G$9)</f>
        <v>0</v>
      </c>
      <c r="H11" s="2">
        <f t="shared" si="15"/>
        <v>0</v>
      </c>
      <c r="I11" s="51">
        <f t="shared" si="15"/>
        <v>0</v>
      </c>
      <c r="J11" s="2">
        <f t="shared" si="10"/>
        <v>0</v>
      </c>
      <c r="K11" s="2"/>
      <c r="L11" s="45">
        <v>0.5</v>
      </c>
      <c r="M11" s="50">
        <f t="shared" si="11"/>
        <v>0.5</v>
      </c>
      <c r="N11" s="2">
        <f t="shared" si="12"/>
        <v>0</v>
      </c>
      <c r="O11" s="51">
        <f t="shared" si="13"/>
        <v>0.5</v>
      </c>
      <c r="P11" s="2"/>
      <c r="Q11" s="45">
        <v>0.5</v>
      </c>
      <c r="R11" s="50">
        <f t="shared" ref="R11:T11" si="16">($J11/$J$13) * (G$13/$J$13)</f>
        <v>0</v>
      </c>
      <c r="S11" s="2">
        <f t="shared" si="16"/>
        <v>0</v>
      </c>
      <c r="T11" s="51">
        <f t="shared" si="16"/>
        <v>0</v>
      </c>
      <c r="U11" s="2"/>
      <c r="V11" s="49" t="s">
        <v>150</v>
      </c>
      <c r="W11" s="50">
        <f>SUMPRODUCT(R10:T12, M10:O12)</f>
        <v>0.33333333333333331</v>
      </c>
      <c r="X11" s="51" t="s">
        <v>151</v>
      </c>
    </row>
    <row r="12" spans="1:24" ht="12.75" customHeight="1" x14ac:dyDescent="0.15">
      <c r="A12" s="3" t="str">
        <f>Thermonix!A12</f>
        <v>Transition</v>
      </c>
      <c r="B12" s="4" t="str">
        <f>Thermonix!B12</f>
        <v>selectorHeld (On ⇒ PreparingOff)</v>
      </c>
      <c r="C12" s="27">
        <f>'Human Grading'!C12</f>
        <v>1</v>
      </c>
      <c r="D12" s="27">
        <f>'LLM Grading'!C12</f>
        <v>0.5</v>
      </c>
      <c r="F12" s="45">
        <v>1</v>
      </c>
      <c r="G12" s="52">
        <f>COUNTIFS($A$2:$A$44,$F$9,$C$2:$C$44,$F12,$D$2:$D$44,G$9)+MAX(C45-D45,0)</f>
        <v>0</v>
      </c>
      <c r="H12" s="53">
        <f>COUNTIFS($A$2:$A$88,$F$9,$C$2:$C$88,$F12,$D$2:$D$88,H$9)</f>
        <v>0</v>
      </c>
      <c r="I12" s="54">
        <f>COUNTIFS($A$2:$A$44,$F$9,$C$2:$C$44,$F12,$D$2:$D$44,I$9)+MIN(C45-D45)</f>
        <v>9</v>
      </c>
      <c r="J12" s="2">
        <f t="shared" si="10"/>
        <v>9</v>
      </c>
      <c r="K12" s="2"/>
      <c r="L12" s="45">
        <v>1</v>
      </c>
      <c r="M12" s="52">
        <f t="shared" si="11"/>
        <v>1</v>
      </c>
      <c r="N12" s="53">
        <f t="shared" ref="N12:O12" si="17">ABS(H$2-$F12)/1</f>
        <v>0.5</v>
      </c>
      <c r="O12" s="54">
        <f t="shared" si="17"/>
        <v>0</v>
      </c>
      <c r="P12" s="2"/>
      <c r="Q12" s="45">
        <v>1</v>
      </c>
      <c r="R12" s="52">
        <f t="shared" ref="R12:T12" si="18">($J12/$J$13) * (G$13/$J$13)</f>
        <v>0</v>
      </c>
      <c r="S12" s="53">
        <f t="shared" si="18"/>
        <v>0</v>
      </c>
      <c r="T12" s="54">
        <f t="shared" si="18"/>
        <v>1</v>
      </c>
      <c r="U12" s="2"/>
      <c r="V12" s="49" t="s">
        <v>118</v>
      </c>
      <c r="W12" s="52">
        <f>1-W10/W11</f>
        <v>0.48999999999999988</v>
      </c>
      <c r="X12" s="54" t="s">
        <v>152</v>
      </c>
    </row>
    <row r="13" spans="1:24" ht="12.75" customHeight="1" x14ac:dyDescent="0.15">
      <c r="A13" s="3" t="str">
        <f>Thermonix!A13</f>
        <v>Transition</v>
      </c>
      <c r="B13" s="4" t="str">
        <f>Thermonix!B13</f>
        <v>bowlRemoved (On ⇒ On)</v>
      </c>
      <c r="C13" s="27">
        <f>'Human Grading'!C13</f>
        <v>1</v>
      </c>
      <c r="D13" s="27">
        <f>'LLM Grading'!C13</f>
        <v>0</v>
      </c>
      <c r="F13" s="55" t="s">
        <v>132</v>
      </c>
      <c r="G13" s="2">
        <f t="shared" ref="G13:I13" si="19">SUM(G11:G12)</f>
        <v>0</v>
      </c>
      <c r="H13" s="2">
        <f t="shared" si="19"/>
        <v>0</v>
      </c>
      <c r="I13" s="2">
        <f t="shared" si="19"/>
        <v>9</v>
      </c>
      <c r="J13" s="2">
        <f>SUM(G11:I12)</f>
        <v>9</v>
      </c>
    </row>
    <row r="14" spans="1:24" ht="12.75" customHeight="1" x14ac:dyDescent="0.15">
      <c r="A14" s="3" t="str">
        <f>Thermonix!A14</f>
        <v>State</v>
      </c>
      <c r="B14" s="4" t="str">
        <f>Thermonix!B14</f>
        <v>Initial State (On ⇒  Home)</v>
      </c>
      <c r="C14" s="27">
        <f>'Human Grading'!C14</f>
        <v>1</v>
      </c>
      <c r="D14" s="27">
        <f>'LLM Grading'!C14</f>
        <v>1</v>
      </c>
    </row>
    <row r="15" spans="1:24" ht="12.75" customHeight="1" x14ac:dyDescent="0.15">
      <c r="A15" s="3" t="str">
        <f>Thermonix!A15</f>
        <v>State</v>
      </c>
      <c r="B15" s="4" t="str">
        <f>Thermonix!B15</f>
        <v>Home</v>
      </c>
      <c r="C15" s="27">
        <f>'Human Grading'!C15</f>
        <v>1</v>
      </c>
      <c r="D15" s="27">
        <f>'LLM Grading'!C15</f>
        <v>1</v>
      </c>
      <c r="F15" s="79" t="s">
        <v>135</v>
      </c>
      <c r="G15" s="80"/>
      <c r="H15" s="80"/>
      <c r="I15" s="80"/>
    </row>
    <row r="16" spans="1:24" ht="15" customHeight="1" x14ac:dyDescent="0.15">
      <c r="A16" s="3" t="str">
        <f>Thermonix!A16</f>
        <v>Transition</v>
      </c>
      <c r="B16" s="4" t="str">
        <f>Thermonix!B16</f>
        <v>after 14min 30sec (Home ⇒ Preparing Shutdown)</v>
      </c>
      <c r="C16" s="27">
        <f>'Human Grading'!C16</f>
        <v>1</v>
      </c>
      <c r="D16" s="27">
        <f>'LLM Grading'!C16</f>
        <v>1</v>
      </c>
      <c r="E16" s="5"/>
      <c r="F16" s="2" t="s">
        <v>5</v>
      </c>
      <c r="G16" s="57" t="s">
        <v>120</v>
      </c>
      <c r="H16" s="57" t="s">
        <v>121</v>
      </c>
      <c r="I16" s="57" t="s">
        <v>122</v>
      </c>
      <c r="J16" s="58" t="s">
        <v>123</v>
      </c>
      <c r="K16" s="2"/>
      <c r="L16" s="2" t="s">
        <v>119</v>
      </c>
      <c r="M16" s="57" t="s">
        <v>120</v>
      </c>
      <c r="N16" s="57" t="s">
        <v>121</v>
      </c>
      <c r="O16" s="57" t="s">
        <v>122</v>
      </c>
      <c r="P16" s="2"/>
      <c r="Q16" s="2" t="s">
        <v>119</v>
      </c>
      <c r="R16" s="57" t="s">
        <v>120</v>
      </c>
      <c r="S16" s="57" t="s">
        <v>121</v>
      </c>
      <c r="T16" s="57" t="s">
        <v>122</v>
      </c>
      <c r="V16" s="44" t="s">
        <v>124</v>
      </c>
      <c r="W16" s="44" t="s">
        <v>125</v>
      </c>
      <c r="X16" s="44" t="s">
        <v>126</v>
      </c>
    </row>
    <row r="17" spans="1:24" ht="12.75" customHeight="1" x14ac:dyDescent="0.15">
      <c r="A17" s="3" t="str">
        <f>Thermonix!A17</f>
        <v>Transition</v>
      </c>
      <c r="B17" s="4" t="str">
        <f>Thermonix!B17</f>
        <v>start (Home ⇒ PromptToAdd)</v>
      </c>
      <c r="C17" s="27">
        <f>'Human Grading'!C17</f>
        <v>0</v>
      </c>
      <c r="D17" s="27">
        <f>'LLM Grading'!C17</f>
        <v>0.5</v>
      </c>
      <c r="F17" s="45">
        <v>0</v>
      </c>
      <c r="G17" s="46">
        <f t="shared" ref="G17:H17" si="20">COUNTIFS($A$2:$A$88,$F$16,$C$2:$C$88,$F17,$D$2:$D$88,G$16)</f>
        <v>5</v>
      </c>
      <c r="H17" s="47">
        <f t="shared" si="20"/>
        <v>2</v>
      </c>
      <c r="I17" s="48">
        <f>COUNTIFS($A$2:$A$44,$F$16,$C$2:$C$44,$F17,$D$2:$D$44,I$16) + MAX(D46-C46,0)</f>
        <v>1</v>
      </c>
      <c r="J17" s="2">
        <f t="shared" ref="J17:J19" si="21">SUM(G17:I17)</f>
        <v>8</v>
      </c>
      <c r="K17" s="2"/>
      <c r="L17" s="45">
        <v>0</v>
      </c>
      <c r="M17" s="46">
        <f t="shared" ref="M17:O17" si="22">ABS(G$2-$F17)/1</f>
        <v>0</v>
      </c>
      <c r="N17" s="47">
        <f t="shared" si="22"/>
        <v>0.5</v>
      </c>
      <c r="O17" s="48">
        <f t="shared" si="22"/>
        <v>1</v>
      </c>
      <c r="P17" s="2"/>
      <c r="Q17" s="45">
        <v>0</v>
      </c>
      <c r="R17" s="46">
        <f t="shared" ref="R17:T17" si="23">($J17/$J$20) * (G$20/$J$20)</f>
        <v>0.1728395061728395</v>
      </c>
      <c r="S17" s="47">
        <f t="shared" si="23"/>
        <v>9.8765432098765427E-2</v>
      </c>
      <c r="T17" s="48">
        <f t="shared" si="23"/>
        <v>0.1728395061728395</v>
      </c>
      <c r="U17" s="2"/>
      <c r="V17" s="49" t="s">
        <v>148</v>
      </c>
      <c r="W17" s="46">
        <f>SUMPRODUCT(G17:I19, M17:O19) /$J$20</f>
        <v>0.27777777777777779</v>
      </c>
      <c r="X17" s="48" t="s">
        <v>149</v>
      </c>
    </row>
    <row r="18" spans="1:24" ht="12.75" customHeight="1" x14ac:dyDescent="0.15">
      <c r="A18" s="3" t="str">
        <f>Thermonix!A18</f>
        <v>Guard</v>
      </c>
      <c r="B18" s="4" t="str">
        <f>Thermonix!B18</f>
        <v>[!bowlRemoved()]</v>
      </c>
      <c r="C18" s="27">
        <f>'Human Grading'!C18</f>
        <v>1</v>
      </c>
      <c r="D18" s="27">
        <f>'LLM Grading'!C18</f>
        <v>1</v>
      </c>
      <c r="F18" s="45">
        <v>0.5</v>
      </c>
      <c r="G18" s="50">
        <f t="shared" ref="G18:I18" si="24">COUNTIFS($A$2:$A$88,$F$16,$C$2:$C$88,$F18,$D$2:$D$88,G$16)</f>
        <v>0</v>
      </c>
      <c r="H18" s="2">
        <f t="shared" si="24"/>
        <v>0</v>
      </c>
      <c r="I18" s="51">
        <f t="shared" si="24"/>
        <v>0</v>
      </c>
      <c r="J18" s="2">
        <f t="shared" si="21"/>
        <v>0</v>
      </c>
      <c r="K18" s="2"/>
      <c r="L18" s="45">
        <v>0.5</v>
      </c>
      <c r="M18" s="50">
        <f t="shared" ref="M18:M19" si="25">ABS(G$2-$F18)/1</f>
        <v>0.5</v>
      </c>
      <c r="N18" s="2">
        <f>ABS(H$2-$F18)/3</f>
        <v>0</v>
      </c>
      <c r="O18" s="51">
        <f>ABS(I$2-$F18)/1</f>
        <v>0.5</v>
      </c>
      <c r="P18" s="2"/>
      <c r="Q18" s="45">
        <v>0.5</v>
      </c>
      <c r="R18" s="50">
        <f t="shared" ref="R18:T18" si="26">($J18/$J$20) * (G$20/$J$20)</f>
        <v>0</v>
      </c>
      <c r="S18" s="2">
        <f t="shared" si="26"/>
        <v>0</v>
      </c>
      <c r="T18" s="51">
        <f t="shared" si="26"/>
        <v>0</v>
      </c>
      <c r="U18" s="2"/>
      <c r="V18" s="49" t="s">
        <v>150</v>
      </c>
      <c r="W18" s="50">
        <f>SUMPRODUCT(R17:T19, M17:O19)</f>
        <v>0.5</v>
      </c>
      <c r="X18" s="51" t="s">
        <v>151</v>
      </c>
    </row>
    <row r="19" spans="1:24" ht="12.75" customHeight="1" x14ac:dyDescent="0.15">
      <c r="A19" s="3" t="str">
        <f>Thermonix!A19</f>
        <v>Action</v>
      </c>
      <c r="B19" s="4" t="str">
        <f>Thermonix!B19</f>
        <v>setIngredients()</v>
      </c>
      <c r="C19" s="27">
        <f>'Human Grading'!C19</f>
        <v>0</v>
      </c>
      <c r="D19" s="27">
        <f>'LLM Grading'!C19</f>
        <v>0</v>
      </c>
      <c r="F19" s="45">
        <v>1</v>
      </c>
      <c r="G19" s="52">
        <f>COUNTIFS($A$2:$A$44,$F$16,$C$2:$C$44,$F19,$D$2:$D$44,G$16)+MAX(C46-D46,0)</f>
        <v>2</v>
      </c>
      <c r="H19" s="53">
        <f>COUNTIFS($A$2:$A$88,$F$16,$C$2:$C$88,$F19,$D$2:$D$88,H$16)</f>
        <v>2</v>
      </c>
      <c r="I19" s="54">
        <f>COUNTIFS($A$2:$A$44,$F$16,$C$2:$C$44,$F19,$D$2:$D$44,I$16) + MIN(C46,D46)</f>
        <v>6</v>
      </c>
      <c r="J19" s="2">
        <f t="shared" si="21"/>
        <v>10</v>
      </c>
      <c r="K19" s="2"/>
      <c r="L19" s="45">
        <v>1</v>
      </c>
      <c r="M19" s="52">
        <f t="shared" si="25"/>
        <v>1</v>
      </c>
      <c r="N19" s="53">
        <f t="shared" ref="N19:O19" si="27">ABS(H$2-$F19)/1</f>
        <v>0.5</v>
      </c>
      <c r="O19" s="54">
        <f t="shared" si="27"/>
        <v>0</v>
      </c>
      <c r="P19" s="2"/>
      <c r="Q19" s="45">
        <v>1</v>
      </c>
      <c r="R19" s="52">
        <f t="shared" ref="R19:T19" si="28">($J19/$J$20) * (G$20/$J$20)</f>
        <v>0.2160493827160494</v>
      </c>
      <c r="S19" s="53">
        <f t="shared" si="28"/>
        <v>0.12345679012345678</v>
      </c>
      <c r="T19" s="54">
        <f t="shared" si="28"/>
        <v>0.2160493827160494</v>
      </c>
      <c r="U19" s="2"/>
      <c r="V19" s="49" t="s">
        <v>118</v>
      </c>
      <c r="W19" s="52">
        <f>1-W17/W18</f>
        <v>0.44444444444444442</v>
      </c>
      <c r="X19" s="54" t="s">
        <v>152</v>
      </c>
    </row>
    <row r="20" spans="1:24" ht="12.75" customHeight="1" x14ac:dyDescent="0.15">
      <c r="A20" s="3" t="str">
        <f>Thermonix!A20</f>
        <v>State</v>
      </c>
      <c r="B20" s="4" t="str">
        <f>Thermonix!B20</f>
        <v>Preparing Shutdown</v>
      </c>
      <c r="C20" s="27">
        <f>'Human Grading'!C20</f>
        <v>1</v>
      </c>
      <c r="D20" s="27">
        <f>'LLM Grading'!C20</f>
        <v>1</v>
      </c>
      <c r="F20" s="55" t="s">
        <v>132</v>
      </c>
      <c r="G20" s="2">
        <f t="shared" ref="G20:I20" si="29">SUM(G17:G19)</f>
        <v>7</v>
      </c>
      <c r="H20" s="2">
        <f t="shared" si="29"/>
        <v>4</v>
      </c>
      <c r="I20" s="2">
        <f t="shared" si="29"/>
        <v>7</v>
      </c>
      <c r="J20" s="2">
        <f>SUM(G17:I19)</f>
        <v>18</v>
      </c>
    </row>
    <row r="21" spans="1:24" ht="12.75" customHeight="1" x14ac:dyDescent="0.15">
      <c r="A21" s="3" t="str">
        <f>Thermonix!A21</f>
        <v>Transition</v>
      </c>
      <c r="B21" s="4" t="str">
        <f>Thermonix!B21</f>
        <v>after 30sec (Preparing Shutdown ⇒ Off)</v>
      </c>
      <c r="C21" s="27">
        <f>'Human Grading'!C21</f>
        <v>1</v>
      </c>
      <c r="D21" s="27">
        <f>'LLM Grading'!C21</f>
        <v>1</v>
      </c>
    </row>
    <row r="22" spans="1:24" ht="12.75" customHeight="1" x14ac:dyDescent="0.15">
      <c r="A22" s="3" t="str">
        <f>Thermonix!A22</f>
        <v>Transition</v>
      </c>
      <c r="B22" s="4" t="str">
        <f>Thermonix!B22</f>
        <v>cancel (Preparing Shutdown ⇒ Home)</v>
      </c>
      <c r="C22" s="27">
        <f>'Human Grading'!C22</f>
        <v>0</v>
      </c>
      <c r="D22" s="27">
        <f>'LLM Grading'!C22</f>
        <v>1</v>
      </c>
      <c r="E22" s="5"/>
      <c r="F22" s="79" t="s">
        <v>137</v>
      </c>
      <c r="G22" s="80"/>
      <c r="H22" s="80"/>
      <c r="I22" s="80"/>
    </row>
    <row r="23" spans="1:24" ht="12.75" customHeight="1" x14ac:dyDescent="0.15">
      <c r="A23" s="3" t="str">
        <f>Thermonix!A23</f>
        <v>State</v>
      </c>
      <c r="B23" s="4" t="str">
        <f>Thermonix!B23</f>
        <v>PromptToAdd</v>
      </c>
      <c r="C23" s="27">
        <f>'Human Grading'!C23</f>
        <v>0</v>
      </c>
      <c r="D23" s="27">
        <f>'LLM Grading'!C23</f>
        <v>0.5</v>
      </c>
      <c r="F23" s="2" t="s">
        <v>12</v>
      </c>
      <c r="G23" s="57" t="s">
        <v>120</v>
      </c>
      <c r="H23" s="57" t="s">
        <v>121</v>
      </c>
      <c r="I23" s="57" t="s">
        <v>122</v>
      </c>
      <c r="J23" s="58" t="s">
        <v>123</v>
      </c>
      <c r="K23" s="2"/>
      <c r="L23" s="2" t="s">
        <v>119</v>
      </c>
      <c r="M23" s="57" t="s">
        <v>120</v>
      </c>
      <c r="N23" s="57" t="s">
        <v>121</v>
      </c>
      <c r="O23" s="57" t="s">
        <v>122</v>
      </c>
      <c r="P23" s="2"/>
      <c r="Q23" s="2" t="s">
        <v>119</v>
      </c>
      <c r="R23" s="57" t="s">
        <v>120</v>
      </c>
      <c r="S23" s="57" t="s">
        <v>121</v>
      </c>
      <c r="T23" s="57" t="s">
        <v>122</v>
      </c>
      <c r="V23" s="44" t="s">
        <v>124</v>
      </c>
      <c r="W23" s="44" t="s">
        <v>125</v>
      </c>
      <c r="X23" s="44" t="s">
        <v>126</v>
      </c>
    </row>
    <row r="24" spans="1:24" ht="12.75" customHeight="1" x14ac:dyDescent="0.15">
      <c r="A24" s="3" t="str">
        <f>Thermonix!A24</f>
        <v>Transition</v>
      </c>
      <c r="B24" s="4" t="str">
        <f>Thermonix!B24</f>
        <v>next (PromptToAdd ⇒ PromptToAdd)</v>
      </c>
      <c r="C24" s="27">
        <f>'Human Grading'!C24</f>
        <v>0</v>
      </c>
      <c r="D24" s="27">
        <f>'LLM Grading'!C24</f>
        <v>0</v>
      </c>
      <c r="F24" s="45">
        <v>0</v>
      </c>
      <c r="G24" s="46">
        <f t="shared" ref="G24:H24" si="30">COUNTIFS($A$2:$A$88,$F$23,$C$2:$C$88,$F24,$D$2:$D$88,G$23)</f>
        <v>0</v>
      </c>
      <c r="H24" s="47">
        <f t="shared" si="30"/>
        <v>0</v>
      </c>
      <c r="I24" s="48">
        <f>COUNTIFS($A$2:$A$44,$F$23,$C$2:$C$44,$F24,$D$2:$D$44,I$23) + MAX(D49-C49,0)</f>
        <v>1</v>
      </c>
      <c r="J24" s="2">
        <f t="shared" ref="J24:J26" si="31">SUM(G24:I24)</f>
        <v>1</v>
      </c>
      <c r="K24" s="2"/>
      <c r="L24" s="45">
        <v>0</v>
      </c>
      <c r="M24" s="46">
        <f t="shared" ref="M24:O24" si="32">ABS(G$2-$F24)/1</f>
        <v>0</v>
      </c>
      <c r="N24" s="47">
        <f t="shared" si="32"/>
        <v>0.5</v>
      </c>
      <c r="O24" s="48">
        <f t="shared" si="32"/>
        <v>1</v>
      </c>
      <c r="P24" s="2"/>
      <c r="Q24" s="45">
        <v>0</v>
      </c>
      <c r="R24" s="46">
        <f t="shared" ref="R24:T24" si="33">($J24/$J$27) * (G$27/$J$27)</f>
        <v>0</v>
      </c>
      <c r="S24" s="47">
        <f t="shared" si="33"/>
        <v>0</v>
      </c>
      <c r="T24" s="48">
        <f t="shared" si="33"/>
        <v>0.5</v>
      </c>
      <c r="U24" s="2"/>
      <c r="V24" s="49" t="s">
        <v>148</v>
      </c>
      <c r="W24" s="46">
        <f>SUMPRODUCT(G24:I26, M24:O26) /$J$27</f>
        <v>0.5</v>
      </c>
      <c r="X24" s="48" t="s">
        <v>149</v>
      </c>
    </row>
    <row r="25" spans="1:24" ht="13" x14ac:dyDescent="0.15">
      <c r="A25" s="3" t="str">
        <f>Thermonix!A25</f>
        <v>Guard</v>
      </c>
      <c r="B25" s="4" t="str">
        <f>Thermonix!B25</f>
        <v>[weightCorrect() &amp;&amp; moreIngredientsRequired()]</v>
      </c>
      <c r="C25" s="27">
        <f>'Human Grading'!C25</f>
        <v>0</v>
      </c>
      <c r="D25" s="27">
        <f>'LLM Grading'!C25</f>
        <v>0</v>
      </c>
      <c r="F25" s="45">
        <v>0.5</v>
      </c>
      <c r="G25" s="50">
        <f t="shared" ref="G25:I25" si="34">COUNTIFS($A$2:$A$88,$F$23,$C$2:$C$88,$F25,$D$2:$D$88,G$23)</f>
        <v>0</v>
      </c>
      <c r="H25" s="2">
        <f t="shared" si="34"/>
        <v>0</v>
      </c>
      <c r="I25" s="51">
        <f t="shared" si="34"/>
        <v>0</v>
      </c>
      <c r="J25" s="2">
        <f t="shared" si="31"/>
        <v>0</v>
      </c>
      <c r="K25" s="2"/>
      <c r="L25" s="45">
        <v>0.5</v>
      </c>
      <c r="M25" s="50">
        <f t="shared" ref="M25:M26" si="35">ABS(G$2-$F25)/1</f>
        <v>0.5</v>
      </c>
      <c r="N25" s="2">
        <f>ABS(H$2-$F25)/3</f>
        <v>0</v>
      </c>
      <c r="O25" s="51">
        <f>ABS(I$2-$F25)/1</f>
        <v>0.5</v>
      </c>
      <c r="P25" s="2"/>
      <c r="Q25" s="45">
        <v>0.5</v>
      </c>
      <c r="R25" s="50">
        <f t="shared" ref="R25:T25" si="36">($J25/$J$27) * (G$27/$J$27)</f>
        <v>0</v>
      </c>
      <c r="S25" s="2">
        <f t="shared" si="36"/>
        <v>0</v>
      </c>
      <c r="T25" s="51">
        <f t="shared" si="36"/>
        <v>0</v>
      </c>
      <c r="U25" s="2"/>
      <c r="V25" s="49" t="s">
        <v>150</v>
      </c>
      <c r="W25" s="50">
        <f>SUMPRODUCT(R24:T26, M24:O26)</f>
        <v>0.5</v>
      </c>
      <c r="X25" s="51" t="s">
        <v>151</v>
      </c>
    </row>
    <row r="26" spans="1:24" ht="15.75" customHeight="1" x14ac:dyDescent="0.15">
      <c r="A26" s="3" t="str">
        <f>Thermonix!A26</f>
        <v>Action</v>
      </c>
      <c r="B26" s="4" t="str">
        <f>Thermonix!B26</f>
        <v>setIngredients()</v>
      </c>
      <c r="C26" s="27">
        <f>'Human Grading'!C26</f>
        <v>0</v>
      </c>
      <c r="D26" s="27">
        <f>'LLM Grading'!C26</f>
        <v>0</v>
      </c>
      <c r="F26" s="45">
        <v>1</v>
      </c>
      <c r="G26" s="52">
        <f>COUNTIFS($A$2:$A$44,$F$23,$C$2:$C$44,$F26,$D$2:$D$44,G$23) + MAX(C49-D49,0)</f>
        <v>0</v>
      </c>
      <c r="H26" s="53">
        <f>COUNTIFS($A$2:$A$88,$F$23,$C$2:$C$88,$F26,$D$2:$D$88,H$23)</f>
        <v>0</v>
      </c>
      <c r="I26" s="54">
        <f>COUNTIFS($A$2:$A$44,$F$23,$C$2:$C$44,$F26,$D$2:$D$44,I$23) + MIN(C49,D49)</f>
        <v>1</v>
      </c>
      <c r="J26" s="2">
        <f t="shared" si="31"/>
        <v>1</v>
      </c>
      <c r="K26" s="2"/>
      <c r="L26" s="45">
        <v>1</v>
      </c>
      <c r="M26" s="52">
        <f t="shared" si="35"/>
        <v>1</v>
      </c>
      <c r="N26" s="53">
        <f t="shared" ref="N26:O26" si="37">ABS(H$2-$F26)/1</f>
        <v>0.5</v>
      </c>
      <c r="O26" s="54">
        <f t="shared" si="37"/>
        <v>0</v>
      </c>
      <c r="P26" s="2"/>
      <c r="Q26" s="45">
        <v>1</v>
      </c>
      <c r="R26" s="52">
        <f t="shared" ref="R26:T26" si="38">($J26/$J$27) * (G$27/$J$27)</f>
        <v>0</v>
      </c>
      <c r="S26" s="53">
        <f t="shared" si="38"/>
        <v>0</v>
      </c>
      <c r="T26" s="54">
        <f t="shared" si="38"/>
        <v>0.5</v>
      </c>
      <c r="U26" s="2"/>
      <c r="V26" s="49" t="s">
        <v>118</v>
      </c>
      <c r="W26" s="52">
        <f>1-W24/W25</f>
        <v>0</v>
      </c>
      <c r="X26" s="54" t="s">
        <v>152</v>
      </c>
    </row>
    <row r="27" spans="1:24" ht="12.75" customHeight="1" x14ac:dyDescent="0.15">
      <c r="A27" s="3" t="str">
        <f>Thermonix!A27</f>
        <v>Transition</v>
      </c>
      <c r="B27" s="4" t="str">
        <f>Thermonix!B27</f>
        <v>next (PromptToAdd ⇒ Chop)</v>
      </c>
      <c r="C27" s="27">
        <f>'Human Grading'!C27</f>
        <v>1</v>
      </c>
      <c r="D27" s="27">
        <f>'LLM Grading'!C27</f>
        <v>1</v>
      </c>
      <c r="F27" s="55" t="s">
        <v>132</v>
      </c>
      <c r="G27" s="2">
        <f t="shared" ref="G27:I27" si="39">SUM(G24:G26)</f>
        <v>0</v>
      </c>
      <c r="H27" s="2">
        <f t="shared" si="39"/>
        <v>0</v>
      </c>
      <c r="I27" s="2">
        <f t="shared" si="39"/>
        <v>2</v>
      </c>
      <c r="J27" s="2">
        <f>SUM(G24:I26)</f>
        <v>2</v>
      </c>
    </row>
    <row r="28" spans="1:24" ht="12.75" customHeight="1" x14ac:dyDescent="0.15">
      <c r="A28" s="3" t="str">
        <f>Thermonix!A28</f>
        <v>Guard</v>
      </c>
      <c r="B28" s="4" t="str">
        <f>Thermonix!B28</f>
        <v>[weightCorrect() &amp;&amp; !moreIngredientsRequired()]</v>
      </c>
      <c r="C28" s="27">
        <f>'Human Grading'!C28</f>
        <v>1</v>
      </c>
      <c r="D28" s="27">
        <f>'LLM Grading'!C28</f>
        <v>1</v>
      </c>
    </row>
    <row r="29" spans="1:24" ht="12.75" customHeight="1" x14ac:dyDescent="0.15">
      <c r="A29" s="3" t="str">
        <f>Thermonix!A29</f>
        <v>Action</v>
      </c>
      <c r="B29" s="4" t="str">
        <f>Thermonix!B29</f>
        <v>setChoppingSpeedAndTime()</v>
      </c>
      <c r="C29" s="27">
        <f>'Human Grading'!C29</f>
        <v>1</v>
      </c>
      <c r="D29" s="27">
        <f>'LLM Grading'!C29</f>
        <v>1</v>
      </c>
      <c r="F29" s="79" t="s">
        <v>139</v>
      </c>
      <c r="G29" s="80"/>
      <c r="H29" s="80"/>
      <c r="I29" s="80"/>
    </row>
    <row r="30" spans="1:24" ht="12.75" customHeight="1" x14ac:dyDescent="0.15">
      <c r="A30" s="3" t="str">
        <f>Thermonix!A30</f>
        <v>State</v>
      </c>
      <c r="B30" s="4" t="str">
        <f>Thermonix!B30</f>
        <v>Chop</v>
      </c>
      <c r="C30" s="27">
        <f>'Human Grading'!C30</f>
        <v>1</v>
      </c>
      <c r="D30" s="27">
        <f>'LLM Grading'!C30</f>
        <v>1</v>
      </c>
      <c r="F30" s="2" t="s">
        <v>22</v>
      </c>
      <c r="G30" s="57" t="s">
        <v>120</v>
      </c>
      <c r="H30" s="57" t="s">
        <v>121</v>
      </c>
      <c r="I30" s="57" t="s">
        <v>122</v>
      </c>
      <c r="J30" s="58" t="s">
        <v>123</v>
      </c>
      <c r="K30" s="2"/>
      <c r="L30" s="2" t="s">
        <v>119</v>
      </c>
      <c r="M30" s="57">
        <v>0</v>
      </c>
      <c r="N30" s="57" t="s">
        <v>121</v>
      </c>
      <c r="O30" s="57" t="s">
        <v>122</v>
      </c>
      <c r="P30" s="2"/>
      <c r="Q30" s="2" t="s">
        <v>119</v>
      </c>
      <c r="R30" s="57" t="s">
        <v>120</v>
      </c>
      <c r="S30" s="57" t="s">
        <v>121</v>
      </c>
      <c r="T30" s="57" t="s">
        <v>122</v>
      </c>
      <c r="V30" s="44" t="s">
        <v>124</v>
      </c>
      <c r="W30" s="44" t="s">
        <v>125</v>
      </c>
      <c r="X30" s="44" t="s">
        <v>126</v>
      </c>
    </row>
    <row r="31" spans="1:24" ht="12.75" customHeight="1" x14ac:dyDescent="0.15">
      <c r="A31" s="3" t="str">
        <f>Thermonix!A31</f>
        <v>Transition</v>
      </c>
      <c r="B31" s="4" t="str">
        <f>Thermonix!B31</f>
        <v>next (Chop ⇒ PromptToAdd)</v>
      </c>
      <c r="C31" s="27">
        <f>'Human Grading'!C31</f>
        <v>0</v>
      </c>
      <c r="D31" s="27">
        <f>'LLM Grading'!C31</f>
        <v>0</v>
      </c>
      <c r="F31" s="45">
        <v>0</v>
      </c>
      <c r="G31" s="46">
        <f t="shared" ref="G31:H31" si="40">COUNTIFS($A$2:$A$88,$F$30,$C$2:$C$88,$F31,$D$2:$D$88,G$30)</f>
        <v>4</v>
      </c>
      <c r="H31" s="47">
        <f t="shared" si="40"/>
        <v>1</v>
      </c>
      <c r="I31" s="48">
        <f>COUNTIFS($A$2:$A$44,$F$30,$C$2:$C$44,$F31,$D$2:$D$44,I$30) + MAX(D47-C47,0)</f>
        <v>0</v>
      </c>
      <c r="J31" s="2">
        <f t="shared" ref="J31:J33" si="41">SUM(G31:I31)</f>
        <v>5</v>
      </c>
      <c r="K31" s="2"/>
      <c r="L31" s="45">
        <v>0</v>
      </c>
      <c r="M31" s="46">
        <f t="shared" ref="M31:O31" si="42">ABS(G$2-$F31)/1</f>
        <v>0</v>
      </c>
      <c r="N31" s="47">
        <f t="shared" si="42"/>
        <v>0.5</v>
      </c>
      <c r="O31" s="48">
        <f t="shared" si="42"/>
        <v>1</v>
      </c>
      <c r="P31" s="2"/>
      <c r="Q31" s="45">
        <v>0</v>
      </c>
      <c r="R31" s="46">
        <f t="shared" ref="R31:T31" si="43">($J31/$J$34) * (G$34/$J$34)</f>
        <v>0.3125</v>
      </c>
      <c r="S31" s="47">
        <f t="shared" si="43"/>
        <v>7.8125E-2</v>
      </c>
      <c r="T31" s="48">
        <f t="shared" si="43"/>
        <v>0.234375</v>
      </c>
      <c r="U31" s="2"/>
      <c r="V31" s="49" t="s">
        <v>148</v>
      </c>
      <c r="W31" s="46">
        <f>SUMPRODUCT(G31:I33, M31:O33) /$J$34</f>
        <v>0.125</v>
      </c>
      <c r="X31" s="48" t="s">
        <v>149</v>
      </c>
    </row>
    <row r="32" spans="1:24" ht="12.75" customHeight="1" x14ac:dyDescent="0.15">
      <c r="A32" s="3" t="str">
        <f>Thermonix!A32</f>
        <v>Guard</v>
      </c>
      <c r="B32" s="4" t="str">
        <f>Thermonix!B32</f>
        <v>[choppingTimeDone &amp;&amp; moreIngredientsRequired()]</v>
      </c>
      <c r="C32" s="27">
        <f>'Human Grading'!C32</f>
        <v>0</v>
      </c>
      <c r="D32" s="27">
        <f>'LLM Grading'!C32</f>
        <v>0</v>
      </c>
      <c r="F32" s="45">
        <v>0.5</v>
      </c>
      <c r="G32" s="50">
        <f t="shared" ref="G32:I32" si="44">COUNTIFS($A$2:$A$88,$F$30,$C$2:$C$88,$F32,$D$2:$D$88,G$30)</f>
        <v>0</v>
      </c>
      <c r="H32" s="2">
        <f t="shared" si="44"/>
        <v>0</v>
      </c>
      <c r="I32" s="51">
        <f t="shared" si="44"/>
        <v>1</v>
      </c>
      <c r="J32" s="2">
        <f t="shared" si="41"/>
        <v>1</v>
      </c>
      <c r="K32" s="2"/>
      <c r="L32" s="45">
        <v>0.5</v>
      </c>
      <c r="M32" s="50">
        <f t="shared" ref="M32:M33" si="45">ABS(G$2-$F32)/1</f>
        <v>0.5</v>
      </c>
      <c r="N32" s="2">
        <f>ABS(H$2-$F32)/3</f>
        <v>0</v>
      </c>
      <c r="O32" s="51">
        <f>ABS(I$2-$F32)/1</f>
        <v>0.5</v>
      </c>
      <c r="P32" s="2"/>
      <c r="Q32" s="45">
        <v>0.5</v>
      </c>
      <c r="R32" s="50">
        <f t="shared" ref="R32:T32" si="46">($J32/$J$34) * (G$34/$J$34)</f>
        <v>6.25E-2</v>
      </c>
      <c r="S32" s="2">
        <f t="shared" si="46"/>
        <v>1.5625E-2</v>
      </c>
      <c r="T32" s="51">
        <f t="shared" si="46"/>
        <v>4.6875E-2</v>
      </c>
      <c r="U32" s="2"/>
      <c r="V32" s="49" t="s">
        <v>150</v>
      </c>
      <c r="W32" s="50">
        <f>SUMPRODUCT(R31:T33, M31:O33)</f>
        <v>0.46875</v>
      </c>
      <c r="X32" s="51" t="s">
        <v>151</v>
      </c>
    </row>
    <row r="33" spans="1:24" ht="12.75" customHeight="1" x14ac:dyDescent="0.15">
      <c r="A33" s="3" t="str">
        <f>Thermonix!A33</f>
        <v>Action</v>
      </c>
      <c r="B33" s="4" t="str">
        <f>Thermonix!B33</f>
        <v>setIngredients()</v>
      </c>
      <c r="C33" s="27">
        <f>'Human Grading'!C33</f>
        <v>0</v>
      </c>
      <c r="D33" s="27">
        <f>'LLM Grading'!C33</f>
        <v>0</v>
      </c>
      <c r="F33" s="45">
        <v>1</v>
      </c>
      <c r="G33" s="52">
        <f>COUNTIFS($A$2:$A$44,$F$30,$C$2:$C$44,$F33,$D$2:$D$44,G$30) + MAX(C47-D47,0)</f>
        <v>0</v>
      </c>
      <c r="H33" s="53">
        <f>COUNTIFS($A$2:$A$88,$F$30,$C$2:$C$88,$F33,$D$2:$D$88,H$30)</f>
        <v>0</v>
      </c>
      <c r="I33" s="54">
        <f>COUNTIFS($A$2:$A$44,$F$30,$C$2:$C$44,$F33,$D$2:$D$44,I$30) + MIN(C47,D47)</f>
        <v>2</v>
      </c>
      <c r="J33" s="2">
        <f t="shared" si="41"/>
        <v>2</v>
      </c>
      <c r="K33" s="2"/>
      <c r="L33" s="45">
        <v>1</v>
      </c>
      <c r="M33" s="52">
        <f t="shared" si="45"/>
        <v>1</v>
      </c>
      <c r="N33" s="53">
        <f t="shared" ref="N33:O33" si="47">ABS(H$2-$F33)/1</f>
        <v>0.5</v>
      </c>
      <c r="O33" s="54">
        <f t="shared" si="47"/>
        <v>0</v>
      </c>
      <c r="P33" s="2"/>
      <c r="Q33" s="45">
        <v>1</v>
      </c>
      <c r="R33" s="52">
        <f t="shared" ref="R33:T33" si="48">($J33/$J$34) * (G$34/$J$34)</f>
        <v>0.125</v>
      </c>
      <c r="S33" s="53">
        <f t="shared" si="48"/>
        <v>3.125E-2</v>
      </c>
      <c r="T33" s="54">
        <f t="shared" si="48"/>
        <v>9.375E-2</v>
      </c>
      <c r="U33" s="2"/>
      <c r="V33" s="49" t="s">
        <v>118</v>
      </c>
      <c r="W33" s="52">
        <f>1-W31/W32</f>
        <v>0.73333333333333339</v>
      </c>
      <c r="X33" s="54" t="s">
        <v>152</v>
      </c>
    </row>
    <row r="34" spans="1:24" ht="12.75" customHeight="1" x14ac:dyDescent="0.15">
      <c r="A34" s="3" t="str">
        <f>Thermonix!A34</f>
        <v>Transition</v>
      </c>
      <c r="B34" s="4" t="str">
        <f>Thermonix!B34</f>
        <v>next (Chop ⇒ Cook)</v>
      </c>
      <c r="C34" s="27">
        <f>'Human Grading'!C34</f>
        <v>1</v>
      </c>
      <c r="D34" s="27">
        <f>'LLM Grading'!C34</f>
        <v>1</v>
      </c>
      <c r="E34" s="5"/>
      <c r="F34" s="55" t="s">
        <v>132</v>
      </c>
      <c r="G34" s="2">
        <f t="shared" ref="G34:I34" si="49">SUM(G31:G33)</f>
        <v>4</v>
      </c>
      <c r="H34" s="2">
        <f t="shared" si="49"/>
        <v>1</v>
      </c>
      <c r="I34" s="2">
        <f t="shared" si="49"/>
        <v>3</v>
      </c>
      <c r="J34" s="2">
        <f>SUM(G31:I33)</f>
        <v>8</v>
      </c>
    </row>
    <row r="35" spans="1:24" ht="12.75" customHeight="1" x14ac:dyDescent="0.15">
      <c r="A35" s="3" t="str">
        <f>Thermonix!A35</f>
        <v>Guard</v>
      </c>
      <c r="B35" s="4" t="str">
        <f>Thermonix!B35</f>
        <v>[choppingTimeDone &amp;&amp; !moreIngredientsRequired()]</v>
      </c>
      <c r="C35" s="27">
        <f>'Human Grading'!C35</f>
        <v>0</v>
      </c>
      <c r="D35" s="27">
        <f>'LLM Grading'!C35</f>
        <v>0</v>
      </c>
    </row>
    <row r="36" spans="1:24" ht="15" customHeight="1" x14ac:dyDescent="0.15">
      <c r="A36" s="3" t="str">
        <f>Thermonix!A36</f>
        <v>Action</v>
      </c>
      <c r="B36" s="4" t="str">
        <f>Thermonix!B36</f>
        <v>setCookingSpeedAndTime()</v>
      </c>
      <c r="C36" s="27">
        <f>'Human Grading'!C36</f>
        <v>1</v>
      </c>
      <c r="D36" s="27">
        <f>'LLM Grading'!C36</f>
        <v>1</v>
      </c>
      <c r="E36" s="5"/>
      <c r="F36" s="79" t="s">
        <v>141</v>
      </c>
      <c r="G36" s="80"/>
      <c r="H36" s="80"/>
      <c r="I36" s="80"/>
    </row>
    <row r="37" spans="1:24" ht="15" customHeight="1" x14ac:dyDescent="0.15">
      <c r="A37" s="3" t="str">
        <f>Thermonix!A37</f>
        <v>State</v>
      </c>
      <c r="B37" s="4" t="str">
        <f>Thermonix!B37</f>
        <v>Cook</v>
      </c>
      <c r="C37" s="27">
        <f>'Human Grading'!C37</f>
        <v>1</v>
      </c>
      <c r="D37" s="27">
        <f>'LLM Grading'!C37</f>
        <v>1</v>
      </c>
      <c r="E37" s="5"/>
      <c r="F37" s="2" t="s">
        <v>24</v>
      </c>
      <c r="G37" s="57" t="s">
        <v>120</v>
      </c>
      <c r="H37" s="57" t="s">
        <v>121</v>
      </c>
      <c r="I37" s="57" t="s">
        <v>122</v>
      </c>
      <c r="J37" s="58" t="s">
        <v>123</v>
      </c>
      <c r="K37" s="2"/>
      <c r="L37" s="2" t="s">
        <v>119</v>
      </c>
      <c r="M37" s="57" t="s">
        <v>120</v>
      </c>
      <c r="N37" s="57" t="s">
        <v>121</v>
      </c>
      <c r="O37" s="57" t="s">
        <v>122</v>
      </c>
      <c r="P37" s="2"/>
      <c r="Q37" s="66" t="s">
        <v>119</v>
      </c>
      <c r="R37" s="67" t="s">
        <v>120</v>
      </c>
      <c r="S37" s="67" t="s">
        <v>121</v>
      </c>
      <c r="T37" s="67" t="s">
        <v>122</v>
      </c>
      <c r="V37" s="44" t="s">
        <v>124</v>
      </c>
      <c r="W37" s="44" t="s">
        <v>125</v>
      </c>
      <c r="X37" s="44" t="s">
        <v>126</v>
      </c>
    </row>
    <row r="38" spans="1:24" ht="15" customHeight="1" x14ac:dyDescent="0.15">
      <c r="A38" s="3" t="str">
        <f>Thermonix!A38</f>
        <v>Transition</v>
      </c>
      <c r="B38" s="4" t="str">
        <f>Thermonix!B38</f>
        <v>after choppingTime (Cook ⇒ PromptToAdd)</v>
      </c>
      <c r="C38" s="27">
        <f>'Human Grading'!C38</f>
        <v>0</v>
      </c>
      <c r="D38" s="27">
        <f>'LLM Grading'!C38</f>
        <v>0.5</v>
      </c>
      <c r="E38" s="5"/>
      <c r="F38" s="45">
        <v>0</v>
      </c>
      <c r="G38" s="46">
        <f t="shared" ref="G38:H38" si="50">COUNTIFS($A$2:$A$88,$F$37,$C$2:$C$88,$F38,$D$2:$D$88,G$37)</f>
        <v>4</v>
      </c>
      <c r="H38" s="47">
        <f t="shared" si="50"/>
        <v>0</v>
      </c>
      <c r="I38" s="48">
        <f>COUNTIFS($A$2:$A$44,$F$37,$C$2:$C$44,$F38,$D$2:$D$44,I$37)+MAX(D48-C48,0)</f>
        <v>1</v>
      </c>
      <c r="J38" s="2">
        <f t="shared" ref="J38:J40" si="51">SUM(G38:I38)</f>
        <v>5</v>
      </c>
      <c r="K38" s="2"/>
      <c r="L38" s="45">
        <v>0</v>
      </c>
      <c r="M38" s="46">
        <f t="shared" ref="M38:O38" si="52">ABS(G$2-$F38)/1</f>
        <v>0</v>
      </c>
      <c r="N38" s="47">
        <f t="shared" si="52"/>
        <v>0.5</v>
      </c>
      <c r="O38" s="48">
        <f t="shared" si="52"/>
        <v>1</v>
      </c>
      <c r="P38" s="2"/>
      <c r="Q38" s="68">
        <v>0</v>
      </c>
      <c r="R38" s="69">
        <f t="shared" ref="R38:T38" si="53">($J38/$J$41) * (G$41/$J$41)</f>
        <v>0.40816326530612246</v>
      </c>
      <c r="S38" s="70">
        <f t="shared" si="53"/>
        <v>0</v>
      </c>
      <c r="T38" s="71">
        <f t="shared" si="53"/>
        <v>0.30612244897959184</v>
      </c>
      <c r="U38" s="2"/>
      <c r="V38" s="49" t="s">
        <v>148</v>
      </c>
      <c r="W38" s="46">
        <f>SUMPRODUCT(G38:I40, M38:O40) /$J$41</f>
        <v>0.14285714285714285</v>
      </c>
      <c r="X38" s="48" t="s">
        <v>149</v>
      </c>
    </row>
    <row r="39" spans="1:24" ht="15" customHeight="1" x14ac:dyDescent="0.15">
      <c r="A39" s="3" t="str">
        <f>Thermonix!A39</f>
        <v>Guard</v>
      </c>
      <c r="B39" s="4" t="str">
        <f>Thermonix!B39</f>
        <v>[choppingTimeDone &amp;&amp; moreIngredientsRequired()]</v>
      </c>
      <c r="C39" s="27">
        <f>'Human Grading'!C39</f>
        <v>0</v>
      </c>
      <c r="D39" s="27">
        <f>'LLM Grading'!C39</f>
        <v>0.5</v>
      </c>
      <c r="E39" s="5"/>
      <c r="F39" s="45">
        <v>0.5</v>
      </c>
      <c r="G39" s="50">
        <f t="shared" ref="G39:I39" si="54">COUNTIFS($A$2:$A$88,$F$37,$C$2:$C$88,$F39,$D$2:$D$88,G$37)</f>
        <v>0</v>
      </c>
      <c r="H39" s="2">
        <f t="shared" si="54"/>
        <v>0</v>
      </c>
      <c r="I39" s="51">
        <f t="shared" si="54"/>
        <v>0</v>
      </c>
      <c r="J39" s="2">
        <f t="shared" si="51"/>
        <v>0</v>
      </c>
      <c r="K39" s="2"/>
      <c r="L39" s="45">
        <v>0.5</v>
      </c>
      <c r="M39" s="50">
        <f t="shared" ref="M39:M40" si="55">ABS(G$2-$F39)/1</f>
        <v>0.5</v>
      </c>
      <c r="N39" s="2">
        <f>ABS(H$2-$F39)/3</f>
        <v>0</v>
      </c>
      <c r="O39" s="51">
        <f>ABS(I$2-$F39)/1</f>
        <v>0.5</v>
      </c>
      <c r="P39" s="2"/>
      <c r="Q39" s="68">
        <v>0.5</v>
      </c>
      <c r="R39" s="72">
        <f t="shared" ref="R39:T39" si="56">($J39/$J$41) * (G$41/$J$41)</f>
        <v>0</v>
      </c>
      <c r="S39" s="66">
        <f t="shared" si="56"/>
        <v>0</v>
      </c>
      <c r="T39" s="73">
        <f t="shared" si="56"/>
        <v>0</v>
      </c>
      <c r="U39" s="2"/>
      <c r="V39" s="49" t="s">
        <v>150</v>
      </c>
      <c r="W39" s="50">
        <f>SUMPRODUCT(R38:T40, M38:O40)</f>
        <v>0.46938775510204078</v>
      </c>
      <c r="X39" s="51" t="s">
        <v>151</v>
      </c>
    </row>
    <row r="40" spans="1:24" ht="15" customHeight="1" x14ac:dyDescent="0.15">
      <c r="A40" s="3" t="str">
        <f>Thermonix!A40</f>
        <v>Action</v>
      </c>
      <c r="B40" s="4" t="str">
        <f>Thermonix!B40</f>
        <v>setIngredients()</v>
      </c>
      <c r="C40" s="27">
        <f>'Human Grading'!C40</f>
        <v>0</v>
      </c>
      <c r="D40" s="27">
        <f>'LLM Grading'!C40</f>
        <v>0</v>
      </c>
      <c r="E40" s="5"/>
      <c r="F40" s="45">
        <v>1</v>
      </c>
      <c r="G40" s="52">
        <f>COUNTIFS($A$2:$A$44,$F$37,$C$2:$C$44,$F40,$D$2:$D$44,G$37)+MAX(C48-D48,0)</f>
        <v>0</v>
      </c>
      <c r="H40" s="53">
        <f>COUNTIFS($A$2:$A$88,$F$37,$C$2:$C$88,$F40,$D$2:$D$88,H$37)</f>
        <v>0</v>
      </c>
      <c r="I40" s="54">
        <f>COUNTIFS($A$2:$A$44,$F$37,$C$2:$C$44,$F40,$D$2:$D$44,I$37) + MIN(C48,D48)</f>
        <v>2</v>
      </c>
      <c r="J40" s="2">
        <f t="shared" si="51"/>
        <v>2</v>
      </c>
      <c r="K40" s="2"/>
      <c r="L40" s="45">
        <v>1</v>
      </c>
      <c r="M40" s="52">
        <f t="shared" si="55"/>
        <v>1</v>
      </c>
      <c r="N40" s="53">
        <f t="shared" ref="N40:O40" si="57">ABS(H$2-$F40)/1</f>
        <v>0.5</v>
      </c>
      <c r="O40" s="54">
        <f t="shared" si="57"/>
        <v>0</v>
      </c>
      <c r="P40" s="2"/>
      <c r="Q40" s="68">
        <v>1</v>
      </c>
      <c r="R40" s="74">
        <f t="shared" ref="R40:T40" si="58">($J40/$J$41) * (G$41/$J$41)</f>
        <v>0.16326530612244897</v>
      </c>
      <c r="S40" s="75">
        <f t="shared" si="58"/>
        <v>0</v>
      </c>
      <c r="T40" s="76">
        <f t="shared" si="58"/>
        <v>0.12244897959183672</v>
      </c>
      <c r="U40" s="2"/>
      <c r="V40" s="49" t="s">
        <v>118</v>
      </c>
      <c r="W40" s="52">
        <f>1-W38/W39</f>
        <v>0.69565217391304346</v>
      </c>
      <c r="X40" s="54" t="s">
        <v>152</v>
      </c>
    </row>
    <row r="41" spans="1:24" ht="15" customHeight="1" x14ac:dyDescent="0.15">
      <c r="A41" s="3" t="str">
        <f>Thermonix!A41</f>
        <v>Transition</v>
      </c>
      <c r="B41" s="4" t="str">
        <f>Thermonix!B41</f>
        <v>after cookingTime (Cook ⇒ Ready)</v>
      </c>
      <c r="C41" s="27">
        <f>'Human Grading'!C41</f>
        <v>1</v>
      </c>
      <c r="D41" s="27">
        <f>'LLM Grading'!C41</f>
        <v>0.5</v>
      </c>
      <c r="E41" s="5"/>
      <c r="F41" s="55" t="s">
        <v>132</v>
      </c>
      <c r="G41" s="2">
        <f t="shared" ref="G41:I41" si="59">SUM(G38:G40)</f>
        <v>4</v>
      </c>
      <c r="H41" s="2">
        <f t="shared" si="59"/>
        <v>0</v>
      </c>
      <c r="I41" s="2">
        <f t="shared" si="59"/>
        <v>3</v>
      </c>
      <c r="J41" s="2">
        <f>SUM(G38:I40)</f>
        <v>7</v>
      </c>
    </row>
    <row r="42" spans="1:24" ht="15" customHeight="1" x14ac:dyDescent="0.15">
      <c r="A42" s="3" t="str">
        <f>Thermonix!A42</f>
        <v>Guard</v>
      </c>
      <c r="B42" s="4" t="str">
        <f>Thermonix!B42</f>
        <v>[!moreIngredientsRequired()]</v>
      </c>
      <c r="C42" s="27">
        <f>'Human Grading'!C42</f>
        <v>0.5</v>
      </c>
      <c r="D42" s="27">
        <f>'LLM Grading'!C42</f>
        <v>1</v>
      </c>
      <c r="E42" s="5"/>
    </row>
    <row r="43" spans="1:24" ht="15" customHeight="1" x14ac:dyDescent="0.15">
      <c r="A43" s="3" t="str">
        <f>Thermonix!A43</f>
        <v>State</v>
      </c>
      <c r="B43" s="4" t="str">
        <f>Thermonix!B43</f>
        <v>Ready</v>
      </c>
      <c r="C43" s="27">
        <f>'Human Grading'!C43</f>
        <v>1</v>
      </c>
      <c r="D43" s="27">
        <f>'LLM Grading'!C43</f>
        <v>1</v>
      </c>
      <c r="E43" s="5"/>
      <c r="F43" s="79" t="s">
        <v>143</v>
      </c>
      <c r="G43" s="80"/>
      <c r="H43" s="80"/>
      <c r="I43" s="80"/>
    </row>
    <row r="44" spans="1:24" ht="15" customHeight="1" x14ac:dyDescent="0.15">
      <c r="A44" s="3" t="str">
        <f>Thermonix!A44</f>
        <v>Transition</v>
      </c>
      <c r="B44" s="4" t="str">
        <f>Thermonix!B44</f>
        <v>after 14min 30sec (Ready ⇒ Preparing Shutdown)</v>
      </c>
      <c r="C44" s="27">
        <f>'Human Grading'!C44</f>
        <v>1</v>
      </c>
      <c r="D44" s="27">
        <f>'LLM Grading'!C44</f>
        <v>0</v>
      </c>
      <c r="E44" s="5"/>
      <c r="F44" s="2" t="s">
        <v>14</v>
      </c>
      <c r="G44" s="57" t="s">
        <v>120</v>
      </c>
      <c r="H44" s="57" t="s">
        <v>121</v>
      </c>
      <c r="I44" s="57" t="s">
        <v>122</v>
      </c>
      <c r="J44" s="58" t="s">
        <v>123</v>
      </c>
      <c r="K44" s="2"/>
      <c r="L44" s="2" t="s">
        <v>119</v>
      </c>
      <c r="M44" s="57" t="s">
        <v>120</v>
      </c>
      <c r="N44" s="57" t="s">
        <v>121</v>
      </c>
      <c r="O44" s="57" t="s">
        <v>122</v>
      </c>
      <c r="P44" s="2"/>
      <c r="Q44" s="2" t="s">
        <v>119</v>
      </c>
      <c r="R44" s="57" t="s">
        <v>120</v>
      </c>
      <c r="S44" s="57" t="s">
        <v>121</v>
      </c>
      <c r="T44" s="57" t="s">
        <v>122</v>
      </c>
      <c r="V44" s="44" t="s">
        <v>124</v>
      </c>
      <c r="W44" s="44" t="s">
        <v>125</v>
      </c>
      <c r="X44" s="44" t="s">
        <v>126</v>
      </c>
    </row>
    <row r="45" spans="1:24" ht="15" customHeight="1" x14ac:dyDescent="0.15">
      <c r="A45" s="60" t="str">
        <f>Thermonix!A45</f>
        <v>State</v>
      </c>
      <c r="B45" s="61" t="str">
        <f>Thermonix!B45</f>
        <v>additional elements</v>
      </c>
      <c r="C45" s="62">
        <f>'Human Grading'!C45</f>
        <v>0</v>
      </c>
      <c r="D45" s="62">
        <f>'LLM Grading'!C45</f>
        <v>0</v>
      </c>
      <c r="E45" s="5"/>
      <c r="F45" s="45">
        <v>0</v>
      </c>
      <c r="G45" s="46">
        <f t="shared" ref="G45:H45" si="60">COUNTIFS($A$2:$A$88,$F$44,$C$2:$C$88,$F45,$D$2:$D$88,G$44)</f>
        <v>2</v>
      </c>
      <c r="H45" s="47">
        <f t="shared" si="60"/>
        <v>0</v>
      </c>
      <c r="I45" s="48">
        <f>COUNTIFS($A$2:$A$44,$F$44,$C$2:$C$44,$F45,$D$2:$D$44,I$44) + MAX(D51-C51,0)</f>
        <v>0</v>
      </c>
      <c r="J45" s="2">
        <f t="shared" ref="J45:J47" si="61">SUM(G45:I45)</f>
        <v>2</v>
      </c>
      <c r="K45" s="2"/>
      <c r="L45" s="45">
        <v>0</v>
      </c>
      <c r="M45" s="46">
        <f t="shared" ref="M45:O45" si="62">ABS(G$2-$F45)/1</f>
        <v>0</v>
      </c>
      <c r="N45" s="47">
        <f t="shared" si="62"/>
        <v>0.5</v>
      </c>
      <c r="O45" s="48">
        <f t="shared" si="62"/>
        <v>1</v>
      </c>
      <c r="P45" s="2"/>
      <c r="Q45" s="45">
        <v>0</v>
      </c>
      <c r="R45" s="46">
        <f t="shared" ref="R45:T45" si="63">($J45/$J$48) * (G$48/$J$48)</f>
        <v>1</v>
      </c>
      <c r="S45" s="47">
        <f t="shared" si="63"/>
        <v>0</v>
      </c>
      <c r="T45" s="48">
        <f t="shared" si="63"/>
        <v>0</v>
      </c>
      <c r="U45" s="2"/>
      <c r="V45" s="49" t="s">
        <v>148</v>
      </c>
      <c r="W45" s="46">
        <f>SUMPRODUCT(G45:I47, M45:O47) /$J$48</f>
        <v>0</v>
      </c>
      <c r="X45" s="48" t="s">
        <v>149</v>
      </c>
    </row>
    <row r="46" spans="1:24" ht="12.75" customHeight="1" x14ac:dyDescent="0.15">
      <c r="A46" s="3" t="str">
        <f>Thermonix!A46</f>
        <v>Transition</v>
      </c>
      <c r="B46" s="4" t="str">
        <f>Thermonix!B46</f>
        <v>additional elements</v>
      </c>
      <c r="C46" s="27">
        <f>'Human Grading'!C46</f>
        <v>0</v>
      </c>
      <c r="D46" s="27">
        <f>'LLM Grading'!C46</f>
        <v>0</v>
      </c>
      <c r="F46" s="45">
        <v>0.5</v>
      </c>
      <c r="G46" s="50">
        <f t="shared" ref="G46:I46" si="64">COUNTIFS($A$2:$A$88,$F$44,$C$2:$C$88,$F46,$D$2:$D$88,G$44)</f>
        <v>0</v>
      </c>
      <c r="H46" s="2">
        <f t="shared" si="64"/>
        <v>0</v>
      </c>
      <c r="I46" s="51">
        <f t="shared" si="64"/>
        <v>0</v>
      </c>
      <c r="J46" s="2">
        <f t="shared" si="61"/>
        <v>0</v>
      </c>
      <c r="K46" s="2"/>
      <c r="L46" s="45">
        <v>0.5</v>
      </c>
      <c r="M46" s="50">
        <f t="shared" ref="M46:M47" si="65">ABS(G$2-$F46)/1</f>
        <v>0.5</v>
      </c>
      <c r="N46" s="2">
        <f>ABS(H$2-$F46)/3</f>
        <v>0</v>
      </c>
      <c r="O46" s="51">
        <f>ABS(I$2-$F46)/1</f>
        <v>0.5</v>
      </c>
      <c r="P46" s="2"/>
      <c r="Q46" s="45">
        <v>0.5</v>
      </c>
      <c r="R46" s="50">
        <f t="shared" ref="R46:T46" si="66">($J46/$J$48) * (G$48/$J$48)</f>
        <v>0</v>
      </c>
      <c r="S46" s="2">
        <f t="shared" si="66"/>
        <v>0</v>
      </c>
      <c r="T46" s="51">
        <f t="shared" si="66"/>
        <v>0</v>
      </c>
      <c r="U46" s="2"/>
      <c r="V46" s="49" t="s">
        <v>150</v>
      </c>
      <c r="W46" s="50">
        <f>SUMPRODUCT(R45:T47, M45:O47)</f>
        <v>0</v>
      </c>
      <c r="X46" s="51" t="s">
        <v>151</v>
      </c>
    </row>
    <row r="47" spans="1:24" ht="12.75" customHeight="1" x14ac:dyDescent="0.15">
      <c r="A47" s="3" t="str">
        <f>Thermonix!A47</f>
        <v>Guard</v>
      </c>
      <c r="B47" s="4" t="str">
        <f>Thermonix!B47</f>
        <v>additional elements</v>
      </c>
      <c r="C47" s="27">
        <f>'Human Grading'!C47</f>
        <v>0</v>
      </c>
      <c r="D47" s="27">
        <f>'LLM Grading'!C47</f>
        <v>0</v>
      </c>
      <c r="F47" s="45">
        <v>1</v>
      </c>
      <c r="G47" s="52">
        <f>COUNTIFS($A$2:$A$44,$F$44,$C$2:$C$44,$F47,$D$2:$D$44,G$44) + MAX(C51-D51,0)</f>
        <v>0</v>
      </c>
      <c r="H47" s="53">
        <f>COUNTIFS($A$2:$A$88,$F$44,$C$2:$C$88,$F47,$D$2:$D$88,H$44)</f>
        <v>0</v>
      </c>
      <c r="I47" s="54">
        <f>COUNTIFS($A$2:$A$44,$F$44,$C$2:$C$44,$F47,$D$2:$D$44,I$44) + MIN(C51,D51)</f>
        <v>0</v>
      </c>
      <c r="J47" s="2">
        <f t="shared" si="61"/>
        <v>0</v>
      </c>
      <c r="K47" s="2"/>
      <c r="L47" s="45">
        <v>1</v>
      </c>
      <c r="M47" s="52">
        <f t="shared" si="65"/>
        <v>1</v>
      </c>
      <c r="N47" s="53">
        <f t="shared" ref="N47:O47" si="67">ABS(H$2-$F47)/1</f>
        <v>0.5</v>
      </c>
      <c r="O47" s="54">
        <f t="shared" si="67"/>
        <v>0</v>
      </c>
      <c r="P47" s="2"/>
      <c r="Q47" s="45">
        <v>1</v>
      </c>
      <c r="R47" s="52">
        <f t="shared" ref="R47:T47" si="68">($J47/$J$48) * (G$48/$J$48)</f>
        <v>0</v>
      </c>
      <c r="S47" s="53">
        <f t="shared" si="68"/>
        <v>0</v>
      </c>
      <c r="T47" s="54">
        <f t="shared" si="68"/>
        <v>0</v>
      </c>
      <c r="U47" s="2"/>
      <c r="V47" s="49" t="s">
        <v>118</v>
      </c>
      <c r="W47" s="52" t="e">
        <f>1-W45/W46</f>
        <v>#DIV/0!</v>
      </c>
      <c r="X47" s="54" t="s">
        <v>152</v>
      </c>
    </row>
    <row r="48" spans="1:24" ht="12.75" customHeight="1" x14ac:dyDescent="0.15">
      <c r="A48" s="3" t="str">
        <f>Thermonix!A48</f>
        <v>Action</v>
      </c>
      <c r="B48" s="4" t="str">
        <f>Thermonix!B48</f>
        <v>additional elements</v>
      </c>
      <c r="C48" s="27">
        <f>'Human Grading'!C48</f>
        <v>0</v>
      </c>
      <c r="D48" s="27">
        <f>'LLM Grading'!C48</f>
        <v>1</v>
      </c>
      <c r="F48" s="55" t="s">
        <v>132</v>
      </c>
      <c r="G48" s="2">
        <f t="shared" ref="G48:I48" si="69">SUM(G45:G47)</f>
        <v>2</v>
      </c>
      <c r="H48" s="2">
        <f t="shared" si="69"/>
        <v>0</v>
      </c>
      <c r="I48" s="2">
        <f t="shared" si="69"/>
        <v>0</v>
      </c>
      <c r="J48" s="2">
        <f>SUM(G45:I47)</f>
        <v>2</v>
      </c>
    </row>
    <row r="49" spans="1:24" ht="12.75" customHeight="1" x14ac:dyDescent="0.15">
      <c r="A49" s="3" t="str">
        <f>Thermonix!A49</f>
        <v>Composite State</v>
      </c>
      <c r="B49" s="4" t="str">
        <f>Thermonix!B49</f>
        <v>additional elements</v>
      </c>
      <c r="C49" s="27">
        <f>'Human Grading'!C49</f>
        <v>0</v>
      </c>
      <c r="D49" s="27">
        <f>'LLM Grading'!C49</f>
        <v>1</v>
      </c>
    </row>
    <row r="50" spans="1:24" ht="12.75" customHeight="1" x14ac:dyDescent="0.15">
      <c r="A50" s="3" t="str">
        <f>Thermonix!A50</f>
        <v>Region</v>
      </c>
      <c r="B50" s="4" t="str">
        <f>Thermonix!B50</f>
        <v>additional elements</v>
      </c>
      <c r="C50" s="27">
        <f>'Human Grading'!C50</f>
        <v>0</v>
      </c>
      <c r="D50" s="27">
        <f>'LLM Grading'!C50</f>
        <v>0</v>
      </c>
      <c r="F50" s="79" t="s">
        <v>145</v>
      </c>
      <c r="G50" s="80"/>
      <c r="H50" s="80"/>
      <c r="I50" s="80"/>
    </row>
    <row r="51" spans="1:24" ht="12.75" customHeight="1" x14ac:dyDescent="0.15">
      <c r="A51" s="3" t="str">
        <f>Thermonix!A51</f>
        <v>History State</v>
      </c>
      <c r="B51" s="4" t="str">
        <f>Thermonix!B51</f>
        <v>additional elements</v>
      </c>
      <c r="C51" s="27">
        <f>'Human Grading'!C51</f>
        <v>0</v>
      </c>
      <c r="D51" s="27">
        <f>'LLM Grading'!C51</f>
        <v>0</v>
      </c>
      <c r="F51" s="2" t="s">
        <v>48</v>
      </c>
      <c r="G51" s="57" t="s">
        <v>120</v>
      </c>
      <c r="H51" s="57" t="s">
        <v>121</v>
      </c>
      <c r="I51" s="57" t="s">
        <v>122</v>
      </c>
      <c r="J51" s="58" t="s">
        <v>123</v>
      </c>
      <c r="K51" s="2"/>
      <c r="L51" s="2" t="s">
        <v>119</v>
      </c>
      <c r="M51" s="57" t="s">
        <v>120</v>
      </c>
      <c r="N51" s="57" t="s">
        <v>121</v>
      </c>
      <c r="O51" s="57" t="s">
        <v>122</v>
      </c>
      <c r="P51" s="2"/>
      <c r="Q51" s="2" t="s">
        <v>119</v>
      </c>
      <c r="R51" s="57" t="s">
        <v>120</v>
      </c>
      <c r="S51" s="57" t="s">
        <v>121</v>
      </c>
      <c r="T51" s="57" t="s">
        <v>122</v>
      </c>
      <c r="V51" s="44" t="s">
        <v>124</v>
      </c>
      <c r="W51" s="44" t="s">
        <v>125</v>
      </c>
      <c r="X51" s="44" t="s">
        <v>126</v>
      </c>
    </row>
    <row r="52" spans="1:24" ht="12.75" customHeight="1" x14ac:dyDescent="0.15">
      <c r="A52" s="3"/>
      <c r="B52" s="4"/>
      <c r="C52" s="5"/>
      <c r="D52" s="5"/>
      <c r="F52" s="45">
        <v>0</v>
      </c>
      <c r="G52" s="46">
        <f t="shared" ref="G52:H52" si="70">COUNTIFS($A$2:$A$88,$F$51,$C$2:$C$88,$F52,$D$2:$D$88,G$51)</f>
        <v>1</v>
      </c>
      <c r="H52" s="47">
        <f t="shared" si="70"/>
        <v>0</v>
      </c>
      <c r="I52" s="48">
        <f>COUNTIFS($A$2:$A$44,$F$51,$C$2:$C$44,$F52,$D$2:$D$44,I$51)+MAX(D50-C50,0)</f>
        <v>0</v>
      </c>
      <c r="J52" s="2">
        <f t="shared" ref="J52:J54" si="71">SUM(G52:I52)</f>
        <v>1</v>
      </c>
      <c r="K52" s="2"/>
      <c r="L52" s="45">
        <v>0</v>
      </c>
      <c r="M52" s="46">
        <f t="shared" ref="M52:O52" si="72">ABS(G$2-$F52)/1</f>
        <v>0</v>
      </c>
      <c r="N52" s="47">
        <f t="shared" si="72"/>
        <v>0.5</v>
      </c>
      <c r="O52" s="48">
        <f t="shared" si="72"/>
        <v>1</v>
      </c>
      <c r="P52" s="2"/>
      <c r="Q52" s="45">
        <v>0</v>
      </c>
      <c r="R52" s="46">
        <f t="shared" ref="R52:T52" si="73">($J52/$J$55) * (G$55/$J$55)</f>
        <v>1</v>
      </c>
      <c r="S52" s="47">
        <f t="shared" si="73"/>
        <v>0</v>
      </c>
      <c r="T52" s="48">
        <f t="shared" si="73"/>
        <v>0</v>
      </c>
      <c r="U52" s="2"/>
      <c r="V52" s="49" t="s">
        <v>148</v>
      </c>
      <c r="W52" s="46">
        <f>SUMPRODUCT(G52:I54, M52:O54) /$J$55</f>
        <v>0</v>
      </c>
      <c r="X52" s="48" t="s">
        <v>149</v>
      </c>
    </row>
    <row r="53" spans="1:24" ht="12.75" customHeight="1" x14ac:dyDescent="0.15">
      <c r="A53" s="3"/>
      <c r="B53" s="4"/>
      <c r="C53" s="5"/>
      <c r="D53" s="5"/>
      <c r="F53" s="45">
        <v>0.5</v>
      </c>
      <c r="G53" s="50">
        <f t="shared" ref="G53:I53" si="74">COUNTIFS($A$2:$A$88,$F$51,$C$2:$C$88,$F53,$D$2:$D$88,G$51)</f>
        <v>0</v>
      </c>
      <c r="H53" s="2">
        <f t="shared" si="74"/>
        <v>0</v>
      </c>
      <c r="I53" s="51">
        <f t="shared" si="74"/>
        <v>0</v>
      </c>
      <c r="J53" s="2">
        <f t="shared" si="71"/>
        <v>0</v>
      </c>
      <c r="K53" s="2"/>
      <c r="L53" s="45">
        <v>0.5</v>
      </c>
      <c r="M53" s="50">
        <f t="shared" ref="M53:M54" si="75">ABS(G$2-$F53)/1</f>
        <v>0.5</v>
      </c>
      <c r="N53" s="2">
        <f>ABS(H$2-$F53)/3</f>
        <v>0</v>
      </c>
      <c r="O53" s="51">
        <f>ABS(I$2-$F53)/1</f>
        <v>0.5</v>
      </c>
      <c r="P53" s="2"/>
      <c r="Q53" s="45">
        <v>0.5</v>
      </c>
      <c r="R53" s="50">
        <f t="shared" ref="R53:T53" si="76">($J53/$J$55) * (G$55/$J$55)</f>
        <v>0</v>
      </c>
      <c r="S53" s="2">
        <f t="shared" si="76"/>
        <v>0</v>
      </c>
      <c r="T53" s="51">
        <f t="shared" si="76"/>
        <v>0</v>
      </c>
      <c r="U53" s="2"/>
      <c r="V53" s="49" t="s">
        <v>150</v>
      </c>
      <c r="W53" s="50">
        <f>SUMPRODUCT(R52:T54, M52:O54)</f>
        <v>0</v>
      </c>
      <c r="X53" s="51" t="s">
        <v>151</v>
      </c>
    </row>
    <row r="54" spans="1:24" ht="12.75" customHeight="1" x14ac:dyDescent="0.15">
      <c r="A54" s="3"/>
      <c r="B54" s="4"/>
      <c r="C54" s="5"/>
      <c r="D54" s="5"/>
      <c r="F54" s="45">
        <v>1</v>
      </c>
      <c r="G54" s="52">
        <f>COUNTIFS($A$2:$A$44,$F$51,$C$2:$C$44,$F54,$D$2:$D$44,G$51) + MAX(C50-D50,0)</f>
        <v>0</v>
      </c>
      <c r="H54" s="53">
        <f>COUNTIFS($A$2:$A$88,$F$51,$C$2:$C$88,$F54,$D$2:$D$88,H$51)</f>
        <v>0</v>
      </c>
      <c r="I54" s="54">
        <f>COUNTIFS($A$2:$A$44,$F$51,$C$2:$C$44,$F54,$D$2:$D$44,I$51)+MIN(C50,D50)</f>
        <v>0</v>
      </c>
      <c r="J54" s="2">
        <f t="shared" si="71"/>
        <v>0</v>
      </c>
      <c r="K54" s="2"/>
      <c r="L54" s="45">
        <v>1</v>
      </c>
      <c r="M54" s="52">
        <f t="shared" si="75"/>
        <v>1</v>
      </c>
      <c r="N54" s="53">
        <f t="shared" ref="N54:O54" si="77">ABS(H$2-$F54)/1</f>
        <v>0.5</v>
      </c>
      <c r="O54" s="54">
        <f t="shared" si="77"/>
        <v>0</v>
      </c>
      <c r="P54" s="2"/>
      <c r="Q54" s="45">
        <v>1</v>
      </c>
      <c r="R54" s="52">
        <f t="shared" ref="R54:T54" si="78">($J54/$J$55) * (G$55/$J$55)</f>
        <v>0</v>
      </c>
      <c r="S54" s="53">
        <f t="shared" si="78"/>
        <v>0</v>
      </c>
      <c r="T54" s="54">
        <f t="shared" si="78"/>
        <v>0</v>
      </c>
      <c r="U54" s="2"/>
      <c r="V54" s="49" t="s">
        <v>118</v>
      </c>
      <c r="W54" s="52" t="e">
        <f>1-W52/W53</f>
        <v>#DIV/0!</v>
      </c>
      <c r="X54" s="54" t="s">
        <v>152</v>
      </c>
    </row>
    <row r="55" spans="1:24" ht="12.75" customHeight="1" x14ac:dyDescent="0.15">
      <c r="A55" s="3"/>
      <c r="B55" s="4"/>
      <c r="C55" s="5"/>
      <c r="D55" s="5"/>
      <c r="F55" s="55" t="s">
        <v>132</v>
      </c>
      <c r="G55" s="2">
        <f t="shared" ref="G55:I55" si="79">SUM(G52:G54)</f>
        <v>1</v>
      </c>
      <c r="H55" s="2">
        <f t="shared" si="79"/>
        <v>0</v>
      </c>
      <c r="I55" s="2">
        <f t="shared" si="79"/>
        <v>0</v>
      </c>
      <c r="J55" s="2">
        <f>SUM(G52:I54)</f>
        <v>1</v>
      </c>
      <c r="L55" s="2"/>
      <c r="M55" s="56"/>
    </row>
    <row r="56" spans="1:24" ht="12.75" customHeight="1" x14ac:dyDescent="0.15">
      <c r="A56" s="3"/>
      <c r="B56" s="4"/>
      <c r="C56" s="5"/>
      <c r="D56" s="5"/>
    </row>
    <row r="57" spans="1:24" ht="12.75" customHeight="1" x14ac:dyDescent="0.15">
      <c r="A57" s="3"/>
      <c r="B57" s="4"/>
      <c r="C57" s="5"/>
      <c r="D57" s="5"/>
    </row>
    <row r="58" spans="1:24" ht="12.75" customHeight="1" x14ac:dyDescent="0.15">
      <c r="A58" s="3"/>
      <c r="B58" s="4"/>
      <c r="C58" s="5"/>
      <c r="D58" s="5"/>
    </row>
    <row r="59" spans="1:24" ht="12.75" customHeight="1" x14ac:dyDescent="0.15">
      <c r="A59" s="3"/>
      <c r="B59" s="4"/>
      <c r="C59" s="5"/>
      <c r="D59" s="5"/>
    </row>
    <row r="60" spans="1:24" ht="12.75" customHeight="1" x14ac:dyDescent="0.15">
      <c r="A60" s="3"/>
      <c r="B60" s="4"/>
      <c r="C60" s="5"/>
      <c r="D60" s="5"/>
    </row>
    <row r="61" spans="1:24" ht="12.75" customHeight="1" x14ac:dyDescent="0.15">
      <c r="A61" s="3"/>
      <c r="B61" s="4"/>
      <c r="C61" s="5"/>
      <c r="D61" s="5"/>
    </row>
    <row r="62" spans="1:24" ht="12.75" customHeight="1" x14ac:dyDescent="0.15">
      <c r="A62" s="3"/>
      <c r="B62" s="4"/>
      <c r="C62" s="5"/>
      <c r="D62" s="5"/>
    </row>
    <row r="63" spans="1:24" ht="12.75" customHeight="1" x14ac:dyDescent="0.15">
      <c r="A63" s="3"/>
      <c r="B63" s="4"/>
      <c r="C63" s="5"/>
      <c r="D63" s="5"/>
    </row>
    <row r="64" spans="1:24" ht="12.75" customHeight="1" x14ac:dyDescent="0.15">
      <c r="A64" s="3"/>
      <c r="B64" s="4"/>
      <c r="C64" s="5"/>
      <c r="D64" s="5"/>
    </row>
    <row r="65" spans="1:4" ht="12.75" customHeight="1" x14ac:dyDescent="0.15">
      <c r="A65" s="3"/>
      <c r="B65" s="4"/>
      <c r="C65" s="5"/>
      <c r="D65" s="5"/>
    </row>
    <row r="66" spans="1:4" ht="12.75" customHeight="1" x14ac:dyDescent="0.15">
      <c r="A66" s="3"/>
      <c r="B66" s="4"/>
      <c r="C66" s="5"/>
      <c r="D66" s="5"/>
    </row>
    <row r="67" spans="1:4" ht="12.75" customHeight="1" x14ac:dyDescent="0.15">
      <c r="A67" s="3"/>
      <c r="B67" s="4"/>
      <c r="C67" s="5"/>
      <c r="D67" s="5"/>
    </row>
    <row r="68" spans="1:4" ht="12.75" customHeight="1" x14ac:dyDescent="0.15">
      <c r="A68" s="3"/>
      <c r="B68" s="4"/>
      <c r="C68" s="5"/>
      <c r="D68" s="5"/>
    </row>
    <row r="69" spans="1:4" ht="12.75" customHeight="1" x14ac:dyDescent="0.15">
      <c r="A69" s="3"/>
      <c r="B69" s="4"/>
      <c r="C69" s="5"/>
      <c r="D69" s="5"/>
    </row>
    <row r="70" spans="1:4" ht="12.75" customHeight="1" x14ac:dyDescent="0.15">
      <c r="A70" s="3"/>
      <c r="B70" s="4"/>
      <c r="C70" s="5"/>
      <c r="D70" s="5"/>
    </row>
    <row r="71" spans="1:4" ht="12.75" customHeight="1" x14ac:dyDescent="0.15">
      <c r="A71" s="3"/>
      <c r="B71" s="4"/>
      <c r="C71" s="5"/>
      <c r="D71" s="5"/>
    </row>
    <row r="72" spans="1:4" ht="12.75" customHeight="1" x14ac:dyDescent="0.15">
      <c r="A72" s="3"/>
      <c r="B72" s="4"/>
      <c r="C72" s="5"/>
      <c r="D72" s="5"/>
    </row>
    <row r="73" spans="1:4" ht="12.75" customHeight="1" x14ac:dyDescent="0.15">
      <c r="A73" s="3"/>
      <c r="B73" s="4"/>
      <c r="C73" s="5"/>
      <c r="D73" s="5"/>
    </row>
    <row r="74" spans="1:4" ht="12.75" customHeight="1" x14ac:dyDescent="0.15">
      <c r="A74" s="3"/>
      <c r="B74" s="4"/>
      <c r="C74" s="5"/>
      <c r="D74" s="5"/>
    </row>
    <row r="75" spans="1:4" ht="12.75" customHeight="1" x14ac:dyDescent="0.15">
      <c r="A75" s="3"/>
      <c r="B75" s="4"/>
      <c r="D75" s="5"/>
    </row>
    <row r="76" spans="1:4" ht="12.75" customHeight="1" x14ac:dyDescent="0.15">
      <c r="A76" s="3"/>
      <c r="B76" s="4"/>
      <c r="D76" s="5"/>
    </row>
    <row r="77" spans="1:4" ht="12.75" customHeight="1" x14ac:dyDescent="0.15">
      <c r="A77" s="3"/>
      <c r="B77" s="4"/>
      <c r="D77" s="5"/>
    </row>
    <row r="78" spans="1:4" ht="12.75" customHeight="1" x14ac:dyDescent="0.15">
      <c r="A78" s="3"/>
      <c r="B78" s="4"/>
      <c r="D78" s="5"/>
    </row>
    <row r="79" spans="1:4" ht="12.75" customHeight="1" x14ac:dyDescent="0.15">
      <c r="A79" s="3"/>
      <c r="B79" s="4"/>
      <c r="D79" s="5"/>
    </row>
    <row r="80" spans="1:4" ht="12.75" customHeight="1" x14ac:dyDescent="0.15">
      <c r="A80" s="3"/>
      <c r="B80" s="4"/>
      <c r="D80" s="5"/>
    </row>
    <row r="81" spans="1:4" ht="12.75" customHeight="1" x14ac:dyDescent="0.15">
      <c r="A81" s="3"/>
      <c r="B81" s="4"/>
      <c r="D81" s="5"/>
    </row>
    <row r="82" spans="1:4" ht="12.75" customHeight="1" x14ac:dyDescent="0.15">
      <c r="A82" s="3"/>
      <c r="B82" s="4"/>
      <c r="D82" s="5"/>
    </row>
    <row r="83" spans="1:4" ht="12.75" customHeight="1" x14ac:dyDescent="0.15">
      <c r="A83" s="3"/>
      <c r="B83" s="4"/>
      <c r="D83" s="5"/>
    </row>
    <row r="84" spans="1:4" ht="12.75" customHeight="1" x14ac:dyDescent="0.15">
      <c r="A84" s="3"/>
      <c r="B84" s="4"/>
    </row>
    <row r="85" spans="1:4" ht="12.75" customHeight="1" x14ac:dyDescent="0.15">
      <c r="A85" s="1"/>
      <c r="B85" s="2"/>
    </row>
    <row r="86" spans="1:4" ht="12.75" customHeight="1" x14ac:dyDescent="0.15">
      <c r="A86" s="1"/>
      <c r="B86" s="2"/>
    </row>
    <row r="87" spans="1:4" ht="12.75" customHeight="1" x14ac:dyDescent="0.15">
      <c r="A87" s="1"/>
      <c r="B87" s="2"/>
    </row>
    <row r="88" spans="1:4" ht="12.75" customHeight="1" x14ac:dyDescent="0.15">
      <c r="A88" s="1"/>
      <c r="B88" s="2"/>
    </row>
    <row r="89" spans="1:4" ht="12.75" customHeight="1" x14ac:dyDescent="0.15">
      <c r="A89" s="1"/>
      <c r="B89" s="2"/>
    </row>
    <row r="90" spans="1:4" ht="12.75" customHeight="1" x14ac:dyDescent="0.15">
      <c r="A90" s="1"/>
      <c r="B90" s="2"/>
    </row>
    <row r="91" spans="1:4" ht="12.75" customHeight="1" x14ac:dyDescent="0.15">
      <c r="A91" s="1"/>
      <c r="B91" s="2"/>
    </row>
    <row r="92" spans="1:4" ht="12.75" customHeight="1" x14ac:dyDescent="0.15">
      <c r="A92" s="1"/>
      <c r="B92" s="2"/>
    </row>
    <row r="93" spans="1:4" ht="12.75" customHeight="1" x14ac:dyDescent="0.15">
      <c r="A93" s="1"/>
      <c r="B93" s="2"/>
    </row>
    <row r="94" spans="1:4" ht="12.75" customHeight="1" x14ac:dyDescent="0.15">
      <c r="A94" s="1"/>
      <c r="B94" s="2"/>
    </row>
    <row r="95" spans="1:4" ht="12.75" customHeight="1" x14ac:dyDescent="0.15">
      <c r="A95" s="1"/>
      <c r="B95" s="2"/>
    </row>
    <row r="96" spans="1:4" ht="12.75" customHeight="1" x14ac:dyDescent="0.15">
      <c r="A96" s="1"/>
      <c r="B96" s="2"/>
    </row>
    <row r="97" spans="1:2" ht="12.75" customHeight="1" x14ac:dyDescent="0.15">
      <c r="A97" s="1"/>
      <c r="B97" s="2"/>
    </row>
    <row r="98" spans="1:2" ht="12.75" customHeight="1" x14ac:dyDescent="0.15">
      <c r="A98" s="1"/>
      <c r="B98" s="2"/>
    </row>
    <row r="99" spans="1:2" ht="12.75" customHeight="1" x14ac:dyDescent="0.15">
      <c r="A99" s="1"/>
      <c r="B99" s="2"/>
    </row>
    <row r="100" spans="1:2" ht="12.75" customHeight="1" x14ac:dyDescent="0.15">
      <c r="A100" s="1"/>
      <c r="B100" s="2"/>
    </row>
    <row r="101" spans="1:2" ht="12.75" customHeight="1" x14ac:dyDescent="0.15">
      <c r="A101" s="1"/>
      <c r="B101" s="2"/>
    </row>
    <row r="102" spans="1:2" ht="12.75" customHeight="1" x14ac:dyDescent="0.15">
      <c r="A102" s="1"/>
      <c r="B102" s="2"/>
    </row>
    <row r="103" spans="1:2" ht="12.75" customHeight="1" x14ac:dyDescent="0.15">
      <c r="A103" s="1"/>
      <c r="B103" s="2"/>
    </row>
    <row r="104" spans="1:2" ht="12.75" customHeight="1" x14ac:dyDescent="0.15">
      <c r="A104" s="1"/>
      <c r="B104" s="2"/>
    </row>
    <row r="105" spans="1:2" ht="12.75" customHeight="1" x14ac:dyDescent="0.15">
      <c r="A105" s="1"/>
      <c r="B105" s="2"/>
    </row>
    <row r="106" spans="1:2" ht="12.75" customHeight="1" x14ac:dyDescent="0.15">
      <c r="A106" s="1"/>
      <c r="B106" s="2"/>
    </row>
    <row r="107" spans="1:2" ht="12.75" customHeight="1" x14ac:dyDescent="0.15">
      <c r="A107" s="1"/>
      <c r="B107" s="2"/>
    </row>
    <row r="108" spans="1:2" ht="12.75" customHeight="1" x14ac:dyDescent="0.15">
      <c r="A108" s="1"/>
      <c r="B108" s="2"/>
    </row>
    <row r="109" spans="1:2" ht="12.75" customHeight="1" x14ac:dyDescent="0.15">
      <c r="A109" s="1"/>
      <c r="B109" s="2"/>
    </row>
    <row r="110" spans="1:2" ht="12.75" customHeight="1" x14ac:dyDescent="0.15">
      <c r="A110" s="1"/>
      <c r="B110" s="2"/>
    </row>
    <row r="111" spans="1:2" ht="12.75" customHeight="1" x14ac:dyDescent="0.15">
      <c r="A111" s="1"/>
      <c r="B111" s="2"/>
    </row>
    <row r="112" spans="1:2" ht="12.75" customHeight="1" x14ac:dyDescent="0.15">
      <c r="A112" s="1"/>
      <c r="B112" s="2"/>
    </row>
    <row r="113" spans="1:2" ht="12.75" customHeight="1" x14ac:dyDescent="0.15">
      <c r="A113" s="1"/>
      <c r="B113" s="2"/>
    </row>
    <row r="114" spans="1:2" ht="12.75" customHeight="1" x14ac:dyDescent="0.15">
      <c r="A114" s="1"/>
      <c r="B114" s="2"/>
    </row>
    <row r="115" spans="1:2" ht="12.75" customHeight="1" x14ac:dyDescent="0.15">
      <c r="A115" s="1"/>
      <c r="B115" s="2"/>
    </row>
    <row r="116" spans="1:2" ht="12.75" customHeight="1" x14ac:dyDescent="0.15">
      <c r="A116" s="1"/>
      <c r="B116" s="2"/>
    </row>
    <row r="117" spans="1:2" ht="12.75" customHeight="1" x14ac:dyDescent="0.15">
      <c r="A117" s="1"/>
      <c r="B117" s="2"/>
    </row>
    <row r="118" spans="1:2" ht="12.75" customHeight="1" x14ac:dyDescent="0.15">
      <c r="A118" s="1"/>
      <c r="B118" s="2"/>
    </row>
    <row r="119" spans="1:2" ht="12.75" customHeight="1" x14ac:dyDescent="0.15">
      <c r="A119" s="1"/>
      <c r="B119" s="2"/>
    </row>
    <row r="120" spans="1:2" ht="12.75" customHeight="1" x14ac:dyDescent="0.15">
      <c r="A120" s="1"/>
      <c r="B120" s="2"/>
    </row>
    <row r="121" spans="1:2" ht="12.75" customHeight="1" x14ac:dyDescent="0.15">
      <c r="A121" s="1"/>
      <c r="B121" s="2"/>
    </row>
    <row r="122" spans="1:2" ht="12.75" customHeight="1" x14ac:dyDescent="0.15">
      <c r="A122" s="1"/>
      <c r="B122" s="2"/>
    </row>
    <row r="123" spans="1:2" ht="12.75" customHeight="1" x14ac:dyDescent="0.15">
      <c r="A123" s="1"/>
      <c r="B123" s="2"/>
    </row>
    <row r="124" spans="1:2" ht="12.75" customHeight="1" x14ac:dyDescent="0.15">
      <c r="A124" s="1"/>
      <c r="B124" s="2"/>
    </row>
    <row r="125" spans="1:2" ht="12.75" customHeight="1" x14ac:dyDescent="0.15">
      <c r="A125" s="1"/>
      <c r="B125" s="2"/>
    </row>
    <row r="126" spans="1:2" ht="12.75" customHeight="1" x14ac:dyDescent="0.15">
      <c r="A126" s="1"/>
      <c r="B126" s="2"/>
    </row>
    <row r="127" spans="1:2" ht="12.75" customHeight="1" x14ac:dyDescent="0.15">
      <c r="A127" s="1"/>
      <c r="B127" s="2"/>
    </row>
    <row r="128" spans="1:2" ht="12.75" customHeight="1" x14ac:dyDescent="0.15">
      <c r="A128" s="1"/>
      <c r="B128" s="2"/>
    </row>
    <row r="129" spans="1:2" ht="12.75" customHeight="1" x14ac:dyDescent="0.15">
      <c r="A129" s="1"/>
      <c r="B129" s="2"/>
    </row>
    <row r="130" spans="1:2" ht="12.75" customHeight="1" x14ac:dyDescent="0.15">
      <c r="A130" s="1"/>
      <c r="B130" s="2"/>
    </row>
    <row r="131" spans="1:2" ht="12.75" customHeight="1" x14ac:dyDescent="0.15">
      <c r="A131" s="1"/>
      <c r="B131" s="2"/>
    </row>
    <row r="132" spans="1:2" ht="12.75" customHeight="1" x14ac:dyDescent="0.15">
      <c r="A132" s="1"/>
      <c r="B132" s="2"/>
    </row>
    <row r="133" spans="1:2" ht="12.75" customHeight="1" x14ac:dyDescent="0.15">
      <c r="A133" s="1"/>
      <c r="B133" s="2"/>
    </row>
    <row r="134" spans="1:2" ht="12.75" customHeight="1" x14ac:dyDescent="0.15">
      <c r="A134" s="1"/>
      <c r="B134" s="2"/>
    </row>
    <row r="135" spans="1:2" ht="12.75" customHeight="1" x14ac:dyDescent="0.15">
      <c r="A135" s="1"/>
      <c r="B135" s="2"/>
    </row>
    <row r="136" spans="1:2" ht="12.75" customHeight="1" x14ac:dyDescent="0.15">
      <c r="A136" s="1"/>
      <c r="B136" s="2"/>
    </row>
    <row r="137" spans="1:2" ht="12.75" customHeight="1" x14ac:dyDescent="0.15">
      <c r="A137" s="1"/>
      <c r="B137" s="2"/>
    </row>
    <row r="138" spans="1:2" ht="12.75" customHeight="1" x14ac:dyDescent="0.15">
      <c r="A138" s="1"/>
      <c r="B138" s="2"/>
    </row>
    <row r="139" spans="1:2" ht="12.75" customHeight="1" x14ac:dyDescent="0.15">
      <c r="A139" s="1"/>
      <c r="B139" s="2"/>
    </row>
    <row r="140" spans="1:2" ht="12.75" customHeight="1" x14ac:dyDescent="0.15">
      <c r="A140" s="1"/>
      <c r="B140" s="2"/>
    </row>
    <row r="141" spans="1:2" ht="12.75" customHeight="1" x14ac:dyDescent="0.15">
      <c r="A141" s="1"/>
      <c r="B141" s="2"/>
    </row>
    <row r="142" spans="1:2" ht="12.75" customHeight="1" x14ac:dyDescent="0.15">
      <c r="A142" s="1"/>
      <c r="B142" s="2"/>
    </row>
    <row r="143" spans="1:2" ht="12.75" customHeight="1" x14ac:dyDescent="0.15">
      <c r="A143" s="1"/>
      <c r="B143" s="2"/>
    </row>
    <row r="144" spans="1:2" ht="12.75" customHeight="1" x14ac:dyDescent="0.15">
      <c r="A144" s="1"/>
      <c r="B144" s="2"/>
    </row>
    <row r="145" spans="1:2" ht="12.75" customHeight="1" x14ac:dyDescent="0.15">
      <c r="A145" s="1"/>
      <c r="B145" s="2"/>
    </row>
    <row r="146" spans="1:2" ht="12.75" customHeight="1" x14ac:dyDescent="0.15">
      <c r="A146" s="1"/>
      <c r="B146" s="2"/>
    </row>
    <row r="147" spans="1:2" ht="12.75" customHeight="1" x14ac:dyDescent="0.15">
      <c r="A147" s="1"/>
      <c r="B147" s="2"/>
    </row>
    <row r="148" spans="1:2" ht="12.75" customHeight="1" x14ac:dyDescent="0.15">
      <c r="A148" s="1"/>
      <c r="B148" s="2"/>
    </row>
    <row r="149" spans="1:2" ht="12.75" customHeight="1" x14ac:dyDescent="0.15">
      <c r="A149" s="1"/>
      <c r="B149" s="2"/>
    </row>
    <row r="150" spans="1:2" ht="12.75" customHeight="1" x14ac:dyDescent="0.15">
      <c r="A150" s="1"/>
      <c r="B150" s="2"/>
    </row>
    <row r="151" spans="1:2" ht="12.75" customHeight="1" x14ac:dyDescent="0.15">
      <c r="A151" s="1"/>
      <c r="B151" s="2"/>
    </row>
    <row r="152" spans="1:2" ht="12.75" customHeight="1" x14ac:dyDescent="0.15">
      <c r="A152" s="1"/>
      <c r="B152" s="2"/>
    </row>
    <row r="153" spans="1:2" ht="12.75" customHeight="1" x14ac:dyDescent="0.15">
      <c r="A153" s="1"/>
      <c r="B153" s="2"/>
    </row>
    <row r="154" spans="1:2" ht="12.75" customHeight="1" x14ac:dyDescent="0.15">
      <c r="A154" s="1"/>
      <c r="B154" s="2"/>
    </row>
    <row r="155" spans="1:2" ht="12.75" customHeight="1" x14ac:dyDescent="0.15">
      <c r="A155" s="1"/>
      <c r="B155" s="2"/>
    </row>
    <row r="156" spans="1:2" ht="12.75" customHeight="1" x14ac:dyDescent="0.15">
      <c r="A156" s="1"/>
      <c r="B156" s="2"/>
    </row>
    <row r="157" spans="1:2" ht="12.75" customHeight="1" x14ac:dyDescent="0.15">
      <c r="A157" s="1"/>
      <c r="B157" s="2"/>
    </row>
    <row r="158" spans="1:2" ht="12.75" customHeight="1" x14ac:dyDescent="0.15">
      <c r="A158" s="1"/>
      <c r="B158" s="2"/>
    </row>
    <row r="159" spans="1:2" ht="12.75" customHeight="1" x14ac:dyDescent="0.15">
      <c r="A159" s="1"/>
      <c r="B159" s="2"/>
    </row>
    <row r="160" spans="1:2" ht="12.75" customHeight="1" x14ac:dyDescent="0.15">
      <c r="A160" s="1"/>
      <c r="B160" s="2"/>
    </row>
    <row r="161" spans="1:2" ht="12.75" customHeight="1" x14ac:dyDescent="0.15">
      <c r="A161" s="1"/>
      <c r="B161" s="2"/>
    </row>
    <row r="162" spans="1:2" ht="12.75" customHeight="1" x14ac:dyDescent="0.15">
      <c r="A162" s="1"/>
      <c r="B162" s="2"/>
    </row>
    <row r="163" spans="1:2" ht="12.75" customHeight="1" x14ac:dyDescent="0.15">
      <c r="A163" s="1"/>
      <c r="B163" s="2"/>
    </row>
    <row r="164" spans="1:2" ht="12.75" customHeight="1" x14ac:dyDescent="0.15">
      <c r="A164" s="1"/>
      <c r="B164" s="2"/>
    </row>
    <row r="165" spans="1:2" ht="12.75" customHeight="1" x14ac:dyDescent="0.15">
      <c r="A165" s="1"/>
      <c r="B165" s="2"/>
    </row>
    <row r="166" spans="1:2" ht="12.75" customHeight="1" x14ac:dyDescent="0.15">
      <c r="A166" s="1"/>
      <c r="B166" s="2"/>
    </row>
    <row r="167" spans="1:2" ht="12.75" customHeight="1" x14ac:dyDescent="0.15">
      <c r="A167" s="1"/>
      <c r="B167" s="2"/>
    </row>
    <row r="168" spans="1:2" ht="12.75" customHeight="1" x14ac:dyDescent="0.15">
      <c r="A168" s="1"/>
      <c r="B168" s="2"/>
    </row>
    <row r="169" spans="1:2" ht="12.75" customHeight="1" x14ac:dyDescent="0.15">
      <c r="A169" s="1"/>
      <c r="B169" s="2"/>
    </row>
    <row r="170" spans="1:2" ht="12.75" customHeight="1" x14ac:dyDescent="0.15">
      <c r="A170" s="1"/>
      <c r="B170" s="2"/>
    </row>
    <row r="171" spans="1:2" ht="12.75" customHeight="1" x14ac:dyDescent="0.15">
      <c r="A171" s="1"/>
      <c r="B171" s="2"/>
    </row>
    <row r="172" spans="1:2" ht="12.75" customHeight="1" x14ac:dyDescent="0.15">
      <c r="A172" s="1"/>
      <c r="B172" s="2"/>
    </row>
    <row r="173" spans="1:2" ht="12.75" customHeight="1" x14ac:dyDescent="0.15">
      <c r="A173" s="1"/>
      <c r="B173" s="2"/>
    </row>
    <row r="174" spans="1:2" ht="12.75" customHeight="1" x14ac:dyDescent="0.15">
      <c r="A174" s="1"/>
      <c r="B174" s="2"/>
    </row>
    <row r="175" spans="1:2" ht="12.75" customHeight="1" x14ac:dyDescent="0.15">
      <c r="A175" s="1"/>
      <c r="B175" s="2"/>
    </row>
    <row r="176" spans="1:2" ht="12.75" customHeight="1" x14ac:dyDescent="0.15">
      <c r="A176" s="1"/>
      <c r="B176" s="2"/>
    </row>
    <row r="177" spans="1:2" ht="12.75" customHeight="1" x14ac:dyDescent="0.15">
      <c r="A177" s="1"/>
      <c r="B177" s="2"/>
    </row>
    <row r="178" spans="1:2" ht="12.75" customHeight="1" x14ac:dyDescent="0.15">
      <c r="A178" s="1"/>
      <c r="B178" s="2"/>
    </row>
    <row r="179" spans="1:2" ht="12.75" customHeight="1" x14ac:dyDescent="0.15">
      <c r="A179" s="1"/>
      <c r="B179" s="2"/>
    </row>
    <row r="180" spans="1:2" ht="12.75" customHeight="1" x14ac:dyDescent="0.15">
      <c r="A180" s="1"/>
      <c r="B180" s="2"/>
    </row>
    <row r="181" spans="1:2" ht="12.75" customHeight="1" x14ac:dyDescent="0.15">
      <c r="A181" s="1"/>
      <c r="B181" s="2"/>
    </row>
    <row r="182" spans="1:2" ht="12.75" customHeight="1" x14ac:dyDescent="0.15">
      <c r="A182" s="1"/>
      <c r="B182" s="2"/>
    </row>
    <row r="183" spans="1:2" ht="12.75" customHeight="1" x14ac:dyDescent="0.15">
      <c r="A183" s="1"/>
      <c r="B183" s="2"/>
    </row>
    <row r="184" spans="1:2" ht="12.75" customHeight="1" x14ac:dyDescent="0.15">
      <c r="A184" s="1"/>
      <c r="B184" s="2"/>
    </row>
    <row r="185" spans="1:2" ht="12.75" customHeight="1" x14ac:dyDescent="0.15">
      <c r="A185" s="1"/>
      <c r="B185" s="2"/>
    </row>
    <row r="186" spans="1:2" ht="12.75" customHeight="1" x14ac:dyDescent="0.15">
      <c r="A186" s="1"/>
      <c r="B186" s="2"/>
    </row>
    <row r="187" spans="1:2" ht="12.75" customHeight="1" x14ac:dyDescent="0.15">
      <c r="A187" s="1"/>
      <c r="B187" s="2"/>
    </row>
    <row r="188" spans="1:2" ht="12.75" customHeight="1" x14ac:dyDescent="0.15">
      <c r="A188" s="1"/>
      <c r="B188" s="2"/>
    </row>
    <row r="189" spans="1:2" ht="12.75" customHeight="1" x14ac:dyDescent="0.15">
      <c r="A189" s="1"/>
      <c r="B189" s="2"/>
    </row>
    <row r="190" spans="1:2" ht="12.75" customHeight="1" x14ac:dyDescent="0.15">
      <c r="A190" s="1"/>
      <c r="B190" s="2"/>
    </row>
    <row r="191" spans="1:2" ht="12.75" customHeight="1" x14ac:dyDescent="0.15">
      <c r="A191" s="1"/>
      <c r="B191" s="2"/>
    </row>
    <row r="192" spans="1:2" ht="12.75" customHeight="1" x14ac:dyDescent="0.15">
      <c r="A192" s="1"/>
      <c r="B192" s="2"/>
    </row>
    <row r="193" spans="1:2" ht="12.75" customHeight="1" x14ac:dyDescent="0.15">
      <c r="A193" s="1"/>
      <c r="B193" s="2"/>
    </row>
    <row r="194" spans="1:2" ht="12.75" customHeight="1" x14ac:dyDescent="0.15">
      <c r="A194" s="1"/>
      <c r="B194" s="2"/>
    </row>
    <row r="195" spans="1:2" ht="12.75" customHeight="1" x14ac:dyDescent="0.15">
      <c r="A195" s="1"/>
      <c r="B195" s="2"/>
    </row>
    <row r="196" spans="1:2" ht="12.75" customHeight="1" x14ac:dyDescent="0.15">
      <c r="A196" s="1"/>
      <c r="B196" s="2"/>
    </row>
    <row r="197" spans="1:2" ht="12.75" customHeight="1" x14ac:dyDescent="0.15">
      <c r="A197" s="1"/>
      <c r="B197" s="2"/>
    </row>
    <row r="198" spans="1:2" ht="12.75" customHeight="1" x14ac:dyDescent="0.15">
      <c r="A198" s="1"/>
      <c r="B198" s="2"/>
    </row>
    <row r="199" spans="1:2" ht="12.75" customHeight="1" x14ac:dyDescent="0.15">
      <c r="A199" s="1"/>
      <c r="B199" s="2"/>
    </row>
    <row r="200" spans="1:2" ht="12.75" customHeight="1" x14ac:dyDescent="0.15">
      <c r="A200" s="1"/>
      <c r="B200" s="2"/>
    </row>
    <row r="201" spans="1:2" ht="12.75" customHeight="1" x14ac:dyDescent="0.15">
      <c r="A201" s="1"/>
      <c r="B201" s="2"/>
    </row>
    <row r="202" spans="1:2" ht="12.75" customHeight="1" x14ac:dyDescent="0.15">
      <c r="A202" s="1"/>
      <c r="B202" s="2"/>
    </row>
    <row r="203" spans="1:2" ht="12.75" customHeight="1" x14ac:dyDescent="0.15">
      <c r="A203" s="1"/>
      <c r="B203" s="2"/>
    </row>
    <row r="204" spans="1:2" ht="12.75" customHeight="1" x14ac:dyDescent="0.15">
      <c r="A204" s="1"/>
      <c r="B204" s="2"/>
    </row>
    <row r="205" spans="1:2" ht="12.75" customHeight="1" x14ac:dyDescent="0.15">
      <c r="A205" s="1"/>
      <c r="B205" s="2"/>
    </row>
    <row r="206" spans="1:2" ht="12.75" customHeight="1" x14ac:dyDescent="0.15">
      <c r="A206" s="1"/>
      <c r="B206" s="2"/>
    </row>
    <row r="207" spans="1:2" ht="12.75" customHeight="1" x14ac:dyDescent="0.15">
      <c r="A207" s="1"/>
      <c r="B207" s="2"/>
    </row>
    <row r="208" spans="1:2" ht="12.75" customHeight="1" x14ac:dyDescent="0.15">
      <c r="A208" s="1"/>
      <c r="B208" s="2"/>
    </row>
    <row r="209" spans="1:2" ht="12.75" customHeight="1" x14ac:dyDescent="0.15">
      <c r="A209" s="1"/>
      <c r="B209" s="2"/>
    </row>
    <row r="210" spans="1:2" ht="12.75" customHeight="1" x14ac:dyDescent="0.15">
      <c r="A210" s="1"/>
      <c r="B210" s="2"/>
    </row>
    <row r="211" spans="1:2" ht="12.75" customHeight="1" x14ac:dyDescent="0.15">
      <c r="A211" s="1"/>
      <c r="B211" s="2"/>
    </row>
    <row r="212" spans="1:2" ht="12.75" customHeight="1" x14ac:dyDescent="0.15">
      <c r="A212" s="1"/>
      <c r="B212" s="2"/>
    </row>
    <row r="213" spans="1:2" ht="12.75" customHeight="1" x14ac:dyDescent="0.15">
      <c r="A213" s="1"/>
      <c r="B213" s="2"/>
    </row>
    <row r="214" spans="1:2" ht="12.75" customHeight="1" x14ac:dyDescent="0.15">
      <c r="A214" s="1"/>
      <c r="B214" s="2"/>
    </row>
    <row r="215" spans="1:2" ht="12.75" customHeight="1" x14ac:dyDescent="0.15">
      <c r="A215" s="1"/>
      <c r="B215" s="2"/>
    </row>
    <row r="216" spans="1:2" ht="12.75" customHeight="1" x14ac:dyDescent="0.15">
      <c r="A216" s="1"/>
      <c r="B216" s="2"/>
    </row>
    <row r="217" spans="1:2" ht="12.75" customHeight="1" x14ac:dyDescent="0.15">
      <c r="A217" s="1"/>
      <c r="B217" s="2"/>
    </row>
    <row r="218" spans="1:2" ht="12.75" customHeight="1" x14ac:dyDescent="0.15">
      <c r="A218" s="1"/>
      <c r="B218" s="2"/>
    </row>
    <row r="219" spans="1:2" ht="12.75" customHeight="1" x14ac:dyDescent="0.15">
      <c r="A219" s="1"/>
      <c r="B219" s="2"/>
    </row>
    <row r="220" spans="1:2" ht="12.75" customHeight="1" x14ac:dyDescent="0.15">
      <c r="A220" s="1"/>
      <c r="B220" s="2"/>
    </row>
    <row r="221" spans="1:2" ht="12.75" customHeight="1" x14ac:dyDescent="0.15">
      <c r="A221" s="1"/>
      <c r="B221" s="2"/>
    </row>
    <row r="222" spans="1:2" ht="12.75" customHeight="1" x14ac:dyDescent="0.15">
      <c r="A222" s="1"/>
      <c r="B222" s="2"/>
    </row>
    <row r="223" spans="1:2" ht="12.75" customHeight="1" x14ac:dyDescent="0.15">
      <c r="A223" s="1"/>
      <c r="B223" s="2"/>
    </row>
    <row r="224" spans="1:2" ht="12.75" customHeight="1" x14ac:dyDescent="0.15">
      <c r="A224" s="1"/>
      <c r="B224" s="2"/>
    </row>
    <row r="225" spans="1:2" ht="12.75" customHeight="1" x14ac:dyDescent="0.15">
      <c r="A225" s="1"/>
      <c r="B225" s="2"/>
    </row>
    <row r="226" spans="1:2" ht="12.75" customHeight="1" x14ac:dyDescent="0.15">
      <c r="A226" s="1"/>
      <c r="B226" s="2"/>
    </row>
    <row r="227" spans="1:2" ht="12.75" customHeight="1" x14ac:dyDescent="0.15">
      <c r="A227" s="1"/>
      <c r="B227" s="2"/>
    </row>
    <row r="228" spans="1:2" ht="12.75" customHeight="1" x14ac:dyDescent="0.15">
      <c r="A228" s="1"/>
      <c r="B228" s="2"/>
    </row>
    <row r="229" spans="1:2" ht="12.75" customHeight="1" x14ac:dyDescent="0.15">
      <c r="A229" s="1"/>
      <c r="B229" s="2"/>
    </row>
    <row r="230" spans="1:2" ht="12.75" customHeight="1" x14ac:dyDescent="0.15">
      <c r="A230" s="1"/>
      <c r="B230" s="2"/>
    </row>
    <row r="231" spans="1:2" ht="12.75" customHeight="1" x14ac:dyDescent="0.15">
      <c r="A231" s="1"/>
      <c r="B231" s="2"/>
    </row>
    <row r="232" spans="1:2" ht="12.75" customHeight="1" x14ac:dyDescent="0.15">
      <c r="A232" s="1"/>
      <c r="B232" s="2"/>
    </row>
    <row r="233" spans="1:2" ht="12.75" customHeight="1" x14ac:dyDescent="0.15">
      <c r="A233" s="1"/>
      <c r="B233" s="2"/>
    </row>
    <row r="234" spans="1:2" ht="12.75" customHeight="1" x14ac:dyDescent="0.15">
      <c r="A234" s="1"/>
      <c r="B234" s="2"/>
    </row>
    <row r="235" spans="1:2" ht="12.75" customHeight="1" x14ac:dyDescent="0.15">
      <c r="A235" s="1"/>
      <c r="B235" s="2"/>
    </row>
    <row r="236" spans="1:2" ht="12.75" customHeight="1" x14ac:dyDescent="0.15">
      <c r="A236" s="1"/>
      <c r="B236" s="2"/>
    </row>
    <row r="237" spans="1:2" ht="12.75" customHeight="1" x14ac:dyDescent="0.15">
      <c r="A237" s="1"/>
      <c r="B237" s="2"/>
    </row>
    <row r="238" spans="1:2" ht="12.75" customHeight="1" x14ac:dyDescent="0.15">
      <c r="A238" s="1"/>
      <c r="B238" s="2"/>
    </row>
    <row r="239" spans="1:2" ht="12.75" customHeight="1" x14ac:dyDescent="0.15">
      <c r="A239" s="1"/>
      <c r="B239" s="2"/>
    </row>
    <row r="240" spans="1:2" ht="12.75" customHeight="1" x14ac:dyDescent="0.15">
      <c r="A240" s="1"/>
      <c r="B240" s="2"/>
    </row>
    <row r="241" spans="1:2" ht="12.75" customHeight="1" x14ac:dyDescent="0.15">
      <c r="A241" s="1"/>
      <c r="B241" s="2"/>
    </row>
    <row r="242" spans="1:2" ht="12.75" customHeight="1" x14ac:dyDescent="0.15">
      <c r="A242" s="1"/>
      <c r="B242" s="2"/>
    </row>
    <row r="243" spans="1:2" ht="12.75" customHeight="1" x14ac:dyDescent="0.15">
      <c r="A243" s="1"/>
      <c r="B243" s="2"/>
    </row>
    <row r="244" spans="1:2" ht="12.75" customHeight="1" x14ac:dyDescent="0.15">
      <c r="A244" s="1"/>
      <c r="B244" s="2"/>
    </row>
    <row r="245" spans="1:2" ht="12.75" customHeight="1" x14ac:dyDescent="0.15">
      <c r="A245" s="1"/>
      <c r="B245" s="2"/>
    </row>
    <row r="246" spans="1:2" ht="12.75" customHeight="1" x14ac:dyDescent="0.15">
      <c r="A246" s="1"/>
      <c r="B246" s="2"/>
    </row>
    <row r="247" spans="1:2" ht="12.75" customHeight="1" x14ac:dyDescent="0.15">
      <c r="A247" s="1"/>
      <c r="B247" s="2"/>
    </row>
    <row r="248" spans="1:2" ht="12.75" customHeight="1" x14ac:dyDescent="0.15">
      <c r="A248" s="1"/>
      <c r="B248" s="2"/>
    </row>
    <row r="249" spans="1:2" ht="12.75" customHeight="1" x14ac:dyDescent="0.15">
      <c r="A249" s="1"/>
      <c r="B249" s="2"/>
    </row>
    <row r="250" spans="1:2" ht="12.75" customHeight="1" x14ac:dyDescent="0.15">
      <c r="A250" s="1"/>
      <c r="B250" s="2"/>
    </row>
    <row r="251" spans="1:2" ht="12.75" customHeight="1" x14ac:dyDescent="0.15">
      <c r="A251" s="1"/>
      <c r="B251" s="2"/>
    </row>
    <row r="252" spans="1:2" ht="12.75" customHeight="1" x14ac:dyDescent="0.15">
      <c r="A252" s="1"/>
      <c r="B252" s="2"/>
    </row>
    <row r="253" spans="1:2" ht="12.75" customHeight="1" x14ac:dyDescent="0.15">
      <c r="A253" s="1"/>
      <c r="B253" s="2"/>
    </row>
    <row r="254" spans="1:2" ht="12.75" customHeight="1" x14ac:dyDescent="0.15">
      <c r="A254" s="1"/>
      <c r="B254" s="2"/>
    </row>
    <row r="255" spans="1:2" ht="12.75" customHeight="1" x14ac:dyDescent="0.15">
      <c r="A255" s="1"/>
      <c r="B255" s="2"/>
    </row>
    <row r="256" spans="1:2" ht="12.75" customHeight="1" x14ac:dyDescent="0.15">
      <c r="A256" s="1"/>
      <c r="B256" s="2"/>
    </row>
    <row r="257" spans="1:2" ht="12.75" customHeight="1" x14ac:dyDescent="0.15">
      <c r="A257" s="1"/>
      <c r="B257" s="2"/>
    </row>
    <row r="258" spans="1:2" ht="12.75" customHeight="1" x14ac:dyDescent="0.15">
      <c r="A258" s="1"/>
      <c r="B258" s="2"/>
    </row>
    <row r="259" spans="1:2" ht="12.75" customHeight="1" x14ac:dyDescent="0.15">
      <c r="A259" s="1"/>
      <c r="B259" s="2"/>
    </row>
    <row r="260" spans="1:2" ht="12.75" customHeight="1" x14ac:dyDescent="0.15">
      <c r="A260" s="1"/>
      <c r="B260" s="2"/>
    </row>
    <row r="261" spans="1:2" ht="12.75" customHeight="1" x14ac:dyDescent="0.15">
      <c r="A261" s="1"/>
      <c r="B261" s="2"/>
    </row>
    <row r="262" spans="1:2" ht="12.75" customHeight="1" x14ac:dyDescent="0.15">
      <c r="A262" s="1"/>
      <c r="B262" s="2"/>
    </row>
    <row r="263" spans="1:2" ht="12.75" customHeight="1" x14ac:dyDescent="0.15">
      <c r="A263" s="1"/>
      <c r="B263" s="2"/>
    </row>
    <row r="264" spans="1:2" ht="12.75" customHeight="1" x14ac:dyDescent="0.15">
      <c r="A264" s="1"/>
      <c r="B264" s="2"/>
    </row>
    <row r="265" spans="1:2" ht="12.75" customHeight="1" x14ac:dyDescent="0.15">
      <c r="A265" s="1"/>
      <c r="B265" s="2"/>
    </row>
    <row r="266" spans="1:2" ht="12.75" customHeight="1" x14ac:dyDescent="0.15">
      <c r="A266" s="1"/>
      <c r="B266" s="2"/>
    </row>
    <row r="267" spans="1:2" ht="12.75" customHeight="1" x14ac:dyDescent="0.15">
      <c r="A267" s="1"/>
      <c r="B267" s="2"/>
    </row>
    <row r="268" spans="1:2" ht="12.75" customHeight="1" x14ac:dyDescent="0.15">
      <c r="A268" s="1"/>
      <c r="B268" s="2"/>
    </row>
    <row r="269" spans="1:2" ht="12.75" customHeight="1" x14ac:dyDescent="0.15">
      <c r="A269" s="1"/>
      <c r="B269" s="2"/>
    </row>
    <row r="270" spans="1:2" ht="12.75" customHeight="1" x14ac:dyDescent="0.15"/>
    <row r="271" spans="1:2" ht="15.75" customHeight="1" x14ac:dyDescent="0.15"/>
    <row r="272" spans="1: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</sheetData>
  <mergeCells count="9">
    <mergeCell ref="F43:I43"/>
    <mergeCell ref="F50:I50"/>
    <mergeCell ref="F1:I1"/>
    <mergeCell ref="L1:O1"/>
    <mergeCell ref="F8:I8"/>
    <mergeCell ref="F15:I15"/>
    <mergeCell ref="F22:I22"/>
    <mergeCell ref="F29:I29"/>
    <mergeCell ref="F36:I36"/>
  </mergeCells>
  <pageMargins left="0.7" right="0.7" top="0.75" bottom="0.75" header="0" footer="0"/>
  <pageSetup orientation="landscape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Thermonix</vt:lpstr>
      <vt:lpstr>Human Grading</vt:lpstr>
      <vt:lpstr>LLM Grading</vt:lpstr>
      <vt:lpstr>Metrics</vt:lpstr>
      <vt:lpstr>Inter-rater</vt:lpstr>
      <vt:lpstr>Weighted Cohens Kappa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Marc-Antoine Nadeau</cp:lastModifiedBy>
  <dcterms:created xsi:type="dcterms:W3CDTF">2025-10-15T23:27:34Z</dcterms:created>
  <dcterms:modified xsi:type="dcterms:W3CDTF">2026-04-01T20:13:25Z</dcterms:modified>
</cp:coreProperties>
</file>