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4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6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6" fillId="6" borderId="0" pivotButton="0" quotePrefix="0" xfId="0"/>
    <xf numFmtId="0" fontId="1" fillId="5" borderId="7" applyAlignment="1" pivotButton="0" quotePrefix="0" xfId="0">
      <alignment horizontal="center"/>
    </xf>
    <xf numFmtId="0" fontId="6" fillId="4" borderId="0" pivotButton="0" quotePrefix="0" xfId="0"/>
    <xf numFmtId="0" fontId="7" fillId="7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6" fillId="0" borderId="0" pivotButton="0" quotePrefix="0" xfId="0"/>
    <xf numFmtId="0" fontId="1" fillId="0" borderId="7" pivotButton="0" quotePrefix="0" xfId="0"/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2" fontId="2" fillId="0" borderId="16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2" fontId="2" fillId="0" borderId="2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2" applyAlignment="1" pivotButton="0" quotePrefix="0" xfId="0">
      <alignment horizontal="center" vertical="center"/>
    </xf>
    <xf numFmtId="0" fontId="2" fillId="8" borderId="2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8" borderId="22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/>
    </xf>
    <xf numFmtId="0" fontId="5" fillId="0" borderId="6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5" fillId="0" borderId="8" pivotButton="0" quotePrefix="0" xfId="0"/>
    <xf numFmtId="0" fontId="8" fillId="0" borderId="0" pivotButton="0" quotePrefix="0" xfId="0"/>
    <xf numFmtId="0" fontId="1" fillId="5" borderId="6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Claude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2" headerRowCount="1">
  <tableColumns count="4">
    <tableColumn id="1" name="Type"/>
    <tableColumn id="2" name="Element"/>
    <tableColumn id="3" name="Claude"/>
    <tableColumn id="4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2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2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71" t="inlineStr">
        <is>
          <t>State</t>
        </is>
      </c>
      <c r="B19" s="4" t="inlineStr">
        <is>
          <t>Paused</t>
        </is>
      </c>
    </row>
    <row r="20" ht="13.5" customHeight="1" s="72">
      <c r="A20" s="71" t="inlineStr">
        <is>
          <t>Transition</t>
        </is>
      </c>
      <c r="B20" s="4" t="inlineStr">
        <is>
          <t>pause (On⇒ Pause)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38.332031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/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/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/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/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/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/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/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/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/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/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/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/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/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/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/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/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/>
      <c r="D18" s="15" t="n"/>
    </row>
    <row r="19" ht="12.75" customHeight="1" s="72">
      <c r="A19" s="71" t="inlineStr">
        <is>
          <t>State</t>
        </is>
      </c>
      <c r="B19" s="4" t="inlineStr">
        <is>
          <t>Paused</t>
        </is>
      </c>
      <c r="C19" s="14" t="n"/>
      <c r="D19" s="15" t="n"/>
    </row>
    <row r="20" ht="16.5" customHeight="1" s="72">
      <c r="A20" s="71" t="inlineStr">
        <is>
          <t>Transition</t>
        </is>
      </c>
      <c r="B20" s="4" t="inlineStr">
        <is>
          <t>pause (On⇒ Pause)</t>
        </is>
      </c>
      <c r="C20" s="14" t="n"/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/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/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/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/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/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/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/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/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/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/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/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/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/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/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/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/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/>
      <c r="D37" s="15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/>
      <c r="D39" s="1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/>
      <c r="D41" s="1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/>
      <c r="D43" s="1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/>
      <c r="D45" s="16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/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/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/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/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/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/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14" t="n"/>
      <c r="D52" s="15" t="n"/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2.16406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3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top-level composite state containing both regions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 region within SpaManager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transition to JacuzziOff is present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exists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is a composite state containing jet control logic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turnOn transition from JacuzziOff to JacuzziOn present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turnOff transition from JacuzziOn to JacuzziOff present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transition to Level1 within JetsActive present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exists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increaseLevel transition from Level1 to Level2 present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exists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increaseLevel transition from Level2 to Level3 present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decreaseLevel transition from Level2 to Level1 present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exists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decreaseLevel transition from Level3 to Level2 present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inlineStr">
        <is>
          <t>History state H is present within JacuzziOn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inlineStr">
        <is>
          <t>selectPattern transitions with guards present on all levels; semantically equivalent to pattern selection</t>
        </is>
      </c>
    </row>
    <row r="19" ht="14.25" customHeight="1" s="72">
      <c r="A19" s="71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Paused state exists</t>
        </is>
      </c>
    </row>
    <row r="20" ht="12" customHeight="1" s="72">
      <c r="A20" s="71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pause transition from JetsActive to Paused present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>
        <v>1</v>
      </c>
      <c r="D21" s="15" t="inlineStr">
        <is>
          <t>after(2min) transition from Paused to H present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 region within SpaManager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transition to SaunaOff is present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exists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is a composite state containing three regions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turnOn transition from SaunaOff to SaunaOn present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turnOff transition from SaunaOn to SaunaOff present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HeatingControl region within SaunaOn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transition to Heating state present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Heating state exists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Heating to Maintaining present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[temp &gt;= 90] present on Heating to Maintaining transition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Maintaining state exists (semantically equivalent to Idle)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Maintaining to Heating present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[temp &lt; 85] present on Maintaining to Heating transition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FanControl region within SaunaOn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>
        <v>1</v>
      </c>
      <c r="D37" s="9" t="inlineStr">
        <is>
          <t>Initial transition to FanOff present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>
        <v>1</v>
      </c>
      <c r="D38" s="20" t="inlineStr">
        <is>
          <t>FanOff state exists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20" t="inlineStr">
        <is>
          <t>FanOn to FanOff transition with after(5min) exists but Off to On requires humidity&gt;40% for 3min which is modeled via FanMonitoring state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20" t="inlineStr">
        <is>
          <t>Guard [humidity &gt; 40%] with after(3min) timer captures the exceed time requirement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>
        <v>1</v>
      </c>
      <c r="D41" s="20" t="inlineStr">
        <is>
          <t>Present as WaterDispersionControl region within SaunaOn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20" t="inlineStr">
        <is>
          <t>Initial transition to WaterReady present (semantically equivalent to Idle)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>
        <v>1</v>
      </c>
      <c r="D43" s="20" t="inlineStr">
        <is>
          <t>WaterReady state exists (semantically equivalent to Idle)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>
        <v>1</v>
      </c>
      <c r="D44" s="20" t="inlineStr">
        <is>
          <t>Self-transition on WaterReady with disperseWater event present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21" t="inlineStr">
        <is>
          <t>Guard [humidity &lt; 40% &amp;&amp; fanOff] with after(15min) cooldown captures the requirements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22" t="inlineStr">
        <is>
          <t>State</t>
        </is>
      </c>
      <c r="B46" s="20" t="inlineStr">
        <is>
          <t>additional elements</t>
        </is>
      </c>
      <c r="C46" s="17" t="n">
        <v>1</v>
      </c>
      <c r="D46" s="18" t="inlineStr">
        <is>
          <t>FanMonitoring state is an intermediate state not required by system description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>
        <v>1</v>
      </c>
      <c r="D50" s="15" t="inlineStr">
        <is>
          <t>JetsActive composite state adds unnecessary nesting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23" t="n">
        <v>0</v>
      </c>
      <c r="D52" s="15" t="inlineStr">
        <is>
          <t>No fundamentally incorrect history states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6" t="inlineStr">
        <is>
          <t>Graded by Gemini 3 Pro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SUMIF('Gemini 3 Pro Grading'!$A$2:$A$45, $A3, 'Gemini 3 Pro Grading'!$C$2:$C$45)</f>
        <v/>
      </c>
      <c r="D3" s="29">
        <f>SUMIF('Gemini 3 Pro Grading'!A$46:A$52, A3, 'Gemini 3 Pro Grading'!$C$46:$C$52)</f>
        <v/>
      </c>
      <c r="E3" s="29">
        <f>COUNTIFS('Gemini 3 Pro Grading'!$A$2:$A$45, $A3, 'Gemini 3 Pro Grading'!$C$2:$C$45,0)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SUMIF('Gemini 3 Pro Grading'!$A$2:$A$45, $A4, 'Gemini 3 Pro Grading'!$C$2:$C$45)</f>
        <v/>
      </c>
      <c r="D4" s="29">
        <f>SUMIF('Gemini 3 Pro Grading'!A$46:A$52, A4, 'Gemini 3 Pro Grading'!$C$46:$C$52)</f>
        <v/>
      </c>
      <c r="E4" s="29">
        <f>COUNTIFS('Gemini 3 Pro Grading'!$A$2:$A$45, $A4, 'Gemini 3 Pro Grading'!$C$2:$C$45,0)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Generation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SUMIF('Gemini 3 Pro Grading'!$A$2:$A$45, $A5, 'Gemini 3 Pro Grading'!$C$2:$C$45)</f>
        <v/>
      </c>
      <c r="D5" s="29">
        <f>SUMIF('Gemini 3 Pro Grading'!A$46:A$52, A5, 'Gemini 3 Pro Grading'!$C$46:$C$52)</f>
        <v/>
      </c>
      <c r="E5" s="29">
        <f>COUNTIFS('Gemini 3 Pro Grading'!$A$2:$A$45, $A5, 'Gemini 3 Pro Grading'!$C$2:$C$45,0)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 Sonnet 4.5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SUMIF('Gemini 3 Pro Grading'!$A$2:$A$45, $A6, 'Gemini 3 Pro Grading'!$C$2:$C$45)</f>
        <v/>
      </c>
      <c r="D6" s="29">
        <f>SUMIF('Gemini 3 Pro Grading'!A$46:A$52, A6, 'Gemini 3 Pro Grading'!$C$46:$C$52)</f>
        <v/>
      </c>
      <c r="E6" s="29">
        <f>COUNTIFS('Gemini 3 Pro Grading'!$A$2:$A$45, $A6, 'Gemini 3 Pro Grading'!$C$2:$C$45,0)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SUMIF('Gemini 3 Pro Grading'!$A$2:$A$45, $A7, 'Gemini 3 Pro Grading'!$C$2:$C$45)</f>
        <v/>
      </c>
      <c r="D7" s="29">
        <f>SUMIF('Gemini 3 Pro Grading'!A$46:A$52, A7, 'Gemini 3 Pro Grading'!$C$46:$C$52)</f>
        <v/>
      </c>
      <c r="E7" s="29">
        <f>COUNTIFS('Gemini 3 Pro Grading'!$A$2:$A$45, $A7, 'Gemini 3 Pro Grading'!$C$2:$C$45,0)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t="inlineStr">
        <is>
          <t>Grading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SUMIF('Gemini 3 Pro Grading'!$A$2:$A$45, $A8, 'Gemini 3 Pro Grading'!$C$2:$C$45)</f>
        <v/>
      </c>
      <c r="D8" s="29">
        <f>SUMIF('Gemini 3 Pro Grading'!A$46:A$52, A8, 'Gemini 3 Pro Grading'!$C$46:$C$52)</f>
        <v/>
      </c>
      <c r="E8" s="29">
        <f>COUNTIFS('Gemini 3 Pro Grading'!$A$2:$A$45, $A8, 'Gemini 3 Pro Grading'!$C$2:$C$45,0)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t="inlineStr">
        <is>
          <t>Gemini 3 Pro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SUMIF('Gemini 3 Pro Grading'!$A$2:$A$45, $A9, 'Gemini 3 Pro Grading'!$C$2:$C$45)</f>
        <v/>
      </c>
      <c r="D9" s="29">
        <f>SUMIF('Gemini 3 Pro Grading'!A$46:A$52, A9, 'Gemini 3 Pro Grading'!$C$46:$C$52)</f>
        <v/>
      </c>
      <c r="E9" s="29">
        <f>COUNTIFS('Gemini 3 Pro Grading'!$A$2:$A$45, $A9, 'Gemini 3 Pro Grading'!$C$2:$C$45,0)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t="inlineStr">
        <is>
          <t>Claude Sonnet 4.5</t>
        </is>
      </c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6" t="inlineStr">
        <is>
          <t>Graded by Claude Sonnet 4.5</t>
        </is>
      </c>
    </row>
    <row r="13" ht="15.75" customHeight="1" s="72">
      <c r="A13" s="25" t="inlineStr">
        <is>
          <t>Type</t>
        </is>
      </c>
      <c r="B13" s="25" t="inlineStr">
        <is>
          <t>Ground Truth Count</t>
        </is>
      </c>
      <c r="C13" s="25" t="inlineStr">
        <is>
          <t>True Positive</t>
        </is>
      </c>
      <c r="D13" s="25" t="inlineStr">
        <is>
          <t>False Positive</t>
        </is>
      </c>
      <c r="E13" s="25" t="inlineStr">
        <is>
          <t>False Negative</t>
        </is>
      </c>
      <c r="F13" s="25" t="inlineStr">
        <is>
          <t>Precision</t>
        </is>
      </c>
      <c r="G13" s="25" t="inlineStr">
        <is>
          <t>Recall</t>
        </is>
      </c>
      <c r="H13" s="25" t="inlineStr">
        <is>
          <t>F1 Score</t>
        </is>
      </c>
    </row>
    <row r="14" ht="15.75" customHeight="1" s="72">
      <c r="A14" s="27" t="inlineStr">
        <is>
          <t>Composite state</t>
        </is>
      </c>
      <c r="B14" s="28">
        <f>COUNTIF('Spa Manager'!$A$2:$A$45, A14)</f>
        <v/>
      </c>
      <c r="C14" s="29">
        <f>SUMIF('Claude Sonnet 4.5 Grading'!$A$2:$A$45, $A14, 'Claude Sonnet 4.5 Grading'!$C$2:$C$45)</f>
        <v/>
      </c>
      <c r="D14" s="29">
        <f>SUMIF('Claude Sonnet 4.5 Grading'!A$46:A$52, A14, 'Claude Sonnet 4.5 Grading'!$C$46:$C$53)</f>
        <v/>
      </c>
      <c r="E14" s="29">
        <f>COUNTIFS('Claude Sonnet 4.5 Grading'!$A$2:$A$45, $A14, 'Claude Sonnet 4.5 Grading'!$C$2:$C$45,0)</f>
        <v/>
      </c>
      <c r="F14" s="29">
        <f>IFERROR(C14 / (C14 + D14), "Not Available")</f>
        <v/>
      </c>
      <c r="G14" s="29">
        <f>IFERROR(C14 / B14, "Not Available")</f>
        <v/>
      </c>
      <c r="H14" s="29">
        <f>IFERROR(2*((F14*G14)/(F14+G14)),"Not Available")</f>
        <v/>
      </c>
    </row>
    <row r="15" ht="15.75" customHeight="1" s="72">
      <c r="A15" s="31" t="inlineStr">
        <is>
          <t>State</t>
        </is>
      </c>
      <c r="B15" s="28">
        <f>COUNTIF('Spa Manager'!$A$2:$A$45, A15)</f>
        <v/>
      </c>
      <c r="C15" s="29">
        <f>SUMIF('Claude Sonnet 4.5 Grading'!$A$2:$A$45, $A15, 'Claude Sonnet 4.5 Grading'!$C$2:$C$45)</f>
        <v/>
      </c>
      <c r="D15" s="29">
        <f>SUMIF('Claude Sonnet 4.5 Grading'!A$46:A$52, A15, 'Claude Sonnet 4.5 Grading'!$C$46:$C$53)</f>
        <v/>
      </c>
      <c r="E15" s="29">
        <f>COUNTIFS('Claude Sonnet 4.5 Grading'!$A$2:$A$45, $A15, 'Claude Sonnet 4.5 Grading'!$C$2:$C$45,0)</f>
        <v/>
      </c>
      <c r="F15" s="29">
        <f>IFERROR(C15 / (C15 + D15), "Not Available")</f>
        <v/>
      </c>
      <c r="G15" s="29">
        <f>IFERROR(C15 / B15, "Not Available")</f>
        <v/>
      </c>
      <c r="H15" s="29">
        <f>IFERROR(2*((F15*G15)/(F15+G15)),"Not Available")</f>
        <v/>
      </c>
    </row>
    <row r="16" ht="15.75" customHeight="1" s="72">
      <c r="A16" s="31" t="inlineStr">
        <is>
          <t>Transition</t>
        </is>
      </c>
      <c r="B16" s="28">
        <f>COUNTIF('Spa Manager'!$A$2:$A$45, A16)</f>
        <v/>
      </c>
      <c r="C16" s="29">
        <f>SUMIF('Claude Sonnet 4.5 Grading'!$A$2:$A$45, $A16, 'Claude Sonnet 4.5 Grading'!$C$2:$C$45)</f>
        <v/>
      </c>
      <c r="D16" s="29">
        <f>SUMIF('Claude Sonnet 4.5 Grading'!A$46:A$52, A16, 'Claude Sonnet 4.5 Grading'!$C$46:$C$53)</f>
        <v/>
      </c>
      <c r="E16" s="29">
        <f>COUNTIFS('Claude Sonnet 4.5 Grading'!$A$2:$A$45, $A16, 'Claude Sonnet 4.5 Grading'!$C$2:$C$45,0)</f>
        <v/>
      </c>
      <c r="F16" s="29">
        <f>IFERROR(C16 / (C16 + D16), "Not Available")</f>
        <v/>
      </c>
      <c r="G16" s="29">
        <f>IFERROR(C16 / B16, "Not Available")</f>
        <v/>
      </c>
      <c r="H16" s="29">
        <f>IFERROR(2*((F16*G16)/(F16+G16)),"Not Available")</f>
        <v/>
      </c>
    </row>
    <row r="17" ht="15.75" customHeight="1" s="72">
      <c r="A17" s="31" t="inlineStr">
        <is>
          <t>Action</t>
        </is>
      </c>
      <c r="B17" s="28">
        <f>COUNTIF('Spa Manager'!$A$2:$A$45, A17)</f>
        <v/>
      </c>
      <c r="C17" s="29">
        <f>SUMIF('Claude Sonnet 4.5 Grading'!$A$2:$A$45, $A17, 'Claude Sonnet 4.5 Grading'!$C$2:$C$45)</f>
        <v/>
      </c>
      <c r="D17" s="29">
        <f>SUMIF('Claude Sonnet 4.5 Grading'!A$46:A$52, A17, 'Claude Sonnet 4.5 Grading'!$C$46:$C$53)</f>
        <v/>
      </c>
      <c r="E17" s="29">
        <f>COUNTIFS('Claude Sonnet 4.5 Grading'!$A$2:$A$45, $A17, 'Claude Sonnet 4.5 Grading'!$C$2:$C$45,0)</f>
        <v/>
      </c>
      <c r="F17" s="29">
        <f>IFERROR(C17 / (C17 + D17), "Not Available")</f>
        <v/>
      </c>
      <c r="G17" s="29">
        <f>IFERROR(C17 / B17, "Not Available")</f>
        <v/>
      </c>
      <c r="H17" s="29">
        <f>IFERROR(2*((F17*G17)/(F17+G17)),"Not Available")</f>
        <v/>
      </c>
    </row>
    <row r="18" ht="15.75" customHeight="1" s="72">
      <c r="A18" s="31" t="inlineStr">
        <is>
          <t>Region</t>
        </is>
      </c>
      <c r="B18" s="28">
        <f>COUNTIF('Spa Manager'!$A$2:$A$45, A18)</f>
        <v/>
      </c>
      <c r="C18" s="29">
        <f>SUMIF('Claude Sonnet 4.5 Grading'!$A$2:$A$45, $A18, 'Claude Sonnet 4.5 Grading'!$C$2:$C$45)</f>
        <v/>
      </c>
      <c r="D18" s="29">
        <f>SUMIF('Claude Sonnet 4.5 Grading'!A$46:A$52, A18, 'Claude Sonnet 4.5 Grading'!$C$46:$C$53)</f>
        <v/>
      </c>
      <c r="E18" s="29">
        <f>COUNTIFS('Claude Sonnet 4.5 Grading'!$A$2:$A$45, $A18, 'Claude Sonnet 4.5 Grading'!$C$2:$C$45,0)</f>
        <v/>
      </c>
      <c r="F18" s="29">
        <f>IFERROR(C18 / (C18 + D18), "Not Available")</f>
        <v/>
      </c>
      <c r="G18" s="29">
        <f>IFERROR(C18 / B18, "Not Available")</f>
        <v/>
      </c>
      <c r="H18" s="29">
        <f>IFERROR(2*((F18*G18)/(F18+G18)),"Not Available")</f>
        <v/>
      </c>
    </row>
    <row r="19" ht="15.75" customHeight="1" s="72">
      <c r="A19" s="31" t="inlineStr">
        <is>
          <t>History State</t>
        </is>
      </c>
      <c r="B19" s="28">
        <f>COUNTIF('Spa Manager'!$A$2:$A$45, A19)</f>
        <v/>
      </c>
      <c r="C19" s="29">
        <f>SUMIF('Claude Sonnet 4.5 Grading'!$A$2:$A$45, $A19, 'Claude Sonnet 4.5 Grading'!$C$2:$C$45)</f>
        <v/>
      </c>
      <c r="D19" s="29">
        <f>SUMIF('Claude Sonnet 4.5 Grading'!A$46:A$52, A19, 'Claude Sonnet 4.5 Grading'!$C$46:$C$53)</f>
        <v/>
      </c>
      <c r="E19" s="29">
        <f>COUNTIFS('Claude Sonnet 4.5 Grading'!$A$2:$A$45, $A19, 'Claude Sonnet 4.5 Grading'!$C$2:$C$45,0)</f>
        <v/>
      </c>
      <c r="F19" s="29">
        <f>IFERROR(C19 / (C19 + D19), "Not Available")</f>
        <v/>
      </c>
      <c r="G19" s="29">
        <f>IFERROR(C19 / B19, "Not Available")</f>
        <v/>
      </c>
      <c r="H19" s="29">
        <f>IFERROR(2*((F19*G19)/(F19+G19)),"Not Available")</f>
        <v/>
      </c>
    </row>
    <row r="20" ht="15.75" customHeight="1" s="72">
      <c r="A20" s="31" t="inlineStr">
        <is>
          <t>Guard</t>
        </is>
      </c>
      <c r="B20" s="28">
        <f>COUNTIF('Spa Manager'!$A$2:$A$45, A20)</f>
        <v/>
      </c>
      <c r="C20" s="29">
        <f>SUMIF('Claude Sonnet 4.5 Grading'!$A$2:$A$45, $A20, 'Claude Sonnet 4.5 Grading'!$C$2:$C$45)</f>
        <v/>
      </c>
      <c r="D20" s="29">
        <f>SUMIF('Claude Sonnet 4.5 Grading'!A$46:A$52, A20, 'Claude Sonnet 4.5 Grading'!$C$46:$C$53)</f>
        <v/>
      </c>
      <c r="E20" s="29">
        <f>COUNTIFS('Claude Sonnet 4.5 Grading'!$A$2:$A$45, $A20, 'Claude Sonnet 4.5 Grading'!$C$2:$C$45,0)</f>
        <v/>
      </c>
      <c r="F20" s="29">
        <f>IFERROR(C20 / (C20 + D20), "Not Available")</f>
        <v/>
      </c>
      <c r="G20" s="29">
        <f>IFERROR(C20 / B20, "Not Available")</f>
        <v/>
      </c>
      <c r="H20" s="29">
        <f>IFERROR(2*((F20*G20)/(F20+G20)),"Not Available")</f>
        <v/>
      </c>
    </row>
    <row r="21" ht="15.75" customHeight="1" s="72">
      <c r="A21" s="31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9">
        <f>IFERROR(C21 / (C21 + D21), "Not Available")</f>
        <v/>
      </c>
      <c r="G21" s="29">
        <f>IFERROR(C21 / B21, "Not Available")</f>
        <v/>
      </c>
      <c r="H21" s="29">
        <f>IFERROR(2*((F21*G21)/(F21+G21)),"Not Available")</f>
        <v/>
      </c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6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11"/>
    <col width="22.5" customWidth="1" style="72" min="12" max="12"/>
    <col width="12.1640625" customWidth="1" style="72" min="13" max="13"/>
    <col width="53.1640625" customWidth="1" style="72" min="14" max="14"/>
    <col width="10.6640625" customWidth="1" style="72" min="15" max="15"/>
    <col width="50" customWidth="1" style="72" min="16" max="16"/>
    <col width="10.6640625" customWidth="1" style="72" min="17" max="24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Gemini 3 Pro</t>
        </is>
      </c>
      <c r="D1" s="75" t="inlineStr">
        <is>
          <t>Claude Sonnet 4.5</t>
        </is>
      </c>
      <c r="F1" s="77" t="inlineStr">
        <is>
          <t>Confusion Matrix</t>
        </is>
      </c>
      <c r="L1" s="73" t="inlineStr">
        <is>
          <t>Cohen's Kappa</t>
        </is>
      </c>
      <c r="M1" s="78" t="n"/>
      <c r="N1" s="78" t="n"/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'Gemini 3 Pro Grading'!C2</f>
        <v/>
      </c>
      <c r="D2" s="23">
        <f>'Claude Sonnet 4.5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2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'Gemini 3 Pro Grading'!C3</f>
        <v/>
      </c>
      <c r="D3" s="23">
        <f>'Claude Sonnet 4.5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41" t="inlineStr">
        <is>
          <t>Observed Agreement (Po)</t>
        </is>
      </c>
      <c r="M3" s="38">
        <f>(G3+H4+I5)/COUNTA($C$2:$C$100)</f>
        <v/>
      </c>
      <c r="N3" s="42" t="inlineStr">
        <is>
          <t>This sums the diagonal of your matrix divided by total rows.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'Gemini 3 Pro Grading'!C4</f>
        <v/>
      </c>
      <c r="D4" s="23">
        <f>'Claude Sonnet 4.5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41" t="inlineStr">
        <is>
          <t>Expected Agreement (Pe)</t>
        </is>
      </c>
      <c r="M4" s="43">
        <f t="array" ref="M4">SUMPRODUCT(J3:J5/COUNTA($C$2:$C$100), TRANSPOSE(G6:I6)/COUNTA($C$2:$C$100))</f>
        <v/>
      </c>
      <c r="N4" s="44" t="inlineStr">
        <is>
          <t>This computes the sum of row proportion times column proportion.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'Gemini 3 Pro Grading'!C5</f>
        <v/>
      </c>
      <c r="D5" s="23">
        <f>'Claude Sonnet 4.5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41" t="inlineStr">
        <is>
          <t>Cohen's Kappa</t>
        </is>
      </c>
      <c r="M5" s="48">
        <f>(M3-M4)/(1-M4)</f>
        <v/>
      </c>
      <c r="N5" s="49" t="inlineStr">
        <is>
          <t>(Po - Pe) / (1 - Pe)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'Gemini 3 Pro Grading'!C6</f>
        <v/>
      </c>
      <c r="D6" s="23">
        <f>'Claude Sonnet 4.5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 t="n"/>
      <c r="L6" s="2" t="n"/>
      <c r="M6" s="51" t="n"/>
    </row>
    <row r="7" ht="12.75" customHeight="1" s="72">
      <c r="A7" s="71">
        <f>'Spa Manager'!A7</f>
        <v/>
      </c>
      <c r="B7" s="4">
        <f>'Spa Manager'!B7</f>
        <v/>
      </c>
      <c r="C7" s="23">
        <f>'Gemini 3 Pro Grading'!C7</f>
        <v/>
      </c>
      <c r="D7" s="23">
        <f>'Claude Sonnet 4.5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'Gemini 3 Pro Grading'!C8</f>
        <v/>
      </c>
      <c r="D8" s="23">
        <f>'Claude Sonnet 4.5 Grading'!C8</f>
        <v/>
      </c>
      <c r="F8" s="77" t="inlineStr">
        <is>
          <t>Confusion Matrix (State)</t>
        </is>
      </c>
      <c r="L8" s="73" t="inlineStr">
        <is>
          <t>Cohen's Kappa (State)</t>
        </is>
      </c>
      <c r="M8" s="78" t="n"/>
      <c r="N8" s="78" t="n"/>
    </row>
    <row r="9" ht="12.75" customHeight="1" s="72">
      <c r="A9" s="71">
        <f>'Spa Manager'!A9</f>
        <v/>
      </c>
      <c r="B9" s="4">
        <f>'Spa Manager'!B9</f>
        <v/>
      </c>
      <c r="C9" s="23">
        <f>'Gemini 3 Pro Grading'!C9</f>
        <v/>
      </c>
      <c r="D9" s="23">
        <f>'Claude Sonnet 4.5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'Gemini 3 Pro Grading'!C10</f>
        <v/>
      </c>
      <c r="D10" s="23">
        <f>'Claude Sonnet 4.5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41" t="inlineStr">
        <is>
          <t>Observed Agreement (Po)</t>
        </is>
      </c>
      <c r="M10" s="38">
        <f>(G10+H11+I12)/COUNTIF($A$2:$A$100,F9)</f>
        <v/>
      </c>
      <c r="N10" s="42" t="inlineStr">
        <is>
          <t>This sums the diagonal of your matrix divided by total rows.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'Gemini 3 Pro Grading'!C11</f>
        <v/>
      </c>
      <c r="D11" s="23">
        <f>'Claude Sonnet 4.5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41" t="inlineStr">
        <is>
          <t>Expected Agreement (Pe)</t>
        </is>
      </c>
      <c r="M11" s="43">
        <f t="array" ref="M11">SUMPRODUCT(J10:J12/COUNTIF($A$2:$A$100,F9), TRANSPOSE(G13:I13)/COUNTIF($A$2:$A$100,F9))</f>
        <v/>
      </c>
      <c r="N11" s="44" t="inlineStr">
        <is>
          <t>This computes the sum of row proportion times column proportion.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'Gemini 3 Pro Grading'!C12</f>
        <v/>
      </c>
      <c r="D12" s="23">
        <f>'Claude Sonnet 4.5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41" t="inlineStr">
        <is>
          <t>Cohen's Kappa</t>
        </is>
      </c>
      <c r="M12" s="48">
        <f>(M10-M11)/(1-M11)</f>
        <v/>
      </c>
      <c r="N12" s="49" t="inlineStr">
        <is>
          <t>(Po - Pe) / (1 - Pe)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'Gemini 3 Pro Grading'!C13</f>
        <v/>
      </c>
      <c r="D13" s="23">
        <f>'Claude Sonnet 4.5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 t="n"/>
      <c r="L13" s="2" t="n"/>
      <c r="M13" s="51" t="n"/>
    </row>
    <row r="14" ht="12.75" customHeight="1" s="72">
      <c r="A14" s="71">
        <f>'Spa Manager'!A14</f>
        <v/>
      </c>
      <c r="B14" s="4">
        <f>'Spa Manager'!B14</f>
        <v/>
      </c>
      <c r="C14" s="23">
        <f>'Gemini 3 Pro Grading'!C14</f>
        <v/>
      </c>
      <c r="D14" s="23">
        <f>'Claude Sonnet 4.5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'Gemini 3 Pro Grading'!C15</f>
        <v/>
      </c>
      <c r="D15" s="23">
        <f>'Claude Sonnet 4.5 Grading'!C15</f>
        <v/>
      </c>
      <c r="F15" s="77" t="inlineStr">
        <is>
          <t>Confusion Matrix (Transition)</t>
        </is>
      </c>
      <c r="L15" s="73" t="inlineStr">
        <is>
          <t>Cohen's Kappa (Transition)</t>
        </is>
      </c>
      <c r="M15" s="78" t="n"/>
      <c r="N15" s="78" t="n"/>
    </row>
    <row r="16" ht="12.75" customHeight="1" s="72">
      <c r="A16" s="71">
        <f>'Spa Manager'!A16</f>
        <v/>
      </c>
      <c r="B16" s="4">
        <f>'Spa Manager'!B16</f>
        <v/>
      </c>
      <c r="C16" s="23">
        <f>'Gemini 3 Pro Grading'!C16</f>
        <v/>
      </c>
      <c r="D16" s="23">
        <f>'Claude Sonnet 4.5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'Gemini 3 Pro Grading'!C17</f>
        <v/>
      </c>
      <c r="D17" s="23">
        <f>'Claude Sonnet 4.5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41" t="inlineStr">
        <is>
          <t>Observed Agreement (Po)</t>
        </is>
      </c>
      <c r="M17" s="38">
        <f>(G17+H18+I19)/COUNTIF($A$2:$A$100,F16)</f>
        <v/>
      </c>
      <c r="N17" s="42" t="inlineStr">
        <is>
          <t>This sums the diagonal of your matrix divided by total rows.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'Gemini 3 Pro Grading'!C18</f>
        <v/>
      </c>
      <c r="D18" s="23">
        <f>'Claude Sonnet 4.5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41" t="inlineStr">
        <is>
          <t>Expected Agreement (Pe)</t>
        </is>
      </c>
      <c r="M18" s="43">
        <f t="array" ref="M18">SUMPRODUCT(J17:J19/COUNTIF($A$2:$A$100,F16), TRANSPOSE(G20:I20)/COUNTIF($A$2:$A$100,F16))</f>
        <v/>
      </c>
      <c r="N18" s="44" t="inlineStr">
        <is>
          <t>This computes the sum of row proportion times column proportion.</t>
        </is>
      </c>
    </row>
    <row r="19" ht="12.75" customHeight="1" s="72">
      <c r="A19" s="71">
        <f>'Spa Manager'!A19</f>
        <v/>
      </c>
      <c r="B19" s="4">
        <f>'Spa Manager'!B19</f>
        <v/>
      </c>
      <c r="C19" s="23">
        <f>'Gemini 3 Pro Grading'!C19</f>
        <v/>
      </c>
      <c r="D19" s="23">
        <f>'Claude Sonnet 4.5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41" t="inlineStr">
        <is>
          <t>Cohen's Kappa</t>
        </is>
      </c>
      <c r="M19" s="48">
        <f>(M17-M18)/(1-M18)</f>
        <v/>
      </c>
      <c r="N19" s="49" t="inlineStr">
        <is>
          <t>(Po - Pe) / (1 - Pe)</t>
        </is>
      </c>
    </row>
    <row r="20" ht="13" customHeight="1" s="72">
      <c r="A20" s="71">
        <f>'Spa Manager'!A20</f>
        <v/>
      </c>
      <c r="B20" s="4">
        <f>'Spa Manager'!B20</f>
        <v/>
      </c>
      <c r="C20" s="23">
        <f>'Gemini 3 Pro Grading'!C20</f>
        <v/>
      </c>
      <c r="D20" s="23">
        <f>'Claude Sonnet 4.5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 t="n"/>
      <c r="L20" s="2" t="n"/>
      <c r="M20" s="51" t="n"/>
    </row>
    <row r="21" ht="12.75" customHeight="1" s="72">
      <c r="A21" s="71">
        <f>'Spa Manager'!A21</f>
        <v/>
      </c>
      <c r="B21" s="4">
        <f>'Spa Manager'!B21</f>
        <v/>
      </c>
      <c r="C21" s="23">
        <f>'Gemini 3 Pro Grading'!C21</f>
        <v/>
      </c>
      <c r="D21" s="23">
        <f>'Claude Sonnet 4.5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'Gemini 3 Pro Grading'!C22</f>
        <v/>
      </c>
      <c r="D22" s="23">
        <f>'Claude Sonnet 4.5 Grading'!C22</f>
        <v/>
      </c>
      <c r="F22" s="77" t="inlineStr">
        <is>
          <t>Confusion Matrix (Composite State)</t>
        </is>
      </c>
      <c r="L22" s="73" t="inlineStr">
        <is>
          <t>Cohen's Kappa (Composite State)</t>
        </is>
      </c>
      <c r="M22" s="78" t="n"/>
      <c r="N22" s="78" t="n"/>
    </row>
    <row r="23" ht="12.75" customHeight="1" s="72">
      <c r="A23" s="71">
        <f>'Spa Manager'!A23</f>
        <v/>
      </c>
      <c r="B23" s="4">
        <f>'Spa Manager'!B23</f>
        <v/>
      </c>
      <c r="C23" s="23">
        <f>'Gemini 3 Pro Grading'!C23</f>
        <v/>
      </c>
      <c r="D23" s="23">
        <f>'Claude Sonnet 4.5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'Gemini 3 Pro Grading'!C24</f>
        <v/>
      </c>
      <c r="D24" s="23">
        <f>'Claude Sonnet 4.5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41" t="inlineStr">
        <is>
          <t>Observed Agreement (Po)</t>
        </is>
      </c>
      <c r="M24" s="38">
        <f>(G24+H25+I26)/COUNTIF($A$2:$A$100,F23)</f>
        <v/>
      </c>
      <c r="N24" s="42" t="inlineStr">
        <is>
          <t>This sums the diagonal of your matrix divided by total rows.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'Gemini 3 Pro Grading'!C25</f>
        <v/>
      </c>
      <c r="D25" s="23">
        <f>'Claude Sonnet 4.5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41" t="inlineStr">
        <is>
          <t>Expected Agreement (Pe)</t>
        </is>
      </c>
      <c r="M25" s="43">
        <f t="array" ref="M25">SUMPRODUCT(J24:J26/COUNTIF($A$2:$A$100,F23), TRANSPOSE(G27:I27)/COUNTIF($A$2:$A$100,F23))</f>
        <v/>
      </c>
      <c r="N25" s="44" t="inlineStr">
        <is>
          <t>This computes the sum of row proportion times column proportion.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'Gemini 3 Pro Grading'!C26</f>
        <v/>
      </c>
      <c r="D26" s="23">
        <f>'Claude Sonnet 4.5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41" t="inlineStr">
        <is>
          <t>Cohen's Kappa</t>
        </is>
      </c>
      <c r="M26" s="48">
        <f>(M24-M25)/(1-M25)</f>
        <v/>
      </c>
      <c r="N26" s="49" t="inlineStr">
        <is>
          <t>(Po - Pe) / (1 - Pe)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'Gemini 3 Pro Grading'!C27</f>
        <v/>
      </c>
      <c r="D27" s="23">
        <f>'Claude Sonnet 4.5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 t="n"/>
      <c r="L27" s="2" t="n"/>
      <c r="M27" s="51" t="n"/>
    </row>
    <row r="28" ht="12.75" customHeight="1" s="72">
      <c r="A28" s="71">
        <f>'Spa Manager'!A28</f>
        <v/>
      </c>
      <c r="B28" s="4">
        <f>'Spa Manager'!B28</f>
        <v/>
      </c>
      <c r="C28" s="23">
        <f>'Gemini 3 Pro Grading'!C28</f>
        <v/>
      </c>
      <c r="D28" s="23">
        <f>'Claude Sonnet 4.5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'Gemini 3 Pro Grading'!C29</f>
        <v/>
      </c>
      <c r="D29" s="23">
        <f>'Claude Sonnet 4.5 Grading'!C29</f>
        <v/>
      </c>
      <c r="F29" s="77" t="inlineStr">
        <is>
          <t>Confusion Matrix (Guard)</t>
        </is>
      </c>
      <c r="L29" s="73" t="inlineStr">
        <is>
          <t>Cohen's Kappa (Guard)</t>
        </is>
      </c>
      <c r="M29" s="78" t="n"/>
      <c r="N29" s="78" t="n"/>
    </row>
    <row r="30" ht="12.75" customHeight="1" s="72">
      <c r="A30" s="71">
        <f>'Spa Manager'!A30</f>
        <v/>
      </c>
      <c r="B30" s="4">
        <f>'Spa Manager'!B30</f>
        <v/>
      </c>
      <c r="C30" s="23">
        <f>'Gemini 3 Pro Grading'!C30</f>
        <v/>
      </c>
      <c r="D30" s="23">
        <f>'Claude Sonnet 4.5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'Gemini 3 Pro Grading'!C31</f>
        <v/>
      </c>
      <c r="D31" s="23">
        <f>'Claude Sonnet 4.5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41" t="inlineStr">
        <is>
          <t>Observed Agreement (Po)</t>
        </is>
      </c>
      <c r="M31" s="38">
        <f>(G31+H32+I33)/COUNTIF($A$2:$A$100,F30)</f>
        <v/>
      </c>
      <c r="N31" s="42" t="inlineStr">
        <is>
          <t>This sums the diagonal of your matrix divided by total rows.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'Gemini 3 Pro Grading'!C32</f>
        <v/>
      </c>
      <c r="D32" s="23">
        <f>'Claude Sonnet 4.5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41" t="inlineStr">
        <is>
          <t>Expected Agreement (Pe)</t>
        </is>
      </c>
      <c r="M32" s="43">
        <f t="array" ref="M32">SUMPRODUCT(J31:J33/COUNTIF($A$2:$A$100,F30), TRANSPOSE(G34:I34)/COUNTIF($A$2:$A$100,F30))</f>
        <v/>
      </c>
      <c r="N32" s="44" t="inlineStr">
        <is>
          <t>This computes the sum of row proportion times column proportion.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'Gemini 3 Pro Grading'!C33</f>
        <v/>
      </c>
      <c r="D33" s="23">
        <f>'Claude Sonnet 4.5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41" t="inlineStr">
        <is>
          <t>Cohen's Kappa</t>
        </is>
      </c>
      <c r="M33" s="48">
        <f>(M31-M32)/(1-M32)</f>
        <v/>
      </c>
      <c r="N33" s="49" t="inlineStr">
        <is>
          <t>(Po - Pe) / (1 - Pe)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'Gemini 3 Pro Grading'!C34</f>
        <v/>
      </c>
      <c r="D34" s="23">
        <f>'Claude Sonnet 4.5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 t="n"/>
      <c r="L34" s="2" t="n"/>
      <c r="M34" s="51" t="n"/>
    </row>
    <row r="35" ht="12.75" customHeight="1" s="72">
      <c r="A35" s="71">
        <f>'Spa Manager'!A35</f>
        <v/>
      </c>
      <c r="B35" s="4">
        <f>'Spa Manager'!B35</f>
        <v/>
      </c>
      <c r="C35" s="23">
        <f>'Gemini 3 Pro Grading'!C35</f>
        <v/>
      </c>
      <c r="D35" s="23">
        <f>'Claude Sonnet 4.5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'Gemini 3 Pro Grading'!C36</f>
        <v/>
      </c>
      <c r="D36" s="23">
        <f>'Claude Sonnet 4.5 Grading'!C36</f>
        <v/>
      </c>
      <c r="F36" s="77" t="inlineStr">
        <is>
          <t>Confusion Matrix (Action)</t>
        </is>
      </c>
      <c r="L36" s="73" t="inlineStr">
        <is>
          <t>Cohen's Kappa (Action)</t>
        </is>
      </c>
      <c r="M36" s="78" t="n"/>
      <c r="N36" s="78" t="n"/>
    </row>
    <row r="37" ht="12.75" customHeight="1" s="72">
      <c r="A37" s="71">
        <f>'Spa Manager'!A37</f>
        <v/>
      </c>
      <c r="B37" s="4">
        <f>'Spa Manager'!B37</f>
        <v/>
      </c>
      <c r="C37" s="23">
        <f>'Gemini 3 Pro Grading'!C37</f>
        <v/>
      </c>
      <c r="D37" s="23">
        <f>'Claude Sonnet 4.5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'Gemini 3 Pro Grading'!C38</f>
        <v/>
      </c>
      <c r="D38" s="23">
        <f>'Claude Sonnet 4.5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41" t="inlineStr">
        <is>
          <t>Observed Agreement (Po)</t>
        </is>
      </c>
      <c r="M38" s="38">
        <f>(G38+H39+I40)/COUNTIF($A$2:$A$100,F37)</f>
        <v/>
      </c>
      <c r="N38" s="42" t="inlineStr">
        <is>
          <t>This sums the diagonal of your matrix divided by total rows.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'Gemini 3 Pro Grading'!C39</f>
        <v/>
      </c>
      <c r="D39" s="23">
        <f>'Claude Sonnet 4.5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41" t="inlineStr">
        <is>
          <t>Expected Agreement (Pe)</t>
        </is>
      </c>
      <c r="M39" s="43">
        <f t="array" ref="M39">SUMPRODUCT(J38:J40/COUNTIF($A$2:$A$100,F37), TRANSPOSE(G41:I41)/COUNTIF($A$2:$A$100,F37))</f>
        <v/>
      </c>
      <c r="N39" s="44" t="inlineStr">
        <is>
          <t>This computes the sum of row proportion times column proportion.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'Gemini 3 Pro Grading'!C40</f>
        <v/>
      </c>
      <c r="D40" s="23">
        <f>'Claude Sonnet 4.5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41" t="inlineStr">
        <is>
          <t>Cohen's Kappa</t>
        </is>
      </c>
      <c r="M40" s="48">
        <f>(M38-M39)/(1-M39)</f>
        <v/>
      </c>
      <c r="N40" s="49" t="inlineStr">
        <is>
          <t>(Po - Pe) / (1 - Pe)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'Gemini 3 Pro Grading'!C41</f>
        <v/>
      </c>
      <c r="D41" s="23">
        <f>'Claude Sonnet 4.5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 t="n"/>
      <c r="L41" s="2" t="n"/>
      <c r="M41" s="51" t="n"/>
    </row>
    <row r="42" ht="15" customHeight="1" s="72">
      <c r="A42" s="71">
        <f>'Spa Manager'!A42</f>
        <v/>
      </c>
      <c r="B42" s="4">
        <f>'Spa Manager'!B42</f>
        <v/>
      </c>
      <c r="C42" s="23">
        <f>'Gemini 3 Pro Grading'!C42</f>
        <v/>
      </c>
      <c r="D42" s="23">
        <f>'Claude Sonnet 4.5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'Gemini 3 Pro Grading'!C43</f>
        <v/>
      </c>
      <c r="D43" s="23">
        <f>'Claude Sonnet 4.5 Grading'!C43</f>
        <v/>
      </c>
      <c r="E43" s="5" t="n"/>
      <c r="F43" s="77" t="inlineStr">
        <is>
          <t>Confusion Matrix (History State)</t>
        </is>
      </c>
      <c r="L43" s="73" t="inlineStr">
        <is>
          <t xml:space="preserve">Cohen's Kappa (History State)		</t>
        </is>
      </c>
      <c r="M43" s="78" t="n"/>
      <c r="N43" s="78" t="n"/>
    </row>
    <row r="44" ht="15" customHeight="1" s="72">
      <c r="A44" s="71">
        <f>'Spa Manager'!A44</f>
        <v/>
      </c>
      <c r="B44" s="4">
        <f>'Spa Manager'!B44</f>
        <v/>
      </c>
      <c r="C44" s="23">
        <f>'Gemini 3 Pro Grading'!C44</f>
        <v/>
      </c>
      <c r="D44" s="23">
        <f>'Claude Sonnet 4.5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" customHeight="1" s="72">
      <c r="A45" s="71">
        <f>'Spa Manager'!A45</f>
        <v/>
      </c>
      <c r="B45" s="4">
        <f>'Spa Manager'!B45</f>
        <v/>
      </c>
      <c r="C45" s="23">
        <f>'Gemini 3 Pro Grading'!C45</f>
        <v/>
      </c>
      <c r="D45" s="23">
        <f>'Claude Sonnet 4.5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41" t="inlineStr">
        <is>
          <t>Observed Agreement (Po)</t>
        </is>
      </c>
      <c r="M45" s="38">
        <f>(G45+H46+I47)/COUNTIF($A$2:$A$100,F44)</f>
        <v/>
      </c>
      <c r="N45" s="42" t="inlineStr">
        <is>
          <t>This sums the diagonal of your matrix divided by total rows.</t>
        </is>
      </c>
    </row>
    <row r="46" ht="15" customHeight="1" s="72">
      <c r="A46" s="54">
        <f>'Spa Manager'!A46</f>
        <v/>
      </c>
      <c r="B46" s="55">
        <f>'Spa Manager'!B46</f>
        <v/>
      </c>
      <c r="C46" s="56">
        <f>'Gemini 3 Pro Grading'!C46</f>
        <v/>
      </c>
      <c r="D46" s="56">
        <f>'Claude Sonnet 4.5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41" t="inlineStr">
        <is>
          <t>Expected Agreement (Pe)</t>
        </is>
      </c>
      <c r="M46" s="43">
        <f t="array" ref="M46">SUMPRODUCT(J45:J47/COUNTIF($A$2:$A$100,F44), TRANSPOSE(G48:I48)/COUNTIF($A$2:$A$100,F44))</f>
        <v/>
      </c>
      <c r="N46" s="44" t="inlineStr">
        <is>
          <t>This computes the sum of row proportion times column proportion.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'Gemini 3 Pro Grading'!C47</f>
        <v/>
      </c>
      <c r="D47" s="23">
        <f>'Claude Sonnet 4.5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41" t="inlineStr">
        <is>
          <t>Cohen's Kappa</t>
        </is>
      </c>
      <c r="M47" s="48">
        <f>(M45-M46)/(1-M46)</f>
        <v/>
      </c>
      <c r="N47" s="49" t="inlineStr">
        <is>
          <t>(Po - Pe) / (1 - Pe)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'Gemini 3 Pro Grading'!C48</f>
        <v/>
      </c>
      <c r="D48" s="23">
        <f>'Claude Sonnet 4.5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 t="n"/>
      <c r="L48" s="2" t="n"/>
      <c r="M48" s="51" t="n"/>
    </row>
    <row r="49" ht="15" customHeight="1" s="72">
      <c r="A49" s="71">
        <f>'Spa Manager'!A49</f>
        <v/>
      </c>
      <c r="B49" s="4">
        <f>'Spa Manager'!B49</f>
        <v/>
      </c>
      <c r="C49" s="23">
        <f>'Gemini 3 Pro Grading'!C49</f>
        <v/>
      </c>
      <c r="D49" s="23">
        <f>'Claude Sonnet 4.5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'Gemini 3 Pro Grading'!C50</f>
        <v/>
      </c>
      <c r="D50" s="23">
        <f>'Claude Sonnet 4.5 Grading'!C50</f>
        <v/>
      </c>
      <c r="F50" s="77" t="inlineStr">
        <is>
          <t>Confusion Matrix (Region)</t>
        </is>
      </c>
      <c r="L50" s="73" t="inlineStr">
        <is>
          <t>Cohen's Kappa (Region)</t>
        </is>
      </c>
      <c r="M50" s="78" t="n"/>
      <c r="N50" s="78" t="n"/>
    </row>
    <row r="51" ht="12.75" customHeight="1" s="72">
      <c r="A51" s="71">
        <f>'Spa Manager'!A51</f>
        <v/>
      </c>
      <c r="B51" s="4">
        <f>'Spa Manager'!B51</f>
        <v/>
      </c>
      <c r="C51" s="23">
        <f>'Gemini 3 Pro Grading'!C51</f>
        <v/>
      </c>
      <c r="D51" s="23">
        <f>'Claude Sonnet 4.5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'Gemini 3 Pro Grading'!C52</f>
        <v/>
      </c>
      <c r="D52" s="23">
        <f>'Claude Sonnet 4.5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41" t="inlineStr">
        <is>
          <t>Observed Agreement (Po)</t>
        </is>
      </c>
      <c r="M52" s="38">
        <f>(G52+H53+I54)/COUNTIF($A$2:$A$100,F51)</f>
        <v/>
      </c>
      <c r="N52" s="42" t="inlineStr">
        <is>
          <t>This sums the diagonal of your matrix divided by total rows.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41" t="inlineStr">
        <is>
          <t>Expected Agreement (Pe)</t>
        </is>
      </c>
      <c r="M53" s="43">
        <f t="array" ref="M53">SUMPRODUCT(J52:J54/COUNTIF($A$2:$A$100,F51), TRANSPOSE(G55:I55)/COUNTIF($A$2:$A$100,F51))</f>
        <v/>
      </c>
      <c r="N53" s="44" t="inlineStr">
        <is>
          <t>This computes the sum of row proportion times column proportion.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41" t="inlineStr">
        <is>
          <t>Cohen's Kappa</t>
        </is>
      </c>
      <c r="M54" s="48">
        <f>(M52-M53)/(1-M53)</f>
        <v/>
      </c>
      <c r="N54" s="49" t="inlineStr">
        <is>
          <t>(Po - Pe) / (1 - Pe)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 t="n"/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>
      <c r="C268" s="2" t="n"/>
      <c r="D268" s="2" t="n"/>
    </row>
    <row r="269" ht="12.75" customHeight="1" s="72">
      <c r="C269" s="2" t="n"/>
      <c r="D269" s="2" t="n"/>
    </row>
    <row r="270" ht="12.75" customHeight="1" s="72">
      <c r="C270" s="2" t="n"/>
      <c r="D270" s="2" t="n"/>
    </row>
    <row r="271" ht="12.75" customHeight="1" s="72">
      <c r="C271" s="2" t="n"/>
      <c r="D271" s="2" t="n"/>
    </row>
    <row r="272" ht="15.75" customHeight="1" s="72">
      <c r="C272" s="2" t="n"/>
      <c r="D272" s="2" t="n"/>
    </row>
    <row r="273" ht="15.75" customHeight="1" s="72">
      <c r="C273" s="2" t="n"/>
      <c r="D273" s="2" t="n"/>
    </row>
    <row r="274" ht="15.75" customHeight="1" s="72">
      <c r="C274" s="2" t="n"/>
      <c r="D274" s="2" t="n"/>
    </row>
    <row r="275" ht="15.75" customHeight="1" s="72">
      <c r="C275" s="2" t="n"/>
      <c r="D275" s="2" t="n"/>
    </row>
    <row r="276" ht="15.75" customHeight="1" s="72">
      <c r="C276" s="2" t="n"/>
      <c r="D276" s="2" t="n"/>
    </row>
    <row r="277" ht="15.75" customHeight="1" s="72">
      <c r="C277" s="2" t="n"/>
      <c r="D277" s="2" t="n"/>
    </row>
    <row r="278" ht="15.75" customHeight="1" s="72">
      <c r="C278" s="2" t="n"/>
      <c r="D278" s="2" t="n"/>
    </row>
    <row r="279" ht="15.75" customHeight="1" s="72">
      <c r="C279" s="2" t="n"/>
      <c r="D279" s="2" t="n"/>
    </row>
    <row r="280" ht="15.75" customHeight="1" s="72">
      <c r="C280" s="2" t="n"/>
      <c r="D280" s="2" t="n"/>
    </row>
    <row r="281" ht="15.75" customHeight="1" s="72">
      <c r="C281" s="2" t="n"/>
      <c r="D281" s="2" t="n"/>
    </row>
    <row r="282" ht="15.75" customHeight="1" s="72">
      <c r="C282" s="2" t="n"/>
      <c r="D282" s="2" t="n"/>
    </row>
    <row r="283" ht="15.75" customHeight="1" s="72">
      <c r="C283" s="2" t="n"/>
      <c r="D283" s="2" t="n"/>
    </row>
    <row r="284" ht="15.75" customHeight="1" s="72">
      <c r="C284" s="2" t="n"/>
      <c r="D284" s="2" t="n"/>
    </row>
    <row r="285" ht="15.75" customHeight="1" s="72">
      <c r="C285" s="2" t="n"/>
      <c r="D285" s="2" t="n"/>
    </row>
    <row r="286" ht="15.75" customHeight="1" s="72">
      <c r="C286" s="2" t="n"/>
      <c r="D286" s="2" t="n"/>
    </row>
    <row r="287" ht="15.75" customHeight="1" s="72">
      <c r="C287" s="2" t="n"/>
      <c r="D287" s="2" t="n"/>
    </row>
    <row r="288" ht="15.75" customHeight="1" s="72">
      <c r="C288" s="2" t="n"/>
      <c r="D288" s="2" t="n"/>
    </row>
    <row r="289" ht="15.75" customHeight="1" s="72">
      <c r="C289" s="2" t="n"/>
      <c r="D289" s="2" t="n"/>
    </row>
    <row r="290" ht="15.75" customHeight="1" s="72">
      <c r="C290" s="2" t="n"/>
      <c r="D290" s="2" t="n"/>
    </row>
    <row r="291" ht="15.75" customHeight="1" s="72">
      <c r="C291" s="2" t="n"/>
      <c r="D291" s="2" t="n"/>
    </row>
    <row r="292" ht="15.75" customHeight="1" s="72">
      <c r="C292" s="2" t="n"/>
      <c r="D292" s="2" t="n"/>
    </row>
    <row r="293" ht="15.75" customHeight="1" s="72">
      <c r="C293" s="2" t="n"/>
      <c r="D293" s="2" t="n"/>
    </row>
    <row r="294" ht="15.75" customHeight="1" s="72">
      <c r="C294" s="2" t="n"/>
      <c r="D294" s="2" t="n"/>
    </row>
    <row r="295" ht="15.75" customHeight="1" s="72">
      <c r="C295" s="2" t="n"/>
      <c r="D295" s="2" t="n"/>
    </row>
    <row r="296" ht="15.75" customHeight="1" s="72">
      <c r="C296" s="2" t="n"/>
      <c r="D296" s="2" t="n"/>
    </row>
    <row r="297" ht="15.75" customHeight="1" s="72">
      <c r="C297" s="2" t="n"/>
      <c r="D297" s="2" t="n"/>
    </row>
    <row r="298" ht="15.75" customHeight="1" s="72">
      <c r="C298" s="2" t="n"/>
      <c r="D298" s="2" t="n"/>
    </row>
    <row r="299" ht="15.75" customHeight="1" s="72">
      <c r="C299" s="2" t="n"/>
      <c r="D299" s="2" t="n"/>
    </row>
    <row r="300" ht="15.75" customHeight="1" s="72">
      <c r="C300" s="2" t="n"/>
      <c r="D300" s="2" t="n"/>
    </row>
    <row r="301" ht="15.75" customHeight="1" s="72">
      <c r="C301" s="2" t="n"/>
      <c r="D301" s="2" t="n"/>
    </row>
    <row r="302" ht="15.75" customHeight="1" s="72">
      <c r="C302" s="2" t="n"/>
      <c r="D302" s="2" t="n"/>
    </row>
    <row r="303" ht="15.75" customHeight="1" s="72">
      <c r="C303" s="2" t="n"/>
      <c r="D303" s="2" t="n"/>
    </row>
    <row r="304" ht="15.75" customHeight="1" s="72">
      <c r="C304" s="2" t="n"/>
      <c r="D304" s="2" t="n"/>
    </row>
    <row r="305" ht="15.75" customHeight="1" s="72">
      <c r="C305" s="2" t="n"/>
      <c r="D305" s="2" t="n"/>
    </row>
    <row r="306" ht="15.75" customHeight="1" s="72">
      <c r="C306" s="2" t="n"/>
      <c r="D306" s="2" t="n"/>
    </row>
    <row r="307" ht="15.75" customHeight="1" s="72">
      <c r="C307" s="2" t="n"/>
      <c r="D307" s="2" t="n"/>
    </row>
    <row r="308" ht="15.75" customHeight="1" s="72">
      <c r="C308" s="2" t="n"/>
      <c r="D308" s="2" t="n"/>
    </row>
    <row r="309" ht="15.75" customHeight="1" s="72">
      <c r="C309" s="2" t="n"/>
      <c r="D309" s="2" t="n"/>
    </row>
    <row r="310" ht="15.75" customHeight="1" s="72">
      <c r="C310" s="2" t="n"/>
      <c r="D310" s="2" t="n"/>
    </row>
    <row r="311" ht="15.75" customHeight="1" s="72">
      <c r="C311" s="2" t="n"/>
      <c r="D311" s="2" t="n"/>
    </row>
    <row r="312" ht="15.75" customHeight="1" s="72">
      <c r="C312" s="2" t="n"/>
      <c r="D312" s="2" t="n"/>
    </row>
    <row r="313" ht="15.75" customHeight="1" s="72">
      <c r="C313" s="2" t="n"/>
      <c r="D313" s="2" t="n"/>
    </row>
    <row r="314" ht="15.75" customHeight="1" s="72">
      <c r="C314" s="2" t="n"/>
      <c r="D314" s="2" t="n"/>
    </row>
    <row r="315" ht="15.75" customHeight="1" s="72">
      <c r="C315" s="2" t="n"/>
      <c r="D315" s="2" t="n"/>
    </row>
    <row r="316" ht="15.75" customHeight="1" s="72">
      <c r="C316" s="2" t="n"/>
      <c r="D316" s="2" t="n"/>
    </row>
    <row r="317" ht="15.75" customHeight="1" s="72">
      <c r="C317" s="2" t="n"/>
      <c r="D317" s="2" t="n"/>
    </row>
    <row r="318" ht="15.75" customHeight="1" s="72">
      <c r="C318" s="2" t="n"/>
      <c r="D318" s="2" t="n"/>
    </row>
    <row r="319" ht="15.75" customHeight="1" s="72">
      <c r="C319" s="2" t="n"/>
      <c r="D319" s="2" t="n"/>
    </row>
    <row r="320" ht="15.75" customHeight="1" s="72">
      <c r="C320" s="2" t="n"/>
      <c r="D320" s="2" t="n"/>
    </row>
    <row r="321" ht="15.75" customHeight="1" s="72">
      <c r="C321" s="2" t="n"/>
      <c r="D321" s="2" t="n"/>
    </row>
    <row r="322" ht="15.75" customHeight="1" s="72">
      <c r="C322" s="2" t="n"/>
      <c r="D322" s="2" t="n"/>
    </row>
    <row r="323" ht="15.75" customHeight="1" s="72">
      <c r="C323" s="2" t="n"/>
      <c r="D323" s="2" t="n"/>
    </row>
    <row r="324" ht="15.75" customHeight="1" s="72">
      <c r="C324" s="2" t="n"/>
      <c r="D324" s="2" t="n"/>
    </row>
    <row r="325" ht="15.75" customHeight="1" s="72">
      <c r="C325" s="2" t="n"/>
      <c r="D325" s="2" t="n"/>
    </row>
    <row r="326" ht="15.75" customHeight="1" s="72">
      <c r="C326" s="2" t="n"/>
      <c r="D326" s="2" t="n"/>
    </row>
    <row r="327" ht="15.75" customHeight="1" s="72">
      <c r="C327" s="2" t="n"/>
      <c r="D327" s="2" t="n"/>
    </row>
    <row r="328" ht="15.75" customHeight="1" s="72">
      <c r="C328" s="2" t="n"/>
      <c r="D328" s="2" t="n"/>
    </row>
    <row r="329" ht="15.75" customHeight="1" s="72">
      <c r="C329" s="2" t="n"/>
      <c r="D329" s="2" t="n"/>
    </row>
    <row r="330" ht="15.75" customHeight="1" s="72">
      <c r="C330" s="2" t="n"/>
      <c r="D330" s="2" t="n"/>
    </row>
    <row r="331" ht="15.75" customHeight="1" s="72">
      <c r="C331" s="2" t="n"/>
      <c r="D331" s="2" t="n"/>
    </row>
    <row r="332" ht="15.75" customHeight="1" s="72">
      <c r="C332" s="2" t="n"/>
      <c r="D332" s="2" t="n"/>
    </row>
    <row r="333" ht="15.75" customHeight="1" s="72">
      <c r="C333" s="2" t="n"/>
      <c r="D333" s="2" t="n"/>
    </row>
    <row r="334" ht="15.75" customHeight="1" s="72">
      <c r="C334" s="2" t="n"/>
      <c r="D334" s="2" t="n"/>
    </row>
    <row r="335" ht="15.75" customHeight="1" s="72">
      <c r="C335" s="2" t="n"/>
      <c r="D335" s="2" t="n"/>
    </row>
    <row r="336" ht="15.75" customHeight="1" s="72">
      <c r="C336" s="2" t="n"/>
      <c r="D336" s="2" t="n"/>
    </row>
    <row r="337" ht="15.75" customHeight="1" s="72">
      <c r="C337" s="2" t="n"/>
      <c r="D337" s="2" t="n"/>
    </row>
    <row r="338" ht="15.75" customHeight="1" s="72">
      <c r="C338" s="2" t="n"/>
      <c r="D338" s="2" t="n"/>
    </row>
    <row r="339" ht="15.75" customHeight="1" s="72">
      <c r="C339" s="2" t="n"/>
      <c r="D339" s="2" t="n"/>
    </row>
    <row r="340" ht="15.75" customHeight="1" s="72">
      <c r="C340" s="2" t="n"/>
      <c r="D340" s="2" t="n"/>
    </row>
    <row r="341" ht="15.75" customHeight="1" s="72">
      <c r="C341" s="2" t="n"/>
      <c r="D341" s="2" t="n"/>
    </row>
    <row r="342" ht="15.75" customHeight="1" s="72">
      <c r="C342" s="2" t="n"/>
      <c r="D342" s="2" t="n"/>
    </row>
    <row r="343" ht="15.75" customHeight="1" s="72">
      <c r="C343" s="2" t="n"/>
      <c r="D343" s="2" t="n"/>
    </row>
    <row r="344" ht="15.75" customHeight="1" s="72">
      <c r="C344" s="2" t="n"/>
      <c r="D344" s="2" t="n"/>
    </row>
    <row r="345" ht="15.75" customHeight="1" s="72">
      <c r="C345" s="2" t="n"/>
      <c r="D345" s="2" t="n"/>
    </row>
    <row r="346" ht="15.75" customHeight="1" s="72">
      <c r="C346" s="2" t="n"/>
      <c r="D346" s="2" t="n"/>
    </row>
    <row r="347" ht="15.75" customHeight="1" s="72">
      <c r="C347" s="2" t="n"/>
      <c r="D347" s="2" t="n"/>
    </row>
    <row r="348" ht="15.75" customHeight="1" s="72">
      <c r="C348" s="2" t="n"/>
      <c r="D348" s="2" t="n"/>
    </row>
    <row r="349" ht="15.75" customHeight="1" s="72">
      <c r="C349" s="2" t="n"/>
      <c r="D349" s="2" t="n"/>
    </row>
    <row r="350" ht="15.75" customHeight="1" s="72">
      <c r="C350" s="2" t="n"/>
      <c r="D350" s="2" t="n"/>
    </row>
    <row r="351" ht="15.75" customHeight="1" s="72">
      <c r="C351" s="2" t="n"/>
      <c r="D351" s="2" t="n"/>
    </row>
    <row r="352" ht="15.75" customHeight="1" s="72">
      <c r="C352" s="2" t="n"/>
      <c r="D352" s="2" t="n"/>
    </row>
    <row r="353" ht="15.75" customHeight="1" s="72">
      <c r="C353" s="2" t="n"/>
      <c r="D353" s="2" t="n"/>
    </row>
    <row r="354" ht="15.75" customHeight="1" s="72">
      <c r="C354" s="2" t="n"/>
      <c r="D354" s="2" t="n"/>
    </row>
    <row r="355" ht="15.75" customHeight="1" s="72">
      <c r="C355" s="2" t="n"/>
      <c r="D355" s="2" t="n"/>
    </row>
    <row r="356" ht="15.75" customHeight="1" s="72">
      <c r="C356" s="2" t="n"/>
      <c r="D356" s="2" t="n"/>
    </row>
    <row r="357" ht="15.75" customHeight="1" s="72">
      <c r="C357" s="2" t="n"/>
      <c r="D357" s="2" t="n"/>
    </row>
    <row r="358" ht="15.75" customHeight="1" s="72">
      <c r="C358" s="2" t="n"/>
      <c r="D358" s="2" t="n"/>
    </row>
    <row r="359" ht="15.75" customHeight="1" s="72">
      <c r="C359" s="2" t="n"/>
      <c r="D359" s="2" t="n"/>
    </row>
    <row r="360" ht="15.75" customHeight="1" s="72">
      <c r="C360" s="2" t="n"/>
      <c r="D360" s="2" t="n"/>
    </row>
    <row r="361" ht="15.75" customHeight="1" s="72">
      <c r="C361" s="2" t="n"/>
      <c r="D361" s="2" t="n"/>
    </row>
    <row r="362" ht="15.75" customHeight="1" s="72">
      <c r="C362" s="2" t="n"/>
      <c r="D362" s="2" t="n"/>
    </row>
    <row r="363" ht="15.75" customHeight="1" s="72">
      <c r="C363" s="2" t="n"/>
      <c r="D363" s="2" t="n"/>
    </row>
    <row r="364" ht="15.75" customHeight="1" s="72">
      <c r="C364" s="2" t="n"/>
      <c r="D364" s="2" t="n"/>
    </row>
    <row r="365" ht="15.75" customHeight="1" s="72">
      <c r="C365" s="2" t="n"/>
      <c r="D365" s="2" t="n"/>
    </row>
    <row r="366" ht="15.75" customHeight="1" s="72">
      <c r="C366" s="2" t="n"/>
      <c r="D366" s="2" t="n"/>
    </row>
    <row r="367" ht="15.75" customHeight="1" s="72">
      <c r="C367" s="2" t="n"/>
      <c r="D367" s="2" t="n"/>
    </row>
    <row r="368" ht="15.75" customHeight="1" s="72">
      <c r="C368" s="2" t="n"/>
      <c r="D368" s="2" t="n"/>
    </row>
    <row r="369" ht="15.75" customHeight="1" s="72">
      <c r="C369" s="2" t="n"/>
      <c r="D369" s="2" t="n"/>
    </row>
    <row r="370" ht="15.75" customHeight="1" s="72">
      <c r="C370" s="2" t="n"/>
      <c r="D370" s="2" t="n"/>
    </row>
    <row r="371" ht="15.75" customHeight="1" s="72">
      <c r="C371" s="2" t="n"/>
      <c r="D371" s="2" t="n"/>
    </row>
    <row r="372" ht="15.75" customHeight="1" s="72">
      <c r="C372" s="2" t="n"/>
      <c r="D372" s="2" t="n"/>
    </row>
    <row r="373" ht="15.75" customHeight="1" s="72">
      <c r="C373" s="2" t="n"/>
      <c r="D373" s="2" t="n"/>
    </row>
    <row r="374" ht="15.75" customHeight="1" s="72">
      <c r="C374" s="2" t="n"/>
      <c r="D374" s="2" t="n"/>
    </row>
    <row r="375" ht="15.75" customHeight="1" s="72">
      <c r="C375" s="2" t="n"/>
      <c r="D375" s="2" t="n"/>
    </row>
    <row r="376" ht="15.75" customHeight="1" s="72">
      <c r="C376" s="2" t="n"/>
      <c r="D376" s="2" t="n"/>
    </row>
    <row r="377" ht="15.75" customHeight="1" s="72">
      <c r="C377" s="2" t="n"/>
      <c r="D377" s="2" t="n"/>
    </row>
    <row r="378" ht="15.75" customHeight="1" s="72">
      <c r="C378" s="2" t="n"/>
      <c r="D378" s="2" t="n"/>
    </row>
    <row r="379" ht="15.75" customHeight="1" s="72">
      <c r="C379" s="2" t="n"/>
      <c r="D379" s="2" t="n"/>
    </row>
    <row r="380" ht="15.75" customHeight="1" s="72">
      <c r="C380" s="2" t="n"/>
      <c r="D380" s="2" t="n"/>
    </row>
    <row r="381" ht="15.75" customHeight="1" s="72">
      <c r="C381" s="2" t="n"/>
      <c r="D381" s="2" t="n"/>
    </row>
    <row r="382" ht="15.75" customHeight="1" s="72">
      <c r="C382" s="2" t="n"/>
      <c r="D382" s="2" t="n"/>
    </row>
    <row r="383" ht="15.75" customHeight="1" s="72">
      <c r="C383" s="2" t="n"/>
      <c r="D383" s="2" t="n"/>
    </row>
    <row r="384" ht="15.75" customHeight="1" s="72">
      <c r="C384" s="2" t="n"/>
      <c r="D384" s="2" t="n"/>
    </row>
    <row r="385" ht="15.75" customHeight="1" s="72">
      <c r="C385" s="2" t="n"/>
      <c r="D385" s="2" t="n"/>
    </row>
    <row r="386" ht="15.75" customHeight="1" s="72">
      <c r="C386" s="2" t="n"/>
      <c r="D386" s="2" t="n"/>
    </row>
    <row r="387" ht="15.75" customHeight="1" s="72">
      <c r="C387" s="2" t="n"/>
      <c r="D387" s="2" t="n"/>
    </row>
    <row r="388" ht="15.75" customHeight="1" s="72">
      <c r="C388" s="2" t="n"/>
      <c r="D388" s="2" t="n"/>
    </row>
    <row r="389" ht="15.75" customHeight="1" s="72">
      <c r="C389" s="2" t="n"/>
      <c r="D389" s="2" t="n"/>
    </row>
    <row r="390" ht="15.75" customHeight="1" s="72">
      <c r="C390" s="2" t="n"/>
      <c r="D390" s="2" t="n"/>
    </row>
    <row r="391" ht="15.75" customHeight="1" s="72">
      <c r="C391" s="2" t="n"/>
      <c r="D391" s="2" t="n"/>
    </row>
    <row r="392" ht="15.75" customHeight="1" s="72">
      <c r="C392" s="2" t="n"/>
      <c r="D392" s="2" t="n"/>
    </row>
    <row r="393" ht="15.75" customHeight="1" s="72">
      <c r="C393" s="2" t="n"/>
      <c r="D393" s="2" t="n"/>
    </row>
    <row r="394" ht="15.75" customHeight="1" s="72">
      <c r="C394" s="2" t="n"/>
      <c r="D394" s="2" t="n"/>
    </row>
    <row r="395" ht="15.75" customHeight="1" s="72">
      <c r="C395" s="2" t="n"/>
      <c r="D395" s="2" t="n"/>
    </row>
    <row r="396" ht="15.75" customHeight="1" s="72">
      <c r="C396" s="2" t="n"/>
      <c r="D396" s="2" t="n"/>
    </row>
    <row r="397" ht="15.75" customHeight="1" s="72">
      <c r="C397" s="2" t="n"/>
      <c r="D397" s="2" t="n"/>
    </row>
    <row r="398" ht="15.75" customHeight="1" s="72">
      <c r="C398" s="2" t="n"/>
      <c r="D398" s="2" t="n"/>
    </row>
    <row r="399" ht="15.75" customHeight="1" s="72">
      <c r="C399" s="2" t="n"/>
      <c r="D399" s="2" t="n"/>
    </row>
    <row r="400" ht="15.75" customHeight="1" s="72">
      <c r="C400" s="2" t="n"/>
      <c r="D400" s="2" t="n"/>
    </row>
    <row r="401" ht="15.75" customHeight="1" s="72">
      <c r="C401" s="2" t="n"/>
      <c r="D401" s="2" t="n"/>
    </row>
    <row r="402" ht="15.75" customHeight="1" s="72">
      <c r="C402" s="2" t="n"/>
      <c r="D402" s="2" t="n"/>
    </row>
    <row r="403" ht="15.75" customHeight="1" s="72">
      <c r="C403" s="2" t="n"/>
      <c r="D403" s="2" t="n"/>
    </row>
    <row r="404" ht="15.75" customHeight="1" s="72">
      <c r="C404" s="2" t="n"/>
      <c r="D404" s="2" t="n"/>
    </row>
    <row r="405" ht="15.75" customHeight="1" s="72">
      <c r="C405" s="2" t="n"/>
      <c r="D405" s="2" t="n"/>
    </row>
    <row r="406" ht="15.75" customHeight="1" s="72">
      <c r="C406" s="2" t="n"/>
      <c r="D406" s="2" t="n"/>
    </row>
    <row r="407" ht="15.75" customHeight="1" s="72">
      <c r="C407" s="2" t="n"/>
      <c r="D407" s="2" t="n"/>
    </row>
    <row r="408" ht="15.75" customHeight="1" s="72">
      <c r="C408" s="2" t="n"/>
      <c r="D408" s="2" t="n"/>
    </row>
    <row r="409" ht="15.75" customHeight="1" s="72">
      <c r="C409" s="2" t="n"/>
      <c r="D409" s="2" t="n"/>
    </row>
    <row r="410" ht="15.75" customHeight="1" s="72">
      <c r="C410" s="2" t="n"/>
      <c r="D410" s="2" t="n"/>
    </row>
    <row r="411" ht="15.75" customHeight="1" s="72">
      <c r="C411" s="2" t="n"/>
      <c r="D411" s="2" t="n"/>
    </row>
    <row r="412" ht="15.75" customHeight="1" s="72">
      <c r="C412" s="2" t="n"/>
      <c r="D412" s="2" t="n"/>
    </row>
    <row r="413" ht="15.75" customHeight="1" s="72">
      <c r="C413" s="2" t="n"/>
      <c r="D413" s="2" t="n"/>
    </row>
    <row r="414" ht="15.75" customHeight="1" s="72">
      <c r="C414" s="2" t="n"/>
      <c r="D414" s="2" t="n"/>
    </row>
    <row r="415" ht="15.75" customHeight="1" s="72">
      <c r="C415" s="2" t="n"/>
      <c r="D415" s="2" t="n"/>
    </row>
    <row r="416" ht="15.75" customHeight="1" s="72">
      <c r="C416" s="2" t="n"/>
      <c r="D416" s="2" t="n"/>
    </row>
    <row r="417" ht="15.75" customHeight="1" s="72">
      <c r="C417" s="2" t="n"/>
      <c r="D417" s="2" t="n"/>
    </row>
    <row r="418" ht="15.75" customHeight="1" s="72">
      <c r="C418" s="2" t="n"/>
      <c r="D418" s="2" t="n"/>
    </row>
    <row r="419" ht="15.75" customHeight="1" s="72">
      <c r="C419" s="2" t="n"/>
      <c r="D419" s="2" t="n"/>
    </row>
    <row r="420" ht="15.75" customHeight="1" s="72">
      <c r="C420" s="2" t="n"/>
      <c r="D420" s="2" t="n"/>
    </row>
    <row r="421" ht="15.75" customHeight="1" s="72">
      <c r="C421" s="2" t="n"/>
      <c r="D421" s="2" t="n"/>
    </row>
    <row r="422" ht="15.75" customHeight="1" s="72">
      <c r="C422" s="2" t="n"/>
      <c r="D422" s="2" t="n"/>
    </row>
    <row r="423" ht="15.75" customHeight="1" s="72">
      <c r="C423" s="2" t="n"/>
      <c r="D423" s="2" t="n"/>
    </row>
    <row r="424" ht="15.75" customHeight="1" s="72">
      <c r="C424" s="2" t="n"/>
      <c r="D424" s="2" t="n"/>
    </row>
    <row r="425" ht="15.75" customHeight="1" s="72">
      <c r="C425" s="2" t="n"/>
      <c r="D425" s="2" t="n"/>
    </row>
    <row r="426" ht="15.75" customHeight="1" s="72">
      <c r="C426" s="2" t="n"/>
      <c r="D426" s="2" t="n"/>
    </row>
    <row r="427" ht="15.75" customHeight="1" s="72">
      <c r="C427" s="2" t="n"/>
      <c r="D427" s="2" t="n"/>
    </row>
    <row r="428" ht="15.75" customHeight="1" s="72">
      <c r="C428" s="2" t="n"/>
      <c r="D428" s="2" t="n"/>
    </row>
    <row r="429" ht="15.75" customHeight="1" s="72">
      <c r="C429" s="2" t="n"/>
      <c r="D429" s="2" t="n"/>
    </row>
    <row r="430" ht="15.75" customHeight="1" s="72">
      <c r="C430" s="2" t="n"/>
      <c r="D430" s="2" t="n"/>
    </row>
    <row r="431" ht="15.75" customHeight="1" s="72">
      <c r="C431" s="2" t="n"/>
      <c r="D431" s="2" t="n"/>
    </row>
    <row r="432" ht="15.75" customHeight="1" s="72">
      <c r="C432" s="2" t="n"/>
      <c r="D432" s="2" t="n"/>
    </row>
    <row r="433" ht="15.75" customHeight="1" s="72">
      <c r="C433" s="2" t="n"/>
      <c r="D433" s="2" t="n"/>
    </row>
    <row r="434" ht="15.75" customHeight="1" s="72">
      <c r="C434" s="2" t="n"/>
      <c r="D434" s="2" t="n"/>
    </row>
    <row r="435" ht="15.75" customHeight="1" s="72">
      <c r="C435" s="2" t="n"/>
      <c r="D435" s="2" t="n"/>
    </row>
    <row r="436" ht="15.75" customHeight="1" s="72">
      <c r="C436" s="2" t="n"/>
      <c r="D436" s="2" t="n"/>
    </row>
    <row r="437" ht="15.75" customHeight="1" s="72">
      <c r="C437" s="2" t="n"/>
      <c r="D437" s="2" t="n"/>
    </row>
    <row r="438" ht="15.75" customHeight="1" s="72">
      <c r="C438" s="2" t="n"/>
      <c r="D438" s="2" t="n"/>
    </row>
    <row r="439" ht="15.75" customHeight="1" s="72">
      <c r="C439" s="2" t="n"/>
      <c r="D439" s="2" t="n"/>
    </row>
    <row r="440" ht="15.75" customHeight="1" s="72">
      <c r="C440" s="2" t="n"/>
      <c r="D440" s="2" t="n"/>
    </row>
    <row r="441" ht="15.75" customHeight="1" s="72">
      <c r="C441" s="2" t="n"/>
      <c r="D441" s="2" t="n"/>
    </row>
    <row r="442" ht="15.75" customHeight="1" s="72">
      <c r="C442" s="2" t="n"/>
      <c r="D442" s="2" t="n"/>
    </row>
    <row r="443" ht="15.75" customHeight="1" s="72">
      <c r="C443" s="2" t="n"/>
      <c r="D443" s="2" t="n"/>
    </row>
    <row r="444" ht="15.75" customHeight="1" s="72">
      <c r="C444" s="2" t="n"/>
      <c r="D444" s="2" t="n"/>
    </row>
    <row r="445" ht="15.75" customHeight="1" s="72">
      <c r="C445" s="2" t="n"/>
      <c r="D445" s="2" t="n"/>
    </row>
    <row r="446" ht="15.75" customHeight="1" s="72">
      <c r="C446" s="2" t="n"/>
      <c r="D446" s="2" t="n"/>
    </row>
    <row r="447" ht="15.75" customHeight="1" s="72">
      <c r="C447" s="2" t="n"/>
      <c r="D447" s="2" t="n"/>
    </row>
    <row r="448" ht="15.75" customHeight="1" s="72">
      <c r="C448" s="2" t="n"/>
      <c r="D448" s="2" t="n"/>
    </row>
    <row r="449" ht="15.75" customHeight="1" s="72">
      <c r="C449" s="2" t="n"/>
      <c r="D449" s="2" t="n"/>
    </row>
    <row r="450" ht="15.75" customHeight="1" s="72">
      <c r="C450" s="2" t="n"/>
      <c r="D450" s="2" t="n"/>
    </row>
    <row r="451" ht="15.75" customHeight="1" s="72">
      <c r="C451" s="2" t="n"/>
      <c r="D451" s="2" t="n"/>
    </row>
    <row r="452" ht="15.75" customHeight="1" s="72">
      <c r="C452" s="2" t="n"/>
      <c r="D452" s="2" t="n"/>
    </row>
    <row r="453" ht="15.75" customHeight="1" s="72">
      <c r="C453" s="2" t="n"/>
      <c r="D453" s="2" t="n"/>
    </row>
    <row r="454" ht="15.75" customHeight="1" s="72">
      <c r="C454" s="2" t="n"/>
      <c r="D454" s="2" t="n"/>
    </row>
    <row r="455" ht="15.75" customHeight="1" s="72">
      <c r="C455" s="2" t="n"/>
      <c r="D455" s="2" t="n"/>
    </row>
    <row r="456" ht="15.75" customHeight="1" s="72">
      <c r="C456" s="2" t="n"/>
      <c r="D456" s="2" t="n"/>
    </row>
    <row r="457" ht="15.75" customHeight="1" s="72">
      <c r="C457" s="2" t="n"/>
      <c r="D457" s="2" t="n"/>
    </row>
    <row r="458" ht="15.75" customHeight="1" s="72">
      <c r="C458" s="2" t="n"/>
      <c r="D458" s="2" t="n"/>
    </row>
    <row r="459" ht="15.75" customHeight="1" s="72">
      <c r="C459" s="2" t="n"/>
      <c r="D459" s="2" t="n"/>
    </row>
    <row r="460" ht="15.75" customHeight="1" s="72">
      <c r="C460" s="2" t="n"/>
      <c r="D460" s="2" t="n"/>
    </row>
    <row r="461" ht="15.75" customHeight="1" s="72">
      <c r="C461" s="2" t="n"/>
      <c r="D461" s="2" t="n"/>
    </row>
    <row r="462" ht="15.75" customHeight="1" s="72">
      <c r="C462" s="2" t="n"/>
      <c r="D462" s="2" t="n"/>
    </row>
    <row r="463" ht="15.75" customHeight="1" s="72">
      <c r="C463" s="2" t="n"/>
      <c r="D463" s="2" t="n"/>
    </row>
    <row r="464" ht="15.75" customHeight="1" s="72">
      <c r="C464" s="2" t="n"/>
      <c r="D464" s="2" t="n"/>
    </row>
    <row r="465" ht="15.75" customHeight="1" s="72">
      <c r="C465" s="2" t="n"/>
      <c r="D465" s="2" t="n"/>
    </row>
    <row r="466" ht="15.75" customHeight="1" s="72">
      <c r="C466" s="2" t="n"/>
      <c r="D466" s="2" t="n"/>
    </row>
    <row r="467" ht="15.75" customHeight="1" s="72">
      <c r="C467" s="2" t="n"/>
      <c r="D467" s="2" t="n"/>
    </row>
    <row r="468" ht="15.75" customHeight="1" s="72">
      <c r="C468" s="2" t="n"/>
      <c r="D468" s="2" t="n"/>
    </row>
    <row r="469" ht="15.75" customHeight="1" s="72">
      <c r="C469" s="2" t="n"/>
      <c r="D469" s="2" t="n"/>
    </row>
    <row r="470" ht="15.75" customHeight="1" s="72">
      <c r="C470" s="2" t="n"/>
      <c r="D470" s="2" t="n"/>
    </row>
    <row r="471" ht="15.75" customHeight="1" s="72">
      <c r="C471" s="2" t="n"/>
      <c r="D471" s="2" t="n"/>
    </row>
    <row r="472" ht="15.75" customHeight="1" s="72">
      <c r="C472" s="2" t="n"/>
      <c r="D472" s="2" t="n"/>
    </row>
    <row r="473" ht="15.75" customHeight="1" s="72">
      <c r="C473" s="2" t="n"/>
      <c r="D473" s="2" t="n"/>
    </row>
    <row r="474" ht="15.75" customHeight="1" s="72">
      <c r="C474" s="2" t="n"/>
      <c r="D474" s="2" t="n"/>
    </row>
    <row r="475" ht="15.75" customHeight="1" s="72">
      <c r="C475" s="2" t="n"/>
      <c r="D475" s="2" t="n"/>
    </row>
    <row r="476" ht="15.75" customHeight="1" s="72">
      <c r="C476" s="2" t="n"/>
      <c r="D476" s="2" t="n"/>
    </row>
    <row r="477" ht="15.75" customHeight="1" s="72">
      <c r="C477" s="2" t="n"/>
      <c r="D477" s="2" t="n"/>
    </row>
    <row r="478" ht="15.75" customHeight="1" s="72">
      <c r="C478" s="2" t="n"/>
      <c r="D478" s="2" t="n"/>
    </row>
    <row r="479" ht="15.75" customHeight="1" s="72">
      <c r="C479" s="2" t="n"/>
      <c r="D479" s="2" t="n"/>
    </row>
    <row r="480" ht="15.75" customHeight="1" s="72">
      <c r="C480" s="2" t="n"/>
      <c r="D480" s="2" t="n"/>
    </row>
    <row r="481" ht="15.75" customHeight="1" s="72">
      <c r="C481" s="2" t="n"/>
      <c r="D481" s="2" t="n"/>
    </row>
    <row r="482" ht="15.75" customHeight="1" s="72">
      <c r="C482" s="2" t="n"/>
      <c r="D482" s="2" t="n"/>
    </row>
    <row r="483" ht="15.75" customHeight="1" s="72">
      <c r="C483" s="2" t="n"/>
      <c r="D483" s="2" t="n"/>
    </row>
    <row r="484" ht="15.75" customHeight="1" s="72">
      <c r="C484" s="2" t="n"/>
      <c r="D484" s="2" t="n"/>
    </row>
    <row r="485" ht="15.75" customHeight="1" s="72">
      <c r="C485" s="2" t="n"/>
      <c r="D485" s="2" t="n"/>
    </row>
    <row r="486" ht="15.75" customHeight="1" s="72">
      <c r="C486" s="2" t="n"/>
      <c r="D486" s="2" t="n"/>
    </row>
    <row r="487" ht="15.75" customHeight="1" s="72">
      <c r="C487" s="2" t="n"/>
      <c r="D487" s="2" t="n"/>
    </row>
    <row r="488" ht="15.75" customHeight="1" s="72">
      <c r="C488" s="2" t="n"/>
      <c r="D488" s="2" t="n"/>
    </row>
    <row r="489" ht="15.75" customHeight="1" s="72">
      <c r="C489" s="2" t="n"/>
      <c r="D489" s="2" t="n"/>
    </row>
    <row r="490" ht="15.75" customHeight="1" s="72">
      <c r="C490" s="2" t="n"/>
      <c r="D490" s="2" t="n"/>
    </row>
    <row r="491" ht="15.75" customHeight="1" s="72">
      <c r="C491" s="2" t="n"/>
      <c r="D491" s="2" t="n"/>
    </row>
    <row r="492" ht="15.75" customHeight="1" s="72">
      <c r="C492" s="2" t="n"/>
      <c r="D492" s="2" t="n"/>
    </row>
    <row r="493" ht="15.75" customHeight="1" s="72">
      <c r="C493" s="2" t="n"/>
      <c r="D493" s="2" t="n"/>
    </row>
    <row r="494" ht="15.75" customHeight="1" s="72">
      <c r="C494" s="2" t="n"/>
      <c r="D494" s="2" t="n"/>
    </row>
    <row r="495" ht="15.75" customHeight="1" s="72">
      <c r="C495" s="2" t="n"/>
      <c r="D495" s="2" t="n"/>
    </row>
    <row r="496" ht="15.75" customHeight="1" s="72">
      <c r="C496" s="2" t="n"/>
      <c r="D496" s="2" t="n"/>
    </row>
    <row r="497" ht="15.75" customHeight="1" s="72">
      <c r="C497" s="2" t="n"/>
      <c r="D497" s="2" t="n"/>
    </row>
    <row r="498" ht="15.75" customHeight="1" s="72">
      <c r="C498" s="2" t="n"/>
      <c r="D498" s="2" t="n"/>
    </row>
    <row r="499" ht="15.75" customHeight="1" s="72">
      <c r="C499" s="2" t="n"/>
      <c r="D499" s="2" t="n"/>
    </row>
    <row r="500" ht="15.75" customHeight="1" s="72">
      <c r="C500" s="2" t="n"/>
      <c r="D500" s="2" t="n"/>
    </row>
    <row r="501" ht="15.75" customHeight="1" s="72">
      <c r="C501" s="2" t="n"/>
      <c r="D501" s="2" t="n"/>
    </row>
    <row r="502" ht="15.75" customHeight="1" s="72">
      <c r="C502" s="2" t="n"/>
      <c r="D502" s="2" t="n"/>
    </row>
    <row r="503" ht="15.75" customHeight="1" s="72">
      <c r="C503" s="2" t="n"/>
      <c r="D503" s="2" t="n"/>
    </row>
    <row r="504" ht="15.75" customHeight="1" s="72">
      <c r="C504" s="2" t="n"/>
      <c r="D504" s="2" t="n"/>
    </row>
    <row r="505" ht="15.75" customHeight="1" s="72">
      <c r="C505" s="2" t="n"/>
      <c r="D505" s="2" t="n"/>
    </row>
    <row r="506" ht="15.75" customHeight="1" s="72">
      <c r="C506" s="2" t="n"/>
      <c r="D506" s="2" t="n"/>
    </row>
    <row r="507" ht="15.75" customHeight="1" s="72">
      <c r="C507" s="2" t="n"/>
      <c r="D507" s="2" t="n"/>
    </row>
    <row r="508" ht="15.75" customHeight="1" s="72">
      <c r="C508" s="2" t="n"/>
      <c r="D508" s="2" t="n"/>
    </row>
    <row r="509" ht="15.75" customHeight="1" s="72">
      <c r="C509" s="2" t="n"/>
      <c r="D509" s="2" t="n"/>
    </row>
    <row r="510" ht="15.75" customHeight="1" s="72">
      <c r="C510" s="2" t="n"/>
      <c r="D510" s="2" t="n"/>
    </row>
    <row r="511" ht="15.75" customHeight="1" s="72">
      <c r="C511" s="2" t="n"/>
      <c r="D511" s="2" t="n"/>
    </row>
    <row r="512" ht="15.75" customHeight="1" s="72">
      <c r="C512" s="2" t="n"/>
      <c r="D512" s="2" t="n"/>
    </row>
    <row r="513" ht="15.75" customHeight="1" s="72">
      <c r="C513" s="2" t="n"/>
      <c r="D513" s="2" t="n"/>
    </row>
    <row r="514" ht="15.75" customHeight="1" s="72">
      <c r="C514" s="2" t="n"/>
      <c r="D514" s="2" t="n"/>
    </row>
    <row r="515" ht="15.75" customHeight="1" s="72">
      <c r="C515" s="2" t="n"/>
      <c r="D515" s="2" t="n"/>
    </row>
    <row r="516" ht="15.75" customHeight="1" s="72">
      <c r="C516" s="2" t="n"/>
      <c r="D516" s="2" t="n"/>
    </row>
    <row r="517" ht="15.75" customHeight="1" s="72">
      <c r="C517" s="2" t="n"/>
      <c r="D517" s="2" t="n"/>
    </row>
    <row r="518" ht="15.75" customHeight="1" s="72">
      <c r="C518" s="2" t="n"/>
      <c r="D518" s="2" t="n"/>
    </row>
    <row r="519" ht="15.75" customHeight="1" s="72">
      <c r="C519" s="2" t="n"/>
      <c r="D519" s="2" t="n"/>
    </row>
    <row r="520" ht="15.75" customHeight="1" s="72">
      <c r="C520" s="2" t="n"/>
      <c r="D520" s="2" t="n"/>
    </row>
    <row r="521" ht="15.75" customHeight="1" s="72">
      <c r="C521" s="2" t="n"/>
      <c r="D521" s="2" t="n"/>
    </row>
    <row r="522" ht="15.75" customHeight="1" s="72">
      <c r="C522" s="2" t="n"/>
      <c r="D522" s="2" t="n"/>
    </row>
    <row r="523" ht="15.75" customHeight="1" s="72">
      <c r="C523" s="2" t="n"/>
      <c r="D523" s="2" t="n"/>
    </row>
    <row r="524" ht="15.75" customHeight="1" s="72">
      <c r="C524" s="2" t="n"/>
      <c r="D524" s="2" t="n"/>
    </row>
    <row r="525" ht="15.75" customHeight="1" s="72">
      <c r="C525" s="2" t="n"/>
      <c r="D525" s="2" t="n"/>
    </row>
    <row r="526" ht="15.75" customHeight="1" s="72">
      <c r="C526" s="2" t="n"/>
      <c r="D526" s="2" t="n"/>
    </row>
    <row r="527" ht="15.75" customHeight="1" s="72">
      <c r="C527" s="2" t="n"/>
      <c r="D527" s="2" t="n"/>
    </row>
    <row r="528" ht="15.75" customHeight="1" s="72">
      <c r="C528" s="2" t="n"/>
      <c r="D528" s="2" t="n"/>
    </row>
    <row r="529" ht="15.75" customHeight="1" s="72">
      <c r="C529" s="2" t="n"/>
      <c r="D529" s="2" t="n"/>
    </row>
    <row r="530" ht="15.75" customHeight="1" s="72">
      <c r="C530" s="2" t="n"/>
      <c r="D530" s="2" t="n"/>
    </row>
    <row r="531" ht="15.75" customHeight="1" s="72">
      <c r="C531" s="2" t="n"/>
      <c r="D531" s="2" t="n"/>
    </row>
    <row r="532" ht="15.75" customHeight="1" s="72">
      <c r="C532" s="2" t="n"/>
      <c r="D532" s="2" t="n"/>
    </row>
    <row r="533" ht="15.75" customHeight="1" s="72">
      <c r="C533" s="2" t="n"/>
      <c r="D533" s="2" t="n"/>
    </row>
    <row r="534" ht="15.75" customHeight="1" s="72">
      <c r="C534" s="2" t="n"/>
      <c r="D534" s="2" t="n"/>
    </row>
    <row r="535" ht="15.75" customHeight="1" s="72">
      <c r="C535" s="2" t="n"/>
      <c r="D535" s="2" t="n"/>
    </row>
    <row r="536" ht="15.75" customHeight="1" s="72">
      <c r="C536" s="2" t="n"/>
      <c r="D536" s="2" t="n"/>
    </row>
    <row r="537" ht="15.75" customHeight="1" s="72">
      <c r="C537" s="2" t="n"/>
      <c r="D537" s="2" t="n"/>
    </row>
    <row r="538" ht="15.75" customHeight="1" s="72">
      <c r="C538" s="2" t="n"/>
      <c r="D538" s="2" t="n"/>
    </row>
    <row r="539" ht="15.75" customHeight="1" s="72">
      <c r="C539" s="2" t="n"/>
      <c r="D539" s="2" t="n"/>
    </row>
    <row r="540" ht="15.75" customHeight="1" s="72">
      <c r="C540" s="2" t="n"/>
      <c r="D540" s="2" t="n"/>
    </row>
    <row r="541" ht="15.75" customHeight="1" s="72">
      <c r="C541" s="2" t="n"/>
      <c r="D541" s="2" t="n"/>
    </row>
    <row r="542" ht="15.75" customHeight="1" s="72">
      <c r="C542" s="2" t="n"/>
      <c r="D542" s="2" t="n"/>
    </row>
    <row r="543" ht="15.75" customHeight="1" s="72">
      <c r="C543" s="2" t="n"/>
      <c r="D543" s="2" t="n"/>
    </row>
    <row r="544" ht="15.75" customHeight="1" s="72">
      <c r="C544" s="2" t="n"/>
      <c r="D544" s="2" t="n"/>
    </row>
    <row r="545" ht="15.75" customHeight="1" s="72">
      <c r="C545" s="2" t="n"/>
      <c r="D545" s="2" t="n"/>
    </row>
    <row r="546" ht="15.75" customHeight="1" s="72">
      <c r="C546" s="2" t="n"/>
      <c r="D546" s="2" t="n"/>
    </row>
    <row r="547" ht="15.75" customHeight="1" s="72">
      <c r="C547" s="2" t="n"/>
      <c r="D547" s="2" t="n"/>
    </row>
    <row r="548" ht="15.75" customHeight="1" s="72">
      <c r="C548" s="2" t="n"/>
      <c r="D548" s="2" t="n"/>
    </row>
    <row r="549" ht="15.75" customHeight="1" s="72">
      <c r="C549" s="2" t="n"/>
      <c r="D549" s="2" t="n"/>
    </row>
    <row r="550" ht="15.75" customHeight="1" s="72">
      <c r="C550" s="2" t="n"/>
      <c r="D550" s="2" t="n"/>
    </row>
    <row r="551" ht="15.75" customHeight="1" s="72">
      <c r="C551" s="2" t="n"/>
      <c r="D551" s="2" t="n"/>
    </row>
    <row r="552" ht="15.75" customHeight="1" s="72">
      <c r="C552" s="2" t="n"/>
      <c r="D552" s="2" t="n"/>
    </row>
    <row r="553" ht="15.75" customHeight="1" s="72">
      <c r="C553" s="2" t="n"/>
      <c r="D553" s="2" t="n"/>
    </row>
    <row r="554" ht="15.75" customHeight="1" s="72">
      <c r="C554" s="2" t="n"/>
      <c r="D554" s="2" t="n"/>
    </row>
    <row r="555" ht="15.75" customHeight="1" s="72">
      <c r="C555" s="2" t="n"/>
      <c r="D555" s="2" t="n"/>
    </row>
    <row r="556" ht="15.75" customHeight="1" s="72">
      <c r="C556" s="2" t="n"/>
      <c r="D556" s="2" t="n"/>
    </row>
    <row r="557" ht="15.75" customHeight="1" s="72">
      <c r="C557" s="2" t="n"/>
      <c r="D557" s="2" t="n"/>
    </row>
    <row r="558" ht="15.75" customHeight="1" s="72">
      <c r="C558" s="2" t="n"/>
      <c r="D558" s="2" t="n"/>
    </row>
    <row r="559" ht="15.75" customHeight="1" s="72">
      <c r="C559" s="2" t="n"/>
      <c r="D559" s="2" t="n"/>
    </row>
    <row r="560" ht="15.75" customHeight="1" s="72">
      <c r="C560" s="2" t="n"/>
      <c r="D560" s="2" t="n"/>
    </row>
    <row r="561" ht="15.75" customHeight="1" s="72">
      <c r="C561" s="2" t="n"/>
      <c r="D561" s="2" t="n"/>
    </row>
    <row r="562" ht="15.75" customHeight="1" s="72">
      <c r="C562" s="2" t="n"/>
      <c r="D562" s="2" t="n"/>
    </row>
    <row r="563" ht="15.75" customHeight="1" s="72">
      <c r="C563" s="2" t="n"/>
      <c r="D563" s="2" t="n"/>
    </row>
    <row r="564" ht="15.75" customHeight="1" s="72">
      <c r="C564" s="2" t="n"/>
      <c r="D564" s="2" t="n"/>
    </row>
    <row r="565" ht="15.75" customHeight="1" s="72">
      <c r="C565" s="2" t="n"/>
      <c r="D565" s="2" t="n"/>
    </row>
    <row r="566" ht="15.75" customHeight="1" s="72">
      <c r="C566" s="2" t="n"/>
      <c r="D566" s="2" t="n"/>
    </row>
    <row r="567" ht="15.75" customHeight="1" s="72">
      <c r="C567" s="2" t="n"/>
      <c r="D567" s="2" t="n"/>
    </row>
    <row r="568" ht="15.75" customHeight="1" s="72">
      <c r="C568" s="2" t="n"/>
      <c r="D568" s="2" t="n"/>
    </row>
    <row r="569" ht="15.75" customHeight="1" s="72">
      <c r="C569" s="2" t="n"/>
      <c r="D569" s="2" t="n"/>
    </row>
    <row r="570" ht="15.75" customHeight="1" s="72">
      <c r="C570" s="2" t="n"/>
      <c r="D570" s="2" t="n"/>
    </row>
    <row r="571" ht="15.75" customHeight="1" s="72">
      <c r="C571" s="2" t="n"/>
      <c r="D571" s="2" t="n"/>
    </row>
    <row r="572" ht="15.75" customHeight="1" s="72">
      <c r="C572" s="2" t="n"/>
      <c r="D572" s="2" t="n"/>
    </row>
    <row r="573" ht="15.75" customHeight="1" s="72">
      <c r="C573" s="2" t="n"/>
      <c r="D573" s="2" t="n"/>
    </row>
    <row r="574" ht="15.75" customHeight="1" s="72">
      <c r="C574" s="2" t="n"/>
      <c r="D574" s="2" t="n"/>
    </row>
    <row r="575" ht="15.75" customHeight="1" s="72">
      <c r="C575" s="2" t="n"/>
      <c r="D575" s="2" t="n"/>
    </row>
    <row r="576" ht="15.75" customHeight="1" s="72">
      <c r="C576" s="2" t="n"/>
      <c r="D576" s="2" t="n"/>
    </row>
    <row r="577" ht="15.75" customHeight="1" s="72">
      <c r="C577" s="2" t="n"/>
      <c r="D577" s="2" t="n"/>
    </row>
    <row r="578" ht="15.75" customHeight="1" s="72">
      <c r="C578" s="2" t="n"/>
      <c r="D578" s="2" t="n"/>
    </row>
    <row r="579" ht="15.75" customHeight="1" s="72">
      <c r="C579" s="2" t="n"/>
      <c r="D579" s="2" t="n"/>
    </row>
    <row r="580" ht="15.75" customHeight="1" s="72">
      <c r="C580" s="2" t="n"/>
      <c r="D580" s="2" t="n"/>
    </row>
    <row r="581" ht="15.75" customHeight="1" s="72">
      <c r="C581" s="2" t="n"/>
      <c r="D581" s="2" t="n"/>
    </row>
    <row r="582" ht="15.75" customHeight="1" s="72">
      <c r="C582" s="2" t="n"/>
      <c r="D582" s="2" t="n"/>
    </row>
    <row r="583" ht="15.75" customHeight="1" s="72">
      <c r="C583" s="2" t="n"/>
      <c r="D583" s="2" t="n"/>
    </row>
    <row r="584" ht="15.75" customHeight="1" s="72">
      <c r="C584" s="2" t="n"/>
      <c r="D584" s="2" t="n"/>
    </row>
    <row r="585" ht="15.75" customHeight="1" s="72">
      <c r="C585" s="2" t="n"/>
      <c r="D585" s="2" t="n"/>
    </row>
    <row r="586" ht="15.75" customHeight="1" s="72">
      <c r="C586" s="2" t="n"/>
      <c r="D586" s="2" t="n"/>
    </row>
    <row r="587" ht="15.75" customHeight="1" s="72">
      <c r="C587" s="2" t="n"/>
      <c r="D587" s="2" t="n"/>
    </row>
    <row r="588" ht="15.75" customHeight="1" s="72">
      <c r="C588" s="2" t="n"/>
      <c r="D588" s="2" t="n"/>
    </row>
    <row r="589" ht="15.75" customHeight="1" s="72">
      <c r="C589" s="2" t="n"/>
      <c r="D589" s="2" t="n"/>
    </row>
    <row r="590" ht="15.75" customHeight="1" s="72">
      <c r="C590" s="2" t="n"/>
      <c r="D590" s="2" t="n"/>
    </row>
    <row r="591" ht="15.75" customHeight="1" s="72">
      <c r="C591" s="2" t="n"/>
      <c r="D591" s="2" t="n"/>
    </row>
    <row r="592" ht="15.75" customHeight="1" s="72">
      <c r="C592" s="2" t="n"/>
      <c r="D592" s="2" t="n"/>
    </row>
    <row r="593" ht="15.75" customHeight="1" s="72">
      <c r="C593" s="2" t="n"/>
      <c r="D593" s="2" t="n"/>
    </row>
    <row r="594" ht="15.75" customHeight="1" s="72">
      <c r="C594" s="2" t="n"/>
      <c r="D594" s="2" t="n"/>
    </row>
    <row r="595" ht="15.75" customHeight="1" s="72">
      <c r="C595" s="2" t="n"/>
      <c r="D595" s="2" t="n"/>
    </row>
    <row r="596" ht="15.75" customHeight="1" s="72">
      <c r="C596" s="2" t="n"/>
      <c r="D596" s="2" t="n"/>
    </row>
    <row r="597" ht="15.75" customHeight="1" s="72">
      <c r="C597" s="2" t="n"/>
      <c r="D597" s="2" t="n"/>
    </row>
    <row r="598" ht="15.75" customHeight="1" s="72">
      <c r="C598" s="2" t="n"/>
      <c r="D598" s="2" t="n"/>
    </row>
    <row r="599" ht="15.75" customHeight="1" s="72">
      <c r="C599" s="2" t="n"/>
      <c r="D599" s="2" t="n"/>
    </row>
    <row r="600" ht="15.75" customHeight="1" s="72">
      <c r="C600" s="2" t="n"/>
      <c r="D600" s="2" t="n"/>
    </row>
    <row r="601" ht="15.75" customHeight="1" s="72">
      <c r="C601" s="2" t="n"/>
      <c r="D601" s="2" t="n"/>
    </row>
    <row r="602" ht="15.75" customHeight="1" s="72">
      <c r="C602" s="2" t="n"/>
      <c r="D602" s="2" t="n"/>
    </row>
    <row r="603" ht="15.75" customHeight="1" s="72">
      <c r="C603" s="2" t="n"/>
      <c r="D603" s="2" t="n"/>
    </row>
    <row r="604" ht="15.75" customHeight="1" s="72">
      <c r="C604" s="2" t="n"/>
      <c r="D604" s="2" t="n"/>
    </row>
    <row r="605" ht="15.75" customHeight="1" s="72">
      <c r="C605" s="2" t="n"/>
      <c r="D605" s="2" t="n"/>
    </row>
    <row r="606" ht="15.75" customHeight="1" s="72">
      <c r="C606" s="2" t="n"/>
      <c r="D606" s="2" t="n"/>
    </row>
    <row r="607" ht="15.75" customHeight="1" s="72">
      <c r="C607" s="2" t="n"/>
      <c r="D607" s="2" t="n"/>
    </row>
    <row r="608" ht="15.75" customHeight="1" s="72">
      <c r="C608" s="2" t="n"/>
      <c r="D608" s="2" t="n"/>
    </row>
    <row r="609" ht="15.75" customHeight="1" s="72">
      <c r="C609" s="2" t="n"/>
      <c r="D609" s="2" t="n"/>
    </row>
    <row r="610" ht="15.75" customHeight="1" s="72">
      <c r="C610" s="2" t="n"/>
      <c r="D610" s="2" t="n"/>
    </row>
    <row r="611" ht="15.75" customHeight="1" s="72">
      <c r="C611" s="2" t="n"/>
      <c r="D611" s="2" t="n"/>
    </row>
    <row r="612" ht="15.75" customHeight="1" s="72">
      <c r="C612" s="2" t="n"/>
      <c r="D612" s="2" t="n"/>
    </row>
    <row r="613" ht="15.75" customHeight="1" s="72">
      <c r="C613" s="2" t="n"/>
      <c r="D613" s="2" t="n"/>
    </row>
    <row r="614" ht="15.75" customHeight="1" s="72">
      <c r="C614" s="2" t="n"/>
      <c r="D614" s="2" t="n"/>
    </row>
    <row r="615" ht="15.75" customHeight="1" s="72">
      <c r="C615" s="2" t="n"/>
      <c r="D615" s="2" t="n"/>
    </row>
    <row r="616" ht="15.75" customHeight="1" s="72">
      <c r="C616" s="2" t="n"/>
      <c r="D616" s="2" t="n"/>
    </row>
    <row r="617" ht="15.75" customHeight="1" s="72">
      <c r="C617" s="2" t="n"/>
      <c r="D617" s="2" t="n"/>
    </row>
    <row r="618" ht="15.75" customHeight="1" s="72">
      <c r="C618" s="2" t="n"/>
      <c r="D618" s="2" t="n"/>
    </row>
    <row r="619" ht="15.75" customHeight="1" s="72">
      <c r="C619" s="2" t="n"/>
      <c r="D619" s="2" t="n"/>
    </row>
    <row r="620" ht="15.75" customHeight="1" s="72">
      <c r="C620" s="2" t="n"/>
      <c r="D620" s="2" t="n"/>
    </row>
    <row r="621" ht="15.75" customHeight="1" s="72">
      <c r="C621" s="2" t="n"/>
      <c r="D621" s="2" t="n"/>
    </row>
    <row r="622" ht="15.75" customHeight="1" s="72">
      <c r="C622" s="2" t="n"/>
      <c r="D622" s="2" t="n"/>
    </row>
    <row r="623" ht="15.75" customHeight="1" s="72">
      <c r="C623" s="2" t="n"/>
      <c r="D623" s="2" t="n"/>
    </row>
    <row r="624" ht="15.75" customHeight="1" s="72">
      <c r="C624" s="2" t="n"/>
      <c r="D624" s="2" t="n"/>
    </row>
    <row r="625" ht="15.75" customHeight="1" s="72">
      <c r="C625" s="2" t="n"/>
      <c r="D625" s="2" t="n"/>
    </row>
    <row r="626" ht="15.75" customHeight="1" s="72">
      <c r="C626" s="2" t="n"/>
      <c r="D626" s="2" t="n"/>
    </row>
    <row r="627" ht="15.75" customHeight="1" s="72">
      <c r="C627" s="2" t="n"/>
      <c r="D627" s="2" t="n"/>
    </row>
    <row r="628" ht="15.75" customHeight="1" s="72">
      <c r="C628" s="2" t="n"/>
      <c r="D628" s="2" t="n"/>
    </row>
    <row r="629" ht="15.75" customHeight="1" s="72">
      <c r="C629" s="2" t="n"/>
      <c r="D629" s="2" t="n"/>
    </row>
    <row r="630" ht="15.75" customHeight="1" s="72">
      <c r="C630" s="2" t="n"/>
      <c r="D630" s="2" t="n"/>
    </row>
    <row r="631" ht="15.75" customHeight="1" s="72">
      <c r="C631" s="2" t="n"/>
      <c r="D631" s="2" t="n"/>
    </row>
    <row r="632" ht="15.75" customHeight="1" s="72">
      <c r="C632" s="2" t="n"/>
      <c r="D632" s="2" t="n"/>
    </row>
    <row r="633" ht="15.75" customHeight="1" s="72">
      <c r="C633" s="2" t="n"/>
      <c r="D633" s="2" t="n"/>
    </row>
    <row r="634" ht="15.75" customHeight="1" s="72">
      <c r="C634" s="2" t="n"/>
      <c r="D634" s="2" t="n"/>
    </row>
    <row r="635" ht="15.75" customHeight="1" s="72">
      <c r="C635" s="2" t="n"/>
      <c r="D635" s="2" t="n"/>
    </row>
    <row r="636" ht="15.75" customHeight="1" s="72">
      <c r="C636" s="2" t="n"/>
      <c r="D636" s="2" t="n"/>
    </row>
    <row r="637" ht="15.75" customHeight="1" s="72">
      <c r="C637" s="2" t="n"/>
      <c r="D637" s="2" t="n"/>
    </row>
    <row r="638" ht="15.75" customHeight="1" s="72">
      <c r="C638" s="2" t="n"/>
      <c r="D638" s="2" t="n"/>
    </row>
    <row r="639" ht="15.75" customHeight="1" s="72">
      <c r="C639" s="2" t="n"/>
      <c r="D639" s="2" t="n"/>
    </row>
    <row r="640" ht="15.75" customHeight="1" s="72">
      <c r="C640" s="2" t="n"/>
      <c r="D640" s="2" t="n"/>
    </row>
    <row r="641" ht="15.75" customHeight="1" s="72">
      <c r="C641" s="2" t="n"/>
      <c r="D641" s="2" t="n"/>
    </row>
    <row r="642" ht="15.75" customHeight="1" s="72">
      <c r="C642" s="2" t="n"/>
      <c r="D642" s="2" t="n"/>
    </row>
    <row r="643" ht="15.75" customHeight="1" s="72">
      <c r="C643" s="2" t="n"/>
      <c r="D643" s="2" t="n"/>
    </row>
    <row r="644" ht="15.75" customHeight="1" s="72">
      <c r="C644" s="2" t="n"/>
      <c r="D644" s="2" t="n"/>
    </row>
    <row r="645" ht="15.75" customHeight="1" s="72">
      <c r="C645" s="2" t="n"/>
      <c r="D645" s="2" t="n"/>
    </row>
    <row r="646" ht="15.75" customHeight="1" s="72">
      <c r="C646" s="2" t="n"/>
      <c r="D646" s="2" t="n"/>
    </row>
    <row r="647" ht="15.75" customHeight="1" s="72">
      <c r="C647" s="2" t="n"/>
      <c r="D647" s="2" t="n"/>
    </row>
    <row r="648" ht="15.75" customHeight="1" s="72">
      <c r="C648" s="2" t="n"/>
      <c r="D648" s="2" t="n"/>
    </row>
    <row r="649" ht="15.75" customHeight="1" s="72">
      <c r="C649" s="2" t="n"/>
      <c r="D649" s="2" t="n"/>
    </row>
    <row r="650" ht="15.75" customHeight="1" s="72">
      <c r="C650" s="2" t="n"/>
      <c r="D650" s="2" t="n"/>
    </row>
    <row r="651" ht="15.75" customHeight="1" s="72">
      <c r="C651" s="2" t="n"/>
      <c r="D651" s="2" t="n"/>
    </row>
    <row r="652" ht="15.75" customHeight="1" s="72">
      <c r="C652" s="2" t="n"/>
      <c r="D652" s="2" t="n"/>
    </row>
    <row r="653" ht="15.75" customHeight="1" s="72">
      <c r="C653" s="2" t="n"/>
      <c r="D653" s="2" t="n"/>
    </row>
    <row r="654" ht="15.75" customHeight="1" s="72">
      <c r="C654" s="2" t="n"/>
      <c r="D654" s="2" t="n"/>
    </row>
    <row r="655" ht="15.75" customHeight="1" s="72">
      <c r="C655" s="2" t="n"/>
      <c r="D655" s="2" t="n"/>
    </row>
    <row r="656" ht="15.75" customHeight="1" s="72">
      <c r="C656" s="2" t="n"/>
      <c r="D656" s="2" t="n"/>
    </row>
    <row r="657" ht="15.75" customHeight="1" s="72">
      <c r="C657" s="2" t="n"/>
      <c r="D657" s="2" t="n"/>
    </row>
    <row r="658" ht="15.75" customHeight="1" s="72">
      <c r="C658" s="2" t="n"/>
      <c r="D658" s="2" t="n"/>
    </row>
    <row r="659" ht="15.75" customHeight="1" s="72">
      <c r="C659" s="2" t="n"/>
      <c r="D659" s="2" t="n"/>
    </row>
    <row r="660" ht="15.75" customHeight="1" s="72">
      <c r="C660" s="2" t="n"/>
      <c r="D660" s="2" t="n"/>
    </row>
    <row r="661" ht="15.75" customHeight="1" s="72">
      <c r="C661" s="2" t="n"/>
      <c r="D661" s="2" t="n"/>
    </row>
    <row r="662" ht="15.75" customHeight="1" s="72">
      <c r="C662" s="2" t="n"/>
      <c r="D662" s="2" t="n"/>
    </row>
    <row r="663" ht="15.75" customHeight="1" s="72">
      <c r="C663" s="2" t="n"/>
      <c r="D663" s="2" t="n"/>
    </row>
    <row r="664" ht="15.75" customHeight="1" s="72">
      <c r="C664" s="2" t="n"/>
      <c r="D664" s="2" t="n"/>
    </row>
    <row r="665" ht="15.75" customHeight="1" s="72">
      <c r="C665" s="2" t="n"/>
      <c r="D665" s="2" t="n"/>
    </row>
    <row r="666" ht="15.75" customHeight="1" s="72">
      <c r="C666" s="2" t="n"/>
      <c r="D666" s="2" t="n"/>
    </row>
    <row r="667" ht="15.75" customHeight="1" s="72">
      <c r="C667" s="2" t="n"/>
      <c r="D667" s="2" t="n"/>
    </row>
    <row r="668" ht="15.75" customHeight="1" s="72">
      <c r="C668" s="2" t="n"/>
      <c r="D668" s="2" t="n"/>
    </row>
    <row r="669" ht="15.75" customHeight="1" s="72">
      <c r="C669" s="2" t="n"/>
      <c r="D669" s="2" t="n"/>
    </row>
    <row r="670" ht="15.75" customHeight="1" s="72">
      <c r="C670" s="2" t="n"/>
      <c r="D670" s="2" t="n"/>
    </row>
    <row r="671" ht="15.75" customHeight="1" s="72">
      <c r="C671" s="2" t="n"/>
      <c r="D671" s="2" t="n"/>
    </row>
    <row r="672" ht="15.75" customHeight="1" s="72">
      <c r="C672" s="2" t="n"/>
      <c r="D672" s="2" t="n"/>
    </row>
    <row r="673" ht="15.75" customHeight="1" s="72">
      <c r="C673" s="2" t="n"/>
      <c r="D673" s="2" t="n"/>
    </row>
    <row r="674" ht="15.75" customHeight="1" s="72">
      <c r="C674" s="2" t="n"/>
      <c r="D674" s="2" t="n"/>
    </row>
    <row r="675" ht="15.75" customHeight="1" s="72">
      <c r="C675" s="2" t="n"/>
      <c r="D675" s="2" t="n"/>
    </row>
    <row r="676" ht="15.75" customHeight="1" s="72">
      <c r="C676" s="2" t="n"/>
      <c r="D676" s="2" t="n"/>
    </row>
    <row r="677" ht="15.75" customHeight="1" s="72">
      <c r="C677" s="2" t="n"/>
      <c r="D677" s="2" t="n"/>
    </row>
    <row r="678" ht="15.75" customHeight="1" s="72">
      <c r="C678" s="2" t="n"/>
      <c r="D678" s="2" t="n"/>
    </row>
    <row r="679" ht="15.75" customHeight="1" s="72">
      <c r="C679" s="2" t="n"/>
      <c r="D679" s="2" t="n"/>
    </row>
    <row r="680" ht="15.75" customHeight="1" s="72">
      <c r="C680" s="2" t="n"/>
      <c r="D680" s="2" t="n"/>
    </row>
    <row r="681" ht="15.75" customHeight="1" s="72">
      <c r="C681" s="2" t="n"/>
      <c r="D681" s="2" t="n"/>
    </row>
    <row r="682" ht="15.75" customHeight="1" s="72">
      <c r="C682" s="2" t="n"/>
      <c r="D682" s="2" t="n"/>
    </row>
    <row r="683" ht="15.75" customHeight="1" s="72">
      <c r="C683" s="2" t="n"/>
      <c r="D683" s="2" t="n"/>
    </row>
    <row r="684" ht="15.75" customHeight="1" s="72">
      <c r="C684" s="2" t="n"/>
      <c r="D684" s="2" t="n"/>
    </row>
    <row r="685" ht="15.75" customHeight="1" s="72">
      <c r="C685" s="2" t="n"/>
      <c r="D685" s="2" t="n"/>
    </row>
    <row r="686" ht="15.75" customHeight="1" s="72">
      <c r="C686" s="2" t="n"/>
      <c r="D686" s="2" t="n"/>
    </row>
    <row r="687" ht="15.75" customHeight="1" s="72">
      <c r="C687" s="2" t="n"/>
      <c r="D687" s="2" t="n"/>
    </row>
    <row r="688" ht="15.75" customHeight="1" s="72">
      <c r="C688" s="2" t="n"/>
      <c r="D688" s="2" t="n"/>
    </row>
    <row r="689" ht="15.75" customHeight="1" s="72">
      <c r="C689" s="2" t="n"/>
      <c r="D689" s="2" t="n"/>
    </row>
    <row r="690" ht="15.75" customHeight="1" s="72">
      <c r="C690" s="2" t="n"/>
      <c r="D690" s="2" t="n"/>
    </row>
    <row r="691" ht="15.75" customHeight="1" s="72">
      <c r="C691" s="2" t="n"/>
      <c r="D691" s="2" t="n"/>
    </row>
    <row r="692" ht="15.75" customHeight="1" s="72">
      <c r="C692" s="2" t="n"/>
      <c r="D692" s="2" t="n"/>
    </row>
    <row r="693" ht="15.75" customHeight="1" s="72">
      <c r="C693" s="2" t="n"/>
      <c r="D693" s="2" t="n"/>
    </row>
    <row r="694" ht="15.75" customHeight="1" s="72">
      <c r="C694" s="2" t="n"/>
      <c r="D694" s="2" t="n"/>
    </row>
    <row r="695" ht="15.75" customHeight="1" s="72">
      <c r="C695" s="2" t="n"/>
      <c r="D695" s="2" t="n"/>
    </row>
    <row r="696" ht="15.75" customHeight="1" s="72">
      <c r="C696" s="2" t="n"/>
      <c r="D696" s="2" t="n"/>
    </row>
    <row r="697" ht="15.75" customHeight="1" s="72">
      <c r="C697" s="2" t="n"/>
      <c r="D697" s="2" t="n"/>
    </row>
    <row r="698" ht="15.75" customHeight="1" s="72">
      <c r="C698" s="2" t="n"/>
      <c r="D698" s="2" t="n"/>
    </row>
    <row r="699" ht="15.75" customHeight="1" s="72">
      <c r="C699" s="2" t="n"/>
      <c r="D699" s="2" t="n"/>
    </row>
    <row r="700" ht="15.75" customHeight="1" s="72">
      <c r="C700" s="2" t="n"/>
      <c r="D700" s="2" t="n"/>
    </row>
    <row r="701" ht="15.75" customHeight="1" s="72">
      <c r="C701" s="2" t="n"/>
      <c r="D701" s="2" t="n"/>
    </row>
    <row r="702" ht="15.75" customHeight="1" s="72">
      <c r="C702" s="2" t="n"/>
      <c r="D702" s="2" t="n"/>
    </row>
    <row r="703" ht="15.75" customHeight="1" s="72">
      <c r="C703" s="2" t="n"/>
      <c r="D703" s="2" t="n"/>
    </row>
    <row r="704" ht="15.75" customHeight="1" s="72">
      <c r="C704" s="2" t="n"/>
      <c r="D704" s="2" t="n"/>
    </row>
    <row r="705" ht="15.75" customHeight="1" s="72">
      <c r="C705" s="2" t="n"/>
      <c r="D705" s="2" t="n"/>
    </row>
    <row r="706" ht="15.75" customHeight="1" s="72">
      <c r="C706" s="2" t="n"/>
      <c r="D706" s="2" t="n"/>
    </row>
    <row r="707" ht="15.75" customHeight="1" s="72">
      <c r="C707" s="2" t="n"/>
      <c r="D707" s="2" t="n"/>
    </row>
    <row r="708" ht="15.75" customHeight="1" s="72">
      <c r="C708" s="2" t="n"/>
      <c r="D708" s="2" t="n"/>
    </row>
    <row r="709" ht="15.75" customHeight="1" s="72">
      <c r="C709" s="2" t="n"/>
      <c r="D709" s="2" t="n"/>
    </row>
    <row r="710" ht="15.75" customHeight="1" s="72">
      <c r="C710" s="2" t="n"/>
      <c r="D710" s="2" t="n"/>
    </row>
    <row r="711" ht="15.75" customHeight="1" s="72">
      <c r="C711" s="2" t="n"/>
      <c r="D711" s="2" t="n"/>
    </row>
    <row r="712" ht="15.75" customHeight="1" s="72">
      <c r="C712" s="2" t="n"/>
      <c r="D712" s="2" t="n"/>
    </row>
    <row r="713" ht="15.75" customHeight="1" s="72">
      <c r="C713" s="2" t="n"/>
      <c r="D713" s="2" t="n"/>
    </row>
    <row r="714" ht="15.75" customHeight="1" s="72">
      <c r="C714" s="2" t="n"/>
      <c r="D714" s="2" t="n"/>
    </row>
    <row r="715" ht="15.75" customHeight="1" s="72">
      <c r="C715" s="2" t="n"/>
      <c r="D715" s="2" t="n"/>
    </row>
    <row r="716" ht="15.75" customHeight="1" s="72">
      <c r="C716" s="2" t="n"/>
      <c r="D716" s="2" t="n"/>
    </row>
    <row r="717" ht="15.75" customHeight="1" s="72">
      <c r="C717" s="2" t="n"/>
      <c r="D717" s="2" t="n"/>
    </row>
    <row r="718" ht="15.75" customHeight="1" s="72">
      <c r="C718" s="2" t="n"/>
      <c r="D718" s="2" t="n"/>
    </row>
    <row r="719" ht="15.75" customHeight="1" s="72">
      <c r="C719" s="2" t="n"/>
      <c r="D719" s="2" t="n"/>
    </row>
    <row r="720" ht="15.75" customHeight="1" s="72">
      <c r="C720" s="2" t="n"/>
      <c r="D720" s="2" t="n"/>
    </row>
    <row r="721" ht="15.75" customHeight="1" s="72">
      <c r="C721" s="2" t="n"/>
      <c r="D721" s="2" t="n"/>
    </row>
    <row r="722" ht="15.75" customHeight="1" s="72">
      <c r="C722" s="2" t="n"/>
      <c r="D722" s="2" t="n"/>
    </row>
    <row r="723" ht="15.75" customHeight="1" s="72">
      <c r="C723" s="2" t="n"/>
      <c r="D723" s="2" t="n"/>
    </row>
    <row r="724" ht="15.75" customHeight="1" s="72">
      <c r="C724" s="2" t="n"/>
      <c r="D724" s="2" t="n"/>
    </row>
    <row r="725" ht="15.75" customHeight="1" s="72">
      <c r="C725" s="2" t="n"/>
      <c r="D725" s="2" t="n"/>
    </row>
    <row r="726" ht="15.75" customHeight="1" s="72">
      <c r="C726" s="2" t="n"/>
      <c r="D726" s="2" t="n"/>
    </row>
    <row r="727" ht="15.75" customHeight="1" s="72">
      <c r="C727" s="2" t="n"/>
      <c r="D727" s="2" t="n"/>
    </row>
    <row r="728" ht="15.75" customHeight="1" s="72">
      <c r="C728" s="2" t="n"/>
      <c r="D728" s="2" t="n"/>
    </row>
    <row r="729" ht="15.75" customHeight="1" s="72">
      <c r="C729" s="2" t="n"/>
      <c r="D729" s="2" t="n"/>
    </row>
    <row r="730" ht="15.75" customHeight="1" s="72">
      <c r="C730" s="2" t="n"/>
      <c r="D730" s="2" t="n"/>
    </row>
    <row r="731" ht="15.75" customHeight="1" s="72">
      <c r="C731" s="2" t="n"/>
      <c r="D731" s="2" t="n"/>
    </row>
    <row r="732" ht="15.75" customHeight="1" s="72">
      <c r="C732" s="2" t="n"/>
      <c r="D732" s="2" t="n"/>
    </row>
    <row r="733" ht="15.75" customHeight="1" s="72">
      <c r="C733" s="2" t="n"/>
      <c r="D733" s="2" t="n"/>
    </row>
    <row r="734" ht="15.75" customHeight="1" s="72">
      <c r="C734" s="2" t="n"/>
      <c r="D734" s="2" t="n"/>
    </row>
    <row r="735" ht="15.75" customHeight="1" s="72">
      <c r="C735" s="2" t="n"/>
      <c r="D735" s="2" t="n"/>
    </row>
    <row r="736" ht="15.75" customHeight="1" s="72">
      <c r="C736" s="2" t="n"/>
      <c r="D736" s="2" t="n"/>
    </row>
    <row r="737" ht="15.75" customHeight="1" s="72">
      <c r="C737" s="2" t="n"/>
      <c r="D737" s="2" t="n"/>
    </row>
    <row r="738" ht="15.75" customHeight="1" s="72">
      <c r="C738" s="2" t="n"/>
      <c r="D738" s="2" t="n"/>
    </row>
    <row r="739" ht="15.75" customHeight="1" s="72">
      <c r="C739" s="2" t="n"/>
      <c r="D739" s="2" t="n"/>
    </row>
    <row r="740" ht="15.75" customHeight="1" s="72">
      <c r="C740" s="2" t="n"/>
      <c r="D740" s="2" t="n"/>
    </row>
    <row r="741" ht="15.75" customHeight="1" s="72">
      <c r="C741" s="2" t="n"/>
      <c r="D741" s="2" t="n"/>
    </row>
    <row r="742" ht="15.75" customHeight="1" s="72">
      <c r="C742" s="2" t="n"/>
      <c r="D742" s="2" t="n"/>
    </row>
    <row r="743" ht="15.75" customHeight="1" s="72">
      <c r="C743" s="2" t="n"/>
      <c r="D743" s="2" t="n"/>
    </row>
    <row r="744" ht="15.75" customHeight="1" s="72">
      <c r="C744" s="2" t="n"/>
      <c r="D744" s="2" t="n"/>
    </row>
    <row r="745" ht="15.75" customHeight="1" s="72">
      <c r="C745" s="2" t="n"/>
      <c r="D745" s="2" t="n"/>
    </row>
    <row r="746" ht="15.75" customHeight="1" s="72">
      <c r="C746" s="2" t="n"/>
      <c r="D746" s="2" t="n"/>
    </row>
    <row r="747" ht="15.75" customHeight="1" s="72">
      <c r="C747" s="2" t="n"/>
      <c r="D747" s="2" t="n"/>
    </row>
    <row r="748" ht="15.75" customHeight="1" s="72">
      <c r="C748" s="2" t="n"/>
      <c r="D748" s="2" t="n"/>
    </row>
    <row r="749" ht="15.75" customHeight="1" s="72">
      <c r="C749" s="2" t="n"/>
      <c r="D749" s="2" t="n"/>
    </row>
    <row r="750" ht="15.75" customHeight="1" s="72">
      <c r="C750" s="2" t="n"/>
      <c r="D750" s="2" t="n"/>
    </row>
    <row r="751" ht="15.75" customHeight="1" s="72">
      <c r="C751" s="2" t="n"/>
      <c r="D751" s="2" t="n"/>
    </row>
    <row r="752" ht="15.75" customHeight="1" s="72">
      <c r="C752" s="2" t="n"/>
      <c r="D752" s="2" t="n"/>
    </row>
    <row r="753" ht="15.75" customHeight="1" s="72">
      <c r="C753" s="2" t="n"/>
      <c r="D753" s="2" t="n"/>
    </row>
    <row r="754" ht="15.75" customHeight="1" s="72">
      <c r="C754" s="2" t="n"/>
      <c r="D754" s="2" t="n"/>
    </row>
    <row r="755" ht="15.75" customHeight="1" s="72">
      <c r="C755" s="2" t="n"/>
      <c r="D755" s="2" t="n"/>
    </row>
    <row r="756" ht="15.75" customHeight="1" s="72">
      <c r="C756" s="2" t="n"/>
      <c r="D756" s="2" t="n"/>
    </row>
    <row r="757" ht="15.75" customHeight="1" s="72">
      <c r="C757" s="2" t="n"/>
      <c r="D757" s="2" t="n"/>
    </row>
    <row r="758" ht="15.75" customHeight="1" s="72">
      <c r="C758" s="2" t="n"/>
      <c r="D758" s="2" t="n"/>
    </row>
    <row r="759" ht="15.75" customHeight="1" s="72">
      <c r="C759" s="2" t="n"/>
      <c r="D759" s="2" t="n"/>
    </row>
    <row r="760" ht="15.75" customHeight="1" s="72">
      <c r="C760" s="2" t="n"/>
      <c r="D760" s="2" t="n"/>
    </row>
    <row r="761" ht="15.75" customHeight="1" s="72">
      <c r="C761" s="2" t="n"/>
      <c r="D761" s="2" t="n"/>
    </row>
    <row r="762" ht="15.75" customHeight="1" s="72">
      <c r="C762" s="2" t="n"/>
      <c r="D762" s="2" t="n"/>
    </row>
    <row r="763" ht="15.75" customHeight="1" s="72">
      <c r="C763" s="2" t="n"/>
      <c r="D763" s="2" t="n"/>
    </row>
    <row r="764" ht="15.75" customHeight="1" s="72">
      <c r="C764" s="2" t="n"/>
      <c r="D764" s="2" t="n"/>
    </row>
    <row r="765" ht="15.75" customHeight="1" s="72">
      <c r="C765" s="2" t="n"/>
      <c r="D765" s="2" t="n"/>
    </row>
    <row r="766" ht="15.75" customHeight="1" s="72">
      <c r="C766" s="2" t="n"/>
      <c r="D766" s="2" t="n"/>
    </row>
    <row r="767" ht="15.75" customHeight="1" s="72">
      <c r="C767" s="2" t="n"/>
      <c r="D767" s="2" t="n"/>
    </row>
    <row r="768" ht="15.75" customHeight="1" s="72">
      <c r="C768" s="2" t="n"/>
      <c r="D768" s="2" t="n"/>
    </row>
    <row r="769" ht="15.75" customHeight="1" s="72">
      <c r="C769" s="2" t="n"/>
      <c r="D769" s="2" t="n"/>
    </row>
    <row r="770" ht="15.75" customHeight="1" s="72">
      <c r="C770" s="2" t="n"/>
      <c r="D770" s="2" t="n"/>
    </row>
    <row r="771" ht="15.75" customHeight="1" s="72">
      <c r="C771" s="2" t="n"/>
      <c r="D771" s="2" t="n"/>
    </row>
    <row r="772" ht="15.75" customHeight="1" s="72">
      <c r="C772" s="2" t="n"/>
      <c r="D772" s="2" t="n"/>
    </row>
    <row r="773" ht="15.75" customHeight="1" s="72">
      <c r="C773" s="2" t="n"/>
      <c r="D773" s="2" t="n"/>
    </row>
    <row r="774" ht="15.75" customHeight="1" s="72">
      <c r="C774" s="2" t="n"/>
      <c r="D774" s="2" t="n"/>
    </row>
    <row r="775" ht="15.75" customHeight="1" s="72">
      <c r="C775" s="2" t="n"/>
      <c r="D775" s="2" t="n"/>
    </row>
    <row r="776" ht="15.75" customHeight="1" s="72">
      <c r="C776" s="2" t="n"/>
      <c r="D776" s="2" t="n"/>
    </row>
    <row r="777" ht="15.75" customHeight="1" s="72">
      <c r="C777" s="2" t="n"/>
      <c r="D777" s="2" t="n"/>
    </row>
    <row r="778" ht="15.75" customHeight="1" s="72">
      <c r="C778" s="2" t="n"/>
      <c r="D778" s="2" t="n"/>
    </row>
    <row r="779" ht="15.75" customHeight="1" s="72">
      <c r="C779" s="2" t="n"/>
      <c r="D779" s="2" t="n"/>
    </row>
    <row r="780" ht="15.75" customHeight="1" s="72">
      <c r="C780" s="2" t="n"/>
      <c r="D780" s="2" t="n"/>
    </row>
    <row r="781" ht="15.75" customHeight="1" s="72">
      <c r="C781" s="2" t="n"/>
      <c r="D781" s="2" t="n"/>
    </row>
    <row r="782" ht="15.75" customHeight="1" s="72">
      <c r="C782" s="2" t="n"/>
      <c r="D782" s="2" t="n"/>
    </row>
    <row r="783" ht="15.75" customHeight="1" s="72">
      <c r="C783" s="2" t="n"/>
      <c r="D783" s="2" t="n"/>
    </row>
    <row r="784" ht="15.75" customHeight="1" s="72">
      <c r="C784" s="2" t="n"/>
      <c r="D784" s="2" t="n"/>
    </row>
    <row r="785" ht="15.75" customHeight="1" s="72">
      <c r="C785" s="2" t="n"/>
      <c r="D785" s="2" t="n"/>
    </row>
    <row r="786" ht="15.75" customHeight="1" s="72">
      <c r="C786" s="2" t="n"/>
      <c r="D786" s="2" t="n"/>
    </row>
    <row r="787" ht="15.75" customHeight="1" s="72">
      <c r="C787" s="2" t="n"/>
      <c r="D787" s="2" t="n"/>
    </row>
    <row r="788" ht="15.75" customHeight="1" s="72">
      <c r="C788" s="2" t="n"/>
      <c r="D788" s="2" t="n"/>
    </row>
    <row r="789" ht="15.75" customHeight="1" s="72">
      <c r="C789" s="2" t="n"/>
      <c r="D789" s="2" t="n"/>
    </row>
    <row r="790" ht="15.75" customHeight="1" s="72">
      <c r="C790" s="2" t="n"/>
      <c r="D790" s="2" t="n"/>
    </row>
    <row r="791" ht="15.75" customHeight="1" s="72">
      <c r="C791" s="2" t="n"/>
      <c r="D791" s="2" t="n"/>
    </row>
    <row r="792" ht="15.75" customHeight="1" s="72">
      <c r="C792" s="2" t="n"/>
      <c r="D792" s="2" t="n"/>
    </row>
    <row r="793" ht="15.75" customHeight="1" s="72">
      <c r="C793" s="2" t="n"/>
      <c r="D793" s="2" t="n"/>
    </row>
    <row r="794" ht="15.75" customHeight="1" s="72">
      <c r="C794" s="2" t="n"/>
      <c r="D794" s="2" t="n"/>
    </row>
    <row r="795" ht="15.75" customHeight="1" s="72">
      <c r="C795" s="2" t="n"/>
      <c r="D795" s="2" t="n"/>
    </row>
    <row r="796" ht="15.75" customHeight="1" s="72">
      <c r="C796" s="2" t="n"/>
      <c r="D796" s="2" t="n"/>
    </row>
    <row r="797" ht="15.75" customHeight="1" s="72">
      <c r="C797" s="2" t="n"/>
      <c r="D797" s="2" t="n"/>
    </row>
    <row r="798" ht="15.75" customHeight="1" s="72">
      <c r="C798" s="2" t="n"/>
      <c r="D798" s="2" t="n"/>
    </row>
    <row r="799" ht="15.75" customHeight="1" s="72">
      <c r="C799" s="2" t="n"/>
      <c r="D799" s="2" t="n"/>
    </row>
    <row r="800" ht="15.75" customHeight="1" s="72">
      <c r="C800" s="2" t="n"/>
      <c r="D800" s="2" t="n"/>
    </row>
    <row r="801" ht="15.75" customHeight="1" s="72">
      <c r="C801" s="2" t="n"/>
      <c r="D801" s="2" t="n"/>
    </row>
    <row r="802" ht="15.75" customHeight="1" s="72">
      <c r="C802" s="2" t="n"/>
      <c r="D802" s="2" t="n"/>
    </row>
    <row r="803" ht="15.75" customHeight="1" s="72">
      <c r="C803" s="2" t="n"/>
      <c r="D803" s="2" t="n"/>
    </row>
    <row r="804" ht="15.75" customHeight="1" s="72">
      <c r="C804" s="2" t="n"/>
      <c r="D804" s="2" t="n"/>
    </row>
    <row r="805" ht="15.75" customHeight="1" s="72">
      <c r="C805" s="2" t="n"/>
      <c r="D805" s="2" t="n"/>
    </row>
    <row r="806" ht="15.75" customHeight="1" s="72">
      <c r="C806" s="2" t="n"/>
      <c r="D806" s="2" t="n"/>
    </row>
    <row r="807" ht="15.75" customHeight="1" s="72">
      <c r="C807" s="2" t="n"/>
      <c r="D807" s="2" t="n"/>
    </row>
    <row r="808" ht="15.75" customHeight="1" s="72">
      <c r="C808" s="2" t="n"/>
      <c r="D808" s="2" t="n"/>
    </row>
    <row r="809" ht="15.75" customHeight="1" s="72">
      <c r="C809" s="2" t="n"/>
      <c r="D809" s="2" t="n"/>
    </row>
    <row r="810" ht="15.75" customHeight="1" s="72">
      <c r="C810" s="2" t="n"/>
      <c r="D810" s="2" t="n"/>
    </row>
    <row r="811" ht="15.75" customHeight="1" s="72">
      <c r="C811" s="2" t="n"/>
      <c r="D811" s="2" t="n"/>
    </row>
    <row r="812" ht="15.75" customHeight="1" s="72">
      <c r="C812" s="2" t="n"/>
      <c r="D812" s="2" t="n"/>
    </row>
    <row r="813" ht="15.75" customHeight="1" s="72">
      <c r="C813" s="2" t="n"/>
      <c r="D813" s="2" t="n"/>
    </row>
    <row r="814" ht="15.75" customHeight="1" s="72">
      <c r="C814" s="2" t="n"/>
      <c r="D814" s="2" t="n"/>
    </row>
    <row r="815" ht="15.75" customHeight="1" s="72">
      <c r="C815" s="2" t="n"/>
      <c r="D815" s="2" t="n"/>
    </row>
    <row r="816" ht="15.75" customHeight="1" s="72">
      <c r="C816" s="2" t="n"/>
      <c r="D816" s="2" t="n"/>
    </row>
    <row r="817" ht="15.75" customHeight="1" s="72">
      <c r="C817" s="2" t="n"/>
      <c r="D817" s="2" t="n"/>
    </row>
    <row r="818" ht="15.75" customHeight="1" s="72">
      <c r="C818" s="2" t="n"/>
      <c r="D818" s="2" t="n"/>
    </row>
    <row r="819" ht="15.75" customHeight="1" s="72">
      <c r="C819" s="2" t="n"/>
      <c r="D819" s="2" t="n"/>
    </row>
    <row r="820" ht="15.75" customHeight="1" s="72">
      <c r="C820" s="2" t="n"/>
      <c r="D820" s="2" t="n"/>
    </row>
    <row r="821" ht="15.75" customHeight="1" s="72">
      <c r="C821" s="2" t="n"/>
      <c r="D821" s="2" t="n"/>
    </row>
    <row r="822" ht="15.75" customHeight="1" s="72">
      <c r="C822" s="2" t="n"/>
      <c r="D822" s="2" t="n"/>
    </row>
    <row r="823" ht="15.75" customHeight="1" s="72">
      <c r="C823" s="2" t="n"/>
      <c r="D823" s="2" t="n"/>
    </row>
    <row r="824" ht="15.75" customHeight="1" s="72">
      <c r="C824" s="2" t="n"/>
      <c r="D824" s="2" t="n"/>
    </row>
    <row r="825" ht="15.75" customHeight="1" s="72">
      <c r="C825" s="2" t="n"/>
      <c r="D825" s="2" t="n"/>
    </row>
    <row r="826" ht="15.75" customHeight="1" s="72">
      <c r="C826" s="2" t="n"/>
      <c r="D826" s="2" t="n"/>
    </row>
    <row r="827" ht="15.75" customHeight="1" s="72">
      <c r="C827" s="2" t="n"/>
      <c r="D827" s="2" t="n"/>
    </row>
    <row r="828" ht="15.75" customHeight="1" s="72">
      <c r="C828" s="2" t="n"/>
      <c r="D828" s="2" t="n"/>
    </row>
    <row r="829" ht="15.75" customHeight="1" s="72">
      <c r="C829" s="2" t="n"/>
      <c r="D829" s="2" t="n"/>
    </row>
    <row r="830" ht="15.75" customHeight="1" s="72">
      <c r="C830" s="2" t="n"/>
      <c r="D830" s="2" t="n"/>
    </row>
    <row r="831" ht="15.75" customHeight="1" s="72">
      <c r="C831" s="2" t="n"/>
      <c r="D831" s="2" t="n"/>
    </row>
    <row r="832" ht="15.75" customHeight="1" s="72">
      <c r="C832" s="2" t="n"/>
      <c r="D832" s="2" t="n"/>
    </row>
    <row r="833" ht="15.75" customHeight="1" s="72">
      <c r="C833" s="2" t="n"/>
      <c r="D833" s="2" t="n"/>
    </row>
    <row r="834" ht="15.75" customHeight="1" s="72">
      <c r="C834" s="2" t="n"/>
      <c r="D834" s="2" t="n"/>
    </row>
    <row r="835" ht="15.75" customHeight="1" s="72">
      <c r="C835" s="2" t="n"/>
      <c r="D835" s="2" t="n"/>
    </row>
    <row r="836" ht="15.75" customHeight="1" s="72">
      <c r="C836" s="2" t="n"/>
      <c r="D836" s="2" t="n"/>
    </row>
    <row r="837" ht="15.75" customHeight="1" s="72">
      <c r="C837" s="2" t="n"/>
      <c r="D837" s="2" t="n"/>
    </row>
    <row r="838" ht="15.75" customHeight="1" s="72">
      <c r="C838" s="2" t="n"/>
      <c r="D838" s="2" t="n"/>
    </row>
    <row r="839" ht="15.75" customHeight="1" s="72">
      <c r="C839" s="2" t="n"/>
      <c r="D839" s="2" t="n"/>
    </row>
    <row r="840" ht="15.75" customHeight="1" s="72">
      <c r="C840" s="2" t="n"/>
      <c r="D840" s="2" t="n"/>
    </row>
    <row r="841" ht="15.75" customHeight="1" s="72">
      <c r="C841" s="2" t="n"/>
      <c r="D841" s="2" t="n"/>
    </row>
    <row r="842" ht="15.75" customHeight="1" s="72">
      <c r="C842" s="2" t="n"/>
      <c r="D842" s="2" t="n"/>
    </row>
    <row r="843" ht="15.75" customHeight="1" s="72">
      <c r="C843" s="2" t="n"/>
      <c r="D843" s="2" t="n"/>
    </row>
    <row r="844" ht="15.75" customHeight="1" s="72">
      <c r="C844" s="2" t="n"/>
      <c r="D844" s="2" t="n"/>
    </row>
    <row r="845" ht="15.75" customHeight="1" s="72">
      <c r="C845" s="2" t="n"/>
      <c r="D845" s="2" t="n"/>
    </row>
    <row r="846" ht="15.75" customHeight="1" s="72">
      <c r="C846" s="2" t="n"/>
      <c r="D846" s="2" t="n"/>
    </row>
    <row r="847" ht="15.75" customHeight="1" s="72">
      <c r="C847" s="2" t="n"/>
      <c r="D847" s="2" t="n"/>
    </row>
    <row r="848" ht="15.75" customHeight="1" s="72">
      <c r="C848" s="2" t="n"/>
      <c r="D848" s="2" t="n"/>
    </row>
    <row r="849" ht="15.75" customHeight="1" s="72">
      <c r="C849" s="2" t="n"/>
      <c r="D849" s="2" t="n"/>
    </row>
    <row r="850" ht="15.75" customHeight="1" s="72">
      <c r="C850" s="2" t="n"/>
      <c r="D850" s="2" t="n"/>
    </row>
    <row r="851" ht="15.75" customHeight="1" s="72">
      <c r="C851" s="2" t="n"/>
      <c r="D851" s="2" t="n"/>
    </row>
    <row r="852" ht="15.75" customHeight="1" s="72">
      <c r="C852" s="2" t="n"/>
      <c r="D852" s="2" t="n"/>
    </row>
    <row r="853" ht="15.75" customHeight="1" s="72">
      <c r="C853" s="2" t="n"/>
      <c r="D853" s="2" t="n"/>
    </row>
    <row r="854" ht="15.75" customHeight="1" s="72">
      <c r="C854" s="2" t="n"/>
      <c r="D854" s="2" t="n"/>
    </row>
    <row r="855" ht="15.75" customHeight="1" s="72">
      <c r="C855" s="2" t="n"/>
      <c r="D855" s="2" t="n"/>
    </row>
    <row r="856" ht="15.75" customHeight="1" s="72">
      <c r="C856" s="2" t="n"/>
      <c r="D856" s="2" t="n"/>
    </row>
    <row r="857" ht="15.75" customHeight="1" s="72">
      <c r="C857" s="2" t="n"/>
      <c r="D857" s="2" t="n"/>
    </row>
    <row r="858" ht="15.75" customHeight="1" s="72">
      <c r="C858" s="2" t="n"/>
      <c r="D858" s="2" t="n"/>
    </row>
    <row r="859" ht="15.75" customHeight="1" s="72">
      <c r="C859" s="2" t="n"/>
      <c r="D859" s="2" t="n"/>
    </row>
    <row r="860" ht="15.75" customHeight="1" s="72">
      <c r="C860" s="2" t="n"/>
      <c r="D860" s="2" t="n"/>
    </row>
    <row r="861" ht="15.75" customHeight="1" s="72">
      <c r="C861" s="2" t="n"/>
      <c r="D861" s="2" t="n"/>
    </row>
    <row r="862" ht="15.75" customHeight="1" s="72">
      <c r="C862" s="2" t="n"/>
      <c r="D862" s="2" t="n"/>
    </row>
    <row r="863" ht="15.75" customHeight="1" s="72">
      <c r="C863" s="2" t="n"/>
      <c r="D863" s="2" t="n"/>
    </row>
    <row r="864" ht="15.75" customHeight="1" s="72">
      <c r="C864" s="2" t="n"/>
      <c r="D864" s="2" t="n"/>
    </row>
    <row r="865" ht="15.75" customHeight="1" s="72">
      <c r="C865" s="2" t="n"/>
      <c r="D865" s="2" t="n"/>
    </row>
    <row r="866" ht="15.75" customHeight="1" s="72">
      <c r="C866" s="2" t="n"/>
      <c r="D866" s="2" t="n"/>
    </row>
    <row r="867" ht="15.75" customHeight="1" s="72">
      <c r="C867" s="2" t="n"/>
      <c r="D867" s="2" t="n"/>
    </row>
    <row r="868" ht="15.75" customHeight="1" s="72">
      <c r="C868" s="2" t="n"/>
      <c r="D868" s="2" t="n"/>
    </row>
    <row r="869" ht="15.75" customHeight="1" s="72">
      <c r="C869" s="2" t="n"/>
      <c r="D869" s="2" t="n"/>
    </row>
    <row r="870" ht="15.75" customHeight="1" s="72">
      <c r="C870" s="2" t="n"/>
      <c r="D870" s="2" t="n"/>
    </row>
    <row r="871" ht="15.75" customHeight="1" s="72">
      <c r="C871" s="2" t="n"/>
      <c r="D871" s="2" t="n"/>
    </row>
    <row r="872" ht="15.75" customHeight="1" s="72">
      <c r="C872" s="2" t="n"/>
      <c r="D872" s="2" t="n"/>
    </row>
    <row r="873" ht="15.75" customHeight="1" s="72">
      <c r="C873" s="2" t="n"/>
      <c r="D873" s="2" t="n"/>
    </row>
    <row r="874" ht="15.75" customHeight="1" s="72">
      <c r="C874" s="2" t="n"/>
      <c r="D874" s="2" t="n"/>
    </row>
    <row r="875" ht="15.75" customHeight="1" s="72">
      <c r="C875" s="2" t="n"/>
      <c r="D875" s="2" t="n"/>
    </row>
    <row r="876" ht="15.75" customHeight="1" s="72">
      <c r="C876" s="2" t="n"/>
      <c r="D876" s="2" t="n"/>
    </row>
    <row r="877" ht="15.75" customHeight="1" s="72">
      <c r="C877" s="2" t="n"/>
      <c r="D877" s="2" t="n"/>
    </row>
    <row r="878" ht="15.75" customHeight="1" s="72">
      <c r="C878" s="2" t="n"/>
      <c r="D878" s="2" t="n"/>
    </row>
    <row r="879" ht="15.75" customHeight="1" s="72">
      <c r="C879" s="2" t="n"/>
      <c r="D879" s="2" t="n"/>
    </row>
    <row r="880" ht="15.75" customHeight="1" s="72">
      <c r="C880" s="2" t="n"/>
      <c r="D880" s="2" t="n"/>
    </row>
    <row r="881" ht="15.75" customHeight="1" s="72">
      <c r="C881" s="2" t="n"/>
      <c r="D881" s="2" t="n"/>
    </row>
    <row r="882" ht="15.75" customHeight="1" s="72">
      <c r="C882" s="2" t="n"/>
      <c r="D882" s="2" t="n"/>
    </row>
    <row r="883" ht="15.75" customHeight="1" s="72">
      <c r="C883" s="2" t="n"/>
      <c r="D883" s="2" t="n"/>
    </row>
    <row r="884" ht="15.75" customHeight="1" s="72">
      <c r="C884" s="2" t="n"/>
      <c r="D884" s="2" t="n"/>
    </row>
    <row r="885" ht="15.75" customHeight="1" s="72">
      <c r="C885" s="2" t="n"/>
      <c r="D885" s="2" t="n"/>
    </row>
    <row r="886" ht="15.75" customHeight="1" s="72">
      <c r="C886" s="2" t="n"/>
      <c r="D886" s="2" t="n"/>
    </row>
    <row r="887" ht="15.75" customHeight="1" s="72">
      <c r="C887" s="2" t="n"/>
      <c r="D887" s="2" t="n"/>
    </row>
    <row r="888" ht="15.75" customHeight="1" s="72">
      <c r="C888" s="2" t="n"/>
      <c r="D888" s="2" t="n"/>
    </row>
    <row r="889" ht="15.75" customHeight="1" s="72">
      <c r="C889" s="2" t="n"/>
      <c r="D889" s="2" t="n"/>
    </row>
    <row r="890" ht="15.75" customHeight="1" s="72">
      <c r="C890" s="2" t="n"/>
      <c r="D890" s="2" t="n"/>
    </row>
    <row r="891" ht="15.75" customHeight="1" s="72">
      <c r="C891" s="2" t="n"/>
      <c r="D891" s="2" t="n"/>
    </row>
    <row r="892" ht="15.75" customHeight="1" s="72">
      <c r="C892" s="2" t="n"/>
      <c r="D892" s="2" t="n"/>
    </row>
    <row r="893" ht="15.75" customHeight="1" s="72">
      <c r="C893" s="2" t="n"/>
      <c r="D893" s="2" t="n"/>
    </row>
    <row r="894" ht="15.75" customHeight="1" s="72">
      <c r="C894" s="2" t="n"/>
      <c r="D894" s="2" t="n"/>
    </row>
    <row r="895" ht="15.75" customHeight="1" s="72">
      <c r="C895" s="2" t="n"/>
      <c r="D895" s="2" t="n"/>
    </row>
    <row r="896" ht="15.75" customHeight="1" s="72">
      <c r="C896" s="2" t="n"/>
      <c r="D896" s="2" t="n"/>
    </row>
    <row r="897" ht="15.75" customHeight="1" s="72">
      <c r="C897" s="2" t="n"/>
      <c r="D897" s="2" t="n"/>
    </row>
    <row r="898" ht="15.75" customHeight="1" s="72">
      <c r="C898" s="2" t="n"/>
      <c r="D898" s="2" t="n"/>
    </row>
    <row r="899" ht="15.75" customHeight="1" s="72">
      <c r="C899" s="2" t="n"/>
      <c r="D899" s="2" t="n"/>
    </row>
    <row r="900" ht="15.75" customHeight="1" s="72">
      <c r="C900" s="2" t="n"/>
      <c r="D900" s="2" t="n"/>
    </row>
    <row r="901" ht="15.75" customHeight="1" s="72">
      <c r="C901" s="2" t="n"/>
      <c r="D901" s="2" t="n"/>
    </row>
    <row r="902" ht="15.75" customHeight="1" s="72">
      <c r="C902" s="2" t="n"/>
      <c r="D902" s="2" t="n"/>
    </row>
    <row r="903" ht="15.75" customHeight="1" s="72">
      <c r="C903" s="2" t="n"/>
      <c r="D903" s="2" t="n"/>
    </row>
    <row r="904" ht="15.75" customHeight="1" s="72">
      <c r="C904" s="2" t="n"/>
      <c r="D904" s="2" t="n"/>
    </row>
    <row r="905" ht="15.75" customHeight="1" s="72">
      <c r="C905" s="2" t="n"/>
      <c r="D905" s="2" t="n"/>
    </row>
    <row r="906" ht="15.75" customHeight="1" s="72">
      <c r="C906" s="2" t="n"/>
      <c r="D906" s="2" t="n"/>
    </row>
    <row r="907" ht="15.75" customHeight="1" s="72">
      <c r="C907" s="2" t="n"/>
      <c r="D907" s="2" t="n"/>
    </row>
    <row r="908" ht="15.75" customHeight="1" s="72">
      <c r="C908" s="2" t="n"/>
      <c r="D908" s="2" t="n"/>
    </row>
    <row r="909" ht="15.75" customHeight="1" s="72">
      <c r="C909" s="2" t="n"/>
      <c r="D909" s="2" t="n"/>
    </row>
    <row r="910" ht="15.75" customHeight="1" s="72">
      <c r="C910" s="2" t="n"/>
      <c r="D910" s="2" t="n"/>
    </row>
    <row r="911" ht="15.75" customHeight="1" s="72">
      <c r="C911" s="2" t="n"/>
      <c r="D911" s="2" t="n"/>
    </row>
    <row r="912" ht="15.75" customHeight="1" s="72">
      <c r="C912" s="2" t="n"/>
      <c r="D912" s="2" t="n"/>
    </row>
    <row r="913" ht="15.75" customHeight="1" s="72">
      <c r="C913" s="2" t="n"/>
      <c r="D913" s="2" t="n"/>
    </row>
    <row r="914" ht="15.75" customHeight="1" s="72">
      <c r="C914" s="2" t="n"/>
      <c r="D914" s="2" t="n"/>
    </row>
    <row r="915" ht="15.75" customHeight="1" s="72">
      <c r="C915" s="2" t="n"/>
      <c r="D915" s="2" t="n"/>
    </row>
    <row r="916" ht="15.75" customHeight="1" s="72">
      <c r="C916" s="2" t="n"/>
      <c r="D916" s="2" t="n"/>
    </row>
    <row r="917" ht="15.75" customHeight="1" s="72">
      <c r="C917" s="2" t="n"/>
      <c r="D917" s="2" t="n"/>
    </row>
    <row r="918" ht="15.75" customHeight="1" s="72">
      <c r="C918" s="2" t="n"/>
      <c r="D918" s="2" t="n"/>
    </row>
    <row r="919" ht="15.75" customHeight="1" s="72">
      <c r="C919" s="2" t="n"/>
      <c r="D919" s="2" t="n"/>
    </row>
    <row r="920" ht="15.75" customHeight="1" s="72">
      <c r="C920" s="2" t="n"/>
      <c r="D920" s="2" t="n"/>
    </row>
    <row r="921" ht="15.75" customHeight="1" s="72">
      <c r="C921" s="2" t="n"/>
      <c r="D921" s="2" t="n"/>
    </row>
    <row r="922" ht="15.75" customHeight="1" s="72">
      <c r="C922" s="2" t="n"/>
      <c r="D922" s="2" t="n"/>
    </row>
    <row r="923" ht="15.75" customHeight="1" s="72">
      <c r="C923" s="2" t="n"/>
      <c r="D923" s="2" t="n"/>
    </row>
    <row r="924" ht="15.75" customHeight="1" s="72">
      <c r="C924" s="2" t="n"/>
      <c r="D924" s="2" t="n"/>
    </row>
    <row r="925" ht="15.75" customHeight="1" s="72">
      <c r="C925" s="2" t="n"/>
      <c r="D925" s="2" t="n"/>
    </row>
    <row r="926" ht="15.75" customHeight="1" s="72">
      <c r="C926" s="2" t="n"/>
      <c r="D926" s="2" t="n"/>
    </row>
    <row r="927" ht="15.75" customHeight="1" s="72">
      <c r="C927" s="2" t="n"/>
      <c r="D927" s="2" t="n"/>
    </row>
    <row r="928" ht="15.75" customHeight="1" s="72">
      <c r="C928" s="2" t="n"/>
      <c r="D928" s="2" t="n"/>
    </row>
    <row r="929" ht="15.75" customHeight="1" s="72">
      <c r="C929" s="2" t="n"/>
      <c r="D929" s="2" t="n"/>
    </row>
    <row r="930" ht="15.75" customHeight="1" s="72">
      <c r="C930" s="2" t="n"/>
      <c r="D930" s="2" t="n"/>
    </row>
    <row r="931" ht="15.75" customHeight="1" s="72">
      <c r="C931" s="2" t="n"/>
      <c r="D931" s="2" t="n"/>
    </row>
    <row r="932" ht="15.75" customHeight="1" s="72">
      <c r="C932" s="2" t="n"/>
      <c r="D932" s="2" t="n"/>
    </row>
    <row r="933" ht="15.75" customHeight="1" s="72">
      <c r="C933" s="2" t="n"/>
      <c r="D933" s="2" t="n"/>
    </row>
    <row r="934" ht="15.75" customHeight="1" s="72">
      <c r="C934" s="2" t="n"/>
      <c r="D934" s="2" t="n"/>
    </row>
    <row r="935" ht="15.75" customHeight="1" s="72">
      <c r="C935" s="2" t="n"/>
      <c r="D935" s="2" t="n"/>
    </row>
    <row r="936" ht="15.75" customHeight="1" s="72">
      <c r="C936" s="2" t="n"/>
      <c r="D936" s="2" t="n"/>
    </row>
    <row r="937" ht="15.75" customHeight="1" s="72">
      <c r="C937" s="2" t="n"/>
      <c r="D937" s="2" t="n"/>
    </row>
    <row r="938" ht="15.75" customHeight="1" s="72">
      <c r="C938" s="2" t="n"/>
      <c r="D938" s="2" t="n"/>
    </row>
    <row r="939" ht="15.75" customHeight="1" s="72">
      <c r="C939" s="2" t="n"/>
      <c r="D939" s="2" t="n"/>
    </row>
    <row r="940" ht="15.75" customHeight="1" s="72">
      <c r="C940" s="2" t="n"/>
      <c r="D940" s="2" t="n"/>
    </row>
    <row r="941" ht="15.75" customHeight="1" s="72">
      <c r="C941" s="2" t="n"/>
      <c r="D941" s="2" t="n"/>
    </row>
    <row r="942" ht="15.75" customHeight="1" s="72">
      <c r="C942" s="2" t="n"/>
      <c r="D942" s="2" t="n"/>
    </row>
    <row r="943" ht="15.75" customHeight="1" s="72">
      <c r="C943" s="2" t="n"/>
      <c r="D943" s="2" t="n"/>
    </row>
    <row r="944" ht="15.75" customHeight="1" s="72">
      <c r="C944" s="2" t="n"/>
      <c r="D944" s="2" t="n"/>
    </row>
    <row r="945" ht="15.75" customHeight="1" s="72">
      <c r="C945" s="2" t="n"/>
      <c r="D945" s="2" t="n"/>
    </row>
    <row r="946" ht="15.75" customHeight="1" s="72">
      <c r="C946" s="2" t="n"/>
      <c r="D946" s="2" t="n"/>
    </row>
    <row r="947" ht="15.75" customHeight="1" s="72">
      <c r="C947" s="2" t="n"/>
      <c r="D947" s="2" t="n"/>
    </row>
    <row r="948" ht="15.75" customHeight="1" s="72">
      <c r="C948" s="2" t="n"/>
      <c r="D948" s="2" t="n"/>
    </row>
    <row r="949" ht="15.75" customHeight="1" s="72">
      <c r="C949" s="2" t="n"/>
      <c r="D949" s="2" t="n"/>
    </row>
    <row r="950" ht="15.75" customHeight="1" s="72">
      <c r="C950" s="2" t="n"/>
      <c r="D950" s="2" t="n"/>
    </row>
    <row r="951" ht="15.75" customHeight="1" s="72">
      <c r="C951" s="2" t="n"/>
      <c r="D951" s="2" t="n"/>
    </row>
    <row r="952" ht="15.75" customHeight="1" s="72">
      <c r="C952" s="2" t="n"/>
      <c r="D952" s="2" t="n"/>
    </row>
    <row r="953" ht="15.75" customHeight="1" s="72">
      <c r="C953" s="2" t="n"/>
      <c r="D953" s="2" t="n"/>
    </row>
    <row r="954" ht="15.75" customHeight="1" s="72">
      <c r="C954" s="2" t="n"/>
      <c r="D954" s="2" t="n"/>
    </row>
    <row r="955" ht="15.75" customHeight="1" s="72">
      <c r="C955" s="2" t="n"/>
      <c r="D955" s="2" t="n"/>
    </row>
    <row r="956" ht="15.75" customHeight="1" s="72">
      <c r="C956" s="2" t="n"/>
      <c r="D956" s="2" t="n"/>
    </row>
    <row r="957" ht="15.75" customHeight="1" s="72">
      <c r="C957" s="2" t="n"/>
      <c r="D957" s="2" t="n"/>
    </row>
    <row r="958" ht="15.75" customHeight="1" s="72">
      <c r="C958" s="2" t="n"/>
      <c r="D958" s="2" t="n"/>
    </row>
    <row r="959" ht="15.75" customHeight="1" s="72">
      <c r="C959" s="2" t="n"/>
      <c r="D959" s="2" t="n"/>
    </row>
    <row r="960" ht="15.75" customHeight="1" s="72">
      <c r="C960" s="2" t="n"/>
      <c r="D960" s="2" t="n"/>
    </row>
    <row r="961" ht="15.75" customHeight="1" s="72">
      <c r="C961" s="2" t="n"/>
      <c r="D961" s="2" t="n"/>
    </row>
    <row r="962" ht="15.75" customHeight="1" s="72">
      <c r="C962" s="2" t="n"/>
      <c r="D962" s="2" t="n"/>
    </row>
    <row r="963" ht="15.75" customHeight="1" s="72">
      <c r="C963" s="2" t="n"/>
      <c r="D963" s="2" t="n"/>
    </row>
    <row r="964" ht="15.75" customHeight="1" s="72">
      <c r="C964" s="2" t="n"/>
      <c r="D964" s="2" t="n"/>
    </row>
    <row r="965" ht="15.75" customHeight="1" s="72">
      <c r="C965" s="2" t="n"/>
      <c r="D965" s="2" t="n"/>
    </row>
    <row r="966" ht="15.75" customHeight="1" s="72">
      <c r="C966" s="2" t="n"/>
      <c r="D966" s="2" t="n"/>
    </row>
    <row r="967" ht="15.75" customHeight="1" s="72">
      <c r="C967" s="2" t="n"/>
      <c r="D967" s="2" t="n"/>
    </row>
    <row r="968" ht="15.75" customHeight="1" s="72">
      <c r="C968" s="2" t="n"/>
      <c r="D968" s="2" t="n"/>
    </row>
    <row r="969" ht="15.75" customHeight="1" s="72">
      <c r="C969" s="2" t="n"/>
      <c r="D969" s="2" t="n"/>
    </row>
    <row r="970" ht="15.75" customHeight="1" s="72">
      <c r="C970" s="2" t="n"/>
      <c r="D970" s="2" t="n"/>
    </row>
    <row r="971" ht="15.75" customHeight="1" s="72">
      <c r="C971" s="2" t="n"/>
      <c r="D971" s="2" t="n"/>
    </row>
    <row r="972" ht="15.75" customHeight="1" s="72">
      <c r="C972" s="2" t="n"/>
      <c r="D972" s="2" t="n"/>
    </row>
    <row r="973" ht="15.75" customHeight="1" s="72">
      <c r="C973" s="2" t="n"/>
      <c r="D973" s="2" t="n"/>
    </row>
    <row r="974" ht="15.75" customHeight="1" s="72">
      <c r="C974" s="2" t="n"/>
      <c r="D974" s="2" t="n"/>
    </row>
    <row r="975" ht="15.75" customHeight="1" s="72">
      <c r="C975" s="2" t="n"/>
      <c r="D975" s="2" t="n"/>
    </row>
    <row r="976" ht="15.75" customHeight="1" s="72">
      <c r="C976" s="2" t="n"/>
      <c r="D976" s="2" t="n"/>
    </row>
    <row r="977" ht="15.75" customHeight="1" s="72">
      <c r="C977" s="2" t="n"/>
      <c r="D977" s="2" t="n"/>
    </row>
    <row r="978" ht="15.75" customHeight="1" s="72">
      <c r="C978" s="2" t="n"/>
      <c r="D978" s="2" t="n"/>
    </row>
    <row r="979" ht="15.75" customHeight="1" s="72">
      <c r="C979" s="2" t="n"/>
      <c r="D979" s="2" t="n"/>
    </row>
    <row r="980" ht="15.75" customHeight="1" s="72">
      <c r="C980" s="2" t="n"/>
      <c r="D980" s="2" t="n"/>
    </row>
    <row r="981" ht="15.75" customHeight="1" s="72">
      <c r="C981" s="2" t="n"/>
      <c r="D981" s="2" t="n"/>
    </row>
    <row r="982" ht="15.75" customHeight="1" s="72">
      <c r="C982" s="2" t="n"/>
      <c r="D982" s="2" t="n"/>
    </row>
    <row r="983" ht="15.75" customHeight="1" s="72">
      <c r="C983" s="2" t="n"/>
      <c r="D983" s="2" t="n"/>
    </row>
    <row r="984" ht="15.75" customHeight="1" s="72">
      <c r="C984" s="2" t="n"/>
      <c r="D984" s="2" t="n"/>
    </row>
    <row r="985" ht="15.75" customHeight="1" s="72">
      <c r="C985" s="2" t="n"/>
      <c r="D985" s="2" t="n"/>
    </row>
    <row r="986" ht="15.75" customHeight="1" s="72">
      <c r="C986" s="2" t="n"/>
      <c r="D986" s="2" t="n"/>
    </row>
    <row r="987" ht="15.75" customHeight="1" s="72">
      <c r="C987" s="2" t="n"/>
      <c r="D987" s="2" t="n"/>
    </row>
    <row r="988" ht="15.75" customHeight="1" s="72">
      <c r="C988" s="2" t="n"/>
      <c r="D988" s="2" t="n"/>
    </row>
    <row r="989" ht="15.75" customHeight="1" s="72">
      <c r="C989" s="2" t="n"/>
      <c r="D989" s="2" t="n"/>
    </row>
    <row r="990" ht="15.75" customHeight="1" s="72">
      <c r="C990" s="2" t="n"/>
      <c r="D990" s="2" t="n"/>
    </row>
    <row r="991" ht="15.75" customHeight="1" s="72">
      <c r="C991" s="2" t="n"/>
      <c r="D991" s="2" t="n"/>
    </row>
    <row r="992" ht="15.75" customHeight="1" s="72">
      <c r="C992" s="2" t="n"/>
      <c r="D992" s="2" t="n"/>
    </row>
    <row r="993" ht="15.75" customHeight="1" s="72">
      <c r="C993" s="2" t="n"/>
      <c r="D993" s="2" t="n"/>
    </row>
    <row r="994" ht="15.75" customHeight="1" s="72">
      <c r="C994" s="2" t="n"/>
      <c r="D994" s="2" t="n"/>
    </row>
    <row r="995" ht="15.75" customHeight="1" s="72">
      <c r="C995" s="2" t="n"/>
      <c r="D995" s="2" t="n"/>
    </row>
    <row r="996" ht="15.75" customHeight="1" s="72">
      <c r="C996" s="2" t="n"/>
      <c r="D996" s="2" t="n"/>
    </row>
    <row r="997" ht="15.75" customHeight="1" s="72"/>
    <row r="998" ht="15.75" customHeight="1" s="72"/>
    <row r="999" ht="15.75" customHeight="1" s="72"/>
    <row r="1000" ht="15.75" customHeight="1" s="72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5"/>
    <col width="14" customWidth="1" style="72" min="6" max="6"/>
    <col width="10.6640625" customWidth="1" style="72" min="7" max="13"/>
    <col width="12.83203125" customWidth="1" style="72" min="14" max="14"/>
    <col width="10.6640625" customWidth="1" style="72" min="15" max="15"/>
    <col width="12.1640625" customWidth="1" style="72" min="16" max="16"/>
    <col width="10.6640625" customWidth="1" style="72" min="17" max="21"/>
    <col width="36.33203125" customWidth="1" style="72" min="22" max="22"/>
    <col width="13.5" customWidth="1" style="72" min="23" max="23"/>
    <col width="54.83203125" customWidth="1" style="72" min="24" max="24"/>
    <col width="13.5" customWidth="1" style="72" min="25" max="25"/>
    <col width="7" customWidth="1" style="72" min="26" max="26"/>
    <col width="36.33203125" customWidth="1" style="72" min="28" max="28"/>
    <col width="54.83203125" customWidth="1" style="72" min="30" max="30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Gemini 3 Pro</t>
        </is>
      </c>
      <c r="D1" s="75" t="inlineStr">
        <is>
          <t>Claude Sonnet 4.5</t>
        </is>
      </c>
      <c r="F1" s="77" t="inlineStr">
        <is>
          <t>Confusion Matrix</t>
        </is>
      </c>
      <c r="L1" s="77" t="inlineStr">
        <is>
          <t>Weight Matrix</t>
        </is>
      </c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'Gemini 3 Pro Grading'!C2</f>
        <v/>
      </c>
      <c r="D2" s="23">
        <f>'Claude Sonnet 4.5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3" t="inlineStr">
        <is>
          <t>Row Totals</t>
        </is>
      </c>
      <c r="K2" s="2" t="n"/>
      <c r="L2" s="2" t="inlineStr">
        <is>
          <t>Global</t>
        </is>
      </c>
      <c r="M2" s="52" t="inlineStr">
        <is>
          <t>0</t>
        </is>
      </c>
      <c r="N2" s="52" t="inlineStr">
        <is>
          <t>0.5</t>
        </is>
      </c>
      <c r="O2" s="52" t="inlineStr">
        <is>
          <t>1</t>
        </is>
      </c>
      <c r="P2" s="2" t="n"/>
      <c r="Q2" s="2" t="inlineStr">
        <is>
          <t>Global</t>
        </is>
      </c>
      <c r="R2" s="52" t="inlineStr">
        <is>
          <t>0</t>
        </is>
      </c>
      <c r="S2" s="52" t="inlineStr">
        <is>
          <t>0.5</t>
        </is>
      </c>
      <c r="T2" s="52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'Gemini 3 Pro Grading'!C3</f>
        <v/>
      </c>
      <c r="D3" s="23">
        <f>'Claude Sonnet 4.5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37" t="n">
        <v>0</v>
      </c>
      <c r="M3" s="38">
        <f>ABS(G$2-$F3)/1</f>
        <v/>
      </c>
      <c r="N3" s="39">
        <f>ABS(H$2-$F3)/1</f>
        <v/>
      </c>
      <c r="O3" s="42">
        <f>ABS(I$2-$F3)/1</f>
        <v/>
      </c>
      <c r="P3" s="2" t="n"/>
      <c r="Q3" s="37" t="n">
        <v>0</v>
      </c>
      <c r="R3" s="38">
        <f>($J3/$J$6) * (G$6/$J$6)</f>
        <v/>
      </c>
      <c r="S3" s="39">
        <f>($J3/$J$6) * (H$6/$J$6)</f>
        <v/>
      </c>
      <c r="T3" s="42">
        <f>($J3/$J$6) * (I$6/$J$6)</f>
        <v/>
      </c>
      <c r="U3" s="2" t="n"/>
      <c r="V3" s="41" t="inlineStr">
        <is>
          <t>Observed Weighted Disagreement (D_obs)</t>
        </is>
      </c>
      <c r="W3" s="38">
        <f>SUMPRODUCT(G3:I5, M3:O5) /$J$6</f>
        <v/>
      </c>
      <c r="X3" s="42" t="inlineStr">
        <is>
          <t>Sum of (confusion-matrix counts × weights) divided by total items.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'Gemini 3 Pro Grading'!C4</f>
        <v/>
      </c>
      <c r="D4" s="23">
        <f>'Claude Sonnet 4.5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37" t="n">
        <v>0.5</v>
      </c>
      <c r="M4" s="43">
        <f>ABS(G$2-$F4)/1</f>
        <v/>
      </c>
      <c r="N4" s="2">
        <f>ABS(H$2-$F4)/3</f>
        <v/>
      </c>
      <c r="O4" s="44">
        <f>ABS(I$2-$F4)/1</f>
        <v/>
      </c>
      <c r="P4" s="2" t="n"/>
      <c r="Q4" s="37" t="n">
        <v>0.5</v>
      </c>
      <c r="R4" s="43">
        <f>($J4/$J$6) * (G$6/$J$6)</f>
        <v/>
      </c>
      <c r="S4" s="2">
        <f>($J4/$J$6) * (H$6/$J$6)</f>
        <v/>
      </c>
      <c r="T4" s="44">
        <f>($J4/$J$6) * (I$6/$J$6)</f>
        <v/>
      </c>
      <c r="U4" s="2" t="n"/>
      <c r="V4" s="41" t="inlineStr">
        <is>
          <t>Expected Weighted Disagreement (D_exp)</t>
        </is>
      </c>
      <c r="W4" s="43">
        <f>SUMPRODUCT(R3:T5, M3:O5)</f>
        <v/>
      </c>
      <c r="X4" s="44" t="inlineStr">
        <is>
          <t>Sum of (expected cell proportions × weights) under chance agreement.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'Gemini 3 Pro Grading'!C5</f>
        <v/>
      </c>
      <c r="D5" s="23">
        <f>'Claude Sonnet 4.5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37" t="n">
        <v>1</v>
      </c>
      <c r="M5" s="48">
        <f>ABS(G$2-$F5)/1</f>
        <v/>
      </c>
      <c r="N5" s="46">
        <f>ABS(H$2-$F5)/1</f>
        <v/>
      </c>
      <c r="O5" s="49">
        <f>ABS(I$2-$F5)/1</f>
        <v/>
      </c>
      <c r="P5" s="2" t="n"/>
      <c r="Q5" s="37" t="n">
        <v>1</v>
      </c>
      <c r="R5" s="48">
        <f>($J5/$J$6) * (G$6/$J$6)</f>
        <v/>
      </c>
      <c r="S5" s="46">
        <f>($J5/$J$6) * (H$6/$J$6)</f>
        <v/>
      </c>
      <c r="T5" s="49">
        <f>($J5/$J$6) * (I$6/$J$6)</f>
        <v/>
      </c>
      <c r="U5" s="2" t="n"/>
      <c r="V5" s="41" t="inlineStr">
        <is>
          <t>Cohen's Kappa</t>
        </is>
      </c>
      <c r="W5" s="48">
        <f>1-W3/W4</f>
        <v/>
      </c>
      <c r="X5" s="49" t="inlineStr">
        <is>
          <t>1 - (D_obs / D_exp)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'Gemini 3 Pro Grading'!C6</f>
        <v/>
      </c>
      <c r="D6" s="23">
        <f>'Claude Sonnet 4.5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>
        <f>SUM(G3:I5)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51" t="n"/>
    </row>
    <row r="7" ht="12.75" customHeight="1" s="72">
      <c r="A7" s="71">
        <f>'Spa Manager'!A7</f>
        <v/>
      </c>
      <c r="B7" s="4">
        <f>'Spa Manager'!B7</f>
        <v/>
      </c>
      <c r="C7" s="23">
        <f>'Gemini 3 Pro Grading'!C7</f>
        <v/>
      </c>
      <c r="D7" s="23">
        <f>'Claude Sonnet 4.5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'Gemini 3 Pro Grading'!C8</f>
        <v/>
      </c>
      <c r="D8" s="23">
        <f>'Claude Sonnet 4.5 Grading'!C8</f>
        <v/>
      </c>
      <c r="F8" s="77" t="inlineStr">
        <is>
          <t>Confusion Matrix (State)</t>
        </is>
      </c>
    </row>
    <row r="9" ht="12.75" customHeight="1" s="72">
      <c r="A9" s="71">
        <f>'Spa Manager'!A9</f>
        <v/>
      </c>
      <c r="B9" s="4">
        <f>'Spa Manager'!B9</f>
        <v/>
      </c>
      <c r="C9" s="23">
        <f>'Gemini 3 Pro Grading'!C9</f>
        <v/>
      </c>
      <c r="D9" s="23">
        <f>'Claude Sonnet 4.5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2" t="inlineStr">
        <is>
          <t>Global</t>
        </is>
      </c>
      <c r="M9" s="52" t="inlineStr">
        <is>
          <t>0</t>
        </is>
      </c>
      <c r="N9" s="52" t="inlineStr">
        <is>
          <t>0.5</t>
        </is>
      </c>
      <c r="O9" s="52" t="inlineStr">
        <is>
          <t>1</t>
        </is>
      </c>
      <c r="P9" s="2" t="n"/>
      <c r="Q9" s="2" t="inlineStr">
        <is>
          <t>Global</t>
        </is>
      </c>
      <c r="R9" s="52" t="inlineStr">
        <is>
          <t>0</t>
        </is>
      </c>
      <c r="S9" s="52" t="inlineStr">
        <is>
          <t>0.5</t>
        </is>
      </c>
      <c r="T9" s="52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'Gemini 3 Pro Grading'!C10</f>
        <v/>
      </c>
      <c r="D10" s="23">
        <f>'Claude Sonnet 4.5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37" t="n">
        <v>0</v>
      </c>
      <c r="M10" s="38">
        <f>ABS(G$2-$F10)/1</f>
        <v/>
      </c>
      <c r="N10" s="39">
        <f>ABS(H$2-$F10)/1</f>
        <v/>
      </c>
      <c r="O10" s="42">
        <f>ABS(I$2-$F10)/1</f>
        <v/>
      </c>
      <c r="P10" s="2" t="n"/>
      <c r="Q10" s="37" t="n">
        <v>0</v>
      </c>
      <c r="R10" s="38">
        <f>($J10/$J$13) * (G$13/$J$13)</f>
        <v/>
      </c>
      <c r="S10" s="39">
        <f>($J10/$J$13) * (H$13/$J$13)</f>
        <v/>
      </c>
      <c r="T10" s="42">
        <f>($J10/$J$13) * (I$13/$J$13)</f>
        <v/>
      </c>
      <c r="U10" s="2" t="n"/>
      <c r="V10" s="41" t="inlineStr">
        <is>
          <t>Observed Weighted Disagreement (D_obs)</t>
        </is>
      </c>
      <c r="W10" s="38">
        <f>SUMPRODUCT(G10:I12, M10:O12) /$J$13</f>
        <v/>
      </c>
      <c r="X10" s="42" t="inlineStr">
        <is>
          <t>Sum of (confusion-matrix counts × weights) divided by total items.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'Gemini 3 Pro Grading'!C11</f>
        <v/>
      </c>
      <c r="D11" s="23">
        <f>'Claude Sonnet 4.5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37" t="n">
        <v>0.5</v>
      </c>
      <c r="M11" s="43">
        <f>ABS(G$2-$F11)/1</f>
        <v/>
      </c>
      <c r="N11" s="2">
        <f>ABS(H$2-$F11)/3</f>
        <v/>
      </c>
      <c r="O11" s="44">
        <f>ABS(I$2-$F11)/1</f>
        <v/>
      </c>
      <c r="P11" s="2" t="n"/>
      <c r="Q11" s="37" t="n">
        <v>0.5</v>
      </c>
      <c r="R11" s="43">
        <f>($J11/$J$13) * (G$13/$J$13)</f>
        <v/>
      </c>
      <c r="S11" s="2">
        <f>($J11/$J$13) * (H$13/$J$13)</f>
        <v/>
      </c>
      <c r="T11" s="44">
        <f>($J11/$J$13) * (I$13/$J$13)</f>
        <v/>
      </c>
      <c r="U11" s="2" t="n"/>
      <c r="V11" s="41" t="inlineStr">
        <is>
          <t>Expected Weighted Disagreement (D_exp)</t>
        </is>
      </c>
      <c r="W11" s="43">
        <f>SUMPRODUCT(R10:T12, M10:O12)</f>
        <v/>
      </c>
      <c r="X11" s="44" t="inlineStr">
        <is>
          <t>Sum of (expected cell proportions × weights) under chance agreement.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'Gemini 3 Pro Grading'!C12</f>
        <v/>
      </c>
      <c r="D12" s="23">
        <f>'Claude Sonnet 4.5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37" t="n">
        <v>1</v>
      </c>
      <c r="M12" s="48">
        <f>ABS(G$2-$F12)/1</f>
        <v/>
      </c>
      <c r="N12" s="46">
        <f>ABS(H$2-$F12)/1</f>
        <v/>
      </c>
      <c r="O12" s="49">
        <f>ABS(I$2-$F12)/1</f>
        <v/>
      </c>
      <c r="P12" s="2" t="n"/>
      <c r="Q12" s="37" t="n">
        <v>1</v>
      </c>
      <c r="R12" s="48">
        <f>($J12/$J$13) * (G$13/$J$13)</f>
        <v/>
      </c>
      <c r="S12" s="46">
        <f>($J12/$J$13) * (H$13/$J$13)</f>
        <v/>
      </c>
      <c r="T12" s="49">
        <f>($J12/$J$13) * (I$13/$J$13)</f>
        <v/>
      </c>
      <c r="U12" s="2" t="n"/>
      <c r="V12" s="41" t="inlineStr">
        <is>
          <t>Cohen's Kappa</t>
        </is>
      </c>
      <c r="W12" s="48">
        <f>1-W10/W11</f>
        <v/>
      </c>
      <c r="X12" s="49" t="inlineStr">
        <is>
          <t>1 - (D_obs / D_exp)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'Gemini 3 Pro Grading'!C13</f>
        <v/>
      </c>
      <c r="D13" s="23">
        <f>'Claude Sonnet 4.5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>
        <f>SUM(G10:I12)</f>
        <v/>
      </c>
    </row>
    <row r="14" ht="12.75" customHeight="1" s="72">
      <c r="A14" s="71">
        <f>'Spa Manager'!A14</f>
        <v/>
      </c>
      <c r="B14" s="4">
        <f>'Spa Manager'!B14</f>
        <v/>
      </c>
      <c r="C14" s="23">
        <f>'Gemini 3 Pro Grading'!C14</f>
        <v/>
      </c>
      <c r="D14" s="23">
        <f>'Claude Sonnet 4.5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'Gemini 3 Pro Grading'!C15</f>
        <v/>
      </c>
      <c r="D15" s="23">
        <f>'Claude Sonnet 4.5 Grading'!C15</f>
        <v/>
      </c>
      <c r="F15" s="77" t="inlineStr">
        <is>
          <t>Confusion Matrix (Transition)</t>
        </is>
      </c>
    </row>
    <row r="16" ht="12.75" customHeight="1" s="72">
      <c r="A16" s="71">
        <f>'Spa Manager'!A16</f>
        <v/>
      </c>
      <c r="B16" s="4">
        <f>'Spa Manager'!B16</f>
        <v/>
      </c>
      <c r="C16" s="23">
        <f>'Gemini 3 Pro Grading'!C16</f>
        <v/>
      </c>
      <c r="D16" s="23">
        <f>'Claude Sonnet 4.5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2" t="inlineStr">
        <is>
          <t>Global</t>
        </is>
      </c>
      <c r="M16" s="52" t="inlineStr">
        <is>
          <t>0</t>
        </is>
      </c>
      <c r="N16" s="52" t="inlineStr">
        <is>
          <t>0.5</t>
        </is>
      </c>
      <c r="O16" s="52" t="inlineStr">
        <is>
          <t>1</t>
        </is>
      </c>
      <c r="P16" s="2" t="n"/>
      <c r="Q16" s="2" t="inlineStr">
        <is>
          <t>Global</t>
        </is>
      </c>
      <c r="R16" s="52" t="inlineStr">
        <is>
          <t>0</t>
        </is>
      </c>
      <c r="S16" s="52" t="inlineStr">
        <is>
          <t>0.5</t>
        </is>
      </c>
      <c r="T16" s="52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'Gemini 3 Pro Grading'!C17</f>
        <v/>
      </c>
      <c r="D17" s="23">
        <f>'Claude Sonnet 4.5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37" t="n">
        <v>0</v>
      </c>
      <c r="M17" s="38">
        <f>ABS(G$2-$F17)/1</f>
        <v/>
      </c>
      <c r="N17" s="39">
        <f>ABS(H$2-$F17)/1</f>
        <v/>
      </c>
      <c r="O17" s="42">
        <f>ABS(I$2-$F17)/1</f>
        <v/>
      </c>
      <c r="P17" s="2" t="n"/>
      <c r="Q17" s="37" t="n">
        <v>0</v>
      </c>
      <c r="R17" s="38">
        <f>($J17/$J$20) * (G$20/$J$20)</f>
        <v/>
      </c>
      <c r="S17" s="39">
        <f>($J17/$J$20) * (H$20/$J$20)</f>
        <v/>
      </c>
      <c r="T17" s="42">
        <f>($J17/$J$20) * (I$20/$J$20)</f>
        <v/>
      </c>
      <c r="U17" s="2" t="n"/>
      <c r="V17" s="41" t="inlineStr">
        <is>
          <t>Observed Weighted Disagreement (D_obs)</t>
        </is>
      </c>
      <c r="W17" s="38">
        <f>SUMPRODUCT(G17:I19, M17:O19) /$J$20</f>
        <v/>
      </c>
      <c r="X17" s="42" t="inlineStr">
        <is>
          <t>Sum of (confusion-matrix counts × weights) divided by total items.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'Gemini 3 Pro Grading'!C18</f>
        <v/>
      </c>
      <c r="D18" s="23">
        <f>'Claude Sonnet 4.5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37" t="n">
        <v>0.5</v>
      </c>
      <c r="M18" s="43">
        <f>ABS(G$2-$F18)/1</f>
        <v/>
      </c>
      <c r="N18" s="2">
        <f>ABS(H$2-$F18)/3</f>
        <v/>
      </c>
      <c r="O18" s="44">
        <f>ABS(I$2-$F18)/1</f>
        <v/>
      </c>
      <c r="P18" s="2" t="n"/>
      <c r="Q18" s="37" t="n">
        <v>0.5</v>
      </c>
      <c r="R18" s="43">
        <f>($J18/$J$20) * (G$20/$J$20)</f>
        <v/>
      </c>
      <c r="S18" s="2">
        <f>($J18/$J$20) * (H$20/$J$20)</f>
        <v/>
      </c>
      <c r="T18" s="44">
        <f>($J18/$J$20) * (I$20/$J$20)</f>
        <v/>
      </c>
      <c r="U18" s="2" t="n"/>
      <c r="V18" s="41" t="inlineStr">
        <is>
          <t>Expected Weighted Disagreement (D_exp)</t>
        </is>
      </c>
      <c r="W18" s="43">
        <f>SUMPRODUCT(R17:T19, M17:O19)</f>
        <v/>
      </c>
      <c r="X18" s="44" t="inlineStr">
        <is>
          <t>Sum of (expected cell proportions × weights) under chance agreement.</t>
        </is>
      </c>
    </row>
    <row r="19" ht="13" customHeight="1" s="72">
      <c r="A19" s="71">
        <f>'Spa Manager'!A19</f>
        <v/>
      </c>
      <c r="B19" s="4">
        <f>'Spa Manager'!B19</f>
        <v/>
      </c>
      <c r="C19" s="23">
        <f>'Gemini 3 Pro Grading'!C19</f>
        <v/>
      </c>
      <c r="D19" s="23">
        <f>'Claude Sonnet 4.5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37" t="n">
        <v>1</v>
      </c>
      <c r="M19" s="48">
        <f>ABS(G$2-$F19)/1</f>
        <v/>
      </c>
      <c r="N19" s="46">
        <f>ABS(H$2-$F19)/1</f>
        <v/>
      </c>
      <c r="O19" s="49">
        <f>ABS(I$2-$F19)/1</f>
        <v/>
      </c>
      <c r="P19" s="2" t="n"/>
      <c r="Q19" s="37" t="n">
        <v>1</v>
      </c>
      <c r="R19" s="48">
        <f>($J19/$J$20) * (G$20/$J$20)</f>
        <v/>
      </c>
      <c r="S19" s="46">
        <f>($J19/$J$20) * (H$20/$J$20)</f>
        <v/>
      </c>
      <c r="T19" s="49">
        <f>($J19/$J$20) * (I$20/$J$20)</f>
        <v/>
      </c>
      <c r="U19" s="2" t="n"/>
      <c r="V19" s="41" t="inlineStr">
        <is>
          <t>Cohen's Kappa</t>
        </is>
      </c>
      <c r="W19" s="48">
        <f>1-W17/W18</f>
        <v/>
      </c>
      <c r="X19" s="49" t="inlineStr">
        <is>
          <t>1 - (D_obs / D_exp)</t>
        </is>
      </c>
    </row>
    <row r="20" ht="15" customHeight="1" s="72">
      <c r="A20" s="71">
        <f>'Spa Manager'!A20</f>
        <v/>
      </c>
      <c r="B20" s="4">
        <f>'Spa Manager'!B20</f>
        <v/>
      </c>
      <c r="C20" s="23">
        <f>'Gemini 3 Pro Grading'!C20</f>
        <v/>
      </c>
      <c r="D20" s="23">
        <f>'Claude Sonnet 4.5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>
        <f>SUM(G17:I19)</f>
        <v/>
      </c>
    </row>
    <row r="21" ht="12.75" customHeight="1" s="72">
      <c r="A21" s="71">
        <f>'Spa Manager'!A21</f>
        <v/>
      </c>
      <c r="B21" s="4">
        <f>'Spa Manager'!B21</f>
        <v/>
      </c>
      <c r="C21" s="23">
        <f>'Gemini 3 Pro Grading'!C21</f>
        <v/>
      </c>
      <c r="D21" s="23">
        <f>'Claude Sonnet 4.5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'Gemini 3 Pro Grading'!C22</f>
        <v/>
      </c>
      <c r="D22" s="23">
        <f>'Claude Sonnet 4.5 Grading'!C22</f>
        <v/>
      </c>
      <c r="F22" s="77" t="inlineStr">
        <is>
          <t>Confusion Matrix (Composite State)</t>
        </is>
      </c>
    </row>
    <row r="23" ht="12.75" customHeight="1" s="72">
      <c r="A23" s="71">
        <f>'Spa Manager'!A23</f>
        <v/>
      </c>
      <c r="B23" s="4">
        <f>'Spa Manager'!B23</f>
        <v/>
      </c>
      <c r="C23" s="23">
        <f>'Gemini 3 Pro Grading'!C23</f>
        <v/>
      </c>
      <c r="D23" s="23">
        <f>'Claude Sonnet 4.5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2" t="inlineStr">
        <is>
          <t>Global</t>
        </is>
      </c>
      <c r="M23" s="52" t="inlineStr">
        <is>
          <t>0</t>
        </is>
      </c>
      <c r="N23" s="52" t="inlineStr">
        <is>
          <t>0.5</t>
        </is>
      </c>
      <c r="O23" s="52" t="inlineStr">
        <is>
          <t>1</t>
        </is>
      </c>
      <c r="P23" s="2" t="n"/>
      <c r="Q23" s="2" t="inlineStr">
        <is>
          <t>Global</t>
        </is>
      </c>
      <c r="R23" s="52" t="inlineStr">
        <is>
          <t>0</t>
        </is>
      </c>
      <c r="S23" s="52" t="inlineStr">
        <is>
          <t>0.5</t>
        </is>
      </c>
      <c r="T23" s="52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'Gemini 3 Pro Grading'!C24</f>
        <v/>
      </c>
      <c r="D24" s="23">
        <f>'Claude Sonnet 4.5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37" t="n">
        <v>0</v>
      </c>
      <c r="M24" s="38">
        <f>ABS(G$2-$F24)/1</f>
        <v/>
      </c>
      <c r="N24" s="39">
        <f>ABS(H$2-$F24)/1</f>
        <v/>
      </c>
      <c r="O24" s="42">
        <f>ABS(I$2-$F24)/1</f>
        <v/>
      </c>
      <c r="P24" s="2" t="n"/>
      <c r="Q24" s="37" t="n">
        <v>0</v>
      </c>
      <c r="R24" s="38">
        <f>($J24/$J$27) * (G$27/$J$27)</f>
        <v/>
      </c>
      <c r="S24" s="39">
        <f>($J24/$J$27) * (H$27/$J$27)</f>
        <v/>
      </c>
      <c r="T24" s="42">
        <f>($J24/$J$27) * (I$27/$J$27)</f>
        <v/>
      </c>
      <c r="U24" s="2" t="n"/>
      <c r="V24" s="41" t="inlineStr">
        <is>
          <t>Observed Weighted Disagreement (D_obs)</t>
        </is>
      </c>
      <c r="W24" s="38">
        <f>SUMPRODUCT(G24:I26, M24:O26) /$J$27</f>
        <v/>
      </c>
      <c r="X24" s="42" t="inlineStr">
        <is>
          <t>Sum of (confusion-matrix counts × weights) divided by total items.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'Gemini 3 Pro Grading'!C25</f>
        <v/>
      </c>
      <c r="D25" s="23">
        <f>'Claude Sonnet 4.5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37" t="n">
        <v>0.5</v>
      </c>
      <c r="M25" s="43">
        <f>ABS(G$2-$F25)/1</f>
        <v/>
      </c>
      <c r="N25" s="2">
        <f>ABS(H$2-$F25)/3</f>
        <v/>
      </c>
      <c r="O25" s="44">
        <f>ABS(I$2-$F25)/1</f>
        <v/>
      </c>
      <c r="P25" s="2" t="n"/>
      <c r="Q25" s="37" t="n">
        <v>0.5</v>
      </c>
      <c r="R25" s="43">
        <f>($J25/$J$27) * (G$27/$J$27)</f>
        <v/>
      </c>
      <c r="S25" s="2">
        <f>($J25/$J$27) * (H$27/$J$27)</f>
        <v/>
      </c>
      <c r="T25" s="44">
        <f>($J25/$J$27) * (I$27/$J$27)</f>
        <v/>
      </c>
      <c r="U25" s="2" t="n"/>
      <c r="V25" s="41" t="inlineStr">
        <is>
          <t>Expected Weighted Disagreement (D_exp)</t>
        </is>
      </c>
      <c r="W25" s="43">
        <f>SUMPRODUCT(R24:T26, M24:O26)</f>
        <v/>
      </c>
      <c r="X25" s="44" t="inlineStr">
        <is>
          <t>Sum of (expected cell proportions × weights) under chance agreement.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'Gemini 3 Pro Grading'!C26</f>
        <v/>
      </c>
      <c r="D26" s="23">
        <f>'Claude Sonnet 4.5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37" t="n">
        <v>1</v>
      </c>
      <c r="M26" s="48">
        <f>ABS(G$2-$F26)/1</f>
        <v/>
      </c>
      <c r="N26" s="46">
        <f>ABS(H$2-$F26)/1</f>
        <v/>
      </c>
      <c r="O26" s="49">
        <f>ABS(I$2-$F26)/1</f>
        <v/>
      </c>
      <c r="P26" s="2" t="n"/>
      <c r="Q26" s="37" t="n">
        <v>1</v>
      </c>
      <c r="R26" s="48">
        <f>($J26/$J$27) * (G$27/$J$27)</f>
        <v/>
      </c>
      <c r="S26" s="46">
        <f>($J26/$J$27) * (H$27/$J$27)</f>
        <v/>
      </c>
      <c r="T26" s="49">
        <f>($J26/$J$27) * (I$27/$J$27)</f>
        <v/>
      </c>
      <c r="U26" s="2" t="n"/>
      <c r="V26" s="41" t="inlineStr">
        <is>
          <t>Cohen's Kappa</t>
        </is>
      </c>
      <c r="W26" s="48">
        <f>1-W24/W25</f>
        <v/>
      </c>
      <c r="X26" s="49" t="inlineStr">
        <is>
          <t>1 - (D_obs / D_exp)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'Gemini 3 Pro Grading'!C27</f>
        <v/>
      </c>
      <c r="D27" s="23">
        <f>'Claude Sonnet 4.5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>
        <f>SUM(G24:I26)</f>
        <v/>
      </c>
    </row>
    <row r="28" ht="12.75" customHeight="1" s="72">
      <c r="A28" s="71">
        <f>'Spa Manager'!A28</f>
        <v/>
      </c>
      <c r="B28" s="4">
        <f>'Spa Manager'!B28</f>
        <v/>
      </c>
      <c r="C28" s="23">
        <f>'Gemini 3 Pro Grading'!C28</f>
        <v/>
      </c>
      <c r="D28" s="23">
        <f>'Claude Sonnet 4.5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'Gemini 3 Pro Grading'!C29</f>
        <v/>
      </c>
      <c r="D29" s="23">
        <f>'Claude Sonnet 4.5 Grading'!C29</f>
        <v/>
      </c>
      <c r="F29" s="77" t="inlineStr">
        <is>
          <t>Confusion Matrix (Guard)</t>
        </is>
      </c>
    </row>
    <row r="30" ht="12.75" customHeight="1" s="72">
      <c r="A30" s="71">
        <f>'Spa Manager'!A30</f>
        <v/>
      </c>
      <c r="B30" s="4">
        <f>'Spa Manager'!B30</f>
        <v/>
      </c>
      <c r="C30" s="23">
        <f>'Gemini 3 Pro Grading'!C30</f>
        <v/>
      </c>
      <c r="D30" s="23">
        <f>'Claude Sonnet 4.5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2" t="inlineStr">
        <is>
          <t>Global</t>
        </is>
      </c>
      <c r="M30" s="52" t="n">
        <v>0</v>
      </c>
      <c r="N30" s="52" t="inlineStr">
        <is>
          <t>0.5</t>
        </is>
      </c>
      <c r="O30" s="52" t="inlineStr">
        <is>
          <t>1</t>
        </is>
      </c>
      <c r="P30" s="2" t="n"/>
      <c r="Q30" s="2" t="inlineStr">
        <is>
          <t>Global</t>
        </is>
      </c>
      <c r="R30" s="52" t="inlineStr">
        <is>
          <t>0</t>
        </is>
      </c>
      <c r="S30" s="52" t="inlineStr">
        <is>
          <t>0.5</t>
        </is>
      </c>
      <c r="T30" s="52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'Gemini 3 Pro Grading'!C31</f>
        <v/>
      </c>
      <c r="D31" s="23">
        <f>'Claude Sonnet 4.5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37" t="n">
        <v>0</v>
      </c>
      <c r="M31" s="38">
        <f>ABS(G$2-$F31)/1</f>
        <v/>
      </c>
      <c r="N31" s="39">
        <f>ABS(H$2-$F31)/1</f>
        <v/>
      </c>
      <c r="O31" s="42">
        <f>ABS(I$2-$F31)/1</f>
        <v/>
      </c>
      <c r="P31" s="2" t="n"/>
      <c r="Q31" s="37" t="n">
        <v>0</v>
      </c>
      <c r="R31" s="38">
        <f>($J31/$J$34) * (G$34/$J$34)</f>
        <v/>
      </c>
      <c r="S31" s="39">
        <f>($J31/$J$34) * (H$34/$J$34)</f>
        <v/>
      </c>
      <c r="T31" s="42">
        <f>($J31/$J$34) * (I$34/$J$34)</f>
        <v/>
      </c>
      <c r="U31" s="2" t="n"/>
      <c r="V31" s="41" t="inlineStr">
        <is>
          <t>Observed Weighted Disagreement (D_obs)</t>
        </is>
      </c>
      <c r="W31" s="38">
        <f>SUMPRODUCT(G31:I33, M31:O33) /$J$34</f>
        <v/>
      </c>
      <c r="X31" s="42" t="inlineStr">
        <is>
          <t>Sum of (confusion-matrix counts × weights) divided by total items.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'Gemini 3 Pro Grading'!C32</f>
        <v/>
      </c>
      <c r="D32" s="23">
        <f>'Claude Sonnet 4.5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37" t="n">
        <v>0.5</v>
      </c>
      <c r="M32" s="43">
        <f>ABS(G$2-$F32)/1</f>
        <v/>
      </c>
      <c r="N32" s="2">
        <f>ABS(H$2-$F32)/3</f>
        <v/>
      </c>
      <c r="O32" s="44">
        <f>ABS(I$2-$F32)/1</f>
        <v/>
      </c>
      <c r="P32" s="2" t="n"/>
      <c r="Q32" s="37" t="n">
        <v>0.5</v>
      </c>
      <c r="R32" s="43">
        <f>($J32/$J$34) * (G$34/$J$34)</f>
        <v/>
      </c>
      <c r="S32" s="2">
        <f>($J32/$J$34) * (H$34/$J$34)</f>
        <v/>
      </c>
      <c r="T32" s="44">
        <f>($J32/$J$34) * (I$34/$J$34)</f>
        <v/>
      </c>
      <c r="U32" s="2" t="n"/>
      <c r="V32" s="41" t="inlineStr">
        <is>
          <t>Expected Weighted Disagreement (D_exp)</t>
        </is>
      </c>
      <c r="W32" s="43">
        <f>SUMPRODUCT(R31:T33, M31:O33)</f>
        <v/>
      </c>
      <c r="X32" s="44" t="inlineStr">
        <is>
          <t>Sum of (expected cell proportions × weights) under chance agreement.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'Gemini 3 Pro Grading'!C33</f>
        <v/>
      </c>
      <c r="D33" s="23">
        <f>'Claude Sonnet 4.5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37" t="n">
        <v>1</v>
      </c>
      <c r="M33" s="48">
        <f>ABS(G$2-$F33)/1</f>
        <v/>
      </c>
      <c r="N33" s="46">
        <f>ABS(H$2-$F33)/1</f>
        <v/>
      </c>
      <c r="O33" s="49">
        <f>ABS(I$2-$F33)/1</f>
        <v/>
      </c>
      <c r="P33" s="2" t="n"/>
      <c r="Q33" s="37" t="n">
        <v>1</v>
      </c>
      <c r="R33" s="48">
        <f>($J33/$J$34) * (G$34/$J$34)</f>
        <v/>
      </c>
      <c r="S33" s="46">
        <f>($J33/$J$34) * (H$34/$J$34)</f>
        <v/>
      </c>
      <c r="T33" s="49">
        <f>($J33/$J$34) * (I$34/$J$34)</f>
        <v/>
      </c>
      <c r="U33" s="2" t="n"/>
      <c r="V33" s="41" t="inlineStr">
        <is>
          <t>Cohen's Kappa</t>
        </is>
      </c>
      <c r="W33" s="48">
        <f>1-W31/W32</f>
        <v/>
      </c>
      <c r="X33" s="49" t="inlineStr">
        <is>
          <t>1 - (D_obs / D_exp)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'Gemini 3 Pro Grading'!C34</f>
        <v/>
      </c>
      <c r="D34" s="23">
        <f>'Claude Sonnet 4.5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>
        <f>SUM(G31:I33)</f>
        <v/>
      </c>
    </row>
    <row r="35" ht="12.75" customHeight="1" s="72">
      <c r="A35" s="71">
        <f>'Spa Manager'!A35</f>
        <v/>
      </c>
      <c r="B35" s="4">
        <f>'Spa Manager'!B35</f>
        <v/>
      </c>
      <c r="C35" s="23">
        <f>'Gemini 3 Pro Grading'!C35</f>
        <v/>
      </c>
      <c r="D35" s="23">
        <f>'Claude Sonnet 4.5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'Gemini 3 Pro Grading'!C36</f>
        <v/>
      </c>
      <c r="D36" s="23">
        <f>'Claude Sonnet 4.5 Grading'!C36</f>
        <v/>
      </c>
      <c r="F36" s="77" t="inlineStr">
        <is>
          <t>Confusion Matrix (Action)</t>
        </is>
      </c>
    </row>
    <row r="37" ht="12.75" customHeight="1" s="72">
      <c r="A37" s="71">
        <f>'Spa Manager'!A37</f>
        <v/>
      </c>
      <c r="B37" s="4">
        <f>'Spa Manager'!B37</f>
        <v/>
      </c>
      <c r="C37" s="23">
        <f>'Gemini 3 Pro Grading'!C37</f>
        <v/>
      </c>
      <c r="D37" s="23">
        <f>'Claude Sonnet 4.5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2" t="inlineStr">
        <is>
          <t>Global</t>
        </is>
      </c>
      <c r="M37" s="52" t="inlineStr">
        <is>
          <t>0</t>
        </is>
      </c>
      <c r="N37" s="52" t="inlineStr">
        <is>
          <t>0.5</t>
        </is>
      </c>
      <c r="O37" s="52" t="inlineStr">
        <is>
          <t>1</t>
        </is>
      </c>
      <c r="P37" s="2" t="n"/>
      <c r="Q37" s="57" t="inlineStr">
        <is>
          <t>Global</t>
        </is>
      </c>
      <c r="R37" s="58" t="inlineStr">
        <is>
          <t>0</t>
        </is>
      </c>
      <c r="S37" s="58" t="inlineStr">
        <is>
          <t>0.5</t>
        </is>
      </c>
      <c r="T37" s="58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'Gemini 3 Pro Grading'!C38</f>
        <v/>
      </c>
      <c r="D38" s="23">
        <f>'Claude Sonnet 4.5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37" t="n">
        <v>0</v>
      </c>
      <c r="M38" s="38">
        <f>ABS(G$2-$F38)/1</f>
        <v/>
      </c>
      <c r="N38" s="39">
        <f>ABS(H$2-$F38)/1</f>
        <v/>
      </c>
      <c r="O38" s="42">
        <f>ABS(I$2-$F38)/1</f>
        <v/>
      </c>
      <c r="P38" s="2" t="n"/>
      <c r="Q38" s="59" t="n">
        <v>0</v>
      </c>
      <c r="R38" s="60">
        <f>($J38/$J$41) * (G$41/$J$41)</f>
        <v/>
      </c>
      <c r="S38" s="61">
        <f>($J38/$J$41) * (H$41/$J$41)</f>
        <v/>
      </c>
      <c r="T38" s="62">
        <f>($J38/$J$41) * (I$41/$J$41)</f>
        <v/>
      </c>
      <c r="U38" s="2" t="n"/>
      <c r="V38" s="41" t="inlineStr">
        <is>
          <t>Observed Weighted Disagreement (D_obs)</t>
        </is>
      </c>
      <c r="W38" s="38">
        <f>SUMPRODUCT(G38:I40, M38:O40) /$J$41</f>
        <v/>
      </c>
      <c r="X38" s="42" t="inlineStr">
        <is>
          <t>Sum of (confusion-matrix counts × weights) divided by total items.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'Gemini 3 Pro Grading'!C39</f>
        <v/>
      </c>
      <c r="D39" s="23">
        <f>'Claude Sonnet 4.5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37" t="n">
        <v>0.5</v>
      </c>
      <c r="M39" s="43">
        <f>ABS(G$2-$F39)/1</f>
        <v/>
      </c>
      <c r="N39" s="2">
        <f>ABS(H$2-$F39)/3</f>
        <v/>
      </c>
      <c r="O39" s="44">
        <f>ABS(I$2-$F39)/1</f>
        <v/>
      </c>
      <c r="P39" s="2" t="n"/>
      <c r="Q39" s="59" t="n">
        <v>0.5</v>
      </c>
      <c r="R39" s="63">
        <f>($J39/$J$41) * (G$41/$J$41)</f>
        <v/>
      </c>
      <c r="S39" s="57">
        <f>($J39/$J$41) * (H$41/$J$41)</f>
        <v/>
      </c>
      <c r="T39" s="64">
        <f>($J39/$J$41) * (I$41/$J$41)</f>
        <v/>
      </c>
      <c r="U39" s="2" t="n"/>
      <c r="V39" s="41" t="inlineStr">
        <is>
          <t>Expected Weighted Disagreement (D_exp)</t>
        </is>
      </c>
      <c r="W39" s="43">
        <f>SUMPRODUCT(R38:T40, M38:O40)</f>
        <v/>
      </c>
      <c r="X39" s="44" t="inlineStr">
        <is>
          <t>Sum of (expected cell proportions × weights) under chance agreement.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'Gemini 3 Pro Grading'!C40</f>
        <v/>
      </c>
      <c r="D40" s="23">
        <f>'Claude Sonnet 4.5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37" t="n">
        <v>1</v>
      </c>
      <c r="M40" s="48">
        <f>ABS(G$2-$F40)/1</f>
        <v/>
      </c>
      <c r="N40" s="46">
        <f>ABS(H$2-$F40)/1</f>
        <v/>
      </c>
      <c r="O40" s="49">
        <f>ABS(I$2-$F40)/1</f>
        <v/>
      </c>
      <c r="P40" s="2" t="n"/>
      <c r="Q40" s="59" t="n">
        <v>1</v>
      </c>
      <c r="R40" s="65">
        <f>($J40/$J$41) * (G$41/$J$41)</f>
        <v/>
      </c>
      <c r="S40" s="66">
        <f>($J40/$J$41) * (H$41/$J$41)</f>
        <v/>
      </c>
      <c r="T40" s="67">
        <f>($J40/$J$41) * (I$41/$J$41)</f>
        <v/>
      </c>
      <c r="U40" s="2" t="n"/>
      <c r="V40" s="41" t="inlineStr">
        <is>
          <t>Cohen's Kappa</t>
        </is>
      </c>
      <c r="W40" s="48">
        <f>1-W38/W39</f>
        <v/>
      </c>
      <c r="X40" s="49" t="inlineStr">
        <is>
          <t>1 - (D_obs / D_exp)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'Gemini 3 Pro Grading'!C41</f>
        <v/>
      </c>
      <c r="D41" s="23">
        <f>'Claude Sonnet 4.5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>
        <f>SUM(G38:I40)</f>
        <v/>
      </c>
    </row>
    <row r="42" ht="15" customHeight="1" s="72">
      <c r="A42" s="71">
        <f>'Spa Manager'!A42</f>
        <v/>
      </c>
      <c r="B42" s="4">
        <f>'Spa Manager'!B42</f>
        <v/>
      </c>
      <c r="C42" s="23">
        <f>'Gemini 3 Pro Grading'!C42</f>
        <v/>
      </c>
      <c r="D42" s="23">
        <f>'Claude Sonnet 4.5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'Gemini 3 Pro Grading'!C43</f>
        <v/>
      </c>
      <c r="D43" s="23">
        <f>'Claude Sonnet 4.5 Grading'!C43</f>
        <v/>
      </c>
      <c r="E43" s="5" t="n"/>
      <c r="F43" s="77" t="inlineStr">
        <is>
          <t>Confusion Matrix (History State)</t>
        </is>
      </c>
    </row>
    <row r="44" ht="15" customHeight="1" s="72">
      <c r="A44" s="71">
        <f>'Spa Manager'!A44</f>
        <v/>
      </c>
      <c r="B44" s="4">
        <f>'Spa Manager'!B44</f>
        <v/>
      </c>
      <c r="C44" s="23">
        <f>'Gemini 3 Pro Grading'!C44</f>
        <v/>
      </c>
      <c r="D44" s="23">
        <f>'Claude Sonnet 4.5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2" t="inlineStr">
        <is>
          <t>Global</t>
        </is>
      </c>
      <c r="M44" s="52" t="inlineStr">
        <is>
          <t>0</t>
        </is>
      </c>
      <c r="N44" s="52" t="inlineStr">
        <is>
          <t>0.5</t>
        </is>
      </c>
      <c r="O44" s="52" t="inlineStr">
        <is>
          <t>1</t>
        </is>
      </c>
      <c r="P44" s="2" t="n"/>
      <c r="Q44" s="2" t="inlineStr">
        <is>
          <t>Global</t>
        </is>
      </c>
      <c r="R44" s="52" t="inlineStr">
        <is>
          <t>0</t>
        </is>
      </c>
      <c r="S44" s="52" t="inlineStr">
        <is>
          <t>0.5</t>
        </is>
      </c>
      <c r="T44" s="52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" customHeight="1" s="72">
      <c r="A45" s="6">
        <f>'Spa Manager'!A45</f>
        <v/>
      </c>
      <c r="B45" s="7">
        <f>'Spa Manager'!B45</f>
        <v/>
      </c>
      <c r="C45" s="68">
        <f>'Gemini 3 Pro Grading'!C45</f>
        <v/>
      </c>
      <c r="D45" s="68">
        <f>'Claude Sonnet 4.5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37" t="n">
        <v>0</v>
      </c>
      <c r="M45" s="38">
        <f>ABS(G$2-$F45)/1</f>
        <v/>
      </c>
      <c r="N45" s="39">
        <f>ABS(H$2-$F45)/1</f>
        <v/>
      </c>
      <c r="O45" s="42">
        <f>ABS(I$2-$F45)/1</f>
        <v/>
      </c>
      <c r="P45" s="2" t="n"/>
      <c r="Q45" s="37" t="n">
        <v>0</v>
      </c>
      <c r="R45" s="38">
        <f>($J45/$J$48) * (G$48/$J$48)</f>
        <v/>
      </c>
      <c r="S45" s="39">
        <f>($J45/$J$48) * (H$48/$J$48)</f>
        <v/>
      </c>
      <c r="T45" s="42">
        <f>($J45/$J$48) * (I$48/$J$48)</f>
        <v/>
      </c>
      <c r="U45" s="2" t="n"/>
      <c r="V45" s="41" t="inlineStr">
        <is>
          <t>Observed Weighted Disagreement (D_obs)</t>
        </is>
      </c>
      <c r="W45" s="38">
        <f>SUMPRODUCT(G45:I47, M45:O47) /$J$48</f>
        <v/>
      </c>
      <c r="X45" s="42" t="inlineStr">
        <is>
          <t>Sum of (confusion-matrix counts × weights) divided by total items.</t>
        </is>
      </c>
    </row>
    <row r="46" ht="15" customHeight="1" s="72">
      <c r="A46" s="71">
        <f>'Spa Manager'!A46</f>
        <v/>
      </c>
      <c r="B46" s="4">
        <f>'Spa Manager'!B46</f>
        <v/>
      </c>
      <c r="C46" s="23">
        <f>'Gemini 3 Pro Grading'!C46</f>
        <v/>
      </c>
      <c r="D46" s="23">
        <f>'Claude Sonnet 4.5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37" t="n">
        <v>0.5</v>
      </c>
      <c r="M46" s="43">
        <f>ABS(G$2-$F46)/1</f>
        <v/>
      </c>
      <c r="N46" s="2">
        <f>ABS(H$2-$F46)/3</f>
        <v/>
      </c>
      <c r="O46" s="44">
        <f>ABS(I$2-$F46)/1</f>
        <v/>
      </c>
      <c r="P46" s="2" t="n"/>
      <c r="Q46" s="37" t="n">
        <v>0.5</v>
      </c>
      <c r="R46" s="43">
        <f>($J46/$J$48) * (G$48/$J$48)</f>
        <v/>
      </c>
      <c r="S46" s="2">
        <f>($J46/$J$48) * (H$48/$J$48)</f>
        <v/>
      </c>
      <c r="T46" s="44">
        <f>($J46/$J$48) * (I$48/$J$48)</f>
        <v/>
      </c>
      <c r="U46" s="2" t="n"/>
      <c r="V46" s="41" t="inlineStr">
        <is>
          <t>Expected Weighted Disagreement (D_exp)</t>
        </is>
      </c>
      <c r="W46" s="43">
        <f>SUMPRODUCT(R45:T47, M45:O47)</f>
        <v/>
      </c>
      <c r="X46" s="44" t="inlineStr">
        <is>
          <t>Sum of (expected cell proportions × weights) under chance agreement.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'Gemini 3 Pro Grading'!C47</f>
        <v/>
      </c>
      <c r="D47" s="23">
        <f>'Claude Sonnet 4.5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37" t="n">
        <v>1</v>
      </c>
      <c r="M47" s="48">
        <f>ABS(G$2-$F47)/1</f>
        <v/>
      </c>
      <c r="N47" s="46">
        <f>ABS(H$2-$F47)/1</f>
        <v/>
      </c>
      <c r="O47" s="49">
        <f>ABS(I$2-$F47)/1</f>
        <v/>
      </c>
      <c r="P47" s="2" t="n"/>
      <c r="Q47" s="37" t="n">
        <v>1</v>
      </c>
      <c r="R47" s="48">
        <f>($J47/$J$48) * (G$48/$J$48)</f>
        <v/>
      </c>
      <c r="S47" s="46">
        <f>($J47/$J$48) * (H$48/$J$48)</f>
        <v/>
      </c>
      <c r="T47" s="49">
        <f>($J47/$J$48) * (I$48/$J$48)</f>
        <v/>
      </c>
      <c r="U47" s="2" t="n"/>
      <c r="V47" s="41" t="inlineStr">
        <is>
          <t>Cohen's Kappa</t>
        </is>
      </c>
      <c r="W47" s="48">
        <f>1-W45/W46</f>
        <v/>
      </c>
      <c r="X47" s="49" t="inlineStr">
        <is>
          <t>1 - (D_obs / D_exp)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'Gemini 3 Pro Grading'!C48</f>
        <v/>
      </c>
      <c r="D48" s="23">
        <f>'Claude Sonnet 4.5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>
        <f>SUM(G45:I47)</f>
        <v/>
      </c>
    </row>
    <row r="49" ht="15" customHeight="1" s="72">
      <c r="A49" s="71">
        <f>'Spa Manager'!A49</f>
        <v/>
      </c>
      <c r="B49" s="4">
        <f>'Spa Manager'!B49</f>
        <v/>
      </c>
      <c r="C49" s="23">
        <f>'Gemini 3 Pro Grading'!C49</f>
        <v/>
      </c>
      <c r="D49" s="23">
        <f>'Claude Sonnet 4.5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'Gemini 3 Pro Grading'!C50</f>
        <v/>
      </c>
      <c r="D50" s="23">
        <f>'Claude Sonnet 4.5 Grading'!C50</f>
        <v/>
      </c>
      <c r="F50" s="77" t="inlineStr">
        <is>
          <t>Confusion Matrix (Region)</t>
        </is>
      </c>
    </row>
    <row r="51" ht="12.75" customHeight="1" s="72">
      <c r="A51" s="71">
        <f>'Spa Manager'!A51</f>
        <v/>
      </c>
      <c r="B51" s="4">
        <f>'Spa Manager'!B51</f>
        <v/>
      </c>
      <c r="C51" s="23">
        <f>'Gemini 3 Pro Grading'!C51</f>
        <v/>
      </c>
      <c r="D51" s="23">
        <f>'Claude Sonnet 4.5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2" t="inlineStr">
        <is>
          <t>Global</t>
        </is>
      </c>
      <c r="M51" s="52" t="inlineStr">
        <is>
          <t>0</t>
        </is>
      </c>
      <c r="N51" s="52" t="inlineStr">
        <is>
          <t>0.5</t>
        </is>
      </c>
      <c r="O51" s="52" t="inlineStr">
        <is>
          <t>1</t>
        </is>
      </c>
      <c r="P51" s="2" t="n"/>
      <c r="Q51" s="2" t="inlineStr">
        <is>
          <t>Global</t>
        </is>
      </c>
      <c r="R51" s="52" t="inlineStr">
        <is>
          <t>0</t>
        </is>
      </c>
      <c r="S51" s="52" t="inlineStr">
        <is>
          <t>0.5</t>
        </is>
      </c>
      <c r="T51" s="52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'Gemini 3 Pro Grading'!C52</f>
        <v/>
      </c>
      <c r="D52" s="23">
        <f>'Claude Sonnet 4.5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37" t="n">
        <v>0</v>
      </c>
      <c r="M52" s="38">
        <f>ABS(G$2-$F52)/1</f>
        <v/>
      </c>
      <c r="N52" s="39">
        <f>ABS(H$2-$F52)/1</f>
        <v/>
      </c>
      <c r="O52" s="42">
        <f>ABS(I$2-$F52)/1</f>
        <v/>
      </c>
      <c r="P52" s="2" t="n"/>
      <c r="Q52" s="37" t="n">
        <v>0</v>
      </c>
      <c r="R52" s="38">
        <f>($J52/$J$55) * (G$55/$J$55)</f>
        <v/>
      </c>
      <c r="S52" s="39">
        <f>($J52/$J$55) * (H$55/$J$55)</f>
        <v/>
      </c>
      <c r="T52" s="42">
        <f>($J52/$J$55) * (I$55/$J$55)</f>
        <v/>
      </c>
      <c r="U52" s="2" t="n"/>
      <c r="V52" s="41" t="inlineStr">
        <is>
          <t>Observed Weighted Disagreement (D_obs)</t>
        </is>
      </c>
      <c r="W52" s="38">
        <f>SUMPRODUCT(G52:I54, M52:O54) /$J$55</f>
        <v/>
      </c>
      <c r="X52" s="42" t="inlineStr">
        <is>
          <t>Sum of (confusion-matrix counts × weights) divided by total items.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37" t="n">
        <v>0.5</v>
      </c>
      <c r="M53" s="43">
        <f>ABS(G$2-$F53)/1</f>
        <v/>
      </c>
      <c r="N53" s="2">
        <f>ABS(H$2-$F53)/3</f>
        <v/>
      </c>
      <c r="O53" s="44">
        <f>ABS(I$2-$F53)/1</f>
        <v/>
      </c>
      <c r="P53" s="2" t="n"/>
      <c r="Q53" s="37" t="n">
        <v>0.5</v>
      </c>
      <c r="R53" s="43">
        <f>($J53/$J$55) * (G$55/$J$55)</f>
        <v/>
      </c>
      <c r="S53" s="2">
        <f>($J53/$J$55) * (H$55/$J$55)</f>
        <v/>
      </c>
      <c r="T53" s="44">
        <f>($J53/$J$55) * (I$55/$J$55)</f>
        <v/>
      </c>
      <c r="U53" s="2" t="n"/>
      <c r="V53" s="41" t="inlineStr">
        <is>
          <t>Expected Weighted Disagreement (D_exp)</t>
        </is>
      </c>
      <c r="W53" s="43">
        <f>SUMPRODUCT(R52:T54, M52:O54)</f>
        <v/>
      </c>
      <c r="X53" s="44" t="inlineStr">
        <is>
          <t>Sum of (expected cell proportions × weights) under chance agreement.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37" t="n">
        <v>1</v>
      </c>
      <c r="M54" s="48">
        <f>ABS(G$2-$F54)/1</f>
        <v/>
      </c>
      <c r="N54" s="46">
        <f>ABS(H$2-$F54)/1</f>
        <v/>
      </c>
      <c r="O54" s="49">
        <f>ABS(I$2-$F54)/1</f>
        <v/>
      </c>
      <c r="P54" s="2" t="n"/>
      <c r="Q54" s="37" t="n">
        <v>1</v>
      </c>
      <c r="R54" s="48">
        <f>($J54/$J$55) * (G$55/$J$55)</f>
        <v/>
      </c>
      <c r="S54" s="46">
        <f>($J54/$J$55) * (H$55/$J$55)</f>
        <v/>
      </c>
      <c r="T54" s="49">
        <f>($J54/$J$55) * (I$55/$J$55)</f>
        <v/>
      </c>
      <c r="U54" s="2" t="n"/>
      <c r="V54" s="41" t="inlineStr">
        <is>
          <t>Cohen's Kappa</t>
        </is>
      </c>
      <c r="W54" s="48">
        <f>1-W52/W53</f>
        <v/>
      </c>
      <c r="X54" s="49" t="inlineStr">
        <is>
          <t>1 - (D_obs / D_exp)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>
        <f>SUM(G52:I54)</f>
        <v/>
      </c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/>
    <row r="269" ht="12.75" customHeight="1" s="72"/>
    <row r="270" ht="12.75" customHeight="1" s="72"/>
    <row r="271" ht="12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2026-05-04T23:43:49Z</dcterms:modified>
  <cp:lastModifiedBy>Marc-Antoine Nadeau</cp:lastModifiedBy>
</cp:coreProperties>
</file>