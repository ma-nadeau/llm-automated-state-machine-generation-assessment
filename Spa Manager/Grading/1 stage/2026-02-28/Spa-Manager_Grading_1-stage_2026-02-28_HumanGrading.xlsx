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 Manager" sheetId="1" r:id="rId4"/>
    <sheet state="visible" name="Grader #1" sheetId="2" r:id="rId5"/>
    <sheet state="visible" name="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LbDJImyn4v8Jg3fnlCDDFIqsEu4suJCoUTBIPLZGEWA="/>
    </ext>
  </extLst>
</workbook>
</file>

<file path=xl/sharedStrings.xml><?xml version="1.0" encoding="utf-8"?>
<sst xmlns="http://schemas.openxmlformats.org/spreadsheetml/2006/main" count="696" uniqueCount="110">
  <si>
    <t>Type</t>
  </si>
  <si>
    <t>Element</t>
  </si>
  <si>
    <t>Composite State</t>
  </si>
  <si>
    <t>SpaManager</t>
  </si>
  <si>
    <t>Region</t>
  </si>
  <si>
    <t>Jacuzzi</t>
  </si>
  <si>
    <t>State</t>
  </si>
  <si>
    <t>initial state (Jacuzzi → Off)</t>
  </si>
  <si>
    <t>Off</t>
  </si>
  <si>
    <t>On (Jacuzzi)</t>
  </si>
  <si>
    <t>Transition</t>
  </si>
  <si>
    <t>on (Off ⇒ On)</t>
  </si>
  <si>
    <t>off (On ⇒ Off)</t>
  </si>
  <si>
    <t>initial state (Level1)</t>
  </si>
  <si>
    <t>Level1</t>
  </si>
  <si>
    <t>up (Level1 ⇒ Level2)</t>
  </si>
  <si>
    <t>Level2</t>
  </si>
  <si>
    <t>up (Level2 ⇒ Level3)</t>
  </si>
  <si>
    <t>down (Level2 ⇒ Level1)</t>
  </si>
  <si>
    <t>Level3</t>
  </si>
  <si>
    <t>down (Level3 ⇒ Level2)</t>
  </si>
  <si>
    <t>History State</t>
  </si>
  <si>
    <t>History State for Jacuzzi On</t>
  </si>
  <si>
    <t>setPattern(PatternType type) (On⇒ History State)</t>
  </si>
  <si>
    <t>Paused</t>
  </si>
  <si>
    <t>pause (On⇒ Pause)</t>
  </si>
  <si>
    <t>after 2min  (Paused ⇒ History State)</t>
  </si>
  <si>
    <t>Sauna</t>
  </si>
  <si>
    <t>initial state (Sauna → Off)</t>
  </si>
  <si>
    <t>On (Sauna)</t>
  </si>
  <si>
    <t>Heater</t>
  </si>
  <si>
    <t>initial state (Heater → Heat)</t>
  </si>
  <si>
    <t>Heat</t>
  </si>
  <si>
    <t>Heat ⇒ Idle</t>
  </si>
  <si>
    <t>Guard</t>
  </si>
  <si>
    <t>[temp ≥ 90°C]</t>
  </si>
  <si>
    <t>Idle</t>
  </si>
  <si>
    <t>Idle ⇒ Heat</t>
  </si>
  <si>
    <t>[temp &lt; 85°C]</t>
  </si>
  <si>
    <t>Fan</t>
  </si>
  <si>
    <t>initial state (Fan → Off)</t>
  </si>
  <si>
    <t>Off ⇒ On</t>
  </si>
  <si>
    <t>[humidity &gt; 40% &amp;&amp; exceedTime &gt; 3min]</t>
  </si>
  <si>
    <t>Water</t>
  </si>
  <si>
    <t>initial state (Water → Idle)</t>
  </si>
  <si>
    <t>Idle ⇒ Idle</t>
  </si>
  <si>
    <t>disperse [humidity &lt; 40% &amp;&amp; !Fan.On &amp;&amp; timeSinceLast ≥ 15min]</t>
  </si>
  <si>
    <t>additional elements</t>
  </si>
  <si>
    <t>Action</t>
  </si>
  <si>
    <t>Rater 1</t>
  </si>
  <si>
    <t>Notes</t>
  </si>
  <si>
    <t>Not an external transistion</t>
  </si>
  <si>
    <t>Rater 2</t>
  </si>
  <si>
    <t>every level can get to it, but not like in solution</t>
  </si>
  <si>
    <t>maintaining</t>
  </si>
  <si>
    <t>Reion</t>
  </si>
  <si>
    <t>shown with additional state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</si>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</sst>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5">
    <border/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4" numFmtId="0" xfId="0" applyAlignment="1" applyBorder="1" applyFill="1" applyFont="1">
      <alignment horizontal="center"/>
    </xf>
    <xf borderId="2" fillId="2" fontId="3" numFmtId="0" xfId="0" applyBorder="1" applyFont="1"/>
    <xf borderId="2" fillId="3" fontId="1" numFmtId="0" xfId="0" applyAlignment="1" applyBorder="1" applyFill="1" applyFont="1">
      <alignment horizontal="center"/>
    </xf>
    <xf borderId="2" fillId="3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3" fillId="0" fontId="2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3" numFmtId="164" xfId="0" applyFont="1" applyNumberFormat="1"/>
    <xf borderId="0" fillId="0" fontId="2" numFmtId="0" xfId="0" applyAlignment="1" applyFont="1">
      <alignment readingOrder="0"/>
    </xf>
    <xf borderId="2" fillId="4" fontId="3" numFmtId="0" xfId="0" applyBorder="1" applyFill="1" applyFont="1"/>
    <xf borderId="2" fillId="4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center" readingOrder="0" vertical="center"/>
    </xf>
    <xf borderId="4" fillId="4" fontId="3" numFmtId="0" xfId="0" applyBorder="1" applyFont="1"/>
    <xf borderId="2" fillId="4" fontId="4" numFmtId="0" xfId="0" applyAlignment="1" applyBorder="1" applyFont="1">
      <alignment horizontal="center"/>
    </xf>
    <xf borderId="0" fillId="0" fontId="2" numFmtId="2" xfId="0" applyAlignment="1" applyFont="1" applyNumberFormat="1">
      <alignment horizontal="center" readingOrder="0" vertical="center"/>
    </xf>
    <xf borderId="5" fillId="5" fontId="1" numFmtId="0" xfId="0" applyAlignment="1" applyBorder="1" applyFill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0" fillId="6" fontId="6" numFmtId="0" xfId="0" applyAlignment="1" applyFill="1" applyFont="1">
      <alignment vertical="bottom"/>
    </xf>
    <xf borderId="8" fillId="5" fontId="1" numFmtId="0" xfId="0" applyAlignment="1" applyBorder="1" applyFont="1">
      <alignment horizontal="center"/>
    </xf>
    <xf borderId="0" fillId="4" fontId="6" numFmtId="0" xfId="0" applyAlignment="1" applyFont="1">
      <alignment vertical="bottom"/>
    </xf>
    <xf borderId="8" fillId="7" fontId="7" numFmtId="0" xfId="0" applyAlignment="1" applyBorder="1" applyFill="1" applyFont="1">
      <alignment shrinkToFit="0" vertical="center" wrapText="1"/>
    </xf>
    <xf borderId="8" fillId="0" fontId="3" numFmtId="0" xfId="0" applyBorder="1" applyFont="1"/>
    <xf borderId="8" fillId="0" fontId="2" numFmtId="0" xfId="0" applyBorder="1" applyFont="1"/>
    <xf borderId="0" fillId="0" fontId="6" numFmtId="0" xfId="0" applyAlignment="1" applyFont="1">
      <alignment vertical="bottom"/>
    </xf>
    <xf borderId="8" fillId="0" fontId="1" numFmtId="0" xfId="0" applyBorder="1" applyFont="1"/>
    <xf borderId="0" fillId="4" fontId="6" numFmtId="0" xfId="0" applyAlignment="1" applyFont="1">
      <alignment horizontal="right" vertical="bottom"/>
    </xf>
    <xf borderId="0" fillId="0" fontId="1" numFmtId="0" xfId="0" applyAlignment="1" applyFont="1">
      <alignment horizontal="center"/>
    </xf>
    <xf borderId="9" fillId="0" fontId="1" numFmtId="0" xfId="0" applyAlignment="1" applyBorder="1" applyFont="1">
      <alignment horizontal="center"/>
    </xf>
    <xf borderId="9" fillId="0" fontId="5" numFmtId="0" xfId="0" applyBorder="1" applyFont="1"/>
    <xf borderId="0" fillId="0" fontId="2" numFmtId="2" xfId="0" applyAlignment="1" applyFont="1" applyNumberFormat="1">
      <alignment horizontal="center" vertical="center"/>
    </xf>
    <xf borderId="10" fillId="8" fontId="2" numFmtId="0" xfId="0" applyAlignment="1" applyBorder="1" applyFill="1" applyFont="1">
      <alignment horizontal="center" vertical="center"/>
    </xf>
    <xf borderId="11" fillId="8" fontId="2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vertical="center"/>
    </xf>
    <xf borderId="13" fillId="8" fontId="2" numFmtId="0" xfId="0" applyAlignment="1" applyBorder="1" applyFont="1">
      <alignment horizontal="center" vertical="center"/>
    </xf>
    <xf borderId="2" fillId="8" fontId="4" numFmtId="0" xfId="0" applyAlignment="1" applyBorder="1" applyFont="1">
      <alignment horizontal="center" vertical="center"/>
    </xf>
    <xf borderId="14" fillId="8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2" xfId="0" applyAlignment="1" applyBorder="1" applyFont="1" applyNumberFormat="1">
      <alignment horizontal="center" vertical="center"/>
    </xf>
    <xf borderId="2" fillId="8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2" xfId="0" applyAlignment="1" applyBorder="1" applyFont="1" applyNumberForma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20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3" fillId="8" fontId="2" numFmtId="0" xfId="0" applyAlignment="1" applyBorder="1" applyFont="1">
      <alignment horizontal="center" vertical="center"/>
    </xf>
    <xf borderId="24" fillId="8" fontId="2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3" fillId="0" fontId="2" numFmtId="0" xfId="0" applyAlignment="1" applyBorder="1" applyFont="1">
      <alignment horizontal="left"/>
    </xf>
    <xf borderId="3" fillId="0" fontId="2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center"/>
    </xf>
    <xf borderId="23" fillId="8" fontId="6" numFmtId="0" xfId="0" applyAlignment="1" applyBorder="1" applyFont="1">
      <alignment horizontal="center"/>
    </xf>
    <xf borderId="14" fillId="8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/>
    </xf>
    <xf borderId="17" fillId="0" fontId="6" numFmtId="0" xfId="0" applyAlignment="1" applyBorder="1" applyFont="1">
      <alignment horizontal="center"/>
    </xf>
    <xf borderId="18" fillId="0" fontId="6" numFmtId="0" xfId="0" applyAlignment="1" applyBorder="1" applyFont="1">
      <alignment horizontal="center"/>
    </xf>
    <xf borderId="19" fillId="0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21" fillId="0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Spa Manager-style">
      <tableStyleElement dxfId="1" type="headerRow"/>
      <tableStyleElement dxfId="2" type="firstRowStripe"/>
      <tableStyleElement dxfId="3" type="secondRowStripe"/>
    </tableStyle>
    <tableStyle count="3" pivot="0" name="Grader #1-style">
      <tableStyleElement dxfId="1" type="headerRow"/>
      <tableStyleElement dxfId="2" type="firstRowStripe"/>
      <tableStyleElement dxfId="3" type="secondRowStripe"/>
    </tableStyle>
    <tableStyle count="3" pivot="0" name="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2" displayName="Table_1" name="Table_1" id="1">
  <tableColumns count="2">
    <tableColumn name="Type" id="1"/>
    <tableColumn name="Element" id="2"/>
  </tableColumns>
  <tableStyleInfo name="Spa Manager-style" showColumnStripes="0" showFirstColumn="1" showLastColumn="1" showRowStripes="1"/>
</table>
</file>

<file path=xl/tables/table2.xml><?xml version="1.0" encoding="utf-8"?>
<table xmlns="http://schemas.openxmlformats.org/spreadsheetml/2006/main" ref="A1:D52" displayName="Table_2" name="Table_2" id="2">
  <tableColumns count="4">
    <tableColumn name="Type" id="1"/>
    <tableColumn name="Element" id="2"/>
    <tableColumn name="Rater 1" id="3"/>
    <tableColumn name="Notes" id="4"/>
  </tableColumns>
  <tableStyleInfo name="Grader #1-style" showColumnStripes="0" showFirstColumn="1" showLastColumn="1" showRowStripes="1"/>
</table>
</file>

<file path=xl/tables/table3.xml><?xml version="1.0" encoding="utf-8"?>
<table xmlns="http://schemas.openxmlformats.org/spreadsheetml/2006/main" ref="A1:D52" displayName="Table_3" name="Table_3" id="3">
  <tableColumns count="4">
    <tableColumn name="Type" id="1"/>
    <tableColumn name="Element" id="2"/>
    <tableColumn name="Rater 2" id="3"/>
    <tableColumn name="Notes" id="4"/>
  </tableColumns>
  <tableStyleInfo name="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2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2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50.63"/>
    <col customWidth="1" min="3" max="22" width="10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6</v>
      </c>
      <c r="B5" s="4" t="s">
        <v>8</v>
      </c>
    </row>
    <row r="6" ht="12.75" customHeight="1">
      <c r="A6" s="3" t="s">
        <v>2</v>
      </c>
      <c r="B6" s="4" t="s">
        <v>9</v>
      </c>
    </row>
    <row r="7" ht="12.75" customHeight="1">
      <c r="A7" s="3" t="s">
        <v>10</v>
      </c>
      <c r="B7" s="4" t="s">
        <v>11</v>
      </c>
    </row>
    <row r="8" ht="12.75" customHeight="1">
      <c r="A8" s="3" t="s">
        <v>10</v>
      </c>
      <c r="B8" s="4" t="s">
        <v>12</v>
      </c>
    </row>
    <row r="9" ht="12.75" customHeight="1">
      <c r="A9" s="3" t="s">
        <v>6</v>
      </c>
      <c r="B9" s="4" t="s">
        <v>13</v>
      </c>
    </row>
    <row r="10" ht="12.75" customHeight="1">
      <c r="A10" s="3" t="s">
        <v>6</v>
      </c>
      <c r="B10" s="4" t="s">
        <v>14</v>
      </c>
    </row>
    <row r="11" ht="12.75" customHeight="1">
      <c r="A11" s="3" t="s">
        <v>10</v>
      </c>
      <c r="B11" s="4" t="s">
        <v>15</v>
      </c>
    </row>
    <row r="12" ht="12.75" customHeight="1">
      <c r="A12" s="3" t="s">
        <v>6</v>
      </c>
      <c r="B12" s="4" t="s">
        <v>16</v>
      </c>
    </row>
    <row r="13" ht="12.75" customHeight="1">
      <c r="A13" s="3" t="s">
        <v>10</v>
      </c>
      <c r="B13" s="4" t="s">
        <v>17</v>
      </c>
    </row>
    <row r="14" ht="12.75" customHeight="1">
      <c r="A14" s="3" t="s">
        <v>10</v>
      </c>
      <c r="B14" s="4" t="s">
        <v>18</v>
      </c>
    </row>
    <row r="15" ht="12.75" customHeight="1">
      <c r="A15" s="3" t="s">
        <v>6</v>
      </c>
      <c r="B15" s="4" t="s">
        <v>19</v>
      </c>
    </row>
    <row r="16" ht="12.75" customHeight="1">
      <c r="A16" s="3" t="s">
        <v>10</v>
      </c>
      <c r="B16" s="4" t="s">
        <v>20</v>
      </c>
    </row>
    <row r="17" ht="12.75" customHeight="1">
      <c r="A17" s="3" t="s">
        <v>21</v>
      </c>
      <c r="B17" s="4" t="s">
        <v>22</v>
      </c>
    </row>
    <row r="18" ht="12.75" customHeight="1">
      <c r="A18" s="3" t="s">
        <v>10</v>
      </c>
      <c r="B18" s="4" t="s">
        <v>23</v>
      </c>
    </row>
    <row r="19" ht="12.75" customHeight="1">
      <c r="A19" s="3" t="s">
        <v>6</v>
      </c>
      <c r="B19" s="4" t="s">
        <v>24</v>
      </c>
    </row>
    <row r="20" ht="13.5" customHeight="1">
      <c r="A20" s="3" t="s">
        <v>10</v>
      </c>
      <c r="B20" s="4" t="s">
        <v>25</v>
      </c>
    </row>
    <row r="21" ht="12.75" customHeight="1">
      <c r="A21" s="3" t="s">
        <v>10</v>
      </c>
      <c r="B21" s="4" t="s">
        <v>26</v>
      </c>
    </row>
    <row r="22" ht="12.75" customHeight="1">
      <c r="A22" s="3" t="s">
        <v>4</v>
      </c>
      <c r="B22" s="4" t="s">
        <v>27</v>
      </c>
    </row>
    <row r="23" ht="12.75" customHeight="1">
      <c r="A23" s="3" t="s">
        <v>6</v>
      </c>
      <c r="B23" s="4" t="s">
        <v>28</v>
      </c>
    </row>
    <row r="24" ht="12.75" customHeight="1">
      <c r="A24" s="3" t="s">
        <v>6</v>
      </c>
      <c r="B24" s="4" t="s">
        <v>8</v>
      </c>
    </row>
    <row r="25" ht="12.75" customHeight="1">
      <c r="A25" s="3" t="s">
        <v>2</v>
      </c>
      <c r="B25" s="4" t="s">
        <v>29</v>
      </c>
    </row>
    <row r="26" ht="12.75" customHeight="1">
      <c r="A26" s="3" t="s">
        <v>10</v>
      </c>
      <c r="B26" s="4" t="s">
        <v>11</v>
      </c>
    </row>
    <row r="27" ht="12.75" customHeight="1">
      <c r="A27" s="3" t="s">
        <v>10</v>
      </c>
      <c r="B27" s="4" t="s">
        <v>12</v>
      </c>
    </row>
    <row r="28" ht="12.75" customHeight="1">
      <c r="A28" s="5" t="s">
        <v>4</v>
      </c>
      <c r="B28" s="4" t="s">
        <v>30</v>
      </c>
    </row>
    <row r="29" ht="12.75" customHeight="1">
      <c r="A29" s="3" t="s">
        <v>6</v>
      </c>
      <c r="B29" s="4" t="s">
        <v>31</v>
      </c>
    </row>
    <row r="30" ht="12.75" customHeight="1">
      <c r="A30" s="3" t="s">
        <v>6</v>
      </c>
      <c r="B30" s="4" t="s">
        <v>32</v>
      </c>
    </row>
    <row r="31" ht="12.75" customHeight="1">
      <c r="A31" s="3" t="s">
        <v>10</v>
      </c>
      <c r="B31" s="4" t="s">
        <v>33</v>
      </c>
    </row>
    <row r="32" ht="12.75" customHeight="1">
      <c r="A32" s="3" t="s">
        <v>34</v>
      </c>
      <c r="B32" s="4" t="s">
        <v>35</v>
      </c>
    </row>
    <row r="33" ht="12.75" customHeight="1">
      <c r="A33" s="3" t="s">
        <v>6</v>
      </c>
      <c r="B33" s="4" t="s">
        <v>36</v>
      </c>
    </row>
    <row r="34" ht="12.75" customHeight="1">
      <c r="A34" s="3" t="s">
        <v>10</v>
      </c>
      <c r="B34" s="4" t="s">
        <v>37</v>
      </c>
    </row>
    <row r="35" ht="12.75" customHeight="1">
      <c r="A35" s="3" t="s">
        <v>34</v>
      </c>
      <c r="B35" s="4" t="s">
        <v>38</v>
      </c>
    </row>
    <row r="36" ht="12.75" customHeight="1">
      <c r="A36" s="5" t="s">
        <v>4</v>
      </c>
      <c r="B36" s="4" t="s">
        <v>39</v>
      </c>
    </row>
    <row r="37" ht="12.75" customHeight="1">
      <c r="A37" s="3" t="s">
        <v>6</v>
      </c>
      <c r="B37" s="4" t="s">
        <v>40</v>
      </c>
    </row>
    <row r="38" ht="12.75" customHeight="1">
      <c r="A38" s="3" t="s">
        <v>6</v>
      </c>
      <c r="B38" s="4" t="s">
        <v>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5.0" customHeight="1">
      <c r="A39" s="3" t="s">
        <v>10</v>
      </c>
      <c r="B39" s="4" t="s">
        <v>41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3" t="s">
        <v>34</v>
      </c>
      <c r="B40" s="4" t="s">
        <v>42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5" t="s">
        <v>4</v>
      </c>
      <c r="B41" s="4" t="s">
        <v>43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3" t="s">
        <v>6</v>
      </c>
      <c r="B42" s="4" t="s">
        <v>44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3" t="s">
        <v>6</v>
      </c>
      <c r="B43" s="4" t="s">
        <v>36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3" t="s">
        <v>10</v>
      </c>
      <c r="B44" s="4" t="s">
        <v>45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7" t="s">
        <v>34</v>
      </c>
      <c r="B45" s="8" t="s">
        <v>46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9" t="s">
        <v>6</v>
      </c>
      <c r="B46" s="10" t="s">
        <v>47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2.75" customHeight="1">
      <c r="A47" s="11" t="s">
        <v>10</v>
      </c>
      <c r="B47" s="12" t="s">
        <v>47</v>
      </c>
    </row>
    <row r="48" ht="12.75" customHeight="1">
      <c r="A48" s="3" t="s">
        <v>34</v>
      </c>
      <c r="B48" s="4" t="s">
        <v>47</v>
      </c>
    </row>
    <row r="49" ht="12.75" customHeight="1">
      <c r="A49" s="11" t="s">
        <v>48</v>
      </c>
      <c r="B49" s="12" t="s">
        <v>47</v>
      </c>
    </row>
    <row r="50" ht="12.75" customHeight="1">
      <c r="A50" s="3" t="s">
        <v>2</v>
      </c>
      <c r="B50" s="4" t="s">
        <v>47</v>
      </c>
    </row>
    <row r="51" ht="12.75" customHeight="1">
      <c r="A51" s="11" t="s">
        <v>4</v>
      </c>
      <c r="B51" s="12" t="s">
        <v>47</v>
      </c>
    </row>
    <row r="52" ht="12.75" customHeight="1">
      <c r="A52" s="3" t="s">
        <v>21</v>
      </c>
      <c r="B52" s="4" t="s">
        <v>47</v>
      </c>
    </row>
    <row r="53" ht="12.75" customHeight="1">
      <c r="A53" s="13"/>
      <c r="B53" s="14"/>
    </row>
    <row r="54" ht="12.75" customHeight="1">
      <c r="A54" s="13"/>
      <c r="B54" s="14"/>
    </row>
    <row r="55" ht="12.75" customHeight="1">
      <c r="A55" s="13"/>
      <c r="B55" s="14"/>
    </row>
    <row r="56" ht="12.75" customHeight="1">
      <c r="A56" s="13"/>
      <c r="B56" s="14"/>
    </row>
    <row r="57" ht="12.75" customHeight="1">
      <c r="A57" s="13"/>
      <c r="B57" s="14"/>
    </row>
    <row r="58" ht="12.75" customHeight="1">
      <c r="A58" s="13"/>
      <c r="B58" s="14"/>
    </row>
    <row r="59" ht="12.75" customHeight="1">
      <c r="A59" s="13"/>
      <c r="B59" s="14"/>
    </row>
    <row r="60" ht="12.75" customHeight="1">
      <c r="A60" s="13"/>
      <c r="B60" s="14"/>
    </row>
    <row r="61" ht="12.75" customHeight="1">
      <c r="A61" s="13"/>
      <c r="B61" s="14"/>
    </row>
    <row r="62" ht="12.75" customHeight="1">
      <c r="A62" s="13"/>
      <c r="B62" s="14"/>
    </row>
    <row r="63" ht="12.75" customHeight="1">
      <c r="A63" s="13"/>
      <c r="B63" s="14"/>
    </row>
    <row r="64" ht="12.75" customHeight="1">
      <c r="A64" s="13"/>
      <c r="B64" s="14"/>
    </row>
    <row r="65" ht="12.75" customHeight="1">
      <c r="A65" s="13"/>
      <c r="B65" s="14"/>
    </row>
    <row r="66" ht="12.75" customHeight="1">
      <c r="A66" s="13"/>
      <c r="B66" s="14"/>
    </row>
    <row r="67" ht="12.75" customHeight="1">
      <c r="A67" s="13"/>
      <c r="B67" s="14"/>
    </row>
    <row r="68" ht="12.75" customHeight="1">
      <c r="A68" s="13"/>
      <c r="B68" s="14"/>
    </row>
    <row r="69" ht="12.75" customHeight="1">
      <c r="A69" s="13"/>
      <c r="B69" s="14"/>
    </row>
    <row r="70" ht="12.75" customHeight="1">
      <c r="A70" s="13"/>
      <c r="B70" s="14"/>
    </row>
    <row r="71" ht="12.75" customHeight="1">
      <c r="A71" s="13"/>
      <c r="B71" s="14"/>
    </row>
    <row r="72" ht="12.75" customHeight="1">
      <c r="A72" s="13"/>
      <c r="B72" s="14"/>
    </row>
    <row r="73" ht="12.75" customHeight="1">
      <c r="A73" s="13"/>
      <c r="B73" s="14"/>
    </row>
    <row r="74" ht="12.75" customHeight="1">
      <c r="A74" s="13"/>
      <c r="B74" s="14"/>
    </row>
    <row r="75" ht="12.75" customHeight="1">
      <c r="A75" s="13"/>
      <c r="B75" s="14"/>
    </row>
    <row r="76" ht="12.75" customHeight="1">
      <c r="A76" s="13"/>
      <c r="B76" s="14"/>
    </row>
    <row r="77" ht="12.75" customHeight="1">
      <c r="A77" s="13"/>
      <c r="B77" s="14"/>
    </row>
    <row r="78" ht="12.75" customHeight="1">
      <c r="A78" s="13"/>
      <c r="B78" s="14"/>
    </row>
    <row r="79" ht="12.75" customHeight="1">
      <c r="A79" s="13"/>
      <c r="B79" s="14"/>
    </row>
    <row r="80" ht="12.75" customHeight="1">
      <c r="A80" s="13"/>
      <c r="B80" s="14"/>
    </row>
    <row r="81" ht="12.75" customHeight="1">
      <c r="A81" s="13"/>
      <c r="B81" s="14"/>
    </row>
    <row r="82" ht="12.75" customHeight="1">
      <c r="A82" s="13"/>
      <c r="B82" s="14"/>
    </row>
    <row r="83" ht="12.75" customHeight="1">
      <c r="A83" s="13"/>
      <c r="B83" s="14"/>
    </row>
    <row r="84" ht="12.75" customHeight="1">
      <c r="A84" s="13"/>
      <c r="B84" s="14"/>
    </row>
    <row r="85" ht="12.75" customHeight="1">
      <c r="A85" s="13"/>
      <c r="B85" s="14"/>
    </row>
    <row r="86" ht="12.75" customHeight="1">
      <c r="A86" s="13"/>
      <c r="B86" s="14"/>
    </row>
    <row r="87" ht="12.75" customHeight="1">
      <c r="A87" s="13"/>
      <c r="B87" s="14"/>
    </row>
    <row r="88" ht="12.75" customHeight="1">
      <c r="A88" s="13"/>
      <c r="B88" s="14"/>
    </row>
    <row r="89" ht="12.75" customHeight="1">
      <c r="A89" s="13"/>
      <c r="B89" s="14"/>
    </row>
    <row r="90" ht="12.75" customHeight="1">
      <c r="A90" s="13"/>
      <c r="B90" s="14"/>
    </row>
    <row r="91" ht="12.75" customHeight="1">
      <c r="A91" s="13"/>
      <c r="B91" s="14"/>
    </row>
    <row r="92" ht="12.75" customHeight="1">
      <c r="A92" s="13"/>
      <c r="B92" s="14"/>
    </row>
    <row r="93" ht="12.75" customHeight="1">
      <c r="A93" s="13"/>
      <c r="B93" s="14"/>
    </row>
    <row r="94" ht="12.75" customHeight="1">
      <c r="A94" s="13"/>
      <c r="B94" s="14"/>
    </row>
    <row r="95" ht="12.75" customHeight="1">
      <c r="A95" s="13"/>
      <c r="B95" s="14"/>
    </row>
    <row r="96" ht="12.75" customHeight="1">
      <c r="A96" s="13"/>
      <c r="B96" s="14"/>
    </row>
    <row r="97" ht="12.75" customHeight="1">
      <c r="A97" s="13"/>
      <c r="B97" s="14"/>
    </row>
    <row r="98" ht="12.75" customHeight="1">
      <c r="A98" s="13"/>
      <c r="B98" s="14"/>
    </row>
    <row r="99" ht="12.75" customHeight="1">
      <c r="A99" s="13"/>
      <c r="B99" s="14"/>
    </row>
    <row r="100" ht="12.75" customHeight="1">
      <c r="A100" s="13"/>
      <c r="B100" s="14"/>
    </row>
    <row r="101" ht="12.75" customHeight="1">
      <c r="A101" s="13"/>
      <c r="B101" s="14"/>
    </row>
    <row r="102" ht="12.75" customHeight="1">
      <c r="A102" s="13"/>
      <c r="B102" s="14"/>
    </row>
    <row r="103" ht="12.75" customHeight="1">
      <c r="A103" s="13"/>
      <c r="B103" s="14"/>
    </row>
    <row r="104" ht="12.75" customHeight="1">
      <c r="A104" s="13"/>
      <c r="B104" s="14"/>
    </row>
    <row r="105" ht="12.75" customHeight="1">
      <c r="A105" s="13"/>
      <c r="B105" s="14"/>
    </row>
    <row r="106" ht="12.75" customHeight="1">
      <c r="A106" s="13"/>
      <c r="B106" s="14"/>
    </row>
    <row r="107" ht="12.75" customHeight="1">
      <c r="A107" s="13"/>
      <c r="B107" s="14"/>
    </row>
    <row r="108" ht="12.75" customHeight="1">
      <c r="A108" s="13"/>
      <c r="B108" s="14"/>
    </row>
    <row r="109" ht="12.75" customHeight="1">
      <c r="A109" s="13"/>
      <c r="B109" s="14"/>
    </row>
    <row r="110" ht="12.75" customHeight="1">
      <c r="A110" s="13"/>
      <c r="B110" s="14"/>
    </row>
    <row r="111" ht="12.75" customHeight="1">
      <c r="A111" s="13"/>
      <c r="B111" s="14"/>
    </row>
    <row r="112" ht="12.75" customHeight="1">
      <c r="A112" s="13"/>
      <c r="B112" s="14"/>
    </row>
    <row r="113" ht="12.75" customHeight="1">
      <c r="A113" s="13"/>
      <c r="B113" s="14"/>
    </row>
    <row r="114" ht="12.75" customHeight="1">
      <c r="A114" s="13"/>
      <c r="B114" s="14"/>
    </row>
    <row r="115" ht="12.75" customHeight="1">
      <c r="A115" s="13"/>
      <c r="B115" s="14"/>
    </row>
    <row r="116" ht="12.75" customHeight="1">
      <c r="A116" s="13"/>
      <c r="B116" s="14"/>
    </row>
    <row r="117" ht="12.75" customHeight="1">
      <c r="A117" s="13"/>
      <c r="B117" s="14"/>
    </row>
    <row r="118" ht="12.75" customHeight="1">
      <c r="A118" s="13"/>
      <c r="B118" s="14"/>
    </row>
    <row r="119" ht="12.75" customHeight="1">
      <c r="A119" s="13"/>
      <c r="B119" s="14"/>
    </row>
    <row r="120" ht="12.75" customHeight="1">
      <c r="A120" s="13"/>
      <c r="B120" s="14"/>
    </row>
    <row r="121" ht="12.75" customHeight="1">
      <c r="A121" s="13"/>
      <c r="B121" s="14"/>
    </row>
    <row r="122" ht="12.75" customHeight="1">
      <c r="A122" s="13"/>
      <c r="B122" s="14"/>
    </row>
    <row r="123" ht="12.75" customHeight="1">
      <c r="A123" s="13"/>
      <c r="B123" s="14"/>
    </row>
    <row r="124" ht="12.75" customHeight="1">
      <c r="A124" s="13"/>
      <c r="B124" s="14"/>
    </row>
    <row r="125" ht="12.75" customHeight="1">
      <c r="A125" s="13"/>
      <c r="B125" s="14"/>
    </row>
    <row r="126" ht="12.75" customHeight="1">
      <c r="A126" s="13"/>
      <c r="B126" s="14"/>
    </row>
    <row r="127" ht="12.75" customHeight="1">
      <c r="A127" s="13"/>
      <c r="B127" s="14"/>
    </row>
    <row r="128" ht="12.75" customHeight="1">
      <c r="A128" s="13"/>
      <c r="B128" s="14"/>
    </row>
    <row r="129" ht="12.75" customHeight="1">
      <c r="A129" s="13"/>
      <c r="B129" s="14"/>
    </row>
    <row r="130" ht="12.75" customHeight="1">
      <c r="A130" s="13"/>
      <c r="B130" s="14"/>
    </row>
    <row r="131" ht="12.75" customHeight="1">
      <c r="A131" s="13"/>
      <c r="B131" s="14"/>
    </row>
    <row r="132" ht="12.75" customHeight="1">
      <c r="A132" s="13"/>
      <c r="B132" s="14"/>
    </row>
    <row r="133" ht="12.75" customHeight="1">
      <c r="A133" s="13"/>
      <c r="B133" s="14"/>
    </row>
    <row r="134" ht="12.75" customHeight="1">
      <c r="A134" s="13"/>
      <c r="B134" s="14"/>
    </row>
    <row r="135" ht="12.75" customHeight="1">
      <c r="A135" s="13"/>
      <c r="B135" s="14"/>
    </row>
    <row r="136" ht="12.75" customHeight="1">
      <c r="A136" s="13"/>
      <c r="B136" s="14"/>
    </row>
    <row r="137" ht="12.75" customHeight="1">
      <c r="A137" s="13"/>
      <c r="B137" s="14"/>
    </row>
    <row r="138" ht="12.75" customHeight="1">
      <c r="A138" s="13"/>
      <c r="B138" s="14"/>
    </row>
    <row r="139" ht="12.75" customHeight="1">
      <c r="A139" s="13"/>
      <c r="B139" s="14"/>
    </row>
    <row r="140" ht="12.75" customHeight="1">
      <c r="A140" s="13"/>
      <c r="B140" s="14"/>
    </row>
    <row r="141" ht="12.75" customHeight="1">
      <c r="A141" s="13"/>
      <c r="B141" s="14"/>
    </row>
    <row r="142" ht="12.75" customHeight="1">
      <c r="A142" s="13"/>
      <c r="B142" s="14"/>
    </row>
    <row r="143" ht="12.75" customHeight="1">
      <c r="A143" s="13"/>
      <c r="B143" s="14"/>
    </row>
    <row r="144" ht="12.75" customHeight="1">
      <c r="A144" s="13"/>
      <c r="B144" s="14"/>
    </row>
    <row r="145" ht="12.75" customHeight="1">
      <c r="A145" s="13"/>
      <c r="B145" s="14"/>
    </row>
    <row r="146" ht="12.75" customHeight="1">
      <c r="A146" s="13"/>
      <c r="B146" s="14"/>
    </row>
    <row r="147" ht="12.75" customHeight="1">
      <c r="A147" s="13"/>
      <c r="B147" s="14"/>
    </row>
    <row r="148" ht="12.75" customHeight="1">
      <c r="A148" s="13"/>
      <c r="B148" s="14"/>
    </row>
    <row r="149" ht="12.75" customHeight="1">
      <c r="A149" s="13"/>
      <c r="B149" s="14"/>
    </row>
    <row r="150" ht="12.75" customHeight="1">
      <c r="A150" s="13"/>
      <c r="B150" s="14"/>
    </row>
    <row r="151" ht="12.75" customHeight="1">
      <c r="A151" s="13"/>
      <c r="B151" s="14"/>
    </row>
    <row r="152" ht="12.75" customHeight="1">
      <c r="A152" s="13"/>
      <c r="B152" s="14"/>
    </row>
    <row r="153" ht="12.75" customHeight="1">
      <c r="A153" s="13"/>
      <c r="B153" s="14"/>
    </row>
    <row r="154" ht="12.75" customHeight="1">
      <c r="A154" s="13"/>
      <c r="B154" s="14"/>
    </row>
    <row r="155" ht="12.75" customHeight="1">
      <c r="A155" s="13"/>
      <c r="B155" s="14"/>
    </row>
    <row r="156" ht="12.75" customHeight="1">
      <c r="A156" s="13"/>
      <c r="B156" s="14"/>
    </row>
    <row r="157" ht="12.75" customHeight="1">
      <c r="A157" s="13"/>
      <c r="B157" s="14"/>
    </row>
    <row r="158" ht="12.75" customHeight="1">
      <c r="A158" s="13"/>
      <c r="B158" s="14"/>
    </row>
    <row r="159" ht="12.75" customHeight="1">
      <c r="A159" s="13"/>
      <c r="B159" s="14"/>
    </row>
    <row r="160" ht="12.75" customHeight="1">
      <c r="A160" s="13"/>
      <c r="B160" s="14"/>
    </row>
    <row r="161" ht="12.75" customHeight="1">
      <c r="A161" s="13"/>
      <c r="B161" s="14"/>
    </row>
    <row r="162" ht="12.75" customHeight="1">
      <c r="A162" s="13"/>
      <c r="B162" s="14"/>
    </row>
    <row r="163" ht="12.75" customHeight="1">
      <c r="A163" s="13"/>
      <c r="B163" s="14"/>
    </row>
    <row r="164" ht="12.75" customHeight="1">
      <c r="A164" s="13"/>
      <c r="B164" s="14"/>
    </row>
    <row r="165" ht="12.75" customHeight="1">
      <c r="A165" s="13"/>
      <c r="B165" s="14"/>
    </row>
    <row r="166" ht="12.75" customHeight="1">
      <c r="A166" s="13"/>
      <c r="B166" s="14"/>
    </row>
    <row r="167" ht="12.75" customHeight="1">
      <c r="A167" s="13"/>
      <c r="B167" s="14"/>
    </row>
    <row r="168" ht="12.75" customHeight="1">
      <c r="A168" s="13"/>
      <c r="B168" s="14"/>
    </row>
    <row r="169" ht="12.75" customHeight="1">
      <c r="A169" s="13"/>
      <c r="B169" s="14"/>
    </row>
    <row r="170" ht="12.75" customHeight="1">
      <c r="A170" s="13"/>
      <c r="B170" s="14"/>
    </row>
    <row r="171" ht="12.75" customHeight="1">
      <c r="A171" s="13"/>
      <c r="B171" s="14"/>
    </row>
    <row r="172" ht="12.75" customHeight="1">
      <c r="A172" s="13"/>
      <c r="B172" s="14"/>
    </row>
    <row r="173" ht="12.75" customHeight="1">
      <c r="A173" s="13"/>
      <c r="B173" s="14"/>
    </row>
    <row r="174" ht="12.75" customHeight="1">
      <c r="A174" s="13"/>
      <c r="B174" s="14"/>
    </row>
    <row r="175" ht="12.75" customHeight="1">
      <c r="A175" s="13"/>
      <c r="B175" s="14"/>
    </row>
    <row r="176" ht="12.75" customHeight="1">
      <c r="A176" s="13"/>
      <c r="B176" s="14"/>
    </row>
    <row r="177" ht="12.75" customHeight="1">
      <c r="A177" s="13"/>
      <c r="B177" s="14"/>
    </row>
    <row r="178" ht="12.75" customHeight="1">
      <c r="A178" s="13"/>
      <c r="B178" s="14"/>
    </row>
    <row r="179" ht="12.75" customHeight="1">
      <c r="A179" s="13"/>
      <c r="B179" s="14"/>
    </row>
    <row r="180" ht="12.75" customHeight="1">
      <c r="A180" s="13"/>
      <c r="B180" s="14"/>
    </row>
    <row r="181" ht="12.75" customHeight="1">
      <c r="A181" s="13"/>
      <c r="B181" s="14"/>
    </row>
    <row r="182" ht="12.75" customHeight="1">
      <c r="A182" s="13"/>
      <c r="B182" s="14"/>
    </row>
    <row r="183" ht="12.75" customHeight="1">
      <c r="A183" s="13"/>
      <c r="B183" s="14"/>
    </row>
    <row r="184" ht="12.75" customHeight="1">
      <c r="A184" s="13"/>
      <c r="B184" s="14"/>
    </row>
    <row r="185" ht="12.75" customHeight="1">
      <c r="A185" s="13"/>
      <c r="B185" s="14"/>
    </row>
    <row r="186" ht="12.75" customHeight="1">
      <c r="A186" s="13"/>
      <c r="B186" s="14"/>
    </row>
    <row r="187" ht="12.75" customHeight="1">
      <c r="A187" s="13"/>
      <c r="B187" s="14"/>
    </row>
    <row r="188" ht="12.75" customHeight="1">
      <c r="A188" s="13"/>
      <c r="B188" s="14"/>
    </row>
    <row r="189" ht="12.75" customHeight="1">
      <c r="A189" s="13"/>
      <c r="B189" s="14"/>
    </row>
    <row r="190" ht="12.75" customHeight="1">
      <c r="A190" s="13"/>
      <c r="B190" s="14"/>
    </row>
    <row r="191" ht="12.75" customHeight="1">
      <c r="A191" s="13"/>
      <c r="B191" s="14"/>
    </row>
    <row r="192" ht="12.75" customHeight="1">
      <c r="A192" s="13"/>
      <c r="B192" s="14"/>
    </row>
    <row r="193" ht="12.75" customHeight="1">
      <c r="A193" s="13"/>
      <c r="B193" s="14"/>
    </row>
    <row r="194" ht="12.75" customHeight="1">
      <c r="A194" s="13"/>
      <c r="B194" s="14"/>
    </row>
    <row r="195" ht="12.75" customHeight="1">
      <c r="A195" s="13"/>
      <c r="B195" s="14"/>
    </row>
    <row r="196" ht="12.75" customHeight="1">
      <c r="A196" s="13"/>
      <c r="B196" s="14"/>
    </row>
    <row r="197" ht="12.75" customHeight="1">
      <c r="A197" s="13"/>
      <c r="B197" s="14"/>
    </row>
    <row r="198" ht="12.75" customHeight="1">
      <c r="A198" s="13"/>
      <c r="B198" s="14"/>
    </row>
    <row r="199" ht="12.75" customHeight="1">
      <c r="A199" s="13"/>
      <c r="B199" s="14"/>
    </row>
    <row r="200" ht="12.75" customHeight="1">
      <c r="A200" s="13"/>
      <c r="B200" s="14"/>
    </row>
    <row r="201" ht="12.75" customHeight="1">
      <c r="A201" s="13"/>
      <c r="B201" s="14"/>
    </row>
    <row r="202" ht="12.75" customHeight="1">
      <c r="A202" s="13"/>
      <c r="B202" s="14"/>
    </row>
    <row r="203" ht="12.75" customHeight="1">
      <c r="A203" s="13"/>
      <c r="B203" s="14"/>
    </row>
    <row r="204" ht="12.75" customHeight="1">
      <c r="A204" s="13"/>
      <c r="B204" s="14"/>
    </row>
    <row r="205" ht="12.75" customHeight="1">
      <c r="A205" s="13"/>
      <c r="B205" s="14"/>
    </row>
    <row r="206" ht="12.75" customHeight="1">
      <c r="A206" s="13"/>
      <c r="B206" s="14"/>
    </row>
    <row r="207" ht="12.75" customHeight="1">
      <c r="A207" s="13"/>
      <c r="B207" s="14"/>
    </row>
    <row r="208" ht="12.75" customHeight="1">
      <c r="A208" s="13"/>
      <c r="B208" s="14"/>
    </row>
    <row r="209" ht="12.75" customHeight="1">
      <c r="A209" s="13"/>
      <c r="B209" s="14"/>
    </row>
    <row r="210" ht="12.75" customHeight="1">
      <c r="A210" s="13"/>
      <c r="B210" s="14"/>
    </row>
    <row r="211" ht="12.75" customHeight="1">
      <c r="A211" s="13"/>
      <c r="B211" s="14"/>
    </row>
    <row r="212" ht="12.75" customHeight="1">
      <c r="A212" s="13"/>
      <c r="B212" s="14"/>
    </row>
    <row r="213" ht="12.75" customHeight="1">
      <c r="A213" s="13"/>
      <c r="B213" s="14"/>
    </row>
    <row r="214" ht="12.75" customHeight="1">
      <c r="A214" s="13"/>
      <c r="B214" s="14"/>
    </row>
    <row r="215" ht="12.75" customHeight="1">
      <c r="A215" s="13"/>
      <c r="B215" s="14"/>
    </row>
    <row r="216" ht="12.75" customHeight="1">
      <c r="A216" s="13"/>
      <c r="B216" s="14"/>
    </row>
    <row r="217" ht="12.75" customHeight="1">
      <c r="A217" s="13"/>
      <c r="B217" s="14"/>
    </row>
    <row r="218" ht="12.75" customHeight="1">
      <c r="A218" s="13"/>
      <c r="B218" s="14"/>
    </row>
    <row r="219" ht="12.75" customHeight="1">
      <c r="A219" s="13"/>
      <c r="B219" s="14"/>
    </row>
    <row r="220" ht="12.75" customHeight="1">
      <c r="A220" s="13"/>
      <c r="B220" s="14"/>
    </row>
    <row r="221" ht="12.75" customHeight="1">
      <c r="A221" s="13"/>
      <c r="B221" s="14"/>
    </row>
    <row r="222" ht="12.75" customHeight="1">
      <c r="A222" s="13"/>
      <c r="B222" s="14"/>
    </row>
    <row r="223" ht="12.75" customHeight="1">
      <c r="A223" s="13"/>
      <c r="B223" s="14"/>
    </row>
    <row r="224" ht="12.75" customHeight="1">
      <c r="A224" s="13"/>
      <c r="B224" s="14"/>
    </row>
    <row r="225" ht="12.75" customHeight="1">
      <c r="A225" s="13"/>
      <c r="B225" s="14"/>
    </row>
    <row r="226" ht="12.75" customHeight="1">
      <c r="A226" s="13"/>
      <c r="B226" s="14"/>
    </row>
    <row r="227" ht="12.75" customHeight="1">
      <c r="A227" s="13"/>
      <c r="B227" s="14"/>
    </row>
    <row r="228" ht="12.75" customHeight="1">
      <c r="A228" s="13"/>
      <c r="B228" s="14"/>
    </row>
    <row r="229" ht="12.75" customHeight="1">
      <c r="A229" s="13"/>
      <c r="B229" s="14"/>
    </row>
    <row r="230" ht="12.75" customHeight="1">
      <c r="A230" s="13"/>
      <c r="B230" s="14"/>
    </row>
    <row r="231" ht="12.75" customHeight="1">
      <c r="A231" s="13"/>
      <c r="B231" s="14"/>
    </row>
    <row r="232" ht="12.75" customHeight="1">
      <c r="A232" s="13"/>
      <c r="B232" s="14"/>
    </row>
    <row r="233" ht="12.75" customHeight="1">
      <c r="A233" s="13"/>
      <c r="B233" s="14"/>
    </row>
    <row r="234" ht="12.75" customHeight="1">
      <c r="A234" s="13"/>
      <c r="B234" s="14"/>
    </row>
    <row r="235" ht="12.75" customHeight="1">
      <c r="A235" s="13"/>
      <c r="B235" s="14"/>
    </row>
    <row r="236" ht="12.75" customHeight="1">
      <c r="A236" s="13"/>
      <c r="B236" s="14"/>
    </row>
    <row r="237" ht="12.75" customHeight="1">
      <c r="A237" s="13"/>
      <c r="B237" s="14"/>
    </row>
    <row r="238" ht="12.75" customHeight="1">
      <c r="A238" s="13"/>
      <c r="B238" s="14"/>
    </row>
    <row r="239" ht="12.75" customHeight="1">
      <c r="A239" s="13"/>
      <c r="B239" s="14"/>
    </row>
    <row r="240" ht="12.75" customHeight="1">
      <c r="A240" s="13"/>
      <c r="B240" s="14"/>
    </row>
    <row r="241" ht="12.75" customHeight="1">
      <c r="A241" s="13"/>
      <c r="B241" s="14"/>
    </row>
    <row r="242" ht="12.75" customHeight="1">
      <c r="A242" s="13"/>
      <c r="B242" s="14"/>
    </row>
    <row r="243" ht="12.75" customHeight="1">
      <c r="A243" s="13"/>
      <c r="B243" s="14"/>
    </row>
    <row r="244" ht="12.75" customHeight="1">
      <c r="A244" s="13"/>
      <c r="B244" s="14"/>
    </row>
    <row r="245" ht="12.75" customHeight="1">
      <c r="A245" s="13"/>
      <c r="B245" s="14"/>
    </row>
    <row r="246" ht="12.75" customHeight="1">
      <c r="A246" s="13"/>
      <c r="B246" s="14"/>
    </row>
    <row r="247" ht="12.75" customHeight="1">
      <c r="A247" s="13"/>
      <c r="B247" s="14"/>
    </row>
    <row r="248" ht="12.75" customHeight="1">
      <c r="A248" s="13"/>
      <c r="B248" s="14"/>
    </row>
    <row r="249" ht="12.75" customHeight="1">
      <c r="A249" s="13"/>
      <c r="B249" s="14"/>
    </row>
    <row r="250" ht="12.75" customHeight="1">
      <c r="A250" s="13"/>
      <c r="B250" s="14"/>
    </row>
    <row r="251" ht="12.75" customHeight="1">
      <c r="A251" s="13"/>
      <c r="B251" s="14"/>
    </row>
    <row r="252" ht="12.75" customHeight="1">
      <c r="A252" s="13"/>
      <c r="B252" s="14"/>
    </row>
    <row r="253" ht="12.75" customHeight="1">
      <c r="A253" s="13"/>
      <c r="B253" s="14"/>
    </row>
    <row r="254" ht="12.75" customHeight="1">
      <c r="A254" s="13"/>
      <c r="B254" s="14"/>
    </row>
    <row r="255" ht="12.75" customHeight="1">
      <c r="A255" s="13"/>
      <c r="B255" s="14"/>
    </row>
    <row r="256" ht="12.75" customHeight="1">
      <c r="A256" s="13"/>
      <c r="B256" s="14"/>
    </row>
    <row r="257" ht="12.75" customHeight="1">
      <c r="A257" s="13"/>
      <c r="B257" s="14"/>
    </row>
    <row r="258" ht="12.75" customHeight="1">
      <c r="A258" s="13"/>
      <c r="B258" s="14"/>
    </row>
    <row r="259" ht="12.75" customHeight="1">
      <c r="A259" s="13"/>
      <c r="B259" s="14"/>
    </row>
    <row r="260" ht="12.75" customHeight="1">
      <c r="A260" s="13"/>
      <c r="B260" s="14"/>
    </row>
    <row r="261" ht="12.75" customHeight="1">
      <c r="A261" s="13"/>
      <c r="B261" s="14"/>
    </row>
    <row r="262" ht="12.75" customHeight="1">
      <c r="A262" s="13"/>
      <c r="B262" s="14"/>
    </row>
    <row r="263" ht="12.75" customHeight="1">
      <c r="A263" s="13"/>
      <c r="B263" s="14"/>
    </row>
    <row r="264" ht="12.75" customHeight="1">
      <c r="A264" s="13"/>
      <c r="B264" s="14"/>
    </row>
    <row r="265" ht="12.75" customHeight="1">
      <c r="A265" s="13"/>
      <c r="B265" s="14"/>
    </row>
    <row r="266" ht="12.75" customHeight="1">
      <c r="A266" s="13"/>
      <c r="B266" s="14"/>
    </row>
    <row r="267" ht="12.75" customHeight="1">
      <c r="A267" s="13"/>
      <c r="B267" s="14"/>
    </row>
    <row r="268" ht="12.75" customHeight="1">
      <c r="A268" s="13"/>
      <c r="B268" s="14"/>
    </row>
    <row r="269" ht="12.75" customHeight="1">
      <c r="A269" s="13"/>
      <c r="B269" s="14"/>
    </row>
    <row r="270" ht="12.75" customHeight="1">
      <c r="A270" s="13"/>
      <c r="B270" s="14"/>
    </row>
    <row r="271" ht="12.75" customHeight="1">
      <c r="A271" s="13"/>
      <c r="B271" s="14"/>
    </row>
    <row r="272" ht="12.75" customHeight="1">
      <c r="A272" s="13"/>
      <c r="B272" s="14"/>
    </row>
    <row r="273" ht="12.75" customHeight="1">
      <c r="A273" s="13"/>
      <c r="B273" s="14"/>
    </row>
    <row r="274" ht="12.75" customHeight="1">
      <c r="A274" s="13"/>
      <c r="B274" s="14"/>
    </row>
    <row r="275" ht="12.75" customHeight="1">
      <c r="A275" s="13"/>
      <c r="B275" s="14"/>
    </row>
    <row r="276" ht="12.75" customHeight="1">
      <c r="A276" s="13"/>
      <c r="B276" s="14"/>
    </row>
    <row r="277" ht="12.75" customHeight="1">
      <c r="A277" s="13"/>
      <c r="B277" s="14"/>
    </row>
    <row r="278" ht="12.75" customHeight="1">
      <c r="A278" s="13"/>
      <c r="B278" s="14"/>
    </row>
    <row r="279" ht="12.75" customHeight="1">
      <c r="A279" s="13"/>
      <c r="B279" s="14"/>
    </row>
    <row r="280" ht="12.75" customHeight="1">
      <c r="A280" s="13"/>
      <c r="B280" s="14"/>
    </row>
    <row r="281" ht="12.75" customHeight="1">
      <c r="A281" s="13"/>
      <c r="B281" s="14"/>
    </row>
    <row r="282" ht="12.75" customHeight="1">
      <c r="A282" s="13"/>
      <c r="B282" s="14"/>
    </row>
    <row r="283" ht="12.75" customHeight="1">
      <c r="A283" s="13"/>
      <c r="B283" s="14"/>
    </row>
    <row r="284" ht="12.75" customHeight="1">
      <c r="A284" s="13"/>
      <c r="B284" s="14"/>
    </row>
    <row r="285" ht="12.75" customHeight="1">
      <c r="A285" s="13"/>
      <c r="B285" s="14"/>
    </row>
    <row r="286" ht="12.75" customHeight="1">
      <c r="A286" s="13"/>
      <c r="B286" s="14"/>
    </row>
    <row r="287" ht="12.75" customHeight="1">
      <c r="A287" s="13"/>
      <c r="B287" s="14"/>
    </row>
    <row r="288" ht="12.75" customHeight="1">
      <c r="A288" s="13"/>
      <c r="B288" s="14"/>
    </row>
    <row r="289" ht="12.75" customHeight="1">
      <c r="A289" s="13"/>
      <c r="B289" s="14"/>
    </row>
    <row r="290" ht="12.75" customHeight="1">
      <c r="A290" s="13"/>
      <c r="B290" s="14"/>
    </row>
    <row r="291" ht="12.75" customHeight="1">
      <c r="A291" s="13"/>
      <c r="B291" s="14"/>
    </row>
    <row r="292" ht="12.75" customHeight="1">
      <c r="A292" s="13"/>
      <c r="B292" s="14"/>
    </row>
    <row r="293" ht="12.75" customHeight="1">
      <c r="A293" s="13"/>
      <c r="B293" s="14"/>
    </row>
    <row r="294" ht="12.75" customHeight="1">
      <c r="A294" s="13"/>
      <c r="B294" s="14"/>
    </row>
    <row r="295" ht="12.75" customHeight="1">
      <c r="A295" s="13"/>
      <c r="B295" s="14"/>
    </row>
    <row r="296" ht="12.75" customHeight="1">
      <c r="A296" s="13"/>
      <c r="B296" s="14"/>
    </row>
    <row r="297" ht="12.75" customHeight="1">
      <c r="A297" s="13"/>
      <c r="B297" s="14"/>
    </row>
    <row r="298" ht="12.75" customHeight="1">
      <c r="A298" s="13"/>
      <c r="B298" s="14"/>
    </row>
    <row r="299" ht="12.75" customHeight="1">
      <c r="A299" s="13"/>
      <c r="B299" s="14"/>
    </row>
    <row r="300" ht="12.75" customHeight="1">
      <c r="A300" s="13"/>
      <c r="B300" s="14"/>
    </row>
    <row r="301" ht="12.75" customHeight="1">
      <c r="A301" s="13"/>
      <c r="B301" s="14"/>
    </row>
    <row r="302" ht="12.75" customHeight="1">
      <c r="A302" s="13"/>
      <c r="B302" s="14"/>
    </row>
    <row r="303" ht="12.75" customHeight="1">
      <c r="A303" s="13"/>
      <c r="B303" s="14"/>
    </row>
    <row r="304" ht="12.75" customHeight="1">
      <c r="A304" s="13"/>
      <c r="B304" s="14"/>
    </row>
    <row r="305" ht="12.75" customHeight="1">
      <c r="A305" s="13"/>
      <c r="B305" s="14"/>
    </row>
    <row r="306" ht="12.75" customHeight="1">
      <c r="A306" s="13"/>
      <c r="B306" s="14"/>
    </row>
    <row r="307" ht="12.75" customHeight="1">
      <c r="A307" s="13"/>
      <c r="B307" s="14"/>
    </row>
    <row r="308" ht="12.75" customHeight="1">
      <c r="A308" s="13"/>
      <c r="B308" s="14"/>
    </row>
    <row r="309" ht="12.75" customHeight="1">
      <c r="A309" s="13"/>
      <c r="B309" s="14"/>
    </row>
    <row r="310" ht="12.75" customHeight="1">
      <c r="A310" s="13"/>
      <c r="B310" s="14"/>
    </row>
    <row r="311" ht="12.75" customHeight="1">
      <c r="A311" s="13"/>
      <c r="B311" s="14"/>
    </row>
    <row r="312" ht="12.75" customHeight="1">
      <c r="A312" s="13"/>
      <c r="B312" s="14"/>
    </row>
    <row r="313" ht="12.75" customHeight="1">
      <c r="A313" s="13"/>
      <c r="B313" s="14"/>
    </row>
    <row r="314" ht="12.75" customHeight="1">
      <c r="A314" s="13"/>
      <c r="B314" s="14"/>
    </row>
    <row r="315" ht="12.75" customHeight="1">
      <c r="A315" s="13"/>
      <c r="B315" s="14"/>
    </row>
    <row r="316" ht="12.75" customHeight="1">
      <c r="A316" s="13"/>
      <c r="B316" s="14"/>
    </row>
    <row r="317" ht="12.75" customHeight="1">
      <c r="A317" s="13"/>
      <c r="B317" s="14"/>
    </row>
    <row r="318" ht="12.75" customHeight="1">
      <c r="A318" s="13"/>
      <c r="B318" s="14"/>
    </row>
    <row r="319" ht="12.75" customHeight="1">
      <c r="A319" s="13"/>
      <c r="B319" s="14"/>
    </row>
    <row r="320" ht="12.75" customHeight="1">
      <c r="A320" s="13"/>
      <c r="B320" s="14"/>
    </row>
    <row r="321" ht="12.75" customHeight="1">
      <c r="A321" s="13"/>
      <c r="B321" s="14"/>
    </row>
    <row r="322" ht="12.75" customHeight="1">
      <c r="A322" s="13"/>
      <c r="B322" s="14"/>
    </row>
    <row r="323" ht="12.75" customHeight="1">
      <c r="A323" s="13"/>
      <c r="B323" s="14"/>
    </row>
    <row r="324" ht="12.75" customHeight="1">
      <c r="A324" s="13"/>
      <c r="B324" s="14"/>
    </row>
    <row r="325" ht="12.75" customHeight="1">
      <c r="A325" s="13"/>
      <c r="B325" s="14"/>
    </row>
    <row r="326" ht="12.75" customHeight="1">
      <c r="A326" s="13"/>
      <c r="B326" s="14"/>
    </row>
    <row r="327" ht="12.75" customHeight="1">
      <c r="A327" s="13"/>
      <c r="B327" s="14"/>
    </row>
    <row r="328" ht="12.75" customHeight="1">
      <c r="A328" s="13"/>
      <c r="B328" s="14"/>
    </row>
    <row r="329" ht="12.75" customHeight="1">
      <c r="A329" s="13"/>
      <c r="B329" s="14"/>
    </row>
    <row r="330" ht="12.75" customHeight="1">
      <c r="A330" s="13"/>
      <c r="B330" s="14"/>
    </row>
    <row r="331" ht="12.75" customHeight="1">
      <c r="A331" s="13"/>
      <c r="B331" s="14"/>
    </row>
    <row r="332" ht="12.75" customHeight="1">
      <c r="A332" s="13"/>
      <c r="B332" s="14"/>
    </row>
    <row r="333" ht="12.75" customHeight="1">
      <c r="A333" s="13"/>
      <c r="B333" s="14"/>
    </row>
    <row r="334" ht="12.75" customHeight="1">
      <c r="A334" s="13"/>
      <c r="B334" s="14"/>
    </row>
    <row r="335" ht="12.75" customHeight="1">
      <c r="A335" s="13"/>
      <c r="B335" s="14"/>
    </row>
    <row r="336" ht="12.75" customHeight="1">
      <c r="A336" s="13"/>
      <c r="B336" s="14"/>
    </row>
    <row r="337" ht="12.75" customHeight="1">
      <c r="A337" s="13"/>
      <c r="B337" s="14"/>
    </row>
    <row r="338" ht="12.75" customHeight="1">
      <c r="A338" s="13"/>
      <c r="B338" s="14"/>
    </row>
    <row r="339" ht="12.75" customHeight="1">
      <c r="A339" s="13"/>
      <c r="B339" s="14"/>
    </row>
    <row r="340" ht="12.75" customHeight="1">
      <c r="A340" s="13"/>
      <c r="B340" s="14"/>
    </row>
    <row r="341" ht="12.75" customHeight="1">
      <c r="A341" s="13"/>
      <c r="B341" s="14"/>
    </row>
    <row r="342" ht="12.75" customHeight="1">
      <c r="A342" s="13"/>
      <c r="B342" s="14"/>
    </row>
    <row r="343" ht="12.75" customHeight="1">
      <c r="A343" s="13"/>
      <c r="B343" s="14"/>
    </row>
    <row r="344" ht="12.75" customHeight="1">
      <c r="A344" s="13"/>
      <c r="B344" s="14"/>
    </row>
    <row r="345" ht="12.75" customHeight="1">
      <c r="A345" s="13"/>
      <c r="B345" s="14"/>
    </row>
    <row r="346" ht="12.75" customHeight="1">
      <c r="A346" s="13"/>
      <c r="B346" s="14"/>
    </row>
    <row r="347" ht="12.75" customHeight="1">
      <c r="A347" s="13"/>
      <c r="B347" s="14"/>
    </row>
    <row r="348" ht="12.75" customHeight="1">
      <c r="A348" s="13"/>
      <c r="B348" s="14"/>
    </row>
    <row r="349" ht="12.75" customHeight="1">
      <c r="A349" s="13"/>
      <c r="B349" s="14"/>
    </row>
    <row r="350" ht="12.75" customHeight="1">
      <c r="A350" s="13"/>
      <c r="B350" s="14"/>
    </row>
    <row r="351" ht="12.75" customHeight="1">
      <c r="A351" s="13"/>
      <c r="B351" s="14"/>
    </row>
    <row r="352" ht="12.75" customHeight="1">
      <c r="A352" s="13"/>
      <c r="B352" s="14"/>
    </row>
    <row r="353" ht="12.75" customHeight="1">
      <c r="A353" s="13"/>
      <c r="B353" s="14"/>
    </row>
    <row r="354" ht="12.75" customHeight="1">
      <c r="A354" s="13"/>
      <c r="B354" s="14"/>
    </row>
    <row r="355" ht="12.75" customHeight="1">
      <c r="A355" s="13"/>
      <c r="B355" s="14"/>
    </row>
    <row r="356" ht="12.75" customHeight="1">
      <c r="A356" s="13"/>
      <c r="B356" s="14"/>
    </row>
    <row r="357" ht="12.75" customHeight="1">
      <c r="A357" s="13"/>
      <c r="B357" s="14"/>
    </row>
    <row r="358" ht="12.75" customHeight="1">
      <c r="A358" s="13"/>
      <c r="B358" s="14"/>
    </row>
    <row r="359" ht="12.75" customHeight="1">
      <c r="A359" s="13"/>
      <c r="B359" s="14"/>
    </row>
    <row r="360" ht="12.75" customHeight="1">
      <c r="A360" s="13"/>
      <c r="B360" s="14"/>
    </row>
    <row r="361" ht="12.75" customHeight="1">
      <c r="A361" s="13"/>
      <c r="B361" s="14"/>
    </row>
    <row r="362" ht="12.75" customHeight="1">
      <c r="A362" s="13"/>
      <c r="B362" s="14"/>
    </row>
    <row r="363" ht="12.75" customHeight="1">
      <c r="A363" s="13"/>
      <c r="B363" s="14"/>
    </row>
    <row r="364" ht="12.75" customHeight="1">
      <c r="A364" s="13"/>
      <c r="B364" s="14"/>
    </row>
    <row r="365" ht="12.75" customHeight="1">
      <c r="A365" s="13"/>
      <c r="B365" s="14"/>
    </row>
    <row r="366" ht="12.75" customHeight="1">
      <c r="A366" s="13"/>
      <c r="B366" s="14"/>
    </row>
    <row r="367" ht="12.75" customHeight="1">
      <c r="A367" s="13"/>
      <c r="B367" s="14"/>
    </row>
    <row r="368" ht="12.75" customHeight="1">
      <c r="A368" s="13"/>
      <c r="B368" s="14"/>
    </row>
    <row r="369" ht="12.75" customHeight="1">
      <c r="A369" s="13"/>
      <c r="B369" s="14"/>
    </row>
    <row r="370" ht="12.75" customHeight="1">
      <c r="A370" s="13"/>
      <c r="B370" s="14"/>
    </row>
    <row r="371" ht="12.75" customHeight="1">
      <c r="A371" s="13"/>
      <c r="B371" s="14"/>
    </row>
    <row r="372" ht="12.75" customHeight="1">
      <c r="A372" s="13"/>
      <c r="B372" s="14"/>
    </row>
    <row r="373" ht="12.75" customHeight="1">
      <c r="A373" s="13"/>
      <c r="B373" s="14"/>
    </row>
    <row r="374" ht="12.75" customHeight="1">
      <c r="A374" s="13"/>
      <c r="B374" s="14"/>
    </row>
    <row r="375" ht="12.75" customHeight="1">
      <c r="A375" s="13"/>
      <c r="B375" s="14"/>
    </row>
    <row r="376" ht="12.75" customHeight="1">
      <c r="A376" s="13"/>
      <c r="B376" s="14"/>
    </row>
    <row r="377" ht="12.75" customHeight="1">
      <c r="A377" s="13"/>
      <c r="B377" s="14"/>
    </row>
    <row r="378" ht="12.75" customHeight="1">
      <c r="A378" s="13"/>
      <c r="B378" s="14"/>
    </row>
    <row r="379" ht="12.75" customHeight="1">
      <c r="A379" s="13"/>
      <c r="B379" s="14"/>
    </row>
    <row r="380" ht="12.75" customHeight="1">
      <c r="A380" s="13"/>
      <c r="B380" s="14"/>
    </row>
    <row r="381" ht="12.75" customHeight="1">
      <c r="A381" s="13"/>
      <c r="B381" s="14"/>
    </row>
    <row r="382" ht="12.75" customHeight="1">
      <c r="A382" s="13"/>
      <c r="B382" s="14"/>
    </row>
    <row r="383" ht="12.75" customHeight="1">
      <c r="A383" s="13"/>
      <c r="B383" s="14"/>
    </row>
    <row r="384" ht="12.75" customHeight="1">
      <c r="A384" s="13"/>
      <c r="B384" s="14"/>
    </row>
    <row r="385" ht="12.75" customHeight="1">
      <c r="A385" s="13"/>
      <c r="B385" s="14"/>
    </row>
    <row r="386" ht="12.75" customHeight="1">
      <c r="A386" s="13"/>
      <c r="B386" s="14"/>
    </row>
    <row r="387" ht="12.75" customHeight="1">
      <c r="A387" s="13"/>
      <c r="B387" s="14"/>
    </row>
    <row r="388" ht="12.75" customHeight="1">
      <c r="A388" s="13"/>
      <c r="B388" s="14"/>
    </row>
    <row r="389" ht="12.75" customHeight="1">
      <c r="A389" s="13"/>
      <c r="B389" s="14"/>
    </row>
    <row r="390" ht="12.75" customHeight="1">
      <c r="A390" s="13"/>
      <c r="B390" s="14"/>
    </row>
    <row r="391" ht="12.75" customHeight="1">
      <c r="A391" s="13"/>
      <c r="B391" s="14"/>
    </row>
    <row r="392" ht="12.75" customHeight="1">
      <c r="A392" s="13"/>
      <c r="B392" s="14"/>
    </row>
    <row r="393" ht="12.75" customHeight="1">
      <c r="A393" s="13"/>
      <c r="B393" s="14"/>
    </row>
    <row r="394" ht="12.75" customHeight="1">
      <c r="A394" s="13"/>
      <c r="B394" s="14"/>
    </row>
    <row r="395" ht="12.75" customHeight="1">
      <c r="A395" s="13"/>
      <c r="B395" s="14"/>
    </row>
    <row r="396" ht="12.75" customHeight="1">
      <c r="A396" s="13"/>
      <c r="B396" s="14"/>
    </row>
    <row r="397" ht="12.75" customHeight="1">
      <c r="A397" s="13"/>
      <c r="B397" s="14"/>
    </row>
    <row r="398" ht="12.75" customHeight="1">
      <c r="A398" s="13"/>
      <c r="B398" s="14"/>
    </row>
    <row r="399" ht="12.75" customHeight="1">
      <c r="A399" s="13"/>
      <c r="B399" s="14"/>
    </row>
    <row r="400" ht="12.75" customHeight="1">
      <c r="A400" s="13"/>
      <c r="B400" s="14"/>
    </row>
    <row r="401" ht="12.75" customHeight="1">
      <c r="A401" s="13"/>
      <c r="B401" s="14"/>
    </row>
    <row r="402" ht="12.75" customHeight="1">
      <c r="A402" s="13"/>
      <c r="B402" s="14"/>
    </row>
    <row r="403" ht="12.75" customHeight="1">
      <c r="A403" s="13"/>
      <c r="B403" s="14"/>
    </row>
    <row r="404" ht="12.75" customHeight="1">
      <c r="A404" s="13"/>
      <c r="B404" s="14"/>
    </row>
    <row r="405" ht="12.75" customHeight="1">
      <c r="A405" s="13"/>
      <c r="B405" s="14"/>
    </row>
    <row r="406" ht="12.75" customHeight="1">
      <c r="A406" s="13"/>
      <c r="B406" s="14"/>
    </row>
    <row r="407" ht="12.75" customHeight="1">
      <c r="A407" s="13"/>
      <c r="B407" s="14"/>
    </row>
    <row r="408" ht="12.75" customHeight="1">
      <c r="A408" s="13"/>
      <c r="B408" s="14"/>
    </row>
    <row r="409" ht="12.75" customHeight="1">
      <c r="A409" s="13"/>
      <c r="B409" s="14"/>
    </row>
    <row r="410" ht="12.75" customHeight="1">
      <c r="A410" s="13"/>
      <c r="B410" s="14"/>
    </row>
    <row r="411" ht="12.75" customHeight="1">
      <c r="A411" s="13"/>
      <c r="B411" s="14"/>
    </row>
    <row r="412" ht="12.75" customHeight="1">
      <c r="A412" s="13"/>
      <c r="B412" s="14"/>
    </row>
    <row r="413" ht="12.75" customHeight="1">
      <c r="A413" s="13"/>
      <c r="B413" s="14"/>
    </row>
    <row r="414" ht="12.75" customHeight="1">
      <c r="A414" s="13"/>
      <c r="B414" s="14"/>
    </row>
    <row r="415" ht="12.75" customHeight="1">
      <c r="A415" s="13"/>
      <c r="B415" s="14"/>
    </row>
    <row r="416" ht="12.75" customHeight="1">
      <c r="A416" s="13"/>
      <c r="B416" s="14"/>
    </row>
    <row r="417" ht="12.75" customHeight="1">
      <c r="A417" s="13"/>
      <c r="B417" s="14"/>
    </row>
    <row r="418" ht="12.75" customHeight="1">
      <c r="A418" s="13"/>
      <c r="B418" s="14"/>
    </row>
    <row r="419" ht="12.75" customHeight="1">
      <c r="A419" s="13"/>
      <c r="B419" s="14"/>
    </row>
    <row r="420" ht="12.75" customHeight="1">
      <c r="A420" s="13"/>
      <c r="B420" s="14"/>
    </row>
    <row r="421" ht="12.75" customHeight="1">
      <c r="A421" s="13"/>
      <c r="B421" s="14"/>
    </row>
    <row r="422" ht="12.75" customHeight="1">
      <c r="A422" s="13"/>
      <c r="B422" s="14"/>
    </row>
    <row r="423" ht="12.75" customHeight="1">
      <c r="A423" s="13"/>
      <c r="B423" s="14"/>
    </row>
    <row r="424" ht="12.75" customHeight="1">
      <c r="A424" s="13"/>
      <c r="B424" s="14"/>
    </row>
    <row r="425" ht="12.75" customHeight="1">
      <c r="A425" s="13"/>
      <c r="B425" s="14"/>
    </row>
    <row r="426" ht="12.75" customHeight="1">
      <c r="A426" s="13"/>
      <c r="B426" s="14"/>
    </row>
    <row r="427" ht="12.75" customHeight="1">
      <c r="A427" s="13"/>
      <c r="B427" s="14"/>
    </row>
    <row r="428" ht="12.75" customHeight="1">
      <c r="A428" s="13"/>
      <c r="B428" s="14"/>
    </row>
    <row r="429" ht="12.75" customHeight="1">
      <c r="A429" s="13"/>
      <c r="B429" s="14"/>
    </row>
    <row r="430" ht="12.75" customHeight="1">
      <c r="A430" s="13"/>
      <c r="B430" s="14"/>
    </row>
    <row r="431" ht="12.75" customHeight="1">
      <c r="A431" s="13"/>
      <c r="B431" s="14"/>
    </row>
    <row r="432" ht="12.75" customHeight="1">
      <c r="A432" s="13"/>
      <c r="B432" s="14"/>
    </row>
    <row r="433" ht="12.75" customHeight="1">
      <c r="A433" s="13"/>
      <c r="B433" s="14"/>
    </row>
    <row r="434" ht="12.75" customHeight="1">
      <c r="A434" s="13"/>
      <c r="B434" s="14"/>
    </row>
    <row r="435" ht="12.75" customHeight="1">
      <c r="A435" s="13"/>
      <c r="B435" s="14"/>
    </row>
    <row r="436" ht="12.75" customHeight="1">
      <c r="A436" s="13"/>
      <c r="B436" s="14"/>
    </row>
    <row r="437" ht="12.75" customHeight="1">
      <c r="A437" s="13"/>
      <c r="B437" s="14"/>
    </row>
    <row r="438" ht="12.75" customHeight="1">
      <c r="A438" s="13"/>
      <c r="B438" s="14"/>
    </row>
    <row r="439" ht="12.75" customHeight="1">
      <c r="A439" s="13"/>
      <c r="B439" s="14"/>
    </row>
    <row r="440" ht="12.75" customHeight="1">
      <c r="A440" s="13"/>
      <c r="B440" s="14"/>
    </row>
    <row r="441" ht="12.75" customHeight="1">
      <c r="A441" s="13"/>
      <c r="B441" s="14"/>
    </row>
    <row r="442" ht="12.75" customHeight="1">
      <c r="A442" s="13"/>
      <c r="B442" s="14"/>
    </row>
    <row r="443" ht="12.75" customHeight="1">
      <c r="A443" s="13"/>
      <c r="B443" s="14"/>
    </row>
    <row r="444" ht="12.75" customHeight="1">
      <c r="A444" s="13"/>
      <c r="B444" s="14"/>
    </row>
    <row r="445" ht="12.75" customHeight="1">
      <c r="A445" s="13"/>
      <c r="B445" s="14"/>
    </row>
    <row r="446" ht="12.75" customHeight="1">
      <c r="A446" s="13"/>
      <c r="B446" s="14"/>
    </row>
    <row r="447" ht="12.75" customHeight="1">
      <c r="A447" s="13"/>
      <c r="B447" s="14"/>
    </row>
    <row r="448" ht="12.75" customHeight="1">
      <c r="A448" s="13"/>
      <c r="B448" s="14"/>
    </row>
    <row r="449" ht="12.75" customHeight="1">
      <c r="A449" s="13"/>
      <c r="B449" s="14"/>
    </row>
    <row r="450" ht="12.75" customHeight="1">
      <c r="A450" s="13"/>
      <c r="B450" s="14"/>
    </row>
    <row r="451" ht="12.75" customHeight="1">
      <c r="A451" s="13"/>
      <c r="B451" s="14"/>
    </row>
    <row r="452" ht="12.75" customHeight="1">
      <c r="A452" s="13"/>
      <c r="B452" s="14"/>
    </row>
    <row r="453" ht="12.75" customHeight="1">
      <c r="A453" s="13"/>
      <c r="B453" s="14"/>
    </row>
    <row r="454" ht="12.75" customHeight="1">
      <c r="A454" s="13"/>
      <c r="B454" s="14"/>
    </row>
    <row r="455" ht="12.75" customHeight="1">
      <c r="A455" s="13"/>
      <c r="B455" s="14"/>
    </row>
    <row r="456" ht="12.75" customHeight="1">
      <c r="A456" s="13"/>
      <c r="B456" s="14"/>
    </row>
    <row r="457" ht="12.75" customHeight="1">
      <c r="A457" s="13"/>
      <c r="B457" s="14"/>
    </row>
    <row r="458" ht="12.75" customHeight="1">
      <c r="A458" s="13"/>
      <c r="B458" s="14"/>
    </row>
    <row r="459" ht="12.75" customHeight="1">
      <c r="A459" s="13"/>
      <c r="B459" s="14"/>
    </row>
    <row r="460" ht="12.75" customHeight="1">
      <c r="A460" s="13"/>
      <c r="B460" s="14"/>
    </row>
    <row r="461" ht="12.75" customHeight="1">
      <c r="A461" s="13"/>
      <c r="B461" s="14"/>
    </row>
    <row r="462" ht="12.75" customHeight="1">
      <c r="A462" s="13"/>
      <c r="B462" s="14"/>
    </row>
    <row r="463" ht="12.75" customHeight="1">
      <c r="A463" s="13"/>
      <c r="B463" s="14"/>
    </row>
    <row r="464" ht="12.75" customHeight="1">
      <c r="A464" s="13"/>
      <c r="B464" s="14"/>
    </row>
    <row r="465" ht="12.75" customHeight="1">
      <c r="A465" s="13"/>
      <c r="B465" s="14"/>
    </row>
    <row r="466" ht="12.75" customHeight="1">
      <c r="A466" s="13"/>
      <c r="B466" s="14"/>
    </row>
    <row r="467" ht="12.75" customHeight="1">
      <c r="A467" s="13"/>
      <c r="B467" s="14"/>
    </row>
    <row r="468" ht="12.75" customHeight="1">
      <c r="A468" s="13"/>
      <c r="B468" s="14"/>
    </row>
    <row r="469" ht="12.75" customHeight="1">
      <c r="A469" s="13"/>
      <c r="B469" s="14"/>
    </row>
    <row r="470" ht="12.75" customHeight="1">
      <c r="A470" s="13"/>
      <c r="B470" s="14"/>
    </row>
    <row r="471" ht="12.75" customHeight="1">
      <c r="A471" s="13"/>
      <c r="B471" s="14"/>
    </row>
    <row r="472" ht="12.75" customHeight="1">
      <c r="A472" s="13"/>
      <c r="B472" s="14"/>
    </row>
    <row r="473" ht="12.75" customHeight="1">
      <c r="A473" s="13"/>
      <c r="B473" s="14"/>
    </row>
    <row r="474" ht="12.75" customHeight="1">
      <c r="A474" s="13"/>
      <c r="B474" s="14"/>
    </row>
    <row r="475" ht="12.75" customHeight="1">
      <c r="A475" s="13"/>
      <c r="B475" s="14"/>
    </row>
    <row r="476" ht="12.75" customHeight="1">
      <c r="A476" s="13"/>
      <c r="B476" s="14"/>
    </row>
    <row r="477" ht="12.75" customHeight="1">
      <c r="A477" s="13"/>
      <c r="B477" s="14"/>
    </row>
    <row r="478" ht="12.75" customHeight="1">
      <c r="A478" s="13"/>
      <c r="B478" s="14"/>
    </row>
    <row r="479" ht="12.75" customHeight="1">
      <c r="A479" s="13"/>
      <c r="B479" s="14"/>
    </row>
    <row r="480" ht="12.75" customHeight="1">
      <c r="A480" s="13"/>
      <c r="B480" s="14"/>
    </row>
    <row r="481" ht="12.75" customHeight="1">
      <c r="A481" s="13"/>
      <c r="B481" s="14"/>
    </row>
    <row r="482" ht="12.75" customHeight="1">
      <c r="A482" s="13"/>
      <c r="B482" s="14"/>
    </row>
    <row r="483" ht="12.75" customHeight="1">
      <c r="A483" s="13"/>
      <c r="B483" s="14"/>
    </row>
    <row r="484" ht="12.75" customHeight="1">
      <c r="A484" s="13"/>
      <c r="B484" s="14"/>
    </row>
    <row r="485" ht="12.75" customHeight="1">
      <c r="A485" s="13"/>
      <c r="B485" s="14"/>
    </row>
    <row r="486" ht="12.75" customHeight="1">
      <c r="A486" s="13"/>
      <c r="B486" s="14"/>
    </row>
    <row r="487" ht="12.75" customHeight="1">
      <c r="A487" s="13"/>
      <c r="B487" s="14"/>
    </row>
    <row r="488" ht="12.75" customHeight="1">
      <c r="A488" s="13"/>
      <c r="B488" s="14"/>
    </row>
    <row r="489" ht="12.75" customHeight="1">
      <c r="A489" s="13"/>
      <c r="B489" s="14"/>
    </row>
    <row r="490" ht="12.75" customHeight="1">
      <c r="A490" s="13"/>
      <c r="B490" s="14"/>
    </row>
    <row r="491" ht="12.75" customHeight="1">
      <c r="A491" s="13"/>
      <c r="B491" s="14"/>
    </row>
    <row r="492" ht="12.75" customHeight="1">
      <c r="A492" s="13"/>
      <c r="B492" s="14"/>
    </row>
    <row r="493" ht="12.75" customHeight="1">
      <c r="A493" s="13"/>
      <c r="B493" s="14"/>
    </row>
    <row r="494" ht="12.75" customHeight="1">
      <c r="A494" s="13"/>
      <c r="B494" s="14"/>
    </row>
    <row r="495" ht="12.75" customHeight="1">
      <c r="A495" s="13"/>
      <c r="B495" s="14"/>
    </row>
    <row r="496" ht="12.75" customHeight="1">
      <c r="A496" s="13"/>
      <c r="B496" s="14"/>
    </row>
    <row r="497" ht="12.75" customHeight="1">
      <c r="A497" s="13"/>
      <c r="B497" s="14"/>
    </row>
    <row r="498" ht="12.75" customHeight="1">
      <c r="A498" s="13"/>
      <c r="B498" s="14"/>
    </row>
    <row r="499" ht="12.75" customHeight="1">
      <c r="A499" s="13"/>
      <c r="B499" s="14"/>
    </row>
    <row r="500" ht="12.75" customHeight="1">
      <c r="A500" s="13"/>
      <c r="B500" s="14"/>
    </row>
    <row r="501" ht="12.75" customHeight="1">
      <c r="A501" s="13"/>
      <c r="B501" s="14"/>
    </row>
    <row r="502" ht="12.75" customHeight="1">
      <c r="A502" s="13"/>
      <c r="B502" s="14"/>
    </row>
    <row r="503" ht="12.75" customHeight="1">
      <c r="A503" s="13"/>
      <c r="B503" s="14"/>
    </row>
    <row r="504" ht="12.75" customHeight="1">
      <c r="A504" s="13"/>
      <c r="B504" s="14"/>
    </row>
    <row r="505" ht="12.75" customHeight="1">
      <c r="A505" s="13"/>
      <c r="B505" s="14"/>
    </row>
    <row r="506" ht="12.75" customHeight="1">
      <c r="A506" s="13"/>
      <c r="B506" s="14"/>
    </row>
    <row r="507" ht="12.75" customHeight="1">
      <c r="A507" s="13"/>
      <c r="B507" s="14"/>
    </row>
    <row r="508" ht="12.75" customHeight="1">
      <c r="A508" s="13"/>
      <c r="B508" s="14"/>
    </row>
    <row r="509" ht="12.75" customHeight="1">
      <c r="A509" s="13"/>
      <c r="B509" s="14"/>
    </row>
    <row r="510" ht="12.75" customHeight="1">
      <c r="A510" s="13"/>
      <c r="B510" s="14"/>
    </row>
    <row r="511" ht="12.75" customHeight="1">
      <c r="A511" s="13"/>
      <c r="B511" s="14"/>
    </row>
    <row r="512" ht="12.75" customHeight="1">
      <c r="A512" s="13"/>
      <c r="B512" s="14"/>
    </row>
    <row r="513" ht="12.75" customHeight="1">
      <c r="A513" s="13"/>
      <c r="B513" s="14"/>
    </row>
    <row r="514" ht="12.75" customHeight="1">
      <c r="A514" s="13"/>
      <c r="B514" s="14"/>
    </row>
    <row r="515" ht="12.75" customHeight="1">
      <c r="A515" s="13"/>
      <c r="B515" s="14"/>
    </row>
    <row r="516" ht="12.75" customHeight="1">
      <c r="A516" s="13"/>
      <c r="B516" s="14"/>
    </row>
    <row r="517" ht="12.75" customHeight="1">
      <c r="A517" s="13"/>
      <c r="B517" s="14"/>
    </row>
    <row r="518" ht="12.75" customHeight="1">
      <c r="A518" s="13"/>
      <c r="B518" s="14"/>
    </row>
    <row r="519" ht="12.75" customHeight="1">
      <c r="A519" s="13"/>
      <c r="B519" s="14"/>
    </row>
    <row r="520" ht="12.75" customHeight="1">
      <c r="A520" s="13"/>
      <c r="B520" s="14"/>
    </row>
    <row r="521" ht="12.75" customHeight="1">
      <c r="A521" s="13"/>
      <c r="B521" s="14"/>
    </row>
    <row r="522" ht="12.75" customHeight="1">
      <c r="A522" s="13"/>
      <c r="B522" s="14"/>
    </row>
    <row r="523" ht="12.75" customHeight="1">
      <c r="A523" s="13"/>
      <c r="B523" s="14"/>
    </row>
    <row r="524" ht="12.75" customHeight="1">
      <c r="A524" s="13"/>
      <c r="B524" s="14"/>
    </row>
    <row r="525" ht="12.75" customHeight="1">
      <c r="A525" s="13"/>
      <c r="B525" s="14"/>
    </row>
    <row r="526" ht="12.75" customHeight="1">
      <c r="A526" s="13"/>
      <c r="B526" s="14"/>
    </row>
    <row r="527" ht="12.75" customHeight="1">
      <c r="A527" s="13"/>
      <c r="B527" s="14"/>
    </row>
    <row r="528" ht="12.75" customHeight="1">
      <c r="A528" s="13"/>
      <c r="B528" s="14"/>
    </row>
    <row r="529" ht="12.75" customHeight="1">
      <c r="A529" s="13"/>
      <c r="B529" s="14"/>
    </row>
    <row r="530" ht="12.75" customHeight="1">
      <c r="A530" s="13"/>
      <c r="B530" s="14"/>
    </row>
    <row r="531" ht="12.75" customHeight="1">
      <c r="A531" s="13"/>
      <c r="B531" s="14"/>
    </row>
    <row r="532" ht="12.75" customHeight="1">
      <c r="A532" s="13"/>
      <c r="B532" s="14"/>
    </row>
    <row r="533" ht="12.75" customHeight="1">
      <c r="A533" s="13"/>
      <c r="B533" s="14"/>
    </row>
    <row r="534" ht="12.75" customHeight="1">
      <c r="A534" s="13"/>
      <c r="B534" s="14"/>
    </row>
    <row r="535" ht="12.75" customHeight="1">
      <c r="A535" s="13"/>
      <c r="B535" s="14"/>
    </row>
    <row r="536" ht="12.75" customHeight="1">
      <c r="A536" s="13"/>
      <c r="B536" s="14"/>
    </row>
    <row r="537" ht="12.75" customHeight="1">
      <c r="A537" s="13"/>
      <c r="B537" s="14"/>
    </row>
    <row r="538" ht="12.75" customHeight="1">
      <c r="A538" s="13"/>
      <c r="B538" s="14"/>
    </row>
    <row r="539" ht="12.75" customHeight="1">
      <c r="A539" s="13"/>
      <c r="B539" s="14"/>
    </row>
    <row r="540" ht="12.75" customHeight="1">
      <c r="A540" s="13"/>
      <c r="B540" s="14"/>
    </row>
    <row r="541" ht="12.75" customHeight="1">
      <c r="A541" s="13"/>
      <c r="B541" s="14"/>
    </row>
    <row r="542" ht="12.75" customHeight="1">
      <c r="A542" s="13"/>
      <c r="B542" s="14"/>
    </row>
    <row r="543" ht="12.75" customHeight="1">
      <c r="A543" s="13"/>
      <c r="B543" s="14"/>
    </row>
    <row r="544" ht="12.75" customHeight="1">
      <c r="A544" s="13"/>
      <c r="B544" s="14"/>
    </row>
    <row r="545" ht="12.75" customHeight="1">
      <c r="A545" s="13"/>
      <c r="B545" s="14"/>
    </row>
    <row r="546" ht="12.75" customHeight="1">
      <c r="A546" s="13"/>
      <c r="B546" s="14"/>
    </row>
    <row r="547" ht="12.75" customHeight="1">
      <c r="A547" s="13"/>
      <c r="B547" s="14"/>
    </row>
    <row r="548" ht="12.75" customHeight="1">
      <c r="A548" s="13"/>
      <c r="B548" s="14"/>
    </row>
    <row r="549" ht="12.75" customHeight="1">
      <c r="A549" s="13"/>
      <c r="B549" s="14"/>
    </row>
    <row r="550" ht="12.75" customHeight="1">
      <c r="A550" s="13"/>
      <c r="B550" s="14"/>
    </row>
    <row r="551" ht="12.75" customHeight="1">
      <c r="A551" s="13"/>
      <c r="B551" s="14"/>
    </row>
    <row r="552" ht="12.75" customHeight="1">
      <c r="A552" s="13"/>
      <c r="B552" s="14"/>
    </row>
    <row r="553" ht="12.75" customHeight="1">
      <c r="A553" s="13"/>
      <c r="B553" s="14"/>
    </row>
    <row r="554" ht="12.75" customHeight="1">
      <c r="A554" s="13"/>
      <c r="B554" s="14"/>
    </row>
    <row r="555" ht="12.75" customHeight="1">
      <c r="A555" s="13"/>
      <c r="B555" s="14"/>
    </row>
    <row r="556" ht="12.75" customHeight="1">
      <c r="A556" s="13"/>
      <c r="B556" s="14"/>
    </row>
    <row r="557" ht="12.75" customHeight="1">
      <c r="A557" s="13"/>
      <c r="B557" s="14"/>
    </row>
    <row r="558" ht="12.75" customHeight="1">
      <c r="A558" s="13"/>
      <c r="B558" s="14"/>
    </row>
    <row r="559" ht="12.75" customHeight="1">
      <c r="A559" s="13"/>
      <c r="B559" s="14"/>
    </row>
    <row r="560" ht="12.75" customHeight="1">
      <c r="A560" s="13"/>
      <c r="B560" s="14"/>
    </row>
    <row r="561" ht="12.75" customHeight="1">
      <c r="A561" s="13"/>
      <c r="B561" s="14"/>
    </row>
    <row r="562" ht="12.75" customHeight="1">
      <c r="A562" s="13"/>
      <c r="B562" s="14"/>
    </row>
    <row r="563" ht="12.75" customHeight="1">
      <c r="A563" s="13"/>
      <c r="B563" s="14"/>
    </row>
    <row r="564" ht="12.75" customHeight="1">
      <c r="A564" s="13"/>
      <c r="B564" s="14"/>
    </row>
    <row r="565" ht="12.75" customHeight="1">
      <c r="A565" s="13"/>
      <c r="B565" s="14"/>
    </row>
    <row r="566" ht="12.75" customHeight="1">
      <c r="A566" s="13"/>
      <c r="B566" s="14"/>
    </row>
    <row r="567" ht="12.75" customHeight="1">
      <c r="A567" s="13"/>
      <c r="B567" s="14"/>
    </row>
    <row r="568" ht="12.75" customHeight="1">
      <c r="A568" s="13"/>
      <c r="B568" s="14"/>
    </row>
    <row r="569" ht="12.75" customHeight="1">
      <c r="A569" s="13"/>
      <c r="B569" s="14"/>
    </row>
    <row r="570" ht="12.75" customHeight="1">
      <c r="A570" s="13"/>
      <c r="B570" s="14"/>
    </row>
    <row r="571" ht="12.75" customHeight="1">
      <c r="A571" s="13"/>
      <c r="B571" s="14"/>
    </row>
    <row r="572" ht="12.75" customHeight="1">
      <c r="A572" s="13"/>
      <c r="B572" s="14"/>
    </row>
    <row r="573" ht="12.75" customHeight="1">
      <c r="A573" s="13"/>
      <c r="B573" s="14"/>
    </row>
    <row r="574" ht="12.75" customHeight="1">
      <c r="A574" s="13"/>
      <c r="B574" s="14"/>
    </row>
    <row r="575" ht="12.75" customHeight="1">
      <c r="A575" s="13"/>
      <c r="B575" s="14"/>
    </row>
    <row r="576" ht="12.75" customHeight="1">
      <c r="A576" s="13"/>
      <c r="B576" s="14"/>
    </row>
    <row r="577" ht="12.75" customHeight="1">
      <c r="A577" s="13"/>
      <c r="B577" s="14"/>
    </row>
    <row r="578" ht="12.75" customHeight="1">
      <c r="A578" s="13"/>
      <c r="B578" s="14"/>
    </row>
    <row r="579" ht="12.75" customHeight="1">
      <c r="A579" s="13"/>
      <c r="B579" s="14"/>
    </row>
    <row r="580" ht="12.75" customHeight="1">
      <c r="A580" s="13"/>
      <c r="B580" s="14"/>
    </row>
    <row r="581" ht="12.75" customHeight="1">
      <c r="A581" s="13"/>
      <c r="B581" s="14"/>
    </row>
    <row r="582" ht="12.75" customHeight="1">
      <c r="A582" s="13"/>
      <c r="B582" s="14"/>
    </row>
    <row r="583" ht="12.75" customHeight="1">
      <c r="A583" s="13"/>
      <c r="B583" s="14"/>
    </row>
    <row r="584" ht="12.75" customHeight="1">
      <c r="A584" s="13"/>
      <c r="B584" s="14"/>
    </row>
    <row r="585" ht="12.75" customHeight="1">
      <c r="A585" s="13"/>
      <c r="B585" s="14"/>
    </row>
    <row r="586" ht="12.75" customHeight="1">
      <c r="A586" s="13"/>
      <c r="B586" s="14"/>
    </row>
    <row r="587" ht="12.75" customHeight="1">
      <c r="A587" s="13"/>
      <c r="B587" s="14"/>
    </row>
    <row r="588" ht="12.75" customHeight="1">
      <c r="A588" s="13"/>
      <c r="B588" s="14"/>
    </row>
    <row r="589" ht="12.75" customHeight="1">
      <c r="A589" s="13"/>
      <c r="B589" s="14"/>
    </row>
    <row r="590" ht="12.75" customHeight="1">
      <c r="A590" s="13"/>
      <c r="B590" s="14"/>
    </row>
    <row r="591" ht="12.75" customHeight="1">
      <c r="A591" s="13"/>
      <c r="B591" s="14"/>
    </row>
    <row r="592" ht="12.75" customHeight="1">
      <c r="A592" s="13"/>
      <c r="B592" s="14"/>
    </row>
    <row r="593" ht="12.75" customHeight="1">
      <c r="A593" s="13"/>
      <c r="B593" s="14"/>
    </row>
    <row r="594" ht="12.75" customHeight="1">
      <c r="A594" s="13"/>
      <c r="B594" s="14"/>
    </row>
    <row r="595" ht="12.75" customHeight="1">
      <c r="A595" s="13"/>
      <c r="B595" s="14"/>
    </row>
    <row r="596" ht="12.75" customHeight="1">
      <c r="A596" s="13"/>
      <c r="B596" s="14"/>
    </row>
    <row r="597" ht="12.75" customHeight="1">
      <c r="A597" s="13"/>
      <c r="B597" s="14"/>
    </row>
    <row r="598" ht="12.75" customHeight="1">
      <c r="A598" s="13"/>
      <c r="B598" s="14"/>
    </row>
    <row r="599" ht="12.75" customHeight="1">
      <c r="A599" s="13"/>
      <c r="B599" s="14"/>
    </row>
    <row r="600" ht="12.75" customHeight="1">
      <c r="A600" s="13"/>
      <c r="B600" s="14"/>
    </row>
    <row r="601" ht="12.75" customHeight="1">
      <c r="A601" s="13"/>
      <c r="B601" s="14"/>
    </row>
    <row r="602" ht="12.75" customHeight="1">
      <c r="A602" s="13"/>
      <c r="B602" s="14"/>
    </row>
    <row r="603" ht="12.75" customHeight="1">
      <c r="A603" s="13"/>
      <c r="B603" s="14"/>
    </row>
    <row r="604" ht="12.75" customHeight="1">
      <c r="A604" s="13"/>
      <c r="B604" s="14"/>
    </row>
    <row r="605" ht="12.75" customHeight="1">
      <c r="A605" s="13"/>
      <c r="B605" s="14"/>
    </row>
    <row r="606" ht="12.75" customHeight="1">
      <c r="A606" s="13"/>
      <c r="B606" s="14"/>
    </row>
    <row r="607" ht="12.75" customHeight="1">
      <c r="A607" s="13"/>
      <c r="B607" s="14"/>
    </row>
    <row r="608" ht="12.75" customHeight="1">
      <c r="A608" s="13"/>
      <c r="B608" s="14"/>
    </row>
    <row r="609" ht="12.75" customHeight="1">
      <c r="A609" s="13"/>
      <c r="B609" s="14"/>
    </row>
    <row r="610" ht="12.75" customHeight="1">
      <c r="A610" s="13"/>
      <c r="B610" s="14"/>
    </row>
    <row r="611" ht="12.75" customHeight="1">
      <c r="A611" s="13"/>
      <c r="B611" s="14"/>
    </row>
    <row r="612" ht="12.75" customHeight="1">
      <c r="A612" s="13"/>
      <c r="B612" s="14"/>
    </row>
    <row r="613" ht="12.75" customHeight="1">
      <c r="A613" s="13"/>
      <c r="B613" s="14"/>
    </row>
    <row r="614" ht="12.75" customHeight="1">
      <c r="A614" s="13"/>
      <c r="B614" s="14"/>
    </row>
    <row r="615" ht="12.75" customHeight="1">
      <c r="A615" s="13"/>
      <c r="B615" s="14"/>
    </row>
    <row r="616" ht="12.75" customHeight="1">
      <c r="A616" s="13"/>
      <c r="B616" s="14"/>
    </row>
    <row r="617" ht="12.75" customHeight="1">
      <c r="A617" s="13"/>
      <c r="B617" s="14"/>
    </row>
    <row r="618" ht="12.75" customHeight="1">
      <c r="A618" s="13"/>
      <c r="B618" s="14"/>
    </row>
    <row r="619" ht="12.75" customHeight="1">
      <c r="A619" s="13"/>
      <c r="B619" s="14"/>
    </row>
    <row r="620" ht="12.75" customHeight="1">
      <c r="A620" s="13"/>
      <c r="B620" s="14"/>
    </row>
    <row r="621" ht="12.75" customHeight="1">
      <c r="A621" s="13"/>
      <c r="B621" s="14"/>
    </row>
    <row r="622" ht="12.75" customHeight="1">
      <c r="A622" s="13"/>
      <c r="B622" s="14"/>
    </row>
    <row r="623" ht="12.75" customHeight="1">
      <c r="A623" s="13"/>
      <c r="B623" s="14"/>
    </row>
    <row r="624" ht="12.75" customHeight="1">
      <c r="A624" s="13"/>
      <c r="B624" s="14"/>
    </row>
    <row r="625" ht="12.75" customHeight="1">
      <c r="A625" s="13"/>
      <c r="B625" s="14"/>
    </row>
    <row r="626" ht="12.75" customHeight="1">
      <c r="A626" s="13"/>
      <c r="B626" s="14"/>
    </row>
    <row r="627" ht="12.75" customHeight="1">
      <c r="A627" s="13"/>
      <c r="B627" s="14"/>
    </row>
    <row r="628" ht="12.75" customHeight="1">
      <c r="A628" s="13"/>
      <c r="B628" s="14"/>
    </row>
    <row r="629" ht="12.75" customHeight="1">
      <c r="A629" s="13"/>
      <c r="B629" s="14"/>
    </row>
    <row r="630" ht="12.75" customHeight="1">
      <c r="A630" s="13"/>
      <c r="B630" s="14"/>
    </row>
    <row r="631" ht="12.75" customHeight="1">
      <c r="A631" s="13"/>
      <c r="B631" s="14"/>
    </row>
    <row r="632" ht="12.75" customHeight="1">
      <c r="A632" s="13"/>
      <c r="B632" s="14"/>
    </row>
    <row r="633" ht="12.75" customHeight="1">
      <c r="A633" s="13"/>
      <c r="B633" s="14"/>
    </row>
    <row r="634" ht="12.75" customHeight="1">
      <c r="A634" s="13"/>
      <c r="B634" s="14"/>
    </row>
    <row r="635" ht="12.75" customHeight="1">
      <c r="A635" s="13"/>
      <c r="B635" s="14"/>
    </row>
    <row r="636" ht="12.75" customHeight="1">
      <c r="A636" s="13"/>
      <c r="B636" s="14"/>
    </row>
    <row r="637" ht="12.75" customHeight="1">
      <c r="A637" s="13"/>
      <c r="B637" s="14"/>
    </row>
    <row r="638" ht="12.75" customHeight="1">
      <c r="A638" s="13"/>
      <c r="B638" s="14"/>
    </row>
    <row r="639" ht="12.75" customHeight="1">
      <c r="A639" s="13"/>
      <c r="B639" s="14"/>
    </row>
    <row r="640" ht="12.75" customHeight="1">
      <c r="A640" s="13"/>
      <c r="B640" s="14"/>
    </row>
    <row r="641" ht="12.75" customHeight="1">
      <c r="A641" s="13"/>
      <c r="B641" s="14"/>
    </row>
    <row r="642" ht="12.75" customHeight="1">
      <c r="A642" s="13"/>
      <c r="B642" s="14"/>
    </row>
    <row r="643" ht="12.75" customHeight="1">
      <c r="A643" s="13"/>
      <c r="B643" s="14"/>
    </row>
    <row r="644" ht="12.75" customHeight="1">
      <c r="A644" s="13"/>
      <c r="B644" s="14"/>
    </row>
    <row r="645" ht="12.75" customHeight="1">
      <c r="A645" s="13"/>
      <c r="B645" s="14"/>
    </row>
    <row r="646" ht="12.75" customHeight="1">
      <c r="A646" s="13"/>
      <c r="B646" s="14"/>
    </row>
    <row r="647" ht="12.75" customHeight="1">
      <c r="A647" s="13"/>
      <c r="B647" s="14"/>
    </row>
    <row r="648" ht="12.75" customHeight="1">
      <c r="A648" s="13"/>
      <c r="B648" s="14"/>
    </row>
    <row r="649" ht="12.75" customHeight="1">
      <c r="A649" s="13"/>
      <c r="B649" s="14"/>
    </row>
    <row r="650" ht="12.75" customHeight="1">
      <c r="A650" s="13"/>
      <c r="B650" s="14"/>
    </row>
    <row r="651" ht="12.75" customHeight="1">
      <c r="A651" s="13"/>
      <c r="B651" s="14"/>
    </row>
    <row r="652" ht="12.75" customHeight="1">
      <c r="A652" s="13"/>
      <c r="B652" s="14"/>
    </row>
    <row r="653" ht="12.75" customHeight="1">
      <c r="A653" s="13"/>
      <c r="B653" s="14"/>
    </row>
    <row r="654" ht="12.75" customHeight="1">
      <c r="A654" s="13"/>
      <c r="B654" s="14"/>
    </row>
    <row r="655" ht="12.75" customHeight="1">
      <c r="A655" s="13"/>
      <c r="B655" s="14"/>
    </row>
    <row r="656" ht="12.75" customHeight="1">
      <c r="A656" s="13"/>
      <c r="B656" s="14"/>
    </row>
    <row r="657" ht="12.75" customHeight="1">
      <c r="A657" s="13"/>
      <c r="B657" s="14"/>
    </row>
    <row r="658" ht="12.75" customHeight="1">
      <c r="A658" s="13"/>
      <c r="B658" s="14"/>
    </row>
    <row r="659" ht="12.75" customHeight="1">
      <c r="A659" s="13"/>
      <c r="B659" s="14"/>
    </row>
    <row r="660" ht="12.75" customHeight="1">
      <c r="A660" s="13"/>
      <c r="B660" s="14"/>
    </row>
    <row r="661" ht="12.75" customHeight="1">
      <c r="A661" s="13"/>
      <c r="B661" s="14"/>
    </row>
    <row r="662" ht="12.75" customHeight="1">
      <c r="A662" s="13"/>
      <c r="B662" s="14"/>
    </row>
    <row r="663" ht="12.75" customHeight="1">
      <c r="A663" s="13"/>
      <c r="B663" s="14"/>
    </row>
    <row r="664" ht="12.75" customHeight="1">
      <c r="A664" s="13"/>
      <c r="B664" s="14"/>
    </row>
    <row r="665" ht="12.75" customHeight="1">
      <c r="A665" s="13"/>
      <c r="B665" s="14"/>
    </row>
    <row r="666" ht="12.75" customHeight="1">
      <c r="A666" s="13"/>
      <c r="B666" s="14"/>
    </row>
    <row r="667" ht="12.75" customHeight="1">
      <c r="A667" s="13"/>
      <c r="B667" s="14"/>
    </row>
    <row r="668" ht="12.75" customHeight="1">
      <c r="A668" s="13"/>
      <c r="B668" s="14"/>
    </row>
    <row r="669" ht="12.75" customHeight="1">
      <c r="A669" s="13"/>
      <c r="B669" s="14"/>
    </row>
    <row r="670" ht="12.75" customHeight="1">
      <c r="A670" s="13"/>
      <c r="B670" s="14"/>
    </row>
    <row r="671" ht="12.75" customHeight="1">
      <c r="A671" s="13"/>
      <c r="B671" s="14"/>
    </row>
    <row r="672" ht="12.75" customHeight="1">
      <c r="A672" s="13"/>
      <c r="B672" s="14"/>
    </row>
    <row r="673" ht="12.75" customHeight="1">
      <c r="A673" s="13"/>
      <c r="B673" s="14"/>
    </row>
    <row r="674" ht="12.75" customHeight="1">
      <c r="A674" s="13"/>
      <c r="B674" s="14"/>
    </row>
    <row r="675" ht="12.75" customHeight="1">
      <c r="A675" s="13"/>
      <c r="B675" s="14"/>
    </row>
    <row r="676" ht="12.75" customHeight="1">
      <c r="A676" s="13"/>
      <c r="B676" s="14"/>
    </row>
    <row r="677" ht="12.75" customHeight="1">
      <c r="A677" s="13"/>
      <c r="B677" s="14"/>
    </row>
    <row r="678" ht="12.75" customHeight="1">
      <c r="A678" s="13"/>
      <c r="B678" s="14"/>
    </row>
    <row r="679" ht="12.75" customHeight="1">
      <c r="A679" s="13"/>
      <c r="B679" s="14"/>
    </row>
    <row r="680" ht="12.75" customHeight="1">
      <c r="A680" s="13"/>
      <c r="B680" s="14"/>
    </row>
    <row r="681" ht="12.75" customHeight="1">
      <c r="A681" s="13"/>
      <c r="B681" s="14"/>
    </row>
    <row r="682" ht="12.75" customHeight="1">
      <c r="A682" s="13"/>
      <c r="B682" s="14"/>
    </row>
    <row r="683" ht="12.75" customHeight="1">
      <c r="A683" s="13"/>
      <c r="B683" s="14"/>
    </row>
    <row r="684" ht="12.75" customHeight="1">
      <c r="A684" s="13"/>
      <c r="B684" s="14"/>
    </row>
    <row r="685" ht="12.75" customHeight="1">
      <c r="A685" s="13"/>
      <c r="B685" s="14"/>
    </row>
    <row r="686" ht="12.75" customHeight="1">
      <c r="A686" s="13"/>
      <c r="B686" s="14"/>
    </row>
    <row r="687" ht="12.75" customHeight="1">
      <c r="A687" s="13"/>
      <c r="B687" s="14"/>
    </row>
    <row r="688" ht="12.75" customHeight="1">
      <c r="A688" s="13"/>
      <c r="B688" s="14"/>
    </row>
    <row r="689" ht="12.75" customHeight="1">
      <c r="A689" s="13"/>
      <c r="B689" s="14"/>
    </row>
    <row r="690" ht="12.75" customHeight="1">
      <c r="A690" s="13"/>
      <c r="B690" s="14"/>
    </row>
    <row r="691" ht="12.75" customHeight="1">
      <c r="A691" s="13"/>
      <c r="B691" s="14"/>
    </row>
    <row r="692" ht="12.75" customHeight="1">
      <c r="A692" s="13"/>
      <c r="B692" s="14"/>
    </row>
    <row r="693" ht="12.75" customHeight="1">
      <c r="A693" s="13"/>
      <c r="B693" s="14"/>
    </row>
    <row r="694" ht="12.75" customHeight="1">
      <c r="A694" s="13"/>
      <c r="B694" s="14"/>
    </row>
    <row r="695" ht="12.75" customHeight="1">
      <c r="A695" s="13"/>
      <c r="B695" s="14"/>
    </row>
    <row r="696" ht="12.75" customHeight="1">
      <c r="A696" s="13"/>
      <c r="B696" s="14"/>
    </row>
    <row r="697" ht="12.75" customHeight="1">
      <c r="A697" s="13"/>
      <c r="B697" s="14"/>
    </row>
    <row r="698" ht="12.75" customHeight="1">
      <c r="A698" s="13"/>
      <c r="B698" s="14"/>
    </row>
    <row r="699" ht="12.75" customHeight="1">
      <c r="A699" s="13"/>
      <c r="B699" s="14"/>
    </row>
    <row r="700" ht="12.75" customHeight="1">
      <c r="A700" s="13"/>
      <c r="B700" s="14"/>
    </row>
    <row r="701" ht="12.75" customHeight="1">
      <c r="A701" s="13"/>
      <c r="B701" s="14"/>
    </row>
    <row r="702" ht="12.75" customHeight="1">
      <c r="A702" s="13"/>
      <c r="B702" s="14"/>
    </row>
    <row r="703" ht="12.75" customHeight="1">
      <c r="A703" s="13"/>
      <c r="B703" s="14"/>
    </row>
    <row r="704" ht="12.75" customHeight="1">
      <c r="A704" s="13"/>
      <c r="B704" s="14"/>
    </row>
    <row r="705" ht="12.75" customHeight="1">
      <c r="A705" s="13"/>
      <c r="B705" s="14"/>
    </row>
    <row r="706" ht="12.75" customHeight="1">
      <c r="A706" s="13"/>
      <c r="B706" s="14"/>
    </row>
    <row r="707" ht="12.75" customHeight="1">
      <c r="A707" s="13"/>
      <c r="B707" s="14"/>
    </row>
    <row r="708" ht="12.75" customHeight="1">
      <c r="A708" s="13"/>
      <c r="B708" s="14"/>
    </row>
    <row r="709" ht="12.75" customHeight="1">
      <c r="A709" s="13"/>
      <c r="B709" s="14"/>
    </row>
    <row r="710" ht="12.75" customHeight="1">
      <c r="A710" s="13"/>
      <c r="B710" s="14"/>
    </row>
    <row r="711" ht="12.75" customHeight="1">
      <c r="A711" s="13"/>
      <c r="B711" s="14"/>
    </row>
    <row r="712" ht="12.75" customHeight="1">
      <c r="A712" s="13"/>
      <c r="B712" s="14"/>
    </row>
    <row r="713" ht="12.75" customHeight="1">
      <c r="A713" s="13"/>
      <c r="B713" s="14"/>
    </row>
    <row r="714" ht="12.75" customHeight="1">
      <c r="A714" s="13"/>
      <c r="B714" s="14"/>
    </row>
    <row r="715" ht="12.75" customHeight="1">
      <c r="A715" s="13"/>
      <c r="B715" s="14"/>
    </row>
    <row r="716" ht="12.75" customHeight="1">
      <c r="A716" s="13"/>
      <c r="B716" s="14"/>
    </row>
    <row r="717" ht="12.75" customHeight="1">
      <c r="A717" s="13"/>
      <c r="B717" s="14"/>
    </row>
    <row r="718" ht="12.75" customHeight="1">
      <c r="A718" s="13"/>
      <c r="B718" s="14"/>
    </row>
    <row r="719" ht="12.75" customHeight="1">
      <c r="A719" s="13"/>
      <c r="B719" s="14"/>
    </row>
    <row r="720" ht="12.75" customHeight="1">
      <c r="A720" s="13"/>
      <c r="B720" s="14"/>
    </row>
    <row r="721" ht="12.75" customHeight="1">
      <c r="A721" s="13"/>
      <c r="B721" s="14"/>
    </row>
    <row r="722" ht="12.75" customHeight="1">
      <c r="A722" s="13"/>
      <c r="B722" s="14"/>
    </row>
    <row r="723" ht="12.75" customHeight="1">
      <c r="A723" s="13"/>
      <c r="B723" s="14"/>
    </row>
    <row r="724" ht="12.75" customHeight="1">
      <c r="A724" s="13"/>
      <c r="B724" s="14"/>
    </row>
    <row r="725" ht="12.75" customHeight="1">
      <c r="A725" s="13"/>
      <c r="B725" s="14"/>
    </row>
    <row r="726" ht="12.75" customHeight="1">
      <c r="A726" s="13"/>
      <c r="B726" s="14"/>
    </row>
    <row r="727" ht="12.75" customHeight="1">
      <c r="A727" s="13"/>
      <c r="B727" s="14"/>
    </row>
    <row r="728" ht="12.75" customHeight="1">
      <c r="A728" s="13"/>
      <c r="B728" s="14"/>
    </row>
    <row r="729" ht="12.75" customHeight="1">
      <c r="A729" s="13"/>
      <c r="B729" s="14"/>
    </row>
    <row r="730" ht="12.75" customHeight="1">
      <c r="A730" s="13"/>
      <c r="B730" s="14"/>
    </row>
    <row r="731" ht="12.75" customHeight="1">
      <c r="A731" s="13"/>
      <c r="B731" s="14"/>
    </row>
    <row r="732" ht="12.75" customHeight="1">
      <c r="A732" s="13"/>
      <c r="B732" s="14"/>
    </row>
    <row r="733" ht="12.75" customHeight="1">
      <c r="A733" s="13"/>
      <c r="B733" s="14"/>
    </row>
    <row r="734" ht="12.75" customHeight="1">
      <c r="A734" s="13"/>
      <c r="B734" s="14"/>
    </row>
    <row r="735" ht="12.75" customHeight="1">
      <c r="A735" s="13"/>
      <c r="B735" s="14"/>
    </row>
    <row r="736" ht="12.75" customHeight="1">
      <c r="A736" s="13"/>
      <c r="B736" s="14"/>
    </row>
    <row r="737" ht="12.75" customHeight="1">
      <c r="A737" s="13"/>
      <c r="B737" s="14"/>
    </row>
    <row r="738" ht="12.75" customHeight="1">
      <c r="A738" s="13"/>
      <c r="B738" s="14"/>
    </row>
    <row r="739" ht="12.75" customHeight="1">
      <c r="A739" s="13"/>
      <c r="B739" s="14"/>
    </row>
    <row r="740" ht="12.75" customHeight="1">
      <c r="A740" s="13"/>
      <c r="B740" s="14"/>
    </row>
    <row r="741" ht="12.75" customHeight="1">
      <c r="A741" s="13"/>
      <c r="B741" s="14"/>
    </row>
    <row r="742" ht="12.75" customHeight="1">
      <c r="A742" s="13"/>
      <c r="B742" s="14"/>
    </row>
    <row r="743" ht="12.75" customHeight="1">
      <c r="A743" s="13"/>
      <c r="B743" s="14"/>
    </row>
    <row r="744" ht="12.75" customHeight="1">
      <c r="A744" s="13"/>
      <c r="B744" s="14"/>
    </row>
    <row r="745" ht="12.75" customHeight="1">
      <c r="A745" s="13"/>
      <c r="B745" s="14"/>
    </row>
    <row r="746" ht="12.75" customHeight="1">
      <c r="A746" s="13"/>
      <c r="B746" s="14"/>
    </row>
    <row r="747" ht="12.75" customHeight="1">
      <c r="A747" s="13"/>
      <c r="B747" s="14"/>
    </row>
    <row r="748" ht="12.75" customHeight="1">
      <c r="A748" s="13"/>
      <c r="B748" s="14"/>
    </row>
    <row r="749" ht="12.75" customHeight="1">
      <c r="A749" s="13"/>
      <c r="B749" s="14"/>
    </row>
    <row r="750" ht="12.75" customHeight="1">
      <c r="A750" s="13"/>
      <c r="B750" s="14"/>
    </row>
    <row r="751" ht="12.75" customHeight="1">
      <c r="A751" s="13"/>
      <c r="B751" s="14"/>
    </row>
    <row r="752" ht="12.75" customHeight="1">
      <c r="A752" s="13"/>
      <c r="B752" s="14"/>
    </row>
    <row r="753" ht="12.75" customHeight="1">
      <c r="A753" s="13"/>
      <c r="B753" s="14"/>
    </row>
    <row r="754" ht="12.75" customHeight="1">
      <c r="A754" s="13"/>
      <c r="B754" s="14"/>
    </row>
    <row r="755" ht="12.75" customHeight="1">
      <c r="A755" s="13"/>
      <c r="B755" s="14"/>
    </row>
    <row r="756" ht="12.75" customHeight="1">
      <c r="A756" s="13"/>
      <c r="B756" s="14"/>
    </row>
    <row r="757" ht="12.75" customHeight="1">
      <c r="A757" s="13"/>
      <c r="B757" s="14"/>
    </row>
    <row r="758" ht="12.75" customHeight="1">
      <c r="A758" s="13"/>
      <c r="B758" s="14"/>
    </row>
    <row r="759" ht="12.75" customHeight="1">
      <c r="A759" s="13"/>
      <c r="B759" s="14"/>
    </row>
    <row r="760" ht="12.75" customHeight="1">
      <c r="A760" s="13"/>
      <c r="B760" s="14"/>
    </row>
    <row r="761" ht="12.75" customHeight="1">
      <c r="A761" s="13"/>
      <c r="B761" s="14"/>
    </row>
    <row r="762" ht="12.75" customHeight="1">
      <c r="A762" s="13"/>
      <c r="B762" s="14"/>
    </row>
    <row r="763" ht="12.75" customHeight="1">
      <c r="A763" s="13"/>
      <c r="B763" s="14"/>
    </row>
    <row r="764" ht="12.75" customHeight="1">
      <c r="A764" s="13"/>
      <c r="B764" s="14"/>
    </row>
    <row r="765" ht="12.75" customHeight="1">
      <c r="A765" s="13"/>
      <c r="B765" s="14"/>
    </row>
    <row r="766" ht="12.75" customHeight="1">
      <c r="A766" s="13"/>
      <c r="B766" s="14"/>
    </row>
    <row r="767" ht="12.75" customHeight="1">
      <c r="A767" s="13"/>
      <c r="B767" s="14"/>
    </row>
    <row r="768" ht="12.75" customHeight="1">
      <c r="A768" s="13"/>
      <c r="B768" s="14"/>
    </row>
    <row r="769" ht="12.75" customHeight="1">
      <c r="A769" s="13"/>
      <c r="B769" s="14"/>
    </row>
    <row r="770" ht="12.75" customHeight="1">
      <c r="A770" s="13"/>
      <c r="B770" s="14"/>
    </row>
    <row r="771" ht="12.75" customHeight="1">
      <c r="A771" s="13"/>
      <c r="B771" s="14"/>
    </row>
    <row r="772" ht="12.75" customHeight="1">
      <c r="A772" s="13"/>
      <c r="B772" s="14"/>
    </row>
    <row r="773" ht="12.75" customHeight="1">
      <c r="A773" s="13"/>
      <c r="B773" s="14"/>
    </row>
    <row r="774" ht="12.75" customHeight="1">
      <c r="A774" s="13"/>
      <c r="B774" s="14"/>
    </row>
    <row r="775" ht="12.75" customHeight="1">
      <c r="A775" s="13"/>
      <c r="B775" s="14"/>
    </row>
    <row r="776" ht="12.75" customHeight="1">
      <c r="A776" s="13"/>
      <c r="B776" s="14"/>
    </row>
    <row r="777" ht="12.75" customHeight="1">
      <c r="A777" s="13"/>
      <c r="B777" s="14"/>
    </row>
    <row r="778" ht="12.75" customHeight="1">
      <c r="A778" s="13"/>
      <c r="B778" s="14"/>
    </row>
    <row r="779" ht="12.75" customHeight="1">
      <c r="A779" s="13"/>
      <c r="B779" s="14"/>
    </row>
    <row r="780" ht="12.75" customHeight="1">
      <c r="A780" s="13"/>
      <c r="B780" s="14"/>
    </row>
    <row r="781" ht="12.75" customHeight="1">
      <c r="A781" s="13"/>
      <c r="B781" s="14"/>
    </row>
    <row r="782" ht="12.75" customHeight="1">
      <c r="A782" s="13"/>
      <c r="B782" s="14"/>
    </row>
    <row r="783" ht="12.75" customHeight="1">
      <c r="A783" s="13"/>
      <c r="B783" s="14"/>
    </row>
    <row r="784" ht="12.75" customHeight="1">
      <c r="A784" s="13"/>
      <c r="B784" s="14"/>
    </row>
    <row r="785" ht="12.75" customHeight="1">
      <c r="A785" s="13"/>
      <c r="B785" s="14"/>
    </row>
    <row r="786" ht="12.75" customHeight="1">
      <c r="A786" s="13"/>
      <c r="B786" s="14"/>
    </row>
    <row r="787" ht="12.75" customHeight="1">
      <c r="A787" s="13"/>
      <c r="B787" s="14"/>
    </row>
    <row r="788" ht="12.75" customHeight="1">
      <c r="A788" s="13"/>
      <c r="B788" s="14"/>
    </row>
    <row r="789" ht="12.75" customHeight="1">
      <c r="A789" s="13"/>
      <c r="B789" s="14"/>
    </row>
    <row r="790" ht="12.75" customHeight="1">
      <c r="A790" s="13"/>
      <c r="B790" s="14"/>
    </row>
    <row r="791" ht="12.75" customHeight="1">
      <c r="A791" s="13"/>
      <c r="B791" s="14"/>
    </row>
    <row r="792" ht="12.75" customHeight="1">
      <c r="A792" s="13"/>
      <c r="B792" s="14"/>
    </row>
    <row r="793" ht="12.75" customHeight="1">
      <c r="A793" s="13"/>
      <c r="B793" s="14"/>
    </row>
    <row r="794" ht="12.75" customHeight="1">
      <c r="A794" s="13"/>
      <c r="B794" s="14"/>
    </row>
    <row r="795" ht="12.75" customHeight="1">
      <c r="A795" s="13"/>
      <c r="B795" s="14"/>
    </row>
    <row r="796" ht="12.75" customHeight="1">
      <c r="A796" s="13"/>
      <c r="B796" s="14"/>
    </row>
    <row r="797" ht="12.75" customHeight="1">
      <c r="A797" s="13"/>
      <c r="B797" s="14"/>
    </row>
    <row r="798" ht="12.75" customHeight="1">
      <c r="A798" s="13"/>
      <c r="B798" s="14"/>
    </row>
    <row r="799" ht="12.75" customHeight="1">
      <c r="A799" s="13"/>
      <c r="B799" s="14"/>
    </row>
    <row r="800" ht="12.75" customHeight="1">
      <c r="A800" s="13"/>
      <c r="B800" s="14"/>
    </row>
    <row r="801" ht="12.75" customHeight="1">
      <c r="A801" s="13"/>
      <c r="B801" s="14"/>
    </row>
    <row r="802" ht="12.75" customHeight="1">
      <c r="A802" s="13"/>
      <c r="B802" s="14"/>
    </row>
    <row r="803" ht="12.75" customHeight="1">
      <c r="A803" s="13"/>
      <c r="B803" s="14"/>
    </row>
    <row r="804" ht="12.75" customHeight="1">
      <c r="A804" s="13"/>
      <c r="B804" s="14"/>
    </row>
    <row r="805" ht="12.75" customHeight="1">
      <c r="A805" s="13"/>
      <c r="B805" s="14"/>
    </row>
    <row r="806" ht="12.75" customHeight="1">
      <c r="A806" s="13"/>
      <c r="B806" s="14"/>
    </row>
    <row r="807" ht="12.75" customHeight="1">
      <c r="A807" s="13"/>
      <c r="B807" s="14"/>
    </row>
    <row r="808" ht="12.75" customHeight="1">
      <c r="A808" s="13"/>
      <c r="B808" s="14"/>
    </row>
    <row r="809" ht="12.75" customHeight="1">
      <c r="A809" s="13"/>
      <c r="B809" s="14"/>
    </row>
    <row r="810" ht="12.75" customHeight="1">
      <c r="A810" s="13"/>
      <c r="B810" s="14"/>
    </row>
    <row r="811" ht="12.75" customHeight="1">
      <c r="A811" s="13"/>
      <c r="B811" s="14"/>
    </row>
    <row r="812" ht="12.75" customHeight="1">
      <c r="A812" s="13"/>
      <c r="B812" s="14"/>
    </row>
    <row r="813" ht="12.75" customHeight="1">
      <c r="A813" s="13"/>
      <c r="B813" s="14"/>
    </row>
    <row r="814" ht="12.75" customHeight="1">
      <c r="A814" s="13"/>
      <c r="B814" s="14"/>
    </row>
    <row r="815" ht="12.75" customHeight="1">
      <c r="A815" s="13"/>
      <c r="B815" s="14"/>
    </row>
    <row r="816" ht="12.75" customHeight="1">
      <c r="A816" s="13"/>
      <c r="B816" s="14"/>
    </row>
    <row r="817" ht="12.75" customHeight="1">
      <c r="A817" s="13"/>
      <c r="B817" s="14"/>
    </row>
    <row r="818" ht="12.75" customHeight="1">
      <c r="A818" s="13"/>
      <c r="B818" s="14"/>
    </row>
    <row r="819" ht="12.75" customHeight="1">
      <c r="A819" s="13"/>
      <c r="B819" s="14"/>
    </row>
    <row r="820" ht="12.75" customHeight="1">
      <c r="A820" s="13"/>
      <c r="B820" s="14"/>
    </row>
    <row r="821" ht="12.75" customHeight="1">
      <c r="A821" s="13"/>
      <c r="B821" s="14"/>
    </row>
    <row r="822" ht="12.75" customHeight="1">
      <c r="A822" s="13"/>
      <c r="B822" s="14"/>
    </row>
    <row r="823" ht="12.75" customHeight="1">
      <c r="A823" s="13"/>
      <c r="B823" s="14"/>
    </row>
    <row r="824" ht="12.75" customHeight="1">
      <c r="A824" s="13"/>
      <c r="B824" s="14"/>
    </row>
    <row r="825" ht="12.75" customHeight="1">
      <c r="A825" s="13"/>
      <c r="B825" s="14"/>
    </row>
    <row r="826" ht="12.75" customHeight="1">
      <c r="A826" s="13"/>
      <c r="B826" s="14"/>
    </row>
    <row r="827" ht="12.75" customHeight="1">
      <c r="A827" s="13"/>
      <c r="B827" s="14"/>
    </row>
    <row r="828" ht="12.75" customHeight="1">
      <c r="A828" s="13"/>
      <c r="B828" s="14"/>
    </row>
    <row r="829" ht="12.75" customHeight="1">
      <c r="A829" s="13"/>
      <c r="B829" s="14"/>
    </row>
    <row r="830" ht="12.75" customHeight="1">
      <c r="A830" s="13"/>
      <c r="B830" s="14"/>
    </row>
    <row r="831" ht="12.75" customHeight="1">
      <c r="A831" s="13"/>
      <c r="B831" s="14"/>
    </row>
    <row r="832" ht="12.75" customHeight="1">
      <c r="A832" s="13"/>
      <c r="B832" s="14"/>
    </row>
    <row r="833" ht="12.75" customHeight="1">
      <c r="A833" s="13"/>
      <c r="B833" s="14"/>
    </row>
    <row r="834" ht="12.75" customHeight="1">
      <c r="A834" s="13"/>
      <c r="B834" s="14"/>
    </row>
    <row r="835" ht="12.75" customHeight="1">
      <c r="A835" s="13"/>
      <c r="B835" s="14"/>
    </row>
    <row r="836" ht="12.75" customHeight="1">
      <c r="A836" s="13"/>
      <c r="B836" s="14"/>
    </row>
    <row r="837" ht="12.75" customHeight="1">
      <c r="A837" s="13"/>
      <c r="B837" s="14"/>
    </row>
    <row r="838" ht="12.75" customHeight="1">
      <c r="A838" s="13"/>
      <c r="B838" s="14"/>
    </row>
    <row r="839" ht="12.75" customHeight="1">
      <c r="A839" s="13"/>
      <c r="B839" s="14"/>
    </row>
    <row r="840" ht="12.75" customHeight="1">
      <c r="A840" s="13"/>
      <c r="B840" s="14"/>
    </row>
    <row r="841" ht="12.75" customHeight="1">
      <c r="A841" s="13"/>
      <c r="B841" s="14"/>
    </row>
    <row r="842" ht="12.75" customHeight="1">
      <c r="A842" s="13"/>
      <c r="B842" s="14"/>
    </row>
    <row r="843" ht="12.75" customHeight="1">
      <c r="A843" s="13"/>
      <c r="B843" s="14"/>
    </row>
    <row r="844" ht="12.75" customHeight="1">
      <c r="A844" s="13"/>
      <c r="B844" s="14"/>
    </row>
    <row r="845" ht="12.75" customHeight="1">
      <c r="A845" s="13"/>
      <c r="B845" s="14"/>
    </row>
    <row r="846" ht="12.75" customHeight="1">
      <c r="A846" s="13"/>
      <c r="B846" s="14"/>
    </row>
    <row r="847" ht="12.75" customHeight="1">
      <c r="A847" s="13"/>
      <c r="B847" s="14"/>
    </row>
    <row r="848" ht="12.75" customHeight="1">
      <c r="A848" s="13"/>
      <c r="B848" s="14"/>
    </row>
    <row r="849" ht="12.75" customHeight="1">
      <c r="A849" s="13"/>
      <c r="B849" s="14"/>
    </row>
    <row r="850" ht="12.75" customHeight="1">
      <c r="A850" s="13"/>
      <c r="B850" s="14"/>
    </row>
    <row r="851" ht="12.75" customHeight="1">
      <c r="A851" s="13"/>
      <c r="B851" s="14"/>
    </row>
    <row r="852" ht="12.75" customHeight="1">
      <c r="A852" s="13"/>
      <c r="B852" s="14"/>
    </row>
    <row r="853" ht="12.75" customHeight="1">
      <c r="A853" s="13"/>
      <c r="B853" s="14"/>
    </row>
    <row r="854" ht="12.75" customHeight="1">
      <c r="A854" s="13"/>
      <c r="B854" s="14"/>
    </row>
    <row r="855" ht="12.75" customHeight="1">
      <c r="A855" s="13"/>
      <c r="B855" s="14"/>
    </row>
    <row r="856" ht="12.75" customHeight="1">
      <c r="A856" s="13"/>
      <c r="B856" s="14"/>
    </row>
    <row r="857" ht="12.75" customHeight="1">
      <c r="A857" s="13"/>
      <c r="B857" s="14"/>
    </row>
    <row r="858" ht="12.75" customHeight="1">
      <c r="A858" s="13"/>
      <c r="B858" s="14"/>
    </row>
    <row r="859" ht="12.75" customHeight="1">
      <c r="A859" s="13"/>
      <c r="B859" s="14"/>
    </row>
    <row r="860" ht="12.75" customHeight="1">
      <c r="A860" s="13"/>
      <c r="B860" s="14"/>
    </row>
    <row r="861" ht="12.75" customHeight="1">
      <c r="A861" s="13"/>
      <c r="B861" s="14"/>
    </row>
    <row r="862" ht="12.75" customHeight="1">
      <c r="A862" s="13"/>
      <c r="B862" s="14"/>
    </row>
    <row r="863" ht="12.75" customHeight="1">
      <c r="A863" s="13"/>
      <c r="B863" s="14"/>
    </row>
    <row r="864" ht="12.75" customHeight="1">
      <c r="A864" s="13"/>
      <c r="B864" s="14"/>
    </row>
    <row r="865" ht="12.75" customHeight="1">
      <c r="A865" s="13"/>
      <c r="B865" s="14"/>
    </row>
    <row r="866" ht="12.75" customHeight="1">
      <c r="A866" s="13"/>
      <c r="B866" s="14"/>
    </row>
    <row r="867" ht="12.75" customHeight="1">
      <c r="A867" s="13"/>
      <c r="B867" s="14"/>
    </row>
    <row r="868" ht="12.75" customHeight="1">
      <c r="A868" s="13"/>
      <c r="B868" s="14"/>
    </row>
    <row r="869" ht="12.75" customHeight="1">
      <c r="A869" s="13"/>
      <c r="B869" s="14"/>
    </row>
    <row r="870" ht="12.75" customHeight="1">
      <c r="A870" s="13"/>
      <c r="B870" s="14"/>
    </row>
    <row r="871" ht="12.75" customHeight="1">
      <c r="A871" s="13"/>
      <c r="B871" s="14"/>
    </row>
    <row r="872" ht="12.75" customHeight="1">
      <c r="A872" s="13"/>
      <c r="B872" s="14"/>
    </row>
    <row r="873" ht="12.75" customHeight="1">
      <c r="A873" s="13"/>
      <c r="B873" s="14"/>
    </row>
    <row r="874" ht="12.75" customHeight="1">
      <c r="A874" s="13"/>
      <c r="B874" s="14"/>
    </row>
    <row r="875" ht="12.75" customHeight="1">
      <c r="A875" s="13"/>
      <c r="B875" s="14"/>
    </row>
    <row r="876" ht="12.75" customHeight="1">
      <c r="A876" s="13"/>
      <c r="B876" s="14"/>
    </row>
    <row r="877" ht="12.75" customHeight="1">
      <c r="A877" s="13"/>
      <c r="B877" s="14"/>
    </row>
    <row r="878" ht="12.75" customHeight="1">
      <c r="A878" s="13"/>
      <c r="B878" s="14"/>
    </row>
    <row r="879" ht="12.75" customHeight="1">
      <c r="A879" s="13"/>
      <c r="B879" s="14"/>
    </row>
    <row r="880" ht="12.75" customHeight="1">
      <c r="A880" s="13"/>
      <c r="B880" s="14"/>
    </row>
    <row r="881" ht="12.75" customHeight="1">
      <c r="A881" s="13"/>
      <c r="B881" s="14"/>
    </row>
    <row r="882" ht="12.75" customHeight="1">
      <c r="A882" s="13"/>
      <c r="B882" s="14"/>
    </row>
    <row r="883" ht="12.75" customHeight="1">
      <c r="A883" s="13"/>
      <c r="B883" s="14"/>
    </row>
    <row r="884" ht="12.75" customHeight="1">
      <c r="A884" s="13"/>
      <c r="B884" s="14"/>
    </row>
    <row r="885" ht="12.75" customHeight="1">
      <c r="A885" s="13"/>
      <c r="B885" s="14"/>
    </row>
    <row r="886" ht="12.75" customHeight="1">
      <c r="A886" s="13"/>
      <c r="B886" s="14"/>
    </row>
    <row r="887" ht="12.75" customHeight="1">
      <c r="A887" s="13"/>
      <c r="B887" s="14"/>
    </row>
    <row r="888" ht="12.75" customHeight="1">
      <c r="A888" s="13"/>
      <c r="B888" s="14"/>
    </row>
    <row r="889" ht="12.75" customHeight="1">
      <c r="A889" s="13"/>
      <c r="B889" s="14"/>
    </row>
    <row r="890" ht="12.75" customHeight="1">
      <c r="A890" s="13"/>
      <c r="B890" s="14"/>
    </row>
    <row r="891" ht="12.75" customHeight="1">
      <c r="A891" s="13"/>
      <c r="B891" s="14"/>
    </row>
    <row r="892" ht="12.75" customHeight="1">
      <c r="A892" s="13"/>
      <c r="B892" s="14"/>
    </row>
    <row r="893" ht="12.75" customHeight="1">
      <c r="A893" s="13"/>
      <c r="B893" s="14"/>
    </row>
    <row r="894" ht="12.75" customHeight="1">
      <c r="A894" s="13"/>
      <c r="B894" s="14"/>
    </row>
    <row r="895" ht="12.75" customHeight="1">
      <c r="A895" s="13"/>
      <c r="B895" s="14"/>
    </row>
    <row r="896" ht="12.75" customHeight="1">
      <c r="A896" s="13"/>
      <c r="B896" s="14"/>
    </row>
    <row r="897" ht="12.75" customHeight="1">
      <c r="A897" s="13"/>
      <c r="B897" s="14"/>
    </row>
    <row r="898" ht="12.75" customHeight="1">
      <c r="A898" s="13"/>
      <c r="B898" s="14"/>
    </row>
    <row r="899" ht="12.75" customHeight="1">
      <c r="A899" s="13"/>
      <c r="B899" s="14"/>
    </row>
    <row r="900" ht="12.75" customHeight="1">
      <c r="A900" s="13"/>
      <c r="B900" s="14"/>
    </row>
    <row r="901" ht="12.75" customHeight="1">
      <c r="A901" s="13"/>
      <c r="B901" s="14"/>
    </row>
    <row r="902" ht="12.75" customHeight="1">
      <c r="A902" s="13"/>
      <c r="B902" s="14"/>
    </row>
    <row r="903" ht="12.75" customHeight="1">
      <c r="A903" s="13"/>
      <c r="B903" s="14"/>
    </row>
    <row r="904" ht="12.75" customHeight="1">
      <c r="A904" s="13"/>
      <c r="B904" s="14"/>
    </row>
    <row r="905" ht="12.75" customHeight="1">
      <c r="A905" s="13"/>
      <c r="B905" s="14"/>
    </row>
    <row r="906" ht="12.75" customHeight="1">
      <c r="A906" s="13"/>
      <c r="B906" s="14"/>
    </row>
    <row r="907" ht="12.75" customHeight="1">
      <c r="A907" s="13"/>
      <c r="B907" s="14"/>
    </row>
    <row r="908" ht="12.75" customHeight="1">
      <c r="A908" s="13"/>
      <c r="B908" s="14"/>
    </row>
    <row r="909" ht="12.75" customHeight="1">
      <c r="A909" s="13"/>
      <c r="B909" s="14"/>
    </row>
    <row r="910" ht="12.75" customHeight="1">
      <c r="A910" s="13"/>
      <c r="B910" s="14"/>
    </row>
    <row r="911" ht="12.75" customHeight="1">
      <c r="A911" s="13"/>
      <c r="B911" s="14"/>
    </row>
    <row r="912" ht="12.75" customHeight="1">
      <c r="A912" s="13"/>
      <c r="B912" s="14"/>
    </row>
    <row r="913" ht="12.75" customHeight="1">
      <c r="A913" s="13"/>
      <c r="B913" s="14"/>
    </row>
    <row r="914" ht="12.75" customHeight="1">
      <c r="A914" s="13"/>
      <c r="B914" s="14"/>
    </row>
    <row r="915" ht="12.75" customHeight="1">
      <c r="A915" s="13"/>
      <c r="B915" s="14"/>
    </row>
    <row r="916" ht="12.75" customHeight="1">
      <c r="A916" s="13"/>
      <c r="B916" s="14"/>
    </row>
    <row r="917" ht="12.75" customHeight="1">
      <c r="A917" s="13"/>
      <c r="B917" s="14"/>
    </row>
    <row r="918" ht="12.75" customHeight="1">
      <c r="A918" s="13"/>
      <c r="B918" s="14"/>
    </row>
    <row r="919" ht="12.75" customHeight="1">
      <c r="A919" s="13"/>
      <c r="B919" s="14"/>
    </row>
    <row r="920" ht="12.75" customHeight="1">
      <c r="A920" s="13"/>
      <c r="B920" s="14"/>
    </row>
    <row r="921" ht="12.75" customHeight="1">
      <c r="A921" s="13"/>
      <c r="B921" s="14"/>
    </row>
    <row r="922" ht="12.75" customHeight="1">
      <c r="A922" s="13"/>
      <c r="B922" s="14"/>
    </row>
    <row r="923" ht="12.75" customHeight="1">
      <c r="A923" s="13"/>
      <c r="B923" s="14"/>
    </row>
    <row r="924" ht="12.75" customHeight="1">
      <c r="A924" s="13"/>
      <c r="B924" s="14"/>
    </row>
    <row r="925" ht="12.75" customHeight="1">
      <c r="A925" s="13"/>
      <c r="B925" s="14"/>
    </row>
    <row r="926" ht="12.75" customHeight="1">
      <c r="A926" s="13"/>
      <c r="B926" s="14"/>
    </row>
    <row r="927" ht="12.75" customHeight="1">
      <c r="A927" s="13"/>
      <c r="B927" s="14"/>
    </row>
    <row r="928" ht="12.75" customHeight="1">
      <c r="A928" s="13"/>
      <c r="B928" s="14"/>
    </row>
    <row r="929" ht="12.75" customHeight="1">
      <c r="A929" s="13"/>
      <c r="B929" s="14"/>
    </row>
    <row r="930" ht="12.75" customHeight="1">
      <c r="A930" s="13"/>
      <c r="B930" s="14"/>
    </row>
    <row r="931" ht="12.75" customHeight="1">
      <c r="A931" s="13"/>
      <c r="B931" s="14"/>
    </row>
    <row r="932" ht="12.75" customHeight="1">
      <c r="A932" s="13"/>
      <c r="B932" s="14"/>
    </row>
    <row r="933" ht="12.75" customHeight="1">
      <c r="A933" s="13"/>
      <c r="B933" s="14"/>
    </row>
    <row r="934" ht="12.75" customHeight="1">
      <c r="A934" s="13"/>
      <c r="B934" s="14"/>
    </row>
    <row r="935" ht="12.75" customHeight="1">
      <c r="A935" s="13"/>
      <c r="B935" s="14"/>
    </row>
    <row r="936" ht="12.75" customHeight="1">
      <c r="A936" s="13"/>
      <c r="B936" s="14"/>
    </row>
    <row r="937" ht="12.75" customHeight="1">
      <c r="A937" s="13"/>
      <c r="B937" s="14"/>
    </row>
    <row r="938" ht="12.75" customHeight="1">
      <c r="A938" s="13"/>
      <c r="B938" s="14"/>
    </row>
    <row r="939" ht="12.75" customHeight="1">
      <c r="A939" s="13"/>
      <c r="B939" s="14"/>
    </row>
    <row r="940" ht="12.75" customHeight="1">
      <c r="A940" s="13"/>
      <c r="B940" s="14"/>
    </row>
    <row r="941" ht="12.75" customHeight="1">
      <c r="A941" s="13"/>
      <c r="B941" s="14"/>
    </row>
    <row r="942" ht="12.75" customHeight="1">
      <c r="A942" s="13"/>
      <c r="B942" s="14"/>
    </row>
    <row r="943" ht="12.75" customHeight="1">
      <c r="A943" s="13"/>
      <c r="B943" s="14"/>
    </row>
    <row r="944" ht="12.75" customHeight="1">
      <c r="A944" s="13"/>
      <c r="B944" s="14"/>
    </row>
    <row r="945" ht="12.75" customHeight="1">
      <c r="A945" s="13"/>
      <c r="B945" s="14"/>
    </row>
    <row r="946" ht="12.75" customHeight="1">
      <c r="A946" s="13"/>
      <c r="B946" s="14"/>
    </row>
    <row r="947" ht="12.75" customHeight="1">
      <c r="A947" s="13"/>
      <c r="B947" s="14"/>
    </row>
    <row r="948" ht="12.75" customHeight="1">
      <c r="A948" s="13"/>
      <c r="B948" s="14"/>
    </row>
    <row r="949" ht="12.75" customHeight="1">
      <c r="A949" s="13"/>
      <c r="B949" s="14"/>
    </row>
    <row r="950" ht="12.75" customHeight="1">
      <c r="A950" s="13"/>
      <c r="B950" s="14"/>
    </row>
    <row r="951" ht="12.75" customHeight="1">
      <c r="A951" s="13"/>
      <c r="B951" s="14"/>
    </row>
    <row r="952" ht="12.75" customHeight="1">
      <c r="A952" s="13"/>
      <c r="B952" s="14"/>
    </row>
    <row r="953" ht="12.75" customHeight="1">
      <c r="A953" s="13"/>
      <c r="B953" s="14"/>
    </row>
    <row r="954" ht="12.75" customHeight="1">
      <c r="A954" s="13"/>
      <c r="B954" s="14"/>
    </row>
    <row r="955" ht="12.75" customHeight="1">
      <c r="A955" s="13"/>
      <c r="B955" s="14"/>
    </row>
    <row r="956" ht="12.75" customHeight="1">
      <c r="A956" s="13"/>
      <c r="B956" s="14"/>
    </row>
    <row r="957" ht="12.75" customHeight="1">
      <c r="A957" s="13"/>
      <c r="B957" s="14"/>
    </row>
    <row r="958" ht="12.75" customHeight="1">
      <c r="A958" s="13"/>
      <c r="B958" s="14"/>
    </row>
    <row r="959" ht="12.75" customHeight="1">
      <c r="A959" s="13"/>
      <c r="B959" s="14"/>
    </row>
    <row r="960" ht="12.75" customHeight="1">
      <c r="A960" s="13"/>
      <c r="B960" s="14"/>
    </row>
    <row r="961" ht="12.75" customHeight="1">
      <c r="A961" s="13"/>
      <c r="B961" s="14"/>
    </row>
    <row r="962" ht="12.75" customHeight="1">
      <c r="A962" s="13"/>
      <c r="B962" s="14"/>
    </row>
    <row r="963" ht="12.75" customHeight="1">
      <c r="A963" s="13"/>
      <c r="B963" s="14"/>
    </row>
    <row r="964" ht="12.75" customHeight="1">
      <c r="A964" s="13"/>
      <c r="B964" s="14"/>
    </row>
    <row r="965" ht="12.75" customHeight="1">
      <c r="A965" s="13"/>
      <c r="B965" s="14"/>
    </row>
    <row r="966" ht="12.75" customHeight="1">
      <c r="A966" s="13"/>
      <c r="B966" s="14"/>
    </row>
    <row r="967" ht="12.75" customHeight="1">
      <c r="A967" s="13"/>
      <c r="B967" s="14"/>
    </row>
    <row r="968" ht="12.75" customHeight="1">
      <c r="A968" s="13"/>
      <c r="B968" s="14"/>
    </row>
    <row r="969" ht="12.75" customHeight="1">
      <c r="A969" s="13"/>
      <c r="B969" s="14"/>
    </row>
    <row r="970" ht="12.75" customHeight="1">
      <c r="A970" s="13"/>
      <c r="B970" s="14"/>
    </row>
    <row r="971" ht="12.75" customHeight="1">
      <c r="A971" s="13"/>
      <c r="B971" s="14"/>
    </row>
    <row r="972" ht="12.75" customHeight="1">
      <c r="A972" s="13"/>
      <c r="B972" s="14"/>
    </row>
    <row r="973" ht="12.75" customHeight="1">
      <c r="A973" s="13"/>
      <c r="B973" s="14"/>
    </row>
    <row r="974" ht="12.75" customHeight="1">
      <c r="A974" s="13"/>
      <c r="B974" s="14"/>
    </row>
    <row r="975" ht="12.75" customHeight="1">
      <c r="A975" s="13"/>
      <c r="B975" s="14"/>
    </row>
    <row r="976" ht="12.75" customHeight="1">
      <c r="A976" s="13"/>
      <c r="B976" s="14"/>
    </row>
    <row r="977" ht="12.75" customHeight="1">
      <c r="A977" s="13"/>
      <c r="B977" s="14"/>
    </row>
    <row r="978" ht="12.75" customHeight="1">
      <c r="A978" s="13"/>
      <c r="B978" s="14"/>
    </row>
    <row r="979" ht="12.75" customHeight="1">
      <c r="A979" s="13"/>
      <c r="B979" s="14"/>
    </row>
    <row r="980" ht="12.75" customHeight="1">
      <c r="A980" s="13"/>
      <c r="B980" s="14"/>
    </row>
    <row r="981" ht="12.75" customHeight="1">
      <c r="A981" s="13"/>
      <c r="B981" s="14"/>
    </row>
    <row r="982" ht="12.75" customHeight="1">
      <c r="A982" s="13"/>
      <c r="B982" s="14"/>
    </row>
    <row r="983" ht="12.75" customHeight="1">
      <c r="A983" s="13"/>
      <c r="B983" s="14"/>
    </row>
    <row r="984" ht="12.75" customHeight="1">
      <c r="A984" s="13"/>
      <c r="B984" s="14"/>
    </row>
    <row r="985" ht="12.75" customHeight="1">
      <c r="A985" s="13"/>
      <c r="B985" s="14"/>
    </row>
    <row r="986" ht="12.75" customHeight="1">
      <c r="A986" s="13"/>
      <c r="B986" s="14"/>
    </row>
    <row r="987" ht="12.75" customHeight="1">
      <c r="A987" s="13"/>
      <c r="B987" s="14"/>
    </row>
    <row r="988" ht="12.75" customHeight="1">
      <c r="A988" s="13"/>
      <c r="B988" s="14"/>
    </row>
    <row r="989" ht="12.75" customHeight="1">
      <c r="A989" s="13"/>
      <c r="B989" s="14"/>
    </row>
    <row r="990" ht="12.75" customHeight="1">
      <c r="A990" s="13"/>
      <c r="B990" s="14"/>
    </row>
    <row r="991" ht="12.75" customHeight="1">
      <c r="A991" s="13"/>
      <c r="B991" s="14"/>
    </row>
    <row r="992" ht="12.75" customHeight="1">
      <c r="A992" s="13"/>
      <c r="B992" s="14"/>
    </row>
    <row r="993" ht="12.75" customHeight="1">
      <c r="A993" s="13"/>
      <c r="B993" s="14"/>
    </row>
    <row r="994" ht="12.75" customHeight="1">
      <c r="A994" s="13"/>
      <c r="B994" s="14"/>
    </row>
    <row r="995" ht="12.75" customHeight="1">
      <c r="A995" s="13"/>
      <c r="B995" s="14"/>
    </row>
    <row r="996" ht="12.75" customHeight="1">
      <c r="A996" s="13"/>
      <c r="B996" s="14"/>
    </row>
    <row r="997" ht="12.75" customHeight="1">
      <c r="A997" s="13"/>
      <c r="B997" s="14"/>
    </row>
    <row r="998" ht="12.75" customHeight="1">
      <c r="A998" s="13"/>
      <c r="B998" s="14"/>
    </row>
    <row r="999" ht="12.75" customHeight="1">
      <c r="A999" s="13"/>
      <c r="B999" s="14"/>
    </row>
    <row r="1000" ht="12.75" customHeight="1">
      <c r="A1000" s="13"/>
      <c r="B1000" s="14"/>
    </row>
    <row r="1001" ht="12.75" customHeight="1">
      <c r="A1001" s="13"/>
      <c r="B1001" s="14"/>
    </row>
    <row r="1002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38.38"/>
    <col customWidth="1" min="5" max="24" width="10.63"/>
  </cols>
  <sheetData>
    <row r="1" ht="12.75" customHeight="1">
      <c r="A1" s="1" t="s">
        <v>0</v>
      </c>
      <c r="B1" s="2" t="s">
        <v>1</v>
      </c>
      <c r="C1" s="15" t="s">
        <v>49</v>
      </c>
      <c r="D1" s="16" t="s">
        <v>50</v>
      </c>
    </row>
    <row r="2" ht="12.75" customHeight="1">
      <c r="A2" s="3" t="s">
        <v>2</v>
      </c>
      <c r="B2" s="4" t="s">
        <v>3</v>
      </c>
      <c r="C2" s="17">
        <v>1.0</v>
      </c>
      <c r="D2" s="18"/>
    </row>
    <row r="3" ht="12.75" customHeight="1">
      <c r="A3" s="3" t="s">
        <v>4</v>
      </c>
      <c r="B3" s="4" t="s">
        <v>5</v>
      </c>
      <c r="C3" s="17">
        <v>1.0</v>
      </c>
      <c r="D3" s="18"/>
    </row>
    <row r="4" ht="12.75" customHeight="1">
      <c r="A4" s="3" t="s">
        <v>6</v>
      </c>
      <c r="B4" s="4" t="s">
        <v>7</v>
      </c>
      <c r="C4" s="17">
        <v>1.0</v>
      </c>
      <c r="D4" s="18"/>
    </row>
    <row r="5" ht="12.75" customHeight="1">
      <c r="A5" s="3" t="s">
        <v>6</v>
      </c>
      <c r="B5" s="4" t="s">
        <v>8</v>
      </c>
      <c r="C5" s="17">
        <v>1.0</v>
      </c>
      <c r="D5" s="18"/>
    </row>
    <row r="6" ht="12.75" customHeight="1">
      <c r="A6" s="3" t="s">
        <v>2</v>
      </c>
      <c r="B6" s="4" t="s">
        <v>9</v>
      </c>
      <c r="C6" s="17">
        <v>1.0</v>
      </c>
      <c r="D6" s="18"/>
    </row>
    <row r="7" ht="12.75" customHeight="1">
      <c r="A7" s="3" t="s">
        <v>10</v>
      </c>
      <c r="B7" s="4" t="s">
        <v>11</v>
      </c>
      <c r="C7" s="17">
        <v>1.0</v>
      </c>
      <c r="D7" s="18"/>
    </row>
    <row r="8" ht="12.75" customHeight="1">
      <c r="A8" s="3" t="s">
        <v>10</v>
      </c>
      <c r="B8" s="4" t="s">
        <v>12</v>
      </c>
      <c r="C8" s="17">
        <v>1.0</v>
      </c>
      <c r="D8" s="18"/>
    </row>
    <row r="9" ht="12.75" customHeight="1">
      <c r="A9" s="3" t="s">
        <v>6</v>
      </c>
      <c r="B9" s="4" t="s">
        <v>13</v>
      </c>
      <c r="C9" s="17">
        <v>1.0</v>
      </c>
      <c r="D9" s="18"/>
    </row>
    <row r="10" ht="12.75" customHeight="1">
      <c r="A10" s="3" t="s">
        <v>6</v>
      </c>
      <c r="B10" s="4" t="s">
        <v>14</v>
      </c>
      <c r="C10" s="17">
        <v>1.0</v>
      </c>
      <c r="D10" s="18"/>
    </row>
    <row r="11" ht="12.75" customHeight="1">
      <c r="A11" s="3" t="s">
        <v>10</v>
      </c>
      <c r="B11" s="4" t="s">
        <v>15</v>
      </c>
      <c r="C11" s="17">
        <v>1.0</v>
      </c>
      <c r="D11" s="18"/>
    </row>
    <row r="12" ht="12.75" customHeight="1">
      <c r="A12" s="3" t="s">
        <v>6</v>
      </c>
      <c r="B12" s="4" t="s">
        <v>16</v>
      </c>
      <c r="C12" s="17">
        <v>1.0</v>
      </c>
      <c r="D12" s="18"/>
    </row>
    <row r="13" ht="12.75" customHeight="1">
      <c r="A13" s="3" t="s">
        <v>10</v>
      </c>
      <c r="B13" s="4" t="s">
        <v>17</v>
      </c>
      <c r="C13" s="17">
        <v>1.0</v>
      </c>
      <c r="D13" s="18"/>
    </row>
    <row r="14" ht="12.75" customHeight="1">
      <c r="A14" s="3" t="s">
        <v>10</v>
      </c>
      <c r="B14" s="4" t="s">
        <v>18</v>
      </c>
      <c r="C14" s="17">
        <v>1.0</v>
      </c>
      <c r="D14" s="18"/>
    </row>
    <row r="15" ht="12.75" customHeight="1">
      <c r="A15" s="3" t="s">
        <v>6</v>
      </c>
      <c r="B15" s="4" t="s">
        <v>19</v>
      </c>
      <c r="C15" s="17">
        <v>1.0</v>
      </c>
      <c r="D15" s="18"/>
    </row>
    <row r="16" ht="12.75" customHeight="1">
      <c r="A16" s="3" t="s">
        <v>10</v>
      </c>
      <c r="B16" s="4" t="s">
        <v>20</v>
      </c>
      <c r="C16" s="17">
        <v>1.0</v>
      </c>
      <c r="D16" s="18"/>
    </row>
    <row r="17" ht="12.75" customHeight="1">
      <c r="A17" s="3" t="s">
        <v>21</v>
      </c>
      <c r="B17" s="4" t="s">
        <v>22</v>
      </c>
      <c r="C17" s="17">
        <v>1.0</v>
      </c>
      <c r="D17" s="18"/>
    </row>
    <row r="18" ht="12.75" customHeight="1">
      <c r="A18" s="3" t="s">
        <v>10</v>
      </c>
      <c r="B18" s="4" t="s">
        <v>23</v>
      </c>
      <c r="C18" s="17">
        <v>0.5</v>
      </c>
      <c r="D18" s="18"/>
    </row>
    <row r="19" ht="12.75" customHeight="1">
      <c r="A19" s="3" t="s">
        <v>6</v>
      </c>
      <c r="B19" s="4" t="s">
        <v>24</v>
      </c>
      <c r="C19" s="17">
        <v>1.0</v>
      </c>
      <c r="D19" s="18"/>
    </row>
    <row r="20" ht="16.5" customHeight="1">
      <c r="A20" s="3" t="s">
        <v>10</v>
      </c>
      <c r="B20" s="4" t="s">
        <v>25</v>
      </c>
      <c r="C20" s="17">
        <v>0.0</v>
      </c>
      <c r="D20" s="19" t="s">
        <v>51</v>
      </c>
    </row>
    <row r="21" ht="12.75" customHeight="1">
      <c r="A21" s="3" t="s">
        <v>10</v>
      </c>
      <c r="B21" s="4" t="s">
        <v>26</v>
      </c>
      <c r="C21" s="17">
        <v>1.0</v>
      </c>
      <c r="D21" s="18"/>
    </row>
    <row r="22" ht="12.75" customHeight="1">
      <c r="A22" s="3" t="s">
        <v>4</v>
      </c>
      <c r="B22" s="4" t="s">
        <v>27</v>
      </c>
      <c r="C22" s="17">
        <v>1.0</v>
      </c>
      <c r="D22" s="18"/>
    </row>
    <row r="23" ht="12.75" customHeight="1">
      <c r="A23" s="3" t="s">
        <v>6</v>
      </c>
      <c r="B23" s="4" t="s">
        <v>28</v>
      </c>
      <c r="C23" s="17">
        <v>1.0</v>
      </c>
      <c r="D23" s="18"/>
    </row>
    <row r="24" ht="12.75" customHeight="1">
      <c r="A24" s="3" t="s">
        <v>6</v>
      </c>
      <c r="B24" s="4" t="s">
        <v>8</v>
      </c>
      <c r="C24" s="17">
        <v>1.0</v>
      </c>
      <c r="D24" s="18"/>
    </row>
    <row r="25" ht="12.75" customHeight="1">
      <c r="A25" s="3" t="s">
        <v>2</v>
      </c>
      <c r="B25" s="4" t="s">
        <v>29</v>
      </c>
      <c r="C25" s="17">
        <v>1.0</v>
      </c>
      <c r="D25" s="18"/>
    </row>
    <row r="26" ht="12.75" customHeight="1">
      <c r="A26" s="3" t="s">
        <v>10</v>
      </c>
      <c r="B26" s="4" t="s">
        <v>11</v>
      </c>
      <c r="C26" s="17">
        <v>1.0</v>
      </c>
      <c r="D26" s="18"/>
    </row>
    <row r="27" ht="12.75" customHeight="1">
      <c r="A27" s="3" t="s">
        <v>10</v>
      </c>
      <c r="B27" s="4" t="s">
        <v>12</v>
      </c>
      <c r="C27" s="17">
        <v>1.0</v>
      </c>
      <c r="D27" s="18"/>
    </row>
    <row r="28" ht="12.75" customHeight="1">
      <c r="A28" s="5" t="s">
        <v>4</v>
      </c>
      <c r="B28" s="4" t="s">
        <v>30</v>
      </c>
      <c r="C28" s="17">
        <v>1.0</v>
      </c>
      <c r="D28" s="18"/>
    </row>
    <row r="29" ht="12.75" customHeight="1">
      <c r="A29" s="3" t="s">
        <v>6</v>
      </c>
      <c r="B29" s="4" t="s">
        <v>31</v>
      </c>
      <c r="C29" s="17">
        <v>1.0</v>
      </c>
      <c r="D29" s="18"/>
    </row>
    <row r="30" ht="12.75" customHeight="1">
      <c r="A30" s="3" t="s">
        <v>6</v>
      </c>
      <c r="B30" s="4" t="s">
        <v>32</v>
      </c>
      <c r="C30" s="17">
        <v>1.0</v>
      </c>
      <c r="D30" s="18"/>
    </row>
    <row r="31" ht="12.75" customHeight="1">
      <c r="A31" s="3" t="s">
        <v>10</v>
      </c>
      <c r="B31" s="4" t="s">
        <v>33</v>
      </c>
      <c r="C31" s="17">
        <v>1.0</v>
      </c>
      <c r="D31" s="18"/>
    </row>
    <row r="32" ht="12.75" customHeight="1">
      <c r="A32" s="3" t="s">
        <v>34</v>
      </c>
      <c r="B32" s="4" t="s">
        <v>35</v>
      </c>
      <c r="C32" s="17">
        <v>1.0</v>
      </c>
      <c r="D32" s="18"/>
    </row>
    <row r="33" ht="12.75" customHeight="1">
      <c r="A33" s="3" t="s">
        <v>6</v>
      </c>
      <c r="B33" s="4" t="s">
        <v>36</v>
      </c>
      <c r="C33" s="17">
        <v>1.0</v>
      </c>
      <c r="D33" s="18"/>
    </row>
    <row r="34" ht="12.75" customHeight="1">
      <c r="A34" s="3" t="s">
        <v>10</v>
      </c>
      <c r="B34" s="4" t="s">
        <v>37</v>
      </c>
      <c r="C34" s="17">
        <v>1.0</v>
      </c>
      <c r="D34" s="18"/>
    </row>
    <row r="35" ht="12.75" customHeight="1">
      <c r="A35" s="3" t="s">
        <v>34</v>
      </c>
      <c r="B35" s="4" t="s">
        <v>38</v>
      </c>
      <c r="C35" s="17">
        <v>1.0</v>
      </c>
      <c r="D35" s="18"/>
    </row>
    <row r="36" ht="12.75" customHeight="1">
      <c r="A36" s="5" t="s">
        <v>4</v>
      </c>
      <c r="B36" s="4" t="s">
        <v>39</v>
      </c>
      <c r="C36" s="17">
        <v>1.0</v>
      </c>
      <c r="D36" s="18"/>
    </row>
    <row r="37" ht="12.75" customHeight="1">
      <c r="A37" s="3" t="s">
        <v>6</v>
      </c>
      <c r="B37" s="4" t="s">
        <v>40</v>
      </c>
      <c r="C37" s="17">
        <v>1.0</v>
      </c>
      <c r="D37" s="18"/>
    </row>
    <row r="38" ht="12.75" customHeight="1">
      <c r="A38" s="3" t="s">
        <v>6</v>
      </c>
      <c r="B38" s="4" t="s">
        <v>8</v>
      </c>
      <c r="C38" s="17">
        <v>1.0</v>
      </c>
      <c r="D38" s="1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0" customHeight="1">
      <c r="A39" s="3" t="s">
        <v>10</v>
      </c>
      <c r="B39" s="4" t="s">
        <v>41</v>
      </c>
      <c r="C39" s="17">
        <v>1.0</v>
      </c>
      <c r="D39" s="1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3" t="s">
        <v>34</v>
      </c>
      <c r="B40" s="4" t="s">
        <v>42</v>
      </c>
      <c r="C40" s="17">
        <v>1.0</v>
      </c>
      <c r="D40" s="1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5" t="s">
        <v>4</v>
      </c>
      <c r="B41" s="4" t="s">
        <v>43</v>
      </c>
      <c r="C41" s="17">
        <v>1.0</v>
      </c>
      <c r="D41" s="1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3" t="s">
        <v>6</v>
      </c>
      <c r="B42" s="4" t="s">
        <v>44</v>
      </c>
      <c r="C42" s="17">
        <v>1.0</v>
      </c>
      <c r="D42" s="1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3" t="s">
        <v>6</v>
      </c>
      <c r="B43" s="4" t="s">
        <v>36</v>
      </c>
      <c r="C43" s="17">
        <v>1.0</v>
      </c>
      <c r="D43" s="18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3" t="s">
        <v>10</v>
      </c>
      <c r="B44" s="4" t="s">
        <v>45</v>
      </c>
      <c r="C44" s="17">
        <v>1.0</v>
      </c>
      <c r="D44" s="1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7" t="s">
        <v>34</v>
      </c>
      <c r="B45" s="8" t="s">
        <v>46</v>
      </c>
      <c r="C45" s="17">
        <v>1.0</v>
      </c>
      <c r="D45" s="2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9" t="s">
        <v>6</v>
      </c>
      <c r="B46" s="10" t="s">
        <v>47</v>
      </c>
      <c r="C46" s="21">
        <v>0.0</v>
      </c>
      <c r="D46" s="22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2.75" customHeight="1">
      <c r="A47" s="11" t="s">
        <v>10</v>
      </c>
      <c r="B47" s="12" t="s">
        <v>47</v>
      </c>
      <c r="C47" s="17">
        <v>0.0</v>
      </c>
      <c r="D47" s="22"/>
    </row>
    <row r="48" ht="12.75" customHeight="1">
      <c r="A48" s="3" t="s">
        <v>34</v>
      </c>
      <c r="B48" s="4" t="s">
        <v>47</v>
      </c>
      <c r="C48" s="17">
        <v>0.0</v>
      </c>
      <c r="D48" s="18"/>
    </row>
    <row r="49" ht="12.75" customHeight="1">
      <c r="A49" s="11" t="s">
        <v>48</v>
      </c>
      <c r="B49" s="12" t="s">
        <v>47</v>
      </c>
      <c r="C49" s="17">
        <v>0.0</v>
      </c>
      <c r="D49" s="18"/>
    </row>
    <row r="50" ht="12.75" customHeight="1">
      <c r="A50" s="3" t="s">
        <v>2</v>
      </c>
      <c r="B50" s="4" t="s">
        <v>47</v>
      </c>
      <c r="C50" s="17">
        <v>0.0</v>
      </c>
      <c r="D50" s="18"/>
    </row>
    <row r="51" ht="12.75" customHeight="1">
      <c r="A51" s="11" t="s">
        <v>4</v>
      </c>
      <c r="B51" s="12" t="s">
        <v>47</v>
      </c>
      <c r="C51" s="17">
        <v>0.0</v>
      </c>
      <c r="D51" s="18"/>
    </row>
    <row r="52" ht="12.75" customHeight="1">
      <c r="A52" s="3" t="s">
        <v>21</v>
      </c>
      <c r="B52" s="4" t="s">
        <v>47</v>
      </c>
      <c r="C52" s="17">
        <v>0.0</v>
      </c>
      <c r="D52" s="18"/>
    </row>
    <row r="53" ht="12.75" customHeight="1">
      <c r="A53" s="13"/>
      <c r="B53" s="14"/>
      <c r="C53" s="23"/>
    </row>
    <row r="54" ht="12.75" customHeight="1">
      <c r="A54" s="13"/>
      <c r="B54" s="14"/>
      <c r="C54" s="23"/>
    </row>
    <row r="55" ht="12.75" customHeight="1">
      <c r="A55" s="13"/>
      <c r="B55" s="14"/>
      <c r="C55" s="23"/>
    </row>
    <row r="56" ht="12.75" customHeight="1">
      <c r="A56" s="13"/>
      <c r="B56" s="14"/>
      <c r="C56" s="23"/>
    </row>
    <row r="57" ht="12.75" customHeight="1">
      <c r="A57" s="13"/>
      <c r="B57" s="14"/>
      <c r="C57" s="23"/>
    </row>
    <row r="58" ht="12.75" customHeight="1">
      <c r="A58" s="13"/>
      <c r="B58" s="14"/>
      <c r="C58" s="23"/>
    </row>
    <row r="59" ht="12.75" customHeight="1">
      <c r="A59" s="13"/>
      <c r="B59" s="14"/>
      <c r="C59" s="23"/>
    </row>
    <row r="60" ht="12.75" customHeight="1">
      <c r="A60" s="13"/>
      <c r="B60" s="14"/>
      <c r="C60" s="23"/>
    </row>
    <row r="61" ht="12.75" customHeight="1">
      <c r="A61" s="13"/>
      <c r="B61" s="14"/>
      <c r="C61" s="23"/>
    </row>
    <row r="62" ht="12.75" customHeight="1">
      <c r="A62" s="13"/>
      <c r="B62" s="14"/>
      <c r="C62" s="23"/>
    </row>
    <row r="63" ht="12.75" customHeight="1">
      <c r="A63" s="13"/>
      <c r="B63" s="14"/>
      <c r="C63" s="23"/>
    </row>
    <row r="64" ht="12.75" customHeight="1">
      <c r="A64" s="13"/>
      <c r="B64" s="14"/>
      <c r="C64" s="23"/>
    </row>
    <row r="65" ht="12.75" customHeight="1">
      <c r="A65" s="13"/>
      <c r="B65" s="14"/>
      <c r="C65" s="23"/>
    </row>
    <row r="66" ht="12.75" customHeight="1">
      <c r="A66" s="13"/>
      <c r="B66" s="14"/>
      <c r="C66" s="23"/>
    </row>
    <row r="67" ht="12.75" customHeight="1">
      <c r="A67" s="13"/>
      <c r="B67" s="14"/>
      <c r="C67" s="23"/>
    </row>
    <row r="68" ht="12.75" customHeight="1">
      <c r="A68" s="13"/>
      <c r="B68" s="14"/>
      <c r="C68" s="23"/>
    </row>
    <row r="69" ht="12.75" customHeight="1">
      <c r="A69" s="13"/>
      <c r="B69" s="14"/>
      <c r="C69" s="23"/>
    </row>
    <row r="70" ht="12.75" customHeight="1">
      <c r="A70" s="13"/>
      <c r="B70" s="14"/>
      <c r="C70" s="23"/>
    </row>
    <row r="71" ht="12.75" customHeight="1">
      <c r="A71" s="13"/>
      <c r="B71" s="14"/>
      <c r="C71" s="23"/>
    </row>
    <row r="72" ht="12.75" customHeight="1">
      <c r="A72" s="13"/>
      <c r="B72" s="14"/>
      <c r="C72" s="23"/>
    </row>
    <row r="73" ht="12.75" customHeight="1">
      <c r="A73" s="13"/>
      <c r="B73" s="14"/>
      <c r="C73" s="23"/>
    </row>
    <row r="74" ht="12.75" customHeight="1">
      <c r="A74" s="13"/>
      <c r="B74" s="14"/>
      <c r="C74" s="23"/>
    </row>
    <row r="75" ht="12.75" customHeight="1">
      <c r="A75" s="13"/>
      <c r="B75" s="14"/>
      <c r="C75" s="23"/>
    </row>
    <row r="76" ht="12.75" customHeight="1">
      <c r="A76" s="13"/>
      <c r="B76" s="14"/>
      <c r="C76" s="23"/>
    </row>
    <row r="77" ht="12.75" customHeight="1">
      <c r="A77" s="13"/>
      <c r="B77" s="14"/>
      <c r="C77" s="23"/>
    </row>
    <row r="78" ht="12.75" customHeight="1">
      <c r="A78" s="13"/>
      <c r="B78" s="14"/>
      <c r="C78" s="23"/>
    </row>
    <row r="79" ht="12.75" customHeight="1">
      <c r="A79" s="13"/>
      <c r="B79" s="14"/>
      <c r="C79" s="23"/>
    </row>
    <row r="80" ht="12.75" customHeight="1">
      <c r="A80" s="13"/>
      <c r="B80" s="14"/>
      <c r="C80" s="23"/>
    </row>
    <row r="81" ht="12.75" customHeight="1">
      <c r="A81" s="13"/>
      <c r="B81" s="14"/>
      <c r="C81" s="23"/>
    </row>
    <row r="82" ht="12.75" customHeight="1">
      <c r="A82" s="13"/>
      <c r="B82" s="14"/>
      <c r="C82" s="23"/>
    </row>
    <row r="83" ht="12.75" customHeight="1">
      <c r="A83" s="13"/>
      <c r="B83" s="14"/>
      <c r="C83" s="23"/>
    </row>
    <row r="84" ht="12.75" customHeight="1">
      <c r="A84" s="13"/>
      <c r="B84" s="14"/>
      <c r="C84" s="23"/>
    </row>
    <row r="85" ht="12.75" customHeight="1">
      <c r="A85" s="13"/>
      <c r="B85" s="14"/>
      <c r="C85" s="23"/>
    </row>
    <row r="86" ht="12.75" customHeight="1">
      <c r="A86" s="13"/>
      <c r="B86" s="14"/>
      <c r="C86" s="23"/>
    </row>
    <row r="87" ht="12.75" customHeight="1">
      <c r="A87" s="13"/>
      <c r="B87" s="14"/>
      <c r="C87" s="23"/>
    </row>
    <row r="88" ht="12.75" customHeight="1">
      <c r="A88" s="13"/>
      <c r="B88" s="14"/>
      <c r="C88" s="23"/>
    </row>
    <row r="89" ht="12.75" customHeight="1">
      <c r="A89" s="13"/>
      <c r="B89" s="14"/>
      <c r="C89" s="23"/>
    </row>
    <row r="90" ht="12.75" customHeight="1">
      <c r="A90" s="13"/>
      <c r="B90" s="14"/>
      <c r="C90" s="23"/>
    </row>
    <row r="91" ht="12.75" customHeight="1">
      <c r="A91" s="13"/>
      <c r="B91" s="14"/>
      <c r="C91" s="23"/>
    </row>
    <row r="92" ht="12.75" customHeight="1">
      <c r="A92" s="13"/>
      <c r="B92" s="14"/>
      <c r="C92" s="23"/>
    </row>
    <row r="93" ht="12.75" customHeight="1">
      <c r="A93" s="13"/>
      <c r="B93" s="14"/>
      <c r="C93" s="23"/>
    </row>
    <row r="94" ht="12.75" customHeight="1">
      <c r="A94" s="13"/>
      <c r="B94" s="14"/>
      <c r="C94" s="23"/>
    </row>
    <row r="95" ht="12.75" customHeight="1">
      <c r="A95" s="13"/>
      <c r="B95" s="14"/>
      <c r="C95" s="23"/>
    </row>
    <row r="96" ht="12.75" customHeight="1">
      <c r="A96" s="13"/>
      <c r="B96" s="14"/>
      <c r="C96" s="23"/>
    </row>
    <row r="97" ht="12.75" customHeight="1">
      <c r="A97" s="13"/>
      <c r="B97" s="14"/>
      <c r="C97" s="23"/>
    </row>
    <row r="98" ht="12.75" customHeight="1">
      <c r="A98" s="13"/>
      <c r="B98" s="14"/>
      <c r="C98" s="23"/>
    </row>
    <row r="99" ht="12.75" customHeight="1">
      <c r="A99" s="13"/>
      <c r="B99" s="14"/>
      <c r="C99" s="23"/>
    </row>
    <row r="100" ht="12.75" customHeight="1">
      <c r="A100" s="13"/>
      <c r="B100" s="14"/>
      <c r="C100" s="23"/>
    </row>
    <row r="101" ht="12.75" customHeight="1">
      <c r="A101" s="13"/>
      <c r="B101" s="14"/>
      <c r="C101" s="23"/>
    </row>
    <row r="102" ht="12.75" customHeight="1">
      <c r="A102" s="13"/>
      <c r="B102" s="14"/>
      <c r="C102" s="23"/>
    </row>
    <row r="103" ht="12.75" customHeight="1">
      <c r="A103" s="13"/>
      <c r="B103" s="14"/>
      <c r="C103" s="23"/>
    </row>
    <row r="104" ht="12.75" customHeight="1">
      <c r="A104" s="13"/>
      <c r="B104" s="14"/>
      <c r="C104" s="23"/>
    </row>
    <row r="105" ht="12.75" customHeight="1">
      <c r="A105" s="13"/>
      <c r="B105" s="14"/>
      <c r="C105" s="23"/>
    </row>
    <row r="106" ht="12.75" customHeight="1">
      <c r="A106" s="13"/>
      <c r="B106" s="14"/>
      <c r="C106" s="23"/>
    </row>
    <row r="107" ht="12.75" customHeight="1">
      <c r="A107" s="13"/>
      <c r="B107" s="14"/>
      <c r="C107" s="23"/>
    </row>
    <row r="108" ht="12.75" customHeight="1">
      <c r="A108" s="13"/>
      <c r="B108" s="14"/>
      <c r="C108" s="23"/>
    </row>
    <row r="109" ht="12.75" customHeight="1">
      <c r="A109" s="13"/>
      <c r="B109" s="14"/>
      <c r="C109" s="23"/>
    </row>
    <row r="110" ht="12.75" customHeight="1">
      <c r="A110" s="13"/>
      <c r="B110" s="14"/>
      <c r="C110" s="23"/>
    </row>
    <row r="111" ht="12.75" customHeight="1">
      <c r="A111" s="13"/>
      <c r="B111" s="14"/>
      <c r="C111" s="23"/>
    </row>
    <row r="112" ht="12.75" customHeight="1">
      <c r="A112" s="13"/>
      <c r="B112" s="14"/>
      <c r="C112" s="23"/>
    </row>
    <row r="113" ht="12.75" customHeight="1">
      <c r="A113" s="13"/>
      <c r="B113" s="14"/>
      <c r="C113" s="23"/>
    </row>
    <row r="114" ht="12.75" customHeight="1">
      <c r="A114" s="13"/>
      <c r="B114" s="14"/>
      <c r="C114" s="23"/>
    </row>
    <row r="115" ht="12.75" customHeight="1">
      <c r="A115" s="13"/>
      <c r="B115" s="14"/>
      <c r="C115" s="23"/>
    </row>
    <row r="116" ht="12.75" customHeight="1">
      <c r="A116" s="13"/>
      <c r="B116" s="14"/>
      <c r="C116" s="23"/>
    </row>
    <row r="117" ht="12.75" customHeight="1">
      <c r="A117" s="13"/>
      <c r="B117" s="14"/>
      <c r="C117" s="23"/>
    </row>
    <row r="118" ht="12.75" customHeight="1">
      <c r="A118" s="13"/>
      <c r="B118" s="14"/>
      <c r="C118" s="23"/>
    </row>
    <row r="119" ht="12.75" customHeight="1">
      <c r="A119" s="13"/>
      <c r="B119" s="14"/>
      <c r="C119" s="23"/>
    </row>
    <row r="120" ht="12.75" customHeight="1">
      <c r="A120" s="13"/>
      <c r="B120" s="14"/>
      <c r="C120" s="23"/>
    </row>
    <row r="121" ht="12.75" customHeight="1">
      <c r="A121" s="13"/>
      <c r="B121" s="14"/>
      <c r="C121" s="23"/>
    </row>
    <row r="122" ht="12.75" customHeight="1">
      <c r="A122" s="13"/>
      <c r="B122" s="14"/>
      <c r="C122" s="23"/>
    </row>
    <row r="123" ht="12.75" customHeight="1">
      <c r="A123" s="13"/>
      <c r="B123" s="14"/>
      <c r="C123" s="23"/>
    </row>
    <row r="124" ht="12.75" customHeight="1">
      <c r="A124" s="13"/>
      <c r="B124" s="14"/>
      <c r="C124" s="23"/>
    </row>
    <row r="125" ht="12.75" customHeight="1">
      <c r="A125" s="13"/>
      <c r="B125" s="14"/>
      <c r="C125" s="23"/>
    </row>
    <row r="126" ht="12.75" customHeight="1">
      <c r="A126" s="13"/>
      <c r="B126" s="14"/>
      <c r="C126" s="23"/>
    </row>
    <row r="127" ht="12.75" customHeight="1">
      <c r="A127" s="13"/>
      <c r="B127" s="14"/>
      <c r="C127" s="23"/>
    </row>
    <row r="128" ht="12.75" customHeight="1">
      <c r="A128" s="13"/>
      <c r="B128" s="14"/>
      <c r="C128" s="23"/>
    </row>
    <row r="129" ht="12.75" customHeight="1">
      <c r="A129" s="13"/>
      <c r="B129" s="14"/>
      <c r="C129" s="23"/>
    </row>
    <row r="130" ht="12.75" customHeight="1">
      <c r="A130" s="13"/>
      <c r="B130" s="14"/>
      <c r="C130" s="23"/>
    </row>
    <row r="131" ht="12.75" customHeight="1">
      <c r="A131" s="13"/>
      <c r="B131" s="14"/>
      <c r="C131" s="23"/>
    </row>
    <row r="132" ht="12.75" customHeight="1">
      <c r="A132" s="13"/>
      <c r="B132" s="14"/>
      <c r="C132" s="23"/>
    </row>
    <row r="133" ht="12.75" customHeight="1">
      <c r="A133" s="13"/>
      <c r="B133" s="14"/>
      <c r="C133" s="23"/>
    </row>
    <row r="134" ht="12.75" customHeight="1">
      <c r="A134" s="13"/>
      <c r="B134" s="14"/>
      <c r="C134" s="23"/>
    </row>
    <row r="135" ht="12.75" customHeight="1">
      <c r="A135" s="13"/>
      <c r="B135" s="14"/>
      <c r="C135" s="23"/>
    </row>
    <row r="136" ht="12.75" customHeight="1">
      <c r="A136" s="13"/>
      <c r="B136" s="14"/>
      <c r="C136" s="23"/>
    </row>
    <row r="137" ht="12.75" customHeight="1">
      <c r="A137" s="13"/>
      <c r="B137" s="14"/>
      <c r="C137" s="23"/>
    </row>
    <row r="138" ht="12.75" customHeight="1">
      <c r="A138" s="13"/>
      <c r="B138" s="14"/>
      <c r="C138" s="23"/>
    </row>
    <row r="139" ht="12.75" customHeight="1">
      <c r="A139" s="13"/>
      <c r="B139" s="14"/>
      <c r="C139" s="23"/>
    </row>
    <row r="140" ht="12.75" customHeight="1">
      <c r="A140" s="13"/>
      <c r="B140" s="14"/>
      <c r="C140" s="23"/>
    </row>
    <row r="141" ht="12.75" customHeight="1">
      <c r="A141" s="13"/>
      <c r="B141" s="14"/>
      <c r="C141" s="23"/>
    </row>
    <row r="142" ht="12.75" customHeight="1">
      <c r="A142" s="13"/>
      <c r="B142" s="14"/>
      <c r="C142" s="23"/>
    </row>
    <row r="143" ht="12.75" customHeight="1">
      <c r="A143" s="13"/>
      <c r="B143" s="14"/>
      <c r="C143" s="23"/>
    </row>
    <row r="144" ht="12.75" customHeight="1">
      <c r="A144" s="13"/>
      <c r="B144" s="14"/>
      <c r="C144" s="23"/>
    </row>
    <row r="145" ht="12.75" customHeight="1">
      <c r="A145" s="13"/>
      <c r="B145" s="14"/>
      <c r="C145" s="23"/>
    </row>
    <row r="146" ht="12.75" customHeight="1">
      <c r="A146" s="13"/>
      <c r="B146" s="14"/>
      <c r="C146" s="23"/>
    </row>
    <row r="147" ht="12.75" customHeight="1">
      <c r="A147" s="13"/>
      <c r="B147" s="14"/>
      <c r="C147" s="23"/>
    </row>
    <row r="148" ht="12.75" customHeight="1">
      <c r="A148" s="13"/>
      <c r="B148" s="14"/>
      <c r="C148" s="23"/>
    </row>
    <row r="149" ht="12.75" customHeight="1">
      <c r="A149" s="13"/>
      <c r="B149" s="14"/>
      <c r="C149" s="23"/>
    </row>
    <row r="150" ht="12.75" customHeight="1">
      <c r="A150" s="13"/>
      <c r="B150" s="14"/>
      <c r="C150" s="23"/>
    </row>
    <row r="151" ht="12.75" customHeight="1">
      <c r="A151" s="13"/>
      <c r="B151" s="14"/>
      <c r="C151" s="23"/>
    </row>
    <row r="152" ht="12.75" customHeight="1">
      <c r="A152" s="13"/>
      <c r="B152" s="14"/>
      <c r="C152" s="23"/>
    </row>
    <row r="153" ht="12.75" customHeight="1">
      <c r="A153" s="13"/>
      <c r="B153" s="14"/>
      <c r="C153" s="23"/>
    </row>
    <row r="154" ht="12.75" customHeight="1">
      <c r="A154" s="13"/>
      <c r="B154" s="14"/>
      <c r="C154" s="23"/>
    </row>
    <row r="155" ht="12.75" customHeight="1">
      <c r="A155" s="13"/>
      <c r="B155" s="14"/>
      <c r="C155" s="23"/>
    </row>
    <row r="156" ht="12.75" customHeight="1">
      <c r="A156" s="13"/>
      <c r="B156" s="14"/>
      <c r="C156" s="23"/>
    </row>
    <row r="157" ht="12.75" customHeight="1">
      <c r="A157" s="13"/>
      <c r="B157" s="14"/>
      <c r="C157" s="23"/>
    </row>
    <row r="158" ht="12.75" customHeight="1">
      <c r="A158" s="13"/>
      <c r="B158" s="14"/>
      <c r="C158" s="23"/>
    </row>
    <row r="159" ht="12.75" customHeight="1">
      <c r="A159" s="13"/>
      <c r="B159" s="14"/>
      <c r="C159" s="23"/>
    </row>
    <row r="160" ht="12.75" customHeight="1">
      <c r="A160" s="13"/>
      <c r="B160" s="14"/>
      <c r="C160" s="23"/>
    </row>
    <row r="161" ht="12.75" customHeight="1">
      <c r="A161" s="13"/>
      <c r="B161" s="14"/>
      <c r="C161" s="23"/>
    </row>
    <row r="162" ht="12.75" customHeight="1">
      <c r="A162" s="13"/>
      <c r="B162" s="14"/>
      <c r="C162" s="23"/>
    </row>
    <row r="163" ht="12.75" customHeight="1">
      <c r="A163" s="13"/>
      <c r="B163" s="14"/>
      <c r="C163" s="23"/>
    </row>
    <row r="164" ht="12.75" customHeight="1">
      <c r="A164" s="13"/>
      <c r="B164" s="14"/>
      <c r="C164" s="23"/>
    </row>
    <row r="165" ht="12.75" customHeight="1">
      <c r="A165" s="13"/>
      <c r="B165" s="14"/>
      <c r="C165" s="23"/>
    </row>
    <row r="166" ht="12.75" customHeight="1">
      <c r="A166" s="13"/>
      <c r="B166" s="14"/>
      <c r="C166" s="23"/>
    </row>
    <row r="167" ht="12.75" customHeight="1">
      <c r="A167" s="13"/>
      <c r="B167" s="14"/>
      <c r="C167" s="23"/>
    </row>
    <row r="168" ht="12.75" customHeight="1">
      <c r="A168" s="13"/>
      <c r="B168" s="14"/>
      <c r="C168" s="23"/>
    </row>
    <row r="169" ht="12.75" customHeight="1">
      <c r="A169" s="13"/>
      <c r="B169" s="14"/>
      <c r="C169" s="23"/>
    </row>
    <row r="170" ht="12.75" customHeight="1">
      <c r="A170" s="13"/>
      <c r="B170" s="14"/>
      <c r="C170" s="23"/>
    </row>
    <row r="171" ht="12.75" customHeight="1">
      <c r="A171" s="13"/>
      <c r="B171" s="14"/>
      <c r="C171" s="23"/>
    </row>
    <row r="172" ht="12.75" customHeight="1">
      <c r="A172" s="13"/>
      <c r="B172" s="14"/>
      <c r="C172" s="23"/>
    </row>
    <row r="173" ht="12.75" customHeight="1">
      <c r="A173" s="13"/>
      <c r="B173" s="14"/>
      <c r="C173" s="23"/>
    </row>
    <row r="174" ht="12.75" customHeight="1">
      <c r="A174" s="13"/>
      <c r="B174" s="14"/>
      <c r="C174" s="23"/>
    </row>
    <row r="175" ht="12.75" customHeight="1">
      <c r="A175" s="13"/>
      <c r="B175" s="14"/>
      <c r="C175" s="23"/>
    </row>
    <row r="176" ht="12.75" customHeight="1">
      <c r="A176" s="13"/>
      <c r="B176" s="14"/>
      <c r="C176" s="23"/>
    </row>
    <row r="177" ht="12.75" customHeight="1">
      <c r="A177" s="13"/>
      <c r="B177" s="14"/>
      <c r="C177" s="23"/>
    </row>
    <row r="178" ht="12.75" customHeight="1">
      <c r="A178" s="13"/>
      <c r="B178" s="14"/>
      <c r="C178" s="23"/>
    </row>
    <row r="179" ht="12.75" customHeight="1">
      <c r="A179" s="13"/>
      <c r="B179" s="14"/>
      <c r="C179" s="23"/>
    </row>
    <row r="180" ht="12.75" customHeight="1">
      <c r="A180" s="13"/>
      <c r="B180" s="14"/>
      <c r="C180" s="23"/>
    </row>
    <row r="181" ht="12.75" customHeight="1">
      <c r="A181" s="13"/>
      <c r="B181" s="14"/>
      <c r="C181" s="23"/>
    </row>
    <row r="182" ht="12.75" customHeight="1">
      <c r="A182" s="13"/>
      <c r="B182" s="14"/>
      <c r="C182" s="23"/>
    </row>
    <row r="183" ht="12.75" customHeight="1">
      <c r="A183" s="13"/>
      <c r="B183" s="14"/>
      <c r="C183" s="23"/>
    </row>
    <row r="184" ht="12.75" customHeight="1">
      <c r="A184" s="13"/>
      <c r="B184" s="14"/>
      <c r="C184" s="23"/>
    </row>
    <row r="185" ht="12.75" customHeight="1">
      <c r="A185" s="13"/>
      <c r="B185" s="14"/>
      <c r="C185" s="23"/>
    </row>
    <row r="186" ht="12.75" customHeight="1">
      <c r="A186" s="13"/>
      <c r="B186" s="14"/>
      <c r="C186" s="23"/>
    </row>
    <row r="187" ht="12.75" customHeight="1">
      <c r="A187" s="13"/>
      <c r="B187" s="14"/>
      <c r="C187" s="23"/>
    </row>
    <row r="188" ht="12.75" customHeight="1">
      <c r="A188" s="13"/>
      <c r="B188" s="14"/>
      <c r="C188" s="23"/>
    </row>
    <row r="189" ht="12.75" customHeight="1">
      <c r="A189" s="13"/>
      <c r="B189" s="14"/>
      <c r="C189" s="23"/>
    </row>
    <row r="190" ht="12.75" customHeight="1">
      <c r="A190" s="13"/>
      <c r="B190" s="14"/>
      <c r="C190" s="23"/>
    </row>
    <row r="191" ht="12.75" customHeight="1">
      <c r="A191" s="13"/>
      <c r="B191" s="14"/>
      <c r="C191" s="23"/>
    </row>
    <row r="192" ht="12.75" customHeight="1">
      <c r="A192" s="13"/>
      <c r="B192" s="14"/>
      <c r="C192" s="23"/>
    </row>
    <row r="193" ht="12.75" customHeight="1">
      <c r="A193" s="13"/>
      <c r="B193" s="14"/>
      <c r="C193" s="23"/>
    </row>
    <row r="194" ht="12.75" customHeight="1">
      <c r="A194" s="13"/>
      <c r="B194" s="14"/>
      <c r="C194" s="23"/>
    </row>
    <row r="195" ht="12.75" customHeight="1">
      <c r="A195" s="13"/>
      <c r="B195" s="14"/>
      <c r="C195" s="23"/>
    </row>
    <row r="196" ht="12.75" customHeight="1">
      <c r="A196" s="13"/>
      <c r="B196" s="14"/>
      <c r="C196" s="23"/>
    </row>
    <row r="197" ht="12.75" customHeight="1">
      <c r="A197" s="13"/>
      <c r="B197" s="14"/>
      <c r="C197" s="23"/>
    </row>
    <row r="198" ht="12.75" customHeight="1">
      <c r="A198" s="13"/>
      <c r="B198" s="14"/>
      <c r="C198" s="23"/>
    </row>
    <row r="199" ht="12.75" customHeight="1">
      <c r="A199" s="13"/>
      <c r="B199" s="14"/>
      <c r="C199" s="23"/>
    </row>
    <row r="200" ht="12.75" customHeight="1">
      <c r="A200" s="13"/>
      <c r="B200" s="14"/>
      <c r="C200" s="23"/>
    </row>
    <row r="201" ht="12.75" customHeight="1">
      <c r="A201" s="13"/>
      <c r="B201" s="14"/>
      <c r="C201" s="23"/>
    </row>
    <row r="202" ht="12.75" customHeight="1">
      <c r="A202" s="13"/>
      <c r="B202" s="14"/>
      <c r="C202" s="23"/>
    </row>
    <row r="203" ht="12.75" customHeight="1">
      <c r="A203" s="13"/>
      <c r="B203" s="14"/>
      <c r="C203" s="23"/>
    </row>
    <row r="204" ht="12.75" customHeight="1">
      <c r="A204" s="13"/>
      <c r="B204" s="14"/>
      <c r="C204" s="23"/>
    </row>
    <row r="205" ht="12.75" customHeight="1">
      <c r="A205" s="13"/>
      <c r="B205" s="14"/>
      <c r="C205" s="23"/>
    </row>
    <row r="206" ht="12.75" customHeight="1">
      <c r="A206" s="13"/>
      <c r="B206" s="14"/>
      <c r="C206" s="23"/>
    </row>
    <row r="207" ht="12.75" customHeight="1">
      <c r="A207" s="13"/>
      <c r="B207" s="14"/>
      <c r="C207" s="23"/>
    </row>
    <row r="208" ht="12.75" customHeight="1">
      <c r="A208" s="13"/>
      <c r="B208" s="14"/>
      <c r="C208" s="23"/>
    </row>
    <row r="209" ht="12.75" customHeight="1">
      <c r="A209" s="13"/>
      <c r="B209" s="14"/>
      <c r="C209" s="23"/>
    </row>
    <row r="210" ht="12.75" customHeight="1">
      <c r="A210" s="13"/>
      <c r="B210" s="14"/>
      <c r="C210" s="23"/>
    </row>
    <row r="211" ht="12.75" customHeight="1">
      <c r="A211" s="13"/>
      <c r="B211" s="14"/>
      <c r="C211" s="23"/>
    </row>
    <row r="212" ht="12.75" customHeight="1">
      <c r="A212" s="13"/>
      <c r="B212" s="14"/>
      <c r="C212" s="23"/>
    </row>
    <row r="213" ht="12.75" customHeight="1">
      <c r="A213" s="13"/>
      <c r="B213" s="14"/>
      <c r="C213" s="23"/>
    </row>
    <row r="214" ht="12.75" customHeight="1">
      <c r="A214" s="13"/>
      <c r="B214" s="14"/>
      <c r="C214" s="23"/>
    </row>
    <row r="215" ht="12.75" customHeight="1">
      <c r="A215" s="13"/>
      <c r="B215" s="14"/>
      <c r="C215" s="23"/>
    </row>
    <row r="216" ht="12.75" customHeight="1">
      <c r="A216" s="13"/>
      <c r="B216" s="14"/>
      <c r="C216" s="23"/>
    </row>
    <row r="217" ht="12.75" customHeight="1">
      <c r="A217" s="13"/>
      <c r="B217" s="14"/>
      <c r="C217" s="23"/>
    </row>
    <row r="218" ht="12.75" customHeight="1">
      <c r="A218" s="13"/>
      <c r="B218" s="14"/>
      <c r="C218" s="23"/>
    </row>
    <row r="219" ht="12.75" customHeight="1">
      <c r="A219" s="13"/>
      <c r="B219" s="14"/>
      <c r="C219" s="23"/>
    </row>
    <row r="220" ht="12.75" customHeight="1">
      <c r="A220" s="13"/>
      <c r="B220" s="14"/>
      <c r="C220" s="23"/>
    </row>
    <row r="221" ht="12.75" customHeight="1">
      <c r="A221" s="13"/>
      <c r="B221" s="14"/>
      <c r="C221" s="23"/>
    </row>
    <row r="222" ht="12.75" customHeight="1">
      <c r="A222" s="13"/>
      <c r="B222" s="14"/>
      <c r="C222" s="23"/>
    </row>
    <row r="223" ht="12.75" customHeight="1">
      <c r="A223" s="13"/>
      <c r="B223" s="14"/>
      <c r="C223" s="23"/>
    </row>
    <row r="224" ht="12.75" customHeight="1">
      <c r="A224" s="13"/>
      <c r="B224" s="14"/>
      <c r="C224" s="23"/>
    </row>
    <row r="225" ht="12.75" customHeight="1">
      <c r="A225" s="13"/>
      <c r="B225" s="14"/>
      <c r="C225" s="23"/>
    </row>
    <row r="226" ht="12.75" customHeight="1">
      <c r="A226" s="13"/>
      <c r="B226" s="14"/>
      <c r="C226" s="23"/>
    </row>
    <row r="227" ht="12.75" customHeight="1">
      <c r="A227" s="13"/>
      <c r="B227" s="14"/>
      <c r="C227" s="23"/>
    </row>
    <row r="228" ht="12.75" customHeight="1">
      <c r="A228" s="13"/>
      <c r="B228" s="14"/>
      <c r="C228" s="23"/>
    </row>
    <row r="229" ht="12.75" customHeight="1">
      <c r="A229" s="13"/>
      <c r="B229" s="14"/>
      <c r="C229" s="23"/>
    </row>
    <row r="230" ht="12.75" customHeight="1">
      <c r="A230" s="13"/>
      <c r="B230" s="14"/>
      <c r="C230" s="23"/>
    </row>
    <row r="231" ht="12.75" customHeight="1">
      <c r="A231" s="13"/>
      <c r="B231" s="14"/>
      <c r="C231" s="23"/>
    </row>
    <row r="232" ht="12.75" customHeight="1">
      <c r="A232" s="13"/>
      <c r="B232" s="14"/>
      <c r="C232" s="23"/>
    </row>
    <row r="233" ht="12.75" customHeight="1">
      <c r="A233" s="13"/>
      <c r="B233" s="14"/>
      <c r="C233" s="23"/>
    </row>
    <row r="234" ht="12.75" customHeight="1">
      <c r="A234" s="13"/>
      <c r="B234" s="14"/>
      <c r="C234" s="23"/>
    </row>
    <row r="235" ht="12.75" customHeight="1">
      <c r="A235" s="13"/>
      <c r="B235" s="14"/>
      <c r="C235" s="23"/>
    </row>
    <row r="236" ht="12.75" customHeight="1">
      <c r="A236" s="13"/>
      <c r="B236" s="14"/>
      <c r="C236" s="23"/>
    </row>
    <row r="237" ht="12.75" customHeight="1">
      <c r="A237" s="13"/>
      <c r="B237" s="14"/>
      <c r="C237" s="23"/>
    </row>
    <row r="238" ht="12.75" customHeight="1">
      <c r="A238" s="13"/>
      <c r="B238" s="14"/>
      <c r="C238" s="23"/>
    </row>
    <row r="239" ht="12.75" customHeight="1">
      <c r="A239" s="13"/>
      <c r="B239" s="14"/>
      <c r="C239" s="23"/>
    </row>
    <row r="240" ht="12.75" customHeight="1">
      <c r="A240" s="13"/>
      <c r="B240" s="14"/>
      <c r="C240" s="23"/>
    </row>
    <row r="241" ht="12.75" customHeight="1">
      <c r="A241" s="13"/>
      <c r="B241" s="14"/>
      <c r="C241" s="23"/>
    </row>
    <row r="242" ht="12.75" customHeight="1">
      <c r="A242" s="13"/>
      <c r="B242" s="14"/>
      <c r="C242" s="23"/>
    </row>
    <row r="243" ht="12.75" customHeight="1">
      <c r="A243" s="13"/>
      <c r="B243" s="14"/>
      <c r="C243" s="23"/>
    </row>
    <row r="244" ht="12.75" customHeight="1">
      <c r="A244" s="13"/>
      <c r="B244" s="14"/>
      <c r="C244" s="23"/>
    </row>
    <row r="245" ht="12.75" customHeight="1">
      <c r="A245" s="13"/>
      <c r="B245" s="14"/>
      <c r="C245" s="23"/>
    </row>
    <row r="246" ht="12.75" customHeight="1">
      <c r="A246" s="13"/>
      <c r="B246" s="14"/>
      <c r="C246" s="23"/>
    </row>
    <row r="247" ht="12.75" customHeight="1">
      <c r="A247" s="13"/>
      <c r="B247" s="14"/>
      <c r="C247" s="23"/>
    </row>
    <row r="248" ht="12.75" customHeight="1">
      <c r="A248" s="13"/>
      <c r="B248" s="14"/>
      <c r="C248" s="23"/>
    </row>
    <row r="249" ht="12.75" customHeight="1">
      <c r="A249" s="13"/>
      <c r="B249" s="14"/>
      <c r="C249" s="23"/>
    </row>
    <row r="250" ht="12.75" customHeight="1">
      <c r="A250" s="13"/>
      <c r="B250" s="14"/>
      <c r="C250" s="23"/>
    </row>
    <row r="251" ht="12.75" customHeight="1">
      <c r="A251" s="13"/>
      <c r="B251" s="14"/>
      <c r="C251" s="23"/>
    </row>
    <row r="252" ht="12.75" customHeight="1">
      <c r="A252" s="13"/>
      <c r="B252" s="14"/>
      <c r="C252" s="23"/>
    </row>
    <row r="253" ht="12.75" customHeight="1">
      <c r="A253" s="13"/>
      <c r="B253" s="14"/>
      <c r="C253" s="23"/>
    </row>
    <row r="254" ht="12.75" customHeight="1">
      <c r="A254" s="13"/>
      <c r="B254" s="14"/>
      <c r="C254" s="23"/>
    </row>
    <row r="255" ht="12.75" customHeight="1">
      <c r="A255" s="13"/>
      <c r="B255" s="14"/>
      <c r="C255" s="23"/>
    </row>
    <row r="256" ht="12.75" customHeight="1">
      <c r="A256" s="13"/>
      <c r="B256" s="14"/>
      <c r="C256" s="23"/>
    </row>
    <row r="257" ht="12.75" customHeight="1">
      <c r="A257" s="13"/>
      <c r="B257" s="14"/>
      <c r="C257" s="23"/>
    </row>
    <row r="258" ht="12.75" customHeight="1">
      <c r="A258" s="13"/>
      <c r="B258" s="14"/>
      <c r="C258" s="23"/>
    </row>
    <row r="259" ht="12.75" customHeight="1">
      <c r="A259" s="13"/>
      <c r="B259" s="14"/>
      <c r="C259" s="23"/>
    </row>
    <row r="260" ht="12.75" customHeight="1">
      <c r="A260" s="13"/>
      <c r="B260" s="14"/>
      <c r="C260" s="23"/>
    </row>
    <row r="261" ht="12.75" customHeight="1">
      <c r="A261" s="13"/>
      <c r="B261" s="14"/>
      <c r="C261" s="23"/>
    </row>
    <row r="262" ht="12.75" customHeight="1">
      <c r="A262" s="13"/>
      <c r="B262" s="14"/>
      <c r="C262" s="23"/>
    </row>
    <row r="263" ht="12.75" customHeight="1">
      <c r="A263" s="13"/>
      <c r="B263" s="14"/>
      <c r="C263" s="23"/>
    </row>
    <row r="264" ht="12.75" customHeight="1">
      <c r="A264" s="13"/>
      <c r="B264" s="14"/>
      <c r="C264" s="23"/>
    </row>
    <row r="265" ht="12.75" customHeight="1">
      <c r="A265" s="13"/>
      <c r="B265" s="14"/>
      <c r="C265" s="23"/>
    </row>
    <row r="266" ht="12.75" customHeight="1">
      <c r="A266" s="13"/>
      <c r="B266" s="14"/>
      <c r="C266" s="23"/>
    </row>
    <row r="267" ht="12.75" customHeight="1">
      <c r="A267" s="13"/>
      <c r="B267" s="14"/>
      <c r="C267" s="23"/>
    </row>
    <row r="268" ht="12.75" customHeight="1">
      <c r="A268" s="13"/>
      <c r="B268" s="14"/>
      <c r="C268" s="23"/>
    </row>
    <row r="269" ht="12.75" customHeight="1">
      <c r="A269" s="13"/>
      <c r="B269" s="14"/>
      <c r="C269" s="23"/>
    </row>
    <row r="270" ht="12.75" customHeight="1">
      <c r="A270" s="13"/>
      <c r="B270" s="14"/>
      <c r="C270" s="23"/>
    </row>
    <row r="271" ht="12.75" customHeight="1">
      <c r="A271" s="13"/>
      <c r="B271" s="14"/>
      <c r="C271" s="23"/>
    </row>
    <row r="272" ht="12.75" customHeight="1">
      <c r="A272" s="13"/>
      <c r="B272" s="14"/>
      <c r="C272" s="23"/>
    </row>
    <row r="273" ht="12.75" customHeight="1">
      <c r="A273" s="13"/>
      <c r="B273" s="14"/>
      <c r="C273" s="23"/>
    </row>
    <row r="274" ht="12.75" customHeight="1">
      <c r="A274" s="13"/>
      <c r="B274" s="14"/>
      <c r="C274" s="23"/>
    </row>
    <row r="275" ht="12.75" customHeight="1">
      <c r="A275" s="13"/>
      <c r="B275" s="14"/>
      <c r="C275" s="23"/>
    </row>
    <row r="276" ht="12.75" customHeight="1">
      <c r="A276" s="13"/>
      <c r="B276" s="14"/>
      <c r="C276" s="23"/>
    </row>
    <row r="277" ht="12.75" customHeight="1">
      <c r="A277" s="13"/>
      <c r="B277" s="14"/>
      <c r="C277" s="23"/>
    </row>
    <row r="278" ht="12.75" customHeight="1">
      <c r="A278" s="13"/>
      <c r="B278" s="14"/>
      <c r="C278" s="23"/>
    </row>
    <row r="279" ht="12.75" customHeight="1">
      <c r="A279" s="13"/>
      <c r="B279" s="14"/>
      <c r="C279" s="23"/>
    </row>
    <row r="280" ht="12.75" customHeight="1">
      <c r="A280" s="13"/>
      <c r="B280" s="14"/>
      <c r="C280" s="23"/>
    </row>
    <row r="281" ht="12.75" customHeight="1">
      <c r="A281" s="13"/>
      <c r="B281" s="14"/>
      <c r="C281" s="23"/>
    </row>
    <row r="282" ht="12.75" customHeight="1">
      <c r="A282" s="13"/>
      <c r="B282" s="14"/>
      <c r="C282" s="23"/>
    </row>
    <row r="283" ht="12.75" customHeight="1">
      <c r="A283" s="13"/>
      <c r="B283" s="14"/>
      <c r="C283" s="23"/>
    </row>
    <row r="284" ht="12.75" customHeight="1">
      <c r="A284" s="13"/>
      <c r="B284" s="14"/>
      <c r="C284" s="23"/>
    </row>
    <row r="285" ht="12.75" customHeight="1">
      <c r="A285" s="13"/>
      <c r="B285" s="14"/>
      <c r="C285" s="23"/>
    </row>
    <row r="286" ht="12.75" customHeight="1">
      <c r="A286" s="13"/>
      <c r="B286" s="14"/>
      <c r="C286" s="23"/>
    </row>
    <row r="287" ht="12.75" customHeight="1">
      <c r="A287" s="13"/>
      <c r="B287" s="14"/>
      <c r="C287" s="23"/>
    </row>
    <row r="288" ht="12.75" customHeight="1">
      <c r="A288" s="13"/>
      <c r="B288" s="14"/>
      <c r="C288" s="23"/>
    </row>
    <row r="289" ht="12.75" customHeight="1">
      <c r="A289" s="13"/>
      <c r="B289" s="14"/>
      <c r="C289" s="23"/>
    </row>
    <row r="290" ht="12.75" customHeight="1">
      <c r="A290" s="13"/>
      <c r="B290" s="14"/>
      <c r="C290" s="23"/>
    </row>
    <row r="291" ht="12.75" customHeight="1">
      <c r="A291" s="13"/>
      <c r="B291" s="14"/>
      <c r="C291" s="23"/>
    </row>
    <row r="292" ht="12.75" customHeight="1">
      <c r="A292" s="13"/>
      <c r="B292" s="14"/>
      <c r="C292" s="23"/>
    </row>
    <row r="293" ht="12.75" customHeight="1">
      <c r="A293" s="13"/>
      <c r="B293" s="14"/>
      <c r="C293" s="23"/>
    </row>
    <row r="294" ht="12.75" customHeight="1">
      <c r="A294" s="13"/>
      <c r="B294" s="14"/>
      <c r="C294" s="23"/>
    </row>
    <row r="295" ht="12.75" customHeight="1">
      <c r="A295" s="13"/>
      <c r="B295" s="14"/>
      <c r="C295" s="23"/>
    </row>
    <row r="296" ht="12.75" customHeight="1">
      <c r="A296" s="13"/>
      <c r="B296" s="14"/>
      <c r="C296" s="23"/>
    </row>
    <row r="297" ht="12.75" customHeight="1">
      <c r="A297" s="13"/>
      <c r="B297" s="14"/>
      <c r="C297" s="23"/>
    </row>
    <row r="298" ht="12.75" customHeight="1">
      <c r="A298" s="13"/>
      <c r="B298" s="14"/>
      <c r="C298" s="23"/>
    </row>
    <row r="299" ht="12.75" customHeight="1">
      <c r="A299" s="13"/>
      <c r="B299" s="14"/>
      <c r="C299" s="23"/>
    </row>
    <row r="300" ht="12.75" customHeight="1">
      <c r="A300" s="13"/>
      <c r="B300" s="14"/>
      <c r="C300" s="23"/>
    </row>
    <row r="301" ht="12.75" customHeight="1">
      <c r="A301" s="13"/>
      <c r="B301" s="14"/>
      <c r="C301" s="23"/>
    </row>
    <row r="302" ht="12.75" customHeight="1">
      <c r="A302" s="13"/>
      <c r="B302" s="14"/>
      <c r="C302" s="23"/>
    </row>
    <row r="303" ht="12.75" customHeight="1">
      <c r="A303" s="13"/>
      <c r="B303" s="14"/>
      <c r="C303" s="23"/>
    </row>
    <row r="304" ht="12.75" customHeight="1">
      <c r="A304" s="13"/>
      <c r="B304" s="14"/>
      <c r="C304" s="23"/>
    </row>
    <row r="305" ht="12.75" customHeight="1">
      <c r="A305" s="13"/>
      <c r="B305" s="14"/>
      <c r="C305" s="23"/>
    </row>
    <row r="306" ht="12.75" customHeight="1">
      <c r="A306" s="13"/>
      <c r="B306" s="14"/>
      <c r="C306" s="23"/>
    </row>
    <row r="307" ht="12.75" customHeight="1">
      <c r="A307" s="13"/>
      <c r="B307" s="14"/>
      <c r="C307" s="23"/>
    </row>
    <row r="308" ht="12.75" customHeight="1">
      <c r="A308" s="13"/>
      <c r="B308" s="14"/>
      <c r="C308" s="23"/>
    </row>
    <row r="309" ht="12.75" customHeight="1">
      <c r="A309" s="13"/>
      <c r="B309" s="14"/>
      <c r="C309" s="23"/>
    </row>
    <row r="310" ht="12.75" customHeight="1">
      <c r="A310" s="13"/>
      <c r="B310" s="14"/>
      <c r="C310" s="23"/>
    </row>
    <row r="311" ht="12.75" customHeight="1">
      <c r="A311" s="13"/>
      <c r="B311" s="14"/>
      <c r="C311" s="23"/>
    </row>
    <row r="312" ht="12.75" customHeight="1">
      <c r="A312" s="13"/>
      <c r="B312" s="14"/>
      <c r="C312" s="23"/>
    </row>
    <row r="313" ht="12.75" customHeight="1">
      <c r="A313" s="13"/>
      <c r="B313" s="14"/>
      <c r="C313" s="23"/>
    </row>
    <row r="314" ht="12.75" customHeight="1">
      <c r="A314" s="13"/>
      <c r="B314" s="14"/>
      <c r="C314" s="23"/>
    </row>
    <row r="315" ht="12.75" customHeight="1">
      <c r="A315" s="13"/>
      <c r="B315" s="14"/>
      <c r="C315" s="23"/>
    </row>
    <row r="316" ht="12.75" customHeight="1">
      <c r="A316" s="13"/>
      <c r="B316" s="14"/>
      <c r="C316" s="23"/>
    </row>
    <row r="317" ht="12.75" customHeight="1">
      <c r="A317" s="13"/>
      <c r="B317" s="14"/>
      <c r="C317" s="23"/>
    </row>
    <row r="318" ht="12.75" customHeight="1">
      <c r="A318" s="13"/>
      <c r="B318" s="14"/>
      <c r="C318" s="23"/>
    </row>
    <row r="319" ht="12.75" customHeight="1">
      <c r="A319" s="13"/>
      <c r="B319" s="14"/>
      <c r="C319" s="23"/>
    </row>
    <row r="320" ht="12.75" customHeight="1">
      <c r="A320" s="13"/>
      <c r="B320" s="14"/>
      <c r="C320" s="23"/>
    </row>
    <row r="321" ht="12.75" customHeight="1">
      <c r="A321" s="13"/>
      <c r="B321" s="14"/>
      <c r="C321" s="23"/>
    </row>
    <row r="322" ht="12.75" customHeight="1">
      <c r="A322" s="13"/>
      <c r="B322" s="14"/>
      <c r="C322" s="23"/>
    </row>
    <row r="323" ht="12.75" customHeight="1">
      <c r="A323" s="13"/>
      <c r="B323" s="14"/>
      <c r="C323" s="23"/>
    </row>
    <row r="324" ht="12.75" customHeight="1">
      <c r="A324" s="13"/>
      <c r="B324" s="14"/>
      <c r="C324" s="23"/>
    </row>
    <row r="325" ht="12.75" customHeight="1">
      <c r="A325" s="13"/>
      <c r="B325" s="14"/>
      <c r="C325" s="23"/>
    </row>
    <row r="326" ht="12.75" customHeight="1">
      <c r="A326" s="13"/>
      <c r="B326" s="14"/>
      <c r="C326" s="23"/>
    </row>
    <row r="327" ht="12.75" customHeight="1">
      <c r="A327" s="13"/>
      <c r="B327" s="14"/>
      <c r="C327" s="23"/>
    </row>
    <row r="328" ht="12.75" customHeight="1">
      <c r="A328" s="13"/>
      <c r="B328" s="14"/>
      <c r="C328" s="23"/>
    </row>
    <row r="329" ht="12.75" customHeight="1">
      <c r="A329" s="13"/>
      <c r="B329" s="14"/>
      <c r="C329" s="23"/>
    </row>
    <row r="330" ht="12.75" customHeight="1">
      <c r="A330" s="13"/>
      <c r="B330" s="14"/>
      <c r="C330" s="23"/>
    </row>
    <row r="331" ht="12.75" customHeight="1">
      <c r="A331" s="13"/>
      <c r="B331" s="14"/>
      <c r="C331" s="23"/>
    </row>
    <row r="332" ht="12.75" customHeight="1">
      <c r="A332" s="13"/>
      <c r="B332" s="14"/>
      <c r="C332" s="23"/>
    </row>
    <row r="333" ht="12.75" customHeight="1">
      <c r="A333" s="13"/>
      <c r="B333" s="14"/>
      <c r="C333" s="23"/>
    </row>
    <row r="334" ht="12.75" customHeight="1">
      <c r="A334" s="13"/>
      <c r="B334" s="14"/>
      <c r="C334" s="23"/>
    </row>
    <row r="335" ht="12.75" customHeight="1">
      <c r="A335" s="13"/>
      <c r="B335" s="14"/>
      <c r="C335" s="23"/>
    </row>
    <row r="336" ht="12.75" customHeight="1">
      <c r="A336" s="13"/>
      <c r="B336" s="14"/>
      <c r="C336" s="23"/>
    </row>
    <row r="337" ht="12.75" customHeight="1">
      <c r="A337" s="13"/>
      <c r="B337" s="14"/>
      <c r="C337" s="23"/>
    </row>
    <row r="338" ht="12.75" customHeight="1">
      <c r="A338" s="13"/>
      <c r="B338" s="14"/>
      <c r="C338" s="23"/>
    </row>
    <row r="339" ht="12.75" customHeight="1">
      <c r="A339" s="13"/>
      <c r="B339" s="14"/>
      <c r="C339" s="23"/>
    </row>
    <row r="340" ht="12.75" customHeight="1">
      <c r="A340" s="13"/>
      <c r="B340" s="14"/>
      <c r="C340" s="23"/>
    </row>
    <row r="341" ht="12.75" customHeight="1">
      <c r="A341" s="13"/>
      <c r="B341" s="14"/>
      <c r="C341" s="23"/>
    </row>
    <row r="342" ht="12.75" customHeight="1">
      <c r="A342" s="13"/>
      <c r="B342" s="14"/>
      <c r="C342" s="23"/>
    </row>
    <row r="343" ht="12.75" customHeight="1">
      <c r="A343" s="13"/>
      <c r="B343" s="14"/>
      <c r="C343" s="23"/>
    </row>
    <row r="344" ht="12.75" customHeight="1">
      <c r="A344" s="13"/>
      <c r="B344" s="14"/>
      <c r="C344" s="23"/>
    </row>
    <row r="345" ht="12.75" customHeight="1">
      <c r="A345" s="13"/>
      <c r="B345" s="14"/>
      <c r="C345" s="23"/>
    </row>
    <row r="346" ht="12.75" customHeight="1">
      <c r="A346" s="13"/>
      <c r="B346" s="14"/>
      <c r="C346" s="23"/>
    </row>
    <row r="347" ht="12.75" customHeight="1">
      <c r="A347" s="13"/>
      <c r="B347" s="14"/>
      <c r="C347" s="23"/>
    </row>
    <row r="348" ht="12.75" customHeight="1">
      <c r="A348" s="13"/>
      <c r="B348" s="14"/>
      <c r="C348" s="23"/>
    </row>
    <row r="349" ht="12.75" customHeight="1">
      <c r="A349" s="13"/>
      <c r="B349" s="14"/>
      <c r="C349" s="23"/>
    </row>
    <row r="350" ht="12.75" customHeight="1">
      <c r="A350" s="13"/>
      <c r="B350" s="14"/>
      <c r="C350" s="23"/>
    </row>
    <row r="351" ht="12.75" customHeight="1">
      <c r="A351" s="13"/>
      <c r="B351" s="14"/>
      <c r="C351" s="23"/>
    </row>
    <row r="352" ht="12.75" customHeight="1">
      <c r="A352" s="13"/>
      <c r="B352" s="14"/>
      <c r="C352" s="23"/>
    </row>
    <row r="353" ht="12.75" customHeight="1">
      <c r="A353" s="13"/>
      <c r="B353" s="14"/>
      <c r="C353" s="23"/>
    </row>
    <row r="354" ht="12.75" customHeight="1">
      <c r="A354" s="13"/>
      <c r="B354" s="14"/>
      <c r="C354" s="23"/>
    </row>
    <row r="355" ht="12.75" customHeight="1">
      <c r="A355" s="13"/>
      <c r="B355" s="14"/>
      <c r="C355" s="23"/>
    </row>
    <row r="356" ht="12.75" customHeight="1">
      <c r="A356" s="13"/>
      <c r="B356" s="14"/>
      <c r="C356" s="23"/>
    </row>
    <row r="357" ht="12.75" customHeight="1">
      <c r="A357" s="13"/>
      <c r="B357" s="14"/>
      <c r="C357" s="23"/>
    </row>
    <row r="358" ht="12.75" customHeight="1">
      <c r="A358" s="13"/>
      <c r="B358" s="14"/>
      <c r="C358" s="23"/>
    </row>
    <row r="359" ht="12.75" customHeight="1">
      <c r="A359" s="13"/>
      <c r="B359" s="14"/>
      <c r="C359" s="23"/>
    </row>
    <row r="360" ht="12.75" customHeight="1">
      <c r="A360" s="13"/>
      <c r="B360" s="14"/>
      <c r="C360" s="23"/>
    </row>
    <row r="361" ht="12.75" customHeight="1">
      <c r="A361" s="13"/>
      <c r="B361" s="14"/>
      <c r="C361" s="23"/>
    </row>
    <row r="362" ht="12.75" customHeight="1">
      <c r="A362" s="13"/>
      <c r="B362" s="14"/>
      <c r="C362" s="23"/>
    </row>
    <row r="363" ht="12.75" customHeight="1">
      <c r="A363" s="13"/>
      <c r="B363" s="14"/>
      <c r="C363" s="23"/>
    </row>
    <row r="364" ht="12.75" customHeight="1">
      <c r="A364" s="13"/>
      <c r="B364" s="14"/>
      <c r="C364" s="23"/>
    </row>
    <row r="365" ht="12.75" customHeight="1">
      <c r="A365" s="13"/>
      <c r="B365" s="14"/>
      <c r="C365" s="23"/>
    </row>
    <row r="366" ht="12.75" customHeight="1">
      <c r="A366" s="13"/>
      <c r="B366" s="14"/>
      <c r="C366" s="23"/>
    </row>
    <row r="367" ht="12.75" customHeight="1">
      <c r="A367" s="13"/>
      <c r="B367" s="14"/>
      <c r="C367" s="23"/>
    </row>
    <row r="368" ht="12.75" customHeight="1">
      <c r="A368" s="13"/>
      <c r="B368" s="14"/>
      <c r="C368" s="23"/>
    </row>
    <row r="369" ht="12.75" customHeight="1">
      <c r="A369" s="13"/>
      <c r="B369" s="14"/>
      <c r="C369" s="23"/>
    </row>
    <row r="370" ht="12.75" customHeight="1">
      <c r="A370" s="13"/>
      <c r="B370" s="14"/>
      <c r="C370" s="23"/>
    </row>
    <row r="371" ht="12.75" customHeight="1">
      <c r="A371" s="13"/>
      <c r="B371" s="14"/>
      <c r="C371" s="23"/>
    </row>
    <row r="372" ht="12.75" customHeight="1">
      <c r="A372" s="13"/>
      <c r="B372" s="14"/>
      <c r="C372" s="23"/>
    </row>
    <row r="373" ht="12.75" customHeight="1">
      <c r="A373" s="13"/>
      <c r="B373" s="14"/>
      <c r="C373" s="23"/>
    </row>
    <row r="374" ht="12.75" customHeight="1">
      <c r="A374" s="13"/>
      <c r="B374" s="14"/>
      <c r="C374" s="23"/>
    </row>
    <row r="375" ht="12.75" customHeight="1">
      <c r="A375" s="13"/>
      <c r="B375" s="14"/>
      <c r="C375" s="23"/>
    </row>
    <row r="376" ht="12.75" customHeight="1">
      <c r="A376" s="13"/>
      <c r="B376" s="14"/>
      <c r="C376" s="23"/>
    </row>
    <row r="377" ht="12.75" customHeight="1">
      <c r="A377" s="13"/>
      <c r="B377" s="14"/>
      <c r="C377" s="23"/>
    </row>
    <row r="378" ht="12.75" customHeight="1">
      <c r="A378" s="13"/>
      <c r="B378" s="14"/>
      <c r="C378" s="23"/>
    </row>
    <row r="379" ht="12.75" customHeight="1">
      <c r="A379" s="13"/>
      <c r="B379" s="14"/>
      <c r="C379" s="23"/>
    </row>
    <row r="380" ht="12.75" customHeight="1">
      <c r="A380" s="13"/>
      <c r="B380" s="14"/>
      <c r="C380" s="23"/>
    </row>
    <row r="381" ht="12.75" customHeight="1">
      <c r="A381" s="13"/>
      <c r="B381" s="14"/>
      <c r="C381" s="23"/>
    </row>
    <row r="382" ht="12.75" customHeight="1">
      <c r="A382" s="13"/>
      <c r="B382" s="14"/>
      <c r="C382" s="23"/>
    </row>
    <row r="383" ht="12.75" customHeight="1">
      <c r="A383" s="13"/>
      <c r="B383" s="14"/>
      <c r="C383" s="23"/>
    </row>
    <row r="384" ht="12.75" customHeight="1">
      <c r="A384" s="13"/>
      <c r="B384" s="14"/>
      <c r="C384" s="23"/>
    </row>
    <row r="385" ht="12.75" customHeight="1">
      <c r="A385" s="13"/>
      <c r="B385" s="14"/>
      <c r="C385" s="23"/>
    </row>
    <row r="386" ht="12.75" customHeight="1">
      <c r="A386" s="13"/>
      <c r="B386" s="14"/>
      <c r="C386" s="23"/>
    </row>
    <row r="387" ht="12.75" customHeight="1">
      <c r="A387" s="13"/>
      <c r="B387" s="14"/>
      <c r="C387" s="23"/>
    </row>
    <row r="388" ht="12.75" customHeight="1">
      <c r="A388" s="13"/>
      <c r="B388" s="14"/>
      <c r="C388" s="23"/>
    </row>
    <row r="389" ht="12.75" customHeight="1">
      <c r="A389" s="13"/>
      <c r="B389" s="14"/>
      <c r="C389" s="23"/>
    </row>
    <row r="390" ht="12.75" customHeight="1">
      <c r="A390" s="13"/>
      <c r="B390" s="14"/>
      <c r="C390" s="23"/>
    </row>
    <row r="391" ht="12.75" customHeight="1">
      <c r="A391" s="13"/>
      <c r="B391" s="14"/>
      <c r="C391" s="23"/>
    </row>
    <row r="392" ht="12.75" customHeight="1">
      <c r="A392" s="13"/>
      <c r="B392" s="14"/>
      <c r="C392" s="23"/>
    </row>
    <row r="393" ht="12.75" customHeight="1">
      <c r="A393" s="13"/>
      <c r="B393" s="14"/>
      <c r="C393" s="23"/>
    </row>
    <row r="394" ht="12.75" customHeight="1">
      <c r="A394" s="13"/>
      <c r="B394" s="14"/>
      <c r="C394" s="23"/>
    </row>
    <row r="395" ht="12.75" customHeight="1">
      <c r="A395" s="13"/>
      <c r="B395" s="14"/>
      <c r="C395" s="23"/>
    </row>
    <row r="396" ht="12.75" customHeight="1">
      <c r="A396" s="13"/>
      <c r="B396" s="14"/>
      <c r="C396" s="23"/>
    </row>
    <row r="397" ht="12.75" customHeight="1">
      <c r="A397" s="13"/>
      <c r="B397" s="14"/>
      <c r="C397" s="23"/>
    </row>
    <row r="398" ht="12.75" customHeight="1">
      <c r="A398" s="13"/>
      <c r="B398" s="14"/>
      <c r="C398" s="23"/>
    </row>
    <row r="399" ht="12.75" customHeight="1">
      <c r="A399" s="13"/>
      <c r="B399" s="14"/>
      <c r="C399" s="23"/>
    </row>
    <row r="400" ht="12.75" customHeight="1">
      <c r="A400" s="13"/>
      <c r="B400" s="14"/>
      <c r="C400" s="23"/>
    </row>
    <row r="401" ht="12.75" customHeight="1">
      <c r="A401" s="13"/>
      <c r="B401" s="14"/>
      <c r="C401" s="23"/>
    </row>
    <row r="402" ht="12.75" customHeight="1">
      <c r="A402" s="13"/>
      <c r="B402" s="14"/>
      <c r="C402" s="23"/>
    </row>
    <row r="403" ht="12.75" customHeight="1">
      <c r="A403" s="13"/>
      <c r="B403" s="14"/>
      <c r="C403" s="23"/>
    </row>
    <row r="404" ht="12.75" customHeight="1">
      <c r="A404" s="13"/>
      <c r="B404" s="14"/>
      <c r="C404" s="23"/>
    </row>
    <row r="405" ht="12.75" customHeight="1">
      <c r="A405" s="13"/>
      <c r="B405" s="14"/>
      <c r="C405" s="23"/>
    </row>
    <row r="406" ht="12.75" customHeight="1">
      <c r="A406" s="13"/>
      <c r="B406" s="14"/>
      <c r="C406" s="23"/>
    </row>
    <row r="407" ht="12.75" customHeight="1">
      <c r="A407" s="13"/>
      <c r="B407" s="14"/>
      <c r="C407" s="23"/>
    </row>
    <row r="408" ht="12.75" customHeight="1">
      <c r="A408" s="13"/>
      <c r="B408" s="14"/>
      <c r="C408" s="23"/>
    </row>
    <row r="409" ht="12.75" customHeight="1">
      <c r="A409" s="13"/>
      <c r="B409" s="14"/>
      <c r="C409" s="23"/>
    </row>
    <row r="410" ht="12.75" customHeight="1">
      <c r="A410" s="13"/>
      <c r="B410" s="14"/>
      <c r="C410" s="23"/>
    </row>
    <row r="411" ht="12.75" customHeight="1">
      <c r="A411" s="13"/>
      <c r="B411" s="14"/>
      <c r="C411" s="23"/>
    </row>
    <row r="412" ht="12.75" customHeight="1">
      <c r="A412" s="13"/>
      <c r="B412" s="14"/>
      <c r="C412" s="23"/>
    </row>
    <row r="413" ht="12.75" customHeight="1">
      <c r="A413" s="13"/>
      <c r="B413" s="14"/>
      <c r="C413" s="23"/>
    </row>
    <row r="414" ht="12.75" customHeight="1">
      <c r="A414" s="13"/>
      <c r="B414" s="14"/>
      <c r="C414" s="23"/>
    </row>
    <row r="415" ht="12.75" customHeight="1">
      <c r="A415" s="13"/>
      <c r="B415" s="14"/>
      <c r="C415" s="23"/>
    </row>
    <row r="416" ht="12.75" customHeight="1">
      <c r="A416" s="13"/>
      <c r="B416" s="14"/>
      <c r="C416" s="23"/>
    </row>
    <row r="417" ht="12.75" customHeight="1">
      <c r="A417" s="13"/>
      <c r="B417" s="14"/>
      <c r="C417" s="23"/>
    </row>
    <row r="418" ht="12.75" customHeight="1">
      <c r="A418" s="13"/>
      <c r="B418" s="14"/>
      <c r="C418" s="23"/>
    </row>
    <row r="419" ht="12.75" customHeight="1">
      <c r="A419" s="13"/>
      <c r="B419" s="14"/>
      <c r="C419" s="23"/>
    </row>
    <row r="420" ht="12.75" customHeight="1">
      <c r="A420" s="13"/>
      <c r="B420" s="14"/>
      <c r="C420" s="23"/>
    </row>
    <row r="421" ht="12.75" customHeight="1">
      <c r="A421" s="13"/>
      <c r="B421" s="14"/>
      <c r="C421" s="23"/>
    </row>
    <row r="422" ht="12.75" customHeight="1">
      <c r="A422" s="13"/>
      <c r="B422" s="14"/>
      <c r="C422" s="23"/>
    </row>
    <row r="423" ht="12.75" customHeight="1">
      <c r="A423" s="13"/>
      <c r="B423" s="14"/>
      <c r="C423" s="23"/>
    </row>
    <row r="424" ht="12.75" customHeight="1">
      <c r="A424" s="13"/>
      <c r="B424" s="14"/>
      <c r="C424" s="23"/>
    </row>
    <row r="425" ht="12.75" customHeight="1">
      <c r="A425" s="13"/>
      <c r="B425" s="14"/>
      <c r="C425" s="23"/>
    </row>
    <row r="426" ht="12.75" customHeight="1">
      <c r="A426" s="13"/>
      <c r="B426" s="14"/>
      <c r="C426" s="23"/>
    </row>
    <row r="427" ht="12.75" customHeight="1">
      <c r="A427" s="13"/>
      <c r="B427" s="14"/>
      <c r="C427" s="23"/>
    </row>
    <row r="428" ht="12.75" customHeight="1">
      <c r="A428" s="13"/>
      <c r="B428" s="14"/>
      <c r="C428" s="23"/>
    </row>
    <row r="429" ht="12.75" customHeight="1">
      <c r="A429" s="13"/>
      <c r="B429" s="14"/>
      <c r="C429" s="23"/>
    </row>
    <row r="430" ht="12.75" customHeight="1">
      <c r="A430" s="13"/>
      <c r="B430" s="14"/>
      <c r="C430" s="23"/>
    </row>
    <row r="431" ht="12.75" customHeight="1">
      <c r="A431" s="13"/>
      <c r="B431" s="14"/>
      <c r="C431" s="23"/>
    </row>
    <row r="432" ht="12.75" customHeight="1">
      <c r="A432" s="13"/>
      <c r="B432" s="14"/>
      <c r="C432" s="23"/>
    </row>
    <row r="433" ht="12.75" customHeight="1">
      <c r="A433" s="13"/>
      <c r="B433" s="14"/>
      <c r="C433" s="23"/>
    </row>
    <row r="434" ht="12.75" customHeight="1">
      <c r="A434" s="13"/>
      <c r="B434" s="14"/>
      <c r="C434" s="23"/>
    </row>
    <row r="435" ht="12.75" customHeight="1">
      <c r="A435" s="13"/>
      <c r="B435" s="14"/>
      <c r="C435" s="23"/>
    </row>
    <row r="436" ht="12.75" customHeight="1">
      <c r="A436" s="13"/>
      <c r="B436" s="14"/>
      <c r="C436" s="23"/>
    </row>
    <row r="437" ht="12.75" customHeight="1">
      <c r="A437" s="13"/>
      <c r="B437" s="14"/>
      <c r="C437" s="23"/>
    </row>
    <row r="438" ht="12.75" customHeight="1">
      <c r="A438" s="13"/>
      <c r="B438" s="14"/>
      <c r="C438" s="23"/>
    </row>
    <row r="439" ht="12.75" customHeight="1">
      <c r="A439" s="13"/>
      <c r="B439" s="14"/>
      <c r="C439" s="23"/>
    </row>
    <row r="440" ht="12.75" customHeight="1">
      <c r="A440" s="13"/>
      <c r="B440" s="14"/>
      <c r="C440" s="23"/>
    </row>
    <row r="441" ht="12.75" customHeight="1">
      <c r="A441" s="13"/>
      <c r="B441" s="14"/>
      <c r="C441" s="23"/>
    </row>
    <row r="442" ht="12.75" customHeight="1">
      <c r="A442" s="13"/>
      <c r="B442" s="14"/>
      <c r="C442" s="23"/>
    </row>
    <row r="443" ht="12.75" customHeight="1">
      <c r="A443" s="13"/>
      <c r="B443" s="14"/>
      <c r="C443" s="23"/>
    </row>
    <row r="444" ht="12.75" customHeight="1">
      <c r="A444" s="13"/>
      <c r="B444" s="14"/>
      <c r="C444" s="23"/>
    </row>
    <row r="445" ht="12.75" customHeight="1">
      <c r="A445" s="13"/>
      <c r="B445" s="14"/>
      <c r="C445" s="23"/>
    </row>
    <row r="446" ht="12.75" customHeight="1">
      <c r="A446" s="13"/>
      <c r="B446" s="14"/>
      <c r="C446" s="23"/>
    </row>
    <row r="447" ht="12.75" customHeight="1">
      <c r="A447" s="13"/>
      <c r="B447" s="14"/>
      <c r="C447" s="23"/>
    </row>
    <row r="448" ht="12.75" customHeight="1">
      <c r="A448" s="13"/>
      <c r="B448" s="14"/>
      <c r="C448" s="23"/>
    </row>
    <row r="449" ht="12.75" customHeight="1">
      <c r="A449" s="13"/>
      <c r="B449" s="14"/>
      <c r="C449" s="23"/>
    </row>
    <row r="450" ht="12.75" customHeight="1">
      <c r="A450" s="13"/>
      <c r="B450" s="14"/>
      <c r="C450" s="23"/>
    </row>
    <row r="451" ht="12.75" customHeight="1">
      <c r="A451" s="13"/>
      <c r="B451" s="14"/>
      <c r="C451" s="23"/>
    </row>
    <row r="452" ht="12.75" customHeight="1">
      <c r="A452" s="13"/>
      <c r="B452" s="14"/>
      <c r="C452" s="23"/>
    </row>
    <row r="453" ht="12.75" customHeight="1">
      <c r="A453" s="13"/>
      <c r="B453" s="14"/>
      <c r="C453" s="23"/>
    </row>
    <row r="454" ht="12.75" customHeight="1">
      <c r="A454" s="13"/>
      <c r="B454" s="14"/>
      <c r="C454" s="23"/>
    </row>
    <row r="455" ht="12.75" customHeight="1">
      <c r="A455" s="13"/>
      <c r="B455" s="14"/>
      <c r="C455" s="23"/>
    </row>
    <row r="456" ht="12.75" customHeight="1">
      <c r="A456" s="13"/>
      <c r="B456" s="14"/>
      <c r="C456" s="23"/>
    </row>
    <row r="457" ht="12.75" customHeight="1">
      <c r="A457" s="13"/>
      <c r="B457" s="14"/>
      <c r="C457" s="23"/>
    </row>
    <row r="458" ht="12.75" customHeight="1">
      <c r="A458" s="13"/>
      <c r="B458" s="14"/>
      <c r="C458" s="23"/>
    </row>
    <row r="459" ht="12.75" customHeight="1">
      <c r="A459" s="13"/>
      <c r="B459" s="14"/>
      <c r="C459" s="23"/>
    </row>
    <row r="460" ht="12.75" customHeight="1">
      <c r="A460" s="13"/>
      <c r="B460" s="14"/>
      <c r="C460" s="23"/>
    </row>
    <row r="461" ht="12.75" customHeight="1">
      <c r="A461" s="13"/>
      <c r="B461" s="14"/>
      <c r="C461" s="23"/>
    </row>
    <row r="462" ht="12.75" customHeight="1">
      <c r="A462" s="13"/>
      <c r="B462" s="14"/>
      <c r="C462" s="23"/>
    </row>
    <row r="463" ht="12.75" customHeight="1">
      <c r="A463" s="13"/>
      <c r="B463" s="14"/>
      <c r="C463" s="23"/>
    </row>
    <row r="464" ht="12.75" customHeight="1">
      <c r="A464" s="13"/>
      <c r="B464" s="14"/>
      <c r="C464" s="23"/>
    </row>
    <row r="465" ht="12.75" customHeight="1">
      <c r="A465" s="13"/>
      <c r="B465" s="14"/>
      <c r="C465" s="23"/>
    </row>
    <row r="466" ht="12.75" customHeight="1">
      <c r="A466" s="13"/>
      <c r="B466" s="14"/>
      <c r="C466" s="23"/>
    </row>
    <row r="467" ht="12.75" customHeight="1">
      <c r="A467" s="13"/>
      <c r="B467" s="14"/>
      <c r="C467" s="23"/>
    </row>
    <row r="468" ht="12.75" customHeight="1">
      <c r="A468" s="13"/>
      <c r="B468" s="14"/>
      <c r="C468" s="23"/>
    </row>
    <row r="469" ht="12.75" customHeight="1">
      <c r="A469" s="13"/>
      <c r="B469" s="14"/>
      <c r="C469" s="23"/>
    </row>
    <row r="470" ht="12.75" customHeight="1">
      <c r="A470" s="13"/>
      <c r="B470" s="14"/>
      <c r="C470" s="23"/>
    </row>
    <row r="471" ht="12.75" customHeight="1">
      <c r="A471" s="13"/>
      <c r="B471" s="14"/>
      <c r="C471" s="23"/>
    </row>
    <row r="472" ht="12.75" customHeight="1">
      <c r="A472" s="13"/>
      <c r="B472" s="14"/>
      <c r="C472" s="23"/>
    </row>
    <row r="473" ht="12.75" customHeight="1">
      <c r="A473" s="13"/>
      <c r="B473" s="14"/>
      <c r="C473" s="23"/>
    </row>
    <row r="474" ht="12.75" customHeight="1">
      <c r="A474" s="13"/>
      <c r="B474" s="14"/>
      <c r="C474" s="23"/>
    </row>
    <row r="475" ht="12.75" customHeight="1">
      <c r="A475" s="13"/>
      <c r="B475" s="14"/>
      <c r="C475" s="23"/>
    </row>
    <row r="476" ht="12.75" customHeight="1">
      <c r="A476" s="13"/>
      <c r="B476" s="14"/>
      <c r="C476" s="23"/>
    </row>
    <row r="477" ht="12.75" customHeight="1">
      <c r="A477" s="13"/>
      <c r="B477" s="14"/>
      <c r="C477" s="23"/>
    </row>
    <row r="478" ht="12.75" customHeight="1">
      <c r="A478" s="13"/>
      <c r="B478" s="14"/>
      <c r="C478" s="23"/>
    </row>
    <row r="479" ht="12.75" customHeight="1">
      <c r="A479" s="13"/>
      <c r="B479" s="14"/>
      <c r="C479" s="23"/>
    </row>
    <row r="480" ht="12.75" customHeight="1">
      <c r="A480" s="13"/>
      <c r="B480" s="14"/>
      <c r="C480" s="23"/>
    </row>
    <row r="481" ht="12.75" customHeight="1">
      <c r="A481" s="13"/>
      <c r="B481" s="14"/>
      <c r="C481" s="23"/>
    </row>
    <row r="482" ht="12.75" customHeight="1">
      <c r="A482" s="13"/>
      <c r="B482" s="14"/>
      <c r="C482" s="23"/>
    </row>
    <row r="483" ht="12.75" customHeight="1">
      <c r="A483" s="13"/>
      <c r="B483" s="14"/>
      <c r="C483" s="23"/>
    </row>
    <row r="484" ht="12.75" customHeight="1">
      <c r="A484" s="13"/>
      <c r="B484" s="14"/>
      <c r="C484" s="23"/>
    </row>
    <row r="485" ht="12.75" customHeight="1">
      <c r="A485" s="13"/>
      <c r="B485" s="14"/>
      <c r="C485" s="23"/>
    </row>
    <row r="486" ht="12.75" customHeight="1">
      <c r="A486" s="13"/>
      <c r="B486" s="14"/>
      <c r="C486" s="23"/>
    </row>
    <row r="487" ht="12.75" customHeight="1">
      <c r="A487" s="13"/>
      <c r="B487" s="14"/>
      <c r="C487" s="23"/>
    </row>
    <row r="488" ht="12.75" customHeight="1">
      <c r="A488" s="13"/>
      <c r="B488" s="14"/>
      <c r="C488" s="23"/>
    </row>
    <row r="489" ht="12.75" customHeight="1">
      <c r="A489" s="13"/>
      <c r="B489" s="14"/>
      <c r="C489" s="23"/>
    </row>
    <row r="490" ht="12.75" customHeight="1">
      <c r="A490" s="13"/>
      <c r="B490" s="14"/>
      <c r="C490" s="23"/>
    </row>
    <row r="491" ht="12.75" customHeight="1">
      <c r="A491" s="13"/>
      <c r="B491" s="14"/>
      <c r="C491" s="23"/>
    </row>
    <row r="492" ht="12.75" customHeight="1">
      <c r="A492" s="13"/>
      <c r="B492" s="14"/>
      <c r="C492" s="23"/>
    </row>
    <row r="493" ht="12.75" customHeight="1">
      <c r="A493" s="13"/>
      <c r="B493" s="14"/>
      <c r="C493" s="23"/>
    </row>
    <row r="494" ht="12.75" customHeight="1">
      <c r="A494" s="13"/>
      <c r="B494" s="14"/>
      <c r="C494" s="23"/>
    </row>
    <row r="495" ht="12.75" customHeight="1">
      <c r="A495" s="13"/>
      <c r="B495" s="14"/>
      <c r="C495" s="23"/>
    </row>
    <row r="496" ht="12.75" customHeight="1">
      <c r="A496" s="13"/>
      <c r="B496" s="14"/>
      <c r="C496" s="23"/>
    </row>
    <row r="497" ht="12.75" customHeight="1">
      <c r="A497" s="13"/>
      <c r="B497" s="14"/>
      <c r="C497" s="23"/>
    </row>
    <row r="498" ht="12.75" customHeight="1">
      <c r="A498" s="13"/>
      <c r="B498" s="14"/>
      <c r="C498" s="23"/>
    </row>
    <row r="499" ht="12.75" customHeight="1">
      <c r="A499" s="13"/>
      <c r="B499" s="14"/>
      <c r="C499" s="23"/>
    </row>
    <row r="500" ht="12.75" customHeight="1">
      <c r="A500" s="13"/>
      <c r="B500" s="14"/>
      <c r="C500" s="23"/>
    </row>
    <row r="501" ht="12.75" customHeight="1">
      <c r="A501" s="13"/>
      <c r="B501" s="14"/>
      <c r="C501" s="23"/>
    </row>
    <row r="502" ht="12.75" customHeight="1">
      <c r="A502" s="13"/>
      <c r="B502" s="14"/>
      <c r="C502" s="23"/>
    </row>
    <row r="503" ht="12.75" customHeight="1">
      <c r="A503" s="13"/>
      <c r="B503" s="14"/>
      <c r="C503" s="23"/>
    </row>
    <row r="504" ht="12.75" customHeight="1">
      <c r="A504" s="13"/>
      <c r="B504" s="14"/>
      <c r="C504" s="23"/>
    </row>
    <row r="505" ht="12.75" customHeight="1">
      <c r="A505" s="13"/>
      <c r="B505" s="14"/>
      <c r="C505" s="23"/>
    </row>
    <row r="506" ht="12.75" customHeight="1">
      <c r="A506" s="13"/>
      <c r="B506" s="14"/>
      <c r="C506" s="23"/>
    </row>
    <row r="507" ht="12.75" customHeight="1">
      <c r="A507" s="13"/>
      <c r="B507" s="14"/>
      <c r="C507" s="23"/>
    </row>
    <row r="508" ht="12.75" customHeight="1">
      <c r="A508" s="13"/>
      <c r="B508" s="14"/>
      <c r="C508" s="23"/>
    </row>
    <row r="509" ht="12.75" customHeight="1">
      <c r="A509" s="13"/>
      <c r="B509" s="14"/>
      <c r="C509" s="23"/>
    </row>
    <row r="510" ht="12.75" customHeight="1">
      <c r="A510" s="13"/>
      <c r="B510" s="14"/>
      <c r="C510" s="23"/>
    </row>
    <row r="511" ht="12.75" customHeight="1">
      <c r="A511" s="13"/>
      <c r="B511" s="14"/>
      <c r="C511" s="23"/>
    </row>
    <row r="512" ht="12.75" customHeight="1">
      <c r="A512" s="13"/>
      <c r="B512" s="14"/>
      <c r="C512" s="23"/>
    </row>
    <row r="513" ht="12.75" customHeight="1">
      <c r="A513" s="13"/>
      <c r="B513" s="14"/>
      <c r="C513" s="23"/>
    </row>
    <row r="514" ht="12.75" customHeight="1">
      <c r="A514" s="13"/>
      <c r="B514" s="14"/>
      <c r="C514" s="23"/>
    </row>
    <row r="515" ht="12.75" customHeight="1">
      <c r="A515" s="13"/>
      <c r="B515" s="14"/>
      <c r="C515" s="23"/>
    </row>
    <row r="516" ht="12.75" customHeight="1">
      <c r="A516" s="13"/>
      <c r="B516" s="14"/>
      <c r="C516" s="23"/>
    </row>
    <row r="517" ht="12.75" customHeight="1">
      <c r="A517" s="13"/>
      <c r="B517" s="14"/>
      <c r="C517" s="23"/>
    </row>
    <row r="518" ht="12.75" customHeight="1">
      <c r="A518" s="13"/>
      <c r="B518" s="14"/>
      <c r="C518" s="23"/>
    </row>
    <row r="519" ht="12.75" customHeight="1">
      <c r="A519" s="13"/>
      <c r="B519" s="14"/>
      <c r="C519" s="23"/>
    </row>
    <row r="520" ht="12.75" customHeight="1">
      <c r="A520" s="13"/>
      <c r="B520" s="14"/>
      <c r="C520" s="23"/>
    </row>
    <row r="521" ht="12.75" customHeight="1">
      <c r="A521" s="13"/>
      <c r="B521" s="14"/>
      <c r="C521" s="23"/>
    </row>
    <row r="522" ht="12.75" customHeight="1">
      <c r="A522" s="13"/>
      <c r="B522" s="14"/>
      <c r="C522" s="23"/>
    </row>
    <row r="523" ht="12.75" customHeight="1">
      <c r="A523" s="13"/>
      <c r="B523" s="14"/>
      <c r="C523" s="23"/>
    </row>
    <row r="524" ht="12.75" customHeight="1">
      <c r="A524" s="13"/>
      <c r="B524" s="14"/>
      <c r="C524" s="23"/>
    </row>
    <row r="525" ht="12.75" customHeight="1">
      <c r="A525" s="13"/>
      <c r="B525" s="14"/>
      <c r="C525" s="23"/>
    </row>
    <row r="526" ht="12.75" customHeight="1">
      <c r="A526" s="13"/>
      <c r="B526" s="14"/>
      <c r="C526" s="23"/>
    </row>
    <row r="527" ht="12.75" customHeight="1">
      <c r="A527" s="13"/>
      <c r="B527" s="14"/>
      <c r="C527" s="23"/>
    </row>
    <row r="528" ht="12.75" customHeight="1">
      <c r="A528" s="13"/>
      <c r="B528" s="14"/>
      <c r="C528" s="23"/>
    </row>
    <row r="529" ht="12.75" customHeight="1">
      <c r="A529" s="13"/>
      <c r="B529" s="14"/>
      <c r="C529" s="23"/>
    </row>
    <row r="530" ht="12.75" customHeight="1">
      <c r="A530" s="13"/>
      <c r="B530" s="14"/>
      <c r="C530" s="23"/>
    </row>
    <row r="531" ht="12.75" customHeight="1">
      <c r="A531" s="13"/>
      <c r="B531" s="14"/>
      <c r="C531" s="23"/>
    </row>
    <row r="532" ht="12.75" customHeight="1">
      <c r="A532" s="13"/>
      <c r="B532" s="14"/>
      <c r="C532" s="23"/>
    </row>
    <row r="533" ht="12.75" customHeight="1">
      <c r="A533" s="13"/>
      <c r="B533" s="14"/>
      <c r="C533" s="23"/>
    </row>
    <row r="534" ht="12.75" customHeight="1">
      <c r="A534" s="13"/>
      <c r="B534" s="14"/>
      <c r="C534" s="23"/>
    </row>
    <row r="535" ht="12.75" customHeight="1">
      <c r="A535" s="13"/>
      <c r="B535" s="14"/>
      <c r="C535" s="23"/>
    </row>
    <row r="536" ht="12.75" customHeight="1">
      <c r="A536" s="13"/>
      <c r="B536" s="14"/>
      <c r="C536" s="23"/>
    </row>
    <row r="537" ht="12.75" customHeight="1">
      <c r="A537" s="13"/>
      <c r="B537" s="14"/>
      <c r="C537" s="23"/>
    </row>
    <row r="538" ht="12.75" customHeight="1">
      <c r="A538" s="13"/>
      <c r="B538" s="14"/>
      <c r="C538" s="23"/>
    </row>
    <row r="539" ht="12.75" customHeight="1">
      <c r="A539" s="13"/>
      <c r="B539" s="14"/>
      <c r="C539" s="23"/>
    </row>
    <row r="540" ht="12.75" customHeight="1">
      <c r="A540" s="13"/>
      <c r="B540" s="14"/>
      <c r="C540" s="23"/>
    </row>
    <row r="541" ht="12.75" customHeight="1">
      <c r="A541" s="13"/>
      <c r="B541" s="14"/>
      <c r="C541" s="23"/>
    </row>
    <row r="542" ht="12.75" customHeight="1">
      <c r="A542" s="13"/>
      <c r="B542" s="14"/>
      <c r="C542" s="23"/>
    </row>
    <row r="543" ht="12.75" customHeight="1">
      <c r="A543" s="13"/>
      <c r="B543" s="14"/>
      <c r="C543" s="23"/>
    </row>
    <row r="544" ht="12.75" customHeight="1">
      <c r="A544" s="13"/>
      <c r="B544" s="14"/>
      <c r="C544" s="23"/>
    </row>
    <row r="545" ht="12.75" customHeight="1">
      <c r="A545" s="13"/>
      <c r="B545" s="14"/>
      <c r="C545" s="23"/>
    </row>
    <row r="546" ht="12.75" customHeight="1">
      <c r="A546" s="13"/>
      <c r="B546" s="14"/>
      <c r="C546" s="23"/>
    </row>
    <row r="547" ht="12.75" customHeight="1">
      <c r="A547" s="13"/>
      <c r="B547" s="14"/>
      <c r="C547" s="23"/>
    </row>
    <row r="548" ht="12.75" customHeight="1">
      <c r="A548" s="13"/>
      <c r="B548" s="14"/>
      <c r="C548" s="23"/>
    </row>
    <row r="549" ht="12.75" customHeight="1">
      <c r="A549" s="13"/>
      <c r="B549" s="14"/>
      <c r="C549" s="23"/>
    </row>
    <row r="550" ht="12.75" customHeight="1">
      <c r="A550" s="13"/>
      <c r="B550" s="14"/>
      <c r="C550" s="23"/>
    </row>
    <row r="551" ht="12.75" customHeight="1">
      <c r="A551" s="13"/>
      <c r="B551" s="14"/>
      <c r="C551" s="23"/>
    </row>
    <row r="552" ht="12.75" customHeight="1">
      <c r="A552" s="13"/>
      <c r="B552" s="14"/>
      <c r="C552" s="23"/>
    </row>
    <row r="553" ht="12.75" customHeight="1">
      <c r="A553" s="13"/>
      <c r="B553" s="14"/>
      <c r="C553" s="23"/>
    </row>
    <row r="554" ht="12.75" customHeight="1">
      <c r="A554" s="13"/>
      <c r="B554" s="14"/>
      <c r="C554" s="23"/>
    </row>
    <row r="555" ht="12.75" customHeight="1">
      <c r="A555" s="13"/>
      <c r="B555" s="14"/>
      <c r="C555" s="23"/>
    </row>
    <row r="556" ht="12.75" customHeight="1">
      <c r="A556" s="13"/>
      <c r="B556" s="14"/>
      <c r="C556" s="23"/>
    </row>
    <row r="557" ht="12.75" customHeight="1">
      <c r="A557" s="13"/>
      <c r="B557" s="14"/>
      <c r="C557" s="23"/>
    </row>
    <row r="558" ht="12.75" customHeight="1">
      <c r="A558" s="13"/>
      <c r="B558" s="14"/>
      <c r="C558" s="23"/>
    </row>
    <row r="559" ht="12.75" customHeight="1">
      <c r="A559" s="13"/>
      <c r="B559" s="14"/>
      <c r="C559" s="23"/>
    </row>
    <row r="560" ht="12.75" customHeight="1">
      <c r="A560" s="13"/>
      <c r="B560" s="14"/>
      <c r="C560" s="23"/>
    </row>
    <row r="561" ht="12.75" customHeight="1">
      <c r="A561" s="13"/>
      <c r="B561" s="14"/>
      <c r="C561" s="23"/>
    </row>
    <row r="562" ht="12.75" customHeight="1">
      <c r="A562" s="13"/>
      <c r="B562" s="14"/>
      <c r="C562" s="23"/>
    </row>
    <row r="563" ht="12.75" customHeight="1">
      <c r="A563" s="13"/>
      <c r="B563" s="14"/>
      <c r="C563" s="23"/>
    </row>
    <row r="564" ht="12.75" customHeight="1">
      <c r="A564" s="13"/>
      <c r="B564" s="14"/>
      <c r="C564" s="23"/>
    </row>
    <row r="565" ht="12.75" customHeight="1">
      <c r="A565" s="13"/>
      <c r="B565" s="14"/>
      <c r="C565" s="23"/>
    </row>
    <row r="566" ht="12.75" customHeight="1">
      <c r="A566" s="13"/>
      <c r="B566" s="14"/>
      <c r="C566" s="23"/>
    </row>
    <row r="567" ht="12.75" customHeight="1">
      <c r="A567" s="13"/>
      <c r="B567" s="14"/>
      <c r="C567" s="23"/>
    </row>
    <row r="568" ht="12.75" customHeight="1">
      <c r="A568" s="13"/>
      <c r="B568" s="14"/>
      <c r="C568" s="23"/>
    </row>
    <row r="569" ht="12.75" customHeight="1">
      <c r="A569" s="13"/>
      <c r="B569" s="14"/>
      <c r="C569" s="23"/>
    </row>
    <row r="570" ht="12.75" customHeight="1">
      <c r="A570" s="13"/>
      <c r="B570" s="14"/>
      <c r="C570" s="23"/>
    </row>
    <row r="571" ht="12.75" customHeight="1">
      <c r="A571" s="13"/>
      <c r="B571" s="14"/>
      <c r="C571" s="23"/>
    </row>
    <row r="572" ht="12.75" customHeight="1">
      <c r="A572" s="13"/>
      <c r="B572" s="14"/>
      <c r="C572" s="23"/>
    </row>
    <row r="573" ht="12.75" customHeight="1">
      <c r="A573" s="13"/>
      <c r="B573" s="14"/>
      <c r="C573" s="23"/>
    </row>
    <row r="574" ht="12.75" customHeight="1">
      <c r="A574" s="13"/>
      <c r="B574" s="14"/>
      <c r="C574" s="23"/>
    </row>
    <row r="575" ht="12.75" customHeight="1">
      <c r="A575" s="13"/>
      <c r="B575" s="14"/>
      <c r="C575" s="23"/>
    </row>
    <row r="576" ht="12.75" customHeight="1">
      <c r="A576" s="13"/>
      <c r="B576" s="14"/>
      <c r="C576" s="23"/>
    </row>
    <row r="577" ht="12.75" customHeight="1">
      <c r="A577" s="13"/>
      <c r="B577" s="14"/>
      <c r="C577" s="23"/>
    </row>
    <row r="578" ht="12.75" customHeight="1">
      <c r="A578" s="13"/>
      <c r="B578" s="14"/>
      <c r="C578" s="23"/>
    </row>
    <row r="579" ht="12.75" customHeight="1">
      <c r="A579" s="13"/>
      <c r="B579" s="14"/>
      <c r="C579" s="23"/>
    </row>
    <row r="580" ht="12.75" customHeight="1">
      <c r="A580" s="13"/>
      <c r="B580" s="14"/>
      <c r="C580" s="23"/>
    </row>
    <row r="581" ht="12.75" customHeight="1">
      <c r="A581" s="13"/>
      <c r="B581" s="14"/>
      <c r="C581" s="23"/>
    </row>
    <row r="582" ht="12.75" customHeight="1">
      <c r="A582" s="13"/>
      <c r="B582" s="14"/>
      <c r="C582" s="23"/>
    </row>
    <row r="583" ht="12.75" customHeight="1">
      <c r="A583" s="13"/>
      <c r="B583" s="14"/>
      <c r="C583" s="23"/>
    </row>
    <row r="584" ht="12.75" customHeight="1">
      <c r="A584" s="13"/>
      <c r="B584" s="14"/>
      <c r="C584" s="23"/>
    </row>
    <row r="585" ht="12.75" customHeight="1">
      <c r="A585" s="13"/>
      <c r="B585" s="14"/>
      <c r="C585" s="23"/>
    </row>
    <row r="586" ht="12.75" customHeight="1">
      <c r="A586" s="13"/>
      <c r="B586" s="14"/>
      <c r="C586" s="23"/>
    </row>
    <row r="587" ht="12.75" customHeight="1">
      <c r="A587" s="13"/>
      <c r="B587" s="14"/>
      <c r="C587" s="23"/>
    </row>
    <row r="588" ht="12.75" customHeight="1">
      <c r="A588" s="13"/>
      <c r="B588" s="14"/>
      <c r="C588" s="23"/>
    </row>
    <row r="589" ht="12.75" customHeight="1">
      <c r="A589" s="13"/>
      <c r="B589" s="14"/>
      <c r="C589" s="23"/>
    </row>
    <row r="590" ht="12.75" customHeight="1">
      <c r="A590" s="13"/>
      <c r="B590" s="14"/>
      <c r="C590" s="23"/>
    </row>
    <row r="591" ht="12.75" customHeight="1">
      <c r="A591" s="13"/>
      <c r="B591" s="14"/>
      <c r="C591" s="23"/>
    </row>
    <row r="592" ht="12.75" customHeight="1">
      <c r="A592" s="13"/>
      <c r="B592" s="14"/>
      <c r="C592" s="23"/>
    </row>
    <row r="593" ht="12.75" customHeight="1">
      <c r="A593" s="13"/>
      <c r="B593" s="14"/>
      <c r="C593" s="23"/>
    </row>
    <row r="594" ht="12.75" customHeight="1">
      <c r="A594" s="13"/>
      <c r="B594" s="14"/>
      <c r="C594" s="23"/>
    </row>
    <row r="595" ht="12.75" customHeight="1">
      <c r="A595" s="13"/>
      <c r="B595" s="14"/>
      <c r="C595" s="23"/>
    </row>
    <row r="596" ht="12.75" customHeight="1">
      <c r="A596" s="13"/>
      <c r="B596" s="14"/>
      <c r="C596" s="23"/>
    </row>
    <row r="597" ht="12.75" customHeight="1">
      <c r="A597" s="13"/>
      <c r="B597" s="14"/>
      <c r="C597" s="23"/>
    </row>
    <row r="598" ht="12.75" customHeight="1">
      <c r="A598" s="13"/>
      <c r="B598" s="14"/>
      <c r="C598" s="23"/>
    </row>
    <row r="599" ht="12.75" customHeight="1">
      <c r="A599" s="13"/>
      <c r="B599" s="14"/>
      <c r="C599" s="23"/>
    </row>
    <row r="600" ht="12.75" customHeight="1">
      <c r="A600" s="13"/>
      <c r="B600" s="14"/>
      <c r="C600" s="23"/>
    </row>
    <row r="601" ht="12.75" customHeight="1">
      <c r="A601" s="13"/>
      <c r="B601" s="14"/>
      <c r="C601" s="23"/>
    </row>
    <row r="602" ht="12.75" customHeight="1">
      <c r="A602" s="13"/>
      <c r="B602" s="14"/>
      <c r="C602" s="23"/>
    </row>
    <row r="603" ht="12.75" customHeight="1">
      <c r="A603" s="13"/>
      <c r="B603" s="14"/>
      <c r="C603" s="23"/>
    </row>
    <row r="604" ht="12.75" customHeight="1">
      <c r="A604" s="13"/>
      <c r="B604" s="14"/>
      <c r="C604" s="23"/>
    </row>
    <row r="605" ht="12.75" customHeight="1">
      <c r="A605" s="13"/>
      <c r="B605" s="14"/>
      <c r="C605" s="23"/>
    </row>
    <row r="606" ht="12.75" customHeight="1">
      <c r="A606" s="13"/>
      <c r="B606" s="14"/>
      <c r="C606" s="23"/>
    </row>
    <row r="607" ht="12.75" customHeight="1">
      <c r="A607" s="13"/>
      <c r="B607" s="14"/>
      <c r="C607" s="23"/>
    </row>
    <row r="608" ht="12.75" customHeight="1">
      <c r="A608" s="13"/>
      <c r="B608" s="14"/>
      <c r="C608" s="23"/>
    </row>
    <row r="609" ht="12.75" customHeight="1">
      <c r="A609" s="13"/>
      <c r="B609" s="14"/>
      <c r="C609" s="23"/>
    </row>
    <row r="610" ht="12.75" customHeight="1">
      <c r="A610" s="13"/>
      <c r="B610" s="14"/>
      <c r="C610" s="23"/>
    </row>
    <row r="611" ht="12.75" customHeight="1">
      <c r="A611" s="13"/>
      <c r="B611" s="14"/>
      <c r="C611" s="23"/>
    </row>
    <row r="612" ht="12.75" customHeight="1">
      <c r="A612" s="13"/>
      <c r="B612" s="14"/>
      <c r="C612" s="23"/>
    </row>
    <row r="613" ht="12.75" customHeight="1">
      <c r="A613" s="13"/>
      <c r="B613" s="14"/>
      <c r="C613" s="23"/>
    </row>
    <row r="614" ht="12.75" customHeight="1">
      <c r="A614" s="13"/>
      <c r="B614" s="14"/>
      <c r="C614" s="23"/>
    </row>
    <row r="615" ht="12.75" customHeight="1">
      <c r="A615" s="13"/>
      <c r="B615" s="14"/>
      <c r="C615" s="23"/>
    </row>
    <row r="616" ht="12.75" customHeight="1">
      <c r="A616" s="13"/>
      <c r="B616" s="14"/>
      <c r="C616" s="23"/>
    </row>
    <row r="617" ht="12.75" customHeight="1">
      <c r="A617" s="13"/>
      <c r="B617" s="14"/>
      <c r="C617" s="23"/>
    </row>
    <row r="618" ht="12.75" customHeight="1">
      <c r="A618" s="13"/>
      <c r="B618" s="14"/>
      <c r="C618" s="23"/>
    </row>
    <row r="619" ht="12.75" customHeight="1">
      <c r="A619" s="13"/>
      <c r="B619" s="14"/>
      <c r="C619" s="23"/>
    </row>
    <row r="620" ht="12.75" customHeight="1">
      <c r="A620" s="13"/>
      <c r="B620" s="14"/>
      <c r="C620" s="23"/>
    </row>
    <row r="621" ht="12.75" customHeight="1">
      <c r="A621" s="13"/>
      <c r="B621" s="14"/>
      <c r="C621" s="23"/>
    </row>
    <row r="622" ht="12.75" customHeight="1">
      <c r="A622" s="13"/>
      <c r="B622" s="14"/>
      <c r="C622" s="23"/>
    </row>
    <row r="623" ht="12.75" customHeight="1">
      <c r="A623" s="13"/>
      <c r="B623" s="14"/>
      <c r="C623" s="23"/>
    </row>
    <row r="624" ht="12.75" customHeight="1">
      <c r="A624" s="13"/>
      <c r="B624" s="14"/>
      <c r="C624" s="23"/>
    </row>
    <row r="625" ht="12.75" customHeight="1">
      <c r="A625" s="13"/>
      <c r="B625" s="14"/>
      <c r="C625" s="23"/>
    </row>
    <row r="626" ht="12.75" customHeight="1">
      <c r="A626" s="13"/>
      <c r="B626" s="14"/>
      <c r="C626" s="23"/>
    </row>
    <row r="627" ht="12.75" customHeight="1">
      <c r="A627" s="13"/>
      <c r="B627" s="14"/>
      <c r="C627" s="23"/>
    </row>
    <row r="628" ht="12.75" customHeight="1">
      <c r="A628" s="13"/>
      <c r="B628" s="14"/>
      <c r="C628" s="23"/>
    </row>
    <row r="629" ht="12.75" customHeight="1">
      <c r="A629" s="13"/>
      <c r="B629" s="14"/>
      <c r="C629" s="23"/>
    </row>
    <row r="630" ht="12.75" customHeight="1">
      <c r="A630" s="13"/>
      <c r="B630" s="14"/>
      <c r="C630" s="23"/>
    </row>
    <row r="631" ht="12.75" customHeight="1">
      <c r="A631" s="13"/>
      <c r="B631" s="14"/>
      <c r="C631" s="23"/>
    </row>
    <row r="632" ht="12.75" customHeight="1">
      <c r="A632" s="13"/>
      <c r="B632" s="14"/>
      <c r="C632" s="23"/>
    </row>
    <row r="633" ht="12.75" customHeight="1">
      <c r="A633" s="13"/>
      <c r="B633" s="14"/>
      <c r="C633" s="23"/>
    </row>
    <row r="634" ht="12.75" customHeight="1">
      <c r="A634" s="13"/>
      <c r="B634" s="14"/>
      <c r="C634" s="23"/>
    </row>
    <row r="635" ht="12.75" customHeight="1">
      <c r="A635" s="13"/>
      <c r="B635" s="14"/>
      <c r="C635" s="23"/>
    </row>
    <row r="636" ht="12.75" customHeight="1">
      <c r="A636" s="13"/>
      <c r="B636" s="14"/>
      <c r="C636" s="23"/>
    </row>
    <row r="637" ht="12.75" customHeight="1">
      <c r="A637" s="13"/>
      <c r="B637" s="14"/>
      <c r="C637" s="23"/>
    </row>
    <row r="638" ht="12.75" customHeight="1">
      <c r="A638" s="13"/>
      <c r="B638" s="14"/>
      <c r="C638" s="23"/>
    </row>
    <row r="639" ht="12.75" customHeight="1">
      <c r="A639" s="13"/>
      <c r="B639" s="14"/>
      <c r="C639" s="23"/>
    </row>
    <row r="640" ht="12.75" customHeight="1">
      <c r="A640" s="13"/>
      <c r="B640" s="14"/>
      <c r="C640" s="23"/>
    </row>
    <row r="641" ht="12.75" customHeight="1">
      <c r="A641" s="13"/>
      <c r="B641" s="14"/>
      <c r="C641" s="23"/>
    </row>
    <row r="642" ht="12.75" customHeight="1">
      <c r="A642" s="13"/>
      <c r="B642" s="14"/>
      <c r="C642" s="23"/>
    </row>
    <row r="643" ht="12.75" customHeight="1">
      <c r="A643" s="13"/>
      <c r="B643" s="14"/>
      <c r="C643" s="23"/>
    </row>
    <row r="644" ht="12.75" customHeight="1">
      <c r="A644" s="13"/>
      <c r="B644" s="14"/>
      <c r="C644" s="23"/>
    </row>
    <row r="645" ht="12.75" customHeight="1">
      <c r="A645" s="13"/>
      <c r="B645" s="14"/>
      <c r="C645" s="23"/>
    </row>
    <row r="646" ht="12.75" customHeight="1">
      <c r="A646" s="13"/>
      <c r="B646" s="14"/>
      <c r="C646" s="23"/>
    </row>
    <row r="647" ht="12.75" customHeight="1">
      <c r="A647" s="13"/>
      <c r="B647" s="14"/>
      <c r="C647" s="23"/>
    </row>
    <row r="648" ht="12.75" customHeight="1">
      <c r="A648" s="13"/>
      <c r="B648" s="14"/>
      <c r="C648" s="23"/>
    </row>
    <row r="649" ht="12.75" customHeight="1">
      <c r="A649" s="13"/>
      <c r="B649" s="14"/>
      <c r="C649" s="23"/>
    </row>
    <row r="650" ht="12.75" customHeight="1">
      <c r="A650" s="13"/>
      <c r="B650" s="14"/>
      <c r="C650" s="23"/>
    </row>
    <row r="651" ht="12.75" customHeight="1">
      <c r="A651" s="13"/>
      <c r="B651" s="14"/>
      <c r="C651" s="23"/>
    </row>
    <row r="652" ht="12.75" customHeight="1">
      <c r="A652" s="13"/>
      <c r="B652" s="14"/>
      <c r="C652" s="23"/>
    </row>
    <row r="653" ht="12.75" customHeight="1">
      <c r="A653" s="13"/>
      <c r="B653" s="14"/>
      <c r="C653" s="23"/>
    </row>
    <row r="654" ht="12.75" customHeight="1">
      <c r="A654" s="13"/>
      <c r="B654" s="14"/>
      <c r="C654" s="23"/>
    </row>
    <row r="655" ht="12.75" customHeight="1">
      <c r="A655" s="13"/>
      <c r="B655" s="14"/>
      <c r="C655" s="23"/>
    </row>
    <row r="656" ht="12.75" customHeight="1">
      <c r="A656" s="13"/>
      <c r="B656" s="14"/>
      <c r="C656" s="23"/>
    </row>
    <row r="657" ht="12.75" customHeight="1">
      <c r="A657" s="13"/>
      <c r="B657" s="14"/>
      <c r="C657" s="23"/>
    </row>
    <row r="658" ht="12.75" customHeight="1">
      <c r="A658" s="13"/>
      <c r="B658" s="14"/>
      <c r="C658" s="23"/>
    </row>
    <row r="659" ht="12.75" customHeight="1">
      <c r="A659" s="13"/>
      <c r="B659" s="14"/>
      <c r="C659" s="23"/>
    </row>
    <row r="660" ht="12.75" customHeight="1">
      <c r="A660" s="13"/>
      <c r="B660" s="14"/>
      <c r="C660" s="23"/>
    </row>
    <row r="661" ht="12.75" customHeight="1">
      <c r="A661" s="13"/>
      <c r="B661" s="14"/>
      <c r="C661" s="23"/>
    </row>
    <row r="662" ht="12.75" customHeight="1">
      <c r="A662" s="13"/>
      <c r="B662" s="14"/>
      <c r="C662" s="23"/>
    </row>
    <row r="663" ht="12.75" customHeight="1">
      <c r="A663" s="13"/>
      <c r="B663" s="14"/>
      <c r="C663" s="23"/>
    </row>
    <row r="664" ht="12.75" customHeight="1">
      <c r="A664" s="13"/>
      <c r="B664" s="14"/>
      <c r="C664" s="23"/>
    </row>
    <row r="665" ht="12.75" customHeight="1">
      <c r="A665" s="13"/>
      <c r="B665" s="14"/>
      <c r="C665" s="23"/>
    </row>
    <row r="666" ht="12.75" customHeight="1">
      <c r="A666" s="13"/>
      <c r="B666" s="14"/>
      <c r="C666" s="23"/>
    </row>
    <row r="667" ht="12.75" customHeight="1">
      <c r="A667" s="13"/>
      <c r="B667" s="14"/>
      <c r="C667" s="23"/>
    </row>
    <row r="668" ht="12.75" customHeight="1">
      <c r="A668" s="13"/>
      <c r="B668" s="14"/>
      <c r="C668" s="23"/>
    </row>
    <row r="669" ht="12.75" customHeight="1">
      <c r="A669" s="13"/>
      <c r="B669" s="14"/>
      <c r="C669" s="23"/>
    </row>
    <row r="670" ht="12.75" customHeight="1">
      <c r="A670" s="13"/>
      <c r="B670" s="14"/>
      <c r="C670" s="23"/>
    </row>
    <row r="671" ht="12.75" customHeight="1">
      <c r="A671" s="13"/>
      <c r="B671" s="14"/>
      <c r="C671" s="23"/>
    </row>
    <row r="672" ht="12.75" customHeight="1">
      <c r="A672" s="13"/>
      <c r="B672" s="14"/>
      <c r="C672" s="23"/>
    </row>
    <row r="673" ht="12.75" customHeight="1">
      <c r="A673" s="13"/>
      <c r="B673" s="14"/>
      <c r="C673" s="23"/>
    </row>
    <row r="674" ht="12.75" customHeight="1">
      <c r="A674" s="13"/>
      <c r="B674" s="14"/>
      <c r="C674" s="23"/>
    </row>
    <row r="675" ht="12.75" customHeight="1">
      <c r="A675" s="13"/>
      <c r="B675" s="14"/>
      <c r="C675" s="23"/>
    </row>
    <row r="676" ht="12.75" customHeight="1">
      <c r="A676" s="13"/>
      <c r="B676" s="14"/>
      <c r="C676" s="23"/>
    </row>
    <row r="677" ht="12.75" customHeight="1">
      <c r="A677" s="13"/>
      <c r="B677" s="14"/>
      <c r="C677" s="23"/>
    </row>
    <row r="678" ht="12.75" customHeight="1">
      <c r="A678" s="13"/>
      <c r="B678" s="14"/>
      <c r="C678" s="23"/>
    </row>
    <row r="679" ht="12.75" customHeight="1">
      <c r="A679" s="13"/>
      <c r="B679" s="14"/>
      <c r="C679" s="23"/>
    </row>
    <row r="680" ht="12.75" customHeight="1">
      <c r="A680" s="13"/>
      <c r="B680" s="14"/>
      <c r="C680" s="23"/>
    </row>
    <row r="681" ht="12.75" customHeight="1">
      <c r="A681" s="13"/>
      <c r="B681" s="14"/>
      <c r="C681" s="23"/>
    </row>
    <row r="682" ht="12.75" customHeight="1">
      <c r="A682" s="13"/>
      <c r="B682" s="14"/>
      <c r="C682" s="23"/>
    </row>
    <row r="683" ht="12.75" customHeight="1">
      <c r="A683" s="13"/>
      <c r="B683" s="14"/>
      <c r="C683" s="23"/>
    </row>
    <row r="684" ht="12.75" customHeight="1">
      <c r="A684" s="13"/>
      <c r="B684" s="14"/>
      <c r="C684" s="23"/>
    </row>
    <row r="685" ht="12.75" customHeight="1">
      <c r="A685" s="13"/>
      <c r="B685" s="14"/>
      <c r="C685" s="23"/>
    </row>
    <row r="686" ht="12.75" customHeight="1">
      <c r="A686" s="13"/>
      <c r="B686" s="14"/>
      <c r="C686" s="23"/>
    </row>
    <row r="687" ht="12.75" customHeight="1">
      <c r="A687" s="13"/>
      <c r="B687" s="14"/>
      <c r="C687" s="23"/>
    </row>
    <row r="688" ht="12.75" customHeight="1">
      <c r="A688" s="13"/>
      <c r="B688" s="14"/>
      <c r="C688" s="23"/>
    </row>
    <row r="689" ht="12.75" customHeight="1">
      <c r="A689" s="13"/>
      <c r="B689" s="14"/>
      <c r="C689" s="23"/>
    </row>
    <row r="690" ht="12.75" customHeight="1">
      <c r="A690" s="13"/>
      <c r="B690" s="14"/>
      <c r="C690" s="23"/>
    </row>
    <row r="691" ht="12.75" customHeight="1">
      <c r="A691" s="13"/>
      <c r="B691" s="14"/>
      <c r="C691" s="23"/>
    </row>
    <row r="692" ht="12.75" customHeight="1">
      <c r="A692" s="13"/>
      <c r="B692" s="14"/>
      <c r="C692" s="23"/>
    </row>
    <row r="693" ht="12.75" customHeight="1">
      <c r="A693" s="13"/>
      <c r="B693" s="14"/>
      <c r="C693" s="23"/>
    </row>
    <row r="694" ht="12.75" customHeight="1">
      <c r="A694" s="13"/>
      <c r="B694" s="14"/>
      <c r="C694" s="23"/>
    </row>
    <row r="695" ht="12.75" customHeight="1">
      <c r="A695" s="13"/>
      <c r="B695" s="14"/>
      <c r="C695" s="23"/>
    </row>
    <row r="696" ht="12.75" customHeight="1">
      <c r="A696" s="13"/>
      <c r="B696" s="14"/>
      <c r="C696" s="23"/>
    </row>
    <row r="697" ht="12.75" customHeight="1">
      <c r="A697" s="13"/>
      <c r="B697" s="14"/>
      <c r="C697" s="23"/>
    </row>
    <row r="698" ht="12.75" customHeight="1">
      <c r="A698" s="13"/>
      <c r="B698" s="14"/>
      <c r="C698" s="23"/>
    </row>
    <row r="699" ht="12.75" customHeight="1">
      <c r="A699" s="13"/>
      <c r="B699" s="14"/>
      <c r="C699" s="23"/>
    </row>
    <row r="700" ht="12.75" customHeight="1">
      <c r="A700" s="13"/>
      <c r="B700" s="14"/>
      <c r="C700" s="23"/>
    </row>
    <row r="701" ht="12.75" customHeight="1">
      <c r="A701" s="13"/>
      <c r="B701" s="14"/>
      <c r="C701" s="23"/>
    </row>
    <row r="702" ht="12.75" customHeight="1">
      <c r="A702" s="13"/>
      <c r="B702" s="14"/>
      <c r="C702" s="23"/>
    </row>
    <row r="703" ht="12.75" customHeight="1">
      <c r="A703" s="13"/>
      <c r="B703" s="14"/>
      <c r="C703" s="23"/>
    </row>
    <row r="704" ht="12.75" customHeight="1">
      <c r="A704" s="13"/>
      <c r="B704" s="14"/>
      <c r="C704" s="23"/>
    </row>
    <row r="705" ht="12.75" customHeight="1">
      <c r="A705" s="13"/>
      <c r="B705" s="14"/>
      <c r="C705" s="23"/>
    </row>
    <row r="706" ht="12.75" customHeight="1">
      <c r="A706" s="13"/>
      <c r="B706" s="14"/>
      <c r="C706" s="23"/>
    </row>
    <row r="707" ht="12.75" customHeight="1">
      <c r="A707" s="13"/>
      <c r="B707" s="14"/>
      <c r="C707" s="23"/>
    </row>
    <row r="708" ht="12.75" customHeight="1">
      <c r="A708" s="13"/>
      <c r="B708" s="14"/>
      <c r="C708" s="23"/>
    </row>
    <row r="709" ht="12.75" customHeight="1">
      <c r="A709" s="13"/>
      <c r="B709" s="14"/>
      <c r="C709" s="23"/>
    </row>
    <row r="710" ht="12.75" customHeight="1">
      <c r="A710" s="13"/>
      <c r="B710" s="14"/>
      <c r="C710" s="23"/>
    </row>
    <row r="711" ht="12.75" customHeight="1">
      <c r="A711" s="13"/>
      <c r="B711" s="14"/>
      <c r="C711" s="23"/>
    </row>
    <row r="712" ht="12.75" customHeight="1">
      <c r="A712" s="13"/>
      <c r="B712" s="14"/>
      <c r="C712" s="23"/>
    </row>
    <row r="713" ht="12.75" customHeight="1">
      <c r="A713" s="13"/>
      <c r="B713" s="14"/>
      <c r="C713" s="23"/>
    </row>
    <row r="714" ht="12.75" customHeight="1">
      <c r="A714" s="13"/>
      <c r="B714" s="14"/>
      <c r="C714" s="23"/>
    </row>
    <row r="715" ht="12.75" customHeight="1">
      <c r="A715" s="13"/>
      <c r="B715" s="14"/>
      <c r="C715" s="23"/>
    </row>
    <row r="716" ht="12.75" customHeight="1">
      <c r="A716" s="13"/>
      <c r="B716" s="14"/>
      <c r="C716" s="23"/>
    </row>
    <row r="717" ht="12.75" customHeight="1">
      <c r="A717" s="13"/>
      <c r="B717" s="14"/>
      <c r="C717" s="23"/>
    </row>
    <row r="718" ht="12.75" customHeight="1">
      <c r="A718" s="13"/>
      <c r="B718" s="14"/>
      <c r="C718" s="23"/>
    </row>
    <row r="719" ht="12.75" customHeight="1">
      <c r="A719" s="13"/>
      <c r="B719" s="14"/>
      <c r="C719" s="23"/>
    </row>
    <row r="720" ht="12.75" customHeight="1">
      <c r="A720" s="13"/>
      <c r="B720" s="14"/>
      <c r="C720" s="23"/>
    </row>
    <row r="721" ht="12.75" customHeight="1">
      <c r="A721" s="13"/>
      <c r="B721" s="14"/>
      <c r="C721" s="23"/>
    </row>
    <row r="722" ht="12.75" customHeight="1">
      <c r="A722" s="13"/>
      <c r="B722" s="14"/>
      <c r="C722" s="23"/>
    </row>
    <row r="723" ht="12.75" customHeight="1">
      <c r="A723" s="13"/>
      <c r="B723" s="14"/>
      <c r="C723" s="23"/>
    </row>
    <row r="724" ht="12.75" customHeight="1">
      <c r="A724" s="13"/>
      <c r="B724" s="14"/>
      <c r="C724" s="23"/>
    </row>
    <row r="725" ht="12.75" customHeight="1">
      <c r="A725" s="13"/>
      <c r="B725" s="14"/>
      <c r="C725" s="23"/>
    </row>
    <row r="726" ht="12.75" customHeight="1">
      <c r="A726" s="13"/>
      <c r="B726" s="14"/>
      <c r="C726" s="23"/>
    </row>
    <row r="727" ht="12.75" customHeight="1">
      <c r="A727" s="13"/>
      <c r="B727" s="14"/>
      <c r="C727" s="23"/>
    </row>
    <row r="728" ht="12.75" customHeight="1">
      <c r="A728" s="13"/>
      <c r="B728" s="14"/>
      <c r="C728" s="23"/>
    </row>
    <row r="729" ht="12.75" customHeight="1">
      <c r="A729" s="13"/>
      <c r="B729" s="14"/>
      <c r="C729" s="23"/>
    </row>
    <row r="730" ht="12.75" customHeight="1">
      <c r="A730" s="13"/>
      <c r="B730" s="14"/>
      <c r="C730" s="23"/>
    </row>
    <row r="731" ht="12.75" customHeight="1">
      <c r="A731" s="13"/>
      <c r="B731" s="14"/>
      <c r="C731" s="23"/>
    </row>
    <row r="732" ht="12.75" customHeight="1">
      <c r="A732" s="13"/>
      <c r="B732" s="14"/>
      <c r="C732" s="23"/>
    </row>
    <row r="733" ht="12.75" customHeight="1">
      <c r="A733" s="13"/>
      <c r="B733" s="14"/>
      <c r="C733" s="23"/>
    </row>
    <row r="734" ht="12.75" customHeight="1">
      <c r="A734" s="13"/>
      <c r="B734" s="14"/>
      <c r="C734" s="23"/>
    </row>
    <row r="735" ht="12.75" customHeight="1">
      <c r="A735" s="13"/>
      <c r="B735" s="14"/>
      <c r="C735" s="23"/>
    </row>
    <row r="736" ht="12.75" customHeight="1">
      <c r="A736" s="13"/>
      <c r="B736" s="14"/>
      <c r="C736" s="23"/>
    </row>
    <row r="737" ht="12.75" customHeight="1">
      <c r="A737" s="13"/>
      <c r="B737" s="14"/>
      <c r="C737" s="23"/>
    </row>
    <row r="738" ht="12.75" customHeight="1">
      <c r="A738" s="13"/>
      <c r="B738" s="14"/>
      <c r="C738" s="23"/>
    </row>
    <row r="739" ht="12.75" customHeight="1">
      <c r="A739" s="13"/>
      <c r="B739" s="14"/>
      <c r="C739" s="23"/>
    </row>
    <row r="740" ht="12.75" customHeight="1">
      <c r="A740" s="13"/>
      <c r="B740" s="14"/>
      <c r="C740" s="23"/>
    </row>
    <row r="741" ht="12.75" customHeight="1">
      <c r="A741" s="13"/>
      <c r="B741" s="14"/>
      <c r="C741" s="23"/>
    </row>
    <row r="742" ht="12.75" customHeight="1">
      <c r="A742" s="13"/>
      <c r="B742" s="14"/>
      <c r="C742" s="23"/>
    </row>
    <row r="743" ht="12.75" customHeight="1">
      <c r="A743" s="13"/>
      <c r="B743" s="14"/>
      <c r="C743" s="23"/>
    </row>
    <row r="744" ht="12.75" customHeight="1">
      <c r="A744" s="13"/>
      <c r="B744" s="14"/>
      <c r="C744" s="23"/>
    </row>
    <row r="745" ht="12.75" customHeight="1">
      <c r="A745" s="13"/>
      <c r="B745" s="14"/>
      <c r="C745" s="23"/>
    </row>
    <row r="746" ht="12.75" customHeight="1">
      <c r="A746" s="13"/>
      <c r="B746" s="14"/>
      <c r="C746" s="23"/>
    </row>
    <row r="747" ht="12.75" customHeight="1">
      <c r="A747" s="13"/>
      <c r="B747" s="14"/>
      <c r="C747" s="23"/>
    </row>
    <row r="748" ht="12.75" customHeight="1">
      <c r="A748" s="13"/>
      <c r="B748" s="14"/>
      <c r="C748" s="23"/>
    </row>
    <row r="749" ht="12.75" customHeight="1">
      <c r="A749" s="13"/>
      <c r="B749" s="14"/>
      <c r="C749" s="23"/>
    </row>
    <row r="750" ht="12.75" customHeight="1">
      <c r="A750" s="13"/>
      <c r="B750" s="14"/>
      <c r="C750" s="23"/>
    </row>
    <row r="751" ht="12.75" customHeight="1">
      <c r="A751" s="13"/>
      <c r="B751" s="14"/>
      <c r="C751" s="23"/>
    </row>
    <row r="752" ht="12.75" customHeight="1">
      <c r="A752" s="13"/>
      <c r="B752" s="14"/>
      <c r="C752" s="23"/>
    </row>
    <row r="753" ht="12.75" customHeight="1">
      <c r="A753" s="13"/>
      <c r="B753" s="14"/>
      <c r="C753" s="23"/>
    </row>
    <row r="754" ht="12.75" customHeight="1">
      <c r="A754" s="13"/>
      <c r="B754" s="14"/>
      <c r="C754" s="23"/>
    </row>
    <row r="755" ht="12.75" customHeight="1">
      <c r="A755" s="13"/>
      <c r="B755" s="14"/>
      <c r="C755" s="23"/>
    </row>
    <row r="756" ht="12.75" customHeight="1">
      <c r="A756" s="13"/>
      <c r="B756" s="14"/>
      <c r="C756" s="23"/>
    </row>
    <row r="757" ht="12.75" customHeight="1">
      <c r="A757" s="13"/>
      <c r="B757" s="14"/>
      <c r="C757" s="23"/>
    </row>
    <row r="758" ht="12.75" customHeight="1">
      <c r="A758" s="13"/>
      <c r="B758" s="14"/>
      <c r="C758" s="23"/>
    </row>
    <row r="759" ht="12.75" customHeight="1">
      <c r="A759" s="13"/>
      <c r="B759" s="14"/>
      <c r="C759" s="23"/>
    </row>
    <row r="760" ht="12.75" customHeight="1">
      <c r="A760" s="13"/>
      <c r="B760" s="14"/>
      <c r="C760" s="23"/>
    </row>
    <row r="761" ht="12.75" customHeight="1">
      <c r="A761" s="13"/>
      <c r="B761" s="14"/>
      <c r="C761" s="23"/>
    </row>
    <row r="762" ht="12.75" customHeight="1">
      <c r="A762" s="13"/>
      <c r="B762" s="14"/>
      <c r="C762" s="23"/>
    </row>
    <row r="763" ht="12.75" customHeight="1">
      <c r="A763" s="13"/>
      <c r="B763" s="14"/>
      <c r="C763" s="23"/>
    </row>
    <row r="764" ht="12.75" customHeight="1">
      <c r="A764" s="13"/>
      <c r="B764" s="14"/>
      <c r="C764" s="23"/>
    </row>
    <row r="765" ht="12.75" customHeight="1">
      <c r="A765" s="13"/>
      <c r="B765" s="14"/>
      <c r="C765" s="23"/>
    </row>
    <row r="766" ht="12.75" customHeight="1">
      <c r="A766" s="13"/>
      <c r="B766" s="14"/>
      <c r="C766" s="23"/>
    </row>
    <row r="767" ht="12.75" customHeight="1">
      <c r="A767" s="13"/>
      <c r="B767" s="14"/>
      <c r="C767" s="23"/>
    </row>
    <row r="768" ht="12.75" customHeight="1">
      <c r="A768" s="13"/>
      <c r="B768" s="14"/>
      <c r="C768" s="23"/>
    </row>
    <row r="769" ht="12.75" customHeight="1">
      <c r="A769" s="13"/>
      <c r="B769" s="14"/>
      <c r="C769" s="23"/>
    </row>
    <row r="770" ht="12.75" customHeight="1">
      <c r="A770" s="13"/>
      <c r="B770" s="14"/>
      <c r="C770" s="23"/>
    </row>
    <row r="771" ht="12.75" customHeight="1">
      <c r="A771" s="13"/>
      <c r="B771" s="14"/>
      <c r="C771" s="23"/>
    </row>
    <row r="772" ht="12.75" customHeight="1">
      <c r="A772" s="13"/>
      <c r="B772" s="14"/>
      <c r="C772" s="23"/>
    </row>
    <row r="773" ht="12.75" customHeight="1">
      <c r="A773" s="13"/>
      <c r="B773" s="14"/>
      <c r="C773" s="23"/>
    </row>
    <row r="774" ht="12.75" customHeight="1">
      <c r="A774" s="13"/>
      <c r="B774" s="14"/>
      <c r="C774" s="23"/>
    </row>
    <row r="775" ht="12.75" customHeight="1">
      <c r="A775" s="13"/>
      <c r="B775" s="14"/>
      <c r="C775" s="23"/>
    </row>
    <row r="776" ht="12.75" customHeight="1">
      <c r="A776" s="13"/>
      <c r="B776" s="14"/>
      <c r="C776" s="23"/>
    </row>
    <row r="777" ht="12.75" customHeight="1">
      <c r="A777" s="13"/>
      <c r="B777" s="14"/>
      <c r="C777" s="23"/>
    </row>
    <row r="778" ht="12.75" customHeight="1">
      <c r="A778" s="13"/>
      <c r="B778" s="14"/>
      <c r="C778" s="23"/>
    </row>
    <row r="779" ht="12.75" customHeight="1">
      <c r="A779" s="13"/>
      <c r="B779" s="14"/>
      <c r="C779" s="23"/>
    </row>
    <row r="780" ht="12.75" customHeight="1">
      <c r="A780" s="13"/>
      <c r="B780" s="14"/>
      <c r="C780" s="23"/>
    </row>
    <row r="781" ht="12.75" customHeight="1">
      <c r="A781" s="13"/>
      <c r="B781" s="14"/>
      <c r="C781" s="23"/>
    </row>
    <row r="782" ht="12.75" customHeight="1">
      <c r="A782" s="13"/>
      <c r="B782" s="14"/>
      <c r="C782" s="23"/>
    </row>
    <row r="783" ht="12.75" customHeight="1">
      <c r="A783" s="13"/>
      <c r="B783" s="14"/>
      <c r="C783" s="23"/>
    </row>
    <row r="784" ht="12.75" customHeight="1">
      <c r="A784" s="13"/>
      <c r="B784" s="14"/>
      <c r="C784" s="23"/>
    </row>
    <row r="785" ht="12.75" customHeight="1">
      <c r="A785" s="13"/>
      <c r="B785" s="14"/>
      <c r="C785" s="23"/>
    </row>
    <row r="786" ht="12.75" customHeight="1">
      <c r="A786" s="13"/>
      <c r="B786" s="14"/>
      <c r="C786" s="23"/>
    </row>
    <row r="787" ht="12.75" customHeight="1">
      <c r="A787" s="13"/>
      <c r="B787" s="14"/>
      <c r="C787" s="23"/>
    </row>
    <row r="788" ht="12.75" customHeight="1">
      <c r="A788" s="13"/>
      <c r="B788" s="14"/>
      <c r="C788" s="23"/>
    </row>
    <row r="789" ht="12.75" customHeight="1">
      <c r="A789" s="13"/>
      <c r="B789" s="14"/>
      <c r="C789" s="23"/>
    </row>
    <row r="790" ht="12.75" customHeight="1">
      <c r="A790" s="13"/>
      <c r="B790" s="14"/>
      <c r="C790" s="23"/>
    </row>
    <row r="791" ht="12.75" customHeight="1">
      <c r="A791" s="13"/>
      <c r="B791" s="14"/>
      <c r="C791" s="23"/>
    </row>
    <row r="792" ht="12.75" customHeight="1">
      <c r="A792" s="13"/>
      <c r="B792" s="14"/>
      <c r="C792" s="23"/>
    </row>
    <row r="793" ht="12.75" customHeight="1">
      <c r="A793" s="13"/>
      <c r="B793" s="14"/>
      <c r="C793" s="23"/>
    </row>
    <row r="794" ht="12.75" customHeight="1">
      <c r="A794" s="13"/>
      <c r="B794" s="14"/>
      <c r="C794" s="23"/>
    </row>
    <row r="795" ht="12.75" customHeight="1">
      <c r="A795" s="13"/>
      <c r="B795" s="14"/>
      <c r="C795" s="23"/>
    </row>
    <row r="796" ht="12.75" customHeight="1">
      <c r="A796" s="13"/>
      <c r="B796" s="14"/>
      <c r="C796" s="23"/>
    </row>
    <row r="797" ht="12.75" customHeight="1">
      <c r="A797" s="13"/>
      <c r="B797" s="14"/>
      <c r="C797" s="23"/>
    </row>
    <row r="798" ht="12.75" customHeight="1">
      <c r="A798" s="13"/>
      <c r="B798" s="14"/>
      <c r="C798" s="23"/>
    </row>
    <row r="799" ht="12.75" customHeight="1">
      <c r="A799" s="13"/>
      <c r="B799" s="14"/>
      <c r="C799" s="23"/>
    </row>
    <row r="800" ht="12.75" customHeight="1">
      <c r="A800" s="13"/>
      <c r="B800" s="14"/>
      <c r="C800" s="23"/>
    </row>
    <row r="801" ht="12.75" customHeight="1">
      <c r="A801" s="13"/>
      <c r="B801" s="14"/>
      <c r="C801" s="23"/>
    </row>
    <row r="802" ht="12.75" customHeight="1">
      <c r="A802" s="13"/>
      <c r="B802" s="14"/>
      <c r="C802" s="23"/>
    </row>
    <row r="803" ht="12.75" customHeight="1">
      <c r="A803" s="13"/>
      <c r="B803" s="14"/>
      <c r="C803" s="23"/>
    </row>
    <row r="804" ht="12.75" customHeight="1">
      <c r="A804" s="13"/>
      <c r="B804" s="14"/>
      <c r="C804" s="23"/>
    </row>
    <row r="805" ht="12.75" customHeight="1">
      <c r="A805" s="13"/>
      <c r="B805" s="14"/>
      <c r="C805" s="23"/>
    </row>
    <row r="806" ht="12.75" customHeight="1">
      <c r="A806" s="13"/>
      <c r="B806" s="14"/>
      <c r="C806" s="23"/>
    </row>
    <row r="807" ht="12.75" customHeight="1">
      <c r="A807" s="13"/>
      <c r="B807" s="14"/>
      <c r="C807" s="23"/>
    </row>
    <row r="808" ht="12.75" customHeight="1">
      <c r="A808" s="13"/>
      <c r="B808" s="14"/>
      <c r="C808" s="23"/>
    </row>
    <row r="809" ht="12.75" customHeight="1">
      <c r="A809" s="13"/>
      <c r="B809" s="14"/>
      <c r="C809" s="23"/>
    </row>
    <row r="810" ht="12.75" customHeight="1">
      <c r="A810" s="13"/>
      <c r="B810" s="14"/>
      <c r="C810" s="23"/>
    </row>
    <row r="811" ht="12.75" customHeight="1">
      <c r="A811" s="13"/>
      <c r="B811" s="14"/>
      <c r="C811" s="23"/>
    </row>
    <row r="812" ht="12.75" customHeight="1">
      <c r="A812" s="13"/>
      <c r="B812" s="14"/>
      <c r="C812" s="23"/>
    </row>
    <row r="813" ht="12.75" customHeight="1">
      <c r="A813" s="13"/>
      <c r="B813" s="14"/>
      <c r="C813" s="23"/>
    </row>
    <row r="814" ht="12.75" customHeight="1">
      <c r="A814" s="13"/>
      <c r="B814" s="14"/>
      <c r="C814" s="23"/>
    </row>
    <row r="815" ht="12.75" customHeight="1">
      <c r="A815" s="13"/>
      <c r="B815" s="14"/>
      <c r="C815" s="23"/>
    </row>
    <row r="816" ht="12.75" customHeight="1">
      <c r="A816" s="13"/>
      <c r="B816" s="14"/>
      <c r="C816" s="23"/>
    </row>
    <row r="817" ht="12.75" customHeight="1">
      <c r="A817" s="13"/>
      <c r="B817" s="14"/>
      <c r="C817" s="23"/>
    </row>
    <row r="818" ht="12.75" customHeight="1">
      <c r="A818" s="13"/>
      <c r="B818" s="14"/>
      <c r="C818" s="23"/>
    </row>
    <row r="819" ht="12.75" customHeight="1">
      <c r="A819" s="13"/>
      <c r="B819" s="14"/>
      <c r="C819" s="23"/>
    </row>
    <row r="820" ht="12.75" customHeight="1">
      <c r="A820" s="13"/>
      <c r="B820" s="14"/>
      <c r="C820" s="23"/>
    </row>
    <row r="821" ht="12.75" customHeight="1">
      <c r="A821" s="13"/>
      <c r="B821" s="14"/>
      <c r="C821" s="23"/>
    </row>
    <row r="822" ht="12.75" customHeight="1">
      <c r="A822" s="13"/>
      <c r="B822" s="14"/>
      <c r="C822" s="23"/>
    </row>
    <row r="823" ht="12.75" customHeight="1">
      <c r="A823" s="13"/>
      <c r="B823" s="14"/>
      <c r="C823" s="23"/>
    </row>
    <row r="824" ht="12.75" customHeight="1">
      <c r="A824" s="13"/>
      <c r="B824" s="14"/>
      <c r="C824" s="23"/>
    </row>
    <row r="825" ht="12.75" customHeight="1">
      <c r="A825" s="13"/>
      <c r="B825" s="14"/>
      <c r="C825" s="23"/>
    </row>
    <row r="826" ht="12.75" customHeight="1">
      <c r="A826" s="13"/>
      <c r="B826" s="14"/>
      <c r="C826" s="23"/>
    </row>
    <row r="827" ht="12.75" customHeight="1">
      <c r="A827" s="13"/>
      <c r="B827" s="14"/>
      <c r="C827" s="23"/>
    </row>
    <row r="828" ht="12.75" customHeight="1">
      <c r="A828" s="13"/>
      <c r="B828" s="14"/>
      <c r="C828" s="23"/>
    </row>
    <row r="829" ht="12.75" customHeight="1">
      <c r="A829" s="13"/>
      <c r="B829" s="14"/>
      <c r="C829" s="23"/>
    </row>
    <row r="830" ht="12.75" customHeight="1">
      <c r="A830" s="13"/>
      <c r="B830" s="14"/>
      <c r="C830" s="23"/>
    </row>
    <row r="831" ht="12.75" customHeight="1">
      <c r="A831" s="13"/>
      <c r="B831" s="14"/>
      <c r="C831" s="23"/>
    </row>
    <row r="832" ht="12.75" customHeight="1">
      <c r="A832" s="13"/>
      <c r="B832" s="14"/>
      <c r="C832" s="23"/>
    </row>
    <row r="833" ht="12.75" customHeight="1">
      <c r="A833" s="13"/>
      <c r="B833" s="14"/>
      <c r="C833" s="23"/>
    </row>
    <row r="834" ht="12.75" customHeight="1">
      <c r="A834" s="13"/>
      <c r="B834" s="14"/>
      <c r="C834" s="23"/>
    </row>
    <row r="835" ht="12.75" customHeight="1">
      <c r="A835" s="13"/>
      <c r="B835" s="14"/>
      <c r="C835" s="23"/>
    </row>
    <row r="836" ht="12.75" customHeight="1">
      <c r="A836" s="13"/>
      <c r="B836" s="14"/>
      <c r="C836" s="23"/>
    </row>
    <row r="837" ht="12.75" customHeight="1">
      <c r="A837" s="13"/>
      <c r="B837" s="14"/>
      <c r="C837" s="23"/>
    </row>
    <row r="838" ht="12.75" customHeight="1">
      <c r="A838" s="13"/>
      <c r="B838" s="14"/>
      <c r="C838" s="23"/>
    </row>
    <row r="839" ht="12.75" customHeight="1">
      <c r="A839" s="13"/>
      <c r="B839" s="14"/>
      <c r="C839" s="23"/>
    </row>
    <row r="840" ht="12.75" customHeight="1">
      <c r="A840" s="13"/>
      <c r="B840" s="14"/>
      <c r="C840" s="23"/>
    </row>
    <row r="841" ht="12.75" customHeight="1">
      <c r="A841" s="13"/>
      <c r="B841" s="14"/>
      <c r="C841" s="23"/>
    </row>
    <row r="842" ht="12.75" customHeight="1">
      <c r="A842" s="13"/>
      <c r="B842" s="14"/>
      <c r="C842" s="23"/>
    </row>
    <row r="843" ht="12.75" customHeight="1">
      <c r="A843" s="13"/>
      <c r="B843" s="14"/>
      <c r="C843" s="23"/>
    </row>
    <row r="844" ht="12.75" customHeight="1">
      <c r="A844" s="13"/>
      <c r="B844" s="14"/>
      <c r="C844" s="23"/>
    </row>
    <row r="845" ht="12.75" customHeight="1">
      <c r="A845" s="13"/>
      <c r="B845" s="14"/>
      <c r="C845" s="23"/>
    </row>
    <row r="846" ht="12.75" customHeight="1">
      <c r="A846" s="13"/>
      <c r="B846" s="14"/>
      <c r="C846" s="23"/>
    </row>
    <row r="847" ht="12.75" customHeight="1">
      <c r="A847" s="13"/>
      <c r="B847" s="14"/>
      <c r="C847" s="23"/>
    </row>
    <row r="848" ht="12.75" customHeight="1">
      <c r="A848" s="13"/>
      <c r="B848" s="14"/>
      <c r="C848" s="23"/>
    </row>
    <row r="849" ht="12.75" customHeight="1">
      <c r="A849" s="13"/>
      <c r="B849" s="14"/>
      <c r="C849" s="23"/>
    </row>
    <row r="850" ht="12.75" customHeight="1">
      <c r="A850" s="13"/>
      <c r="B850" s="14"/>
      <c r="C850" s="23"/>
    </row>
    <row r="851" ht="12.75" customHeight="1">
      <c r="A851" s="13"/>
      <c r="B851" s="14"/>
      <c r="C851" s="23"/>
    </row>
    <row r="852" ht="12.75" customHeight="1">
      <c r="A852" s="13"/>
      <c r="B852" s="14"/>
      <c r="C852" s="23"/>
    </row>
    <row r="853" ht="12.75" customHeight="1">
      <c r="A853" s="13"/>
      <c r="B853" s="14"/>
      <c r="C853" s="23"/>
    </row>
    <row r="854" ht="12.75" customHeight="1">
      <c r="A854" s="13"/>
      <c r="B854" s="14"/>
      <c r="C854" s="23"/>
    </row>
    <row r="855" ht="12.75" customHeight="1">
      <c r="A855" s="13"/>
      <c r="B855" s="14"/>
      <c r="C855" s="23"/>
    </row>
    <row r="856" ht="12.75" customHeight="1">
      <c r="A856" s="13"/>
      <c r="B856" s="14"/>
      <c r="C856" s="23"/>
    </row>
    <row r="857" ht="12.75" customHeight="1">
      <c r="A857" s="13"/>
      <c r="B857" s="14"/>
      <c r="C857" s="23"/>
    </row>
    <row r="858" ht="12.75" customHeight="1">
      <c r="A858" s="13"/>
      <c r="B858" s="14"/>
      <c r="C858" s="23"/>
    </row>
    <row r="859" ht="12.75" customHeight="1">
      <c r="A859" s="13"/>
      <c r="B859" s="14"/>
      <c r="C859" s="23"/>
    </row>
    <row r="860" ht="12.75" customHeight="1">
      <c r="A860" s="13"/>
      <c r="B860" s="14"/>
      <c r="C860" s="23"/>
    </row>
    <row r="861" ht="12.75" customHeight="1">
      <c r="A861" s="13"/>
      <c r="B861" s="14"/>
      <c r="C861" s="23"/>
    </row>
    <row r="862" ht="12.75" customHeight="1">
      <c r="A862" s="13"/>
      <c r="B862" s="14"/>
      <c r="C862" s="23"/>
    </row>
    <row r="863" ht="12.75" customHeight="1">
      <c r="A863" s="13"/>
      <c r="B863" s="14"/>
      <c r="C863" s="23"/>
    </row>
    <row r="864" ht="12.75" customHeight="1">
      <c r="A864" s="13"/>
      <c r="B864" s="14"/>
      <c r="C864" s="23"/>
    </row>
    <row r="865" ht="12.75" customHeight="1">
      <c r="A865" s="13"/>
      <c r="B865" s="14"/>
      <c r="C865" s="23"/>
    </row>
    <row r="866" ht="12.75" customHeight="1">
      <c r="A866" s="13"/>
      <c r="B866" s="14"/>
      <c r="C866" s="23"/>
    </row>
    <row r="867" ht="12.75" customHeight="1">
      <c r="A867" s="13"/>
      <c r="B867" s="14"/>
      <c r="C867" s="23"/>
    </row>
    <row r="868" ht="12.75" customHeight="1">
      <c r="A868" s="13"/>
      <c r="B868" s="14"/>
      <c r="C868" s="23"/>
    </row>
    <row r="869" ht="12.75" customHeight="1">
      <c r="A869" s="13"/>
      <c r="B869" s="14"/>
      <c r="C869" s="23"/>
    </row>
    <row r="870" ht="12.75" customHeight="1">
      <c r="A870" s="13"/>
      <c r="B870" s="14"/>
      <c r="C870" s="23"/>
    </row>
    <row r="871" ht="12.75" customHeight="1">
      <c r="A871" s="13"/>
      <c r="B871" s="14"/>
      <c r="C871" s="23"/>
    </row>
    <row r="872" ht="12.75" customHeight="1">
      <c r="A872" s="13"/>
      <c r="B872" s="14"/>
      <c r="C872" s="23"/>
    </row>
    <row r="873" ht="12.75" customHeight="1">
      <c r="A873" s="13"/>
      <c r="B873" s="14"/>
      <c r="C873" s="23"/>
    </row>
    <row r="874" ht="12.75" customHeight="1">
      <c r="A874" s="13"/>
      <c r="B874" s="14"/>
      <c r="C874" s="23"/>
    </row>
    <row r="875" ht="12.75" customHeight="1">
      <c r="A875" s="13"/>
      <c r="B875" s="14"/>
      <c r="C875" s="23"/>
    </row>
    <row r="876" ht="12.75" customHeight="1">
      <c r="A876" s="13"/>
      <c r="B876" s="14"/>
      <c r="C876" s="23"/>
    </row>
    <row r="877" ht="12.75" customHeight="1">
      <c r="A877" s="13"/>
      <c r="B877" s="14"/>
      <c r="C877" s="23"/>
    </row>
    <row r="878" ht="12.75" customHeight="1">
      <c r="A878" s="13"/>
      <c r="B878" s="14"/>
      <c r="C878" s="23"/>
    </row>
    <row r="879" ht="12.75" customHeight="1">
      <c r="A879" s="13"/>
      <c r="B879" s="14"/>
      <c r="C879" s="23"/>
    </row>
    <row r="880" ht="12.75" customHeight="1">
      <c r="A880" s="13"/>
      <c r="B880" s="14"/>
      <c r="C880" s="23"/>
    </row>
    <row r="881" ht="12.75" customHeight="1">
      <c r="A881" s="13"/>
      <c r="B881" s="14"/>
      <c r="C881" s="23"/>
    </row>
    <row r="882" ht="12.75" customHeight="1">
      <c r="A882" s="13"/>
      <c r="B882" s="14"/>
      <c r="C882" s="23"/>
    </row>
    <row r="883" ht="12.75" customHeight="1">
      <c r="A883" s="13"/>
      <c r="B883" s="14"/>
      <c r="C883" s="23"/>
    </row>
    <row r="884" ht="12.75" customHeight="1">
      <c r="A884" s="13"/>
      <c r="B884" s="14"/>
      <c r="C884" s="23"/>
    </row>
    <row r="885" ht="12.75" customHeight="1">
      <c r="A885" s="13"/>
      <c r="B885" s="14"/>
      <c r="C885" s="23"/>
    </row>
    <row r="886" ht="12.75" customHeight="1">
      <c r="A886" s="13"/>
      <c r="B886" s="14"/>
      <c r="C886" s="23"/>
    </row>
    <row r="887" ht="12.75" customHeight="1">
      <c r="A887" s="13"/>
      <c r="B887" s="14"/>
      <c r="C887" s="23"/>
    </row>
    <row r="888" ht="12.75" customHeight="1">
      <c r="A888" s="13"/>
      <c r="B888" s="14"/>
      <c r="C888" s="23"/>
    </row>
    <row r="889" ht="12.75" customHeight="1">
      <c r="A889" s="13"/>
      <c r="B889" s="14"/>
      <c r="C889" s="23"/>
    </row>
    <row r="890" ht="12.75" customHeight="1">
      <c r="A890" s="13"/>
      <c r="B890" s="14"/>
      <c r="C890" s="23"/>
    </row>
    <row r="891" ht="12.75" customHeight="1">
      <c r="A891" s="13"/>
      <c r="B891" s="14"/>
      <c r="C891" s="23"/>
    </row>
    <row r="892" ht="12.75" customHeight="1">
      <c r="A892" s="13"/>
      <c r="B892" s="14"/>
      <c r="C892" s="23"/>
    </row>
    <row r="893" ht="12.75" customHeight="1">
      <c r="A893" s="13"/>
      <c r="B893" s="14"/>
      <c r="C893" s="23"/>
    </row>
    <row r="894" ht="12.75" customHeight="1">
      <c r="A894" s="13"/>
      <c r="B894" s="14"/>
      <c r="C894" s="23"/>
    </row>
    <row r="895" ht="12.75" customHeight="1">
      <c r="A895" s="13"/>
      <c r="B895" s="14"/>
      <c r="C895" s="23"/>
    </row>
    <row r="896" ht="12.75" customHeight="1">
      <c r="A896" s="13"/>
      <c r="B896" s="14"/>
      <c r="C896" s="23"/>
    </row>
    <row r="897" ht="12.75" customHeight="1">
      <c r="A897" s="13"/>
      <c r="B897" s="14"/>
      <c r="C897" s="23"/>
    </row>
    <row r="898" ht="12.75" customHeight="1">
      <c r="A898" s="13"/>
      <c r="B898" s="14"/>
      <c r="C898" s="23"/>
    </row>
    <row r="899" ht="12.75" customHeight="1">
      <c r="A899" s="13"/>
      <c r="B899" s="14"/>
      <c r="C899" s="23"/>
    </row>
    <row r="900" ht="12.75" customHeight="1">
      <c r="A900" s="13"/>
      <c r="B900" s="14"/>
      <c r="C900" s="23"/>
    </row>
    <row r="901" ht="12.75" customHeight="1">
      <c r="A901" s="13"/>
      <c r="B901" s="14"/>
      <c r="C901" s="23"/>
    </row>
    <row r="902" ht="12.75" customHeight="1">
      <c r="A902" s="13"/>
      <c r="B902" s="14"/>
      <c r="C902" s="23"/>
    </row>
    <row r="903" ht="12.75" customHeight="1">
      <c r="A903" s="13"/>
      <c r="B903" s="14"/>
      <c r="C903" s="23"/>
    </row>
    <row r="904" ht="12.75" customHeight="1">
      <c r="A904" s="13"/>
      <c r="B904" s="14"/>
      <c r="C904" s="23"/>
    </row>
    <row r="905" ht="12.75" customHeight="1">
      <c r="A905" s="13"/>
      <c r="B905" s="14"/>
      <c r="C905" s="23"/>
    </row>
    <row r="906" ht="12.75" customHeight="1">
      <c r="A906" s="13"/>
      <c r="B906" s="14"/>
      <c r="C906" s="23"/>
    </row>
    <row r="907" ht="12.75" customHeight="1">
      <c r="A907" s="13"/>
      <c r="B907" s="14"/>
      <c r="C907" s="23"/>
    </row>
    <row r="908" ht="12.75" customHeight="1">
      <c r="A908" s="13"/>
      <c r="B908" s="14"/>
      <c r="C908" s="23"/>
    </row>
    <row r="909" ht="12.75" customHeight="1">
      <c r="A909" s="13"/>
      <c r="B909" s="14"/>
      <c r="C909" s="23"/>
    </row>
    <row r="910" ht="12.75" customHeight="1">
      <c r="A910" s="13"/>
      <c r="B910" s="14"/>
      <c r="C910" s="23"/>
    </row>
    <row r="911" ht="12.75" customHeight="1">
      <c r="A911" s="13"/>
      <c r="B911" s="14"/>
      <c r="C911" s="23"/>
    </row>
    <row r="912" ht="12.75" customHeight="1">
      <c r="A912" s="13"/>
      <c r="B912" s="14"/>
      <c r="C912" s="23"/>
    </row>
    <row r="913" ht="12.75" customHeight="1">
      <c r="A913" s="13"/>
      <c r="B913" s="14"/>
      <c r="C913" s="23"/>
    </row>
    <row r="914" ht="12.75" customHeight="1">
      <c r="A914" s="13"/>
      <c r="B914" s="14"/>
      <c r="C914" s="23"/>
    </row>
    <row r="915" ht="12.75" customHeight="1">
      <c r="A915" s="13"/>
      <c r="B915" s="14"/>
      <c r="C915" s="23"/>
    </row>
    <row r="916" ht="12.75" customHeight="1">
      <c r="A916" s="13"/>
      <c r="B916" s="14"/>
      <c r="C916" s="23"/>
    </row>
    <row r="917" ht="12.75" customHeight="1">
      <c r="A917" s="13"/>
      <c r="B917" s="14"/>
      <c r="C917" s="23"/>
    </row>
    <row r="918" ht="12.75" customHeight="1">
      <c r="A918" s="13"/>
      <c r="B918" s="14"/>
      <c r="C918" s="23"/>
    </row>
    <row r="919" ht="12.75" customHeight="1">
      <c r="A919" s="13"/>
      <c r="B919" s="14"/>
      <c r="C919" s="23"/>
    </row>
    <row r="920" ht="12.75" customHeight="1">
      <c r="A920" s="13"/>
      <c r="B920" s="14"/>
      <c r="C920" s="23"/>
    </row>
    <row r="921" ht="12.75" customHeight="1">
      <c r="A921" s="13"/>
      <c r="B921" s="14"/>
      <c r="C921" s="23"/>
    </row>
    <row r="922" ht="12.75" customHeight="1">
      <c r="A922" s="13"/>
      <c r="B922" s="14"/>
      <c r="C922" s="23"/>
    </row>
    <row r="923" ht="12.75" customHeight="1">
      <c r="A923" s="13"/>
      <c r="B923" s="14"/>
      <c r="C923" s="23"/>
    </row>
    <row r="924" ht="12.75" customHeight="1">
      <c r="A924" s="13"/>
      <c r="B924" s="14"/>
      <c r="C924" s="23"/>
    </row>
    <row r="925" ht="12.75" customHeight="1">
      <c r="A925" s="13"/>
      <c r="B925" s="14"/>
      <c r="C925" s="23"/>
    </row>
    <row r="926" ht="12.75" customHeight="1">
      <c r="A926" s="13"/>
      <c r="B926" s="14"/>
      <c r="C926" s="23"/>
    </row>
    <row r="927" ht="12.75" customHeight="1">
      <c r="A927" s="13"/>
      <c r="B927" s="14"/>
      <c r="C927" s="23"/>
    </row>
    <row r="928" ht="12.75" customHeight="1">
      <c r="A928" s="13"/>
      <c r="B928" s="14"/>
      <c r="C928" s="23"/>
    </row>
    <row r="929" ht="12.75" customHeight="1">
      <c r="A929" s="13"/>
      <c r="B929" s="14"/>
      <c r="C929" s="23"/>
    </row>
    <row r="930" ht="12.75" customHeight="1">
      <c r="A930" s="13"/>
      <c r="B930" s="14"/>
      <c r="C930" s="23"/>
    </row>
    <row r="931" ht="12.75" customHeight="1">
      <c r="A931" s="13"/>
      <c r="B931" s="14"/>
      <c r="C931" s="23"/>
    </row>
    <row r="932" ht="12.75" customHeight="1">
      <c r="A932" s="13"/>
      <c r="B932" s="14"/>
      <c r="C932" s="23"/>
    </row>
    <row r="933" ht="12.75" customHeight="1">
      <c r="A933" s="13"/>
      <c r="B933" s="14"/>
      <c r="C933" s="23"/>
    </row>
    <row r="934" ht="12.75" customHeight="1">
      <c r="A934" s="13"/>
      <c r="B934" s="14"/>
      <c r="C934" s="23"/>
    </row>
    <row r="935" ht="12.75" customHeight="1">
      <c r="A935" s="13"/>
      <c r="B935" s="14"/>
      <c r="C935" s="23"/>
    </row>
    <row r="936" ht="12.75" customHeight="1">
      <c r="A936" s="13"/>
      <c r="B936" s="14"/>
      <c r="C936" s="23"/>
    </row>
    <row r="937" ht="12.75" customHeight="1">
      <c r="A937" s="13"/>
      <c r="B937" s="14"/>
      <c r="C937" s="23"/>
    </row>
    <row r="938" ht="12.75" customHeight="1">
      <c r="A938" s="13"/>
      <c r="B938" s="14"/>
      <c r="C938" s="23"/>
    </row>
    <row r="939" ht="12.75" customHeight="1">
      <c r="A939" s="13"/>
      <c r="B939" s="14"/>
      <c r="C939" s="23"/>
    </row>
    <row r="940" ht="12.75" customHeight="1">
      <c r="A940" s="13"/>
      <c r="B940" s="14"/>
      <c r="C940" s="23"/>
    </row>
    <row r="941" ht="12.75" customHeight="1">
      <c r="A941" s="13"/>
      <c r="B941" s="14"/>
      <c r="C941" s="23"/>
    </row>
    <row r="942" ht="12.75" customHeight="1">
      <c r="A942" s="13"/>
      <c r="B942" s="14"/>
      <c r="C942" s="23"/>
    </row>
    <row r="943" ht="12.75" customHeight="1">
      <c r="A943" s="13"/>
      <c r="B943" s="14"/>
      <c r="C943" s="23"/>
    </row>
    <row r="944" ht="12.75" customHeight="1">
      <c r="A944" s="13"/>
      <c r="B944" s="14"/>
      <c r="C944" s="23"/>
    </row>
    <row r="945" ht="12.75" customHeight="1">
      <c r="A945" s="13"/>
      <c r="B945" s="14"/>
      <c r="C945" s="23"/>
    </row>
    <row r="946" ht="12.75" customHeight="1">
      <c r="A946" s="13"/>
      <c r="B946" s="14"/>
      <c r="C946" s="23"/>
    </row>
    <row r="947" ht="12.75" customHeight="1">
      <c r="A947" s="13"/>
      <c r="B947" s="14"/>
      <c r="C947" s="23"/>
    </row>
    <row r="948" ht="12.75" customHeight="1">
      <c r="A948" s="13"/>
      <c r="B948" s="14"/>
      <c r="C948" s="23"/>
    </row>
    <row r="949" ht="12.75" customHeight="1">
      <c r="A949" s="13"/>
      <c r="B949" s="14"/>
      <c r="C949" s="23"/>
    </row>
    <row r="950" ht="12.75" customHeight="1">
      <c r="A950" s="13"/>
      <c r="B950" s="14"/>
      <c r="C950" s="23"/>
    </row>
    <row r="951" ht="12.75" customHeight="1">
      <c r="A951" s="13"/>
      <c r="B951" s="14"/>
      <c r="C951" s="23"/>
    </row>
    <row r="952" ht="12.75" customHeight="1">
      <c r="A952" s="13"/>
      <c r="B952" s="14"/>
      <c r="C952" s="23"/>
    </row>
    <row r="953" ht="12.75" customHeight="1">
      <c r="A953" s="13"/>
      <c r="B953" s="14"/>
      <c r="C953" s="23"/>
    </row>
    <row r="954" ht="12.75" customHeight="1">
      <c r="A954" s="13"/>
      <c r="B954" s="14"/>
      <c r="C954" s="23"/>
    </row>
    <row r="955" ht="12.75" customHeight="1">
      <c r="A955" s="13"/>
      <c r="B955" s="14"/>
      <c r="C955" s="23"/>
    </row>
    <row r="956" ht="12.75" customHeight="1">
      <c r="A956" s="13"/>
      <c r="B956" s="14"/>
      <c r="C956" s="23"/>
    </row>
    <row r="957" ht="12.75" customHeight="1">
      <c r="A957" s="13"/>
      <c r="B957" s="14"/>
      <c r="C957" s="23"/>
    </row>
    <row r="958" ht="12.75" customHeight="1">
      <c r="A958" s="13"/>
      <c r="B958" s="14"/>
      <c r="C958" s="23"/>
    </row>
    <row r="959" ht="12.75" customHeight="1">
      <c r="A959" s="13"/>
      <c r="B959" s="14"/>
      <c r="C959" s="23"/>
    </row>
    <row r="960" ht="12.75" customHeight="1">
      <c r="A960" s="13"/>
      <c r="B960" s="14"/>
      <c r="C960" s="23"/>
    </row>
    <row r="961" ht="12.75" customHeight="1">
      <c r="A961" s="13"/>
      <c r="B961" s="14"/>
      <c r="C961" s="23"/>
    </row>
    <row r="962" ht="12.75" customHeight="1">
      <c r="A962" s="13"/>
      <c r="B962" s="14"/>
      <c r="C962" s="23"/>
    </row>
    <row r="963" ht="12.75" customHeight="1">
      <c r="A963" s="13"/>
      <c r="B963" s="14"/>
      <c r="C963" s="23"/>
    </row>
    <row r="964" ht="12.75" customHeight="1">
      <c r="A964" s="13"/>
      <c r="B964" s="14"/>
      <c r="C964" s="23"/>
    </row>
    <row r="965" ht="12.75" customHeight="1">
      <c r="A965" s="13"/>
      <c r="B965" s="14"/>
      <c r="C965" s="23"/>
    </row>
    <row r="966" ht="12.75" customHeight="1">
      <c r="A966" s="13"/>
      <c r="B966" s="14"/>
      <c r="C966" s="23"/>
    </row>
    <row r="967" ht="12.75" customHeight="1">
      <c r="A967" s="13"/>
      <c r="B967" s="14"/>
      <c r="C967" s="23"/>
    </row>
    <row r="968" ht="12.75" customHeight="1">
      <c r="A968" s="13"/>
      <c r="B968" s="14"/>
      <c r="C968" s="23"/>
    </row>
    <row r="969" ht="12.75" customHeight="1">
      <c r="A969" s="13"/>
      <c r="B969" s="14"/>
      <c r="C969" s="23"/>
    </row>
    <row r="970" ht="12.75" customHeight="1">
      <c r="A970" s="13"/>
      <c r="B970" s="14"/>
      <c r="C970" s="23"/>
    </row>
    <row r="971" ht="12.75" customHeight="1">
      <c r="A971" s="13"/>
      <c r="B971" s="14"/>
      <c r="C971" s="23"/>
    </row>
    <row r="972" ht="12.75" customHeight="1">
      <c r="A972" s="13"/>
      <c r="B972" s="14"/>
      <c r="C972" s="23"/>
    </row>
    <row r="973" ht="12.75" customHeight="1">
      <c r="A973" s="13"/>
      <c r="B973" s="14"/>
      <c r="C973" s="23"/>
    </row>
    <row r="974" ht="12.75" customHeight="1">
      <c r="A974" s="13"/>
      <c r="B974" s="14"/>
      <c r="C974" s="23"/>
    </row>
    <row r="975" ht="12.75" customHeight="1">
      <c r="A975" s="13"/>
      <c r="B975" s="14"/>
      <c r="C975" s="23"/>
    </row>
    <row r="976" ht="12.75" customHeight="1">
      <c r="A976" s="13"/>
      <c r="B976" s="14"/>
      <c r="C976" s="23"/>
    </row>
    <row r="977" ht="12.75" customHeight="1">
      <c r="A977" s="13"/>
      <c r="B977" s="14"/>
      <c r="C977" s="23"/>
    </row>
    <row r="978" ht="12.75" customHeight="1">
      <c r="A978" s="13"/>
      <c r="B978" s="14"/>
      <c r="C978" s="23"/>
    </row>
    <row r="979" ht="12.75" customHeight="1">
      <c r="A979" s="13"/>
      <c r="B979" s="14"/>
      <c r="C979" s="23"/>
    </row>
    <row r="980" ht="12.75" customHeight="1">
      <c r="A980" s="13"/>
      <c r="B980" s="14"/>
      <c r="C980" s="23"/>
    </row>
    <row r="981" ht="12.75" customHeight="1">
      <c r="A981" s="13"/>
      <c r="B981" s="14"/>
      <c r="C981" s="23"/>
    </row>
    <row r="982" ht="12.75" customHeight="1">
      <c r="A982" s="13"/>
      <c r="B982" s="14"/>
      <c r="C982" s="23"/>
    </row>
    <row r="983" ht="12.75" customHeight="1">
      <c r="A983" s="13"/>
      <c r="B983" s="14"/>
      <c r="C983" s="23"/>
    </row>
    <row r="984" ht="12.75" customHeight="1">
      <c r="A984" s="13"/>
      <c r="B984" s="14"/>
      <c r="C984" s="23"/>
    </row>
    <row r="985" ht="12.75" customHeight="1">
      <c r="A985" s="13"/>
      <c r="B985" s="14"/>
      <c r="C985" s="23"/>
    </row>
    <row r="986" ht="12.75" customHeight="1">
      <c r="A986" s="13"/>
      <c r="B986" s="14"/>
      <c r="C986" s="23"/>
    </row>
    <row r="987" ht="12.75" customHeight="1">
      <c r="A987" s="13"/>
      <c r="B987" s="14"/>
      <c r="C987" s="23"/>
    </row>
    <row r="988" ht="12.75" customHeight="1">
      <c r="A988" s="13"/>
      <c r="B988" s="14"/>
      <c r="C988" s="23"/>
    </row>
    <row r="989" ht="12.75" customHeight="1">
      <c r="A989" s="13"/>
      <c r="B989" s="14"/>
      <c r="C989" s="23"/>
    </row>
    <row r="990" ht="12.75" customHeight="1">
      <c r="A990" s="13"/>
      <c r="B990" s="14"/>
      <c r="C990" s="23"/>
    </row>
    <row r="991" ht="12.75" customHeight="1">
      <c r="A991" s="13"/>
      <c r="B991" s="14"/>
      <c r="C991" s="23"/>
    </row>
    <row r="992" ht="12.75" customHeight="1">
      <c r="A992" s="13"/>
      <c r="B992" s="14"/>
      <c r="C992" s="23"/>
    </row>
    <row r="993" ht="12.75" customHeight="1">
      <c r="A993" s="13"/>
      <c r="B993" s="14"/>
      <c r="C993" s="23"/>
    </row>
    <row r="994" ht="12.75" customHeight="1">
      <c r="A994" s="13"/>
      <c r="B994" s="14"/>
      <c r="C994" s="23"/>
    </row>
    <row r="995" ht="12.75" customHeight="1">
      <c r="A995" s="13"/>
      <c r="B995" s="14"/>
      <c r="C995" s="23"/>
    </row>
    <row r="996" ht="12.75" customHeight="1">
      <c r="A996" s="13"/>
      <c r="B996" s="14"/>
      <c r="C996" s="23"/>
    </row>
    <row r="997" ht="12.75" customHeight="1">
      <c r="A997" s="13"/>
      <c r="B997" s="14"/>
      <c r="C997" s="23"/>
    </row>
    <row r="998" ht="12.75" customHeight="1">
      <c r="A998" s="13"/>
      <c r="B998" s="14"/>
      <c r="C998" s="23"/>
    </row>
    <row r="999" ht="12.75" customHeight="1">
      <c r="A999" s="13"/>
      <c r="B999" s="14"/>
      <c r="C999" s="23"/>
    </row>
    <row r="1000" ht="12.75" customHeight="1">
      <c r="A1000" s="13"/>
      <c r="B1000" s="14"/>
      <c r="C1000" s="23"/>
    </row>
    <row r="1001" ht="12.75" customHeight="1">
      <c r="A1001" s="13"/>
      <c r="B1001" s="14"/>
      <c r="C1001" s="23"/>
    </row>
    <row r="1002" ht="12.75" customHeight="1">
      <c r="C1002" s="2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38.38"/>
    <col customWidth="1" min="5" max="24" width="10.63"/>
  </cols>
  <sheetData>
    <row r="1" ht="12.75" customHeight="1">
      <c r="A1" s="1" t="s">
        <v>0</v>
      </c>
      <c r="B1" s="2" t="s">
        <v>1</v>
      </c>
      <c r="C1" s="24" t="s">
        <v>52</v>
      </c>
      <c r="D1" s="16" t="s">
        <v>50</v>
      </c>
    </row>
    <row r="2" ht="12.75" customHeight="1">
      <c r="A2" s="3" t="s">
        <v>2</v>
      </c>
      <c r="B2" s="4" t="s">
        <v>3</v>
      </c>
      <c r="C2" s="17">
        <v>1.0</v>
      </c>
      <c r="D2" s="18"/>
    </row>
    <row r="3" ht="12.75" customHeight="1">
      <c r="A3" s="3" t="s">
        <v>4</v>
      </c>
      <c r="B3" s="4" t="s">
        <v>5</v>
      </c>
      <c r="C3" s="17">
        <v>1.0</v>
      </c>
      <c r="D3" s="18"/>
    </row>
    <row r="4" ht="12.75" customHeight="1">
      <c r="A4" s="3" t="s">
        <v>6</v>
      </c>
      <c r="B4" s="4" t="s">
        <v>7</v>
      </c>
      <c r="C4" s="17">
        <v>1.0</v>
      </c>
      <c r="D4" s="18"/>
    </row>
    <row r="5" ht="12.75" customHeight="1">
      <c r="A5" s="3" t="s">
        <v>6</v>
      </c>
      <c r="B5" s="4" t="s">
        <v>8</v>
      </c>
      <c r="C5" s="17">
        <v>1.0</v>
      </c>
      <c r="D5" s="18"/>
    </row>
    <row r="6" ht="12.75" customHeight="1">
      <c r="A6" s="3" t="s">
        <v>2</v>
      </c>
      <c r="B6" s="4" t="s">
        <v>9</v>
      </c>
      <c r="C6" s="17">
        <v>1.0</v>
      </c>
      <c r="D6" s="18"/>
    </row>
    <row r="7" ht="12.75" customHeight="1">
      <c r="A7" s="3" t="s">
        <v>10</v>
      </c>
      <c r="B7" s="4" t="s">
        <v>11</v>
      </c>
      <c r="C7" s="17">
        <v>1.0</v>
      </c>
      <c r="D7" s="18"/>
    </row>
    <row r="8" ht="12.75" customHeight="1">
      <c r="A8" s="3" t="s">
        <v>10</v>
      </c>
      <c r="B8" s="4" t="s">
        <v>12</v>
      </c>
      <c r="C8" s="17">
        <v>1.0</v>
      </c>
      <c r="D8" s="18"/>
    </row>
    <row r="9" ht="12.75" customHeight="1">
      <c r="A9" s="3" t="s">
        <v>6</v>
      </c>
      <c r="B9" s="4" t="s">
        <v>13</v>
      </c>
      <c r="C9" s="17">
        <v>1.0</v>
      </c>
      <c r="D9" s="18"/>
    </row>
    <row r="10" ht="12.75" customHeight="1">
      <c r="A10" s="3" t="s">
        <v>6</v>
      </c>
      <c r="B10" s="4" t="s">
        <v>14</v>
      </c>
      <c r="C10" s="17">
        <v>1.0</v>
      </c>
      <c r="D10" s="18"/>
    </row>
    <row r="11" ht="12.75" customHeight="1">
      <c r="A11" s="3" t="s">
        <v>10</v>
      </c>
      <c r="B11" s="4" t="s">
        <v>15</v>
      </c>
      <c r="C11" s="17">
        <v>1.0</v>
      </c>
      <c r="D11" s="18"/>
    </row>
    <row r="12" ht="12.75" customHeight="1">
      <c r="A12" s="3" t="s">
        <v>6</v>
      </c>
      <c r="B12" s="4" t="s">
        <v>16</v>
      </c>
      <c r="C12" s="17">
        <v>1.0</v>
      </c>
      <c r="D12" s="18"/>
    </row>
    <row r="13" ht="12.75" customHeight="1">
      <c r="A13" s="3" t="s">
        <v>10</v>
      </c>
      <c r="B13" s="4" t="s">
        <v>17</v>
      </c>
      <c r="C13" s="17">
        <v>1.0</v>
      </c>
      <c r="D13" s="18"/>
    </row>
    <row r="14" ht="12.75" customHeight="1">
      <c r="A14" s="3" t="s">
        <v>10</v>
      </c>
      <c r="B14" s="4" t="s">
        <v>18</v>
      </c>
      <c r="C14" s="17">
        <v>1.0</v>
      </c>
      <c r="D14" s="18"/>
    </row>
    <row r="15" ht="12.75" customHeight="1">
      <c r="A15" s="3" t="s">
        <v>6</v>
      </c>
      <c r="B15" s="4" t="s">
        <v>19</v>
      </c>
      <c r="C15" s="17">
        <v>1.0</v>
      </c>
      <c r="D15" s="18"/>
    </row>
    <row r="16" ht="12.75" customHeight="1">
      <c r="A16" s="3" t="s">
        <v>10</v>
      </c>
      <c r="B16" s="4" t="s">
        <v>20</v>
      </c>
      <c r="C16" s="17">
        <v>1.0</v>
      </c>
      <c r="D16" s="18"/>
    </row>
    <row r="17" ht="12.75" customHeight="1">
      <c r="A17" s="3" t="s">
        <v>21</v>
      </c>
      <c r="B17" s="4" t="s">
        <v>22</v>
      </c>
      <c r="C17" s="17">
        <v>1.0</v>
      </c>
      <c r="D17" s="18"/>
    </row>
    <row r="18" ht="12.75" customHeight="1">
      <c r="A18" s="3" t="s">
        <v>10</v>
      </c>
      <c r="B18" s="4" t="s">
        <v>23</v>
      </c>
      <c r="C18" s="17">
        <v>0.5</v>
      </c>
      <c r="D18" s="18"/>
    </row>
    <row r="19" ht="14.25" customHeight="1">
      <c r="A19" s="3" t="s">
        <v>6</v>
      </c>
      <c r="B19" s="4" t="s">
        <v>24</v>
      </c>
      <c r="C19" s="17">
        <v>1.0</v>
      </c>
      <c r="D19" s="18"/>
    </row>
    <row r="20" ht="12.0" customHeight="1">
      <c r="A20" s="3" t="s">
        <v>10</v>
      </c>
      <c r="B20" s="4" t="s">
        <v>25</v>
      </c>
      <c r="C20" s="17">
        <v>0.5</v>
      </c>
      <c r="D20" s="19" t="s">
        <v>53</v>
      </c>
    </row>
    <row r="21" ht="12.75" customHeight="1">
      <c r="A21" s="3" t="s">
        <v>10</v>
      </c>
      <c r="B21" s="4" t="s">
        <v>26</v>
      </c>
      <c r="C21" s="17">
        <v>1.0</v>
      </c>
      <c r="D21" s="18"/>
    </row>
    <row r="22" ht="12.75" customHeight="1">
      <c r="A22" s="3" t="s">
        <v>4</v>
      </c>
      <c r="B22" s="4" t="s">
        <v>27</v>
      </c>
      <c r="C22" s="17">
        <v>1.0</v>
      </c>
      <c r="D22" s="18"/>
    </row>
    <row r="23" ht="12.75" customHeight="1">
      <c r="A23" s="3" t="s">
        <v>6</v>
      </c>
      <c r="B23" s="4" t="s">
        <v>28</v>
      </c>
      <c r="C23" s="17">
        <v>1.0</v>
      </c>
      <c r="D23" s="18"/>
    </row>
    <row r="24" ht="12.75" customHeight="1">
      <c r="A24" s="3" t="s">
        <v>6</v>
      </c>
      <c r="B24" s="4" t="s">
        <v>8</v>
      </c>
      <c r="C24" s="17">
        <v>1.0</v>
      </c>
      <c r="D24" s="18"/>
    </row>
    <row r="25" ht="12.75" customHeight="1">
      <c r="A25" s="3" t="s">
        <v>2</v>
      </c>
      <c r="B25" s="4" t="s">
        <v>29</v>
      </c>
      <c r="C25" s="17">
        <v>1.0</v>
      </c>
      <c r="D25" s="18"/>
    </row>
    <row r="26" ht="12.75" customHeight="1">
      <c r="A26" s="3" t="s">
        <v>10</v>
      </c>
      <c r="B26" s="4" t="s">
        <v>11</v>
      </c>
      <c r="C26" s="17">
        <v>1.0</v>
      </c>
      <c r="D26" s="18"/>
    </row>
    <row r="27" ht="12.75" customHeight="1">
      <c r="A27" s="3" t="s">
        <v>10</v>
      </c>
      <c r="B27" s="4" t="s">
        <v>12</v>
      </c>
      <c r="C27" s="17">
        <v>1.0</v>
      </c>
      <c r="D27" s="18"/>
    </row>
    <row r="28" ht="12.75" customHeight="1">
      <c r="A28" s="5" t="s">
        <v>4</v>
      </c>
      <c r="B28" s="4" t="s">
        <v>30</v>
      </c>
      <c r="C28" s="17">
        <v>1.0</v>
      </c>
      <c r="D28" s="18"/>
    </row>
    <row r="29" ht="12.75" customHeight="1">
      <c r="A29" s="3" t="s">
        <v>6</v>
      </c>
      <c r="B29" s="4" t="s">
        <v>31</v>
      </c>
      <c r="C29" s="17">
        <v>1.0</v>
      </c>
      <c r="D29" s="18"/>
    </row>
    <row r="30" ht="12.75" customHeight="1">
      <c r="A30" s="3" t="s">
        <v>6</v>
      </c>
      <c r="B30" s="4" t="s">
        <v>32</v>
      </c>
      <c r="C30" s="17">
        <v>1.0</v>
      </c>
      <c r="D30" s="18"/>
    </row>
    <row r="31" ht="12.75" customHeight="1">
      <c r="A31" s="3" t="s">
        <v>10</v>
      </c>
      <c r="B31" s="4" t="s">
        <v>33</v>
      </c>
      <c r="C31" s="17">
        <v>1.0</v>
      </c>
      <c r="D31" s="19" t="s">
        <v>54</v>
      </c>
    </row>
    <row r="32" ht="12.75" customHeight="1">
      <c r="A32" s="3" t="s">
        <v>34</v>
      </c>
      <c r="B32" s="4" t="s">
        <v>35</v>
      </c>
      <c r="C32" s="17">
        <v>1.0</v>
      </c>
      <c r="D32" s="18"/>
    </row>
    <row r="33" ht="12.75" customHeight="1">
      <c r="A33" s="3" t="s">
        <v>6</v>
      </c>
      <c r="B33" s="4" t="s">
        <v>36</v>
      </c>
      <c r="C33" s="17">
        <v>1.0</v>
      </c>
      <c r="D33" s="18"/>
    </row>
    <row r="34" ht="12.75" customHeight="1">
      <c r="A34" s="3" t="s">
        <v>10</v>
      </c>
      <c r="B34" s="4" t="s">
        <v>37</v>
      </c>
      <c r="C34" s="17">
        <v>1.0</v>
      </c>
      <c r="D34" s="18"/>
    </row>
    <row r="35" ht="12.75" customHeight="1">
      <c r="A35" s="3" t="s">
        <v>34</v>
      </c>
      <c r="B35" s="4" t="s">
        <v>38</v>
      </c>
      <c r="C35" s="17">
        <v>1.0</v>
      </c>
      <c r="D35" s="18"/>
    </row>
    <row r="36" ht="12.75" customHeight="1">
      <c r="A36" s="5" t="s">
        <v>55</v>
      </c>
      <c r="B36" s="4" t="s">
        <v>39</v>
      </c>
      <c r="C36" s="17">
        <v>1.0</v>
      </c>
      <c r="D36" s="18"/>
    </row>
    <row r="37" ht="12.75" customHeight="1">
      <c r="A37" s="3" t="s">
        <v>6</v>
      </c>
      <c r="B37" s="4" t="s">
        <v>40</v>
      </c>
      <c r="C37" s="17">
        <v>1.0</v>
      </c>
      <c r="D37" s="10"/>
    </row>
    <row r="38" ht="12.75" customHeight="1">
      <c r="A38" s="3" t="s">
        <v>6</v>
      </c>
      <c r="B38" s="4" t="s">
        <v>8</v>
      </c>
      <c r="C38" s="17">
        <v>1.0</v>
      </c>
      <c r="D38" s="2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0" customHeight="1">
      <c r="A39" s="3" t="s">
        <v>10</v>
      </c>
      <c r="B39" s="4" t="s">
        <v>41</v>
      </c>
      <c r="C39" s="17">
        <v>1.0</v>
      </c>
      <c r="D39" s="2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3" t="s">
        <v>34</v>
      </c>
      <c r="B40" s="4" t="s">
        <v>42</v>
      </c>
      <c r="C40" s="17">
        <v>1.0</v>
      </c>
      <c r="D40" s="26" t="s">
        <v>56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5" t="s">
        <v>4</v>
      </c>
      <c r="B41" s="4" t="s">
        <v>43</v>
      </c>
      <c r="C41" s="17">
        <v>1.0</v>
      </c>
      <c r="D41" s="2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3" t="s">
        <v>6</v>
      </c>
      <c r="B42" s="4" t="s">
        <v>44</v>
      </c>
      <c r="C42" s="17">
        <v>1.0</v>
      </c>
      <c r="D42" s="2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3" t="s">
        <v>6</v>
      </c>
      <c r="B43" s="4" t="s">
        <v>36</v>
      </c>
      <c r="C43" s="17">
        <v>1.0</v>
      </c>
      <c r="D43" s="2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3" t="s">
        <v>10</v>
      </c>
      <c r="B44" s="4" t="s">
        <v>45</v>
      </c>
      <c r="C44" s="17">
        <v>1.0</v>
      </c>
      <c r="D44" s="2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7" t="s">
        <v>34</v>
      </c>
      <c r="B45" s="8" t="s">
        <v>46</v>
      </c>
      <c r="C45" s="27">
        <v>1.0</v>
      </c>
      <c r="D45" s="2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29" t="s">
        <v>6</v>
      </c>
      <c r="B46" s="25" t="s">
        <v>47</v>
      </c>
      <c r="C46" s="17">
        <v>0.0</v>
      </c>
      <c r="D46" s="22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2.75" customHeight="1">
      <c r="A47" s="11" t="s">
        <v>10</v>
      </c>
      <c r="B47" s="12" t="s">
        <v>47</v>
      </c>
      <c r="C47" s="17">
        <v>0.0</v>
      </c>
      <c r="D47" s="22"/>
    </row>
    <row r="48" ht="12.75" customHeight="1">
      <c r="A48" s="3" t="s">
        <v>34</v>
      </c>
      <c r="B48" s="4" t="s">
        <v>47</v>
      </c>
      <c r="C48" s="17">
        <v>0.0</v>
      </c>
      <c r="D48" s="18"/>
    </row>
    <row r="49" ht="12.75" customHeight="1">
      <c r="A49" s="11" t="s">
        <v>48</v>
      </c>
      <c r="B49" s="12" t="s">
        <v>47</v>
      </c>
      <c r="C49" s="17">
        <v>0.0</v>
      </c>
      <c r="D49" s="18"/>
    </row>
    <row r="50" ht="12.75" customHeight="1">
      <c r="A50" s="3" t="s">
        <v>2</v>
      </c>
      <c r="B50" s="4" t="s">
        <v>47</v>
      </c>
      <c r="C50" s="17">
        <v>0.0</v>
      </c>
      <c r="D50" s="18"/>
    </row>
    <row r="51" ht="12.75" customHeight="1">
      <c r="A51" s="11" t="s">
        <v>4</v>
      </c>
      <c r="B51" s="12" t="s">
        <v>47</v>
      </c>
      <c r="C51" s="17">
        <v>0.0</v>
      </c>
      <c r="D51" s="18"/>
    </row>
    <row r="52" ht="12.75" customHeight="1">
      <c r="A52" s="3" t="s">
        <v>21</v>
      </c>
      <c r="B52" s="4" t="s">
        <v>47</v>
      </c>
      <c r="C52" s="30">
        <v>0.0</v>
      </c>
      <c r="D52" s="18"/>
    </row>
    <row r="53" ht="12.75" customHeight="1">
      <c r="A53" s="13"/>
      <c r="B53" s="14"/>
    </row>
    <row r="54" ht="12.75" customHeight="1">
      <c r="A54" s="13"/>
      <c r="B54" s="14"/>
    </row>
    <row r="55" ht="12.75" customHeight="1">
      <c r="A55" s="13"/>
      <c r="B55" s="14"/>
    </row>
    <row r="56" ht="12.75" customHeight="1">
      <c r="A56" s="13"/>
      <c r="B56" s="14"/>
    </row>
    <row r="57" ht="12.75" customHeight="1">
      <c r="A57" s="13"/>
      <c r="B57" s="14"/>
    </row>
    <row r="58" ht="12.75" customHeight="1">
      <c r="A58" s="13"/>
      <c r="B58" s="14"/>
    </row>
    <row r="59" ht="12.75" customHeight="1">
      <c r="A59" s="13"/>
      <c r="B59" s="14"/>
    </row>
    <row r="60" ht="12.75" customHeight="1">
      <c r="A60" s="13"/>
      <c r="B60" s="14"/>
    </row>
    <row r="61" ht="12.75" customHeight="1">
      <c r="A61" s="13"/>
      <c r="B61" s="14"/>
    </row>
    <row r="62" ht="12.75" customHeight="1">
      <c r="A62" s="13"/>
      <c r="B62" s="14"/>
    </row>
    <row r="63" ht="12.75" customHeight="1">
      <c r="A63" s="13"/>
      <c r="B63" s="14"/>
    </row>
    <row r="64" ht="12.75" customHeight="1">
      <c r="A64" s="13"/>
      <c r="B64" s="14"/>
    </row>
    <row r="65" ht="12.75" customHeight="1">
      <c r="A65" s="13"/>
      <c r="B65" s="14"/>
    </row>
    <row r="66" ht="12.75" customHeight="1">
      <c r="A66" s="13"/>
      <c r="B66" s="14"/>
    </row>
    <row r="67" ht="12.75" customHeight="1">
      <c r="A67" s="13"/>
      <c r="B67" s="14"/>
    </row>
    <row r="68" ht="12.75" customHeight="1">
      <c r="A68" s="13"/>
      <c r="B68" s="14"/>
    </row>
    <row r="69" ht="12.75" customHeight="1">
      <c r="A69" s="13"/>
      <c r="B69" s="14"/>
    </row>
    <row r="70" ht="12.75" customHeight="1">
      <c r="A70" s="13"/>
      <c r="B70" s="14"/>
    </row>
    <row r="71" ht="12.75" customHeight="1">
      <c r="A71" s="13"/>
      <c r="B71" s="14"/>
    </row>
    <row r="72" ht="12.75" customHeight="1">
      <c r="A72" s="13"/>
      <c r="B72" s="14"/>
    </row>
    <row r="73" ht="12.75" customHeight="1">
      <c r="A73" s="13"/>
      <c r="B73" s="14"/>
    </row>
    <row r="74" ht="12.75" customHeight="1">
      <c r="A74" s="13"/>
      <c r="B74" s="14"/>
    </row>
    <row r="75" ht="12.75" customHeight="1">
      <c r="A75" s="13"/>
      <c r="B75" s="14"/>
    </row>
    <row r="76" ht="12.75" customHeight="1">
      <c r="A76" s="13"/>
      <c r="B76" s="14"/>
    </row>
    <row r="77" ht="12.75" customHeight="1">
      <c r="A77" s="13"/>
      <c r="B77" s="14"/>
    </row>
    <row r="78" ht="12.75" customHeight="1">
      <c r="A78" s="13"/>
      <c r="B78" s="14"/>
    </row>
    <row r="79" ht="12.75" customHeight="1">
      <c r="A79" s="13"/>
      <c r="B79" s="14"/>
    </row>
    <row r="80" ht="12.75" customHeight="1">
      <c r="A80" s="13"/>
      <c r="B80" s="14"/>
    </row>
    <row r="81" ht="12.75" customHeight="1">
      <c r="A81" s="13"/>
      <c r="B81" s="14"/>
    </row>
    <row r="82" ht="12.75" customHeight="1">
      <c r="A82" s="13"/>
      <c r="B82" s="14"/>
    </row>
    <row r="83" ht="12.75" customHeight="1">
      <c r="A83" s="13"/>
      <c r="B83" s="14"/>
    </row>
    <row r="84" ht="12.75" customHeight="1">
      <c r="A84" s="13"/>
      <c r="B84" s="14"/>
    </row>
    <row r="85" ht="12.75" customHeight="1">
      <c r="A85" s="13"/>
      <c r="B85" s="14"/>
    </row>
    <row r="86" ht="12.75" customHeight="1">
      <c r="A86" s="13"/>
      <c r="B86" s="14"/>
    </row>
    <row r="87" ht="12.75" customHeight="1">
      <c r="A87" s="13"/>
      <c r="B87" s="14"/>
    </row>
    <row r="88" ht="12.75" customHeight="1">
      <c r="A88" s="13"/>
      <c r="B88" s="14"/>
    </row>
    <row r="89" ht="12.75" customHeight="1">
      <c r="A89" s="13"/>
      <c r="B89" s="14"/>
    </row>
    <row r="90" ht="12.75" customHeight="1">
      <c r="A90" s="13"/>
      <c r="B90" s="14"/>
    </row>
    <row r="91" ht="12.75" customHeight="1">
      <c r="A91" s="13"/>
      <c r="B91" s="14"/>
    </row>
    <row r="92" ht="12.75" customHeight="1">
      <c r="A92" s="13"/>
      <c r="B92" s="14"/>
    </row>
    <row r="93" ht="12.75" customHeight="1">
      <c r="A93" s="13"/>
      <c r="B93" s="14"/>
    </row>
    <row r="94" ht="12.75" customHeight="1">
      <c r="A94" s="13"/>
      <c r="B94" s="14"/>
    </row>
    <row r="95" ht="12.75" customHeight="1">
      <c r="A95" s="13"/>
      <c r="B95" s="14"/>
    </row>
    <row r="96" ht="12.75" customHeight="1">
      <c r="A96" s="13"/>
      <c r="B96" s="14"/>
    </row>
    <row r="97" ht="12.75" customHeight="1">
      <c r="A97" s="13"/>
      <c r="B97" s="14"/>
    </row>
    <row r="98" ht="12.75" customHeight="1">
      <c r="A98" s="13"/>
      <c r="B98" s="14"/>
    </row>
    <row r="99" ht="12.75" customHeight="1">
      <c r="A99" s="13"/>
      <c r="B99" s="14"/>
    </row>
    <row r="100" ht="12.75" customHeight="1">
      <c r="A100" s="13"/>
      <c r="B100" s="14"/>
    </row>
    <row r="101" ht="12.75" customHeight="1">
      <c r="A101" s="13"/>
      <c r="B101" s="14"/>
    </row>
    <row r="102" ht="12.75" customHeight="1">
      <c r="A102" s="13"/>
      <c r="B102" s="14"/>
    </row>
    <row r="103" ht="12.75" customHeight="1">
      <c r="A103" s="13"/>
      <c r="B103" s="14"/>
    </row>
    <row r="104" ht="12.75" customHeight="1">
      <c r="A104" s="13"/>
      <c r="B104" s="14"/>
    </row>
    <row r="105" ht="12.75" customHeight="1">
      <c r="A105" s="13"/>
      <c r="B105" s="14"/>
    </row>
    <row r="106" ht="12.75" customHeight="1">
      <c r="A106" s="13"/>
      <c r="B106" s="14"/>
    </row>
    <row r="107" ht="12.75" customHeight="1">
      <c r="A107" s="13"/>
      <c r="B107" s="14"/>
    </row>
    <row r="108" ht="12.75" customHeight="1">
      <c r="A108" s="13"/>
      <c r="B108" s="14"/>
    </row>
    <row r="109" ht="12.75" customHeight="1">
      <c r="A109" s="13"/>
      <c r="B109" s="14"/>
    </row>
    <row r="110" ht="12.75" customHeight="1">
      <c r="A110" s="13"/>
      <c r="B110" s="14"/>
    </row>
    <row r="111" ht="12.75" customHeight="1">
      <c r="A111" s="13"/>
      <c r="B111" s="14"/>
    </row>
    <row r="112" ht="12.75" customHeight="1">
      <c r="A112" s="13"/>
      <c r="B112" s="14"/>
    </row>
    <row r="113" ht="12.75" customHeight="1">
      <c r="A113" s="13"/>
      <c r="B113" s="14"/>
    </row>
    <row r="114" ht="12.75" customHeight="1">
      <c r="A114" s="13"/>
      <c r="B114" s="14"/>
    </row>
    <row r="115" ht="12.75" customHeight="1">
      <c r="A115" s="13"/>
      <c r="B115" s="14"/>
    </row>
    <row r="116" ht="12.75" customHeight="1">
      <c r="A116" s="13"/>
      <c r="B116" s="14"/>
    </row>
    <row r="117" ht="12.75" customHeight="1">
      <c r="A117" s="13"/>
      <c r="B117" s="14"/>
    </row>
    <row r="118" ht="12.75" customHeight="1">
      <c r="A118" s="13"/>
      <c r="B118" s="14"/>
    </row>
    <row r="119" ht="12.75" customHeight="1">
      <c r="A119" s="13"/>
      <c r="B119" s="14"/>
    </row>
    <row r="120" ht="12.75" customHeight="1">
      <c r="A120" s="13"/>
      <c r="B120" s="14"/>
    </row>
    <row r="121" ht="12.75" customHeight="1">
      <c r="A121" s="13"/>
      <c r="B121" s="14"/>
    </row>
    <row r="122" ht="12.75" customHeight="1">
      <c r="A122" s="13"/>
      <c r="B122" s="14"/>
    </row>
    <row r="123" ht="12.75" customHeight="1">
      <c r="A123" s="13"/>
      <c r="B123" s="14"/>
    </row>
    <row r="124" ht="12.75" customHeight="1">
      <c r="A124" s="13"/>
      <c r="B124" s="14"/>
    </row>
    <row r="125" ht="12.75" customHeight="1">
      <c r="A125" s="13"/>
      <c r="B125" s="14"/>
    </row>
    <row r="126" ht="12.75" customHeight="1">
      <c r="A126" s="13"/>
      <c r="B126" s="14"/>
    </row>
    <row r="127" ht="12.75" customHeight="1">
      <c r="A127" s="13"/>
      <c r="B127" s="14"/>
    </row>
    <row r="128" ht="12.75" customHeight="1">
      <c r="A128" s="13"/>
      <c r="B128" s="14"/>
    </row>
    <row r="129" ht="12.75" customHeight="1">
      <c r="A129" s="13"/>
      <c r="B129" s="14"/>
    </row>
    <row r="130" ht="12.75" customHeight="1">
      <c r="A130" s="13"/>
      <c r="B130" s="14"/>
    </row>
    <row r="131" ht="12.75" customHeight="1">
      <c r="A131" s="13"/>
      <c r="B131" s="14"/>
    </row>
    <row r="132" ht="12.75" customHeight="1">
      <c r="A132" s="13"/>
      <c r="B132" s="14"/>
    </row>
    <row r="133" ht="12.75" customHeight="1">
      <c r="A133" s="13"/>
      <c r="B133" s="14"/>
    </row>
    <row r="134" ht="12.75" customHeight="1">
      <c r="A134" s="13"/>
      <c r="B134" s="14"/>
    </row>
    <row r="135" ht="12.75" customHeight="1">
      <c r="A135" s="13"/>
      <c r="B135" s="14"/>
    </row>
    <row r="136" ht="12.75" customHeight="1">
      <c r="A136" s="13"/>
      <c r="B136" s="14"/>
    </row>
    <row r="137" ht="12.75" customHeight="1">
      <c r="A137" s="13"/>
      <c r="B137" s="14"/>
    </row>
    <row r="138" ht="12.75" customHeight="1">
      <c r="A138" s="13"/>
      <c r="B138" s="14"/>
    </row>
    <row r="139" ht="12.75" customHeight="1">
      <c r="A139" s="13"/>
      <c r="B139" s="14"/>
    </row>
    <row r="140" ht="12.75" customHeight="1">
      <c r="A140" s="13"/>
      <c r="B140" s="14"/>
    </row>
    <row r="141" ht="12.75" customHeight="1">
      <c r="A141" s="13"/>
      <c r="B141" s="14"/>
    </row>
    <row r="142" ht="12.75" customHeight="1">
      <c r="A142" s="13"/>
      <c r="B142" s="14"/>
    </row>
    <row r="143" ht="12.75" customHeight="1">
      <c r="A143" s="13"/>
      <c r="B143" s="14"/>
    </row>
    <row r="144" ht="12.75" customHeight="1">
      <c r="A144" s="13"/>
      <c r="B144" s="14"/>
    </row>
    <row r="145" ht="12.75" customHeight="1">
      <c r="A145" s="13"/>
      <c r="B145" s="14"/>
    </row>
    <row r="146" ht="12.75" customHeight="1">
      <c r="A146" s="13"/>
      <c r="B146" s="14"/>
    </row>
    <row r="147" ht="12.75" customHeight="1">
      <c r="A147" s="13"/>
      <c r="B147" s="14"/>
    </row>
    <row r="148" ht="12.75" customHeight="1">
      <c r="A148" s="13"/>
      <c r="B148" s="14"/>
    </row>
    <row r="149" ht="12.75" customHeight="1">
      <c r="A149" s="13"/>
      <c r="B149" s="14"/>
    </row>
    <row r="150" ht="12.75" customHeight="1">
      <c r="A150" s="13"/>
      <c r="B150" s="14"/>
    </row>
    <row r="151" ht="12.75" customHeight="1">
      <c r="A151" s="13"/>
      <c r="B151" s="14"/>
    </row>
    <row r="152" ht="12.75" customHeight="1">
      <c r="A152" s="13"/>
      <c r="B152" s="14"/>
    </row>
    <row r="153" ht="12.75" customHeight="1">
      <c r="A153" s="13"/>
      <c r="B153" s="14"/>
    </row>
    <row r="154" ht="12.75" customHeight="1">
      <c r="A154" s="13"/>
      <c r="B154" s="14"/>
    </row>
    <row r="155" ht="12.75" customHeight="1">
      <c r="A155" s="13"/>
      <c r="B155" s="14"/>
    </row>
    <row r="156" ht="12.75" customHeight="1">
      <c r="A156" s="13"/>
      <c r="B156" s="14"/>
    </row>
    <row r="157" ht="12.75" customHeight="1">
      <c r="A157" s="13"/>
      <c r="B157" s="14"/>
    </row>
    <row r="158" ht="12.75" customHeight="1">
      <c r="A158" s="13"/>
      <c r="B158" s="14"/>
    </row>
    <row r="159" ht="12.75" customHeight="1">
      <c r="A159" s="13"/>
      <c r="B159" s="14"/>
    </row>
    <row r="160" ht="12.75" customHeight="1">
      <c r="A160" s="13"/>
      <c r="B160" s="14"/>
    </row>
    <row r="161" ht="12.75" customHeight="1">
      <c r="A161" s="13"/>
      <c r="B161" s="14"/>
    </row>
    <row r="162" ht="12.75" customHeight="1">
      <c r="A162" s="13"/>
      <c r="B162" s="14"/>
    </row>
    <row r="163" ht="12.75" customHeight="1">
      <c r="A163" s="13"/>
      <c r="B163" s="14"/>
    </row>
    <row r="164" ht="12.75" customHeight="1">
      <c r="A164" s="13"/>
      <c r="B164" s="14"/>
    </row>
    <row r="165" ht="12.75" customHeight="1">
      <c r="A165" s="13"/>
      <c r="B165" s="14"/>
    </row>
    <row r="166" ht="12.75" customHeight="1">
      <c r="A166" s="13"/>
      <c r="B166" s="14"/>
    </row>
    <row r="167" ht="12.75" customHeight="1">
      <c r="A167" s="13"/>
      <c r="B167" s="14"/>
    </row>
    <row r="168" ht="12.75" customHeight="1">
      <c r="A168" s="13"/>
      <c r="B168" s="14"/>
    </row>
    <row r="169" ht="12.75" customHeight="1">
      <c r="A169" s="13"/>
      <c r="B169" s="14"/>
    </row>
    <row r="170" ht="12.75" customHeight="1">
      <c r="A170" s="13"/>
      <c r="B170" s="14"/>
    </row>
    <row r="171" ht="12.75" customHeight="1">
      <c r="A171" s="13"/>
      <c r="B171" s="14"/>
    </row>
    <row r="172" ht="12.75" customHeight="1">
      <c r="A172" s="13"/>
      <c r="B172" s="14"/>
    </row>
    <row r="173" ht="12.75" customHeight="1">
      <c r="A173" s="13"/>
      <c r="B173" s="14"/>
    </row>
    <row r="174" ht="12.75" customHeight="1">
      <c r="A174" s="13"/>
      <c r="B174" s="14"/>
    </row>
    <row r="175" ht="12.75" customHeight="1">
      <c r="A175" s="13"/>
      <c r="B175" s="14"/>
    </row>
    <row r="176" ht="12.75" customHeight="1">
      <c r="A176" s="13"/>
      <c r="B176" s="14"/>
    </row>
    <row r="177" ht="12.75" customHeight="1">
      <c r="A177" s="13"/>
      <c r="B177" s="14"/>
    </row>
    <row r="178" ht="12.75" customHeight="1">
      <c r="A178" s="13"/>
      <c r="B178" s="14"/>
    </row>
    <row r="179" ht="12.75" customHeight="1">
      <c r="A179" s="13"/>
      <c r="B179" s="14"/>
    </row>
    <row r="180" ht="12.75" customHeight="1">
      <c r="A180" s="13"/>
      <c r="B180" s="14"/>
    </row>
    <row r="181" ht="12.75" customHeight="1">
      <c r="A181" s="13"/>
      <c r="B181" s="14"/>
    </row>
    <row r="182" ht="12.75" customHeight="1">
      <c r="A182" s="13"/>
      <c r="B182" s="14"/>
    </row>
    <row r="183" ht="12.75" customHeight="1">
      <c r="A183" s="13"/>
      <c r="B183" s="14"/>
    </row>
    <row r="184" ht="12.75" customHeight="1">
      <c r="A184" s="13"/>
      <c r="B184" s="14"/>
    </row>
    <row r="185" ht="12.75" customHeight="1">
      <c r="A185" s="13"/>
      <c r="B185" s="14"/>
    </row>
    <row r="186" ht="12.75" customHeight="1">
      <c r="A186" s="13"/>
      <c r="B186" s="14"/>
    </row>
    <row r="187" ht="12.75" customHeight="1">
      <c r="A187" s="13"/>
      <c r="B187" s="14"/>
    </row>
    <row r="188" ht="12.75" customHeight="1">
      <c r="A188" s="13"/>
      <c r="B188" s="14"/>
    </row>
    <row r="189" ht="12.75" customHeight="1">
      <c r="A189" s="13"/>
      <c r="B189" s="14"/>
    </row>
    <row r="190" ht="12.75" customHeight="1">
      <c r="A190" s="13"/>
      <c r="B190" s="14"/>
    </row>
    <row r="191" ht="12.75" customHeight="1">
      <c r="A191" s="13"/>
      <c r="B191" s="14"/>
    </row>
    <row r="192" ht="12.75" customHeight="1">
      <c r="A192" s="13"/>
      <c r="B192" s="14"/>
    </row>
    <row r="193" ht="12.75" customHeight="1">
      <c r="A193" s="13"/>
      <c r="B193" s="14"/>
    </row>
    <row r="194" ht="12.75" customHeight="1">
      <c r="A194" s="13"/>
      <c r="B194" s="14"/>
    </row>
    <row r="195" ht="12.75" customHeight="1">
      <c r="A195" s="13"/>
      <c r="B195" s="14"/>
    </row>
    <row r="196" ht="12.75" customHeight="1">
      <c r="A196" s="13"/>
      <c r="B196" s="14"/>
    </row>
    <row r="197" ht="12.75" customHeight="1">
      <c r="A197" s="13"/>
      <c r="B197" s="14"/>
    </row>
    <row r="198" ht="12.75" customHeight="1">
      <c r="A198" s="13"/>
      <c r="B198" s="14"/>
    </row>
    <row r="199" ht="12.75" customHeight="1">
      <c r="A199" s="13"/>
      <c r="B199" s="14"/>
    </row>
    <row r="200" ht="12.75" customHeight="1">
      <c r="A200" s="13"/>
      <c r="B200" s="14"/>
    </row>
    <row r="201" ht="12.75" customHeight="1">
      <c r="A201" s="13"/>
      <c r="B201" s="14"/>
    </row>
    <row r="202" ht="12.75" customHeight="1">
      <c r="A202" s="13"/>
      <c r="B202" s="14"/>
    </row>
    <row r="203" ht="12.75" customHeight="1">
      <c r="A203" s="13"/>
      <c r="B203" s="14"/>
    </row>
    <row r="204" ht="12.75" customHeight="1">
      <c r="A204" s="13"/>
      <c r="B204" s="14"/>
    </row>
    <row r="205" ht="12.75" customHeight="1">
      <c r="A205" s="13"/>
      <c r="B205" s="14"/>
    </row>
    <row r="206" ht="12.75" customHeight="1">
      <c r="A206" s="13"/>
      <c r="B206" s="14"/>
    </row>
    <row r="207" ht="12.75" customHeight="1">
      <c r="A207" s="13"/>
      <c r="B207" s="14"/>
    </row>
    <row r="208" ht="12.75" customHeight="1">
      <c r="A208" s="13"/>
      <c r="B208" s="14"/>
    </row>
    <row r="209" ht="12.75" customHeight="1">
      <c r="A209" s="13"/>
      <c r="B209" s="14"/>
    </row>
    <row r="210" ht="12.75" customHeight="1">
      <c r="A210" s="13"/>
      <c r="B210" s="14"/>
    </row>
    <row r="211" ht="12.75" customHeight="1">
      <c r="A211" s="13"/>
      <c r="B211" s="14"/>
    </row>
    <row r="212" ht="12.75" customHeight="1">
      <c r="A212" s="13"/>
      <c r="B212" s="14"/>
    </row>
    <row r="213" ht="12.75" customHeight="1">
      <c r="A213" s="13"/>
      <c r="B213" s="14"/>
    </row>
    <row r="214" ht="12.75" customHeight="1">
      <c r="A214" s="13"/>
      <c r="B214" s="14"/>
    </row>
    <row r="215" ht="12.75" customHeight="1">
      <c r="A215" s="13"/>
      <c r="B215" s="14"/>
    </row>
    <row r="216" ht="12.75" customHeight="1">
      <c r="A216" s="13"/>
      <c r="B216" s="14"/>
    </row>
    <row r="217" ht="12.75" customHeight="1">
      <c r="A217" s="13"/>
      <c r="B217" s="14"/>
    </row>
    <row r="218" ht="12.75" customHeight="1">
      <c r="A218" s="13"/>
      <c r="B218" s="14"/>
    </row>
    <row r="219" ht="12.75" customHeight="1">
      <c r="A219" s="13"/>
      <c r="B219" s="14"/>
    </row>
    <row r="220" ht="12.75" customHeight="1">
      <c r="A220" s="13"/>
      <c r="B220" s="14"/>
    </row>
    <row r="221" ht="12.75" customHeight="1">
      <c r="A221" s="13"/>
      <c r="B221" s="14"/>
    </row>
    <row r="222" ht="12.75" customHeight="1">
      <c r="A222" s="13"/>
      <c r="B222" s="14"/>
    </row>
    <row r="223" ht="12.75" customHeight="1">
      <c r="A223" s="13"/>
      <c r="B223" s="14"/>
    </row>
    <row r="224" ht="12.75" customHeight="1">
      <c r="A224" s="13"/>
      <c r="B224" s="14"/>
    </row>
    <row r="225" ht="12.75" customHeight="1">
      <c r="A225" s="13"/>
      <c r="B225" s="14"/>
    </row>
    <row r="226" ht="12.75" customHeight="1">
      <c r="A226" s="13"/>
      <c r="B226" s="14"/>
    </row>
    <row r="227" ht="12.75" customHeight="1">
      <c r="A227" s="13"/>
      <c r="B227" s="14"/>
    </row>
    <row r="228" ht="12.75" customHeight="1">
      <c r="A228" s="13"/>
      <c r="B228" s="14"/>
    </row>
    <row r="229" ht="12.75" customHeight="1">
      <c r="A229" s="13"/>
      <c r="B229" s="14"/>
    </row>
    <row r="230" ht="12.75" customHeight="1">
      <c r="A230" s="13"/>
      <c r="B230" s="14"/>
    </row>
    <row r="231" ht="12.75" customHeight="1">
      <c r="A231" s="13"/>
      <c r="B231" s="14"/>
    </row>
    <row r="232" ht="12.75" customHeight="1">
      <c r="A232" s="13"/>
      <c r="B232" s="14"/>
    </row>
    <row r="233" ht="12.75" customHeight="1">
      <c r="A233" s="13"/>
      <c r="B233" s="14"/>
    </row>
    <row r="234" ht="12.75" customHeight="1">
      <c r="A234" s="13"/>
      <c r="B234" s="14"/>
    </row>
    <row r="235" ht="12.75" customHeight="1">
      <c r="A235" s="13"/>
      <c r="B235" s="14"/>
    </row>
    <row r="236" ht="12.75" customHeight="1">
      <c r="A236" s="13"/>
      <c r="B236" s="14"/>
    </row>
    <row r="237" ht="12.75" customHeight="1">
      <c r="A237" s="13"/>
      <c r="B237" s="14"/>
    </row>
    <row r="238" ht="12.75" customHeight="1">
      <c r="A238" s="13"/>
      <c r="B238" s="14"/>
    </row>
    <row r="239" ht="12.75" customHeight="1">
      <c r="A239" s="13"/>
      <c r="B239" s="14"/>
    </row>
    <row r="240" ht="12.75" customHeight="1">
      <c r="A240" s="13"/>
      <c r="B240" s="14"/>
    </row>
    <row r="241" ht="12.75" customHeight="1">
      <c r="A241" s="13"/>
      <c r="B241" s="14"/>
    </row>
    <row r="242" ht="12.75" customHeight="1">
      <c r="A242" s="13"/>
      <c r="B242" s="14"/>
    </row>
    <row r="243" ht="12.75" customHeight="1">
      <c r="A243" s="13"/>
      <c r="B243" s="14"/>
    </row>
    <row r="244" ht="12.75" customHeight="1">
      <c r="A244" s="13"/>
      <c r="B244" s="14"/>
    </row>
    <row r="245" ht="12.75" customHeight="1">
      <c r="A245" s="13"/>
      <c r="B245" s="14"/>
    </row>
    <row r="246" ht="12.75" customHeight="1">
      <c r="A246" s="13"/>
      <c r="B246" s="14"/>
    </row>
    <row r="247" ht="12.75" customHeight="1">
      <c r="A247" s="13"/>
      <c r="B247" s="14"/>
    </row>
    <row r="248" ht="12.75" customHeight="1">
      <c r="A248" s="13"/>
      <c r="B248" s="14"/>
    </row>
    <row r="249" ht="12.75" customHeight="1">
      <c r="A249" s="13"/>
      <c r="B249" s="14"/>
    </row>
    <row r="250" ht="12.75" customHeight="1">
      <c r="A250" s="13"/>
      <c r="B250" s="14"/>
    </row>
    <row r="251" ht="12.75" customHeight="1">
      <c r="A251" s="13"/>
      <c r="B251" s="14"/>
    </row>
    <row r="252" ht="12.75" customHeight="1">
      <c r="A252" s="13"/>
      <c r="B252" s="14"/>
    </row>
    <row r="253" ht="12.75" customHeight="1">
      <c r="A253" s="13"/>
      <c r="B253" s="14"/>
    </row>
    <row r="254" ht="12.75" customHeight="1">
      <c r="A254" s="13"/>
      <c r="B254" s="14"/>
    </row>
    <row r="255" ht="12.75" customHeight="1">
      <c r="A255" s="13"/>
      <c r="B255" s="14"/>
    </row>
    <row r="256" ht="12.75" customHeight="1">
      <c r="A256" s="13"/>
      <c r="B256" s="14"/>
    </row>
    <row r="257" ht="12.75" customHeight="1">
      <c r="A257" s="13"/>
      <c r="B257" s="14"/>
    </row>
    <row r="258" ht="12.75" customHeight="1">
      <c r="A258" s="13"/>
      <c r="B258" s="14"/>
    </row>
    <row r="259" ht="12.75" customHeight="1">
      <c r="A259" s="13"/>
      <c r="B259" s="14"/>
    </row>
    <row r="260" ht="12.75" customHeight="1">
      <c r="A260" s="13"/>
      <c r="B260" s="14"/>
    </row>
    <row r="261" ht="12.75" customHeight="1">
      <c r="A261" s="13"/>
      <c r="B261" s="14"/>
    </row>
    <row r="262" ht="12.75" customHeight="1">
      <c r="A262" s="13"/>
      <c r="B262" s="14"/>
    </row>
    <row r="263" ht="12.75" customHeight="1">
      <c r="A263" s="13"/>
      <c r="B263" s="14"/>
    </row>
    <row r="264" ht="12.75" customHeight="1">
      <c r="A264" s="13"/>
      <c r="B264" s="14"/>
    </row>
    <row r="265" ht="12.75" customHeight="1">
      <c r="A265" s="13"/>
      <c r="B265" s="14"/>
    </row>
    <row r="266" ht="12.75" customHeight="1">
      <c r="A266" s="13"/>
      <c r="B266" s="14"/>
    </row>
    <row r="267" ht="12.75" customHeight="1">
      <c r="A267" s="13"/>
      <c r="B267" s="14"/>
    </row>
    <row r="268" ht="12.75" customHeight="1">
      <c r="A268" s="13"/>
      <c r="B268" s="14"/>
    </row>
    <row r="269" ht="12.75" customHeight="1">
      <c r="A269" s="13"/>
      <c r="B269" s="14"/>
    </row>
    <row r="270" ht="12.75" customHeight="1">
      <c r="A270" s="13"/>
      <c r="B270" s="14"/>
    </row>
    <row r="271" ht="12.75" customHeight="1">
      <c r="A271" s="13"/>
      <c r="B271" s="14"/>
    </row>
    <row r="272" ht="12.75" customHeight="1">
      <c r="A272" s="13"/>
      <c r="B272" s="14"/>
    </row>
    <row r="273" ht="12.75" customHeight="1">
      <c r="A273" s="13"/>
      <c r="B273" s="14"/>
    </row>
    <row r="274" ht="12.75" customHeight="1">
      <c r="A274" s="13"/>
      <c r="B274" s="14"/>
    </row>
    <row r="275" ht="12.75" customHeight="1">
      <c r="A275" s="13"/>
      <c r="B275" s="14"/>
    </row>
    <row r="276" ht="12.75" customHeight="1">
      <c r="A276" s="13"/>
      <c r="B276" s="14"/>
    </row>
    <row r="277" ht="12.75" customHeight="1">
      <c r="A277" s="13"/>
      <c r="B277" s="14"/>
    </row>
    <row r="278" ht="12.75" customHeight="1">
      <c r="A278" s="13"/>
      <c r="B278" s="14"/>
    </row>
    <row r="279" ht="12.75" customHeight="1">
      <c r="A279" s="13"/>
      <c r="B279" s="14"/>
    </row>
    <row r="280" ht="12.75" customHeight="1">
      <c r="A280" s="13"/>
      <c r="B280" s="14"/>
    </row>
    <row r="281" ht="12.75" customHeight="1">
      <c r="A281" s="13"/>
      <c r="B281" s="14"/>
    </row>
    <row r="282" ht="12.75" customHeight="1">
      <c r="A282" s="13"/>
      <c r="B282" s="14"/>
    </row>
    <row r="283" ht="12.75" customHeight="1">
      <c r="A283" s="13"/>
      <c r="B283" s="14"/>
    </row>
    <row r="284" ht="12.75" customHeight="1">
      <c r="A284" s="13"/>
      <c r="B284" s="14"/>
    </row>
    <row r="285" ht="12.75" customHeight="1">
      <c r="A285" s="13"/>
      <c r="B285" s="14"/>
    </row>
    <row r="286" ht="12.75" customHeight="1">
      <c r="A286" s="13"/>
      <c r="B286" s="14"/>
    </row>
    <row r="287" ht="12.75" customHeight="1">
      <c r="A287" s="13"/>
      <c r="B287" s="14"/>
    </row>
    <row r="288" ht="12.75" customHeight="1">
      <c r="A288" s="13"/>
      <c r="B288" s="14"/>
    </row>
    <row r="289" ht="12.75" customHeight="1">
      <c r="A289" s="13"/>
      <c r="B289" s="14"/>
    </row>
    <row r="290" ht="12.75" customHeight="1">
      <c r="A290" s="13"/>
      <c r="B290" s="14"/>
    </row>
    <row r="291" ht="12.75" customHeight="1">
      <c r="A291" s="13"/>
      <c r="B291" s="14"/>
    </row>
    <row r="292" ht="12.75" customHeight="1">
      <c r="A292" s="13"/>
      <c r="B292" s="14"/>
    </row>
    <row r="293" ht="12.75" customHeight="1">
      <c r="A293" s="13"/>
      <c r="B293" s="14"/>
    </row>
    <row r="294" ht="12.75" customHeight="1">
      <c r="A294" s="13"/>
      <c r="B294" s="14"/>
    </row>
    <row r="295" ht="12.75" customHeight="1">
      <c r="A295" s="13"/>
      <c r="B295" s="14"/>
    </row>
    <row r="296" ht="12.75" customHeight="1">
      <c r="A296" s="13"/>
      <c r="B296" s="14"/>
    </row>
    <row r="297" ht="12.75" customHeight="1">
      <c r="A297" s="13"/>
      <c r="B297" s="14"/>
    </row>
    <row r="298" ht="12.75" customHeight="1">
      <c r="A298" s="13"/>
      <c r="B298" s="14"/>
    </row>
    <row r="299" ht="12.75" customHeight="1">
      <c r="A299" s="13"/>
      <c r="B299" s="14"/>
    </row>
    <row r="300" ht="12.75" customHeight="1">
      <c r="A300" s="13"/>
      <c r="B300" s="14"/>
    </row>
    <row r="301" ht="12.75" customHeight="1">
      <c r="A301" s="13"/>
      <c r="B301" s="14"/>
    </row>
    <row r="302" ht="12.75" customHeight="1">
      <c r="A302" s="13"/>
      <c r="B302" s="14"/>
    </row>
    <row r="303" ht="12.75" customHeight="1">
      <c r="A303" s="13"/>
      <c r="B303" s="14"/>
    </row>
    <row r="304" ht="12.75" customHeight="1">
      <c r="A304" s="13"/>
      <c r="B304" s="14"/>
    </row>
    <row r="305" ht="12.75" customHeight="1">
      <c r="A305" s="13"/>
      <c r="B305" s="14"/>
    </row>
    <row r="306" ht="12.75" customHeight="1">
      <c r="A306" s="13"/>
      <c r="B306" s="14"/>
    </row>
    <row r="307" ht="12.75" customHeight="1">
      <c r="A307" s="13"/>
      <c r="B307" s="14"/>
    </row>
    <row r="308" ht="12.75" customHeight="1">
      <c r="A308" s="13"/>
      <c r="B308" s="14"/>
    </row>
    <row r="309" ht="12.75" customHeight="1">
      <c r="A309" s="13"/>
      <c r="B309" s="14"/>
    </row>
    <row r="310" ht="12.75" customHeight="1">
      <c r="A310" s="13"/>
      <c r="B310" s="14"/>
    </row>
    <row r="311" ht="12.75" customHeight="1">
      <c r="A311" s="13"/>
      <c r="B311" s="14"/>
    </row>
    <row r="312" ht="12.75" customHeight="1">
      <c r="A312" s="13"/>
      <c r="B312" s="14"/>
    </row>
    <row r="313" ht="12.75" customHeight="1">
      <c r="A313" s="13"/>
      <c r="B313" s="14"/>
    </row>
    <row r="314" ht="12.75" customHeight="1">
      <c r="A314" s="13"/>
      <c r="B314" s="14"/>
    </row>
    <row r="315" ht="12.75" customHeight="1">
      <c r="A315" s="13"/>
      <c r="B315" s="14"/>
    </row>
    <row r="316" ht="12.75" customHeight="1">
      <c r="A316" s="13"/>
      <c r="B316" s="14"/>
    </row>
    <row r="317" ht="12.75" customHeight="1">
      <c r="A317" s="13"/>
      <c r="B317" s="14"/>
    </row>
    <row r="318" ht="12.75" customHeight="1">
      <c r="A318" s="13"/>
      <c r="B318" s="14"/>
    </row>
    <row r="319" ht="12.75" customHeight="1">
      <c r="A319" s="13"/>
      <c r="B319" s="14"/>
    </row>
    <row r="320" ht="12.75" customHeight="1">
      <c r="A320" s="13"/>
      <c r="B320" s="14"/>
    </row>
    <row r="321" ht="12.75" customHeight="1">
      <c r="A321" s="13"/>
      <c r="B321" s="14"/>
    </row>
    <row r="322" ht="12.75" customHeight="1">
      <c r="A322" s="13"/>
      <c r="B322" s="14"/>
    </row>
    <row r="323" ht="12.75" customHeight="1">
      <c r="A323" s="13"/>
      <c r="B323" s="14"/>
    </row>
    <row r="324" ht="12.75" customHeight="1">
      <c r="A324" s="13"/>
      <c r="B324" s="14"/>
    </row>
    <row r="325" ht="12.75" customHeight="1">
      <c r="A325" s="13"/>
      <c r="B325" s="14"/>
    </row>
    <row r="326" ht="12.75" customHeight="1">
      <c r="A326" s="13"/>
      <c r="B326" s="14"/>
    </row>
    <row r="327" ht="12.75" customHeight="1">
      <c r="A327" s="13"/>
      <c r="B327" s="14"/>
    </row>
    <row r="328" ht="12.75" customHeight="1">
      <c r="A328" s="13"/>
      <c r="B328" s="14"/>
    </row>
    <row r="329" ht="12.75" customHeight="1">
      <c r="A329" s="13"/>
      <c r="B329" s="14"/>
    </row>
    <row r="330" ht="12.75" customHeight="1">
      <c r="A330" s="13"/>
      <c r="B330" s="14"/>
    </row>
    <row r="331" ht="12.75" customHeight="1">
      <c r="A331" s="13"/>
      <c r="B331" s="14"/>
    </row>
    <row r="332" ht="12.75" customHeight="1">
      <c r="A332" s="13"/>
      <c r="B332" s="14"/>
    </row>
    <row r="333" ht="12.75" customHeight="1">
      <c r="A333" s="13"/>
      <c r="B333" s="14"/>
    </row>
    <row r="334" ht="12.75" customHeight="1">
      <c r="A334" s="13"/>
      <c r="B334" s="14"/>
    </row>
    <row r="335" ht="12.75" customHeight="1">
      <c r="A335" s="13"/>
      <c r="B335" s="14"/>
    </row>
    <row r="336" ht="12.75" customHeight="1">
      <c r="A336" s="13"/>
      <c r="B336" s="14"/>
    </row>
    <row r="337" ht="12.75" customHeight="1">
      <c r="A337" s="13"/>
      <c r="B337" s="14"/>
    </row>
    <row r="338" ht="12.75" customHeight="1">
      <c r="A338" s="13"/>
      <c r="B338" s="14"/>
    </row>
    <row r="339" ht="12.75" customHeight="1">
      <c r="A339" s="13"/>
      <c r="B339" s="14"/>
    </row>
    <row r="340" ht="12.75" customHeight="1">
      <c r="A340" s="13"/>
      <c r="B340" s="14"/>
    </row>
    <row r="341" ht="12.75" customHeight="1">
      <c r="A341" s="13"/>
      <c r="B341" s="14"/>
    </row>
    <row r="342" ht="12.75" customHeight="1">
      <c r="A342" s="13"/>
      <c r="B342" s="14"/>
    </row>
    <row r="343" ht="12.75" customHeight="1">
      <c r="A343" s="13"/>
      <c r="B343" s="14"/>
    </row>
    <row r="344" ht="12.75" customHeight="1">
      <c r="A344" s="13"/>
      <c r="B344" s="14"/>
    </row>
    <row r="345" ht="12.75" customHeight="1">
      <c r="A345" s="13"/>
      <c r="B345" s="14"/>
    </row>
    <row r="346" ht="12.75" customHeight="1">
      <c r="A346" s="13"/>
      <c r="B346" s="14"/>
    </row>
    <row r="347" ht="12.75" customHeight="1">
      <c r="A347" s="13"/>
      <c r="B347" s="14"/>
    </row>
    <row r="348" ht="12.75" customHeight="1">
      <c r="A348" s="13"/>
      <c r="B348" s="14"/>
    </row>
    <row r="349" ht="12.75" customHeight="1">
      <c r="A349" s="13"/>
      <c r="B349" s="14"/>
    </row>
    <row r="350" ht="12.75" customHeight="1">
      <c r="A350" s="13"/>
      <c r="B350" s="14"/>
    </row>
    <row r="351" ht="12.75" customHeight="1">
      <c r="A351" s="13"/>
      <c r="B351" s="14"/>
    </row>
    <row r="352" ht="12.75" customHeight="1">
      <c r="A352" s="13"/>
      <c r="B352" s="14"/>
    </row>
    <row r="353" ht="12.75" customHeight="1">
      <c r="A353" s="13"/>
      <c r="B353" s="14"/>
    </row>
    <row r="354" ht="12.75" customHeight="1">
      <c r="A354" s="13"/>
      <c r="B354" s="14"/>
    </row>
    <row r="355" ht="12.75" customHeight="1">
      <c r="A355" s="13"/>
      <c r="B355" s="14"/>
    </row>
    <row r="356" ht="12.75" customHeight="1">
      <c r="A356" s="13"/>
      <c r="B356" s="14"/>
    </row>
    <row r="357" ht="12.75" customHeight="1">
      <c r="A357" s="13"/>
      <c r="B357" s="14"/>
    </row>
    <row r="358" ht="12.75" customHeight="1">
      <c r="A358" s="13"/>
      <c r="B358" s="14"/>
    </row>
    <row r="359" ht="12.75" customHeight="1">
      <c r="A359" s="13"/>
      <c r="B359" s="14"/>
    </row>
    <row r="360" ht="12.75" customHeight="1">
      <c r="A360" s="13"/>
      <c r="B360" s="14"/>
    </row>
    <row r="361" ht="12.75" customHeight="1">
      <c r="A361" s="13"/>
      <c r="B361" s="14"/>
    </row>
    <row r="362" ht="12.75" customHeight="1">
      <c r="A362" s="13"/>
      <c r="B362" s="14"/>
    </row>
    <row r="363" ht="12.75" customHeight="1">
      <c r="A363" s="13"/>
      <c r="B363" s="14"/>
    </row>
    <row r="364" ht="12.75" customHeight="1">
      <c r="A364" s="13"/>
      <c r="B364" s="14"/>
    </row>
    <row r="365" ht="12.75" customHeight="1">
      <c r="A365" s="13"/>
      <c r="B365" s="14"/>
    </row>
    <row r="366" ht="12.75" customHeight="1">
      <c r="A366" s="13"/>
      <c r="B366" s="14"/>
    </row>
    <row r="367" ht="12.75" customHeight="1">
      <c r="A367" s="13"/>
      <c r="B367" s="14"/>
    </row>
    <row r="368" ht="12.75" customHeight="1">
      <c r="A368" s="13"/>
      <c r="B368" s="14"/>
    </row>
    <row r="369" ht="12.75" customHeight="1">
      <c r="A369" s="13"/>
      <c r="B369" s="14"/>
    </row>
    <row r="370" ht="12.75" customHeight="1">
      <c r="A370" s="13"/>
      <c r="B370" s="14"/>
    </row>
    <row r="371" ht="12.75" customHeight="1">
      <c r="A371" s="13"/>
      <c r="B371" s="14"/>
    </row>
    <row r="372" ht="12.75" customHeight="1">
      <c r="A372" s="13"/>
      <c r="B372" s="14"/>
    </row>
    <row r="373" ht="12.75" customHeight="1">
      <c r="A373" s="13"/>
      <c r="B373" s="14"/>
    </row>
    <row r="374" ht="12.75" customHeight="1">
      <c r="A374" s="13"/>
      <c r="B374" s="14"/>
    </row>
    <row r="375" ht="12.75" customHeight="1">
      <c r="A375" s="13"/>
      <c r="B375" s="14"/>
    </row>
    <row r="376" ht="12.75" customHeight="1">
      <c r="A376" s="13"/>
      <c r="B376" s="14"/>
    </row>
    <row r="377" ht="12.75" customHeight="1">
      <c r="A377" s="13"/>
      <c r="B377" s="14"/>
    </row>
    <row r="378" ht="12.75" customHeight="1">
      <c r="A378" s="13"/>
      <c r="B378" s="14"/>
    </row>
    <row r="379" ht="12.75" customHeight="1">
      <c r="A379" s="13"/>
      <c r="B379" s="14"/>
    </row>
    <row r="380" ht="12.75" customHeight="1">
      <c r="A380" s="13"/>
      <c r="B380" s="14"/>
    </row>
    <row r="381" ht="12.75" customHeight="1">
      <c r="A381" s="13"/>
      <c r="B381" s="14"/>
    </row>
    <row r="382" ht="12.75" customHeight="1">
      <c r="A382" s="13"/>
      <c r="B382" s="14"/>
    </row>
    <row r="383" ht="12.75" customHeight="1">
      <c r="A383" s="13"/>
      <c r="B383" s="14"/>
    </row>
    <row r="384" ht="12.75" customHeight="1">
      <c r="A384" s="13"/>
      <c r="B384" s="14"/>
    </row>
    <row r="385" ht="12.75" customHeight="1">
      <c r="A385" s="13"/>
      <c r="B385" s="14"/>
    </row>
    <row r="386" ht="12.75" customHeight="1">
      <c r="A386" s="13"/>
      <c r="B386" s="14"/>
    </row>
    <row r="387" ht="12.75" customHeight="1">
      <c r="A387" s="13"/>
      <c r="B387" s="14"/>
    </row>
    <row r="388" ht="12.75" customHeight="1">
      <c r="A388" s="13"/>
      <c r="B388" s="14"/>
    </row>
    <row r="389" ht="12.75" customHeight="1">
      <c r="A389" s="13"/>
      <c r="B389" s="14"/>
    </row>
    <row r="390" ht="12.75" customHeight="1">
      <c r="A390" s="13"/>
      <c r="B390" s="14"/>
    </row>
    <row r="391" ht="12.75" customHeight="1">
      <c r="A391" s="13"/>
      <c r="B391" s="14"/>
    </row>
    <row r="392" ht="12.75" customHeight="1">
      <c r="A392" s="13"/>
      <c r="B392" s="14"/>
    </row>
    <row r="393" ht="12.75" customHeight="1">
      <c r="A393" s="13"/>
      <c r="B393" s="14"/>
    </row>
    <row r="394" ht="12.75" customHeight="1">
      <c r="A394" s="13"/>
      <c r="B394" s="14"/>
    </row>
    <row r="395" ht="12.75" customHeight="1">
      <c r="A395" s="13"/>
      <c r="B395" s="14"/>
    </row>
    <row r="396" ht="12.75" customHeight="1">
      <c r="A396" s="13"/>
      <c r="B396" s="14"/>
    </row>
    <row r="397" ht="12.75" customHeight="1">
      <c r="A397" s="13"/>
      <c r="B397" s="14"/>
    </row>
    <row r="398" ht="12.75" customHeight="1">
      <c r="A398" s="13"/>
      <c r="B398" s="14"/>
    </row>
    <row r="399" ht="12.75" customHeight="1">
      <c r="A399" s="13"/>
      <c r="B399" s="14"/>
    </row>
    <row r="400" ht="12.75" customHeight="1">
      <c r="A400" s="13"/>
      <c r="B400" s="14"/>
    </row>
    <row r="401" ht="12.75" customHeight="1">
      <c r="A401" s="13"/>
      <c r="B401" s="14"/>
    </row>
    <row r="402" ht="12.75" customHeight="1">
      <c r="A402" s="13"/>
      <c r="B402" s="14"/>
    </row>
    <row r="403" ht="12.75" customHeight="1">
      <c r="A403" s="13"/>
      <c r="B403" s="14"/>
    </row>
    <row r="404" ht="12.75" customHeight="1">
      <c r="A404" s="13"/>
      <c r="B404" s="14"/>
    </row>
    <row r="405" ht="12.75" customHeight="1">
      <c r="A405" s="13"/>
      <c r="B405" s="14"/>
    </row>
    <row r="406" ht="12.75" customHeight="1">
      <c r="A406" s="13"/>
      <c r="B406" s="14"/>
    </row>
    <row r="407" ht="12.75" customHeight="1">
      <c r="A407" s="13"/>
      <c r="B407" s="14"/>
    </row>
    <row r="408" ht="12.75" customHeight="1">
      <c r="A408" s="13"/>
      <c r="B408" s="14"/>
    </row>
    <row r="409" ht="12.75" customHeight="1">
      <c r="A409" s="13"/>
      <c r="B409" s="14"/>
    </row>
    <row r="410" ht="12.75" customHeight="1">
      <c r="A410" s="13"/>
      <c r="B410" s="14"/>
    </row>
    <row r="411" ht="12.75" customHeight="1">
      <c r="A411" s="13"/>
      <c r="B411" s="14"/>
    </row>
    <row r="412" ht="12.75" customHeight="1">
      <c r="A412" s="13"/>
      <c r="B412" s="14"/>
    </row>
    <row r="413" ht="12.75" customHeight="1">
      <c r="A413" s="13"/>
      <c r="B413" s="14"/>
    </row>
    <row r="414" ht="12.75" customHeight="1">
      <c r="A414" s="13"/>
      <c r="B414" s="14"/>
    </row>
    <row r="415" ht="12.75" customHeight="1">
      <c r="A415" s="13"/>
      <c r="B415" s="14"/>
    </row>
    <row r="416" ht="12.75" customHeight="1">
      <c r="A416" s="13"/>
      <c r="B416" s="14"/>
    </row>
    <row r="417" ht="12.75" customHeight="1">
      <c r="A417" s="13"/>
      <c r="B417" s="14"/>
    </row>
    <row r="418" ht="12.75" customHeight="1">
      <c r="A418" s="13"/>
      <c r="B418" s="14"/>
    </row>
    <row r="419" ht="12.75" customHeight="1">
      <c r="A419" s="13"/>
      <c r="B419" s="14"/>
    </row>
    <row r="420" ht="12.75" customHeight="1">
      <c r="A420" s="13"/>
      <c r="B420" s="14"/>
    </row>
    <row r="421" ht="12.75" customHeight="1">
      <c r="A421" s="13"/>
      <c r="B421" s="14"/>
    </row>
    <row r="422" ht="12.75" customHeight="1">
      <c r="A422" s="13"/>
      <c r="B422" s="14"/>
    </row>
    <row r="423" ht="12.75" customHeight="1">
      <c r="A423" s="13"/>
      <c r="B423" s="14"/>
    </row>
    <row r="424" ht="12.75" customHeight="1">
      <c r="A424" s="13"/>
      <c r="B424" s="14"/>
    </row>
    <row r="425" ht="12.75" customHeight="1">
      <c r="A425" s="13"/>
      <c r="B425" s="14"/>
    </row>
    <row r="426" ht="12.75" customHeight="1">
      <c r="A426" s="13"/>
      <c r="B426" s="14"/>
    </row>
    <row r="427" ht="12.75" customHeight="1">
      <c r="A427" s="13"/>
      <c r="B427" s="14"/>
    </row>
    <row r="428" ht="12.75" customHeight="1">
      <c r="A428" s="13"/>
      <c r="B428" s="14"/>
    </row>
    <row r="429" ht="12.75" customHeight="1">
      <c r="A429" s="13"/>
      <c r="B429" s="14"/>
    </row>
    <row r="430" ht="12.75" customHeight="1">
      <c r="A430" s="13"/>
      <c r="B430" s="14"/>
    </row>
    <row r="431" ht="12.75" customHeight="1">
      <c r="A431" s="13"/>
      <c r="B431" s="14"/>
    </row>
    <row r="432" ht="12.75" customHeight="1">
      <c r="A432" s="13"/>
      <c r="B432" s="14"/>
    </row>
    <row r="433" ht="12.75" customHeight="1">
      <c r="A433" s="13"/>
      <c r="B433" s="14"/>
    </row>
    <row r="434" ht="12.75" customHeight="1">
      <c r="A434" s="13"/>
      <c r="B434" s="14"/>
    </row>
    <row r="435" ht="12.75" customHeight="1">
      <c r="A435" s="13"/>
      <c r="B435" s="14"/>
    </row>
    <row r="436" ht="12.75" customHeight="1">
      <c r="A436" s="13"/>
      <c r="B436" s="14"/>
    </row>
    <row r="437" ht="12.75" customHeight="1">
      <c r="A437" s="13"/>
      <c r="B437" s="14"/>
    </row>
    <row r="438" ht="12.75" customHeight="1">
      <c r="A438" s="13"/>
      <c r="B438" s="14"/>
    </row>
    <row r="439" ht="12.75" customHeight="1">
      <c r="A439" s="13"/>
      <c r="B439" s="14"/>
    </row>
    <row r="440" ht="12.75" customHeight="1">
      <c r="A440" s="13"/>
      <c r="B440" s="14"/>
    </row>
    <row r="441" ht="12.75" customHeight="1">
      <c r="A441" s="13"/>
      <c r="B441" s="14"/>
    </row>
    <row r="442" ht="12.75" customHeight="1">
      <c r="A442" s="13"/>
      <c r="B442" s="14"/>
    </row>
    <row r="443" ht="12.75" customHeight="1">
      <c r="A443" s="13"/>
      <c r="B443" s="14"/>
    </row>
    <row r="444" ht="12.75" customHeight="1">
      <c r="A444" s="13"/>
      <c r="B444" s="14"/>
    </row>
    <row r="445" ht="12.75" customHeight="1">
      <c r="A445" s="13"/>
      <c r="B445" s="14"/>
    </row>
    <row r="446" ht="12.75" customHeight="1">
      <c r="A446" s="13"/>
      <c r="B446" s="14"/>
    </row>
    <row r="447" ht="12.75" customHeight="1">
      <c r="A447" s="13"/>
      <c r="B447" s="14"/>
    </row>
    <row r="448" ht="12.75" customHeight="1">
      <c r="A448" s="13"/>
      <c r="B448" s="14"/>
    </row>
    <row r="449" ht="12.75" customHeight="1">
      <c r="A449" s="13"/>
      <c r="B449" s="14"/>
    </row>
    <row r="450" ht="12.75" customHeight="1">
      <c r="A450" s="13"/>
      <c r="B450" s="14"/>
    </row>
    <row r="451" ht="12.75" customHeight="1">
      <c r="A451" s="13"/>
      <c r="B451" s="14"/>
    </row>
    <row r="452" ht="12.75" customHeight="1">
      <c r="A452" s="13"/>
      <c r="B452" s="14"/>
    </row>
    <row r="453" ht="12.75" customHeight="1">
      <c r="A453" s="13"/>
      <c r="B453" s="14"/>
    </row>
    <row r="454" ht="12.75" customHeight="1">
      <c r="A454" s="13"/>
      <c r="B454" s="14"/>
    </row>
    <row r="455" ht="12.75" customHeight="1">
      <c r="A455" s="13"/>
      <c r="B455" s="14"/>
    </row>
    <row r="456" ht="12.75" customHeight="1">
      <c r="A456" s="13"/>
      <c r="B456" s="14"/>
    </row>
    <row r="457" ht="12.75" customHeight="1">
      <c r="A457" s="13"/>
      <c r="B457" s="14"/>
    </row>
    <row r="458" ht="12.75" customHeight="1">
      <c r="A458" s="13"/>
      <c r="B458" s="14"/>
    </row>
    <row r="459" ht="12.75" customHeight="1">
      <c r="A459" s="13"/>
      <c r="B459" s="14"/>
    </row>
    <row r="460" ht="12.75" customHeight="1">
      <c r="A460" s="13"/>
      <c r="B460" s="14"/>
    </row>
    <row r="461" ht="12.75" customHeight="1">
      <c r="A461" s="13"/>
      <c r="B461" s="14"/>
    </row>
    <row r="462" ht="12.75" customHeight="1">
      <c r="A462" s="13"/>
      <c r="B462" s="14"/>
    </row>
    <row r="463" ht="12.75" customHeight="1">
      <c r="A463" s="13"/>
      <c r="B463" s="14"/>
    </row>
    <row r="464" ht="12.75" customHeight="1">
      <c r="A464" s="13"/>
      <c r="B464" s="14"/>
    </row>
    <row r="465" ht="12.75" customHeight="1">
      <c r="A465" s="13"/>
      <c r="B465" s="14"/>
    </row>
    <row r="466" ht="12.75" customHeight="1">
      <c r="A466" s="13"/>
      <c r="B466" s="14"/>
    </row>
    <row r="467" ht="12.75" customHeight="1">
      <c r="A467" s="13"/>
      <c r="B467" s="14"/>
    </row>
    <row r="468" ht="12.75" customHeight="1">
      <c r="A468" s="13"/>
      <c r="B468" s="14"/>
    </row>
    <row r="469" ht="12.75" customHeight="1">
      <c r="A469" s="13"/>
      <c r="B469" s="14"/>
    </row>
    <row r="470" ht="12.75" customHeight="1">
      <c r="A470" s="13"/>
      <c r="B470" s="14"/>
    </row>
    <row r="471" ht="12.75" customHeight="1">
      <c r="A471" s="13"/>
      <c r="B471" s="14"/>
    </row>
    <row r="472" ht="12.75" customHeight="1">
      <c r="A472" s="13"/>
      <c r="B472" s="14"/>
    </row>
    <row r="473" ht="12.75" customHeight="1">
      <c r="A473" s="13"/>
      <c r="B473" s="14"/>
    </row>
    <row r="474" ht="12.75" customHeight="1">
      <c r="A474" s="13"/>
      <c r="B474" s="14"/>
    </row>
    <row r="475" ht="12.75" customHeight="1">
      <c r="A475" s="13"/>
      <c r="B475" s="14"/>
    </row>
    <row r="476" ht="12.75" customHeight="1">
      <c r="A476" s="13"/>
      <c r="B476" s="14"/>
    </row>
    <row r="477" ht="12.75" customHeight="1">
      <c r="A477" s="13"/>
      <c r="B477" s="14"/>
    </row>
    <row r="478" ht="12.75" customHeight="1">
      <c r="A478" s="13"/>
      <c r="B478" s="14"/>
    </row>
    <row r="479" ht="12.75" customHeight="1">
      <c r="A479" s="13"/>
      <c r="B479" s="14"/>
    </row>
    <row r="480" ht="12.75" customHeight="1">
      <c r="A480" s="13"/>
      <c r="B480" s="14"/>
    </row>
    <row r="481" ht="12.75" customHeight="1">
      <c r="A481" s="13"/>
      <c r="B481" s="14"/>
    </row>
    <row r="482" ht="12.75" customHeight="1">
      <c r="A482" s="13"/>
      <c r="B482" s="14"/>
    </row>
    <row r="483" ht="12.75" customHeight="1">
      <c r="A483" s="13"/>
      <c r="B483" s="14"/>
    </row>
    <row r="484" ht="12.75" customHeight="1">
      <c r="A484" s="13"/>
      <c r="B484" s="14"/>
    </row>
    <row r="485" ht="12.75" customHeight="1">
      <c r="A485" s="13"/>
      <c r="B485" s="14"/>
    </row>
    <row r="486" ht="12.75" customHeight="1">
      <c r="A486" s="13"/>
      <c r="B486" s="14"/>
    </row>
    <row r="487" ht="12.75" customHeight="1">
      <c r="A487" s="13"/>
      <c r="B487" s="14"/>
    </row>
    <row r="488" ht="12.75" customHeight="1">
      <c r="A488" s="13"/>
      <c r="B488" s="14"/>
    </row>
    <row r="489" ht="12.75" customHeight="1">
      <c r="A489" s="13"/>
      <c r="B489" s="14"/>
    </row>
    <row r="490" ht="12.75" customHeight="1">
      <c r="A490" s="13"/>
      <c r="B490" s="14"/>
    </row>
    <row r="491" ht="12.75" customHeight="1">
      <c r="A491" s="13"/>
      <c r="B491" s="14"/>
    </row>
    <row r="492" ht="12.75" customHeight="1">
      <c r="A492" s="13"/>
      <c r="B492" s="14"/>
    </row>
    <row r="493" ht="12.75" customHeight="1">
      <c r="A493" s="13"/>
      <c r="B493" s="14"/>
    </row>
    <row r="494" ht="12.75" customHeight="1">
      <c r="A494" s="13"/>
      <c r="B494" s="14"/>
    </row>
    <row r="495" ht="12.75" customHeight="1">
      <c r="A495" s="13"/>
      <c r="B495" s="14"/>
    </row>
    <row r="496" ht="12.75" customHeight="1">
      <c r="A496" s="13"/>
      <c r="B496" s="14"/>
    </row>
    <row r="497" ht="12.75" customHeight="1">
      <c r="A497" s="13"/>
      <c r="B497" s="14"/>
    </row>
    <row r="498" ht="12.75" customHeight="1">
      <c r="A498" s="13"/>
      <c r="B498" s="14"/>
    </row>
    <row r="499" ht="12.75" customHeight="1">
      <c r="A499" s="13"/>
      <c r="B499" s="14"/>
    </row>
    <row r="500" ht="12.75" customHeight="1">
      <c r="A500" s="13"/>
      <c r="B500" s="14"/>
    </row>
    <row r="501" ht="12.75" customHeight="1">
      <c r="A501" s="13"/>
      <c r="B501" s="14"/>
    </row>
    <row r="502" ht="12.75" customHeight="1">
      <c r="A502" s="13"/>
      <c r="B502" s="14"/>
    </row>
    <row r="503" ht="12.75" customHeight="1">
      <c r="A503" s="13"/>
      <c r="B503" s="14"/>
    </row>
    <row r="504" ht="12.75" customHeight="1">
      <c r="A504" s="13"/>
      <c r="B504" s="14"/>
    </row>
    <row r="505" ht="12.75" customHeight="1">
      <c r="A505" s="13"/>
      <c r="B505" s="14"/>
    </row>
    <row r="506" ht="12.75" customHeight="1">
      <c r="A506" s="13"/>
      <c r="B506" s="14"/>
    </row>
    <row r="507" ht="12.75" customHeight="1">
      <c r="A507" s="13"/>
      <c r="B507" s="14"/>
    </row>
    <row r="508" ht="12.75" customHeight="1">
      <c r="A508" s="13"/>
      <c r="B508" s="14"/>
    </row>
    <row r="509" ht="12.75" customHeight="1">
      <c r="A509" s="13"/>
      <c r="B509" s="14"/>
    </row>
    <row r="510" ht="12.75" customHeight="1">
      <c r="A510" s="13"/>
      <c r="B510" s="14"/>
    </row>
    <row r="511" ht="12.75" customHeight="1">
      <c r="A511" s="13"/>
      <c r="B511" s="14"/>
    </row>
    <row r="512" ht="12.75" customHeight="1">
      <c r="A512" s="13"/>
      <c r="B512" s="14"/>
    </row>
    <row r="513" ht="12.75" customHeight="1">
      <c r="A513" s="13"/>
      <c r="B513" s="14"/>
    </row>
    <row r="514" ht="12.75" customHeight="1">
      <c r="A514" s="13"/>
      <c r="B514" s="14"/>
    </row>
    <row r="515" ht="12.75" customHeight="1">
      <c r="A515" s="13"/>
      <c r="B515" s="14"/>
    </row>
    <row r="516" ht="12.75" customHeight="1">
      <c r="A516" s="13"/>
      <c r="B516" s="14"/>
    </row>
    <row r="517" ht="12.75" customHeight="1">
      <c r="A517" s="13"/>
      <c r="B517" s="14"/>
    </row>
    <row r="518" ht="12.75" customHeight="1">
      <c r="A518" s="13"/>
      <c r="B518" s="14"/>
    </row>
    <row r="519" ht="12.75" customHeight="1">
      <c r="A519" s="13"/>
      <c r="B519" s="14"/>
    </row>
    <row r="520" ht="12.75" customHeight="1">
      <c r="A520" s="13"/>
      <c r="B520" s="14"/>
    </row>
    <row r="521" ht="12.75" customHeight="1">
      <c r="A521" s="13"/>
      <c r="B521" s="14"/>
    </row>
    <row r="522" ht="12.75" customHeight="1">
      <c r="A522" s="13"/>
      <c r="B522" s="14"/>
    </row>
    <row r="523" ht="12.75" customHeight="1">
      <c r="A523" s="13"/>
      <c r="B523" s="14"/>
    </row>
    <row r="524" ht="12.75" customHeight="1">
      <c r="A524" s="13"/>
      <c r="B524" s="14"/>
    </row>
    <row r="525" ht="12.75" customHeight="1">
      <c r="A525" s="13"/>
      <c r="B525" s="14"/>
    </row>
    <row r="526" ht="12.75" customHeight="1">
      <c r="A526" s="13"/>
      <c r="B526" s="14"/>
    </row>
    <row r="527" ht="12.75" customHeight="1">
      <c r="A527" s="13"/>
      <c r="B527" s="14"/>
    </row>
    <row r="528" ht="12.75" customHeight="1">
      <c r="A528" s="13"/>
      <c r="B528" s="14"/>
    </row>
    <row r="529" ht="12.75" customHeight="1">
      <c r="A529" s="13"/>
      <c r="B529" s="14"/>
    </row>
    <row r="530" ht="12.75" customHeight="1">
      <c r="A530" s="13"/>
      <c r="B530" s="14"/>
    </row>
    <row r="531" ht="12.75" customHeight="1">
      <c r="A531" s="13"/>
      <c r="B531" s="14"/>
    </row>
    <row r="532" ht="12.75" customHeight="1">
      <c r="A532" s="13"/>
      <c r="B532" s="14"/>
    </row>
    <row r="533" ht="12.75" customHeight="1">
      <c r="A533" s="13"/>
      <c r="B533" s="14"/>
    </row>
    <row r="534" ht="12.75" customHeight="1">
      <c r="A534" s="13"/>
      <c r="B534" s="14"/>
    </row>
    <row r="535" ht="12.75" customHeight="1">
      <c r="A535" s="13"/>
      <c r="B535" s="14"/>
    </row>
    <row r="536" ht="12.75" customHeight="1">
      <c r="A536" s="13"/>
      <c r="B536" s="14"/>
    </row>
    <row r="537" ht="12.75" customHeight="1">
      <c r="A537" s="13"/>
      <c r="B537" s="14"/>
    </row>
    <row r="538" ht="12.75" customHeight="1">
      <c r="A538" s="13"/>
      <c r="B538" s="14"/>
    </row>
    <row r="539" ht="12.75" customHeight="1">
      <c r="A539" s="13"/>
      <c r="B539" s="14"/>
    </row>
    <row r="540" ht="12.75" customHeight="1">
      <c r="A540" s="13"/>
      <c r="B540" s="14"/>
    </row>
    <row r="541" ht="12.75" customHeight="1">
      <c r="A541" s="13"/>
      <c r="B541" s="14"/>
    </row>
    <row r="542" ht="12.75" customHeight="1">
      <c r="A542" s="13"/>
      <c r="B542" s="14"/>
    </row>
    <row r="543" ht="12.75" customHeight="1">
      <c r="A543" s="13"/>
      <c r="B543" s="14"/>
    </row>
    <row r="544" ht="12.75" customHeight="1">
      <c r="A544" s="13"/>
      <c r="B544" s="14"/>
    </row>
    <row r="545" ht="12.75" customHeight="1">
      <c r="A545" s="13"/>
      <c r="B545" s="14"/>
    </row>
    <row r="546" ht="12.75" customHeight="1">
      <c r="A546" s="13"/>
      <c r="B546" s="14"/>
    </row>
    <row r="547" ht="12.75" customHeight="1">
      <c r="A547" s="13"/>
      <c r="B547" s="14"/>
    </row>
    <row r="548" ht="12.75" customHeight="1">
      <c r="A548" s="13"/>
      <c r="B548" s="14"/>
    </row>
    <row r="549" ht="12.75" customHeight="1">
      <c r="A549" s="13"/>
      <c r="B549" s="14"/>
    </row>
    <row r="550" ht="12.75" customHeight="1">
      <c r="A550" s="13"/>
      <c r="B550" s="14"/>
    </row>
    <row r="551" ht="12.75" customHeight="1">
      <c r="A551" s="13"/>
      <c r="B551" s="14"/>
    </row>
    <row r="552" ht="12.75" customHeight="1">
      <c r="A552" s="13"/>
      <c r="B552" s="14"/>
    </row>
    <row r="553" ht="12.75" customHeight="1">
      <c r="A553" s="13"/>
      <c r="B553" s="14"/>
    </row>
    <row r="554" ht="12.75" customHeight="1">
      <c r="A554" s="13"/>
      <c r="B554" s="14"/>
    </row>
    <row r="555" ht="12.75" customHeight="1">
      <c r="A555" s="13"/>
      <c r="B555" s="14"/>
    </row>
    <row r="556" ht="12.75" customHeight="1">
      <c r="A556" s="13"/>
      <c r="B556" s="14"/>
    </row>
    <row r="557" ht="12.75" customHeight="1">
      <c r="A557" s="13"/>
      <c r="B557" s="14"/>
    </row>
    <row r="558" ht="12.75" customHeight="1">
      <c r="A558" s="13"/>
      <c r="B558" s="14"/>
    </row>
    <row r="559" ht="12.75" customHeight="1">
      <c r="A559" s="13"/>
      <c r="B559" s="14"/>
    </row>
    <row r="560" ht="12.75" customHeight="1">
      <c r="A560" s="13"/>
      <c r="B560" s="14"/>
    </row>
    <row r="561" ht="12.75" customHeight="1">
      <c r="A561" s="13"/>
      <c r="B561" s="14"/>
    </row>
    <row r="562" ht="12.75" customHeight="1">
      <c r="A562" s="13"/>
      <c r="B562" s="14"/>
    </row>
    <row r="563" ht="12.75" customHeight="1">
      <c r="A563" s="13"/>
      <c r="B563" s="14"/>
    </row>
    <row r="564" ht="12.75" customHeight="1">
      <c r="A564" s="13"/>
      <c r="B564" s="14"/>
    </row>
    <row r="565" ht="12.75" customHeight="1">
      <c r="A565" s="13"/>
      <c r="B565" s="14"/>
    </row>
    <row r="566" ht="12.75" customHeight="1">
      <c r="A566" s="13"/>
      <c r="B566" s="14"/>
    </row>
    <row r="567" ht="12.75" customHeight="1">
      <c r="A567" s="13"/>
      <c r="B567" s="14"/>
    </row>
    <row r="568" ht="12.75" customHeight="1">
      <c r="A568" s="13"/>
      <c r="B568" s="14"/>
    </row>
    <row r="569" ht="12.75" customHeight="1">
      <c r="A569" s="13"/>
      <c r="B569" s="14"/>
    </row>
    <row r="570" ht="12.75" customHeight="1">
      <c r="A570" s="13"/>
      <c r="B570" s="14"/>
    </row>
    <row r="571" ht="12.75" customHeight="1">
      <c r="A571" s="13"/>
      <c r="B571" s="14"/>
    </row>
    <row r="572" ht="12.75" customHeight="1">
      <c r="A572" s="13"/>
      <c r="B572" s="14"/>
    </row>
    <row r="573" ht="12.75" customHeight="1">
      <c r="A573" s="13"/>
      <c r="B573" s="14"/>
    </row>
    <row r="574" ht="12.75" customHeight="1">
      <c r="A574" s="13"/>
      <c r="B574" s="14"/>
    </row>
    <row r="575" ht="12.75" customHeight="1">
      <c r="A575" s="13"/>
      <c r="B575" s="14"/>
    </row>
    <row r="576" ht="12.75" customHeight="1">
      <c r="A576" s="13"/>
      <c r="B576" s="14"/>
    </row>
    <row r="577" ht="12.75" customHeight="1">
      <c r="A577" s="13"/>
      <c r="B577" s="14"/>
    </row>
    <row r="578" ht="12.75" customHeight="1">
      <c r="A578" s="13"/>
      <c r="B578" s="14"/>
    </row>
    <row r="579" ht="12.75" customHeight="1">
      <c r="A579" s="13"/>
      <c r="B579" s="14"/>
    </row>
    <row r="580" ht="12.75" customHeight="1">
      <c r="A580" s="13"/>
      <c r="B580" s="14"/>
    </row>
    <row r="581" ht="12.75" customHeight="1">
      <c r="A581" s="13"/>
      <c r="B581" s="14"/>
    </row>
    <row r="582" ht="12.75" customHeight="1">
      <c r="A582" s="13"/>
      <c r="B582" s="14"/>
    </row>
    <row r="583" ht="12.75" customHeight="1">
      <c r="A583" s="13"/>
      <c r="B583" s="14"/>
    </row>
    <row r="584" ht="12.75" customHeight="1">
      <c r="A584" s="13"/>
      <c r="B584" s="14"/>
    </row>
    <row r="585" ht="12.75" customHeight="1">
      <c r="A585" s="13"/>
      <c r="B585" s="14"/>
    </row>
    <row r="586" ht="12.75" customHeight="1">
      <c r="A586" s="13"/>
      <c r="B586" s="14"/>
    </row>
    <row r="587" ht="12.75" customHeight="1">
      <c r="A587" s="13"/>
      <c r="B587" s="14"/>
    </row>
    <row r="588" ht="12.75" customHeight="1">
      <c r="A588" s="13"/>
      <c r="B588" s="14"/>
    </row>
    <row r="589" ht="12.75" customHeight="1">
      <c r="A589" s="13"/>
      <c r="B589" s="14"/>
    </row>
    <row r="590" ht="12.75" customHeight="1">
      <c r="A590" s="13"/>
      <c r="B590" s="14"/>
    </row>
    <row r="591" ht="12.75" customHeight="1">
      <c r="A591" s="13"/>
      <c r="B591" s="14"/>
    </row>
    <row r="592" ht="12.75" customHeight="1">
      <c r="A592" s="13"/>
      <c r="B592" s="14"/>
    </row>
    <row r="593" ht="12.75" customHeight="1">
      <c r="A593" s="13"/>
      <c r="B593" s="14"/>
    </row>
    <row r="594" ht="12.75" customHeight="1">
      <c r="A594" s="13"/>
      <c r="B594" s="14"/>
    </row>
    <row r="595" ht="12.75" customHeight="1">
      <c r="A595" s="13"/>
      <c r="B595" s="14"/>
    </row>
    <row r="596" ht="12.75" customHeight="1">
      <c r="A596" s="13"/>
      <c r="B596" s="14"/>
    </row>
    <row r="597" ht="12.75" customHeight="1">
      <c r="A597" s="13"/>
      <c r="B597" s="14"/>
    </row>
    <row r="598" ht="12.75" customHeight="1">
      <c r="A598" s="13"/>
      <c r="B598" s="14"/>
    </row>
    <row r="599" ht="12.75" customHeight="1">
      <c r="A599" s="13"/>
      <c r="B599" s="14"/>
    </row>
    <row r="600" ht="12.75" customHeight="1">
      <c r="A600" s="13"/>
      <c r="B600" s="14"/>
    </row>
    <row r="601" ht="12.75" customHeight="1">
      <c r="A601" s="13"/>
      <c r="B601" s="14"/>
    </row>
    <row r="602" ht="12.75" customHeight="1">
      <c r="A602" s="13"/>
      <c r="B602" s="14"/>
    </row>
    <row r="603" ht="12.75" customHeight="1">
      <c r="A603" s="13"/>
      <c r="B603" s="14"/>
    </row>
    <row r="604" ht="12.75" customHeight="1">
      <c r="A604" s="13"/>
      <c r="B604" s="14"/>
    </row>
    <row r="605" ht="12.75" customHeight="1">
      <c r="A605" s="13"/>
      <c r="B605" s="14"/>
    </row>
    <row r="606" ht="12.75" customHeight="1">
      <c r="A606" s="13"/>
      <c r="B606" s="14"/>
    </row>
    <row r="607" ht="12.75" customHeight="1">
      <c r="A607" s="13"/>
      <c r="B607" s="14"/>
    </row>
    <row r="608" ht="12.75" customHeight="1">
      <c r="A608" s="13"/>
      <c r="B608" s="14"/>
    </row>
    <row r="609" ht="12.75" customHeight="1">
      <c r="A609" s="13"/>
      <c r="B609" s="14"/>
    </row>
    <row r="610" ht="12.75" customHeight="1">
      <c r="A610" s="13"/>
      <c r="B610" s="14"/>
    </row>
    <row r="611" ht="12.75" customHeight="1">
      <c r="A611" s="13"/>
      <c r="B611" s="14"/>
    </row>
    <row r="612" ht="12.75" customHeight="1">
      <c r="A612" s="13"/>
      <c r="B612" s="14"/>
    </row>
    <row r="613" ht="12.75" customHeight="1">
      <c r="A613" s="13"/>
      <c r="B613" s="14"/>
    </row>
    <row r="614" ht="12.75" customHeight="1">
      <c r="A614" s="13"/>
      <c r="B614" s="14"/>
    </row>
    <row r="615" ht="12.75" customHeight="1">
      <c r="A615" s="13"/>
      <c r="B615" s="14"/>
    </row>
    <row r="616" ht="12.75" customHeight="1">
      <c r="A616" s="13"/>
      <c r="B616" s="14"/>
    </row>
    <row r="617" ht="12.75" customHeight="1">
      <c r="A617" s="13"/>
      <c r="B617" s="14"/>
    </row>
    <row r="618" ht="12.75" customHeight="1">
      <c r="A618" s="13"/>
      <c r="B618" s="14"/>
    </row>
    <row r="619" ht="12.75" customHeight="1">
      <c r="A619" s="13"/>
      <c r="B619" s="14"/>
    </row>
    <row r="620" ht="12.75" customHeight="1">
      <c r="A620" s="13"/>
      <c r="B620" s="14"/>
    </row>
    <row r="621" ht="12.75" customHeight="1">
      <c r="A621" s="13"/>
      <c r="B621" s="14"/>
    </row>
    <row r="622" ht="12.75" customHeight="1">
      <c r="A622" s="13"/>
      <c r="B622" s="14"/>
    </row>
    <row r="623" ht="12.75" customHeight="1">
      <c r="A623" s="13"/>
      <c r="B623" s="14"/>
    </row>
    <row r="624" ht="12.75" customHeight="1">
      <c r="A624" s="13"/>
      <c r="B624" s="14"/>
    </row>
    <row r="625" ht="12.75" customHeight="1">
      <c r="A625" s="13"/>
      <c r="B625" s="14"/>
    </row>
    <row r="626" ht="12.75" customHeight="1">
      <c r="A626" s="13"/>
      <c r="B626" s="14"/>
    </row>
    <row r="627" ht="12.75" customHeight="1">
      <c r="A627" s="13"/>
      <c r="B627" s="14"/>
    </row>
    <row r="628" ht="12.75" customHeight="1">
      <c r="A628" s="13"/>
      <c r="B628" s="14"/>
    </row>
    <row r="629" ht="12.75" customHeight="1">
      <c r="A629" s="13"/>
      <c r="B629" s="14"/>
    </row>
    <row r="630" ht="12.75" customHeight="1">
      <c r="A630" s="13"/>
      <c r="B630" s="14"/>
    </row>
    <row r="631" ht="12.75" customHeight="1">
      <c r="A631" s="13"/>
      <c r="B631" s="14"/>
    </row>
    <row r="632" ht="12.75" customHeight="1">
      <c r="A632" s="13"/>
      <c r="B632" s="14"/>
    </row>
    <row r="633" ht="12.75" customHeight="1">
      <c r="A633" s="13"/>
      <c r="B633" s="14"/>
    </row>
    <row r="634" ht="12.75" customHeight="1">
      <c r="A634" s="13"/>
      <c r="B634" s="14"/>
    </row>
    <row r="635" ht="12.75" customHeight="1">
      <c r="A635" s="13"/>
      <c r="B635" s="14"/>
    </row>
    <row r="636" ht="12.75" customHeight="1">
      <c r="A636" s="13"/>
      <c r="B636" s="14"/>
    </row>
    <row r="637" ht="12.75" customHeight="1">
      <c r="A637" s="13"/>
      <c r="B637" s="14"/>
    </row>
    <row r="638" ht="12.75" customHeight="1">
      <c r="A638" s="13"/>
      <c r="B638" s="14"/>
    </row>
    <row r="639" ht="12.75" customHeight="1">
      <c r="A639" s="13"/>
      <c r="B639" s="14"/>
    </row>
    <row r="640" ht="12.75" customHeight="1">
      <c r="A640" s="13"/>
      <c r="B640" s="14"/>
    </row>
    <row r="641" ht="12.75" customHeight="1">
      <c r="A641" s="13"/>
      <c r="B641" s="14"/>
    </row>
    <row r="642" ht="12.75" customHeight="1">
      <c r="A642" s="13"/>
      <c r="B642" s="14"/>
    </row>
    <row r="643" ht="12.75" customHeight="1">
      <c r="A643" s="13"/>
      <c r="B643" s="14"/>
    </row>
    <row r="644" ht="12.75" customHeight="1">
      <c r="A644" s="13"/>
      <c r="B644" s="14"/>
    </row>
    <row r="645" ht="12.75" customHeight="1">
      <c r="A645" s="13"/>
      <c r="B645" s="14"/>
    </row>
    <row r="646" ht="12.75" customHeight="1">
      <c r="A646" s="13"/>
      <c r="B646" s="14"/>
    </row>
    <row r="647" ht="12.75" customHeight="1">
      <c r="A647" s="13"/>
      <c r="B647" s="14"/>
    </row>
    <row r="648" ht="12.75" customHeight="1">
      <c r="A648" s="13"/>
      <c r="B648" s="14"/>
    </row>
    <row r="649" ht="12.75" customHeight="1">
      <c r="A649" s="13"/>
      <c r="B649" s="14"/>
    </row>
    <row r="650" ht="12.75" customHeight="1">
      <c r="A650" s="13"/>
      <c r="B650" s="14"/>
    </row>
    <row r="651" ht="12.75" customHeight="1">
      <c r="A651" s="13"/>
      <c r="B651" s="14"/>
    </row>
    <row r="652" ht="12.75" customHeight="1">
      <c r="A652" s="13"/>
      <c r="B652" s="14"/>
    </row>
    <row r="653" ht="12.75" customHeight="1">
      <c r="A653" s="13"/>
      <c r="B653" s="14"/>
    </row>
    <row r="654" ht="12.75" customHeight="1">
      <c r="A654" s="13"/>
      <c r="B654" s="14"/>
    </row>
    <row r="655" ht="12.75" customHeight="1">
      <c r="A655" s="13"/>
      <c r="B655" s="14"/>
    </row>
    <row r="656" ht="12.75" customHeight="1">
      <c r="A656" s="13"/>
      <c r="B656" s="14"/>
    </row>
    <row r="657" ht="12.75" customHeight="1">
      <c r="A657" s="13"/>
      <c r="B657" s="14"/>
    </row>
    <row r="658" ht="12.75" customHeight="1">
      <c r="A658" s="13"/>
      <c r="B658" s="14"/>
    </row>
    <row r="659" ht="12.75" customHeight="1">
      <c r="A659" s="13"/>
      <c r="B659" s="14"/>
    </row>
    <row r="660" ht="12.75" customHeight="1">
      <c r="A660" s="13"/>
      <c r="B660" s="14"/>
    </row>
    <row r="661" ht="12.75" customHeight="1">
      <c r="A661" s="13"/>
      <c r="B661" s="14"/>
    </row>
    <row r="662" ht="12.75" customHeight="1">
      <c r="A662" s="13"/>
      <c r="B662" s="14"/>
    </row>
    <row r="663" ht="12.75" customHeight="1">
      <c r="A663" s="13"/>
      <c r="B663" s="14"/>
    </row>
    <row r="664" ht="12.75" customHeight="1">
      <c r="A664" s="13"/>
      <c r="B664" s="14"/>
    </row>
    <row r="665" ht="12.75" customHeight="1">
      <c r="A665" s="13"/>
      <c r="B665" s="14"/>
    </row>
    <row r="666" ht="12.75" customHeight="1">
      <c r="A666" s="13"/>
      <c r="B666" s="14"/>
    </row>
    <row r="667" ht="12.75" customHeight="1">
      <c r="A667" s="13"/>
      <c r="B667" s="14"/>
    </row>
    <row r="668" ht="12.75" customHeight="1">
      <c r="A668" s="13"/>
      <c r="B668" s="14"/>
    </row>
    <row r="669" ht="12.75" customHeight="1">
      <c r="A669" s="13"/>
      <c r="B669" s="14"/>
    </row>
    <row r="670" ht="12.75" customHeight="1">
      <c r="A670" s="13"/>
      <c r="B670" s="14"/>
    </row>
    <row r="671" ht="12.75" customHeight="1">
      <c r="A671" s="13"/>
      <c r="B671" s="14"/>
    </row>
    <row r="672" ht="12.75" customHeight="1">
      <c r="A672" s="13"/>
      <c r="B672" s="14"/>
    </row>
    <row r="673" ht="12.75" customHeight="1">
      <c r="A673" s="13"/>
      <c r="B673" s="14"/>
    </row>
    <row r="674" ht="12.75" customHeight="1">
      <c r="A674" s="13"/>
      <c r="B674" s="14"/>
    </row>
    <row r="675" ht="12.75" customHeight="1">
      <c r="A675" s="13"/>
      <c r="B675" s="14"/>
    </row>
    <row r="676" ht="12.75" customHeight="1">
      <c r="A676" s="13"/>
      <c r="B676" s="14"/>
    </row>
    <row r="677" ht="12.75" customHeight="1">
      <c r="A677" s="13"/>
      <c r="B677" s="14"/>
    </row>
    <row r="678" ht="12.75" customHeight="1">
      <c r="A678" s="13"/>
      <c r="B678" s="14"/>
    </row>
    <row r="679" ht="12.75" customHeight="1">
      <c r="A679" s="13"/>
      <c r="B679" s="14"/>
    </row>
    <row r="680" ht="12.75" customHeight="1">
      <c r="A680" s="13"/>
      <c r="B680" s="14"/>
    </row>
    <row r="681" ht="12.75" customHeight="1">
      <c r="A681" s="13"/>
      <c r="B681" s="14"/>
    </row>
    <row r="682" ht="12.75" customHeight="1">
      <c r="A682" s="13"/>
      <c r="B682" s="14"/>
    </row>
    <row r="683" ht="12.75" customHeight="1">
      <c r="A683" s="13"/>
      <c r="B683" s="14"/>
    </row>
    <row r="684" ht="12.75" customHeight="1">
      <c r="A684" s="13"/>
      <c r="B684" s="14"/>
    </row>
    <row r="685" ht="12.75" customHeight="1">
      <c r="A685" s="13"/>
      <c r="B685" s="14"/>
    </row>
    <row r="686" ht="12.75" customHeight="1">
      <c r="A686" s="13"/>
      <c r="B686" s="14"/>
    </row>
    <row r="687" ht="12.75" customHeight="1">
      <c r="A687" s="13"/>
      <c r="B687" s="14"/>
    </row>
    <row r="688" ht="12.75" customHeight="1">
      <c r="A688" s="13"/>
      <c r="B688" s="14"/>
    </row>
    <row r="689" ht="12.75" customHeight="1">
      <c r="A689" s="13"/>
      <c r="B689" s="14"/>
    </row>
    <row r="690" ht="12.75" customHeight="1">
      <c r="A690" s="13"/>
      <c r="B690" s="14"/>
    </row>
    <row r="691" ht="12.75" customHeight="1">
      <c r="A691" s="13"/>
      <c r="B691" s="14"/>
    </row>
    <row r="692" ht="12.75" customHeight="1">
      <c r="A692" s="13"/>
      <c r="B692" s="14"/>
    </row>
    <row r="693" ht="12.75" customHeight="1">
      <c r="A693" s="13"/>
      <c r="B693" s="14"/>
    </row>
    <row r="694" ht="12.75" customHeight="1">
      <c r="A694" s="13"/>
      <c r="B694" s="14"/>
    </row>
    <row r="695" ht="12.75" customHeight="1">
      <c r="A695" s="13"/>
      <c r="B695" s="14"/>
    </row>
    <row r="696" ht="12.75" customHeight="1">
      <c r="A696" s="13"/>
      <c r="B696" s="14"/>
    </row>
    <row r="697" ht="12.75" customHeight="1">
      <c r="A697" s="13"/>
      <c r="B697" s="14"/>
    </row>
    <row r="698" ht="12.75" customHeight="1">
      <c r="A698" s="13"/>
      <c r="B698" s="14"/>
    </row>
    <row r="699" ht="12.75" customHeight="1">
      <c r="A699" s="13"/>
      <c r="B699" s="14"/>
    </row>
    <row r="700" ht="12.75" customHeight="1">
      <c r="A700" s="13"/>
      <c r="B700" s="14"/>
    </row>
    <row r="701" ht="12.75" customHeight="1">
      <c r="A701" s="13"/>
      <c r="B701" s="14"/>
    </row>
    <row r="702" ht="12.75" customHeight="1">
      <c r="A702" s="13"/>
      <c r="B702" s="14"/>
    </row>
    <row r="703" ht="12.75" customHeight="1">
      <c r="A703" s="13"/>
      <c r="B703" s="14"/>
    </row>
    <row r="704" ht="12.75" customHeight="1">
      <c r="A704" s="13"/>
      <c r="B704" s="14"/>
    </row>
    <row r="705" ht="12.75" customHeight="1">
      <c r="A705" s="13"/>
      <c r="B705" s="14"/>
    </row>
    <row r="706" ht="12.75" customHeight="1">
      <c r="A706" s="13"/>
      <c r="B706" s="14"/>
    </row>
    <row r="707" ht="12.75" customHeight="1">
      <c r="A707" s="13"/>
      <c r="B707" s="14"/>
    </row>
    <row r="708" ht="12.75" customHeight="1">
      <c r="A708" s="13"/>
      <c r="B708" s="14"/>
    </row>
    <row r="709" ht="12.75" customHeight="1">
      <c r="A709" s="13"/>
      <c r="B709" s="14"/>
    </row>
    <row r="710" ht="12.75" customHeight="1">
      <c r="A710" s="13"/>
      <c r="B710" s="14"/>
    </row>
    <row r="711" ht="12.75" customHeight="1">
      <c r="A711" s="13"/>
      <c r="B711" s="14"/>
    </row>
    <row r="712" ht="12.75" customHeight="1">
      <c r="A712" s="13"/>
      <c r="B712" s="14"/>
    </row>
    <row r="713" ht="12.75" customHeight="1">
      <c r="A713" s="13"/>
      <c r="B713" s="14"/>
    </row>
    <row r="714" ht="12.75" customHeight="1">
      <c r="A714" s="13"/>
      <c r="B714" s="14"/>
    </row>
    <row r="715" ht="12.75" customHeight="1">
      <c r="A715" s="13"/>
      <c r="B715" s="14"/>
    </row>
    <row r="716" ht="12.75" customHeight="1">
      <c r="A716" s="13"/>
      <c r="B716" s="14"/>
    </row>
    <row r="717" ht="12.75" customHeight="1">
      <c r="A717" s="13"/>
      <c r="B717" s="14"/>
    </row>
    <row r="718" ht="12.75" customHeight="1">
      <c r="A718" s="13"/>
      <c r="B718" s="14"/>
    </row>
    <row r="719" ht="12.75" customHeight="1">
      <c r="A719" s="13"/>
      <c r="B719" s="14"/>
    </row>
    <row r="720" ht="12.75" customHeight="1">
      <c r="A720" s="13"/>
      <c r="B720" s="14"/>
    </row>
    <row r="721" ht="12.75" customHeight="1">
      <c r="A721" s="13"/>
      <c r="B721" s="14"/>
    </row>
    <row r="722" ht="12.75" customHeight="1">
      <c r="A722" s="13"/>
      <c r="B722" s="14"/>
    </row>
    <row r="723" ht="12.75" customHeight="1">
      <c r="A723" s="13"/>
      <c r="B723" s="14"/>
    </row>
    <row r="724" ht="12.75" customHeight="1">
      <c r="A724" s="13"/>
      <c r="B724" s="14"/>
    </row>
    <row r="725" ht="12.75" customHeight="1">
      <c r="A725" s="13"/>
      <c r="B725" s="14"/>
    </row>
    <row r="726" ht="12.75" customHeight="1">
      <c r="A726" s="13"/>
      <c r="B726" s="14"/>
    </row>
    <row r="727" ht="12.75" customHeight="1">
      <c r="A727" s="13"/>
      <c r="B727" s="14"/>
    </row>
    <row r="728" ht="12.75" customHeight="1">
      <c r="A728" s="13"/>
      <c r="B728" s="14"/>
    </row>
    <row r="729" ht="12.75" customHeight="1">
      <c r="A729" s="13"/>
      <c r="B729" s="14"/>
    </row>
    <row r="730" ht="12.75" customHeight="1">
      <c r="A730" s="13"/>
      <c r="B730" s="14"/>
    </row>
    <row r="731" ht="12.75" customHeight="1">
      <c r="A731" s="13"/>
      <c r="B731" s="14"/>
    </row>
    <row r="732" ht="12.75" customHeight="1">
      <c r="A732" s="13"/>
      <c r="B732" s="14"/>
    </row>
    <row r="733" ht="12.75" customHeight="1">
      <c r="A733" s="13"/>
      <c r="B733" s="14"/>
    </row>
    <row r="734" ht="12.75" customHeight="1">
      <c r="A734" s="13"/>
      <c r="B734" s="14"/>
    </row>
    <row r="735" ht="12.75" customHeight="1">
      <c r="A735" s="13"/>
      <c r="B735" s="14"/>
    </row>
    <row r="736" ht="12.75" customHeight="1">
      <c r="A736" s="13"/>
      <c r="B736" s="14"/>
    </row>
    <row r="737" ht="12.75" customHeight="1">
      <c r="A737" s="13"/>
      <c r="B737" s="14"/>
    </row>
    <row r="738" ht="12.75" customHeight="1">
      <c r="A738" s="13"/>
      <c r="B738" s="14"/>
    </row>
    <row r="739" ht="12.75" customHeight="1">
      <c r="A739" s="13"/>
      <c r="B739" s="14"/>
    </row>
    <row r="740" ht="12.75" customHeight="1">
      <c r="A740" s="13"/>
      <c r="B740" s="14"/>
    </row>
    <row r="741" ht="12.75" customHeight="1">
      <c r="A741" s="13"/>
      <c r="B741" s="14"/>
    </row>
    <row r="742" ht="12.75" customHeight="1">
      <c r="A742" s="13"/>
      <c r="B742" s="14"/>
    </row>
    <row r="743" ht="12.75" customHeight="1">
      <c r="A743" s="13"/>
      <c r="B743" s="14"/>
    </row>
    <row r="744" ht="12.75" customHeight="1">
      <c r="A744" s="13"/>
      <c r="B744" s="14"/>
    </row>
    <row r="745" ht="12.75" customHeight="1">
      <c r="A745" s="13"/>
      <c r="B745" s="14"/>
    </row>
    <row r="746" ht="12.75" customHeight="1">
      <c r="A746" s="13"/>
      <c r="B746" s="14"/>
    </row>
    <row r="747" ht="12.75" customHeight="1">
      <c r="A747" s="13"/>
      <c r="B747" s="14"/>
    </row>
    <row r="748" ht="12.75" customHeight="1">
      <c r="A748" s="13"/>
      <c r="B748" s="14"/>
    </row>
    <row r="749" ht="12.75" customHeight="1">
      <c r="A749" s="13"/>
      <c r="B749" s="14"/>
    </row>
    <row r="750" ht="12.75" customHeight="1">
      <c r="A750" s="13"/>
      <c r="B750" s="14"/>
    </row>
    <row r="751" ht="12.75" customHeight="1">
      <c r="A751" s="13"/>
      <c r="B751" s="14"/>
    </row>
    <row r="752" ht="12.75" customHeight="1">
      <c r="A752" s="13"/>
      <c r="B752" s="14"/>
    </row>
    <row r="753" ht="12.75" customHeight="1">
      <c r="A753" s="13"/>
      <c r="B753" s="14"/>
    </row>
    <row r="754" ht="12.75" customHeight="1">
      <c r="A754" s="13"/>
      <c r="B754" s="14"/>
    </row>
    <row r="755" ht="12.75" customHeight="1">
      <c r="A755" s="13"/>
      <c r="B755" s="14"/>
    </row>
    <row r="756" ht="12.75" customHeight="1">
      <c r="A756" s="13"/>
      <c r="B756" s="14"/>
    </row>
    <row r="757" ht="12.75" customHeight="1">
      <c r="A757" s="13"/>
      <c r="B757" s="14"/>
    </row>
    <row r="758" ht="12.75" customHeight="1">
      <c r="A758" s="13"/>
      <c r="B758" s="14"/>
    </row>
    <row r="759" ht="12.75" customHeight="1">
      <c r="A759" s="13"/>
      <c r="B759" s="14"/>
    </row>
    <row r="760" ht="12.75" customHeight="1">
      <c r="A760" s="13"/>
      <c r="B760" s="14"/>
    </row>
    <row r="761" ht="12.75" customHeight="1">
      <c r="A761" s="13"/>
      <c r="B761" s="14"/>
    </row>
    <row r="762" ht="12.75" customHeight="1">
      <c r="A762" s="13"/>
      <c r="B762" s="14"/>
    </row>
    <row r="763" ht="12.75" customHeight="1">
      <c r="A763" s="13"/>
      <c r="B763" s="14"/>
    </row>
    <row r="764" ht="12.75" customHeight="1">
      <c r="A764" s="13"/>
      <c r="B764" s="14"/>
    </row>
    <row r="765" ht="12.75" customHeight="1">
      <c r="A765" s="13"/>
      <c r="B765" s="14"/>
    </row>
    <row r="766" ht="12.75" customHeight="1">
      <c r="A766" s="13"/>
      <c r="B766" s="14"/>
    </row>
    <row r="767" ht="12.75" customHeight="1">
      <c r="A767" s="13"/>
      <c r="B767" s="14"/>
    </row>
    <row r="768" ht="12.75" customHeight="1">
      <c r="A768" s="13"/>
      <c r="B768" s="14"/>
    </row>
    <row r="769" ht="12.75" customHeight="1">
      <c r="A769" s="13"/>
      <c r="B769" s="14"/>
    </row>
    <row r="770" ht="12.75" customHeight="1">
      <c r="A770" s="13"/>
      <c r="B770" s="14"/>
    </row>
    <row r="771" ht="12.75" customHeight="1">
      <c r="A771" s="13"/>
      <c r="B771" s="14"/>
    </row>
    <row r="772" ht="12.75" customHeight="1">
      <c r="A772" s="13"/>
      <c r="B772" s="14"/>
    </row>
    <row r="773" ht="12.75" customHeight="1">
      <c r="A773" s="13"/>
      <c r="B773" s="14"/>
    </row>
    <row r="774" ht="12.75" customHeight="1">
      <c r="A774" s="13"/>
      <c r="B774" s="14"/>
    </row>
    <row r="775" ht="12.75" customHeight="1">
      <c r="A775" s="13"/>
      <c r="B775" s="14"/>
    </row>
    <row r="776" ht="12.75" customHeight="1">
      <c r="A776" s="13"/>
      <c r="B776" s="14"/>
    </row>
    <row r="777" ht="12.75" customHeight="1">
      <c r="A777" s="13"/>
      <c r="B777" s="14"/>
    </row>
    <row r="778" ht="12.75" customHeight="1">
      <c r="A778" s="13"/>
      <c r="B778" s="14"/>
    </row>
    <row r="779" ht="12.75" customHeight="1">
      <c r="A779" s="13"/>
      <c r="B779" s="14"/>
    </row>
    <row r="780" ht="12.75" customHeight="1">
      <c r="A780" s="13"/>
      <c r="B780" s="14"/>
    </row>
    <row r="781" ht="12.75" customHeight="1">
      <c r="A781" s="13"/>
      <c r="B781" s="14"/>
    </row>
    <row r="782" ht="12.75" customHeight="1">
      <c r="A782" s="13"/>
      <c r="B782" s="14"/>
    </row>
    <row r="783" ht="12.75" customHeight="1">
      <c r="A783" s="13"/>
      <c r="B783" s="14"/>
    </row>
    <row r="784" ht="12.75" customHeight="1">
      <c r="A784" s="13"/>
      <c r="B784" s="14"/>
    </row>
    <row r="785" ht="12.75" customHeight="1">
      <c r="A785" s="13"/>
      <c r="B785" s="14"/>
    </row>
    <row r="786" ht="12.75" customHeight="1">
      <c r="A786" s="13"/>
      <c r="B786" s="14"/>
    </row>
    <row r="787" ht="12.75" customHeight="1">
      <c r="A787" s="13"/>
      <c r="B787" s="14"/>
    </row>
    <row r="788" ht="12.75" customHeight="1">
      <c r="A788" s="13"/>
      <c r="B788" s="14"/>
    </row>
    <row r="789" ht="12.75" customHeight="1">
      <c r="A789" s="13"/>
      <c r="B789" s="14"/>
    </row>
    <row r="790" ht="12.75" customHeight="1">
      <c r="A790" s="13"/>
      <c r="B790" s="14"/>
    </row>
    <row r="791" ht="12.75" customHeight="1">
      <c r="A791" s="13"/>
      <c r="B791" s="14"/>
    </row>
    <row r="792" ht="12.75" customHeight="1">
      <c r="A792" s="13"/>
      <c r="B792" s="14"/>
    </row>
    <row r="793" ht="12.75" customHeight="1">
      <c r="A793" s="13"/>
      <c r="B793" s="14"/>
    </row>
    <row r="794" ht="12.75" customHeight="1">
      <c r="A794" s="13"/>
      <c r="B794" s="14"/>
    </row>
    <row r="795" ht="12.75" customHeight="1">
      <c r="A795" s="13"/>
      <c r="B795" s="14"/>
    </row>
    <row r="796" ht="12.75" customHeight="1">
      <c r="A796" s="13"/>
      <c r="B796" s="14"/>
    </row>
    <row r="797" ht="12.75" customHeight="1">
      <c r="A797" s="13"/>
      <c r="B797" s="14"/>
    </row>
    <row r="798" ht="12.75" customHeight="1">
      <c r="A798" s="13"/>
      <c r="B798" s="14"/>
    </row>
    <row r="799" ht="12.75" customHeight="1">
      <c r="A799" s="13"/>
      <c r="B799" s="14"/>
    </row>
    <row r="800" ht="12.75" customHeight="1">
      <c r="A800" s="13"/>
      <c r="B800" s="14"/>
    </row>
    <row r="801" ht="12.75" customHeight="1">
      <c r="A801" s="13"/>
      <c r="B801" s="14"/>
    </row>
    <row r="802" ht="12.75" customHeight="1">
      <c r="A802" s="13"/>
      <c r="B802" s="14"/>
    </row>
    <row r="803" ht="12.75" customHeight="1">
      <c r="A803" s="13"/>
      <c r="B803" s="14"/>
    </row>
    <row r="804" ht="12.75" customHeight="1">
      <c r="A804" s="13"/>
      <c r="B804" s="14"/>
    </row>
    <row r="805" ht="12.75" customHeight="1">
      <c r="A805" s="13"/>
      <c r="B805" s="14"/>
    </row>
    <row r="806" ht="12.75" customHeight="1">
      <c r="A806" s="13"/>
      <c r="B806" s="14"/>
    </row>
    <row r="807" ht="12.75" customHeight="1">
      <c r="A807" s="13"/>
      <c r="B807" s="14"/>
    </row>
    <row r="808" ht="12.75" customHeight="1">
      <c r="A808" s="13"/>
      <c r="B808" s="14"/>
    </row>
    <row r="809" ht="12.75" customHeight="1">
      <c r="A809" s="13"/>
      <c r="B809" s="14"/>
    </row>
    <row r="810" ht="12.75" customHeight="1">
      <c r="A810" s="13"/>
      <c r="B810" s="14"/>
    </row>
    <row r="811" ht="12.75" customHeight="1">
      <c r="A811" s="13"/>
      <c r="B811" s="14"/>
    </row>
    <row r="812" ht="12.75" customHeight="1">
      <c r="A812" s="13"/>
      <c r="B812" s="14"/>
    </row>
    <row r="813" ht="12.75" customHeight="1">
      <c r="A813" s="13"/>
      <c r="B813" s="14"/>
    </row>
    <row r="814" ht="12.75" customHeight="1">
      <c r="A814" s="13"/>
      <c r="B814" s="14"/>
    </row>
    <row r="815" ht="12.75" customHeight="1">
      <c r="A815" s="13"/>
      <c r="B815" s="14"/>
    </row>
    <row r="816" ht="12.75" customHeight="1">
      <c r="A816" s="13"/>
      <c r="B816" s="14"/>
    </row>
    <row r="817" ht="12.75" customHeight="1">
      <c r="A817" s="13"/>
      <c r="B817" s="14"/>
    </row>
    <row r="818" ht="12.75" customHeight="1">
      <c r="A818" s="13"/>
      <c r="B818" s="14"/>
    </row>
    <row r="819" ht="12.75" customHeight="1">
      <c r="A819" s="13"/>
      <c r="B819" s="14"/>
    </row>
    <row r="820" ht="12.75" customHeight="1">
      <c r="A820" s="13"/>
      <c r="B820" s="14"/>
    </row>
    <row r="821" ht="12.75" customHeight="1">
      <c r="A821" s="13"/>
      <c r="B821" s="14"/>
    </row>
    <row r="822" ht="12.75" customHeight="1">
      <c r="A822" s="13"/>
      <c r="B822" s="14"/>
    </row>
    <row r="823" ht="12.75" customHeight="1">
      <c r="A823" s="13"/>
      <c r="B823" s="14"/>
    </row>
    <row r="824" ht="12.75" customHeight="1">
      <c r="A824" s="13"/>
      <c r="B824" s="14"/>
    </row>
    <row r="825" ht="12.75" customHeight="1">
      <c r="A825" s="13"/>
      <c r="B825" s="14"/>
    </row>
    <row r="826" ht="12.75" customHeight="1">
      <c r="A826" s="13"/>
      <c r="B826" s="14"/>
    </row>
    <row r="827" ht="12.75" customHeight="1">
      <c r="A827" s="13"/>
      <c r="B827" s="14"/>
    </row>
    <row r="828" ht="12.75" customHeight="1">
      <c r="A828" s="13"/>
      <c r="B828" s="14"/>
    </row>
    <row r="829" ht="12.75" customHeight="1">
      <c r="A829" s="13"/>
      <c r="B829" s="14"/>
    </row>
    <row r="830" ht="12.75" customHeight="1">
      <c r="A830" s="13"/>
      <c r="B830" s="14"/>
    </row>
    <row r="831" ht="12.75" customHeight="1">
      <c r="A831" s="13"/>
      <c r="B831" s="14"/>
    </row>
    <row r="832" ht="12.75" customHeight="1">
      <c r="A832" s="13"/>
      <c r="B832" s="14"/>
    </row>
    <row r="833" ht="12.75" customHeight="1">
      <c r="A833" s="13"/>
      <c r="B833" s="14"/>
    </row>
    <row r="834" ht="12.75" customHeight="1">
      <c r="A834" s="13"/>
      <c r="B834" s="14"/>
    </row>
    <row r="835" ht="12.75" customHeight="1">
      <c r="A835" s="13"/>
      <c r="B835" s="14"/>
    </row>
    <row r="836" ht="12.75" customHeight="1">
      <c r="A836" s="13"/>
      <c r="B836" s="14"/>
    </row>
    <row r="837" ht="12.75" customHeight="1">
      <c r="A837" s="13"/>
      <c r="B837" s="14"/>
    </row>
    <row r="838" ht="12.75" customHeight="1">
      <c r="A838" s="13"/>
      <c r="B838" s="14"/>
    </row>
    <row r="839" ht="12.75" customHeight="1">
      <c r="A839" s="13"/>
      <c r="B839" s="14"/>
    </row>
    <row r="840" ht="12.75" customHeight="1">
      <c r="A840" s="13"/>
      <c r="B840" s="14"/>
    </row>
    <row r="841" ht="12.75" customHeight="1">
      <c r="A841" s="13"/>
      <c r="B841" s="14"/>
    </row>
    <row r="842" ht="12.75" customHeight="1">
      <c r="A842" s="13"/>
      <c r="B842" s="14"/>
    </row>
    <row r="843" ht="12.75" customHeight="1">
      <c r="A843" s="13"/>
      <c r="B843" s="14"/>
    </row>
    <row r="844" ht="12.75" customHeight="1">
      <c r="A844" s="13"/>
      <c r="B844" s="14"/>
    </row>
    <row r="845" ht="12.75" customHeight="1">
      <c r="A845" s="13"/>
      <c r="B845" s="14"/>
    </row>
    <row r="846" ht="12.75" customHeight="1">
      <c r="A846" s="13"/>
      <c r="B846" s="14"/>
    </row>
    <row r="847" ht="12.75" customHeight="1">
      <c r="A847" s="13"/>
      <c r="B847" s="14"/>
    </row>
    <row r="848" ht="12.75" customHeight="1">
      <c r="A848" s="13"/>
      <c r="B848" s="14"/>
    </row>
    <row r="849" ht="12.75" customHeight="1">
      <c r="A849" s="13"/>
      <c r="B849" s="14"/>
    </row>
    <row r="850" ht="12.75" customHeight="1">
      <c r="A850" s="13"/>
      <c r="B850" s="14"/>
    </row>
    <row r="851" ht="12.75" customHeight="1">
      <c r="A851" s="13"/>
      <c r="B851" s="14"/>
    </row>
    <row r="852" ht="12.75" customHeight="1">
      <c r="A852" s="13"/>
      <c r="B852" s="14"/>
    </row>
    <row r="853" ht="12.75" customHeight="1">
      <c r="A853" s="13"/>
      <c r="B853" s="14"/>
    </row>
    <row r="854" ht="12.75" customHeight="1">
      <c r="A854" s="13"/>
      <c r="B854" s="14"/>
    </row>
    <row r="855" ht="12.75" customHeight="1">
      <c r="A855" s="13"/>
      <c r="B855" s="14"/>
    </row>
    <row r="856" ht="12.75" customHeight="1">
      <c r="A856" s="13"/>
      <c r="B856" s="14"/>
    </row>
    <row r="857" ht="12.75" customHeight="1">
      <c r="A857" s="13"/>
      <c r="B857" s="14"/>
    </row>
    <row r="858" ht="12.75" customHeight="1">
      <c r="A858" s="13"/>
      <c r="B858" s="14"/>
    </row>
    <row r="859" ht="12.75" customHeight="1">
      <c r="A859" s="13"/>
      <c r="B859" s="14"/>
    </row>
    <row r="860" ht="12.75" customHeight="1">
      <c r="A860" s="13"/>
      <c r="B860" s="14"/>
    </row>
    <row r="861" ht="12.75" customHeight="1">
      <c r="A861" s="13"/>
      <c r="B861" s="14"/>
    </row>
    <row r="862" ht="12.75" customHeight="1">
      <c r="A862" s="13"/>
      <c r="B862" s="14"/>
    </row>
    <row r="863" ht="12.75" customHeight="1">
      <c r="A863" s="13"/>
      <c r="B863" s="14"/>
    </row>
    <row r="864" ht="12.75" customHeight="1">
      <c r="A864" s="13"/>
      <c r="B864" s="14"/>
    </row>
    <row r="865" ht="12.75" customHeight="1">
      <c r="A865" s="13"/>
      <c r="B865" s="14"/>
    </row>
    <row r="866" ht="12.75" customHeight="1">
      <c r="A866" s="13"/>
      <c r="B866" s="14"/>
    </row>
    <row r="867" ht="12.75" customHeight="1">
      <c r="A867" s="13"/>
      <c r="B867" s="14"/>
    </row>
    <row r="868" ht="12.75" customHeight="1">
      <c r="A868" s="13"/>
      <c r="B868" s="14"/>
    </row>
    <row r="869" ht="12.75" customHeight="1">
      <c r="A869" s="13"/>
      <c r="B869" s="14"/>
    </row>
    <row r="870" ht="12.75" customHeight="1">
      <c r="A870" s="13"/>
      <c r="B870" s="14"/>
    </row>
    <row r="871" ht="12.75" customHeight="1">
      <c r="A871" s="13"/>
      <c r="B871" s="14"/>
    </row>
    <row r="872" ht="12.75" customHeight="1">
      <c r="A872" s="13"/>
      <c r="B872" s="14"/>
    </row>
    <row r="873" ht="12.75" customHeight="1">
      <c r="A873" s="13"/>
      <c r="B873" s="14"/>
    </row>
    <row r="874" ht="12.75" customHeight="1">
      <c r="A874" s="13"/>
      <c r="B874" s="14"/>
    </row>
    <row r="875" ht="12.75" customHeight="1">
      <c r="A875" s="13"/>
      <c r="B875" s="14"/>
    </row>
    <row r="876" ht="12.75" customHeight="1">
      <c r="A876" s="13"/>
      <c r="B876" s="14"/>
    </row>
    <row r="877" ht="12.75" customHeight="1">
      <c r="A877" s="13"/>
      <c r="B877" s="14"/>
    </row>
    <row r="878" ht="12.75" customHeight="1">
      <c r="A878" s="13"/>
      <c r="B878" s="14"/>
    </row>
    <row r="879" ht="12.75" customHeight="1">
      <c r="A879" s="13"/>
      <c r="B879" s="14"/>
    </row>
    <row r="880" ht="12.75" customHeight="1">
      <c r="A880" s="13"/>
      <c r="B880" s="14"/>
    </row>
    <row r="881" ht="12.75" customHeight="1">
      <c r="A881" s="13"/>
      <c r="B881" s="14"/>
    </row>
    <row r="882" ht="12.75" customHeight="1">
      <c r="A882" s="13"/>
      <c r="B882" s="14"/>
    </row>
    <row r="883" ht="12.75" customHeight="1">
      <c r="A883" s="13"/>
      <c r="B883" s="14"/>
    </row>
    <row r="884" ht="12.75" customHeight="1">
      <c r="A884" s="13"/>
      <c r="B884" s="14"/>
    </row>
    <row r="885" ht="12.75" customHeight="1">
      <c r="A885" s="13"/>
      <c r="B885" s="14"/>
    </row>
    <row r="886" ht="12.75" customHeight="1">
      <c r="A886" s="13"/>
      <c r="B886" s="14"/>
    </row>
    <row r="887" ht="12.75" customHeight="1">
      <c r="A887" s="13"/>
      <c r="B887" s="14"/>
    </row>
    <row r="888" ht="12.75" customHeight="1">
      <c r="A888" s="13"/>
      <c r="B888" s="14"/>
    </row>
    <row r="889" ht="12.75" customHeight="1">
      <c r="A889" s="13"/>
      <c r="B889" s="14"/>
    </row>
    <row r="890" ht="12.75" customHeight="1">
      <c r="A890" s="13"/>
      <c r="B890" s="14"/>
    </row>
    <row r="891" ht="12.75" customHeight="1">
      <c r="A891" s="13"/>
      <c r="B891" s="14"/>
    </row>
    <row r="892" ht="12.75" customHeight="1">
      <c r="A892" s="13"/>
      <c r="B892" s="14"/>
    </row>
    <row r="893" ht="12.75" customHeight="1">
      <c r="A893" s="13"/>
      <c r="B893" s="14"/>
    </row>
    <row r="894" ht="12.75" customHeight="1">
      <c r="A894" s="13"/>
      <c r="B894" s="14"/>
    </row>
    <row r="895" ht="12.75" customHeight="1">
      <c r="A895" s="13"/>
      <c r="B895" s="14"/>
    </row>
    <row r="896" ht="12.75" customHeight="1">
      <c r="A896" s="13"/>
      <c r="B896" s="14"/>
    </row>
    <row r="897" ht="12.75" customHeight="1">
      <c r="A897" s="13"/>
      <c r="B897" s="14"/>
    </row>
    <row r="898" ht="12.75" customHeight="1">
      <c r="A898" s="13"/>
      <c r="B898" s="14"/>
    </row>
    <row r="899" ht="12.75" customHeight="1">
      <c r="A899" s="13"/>
      <c r="B899" s="14"/>
    </row>
    <row r="900" ht="12.75" customHeight="1">
      <c r="A900" s="13"/>
      <c r="B900" s="14"/>
    </row>
    <row r="901" ht="12.75" customHeight="1">
      <c r="A901" s="13"/>
      <c r="B901" s="14"/>
    </row>
    <row r="902" ht="12.75" customHeight="1">
      <c r="A902" s="13"/>
      <c r="B902" s="14"/>
    </row>
    <row r="903" ht="12.75" customHeight="1">
      <c r="A903" s="13"/>
      <c r="B903" s="14"/>
    </row>
    <row r="904" ht="12.75" customHeight="1">
      <c r="A904" s="13"/>
      <c r="B904" s="14"/>
    </row>
    <row r="905" ht="12.75" customHeight="1">
      <c r="A905" s="13"/>
      <c r="B905" s="14"/>
    </row>
    <row r="906" ht="12.75" customHeight="1">
      <c r="A906" s="13"/>
      <c r="B906" s="14"/>
    </row>
    <row r="907" ht="12.75" customHeight="1">
      <c r="A907" s="13"/>
      <c r="B907" s="14"/>
    </row>
    <row r="908" ht="12.75" customHeight="1">
      <c r="A908" s="13"/>
      <c r="B908" s="14"/>
    </row>
    <row r="909" ht="12.75" customHeight="1">
      <c r="A909" s="13"/>
      <c r="B909" s="14"/>
    </row>
    <row r="910" ht="12.75" customHeight="1">
      <c r="A910" s="13"/>
      <c r="B910" s="14"/>
    </row>
    <row r="911" ht="12.75" customHeight="1">
      <c r="A911" s="13"/>
      <c r="B911" s="14"/>
    </row>
    <row r="912" ht="12.75" customHeight="1">
      <c r="A912" s="13"/>
      <c r="B912" s="14"/>
    </row>
    <row r="913" ht="12.75" customHeight="1">
      <c r="A913" s="13"/>
      <c r="B913" s="14"/>
    </row>
    <row r="914" ht="12.75" customHeight="1">
      <c r="A914" s="13"/>
      <c r="B914" s="14"/>
    </row>
    <row r="915" ht="12.75" customHeight="1">
      <c r="A915" s="13"/>
      <c r="B915" s="14"/>
    </row>
    <row r="916" ht="12.75" customHeight="1">
      <c r="A916" s="13"/>
      <c r="B916" s="14"/>
    </row>
    <row r="917" ht="12.75" customHeight="1">
      <c r="A917" s="13"/>
      <c r="B917" s="14"/>
    </row>
    <row r="918" ht="12.75" customHeight="1">
      <c r="A918" s="13"/>
      <c r="B918" s="14"/>
    </row>
    <row r="919" ht="12.75" customHeight="1">
      <c r="A919" s="13"/>
      <c r="B919" s="14"/>
    </row>
    <row r="920" ht="12.75" customHeight="1">
      <c r="A920" s="13"/>
      <c r="B920" s="14"/>
    </row>
    <row r="921" ht="12.75" customHeight="1">
      <c r="A921" s="13"/>
      <c r="B921" s="14"/>
    </row>
    <row r="922" ht="12.75" customHeight="1">
      <c r="A922" s="13"/>
      <c r="B922" s="14"/>
    </row>
    <row r="923" ht="12.75" customHeight="1">
      <c r="A923" s="13"/>
      <c r="B923" s="14"/>
    </row>
    <row r="924" ht="12.75" customHeight="1">
      <c r="A924" s="13"/>
      <c r="B924" s="14"/>
    </row>
    <row r="925" ht="12.75" customHeight="1">
      <c r="A925" s="13"/>
      <c r="B925" s="14"/>
    </row>
    <row r="926" ht="12.75" customHeight="1">
      <c r="A926" s="13"/>
      <c r="B926" s="14"/>
    </row>
    <row r="927" ht="12.75" customHeight="1">
      <c r="A927" s="13"/>
      <c r="B927" s="14"/>
    </row>
    <row r="928" ht="12.75" customHeight="1">
      <c r="A928" s="13"/>
      <c r="B928" s="14"/>
    </row>
    <row r="929" ht="12.75" customHeight="1">
      <c r="A929" s="13"/>
      <c r="B929" s="14"/>
    </row>
    <row r="930" ht="12.75" customHeight="1">
      <c r="A930" s="13"/>
      <c r="B930" s="14"/>
    </row>
    <row r="931" ht="12.75" customHeight="1">
      <c r="A931" s="13"/>
      <c r="B931" s="14"/>
    </row>
    <row r="932" ht="12.75" customHeight="1">
      <c r="A932" s="13"/>
      <c r="B932" s="14"/>
    </row>
    <row r="933" ht="12.75" customHeight="1">
      <c r="A933" s="13"/>
      <c r="B933" s="14"/>
    </row>
    <row r="934" ht="12.75" customHeight="1">
      <c r="A934" s="13"/>
      <c r="B934" s="14"/>
    </row>
    <row r="935" ht="12.75" customHeight="1">
      <c r="A935" s="13"/>
      <c r="B935" s="14"/>
    </row>
    <row r="936" ht="12.75" customHeight="1">
      <c r="A936" s="13"/>
      <c r="B936" s="14"/>
    </row>
    <row r="937" ht="12.75" customHeight="1">
      <c r="A937" s="13"/>
      <c r="B937" s="14"/>
    </row>
    <row r="938" ht="12.75" customHeight="1">
      <c r="A938" s="13"/>
      <c r="B938" s="14"/>
    </row>
    <row r="939" ht="12.75" customHeight="1">
      <c r="A939" s="13"/>
      <c r="B939" s="14"/>
    </row>
    <row r="940" ht="12.75" customHeight="1">
      <c r="A940" s="13"/>
      <c r="B940" s="14"/>
    </row>
    <row r="941" ht="12.75" customHeight="1">
      <c r="A941" s="13"/>
      <c r="B941" s="14"/>
    </row>
    <row r="942" ht="12.75" customHeight="1">
      <c r="A942" s="13"/>
      <c r="B942" s="14"/>
    </row>
    <row r="943" ht="12.75" customHeight="1">
      <c r="A943" s="13"/>
      <c r="B943" s="14"/>
    </row>
    <row r="944" ht="12.75" customHeight="1">
      <c r="A944" s="13"/>
      <c r="B944" s="14"/>
    </row>
    <row r="945" ht="12.75" customHeight="1">
      <c r="A945" s="13"/>
      <c r="B945" s="14"/>
    </row>
    <row r="946" ht="12.75" customHeight="1">
      <c r="A946" s="13"/>
      <c r="B946" s="14"/>
    </row>
    <row r="947" ht="12.75" customHeight="1">
      <c r="A947" s="13"/>
      <c r="B947" s="14"/>
    </row>
    <row r="948" ht="12.75" customHeight="1">
      <c r="A948" s="13"/>
      <c r="B948" s="14"/>
    </row>
    <row r="949" ht="12.75" customHeight="1">
      <c r="A949" s="13"/>
      <c r="B949" s="14"/>
    </row>
    <row r="950" ht="12.75" customHeight="1">
      <c r="A950" s="13"/>
      <c r="B950" s="14"/>
    </row>
    <row r="951" ht="12.75" customHeight="1">
      <c r="A951" s="13"/>
      <c r="B951" s="14"/>
    </row>
    <row r="952" ht="12.75" customHeight="1">
      <c r="A952" s="13"/>
      <c r="B952" s="14"/>
    </row>
    <row r="953" ht="12.75" customHeight="1">
      <c r="A953" s="13"/>
      <c r="B953" s="14"/>
    </row>
    <row r="954" ht="12.75" customHeight="1">
      <c r="A954" s="13"/>
      <c r="B954" s="14"/>
    </row>
    <row r="955" ht="12.75" customHeight="1">
      <c r="A955" s="13"/>
      <c r="B955" s="14"/>
    </row>
    <row r="956" ht="12.75" customHeight="1">
      <c r="A956" s="13"/>
      <c r="B956" s="14"/>
    </row>
    <row r="957" ht="12.75" customHeight="1">
      <c r="A957" s="13"/>
      <c r="B957" s="14"/>
    </row>
    <row r="958" ht="12.75" customHeight="1">
      <c r="A958" s="13"/>
      <c r="B958" s="14"/>
    </row>
    <row r="959" ht="12.75" customHeight="1">
      <c r="A959" s="13"/>
      <c r="B959" s="14"/>
    </row>
    <row r="960" ht="12.75" customHeight="1">
      <c r="A960" s="13"/>
      <c r="B960" s="14"/>
    </row>
    <row r="961" ht="12.75" customHeight="1">
      <c r="A961" s="13"/>
      <c r="B961" s="14"/>
    </row>
    <row r="962" ht="12.75" customHeight="1">
      <c r="A962" s="13"/>
      <c r="B962" s="14"/>
    </row>
    <row r="963" ht="12.75" customHeight="1">
      <c r="A963" s="13"/>
      <c r="B963" s="14"/>
    </row>
    <row r="964" ht="12.75" customHeight="1">
      <c r="A964" s="13"/>
      <c r="B964" s="14"/>
    </row>
    <row r="965" ht="12.75" customHeight="1">
      <c r="A965" s="13"/>
      <c r="B965" s="14"/>
    </row>
    <row r="966" ht="12.75" customHeight="1">
      <c r="A966" s="13"/>
      <c r="B966" s="14"/>
    </row>
    <row r="967" ht="12.75" customHeight="1">
      <c r="A967" s="13"/>
      <c r="B967" s="14"/>
    </row>
    <row r="968" ht="12.75" customHeight="1">
      <c r="A968" s="13"/>
      <c r="B968" s="14"/>
    </row>
    <row r="969" ht="12.75" customHeight="1">
      <c r="A969" s="13"/>
      <c r="B969" s="14"/>
    </row>
    <row r="970" ht="12.75" customHeight="1">
      <c r="A970" s="13"/>
      <c r="B970" s="14"/>
    </row>
    <row r="971" ht="12.75" customHeight="1">
      <c r="A971" s="13"/>
      <c r="B971" s="14"/>
    </row>
    <row r="972" ht="12.75" customHeight="1">
      <c r="A972" s="13"/>
      <c r="B972" s="14"/>
    </row>
    <row r="973" ht="12.75" customHeight="1">
      <c r="A973" s="13"/>
      <c r="B973" s="14"/>
    </row>
    <row r="974" ht="12.75" customHeight="1">
      <c r="A974" s="13"/>
      <c r="B974" s="14"/>
    </row>
    <row r="975" ht="12.75" customHeight="1">
      <c r="A975" s="13"/>
      <c r="B975" s="14"/>
    </row>
    <row r="976" ht="12.75" customHeight="1">
      <c r="A976" s="13"/>
      <c r="B976" s="14"/>
    </row>
    <row r="977" ht="12.75" customHeight="1">
      <c r="A977" s="13"/>
      <c r="B977" s="14"/>
    </row>
    <row r="978" ht="12.75" customHeight="1">
      <c r="A978" s="13"/>
      <c r="B978" s="14"/>
    </row>
    <row r="979" ht="12.75" customHeight="1">
      <c r="A979" s="13"/>
      <c r="B979" s="14"/>
    </row>
    <row r="980" ht="12.75" customHeight="1">
      <c r="A980" s="13"/>
      <c r="B980" s="14"/>
    </row>
    <row r="981" ht="12.75" customHeight="1">
      <c r="A981" s="13"/>
      <c r="B981" s="14"/>
    </row>
    <row r="982" ht="12.75" customHeight="1">
      <c r="A982" s="13"/>
      <c r="B982" s="14"/>
    </row>
    <row r="983" ht="12.75" customHeight="1">
      <c r="A983" s="13"/>
      <c r="B983" s="14"/>
    </row>
    <row r="984" ht="12.75" customHeight="1">
      <c r="A984" s="13"/>
      <c r="B984" s="14"/>
    </row>
    <row r="985" ht="12.75" customHeight="1">
      <c r="A985" s="13"/>
      <c r="B985" s="14"/>
    </row>
    <row r="986" ht="12.75" customHeight="1">
      <c r="A986" s="13"/>
      <c r="B986" s="14"/>
    </row>
    <row r="987" ht="12.75" customHeight="1">
      <c r="A987" s="13"/>
      <c r="B987" s="14"/>
    </row>
    <row r="988" ht="12.75" customHeight="1">
      <c r="A988" s="13"/>
      <c r="B988" s="14"/>
    </row>
    <row r="989" ht="12.75" customHeight="1">
      <c r="A989" s="13"/>
      <c r="B989" s="14"/>
    </row>
    <row r="990" ht="12.75" customHeight="1">
      <c r="A990" s="13"/>
      <c r="B990" s="14"/>
    </row>
    <row r="991" ht="12.75" customHeight="1">
      <c r="A991" s="13"/>
      <c r="B991" s="14"/>
    </row>
    <row r="992" ht="12.75" customHeight="1">
      <c r="A992" s="13"/>
      <c r="B992" s="14"/>
    </row>
    <row r="993" ht="12.75" customHeight="1">
      <c r="A993" s="13"/>
      <c r="B993" s="14"/>
    </row>
    <row r="994" ht="12.75" customHeight="1">
      <c r="A994" s="13"/>
      <c r="B994" s="14"/>
    </row>
    <row r="995" ht="12.75" customHeight="1">
      <c r="A995" s="13"/>
      <c r="B995" s="14"/>
    </row>
    <row r="996" ht="12.75" customHeight="1">
      <c r="A996" s="13"/>
      <c r="B996" s="14"/>
    </row>
    <row r="997" ht="12.75" customHeight="1">
      <c r="A997" s="13"/>
      <c r="B997" s="14"/>
    </row>
    <row r="998" ht="12.75" customHeight="1">
      <c r="A998" s="13"/>
      <c r="B998" s="14"/>
    </row>
    <row r="999" ht="12.75" customHeight="1">
      <c r="A999" s="13"/>
      <c r="B999" s="14"/>
    </row>
    <row r="1000" ht="12.75" customHeight="1">
      <c r="A1000" s="13"/>
      <c r="B1000" s="14"/>
    </row>
    <row r="1001" ht="12.75" customHeight="1">
      <c r="A1001" s="13"/>
      <c r="B1001" s="14"/>
    </row>
    <row r="1002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31" t="s">
        <v>57</v>
      </c>
      <c r="B1" s="32"/>
      <c r="C1" s="32"/>
      <c r="D1" s="32"/>
      <c r="E1" s="32"/>
      <c r="F1" s="32"/>
      <c r="G1" s="32"/>
      <c r="H1" s="33"/>
      <c r="J1" s="34" t="s">
        <v>58</v>
      </c>
    </row>
    <row r="2" ht="15.75" customHeight="1">
      <c r="A2" s="35" t="s">
        <v>0</v>
      </c>
      <c r="B2" s="35" t="s">
        <v>59</v>
      </c>
      <c r="C2" s="35" t="s">
        <v>60</v>
      </c>
      <c r="D2" s="35" t="s">
        <v>61</v>
      </c>
      <c r="E2" s="35" t="s">
        <v>62</v>
      </c>
      <c r="F2" s="35" t="s">
        <v>63</v>
      </c>
      <c r="G2" s="35" t="s">
        <v>64</v>
      </c>
      <c r="H2" s="35" t="s">
        <v>65</v>
      </c>
      <c r="J2" s="36" t="s">
        <v>66</v>
      </c>
    </row>
    <row r="3" ht="15.75" customHeight="1">
      <c r="A3" s="37" t="s">
        <v>2</v>
      </c>
      <c r="B3" s="38">
        <f>COUNTIF('Spa Manager'!$A$2:$A$45, A3)</f>
        <v>3</v>
      </c>
      <c r="C3" s="39">
        <f>SUMIF('Grader #1'!$A$2:$A$45, $A3, 'Grader #1'!$C$2:$C$45)</f>
        <v>3</v>
      </c>
      <c r="D3" s="39">
        <f>SUMIF('Grader #1'!A$46:A$52, A3, 'Grader #1'!$C$46:$C$52)</f>
        <v>0</v>
      </c>
      <c r="E3" s="39">
        <f>COUNTIFS('Grader #1'!$A$2:$A$45, $A3, 'Grader #1'!$C$2:$C$45,0)</f>
        <v>0</v>
      </c>
      <c r="F3" s="39">
        <f t="shared" ref="F3:F10" si="1">IFERROR(C3 / (C3 + D3), "Not Available")</f>
        <v>1</v>
      </c>
      <c r="G3" s="39">
        <f t="shared" ref="G3:G10" si="2">IFERROR(C3 / B3, "Not Available")</f>
        <v>1</v>
      </c>
      <c r="H3" s="39">
        <f t="shared" ref="H3:H10" si="3">IFERROR(2*((F3*G3)/(F3+G3)),"Not Available")</f>
        <v>1</v>
      </c>
      <c r="J3" s="40"/>
    </row>
    <row r="4" ht="15.75" customHeight="1">
      <c r="A4" s="41" t="s">
        <v>6</v>
      </c>
      <c r="B4" s="38">
        <f>COUNTIF('Spa Manager'!$A$2:$A$45, A4)</f>
        <v>16</v>
      </c>
      <c r="C4" s="39">
        <f>SUMIF('Grader #1'!$A$2:$A$45, $A4, 'Grader #1'!$C$2:$C$45)</f>
        <v>16</v>
      </c>
      <c r="D4" s="39">
        <f>SUMIF('Grader #1'!A$46:A$52, A4, 'Grader #1'!$C$46:$C$52)</f>
        <v>0</v>
      </c>
      <c r="E4" s="39">
        <f>COUNTIFS('Grader #1'!$A$2:$A$45, $A4, 'Grader #1'!$C$2:$C$45,0)</f>
        <v>0</v>
      </c>
      <c r="F4" s="39">
        <f t="shared" si="1"/>
        <v>1</v>
      </c>
      <c r="G4" s="39">
        <f t="shared" si="2"/>
        <v>1</v>
      </c>
      <c r="H4" s="39">
        <f t="shared" si="3"/>
        <v>1</v>
      </c>
      <c r="J4" s="34" t="s">
        <v>67</v>
      </c>
    </row>
    <row r="5" ht="15.75" customHeight="1">
      <c r="A5" s="41" t="s">
        <v>10</v>
      </c>
      <c r="B5" s="38">
        <f>COUNTIF('Spa Manager'!$A$2:$A$45, A5)</f>
        <v>15</v>
      </c>
      <c r="C5" s="39">
        <f>SUMIF('Grader #1'!$A$2:$A$45, $A5, 'Grader #1'!$C$2:$C$45)</f>
        <v>13.5</v>
      </c>
      <c r="D5" s="39">
        <f>SUMIF('Grader #1'!A$46:A$52, A5, 'Grader #1'!$C$46:$C$52)</f>
        <v>0</v>
      </c>
      <c r="E5" s="39">
        <f>COUNTIFS('Grader #1'!$A$2:$A$45, $A5, 'Grader #1'!$C$2:$C$45,0)</f>
        <v>1</v>
      </c>
      <c r="F5" s="39">
        <f t="shared" si="1"/>
        <v>1</v>
      </c>
      <c r="G5" s="39">
        <f t="shared" si="2"/>
        <v>0.9</v>
      </c>
      <c r="H5" s="39">
        <f t="shared" si="3"/>
        <v>0.9473684211</v>
      </c>
      <c r="J5" s="42">
        <v>1.0</v>
      </c>
    </row>
    <row r="6" ht="15.75" customHeight="1">
      <c r="A6" s="41" t="s">
        <v>48</v>
      </c>
      <c r="B6" s="38">
        <f>COUNTIF('Spa Manager'!$A$2:$A$45, A6)</f>
        <v>0</v>
      </c>
      <c r="C6" s="39">
        <f>SUMIF('Grader #1'!$A$2:$A$45, $A6, 'Grader #1'!$C$2:$C$45)</f>
        <v>0</v>
      </c>
      <c r="D6" s="39">
        <f>SUMIF('Grader #1'!A$46:A$52, A6, 'Grader #1'!$C$46:$C$52)</f>
        <v>0</v>
      </c>
      <c r="E6" s="39">
        <f>COUNTIFS('Grader #1'!$A$2:$A$45, $A6, 'Grader #1'!$C$2:$C$45,0)</f>
        <v>0</v>
      </c>
      <c r="F6" s="39" t="str">
        <f t="shared" si="1"/>
        <v>Not Available</v>
      </c>
      <c r="G6" s="39" t="str">
        <f t="shared" si="2"/>
        <v>Not Available</v>
      </c>
      <c r="H6" s="39" t="str">
        <f t="shared" si="3"/>
        <v>Not Available</v>
      </c>
      <c r="J6" s="40"/>
    </row>
    <row r="7" ht="15.75" customHeight="1">
      <c r="A7" s="41" t="s">
        <v>4</v>
      </c>
      <c r="B7" s="38">
        <f>COUNTIF('Spa Manager'!$A$2:$A$45, A7)</f>
        <v>5</v>
      </c>
      <c r="C7" s="39">
        <f>SUMIF('Grader #1'!$A$2:$A$45, $A7, 'Grader #1'!$C$2:$C$45)</f>
        <v>5</v>
      </c>
      <c r="D7" s="39">
        <f>SUMIF('Grader #1'!A$46:A$52, A7, 'Grader #1'!$C$46:$C$52)</f>
        <v>0</v>
      </c>
      <c r="E7" s="39">
        <f>COUNTIFS('Grader #1'!$A$2:$A$45, $A7, 'Grader #1'!$C$2:$C$45,0)</f>
        <v>0</v>
      </c>
      <c r="F7" s="39">
        <f t="shared" si="1"/>
        <v>1</v>
      </c>
      <c r="G7" s="39">
        <f t="shared" si="2"/>
        <v>1</v>
      </c>
      <c r="H7" s="39">
        <f t="shared" si="3"/>
        <v>1</v>
      </c>
      <c r="J7" s="34" t="s">
        <v>68</v>
      </c>
    </row>
    <row r="8" ht="15.75" customHeight="1">
      <c r="A8" s="41" t="s">
        <v>21</v>
      </c>
      <c r="B8" s="38">
        <f>COUNTIF('Spa Manager'!$A$2:$A$45, A8)</f>
        <v>1</v>
      </c>
      <c r="C8" s="39">
        <f>SUMIF('Grader #1'!$A$2:$A$45, $A8, 'Grader #1'!$C$2:$C$45)</f>
        <v>1</v>
      </c>
      <c r="D8" s="39">
        <f>SUMIF('Grader #1'!A$46:A$52, A8, 'Grader #1'!$C$46:$C$52)</f>
        <v>0</v>
      </c>
      <c r="E8" s="39">
        <f>COUNTIFS('Grader #1'!$A$2:$A$45, $A8, 'Grader #1'!$C$2:$C$45,0)</f>
        <v>0</v>
      </c>
      <c r="F8" s="39">
        <f t="shared" si="1"/>
        <v>1</v>
      </c>
      <c r="G8" s="39">
        <f t="shared" si="2"/>
        <v>1</v>
      </c>
      <c r="H8" s="39">
        <f t="shared" si="3"/>
        <v>1</v>
      </c>
      <c r="J8" s="42">
        <v>2.0</v>
      </c>
    </row>
    <row r="9" ht="15.75" customHeight="1">
      <c r="A9" s="41" t="s">
        <v>34</v>
      </c>
      <c r="B9" s="38">
        <f>COUNTIF('Spa Manager'!$A$2:$A$45, A9)</f>
        <v>4</v>
      </c>
      <c r="C9" s="39">
        <f>SUMIF('Grader #1'!$A$2:$A$45, $A9, 'Grader #1'!$C$2:$C$45)</f>
        <v>4</v>
      </c>
      <c r="D9" s="39">
        <f>SUMIF('Grader #1'!A$46:A$52, A9, 'Grader #1'!$C$46:$C$52)</f>
        <v>0</v>
      </c>
      <c r="E9" s="39">
        <f>COUNTIFS('Grader #1'!$A$2:$A$45, $A9, 'Grader #1'!$C$2:$C$45,0)</f>
        <v>0</v>
      </c>
      <c r="F9" s="39">
        <f t="shared" si="1"/>
        <v>1</v>
      </c>
      <c r="G9" s="39">
        <f t="shared" si="2"/>
        <v>1</v>
      </c>
      <c r="H9" s="39">
        <f t="shared" si="3"/>
        <v>1</v>
      </c>
      <c r="J9" s="40"/>
    </row>
    <row r="10" ht="15.75" customHeight="1">
      <c r="A10" s="41" t="s">
        <v>69</v>
      </c>
      <c r="B10" s="39">
        <f t="shared" ref="B10:E10" si="4">SUM(B3:B9)</f>
        <v>44</v>
      </c>
      <c r="C10" s="39">
        <f t="shared" si="4"/>
        <v>42.5</v>
      </c>
      <c r="D10" s="39">
        <f t="shared" si="4"/>
        <v>0</v>
      </c>
      <c r="E10" s="39">
        <f t="shared" si="4"/>
        <v>1</v>
      </c>
      <c r="F10" s="39">
        <f t="shared" si="1"/>
        <v>1</v>
      </c>
      <c r="G10" s="39">
        <f t="shared" si="2"/>
        <v>0.9659090909</v>
      </c>
      <c r="H10" s="39">
        <f t="shared" si="3"/>
        <v>0.9826589595</v>
      </c>
      <c r="J10" s="34" t="s">
        <v>70</v>
      </c>
    </row>
    <row r="11" ht="15.75" customHeight="1">
      <c r="J11" s="36" t="s">
        <v>71</v>
      </c>
    </row>
    <row r="12" ht="15.75" customHeight="1">
      <c r="A12" s="31" t="s">
        <v>72</v>
      </c>
      <c r="B12" s="32"/>
      <c r="C12" s="32"/>
      <c r="D12" s="32"/>
      <c r="E12" s="32"/>
      <c r="F12" s="32"/>
      <c r="G12" s="32"/>
      <c r="H12" s="33"/>
    </row>
    <row r="13" ht="15.75" customHeight="1">
      <c r="A13" s="35" t="s">
        <v>0</v>
      </c>
      <c r="B13" s="35" t="s">
        <v>59</v>
      </c>
      <c r="C13" s="35" t="s">
        <v>60</v>
      </c>
      <c r="D13" s="35" t="s">
        <v>61</v>
      </c>
      <c r="E13" s="35" t="s">
        <v>62</v>
      </c>
      <c r="F13" s="35" t="s">
        <v>63</v>
      </c>
      <c r="G13" s="35" t="s">
        <v>64</v>
      </c>
      <c r="H13" s="35" t="s">
        <v>65</v>
      </c>
    </row>
    <row r="14" ht="15.75" customHeight="1">
      <c r="A14" s="37" t="s">
        <v>73</v>
      </c>
      <c r="B14" s="38">
        <f>COUNTIF('Spa Manager'!$A$2:$A$45, A14)</f>
        <v>3</v>
      </c>
      <c r="C14" s="39">
        <f>SUMIF('Grader #2'!$A$2:$A$45, $A14, 'Grader #2'!$C$2:$C$45)</f>
        <v>3</v>
      </c>
      <c r="D14" s="39">
        <f>SUMIF('Grader #2'!A$46:A$52, A14, 'Grader #2'!$C$46:$C$53)</f>
        <v>0</v>
      </c>
      <c r="E14" s="39">
        <f>COUNTIFS('Grader #2'!$A$2:$A$45, $A14, 'Grader #2'!$C$2:$C$45,0)</f>
        <v>0</v>
      </c>
      <c r="F14" s="39">
        <f t="shared" ref="F14:F21" si="5">IFERROR(C14 / (C14 + D14), "Not Available")</f>
        <v>1</v>
      </c>
      <c r="G14" s="39">
        <f t="shared" ref="G14:G21" si="6">IFERROR(C14 / B14, "Not Available")</f>
        <v>1</v>
      </c>
      <c r="H14" s="39">
        <f t="shared" ref="H14:H21" si="7">IFERROR(2*((F14*G14)/(F14+G14)),"Not Available")</f>
        <v>1</v>
      </c>
    </row>
    <row r="15" ht="15.75" customHeight="1">
      <c r="A15" s="41" t="s">
        <v>6</v>
      </c>
      <c r="B15" s="38">
        <f>COUNTIF('Spa Manager'!$A$2:$A$45, A15)</f>
        <v>16</v>
      </c>
      <c r="C15" s="39">
        <f>SUMIF('Grader #2'!$A$2:$A$45, $A15, 'Grader #2'!$C$2:$C$45)</f>
        <v>16</v>
      </c>
      <c r="D15" s="39">
        <f>SUMIF('Grader #2'!A$46:A$52, A15, 'Grader #2'!$C$46:$C$53)</f>
        <v>0</v>
      </c>
      <c r="E15" s="39">
        <f>COUNTIFS('Grader #2'!$A$2:$A$45, $A15, 'Grader #2'!$C$2:$C$45,0)</f>
        <v>0</v>
      </c>
      <c r="F15" s="39">
        <f t="shared" si="5"/>
        <v>1</v>
      </c>
      <c r="G15" s="39">
        <f t="shared" si="6"/>
        <v>1</v>
      </c>
      <c r="H15" s="39">
        <f t="shared" si="7"/>
        <v>1</v>
      </c>
    </row>
    <row r="16" ht="15.75" customHeight="1">
      <c r="A16" s="41" t="s">
        <v>10</v>
      </c>
      <c r="B16" s="38">
        <f>COUNTIF('Spa Manager'!$A$2:$A$45, A16)</f>
        <v>15</v>
      </c>
      <c r="C16" s="39">
        <f>SUMIF('Grader #2'!$A$2:$A$45, $A16, 'Grader #2'!$C$2:$C$45)</f>
        <v>14</v>
      </c>
      <c r="D16" s="39">
        <f>SUMIF('Grader #2'!A$46:A$52, A16, 'Grader #2'!$C$46:$C$53)</f>
        <v>0</v>
      </c>
      <c r="E16" s="39">
        <f>COUNTIFS('Grader #2'!$A$2:$A$45, $A16, 'Grader #2'!$C$2:$C$45,0)</f>
        <v>0</v>
      </c>
      <c r="F16" s="39">
        <f t="shared" si="5"/>
        <v>1</v>
      </c>
      <c r="G16" s="39">
        <f t="shared" si="6"/>
        <v>0.9333333333</v>
      </c>
      <c r="H16" s="39">
        <f t="shared" si="7"/>
        <v>0.9655172414</v>
      </c>
    </row>
    <row r="17" ht="15.75" customHeight="1">
      <c r="A17" s="41" t="s">
        <v>48</v>
      </c>
      <c r="B17" s="38">
        <f>COUNTIF('Spa Manager'!$A$2:$A$45, A17)</f>
        <v>0</v>
      </c>
      <c r="C17" s="39">
        <f>SUMIF('Grader #2'!$A$2:$A$45, $A17, 'Grader #2'!$C$2:$C$45)</f>
        <v>0</v>
      </c>
      <c r="D17" s="39">
        <f>SUMIF('Grader #2'!A$46:A$52, A17, 'Grader #2'!$C$46:$C$53)</f>
        <v>0</v>
      </c>
      <c r="E17" s="39">
        <f>COUNTIFS('Grader #2'!$A$2:$A$45, $A17, 'Grader #2'!$C$2:$C$45,0)</f>
        <v>0</v>
      </c>
      <c r="F17" s="39" t="str">
        <f t="shared" si="5"/>
        <v>Not Available</v>
      </c>
      <c r="G17" s="39" t="str">
        <f t="shared" si="6"/>
        <v>Not Available</v>
      </c>
      <c r="H17" s="39" t="str">
        <f t="shared" si="7"/>
        <v>Not Available</v>
      </c>
    </row>
    <row r="18" ht="15.75" customHeight="1">
      <c r="A18" s="41" t="s">
        <v>4</v>
      </c>
      <c r="B18" s="38">
        <f>COUNTIF('Spa Manager'!$A$2:$A$45, A18)</f>
        <v>5</v>
      </c>
      <c r="C18" s="39">
        <f>SUMIF('Grader #2'!$A$2:$A$45, $A18, 'Grader #2'!$C$2:$C$45)</f>
        <v>4</v>
      </c>
      <c r="D18" s="39">
        <f>SUMIF('Grader #2'!A$46:A$52, A18, 'Grader #2'!$C$46:$C$53)</f>
        <v>0</v>
      </c>
      <c r="E18" s="39">
        <f>COUNTIFS('Grader #2'!$A$2:$A$45, $A18, 'Grader #2'!$C$2:$C$45,0)</f>
        <v>0</v>
      </c>
      <c r="F18" s="39">
        <f t="shared" si="5"/>
        <v>1</v>
      </c>
      <c r="G18" s="39">
        <f t="shared" si="6"/>
        <v>0.8</v>
      </c>
      <c r="H18" s="39">
        <f t="shared" si="7"/>
        <v>0.8888888889</v>
      </c>
    </row>
    <row r="19" ht="15.75" customHeight="1">
      <c r="A19" s="41" t="s">
        <v>21</v>
      </c>
      <c r="B19" s="38">
        <f>COUNTIF('Spa Manager'!$A$2:$A$45, A19)</f>
        <v>1</v>
      </c>
      <c r="C19" s="39">
        <f>SUMIF('Grader #2'!$A$2:$A$45, $A19, 'Grader #2'!$C$2:$C$45)</f>
        <v>1</v>
      </c>
      <c r="D19" s="39">
        <f>SUMIF('Grader #2'!A$46:A$52, A19, 'Grader #2'!$C$46:$C$53)</f>
        <v>0</v>
      </c>
      <c r="E19" s="39">
        <f>COUNTIFS('Grader #2'!$A$2:$A$45, $A19, 'Grader #2'!$C$2:$C$45,0)</f>
        <v>0</v>
      </c>
      <c r="F19" s="39">
        <f t="shared" si="5"/>
        <v>1</v>
      </c>
      <c r="G19" s="39">
        <f t="shared" si="6"/>
        <v>1</v>
      </c>
      <c r="H19" s="39">
        <f t="shared" si="7"/>
        <v>1</v>
      </c>
    </row>
    <row r="20" ht="15.75" customHeight="1">
      <c r="A20" s="41" t="s">
        <v>34</v>
      </c>
      <c r="B20" s="38">
        <f>COUNTIF('Spa Manager'!$A$2:$A$45, A20)</f>
        <v>4</v>
      </c>
      <c r="C20" s="39">
        <f>SUMIF('Grader #2'!$A$2:$A$45, $A20, 'Grader #2'!$C$2:$C$45)</f>
        <v>4</v>
      </c>
      <c r="D20" s="39">
        <f>SUMIF('Grader #2'!A$46:A$52, A20, 'Grader #2'!$C$46:$C$53)</f>
        <v>0</v>
      </c>
      <c r="E20" s="39">
        <f>COUNTIFS('Grader #2'!$A$2:$A$45, $A20, 'Grader #2'!$C$2:$C$45,0)</f>
        <v>0</v>
      </c>
      <c r="F20" s="39">
        <f t="shared" si="5"/>
        <v>1</v>
      </c>
      <c r="G20" s="39">
        <f t="shared" si="6"/>
        <v>1</v>
      </c>
      <c r="H20" s="39">
        <f t="shared" si="7"/>
        <v>1</v>
      </c>
    </row>
    <row r="21" ht="15.75" customHeight="1">
      <c r="A21" s="41" t="s">
        <v>69</v>
      </c>
      <c r="B21" s="39">
        <f t="shared" ref="B21:E21" si="8">SUM(B14:B20)</f>
        <v>44</v>
      </c>
      <c r="C21" s="39">
        <f t="shared" si="8"/>
        <v>42</v>
      </c>
      <c r="D21" s="39">
        <f t="shared" si="8"/>
        <v>0</v>
      </c>
      <c r="E21" s="39">
        <f t="shared" si="8"/>
        <v>0</v>
      </c>
      <c r="F21" s="39">
        <f t="shared" si="5"/>
        <v>1</v>
      </c>
      <c r="G21" s="39">
        <f t="shared" si="6"/>
        <v>0.9545454545</v>
      </c>
      <c r="H21" s="39">
        <f t="shared" si="7"/>
        <v>0.976744186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11" width="10.63"/>
    <col customWidth="1" min="12" max="12" width="22.5"/>
    <col customWidth="1" min="13" max="13" width="12.13"/>
    <col customWidth="1" min="14" max="14" width="53.13"/>
    <col customWidth="1" min="15" max="15" width="10.63"/>
    <col customWidth="1" min="16" max="16" width="50.0"/>
    <col customWidth="1" min="17" max="24" width="10.63"/>
  </cols>
  <sheetData>
    <row r="1" ht="12.75" customHeight="1">
      <c r="A1" s="1" t="s">
        <v>0</v>
      </c>
      <c r="B1" s="2" t="s">
        <v>1</v>
      </c>
      <c r="C1" s="2" t="s">
        <v>49</v>
      </c>
      <c r="D1" s="2" t="s">
        <v>52</v>
      </c>
      <c r="F1" s="43" t="s">
        <v>74</v>
      </c>
      <c r="L1" s="44" t="s">
        <v>75</v>
      </c>
      <c r="M1" s="45"/>
      <c r="N1" s="45"/>
    </row>
    <row r="2" ht="12.75" customHeight="1">
      <c r="A2" s="3" t="str">
        <f>'Spa Manager'!A2</f>
        <v>Composite State</v>
      </c>
      <c r="B2" s="4" t="str">
        <f>'Spa Manager'!B2</f>
        <v>SpaManager</v>
      </c>
      <c r="C2" s="46">
        <f>'Grader #1'!C2</f>
        <v>1</v>
      </c>
      <c r="D2" s="46">
        <f>'Grader #2'!C2</f>
        <v>1</v>
      </c>
      <c r="F2" s="14" t="s">
        <v>76</v>
      </c>
      <c r="G2" s="47" t="s">
        <v>77</v>
      </c>
      <c r="H2" s="48" t="s">
        <v>78</v>
      </c>
      <c r="I2" s="49" t="s">
        <v>79</v>
      </c>
      <c r="J2" s="50" t="s">
        <v>80</v>
      </c>
      <c r="K2" s="14"/>
      <c r="L2" s="51" t="s">
        <v>81</v>
      </c>
      <c r="M2" s="51" t="s">
        <v>82</v>
      </c>
      <c r="N2" s="51" t="s">
        <v>83</v>
      </c>
    </row>
    <row r="3" ht="12.75" customHeight="1">
      <c r="A3" s="3" t="str">
        <f>'Spa Manager'!A3</f>
        <v>Region</v>
      </c>
      <c r="B3" s="4" t="str">
        <f>'Spa Manager'!B3</f>
        <v>Jacuzzi</v>
      </c>
      <c r="C3" s="46">
        <f>'Grader #1'!C3</f>
        <v>1</v>
      </c>
      <c r="D3" s="46">
        <f>'Grader #2'!C3</f>
        <v>1</v>
      </c>
      <c r="F3" s="52">
        <v>0.0</v>
      </c>
      <c r="G3" s="53">
        <f>COUNTIFS($C$2:$C$90, $F3, $D$2:$D$90, G$2)</f>
        <v>7</v>
      </c>
      <c r="H3" s="54">
        <f>COUNTIFS($C$2:$C$46, $F3, $D$2:$D$46, H$2)</f>
        <v>1</v>
      </c>
      <c r="I3" s="55">
        <f>COUNTIFS($C$2:$C$46, $F3, $D$2:$D$46, I$2)+MAX(D47-C47,0)+MAX(D48-C48,0)+MAX(D49-C49,0)+MAX(D50-C50,0)+MAX(D51-C51,0)+MAX(D52-C52,0)+MAX(D53-C53,0)</f>
        <v>0</v>
      </c>
      <c r="J3" s="14">
        <f t="shared" ref="J3:J5" si="2">SUM(G3:I3)</f>
        <v>8</v>
      </c>
      <c r="K3" s="14"/>
      <c r="L3" s="56" t="s">
        <v>84</v>
      </c>
      <c r="M3" s="53">
        <f>(G3+H4+I5)/COUNTA($C$2:$C$100)</f>
        <v>0.9803921569</v>
      </c>
      <c r="N3" s="57" t="s">
        <v>85</v>
      </c>
    </row>
    <row r="4" ht="12.75" customHeight="1">
      <c r="A4" s="3" t="str">
        <f>'Spa Manager'!A4</f>
        <v>State</v>
      </c>
      <c r="B4" s="4" t="str">
        <f>'Spa Manager'!B4</f>
        <v>initial state (Jacuzzi → Off)</v>
      </c>
      <c r="C4" s="46">
        <f>'Grader #1'!C4</f>
        <v>1</v>
      </c>
      <c r="D4" s="46">
        <f>'Grader #2'!C4</f>
        <v>1</v>
      </c>
      <c r="F4" s="52">
        <v>0.5</v>
      </c>
      <c r="G4" s="58">
        <f t="shared" ref="G4:I4" si="1">COUNTIFS($C$2:$C$46, $F4, $D$2:$D$46, G$2)</f>
        <v>0</v>
      </c>
      <c r="H4" s="14">
        <f t="shared" si="1"/>
        <v>1</v>
      </c>
      <c r="I4" s="59">
        <f t="shared" si="1"/>
        <v>0</v>
      </c>
      <c r="J4" s="14">
        <f t="shared" si="2"/>
        <v>1</v>
      </c>
      <c r="K4" s="14"/>
      <c r="L4" s="56" t="s">
        <v>86</v>
      </c>
      <c r="M4" s="58">
        <f t="array" ref="M4">SUMPRODUCT(J3:J5/COUNTA($C$2:$C$100), TRANSPOSE(G6:I6)/COUNTA($C$2:$C$100))</f>
        <v>0.7004998078</v>
      </c>
      <c r="N4" s="59" t="s">
        <v>87</v>
      </c>
    </row>
    <row r="5" ht="12.75" customHeight="1">
      <c r="A5" s="3" t="str">
        <f>'Spa Manager'!A5</f>
        <v>State</v>
      </c>
      <c r="B5" s="4" t="str">
        <f>'Spa Manager'!B5</f>
        <v>Off</v>
      </c>
      <c r="C5" s="46">
        <f>'Grader #1'!C5</f>
        <v>1</v>
      </c>
      <c r="D5" s="46">
        <f>'Grader #2'!C5</f>
        <v>1</v>
      </c>
      <c r="F5" s="52">
        <v>1.0</v>
      </c>
      <c r="G5" s="60">
        <f>COUNTIFS($C$2:$C$46, $F5, $D$2:$D$46, G$2)+MAX(C47-D47,0)+MAX(C48-D48,0)+MAX(C49-D49,0)+MAX(C50-D50,0)+MAX(C51-D51,0)+MAX(C52-D52,0)+MAX(C53-D53,0)</f>
        <v>0</v>
      </c>
      <c r="H5" s="61">
        <f>COUNTIFS($C$2:$C$46, $F5, $D$2:$D$46, H$2)</f>
        <v>0</v>
      </c>
      <c r="I5" s="62">
        <f>COUNTIFS($C$2:$C$46, $F5, $D$2:$D$46, I$2)+ SUM(MIN(C47,D47), MIN(C48,D48), MIN(C49,D49), MIN(C50,D50), MIN(C51,D51), MIN(C52,D52), MIN(C53,D53))</f>
        <v>42</v>
      </c>
      <c r="J5" s="63">
        <f t="shared" si="2"/>
        <v>42</v>
      </c>
      <c r="K5" s="14"/>
      <c r="L5" s="56" t="s">
        <v>75</v>
      </c>
      <c r="M5" s="64">
        <f>(M3-M4)/(1-M4)</f>
        <v>0.9345314506</v>
      </c>
      <c r="N5" s="65" t="s">
        <v>88</v>
      </c>
    </row>
    <row r="6" ht="12.75" customHeight="1">
      <c r="A6" s="3" t="str">
        <f>'Spa Manager'!A6</f>
        <v>Composite State</v>
      </c>
      <c r="B6" s="4" t="str">
        <f>'Spa Manager'!B6</f>
        <v>On (Jacuzzi)</v>
      </c>
      <c r="C6" s="46">
        <f>'Grader #1'!C6</f>
        <v>1</v>
      </c>
      <c r="D6" s="46">
        <f>'Grader #2'!C6</f>
        <v>1</v>
      </c>
      <c r="F6" s="66" t="s">
        <v>89</v>
      </c>
      <c r="G6" s="14">
        <f t="shared" ref="G6:I6" si="3">SUM(G3:G5)</f>
        <v>7</v>
      </c>
      <c r="H6" s="14">
        <f t="shared" si="3"/>
        <v>2</v>
      </c>
      <c r="I6" s="63">
        <f t="shared" si="3"/>
        <v>42</v>
      </c>
      <c r="J6" s="14"/>
      <c r="L6" s="14"/>
      <c r="M6" s="67"/>
    </row>
    <row r="7" ht="12.75" customHeight="1">
      <c r="A7" s="3" t="str">
        <f>'Spa Manager'!A7</f>
        <v>Transition</v>
      </c>
      <c r="B7" s="4" t="str">
        <f>'Spa Manager'!B7</f>
        <v>on (Off ⇒ On)</v>
      </c>
      <c r="C7" s="46">
        <f>'Grader #1'!C7</f>
        <v>1</v>
      </c>
      <c r="D7" s="46">
        <f>'Grader #2'!C7</f>
        <v>1</v>
      </c>
      <c r="L7" s="14"/>
      <c r="M7" s="14"/>
      <c r="N7" s="14"/>
    </row>
    <row r="8" ht="12.75" customHeight="1">
      <c r="A8" s="3" t="str">
        <f>'Spa Manager'!A8</f>
        <v>Transition</v>
      </c>
      <c r="B8" s="4" t="str">
        <f>'Spa Manager'!B8</f>
        <v>off (On ⇒ Off)</v>
      </c>
      <c r="C8" s="46">
        <f>'Grader #1'!C8</f>
        <v>1</v>
      </c>
      <c r="D8" s="46">
        <f>'Grader #2'!C8</f>
        <v>1</v>
      </c>
      <c r="F8" s="43" t="s">
        <v>90</v>
      </c>
      <c r="L8" s="44" t="s">
        <v>91</v>
      </c>
      <c r="M8" s="45"/>
      <c r="N8" s="45"/>
    </row>
    <row r="9" ht="12.75" customHeight="1">
      <c r="A9" s="3" t="str">
        <f>'Spa Manager'!A9</f>
        <v>State</v>
      </c>
      <c r="B9" s="4" t="str">
        <f>'Spa Manager'!B9</f>
        <v>initial state (Level1)</v>
      </c>
      <c r="C9" s="46">
        <f>'Grader #1'!C9</f>
        <v>1</v>
      </c>
      <c r="D9" s="46">
        <f>'Grader #2'!C9</f>
        <v>1</v>
      </c>
      <c r="F9" s="14" t="s">
        <v>6</v>
      </c>
      <c r="G9" s="68" t="s">
        <v>77</v>
      </c>
      <c r="H9" s="68" t="s">
        <v>78</v>
      </c>
      <c r="I9" s="68" t="s">
        <v>79</v>
      </c>
      <c r="J9" s="69" t="s">
        <v>80</v>
      </c>
      <c r="K9" s="14"/>
      <c r="L9" s="51" t="s">
        <v>81</v>
      </c>
      <c r="M9" s="51" t="s">
        <v>82</v>
      </c>
      <c r="N9" s="51" t="s">
        <v>83</v>
      </c>
    </row>
    <row r="10" ht="12.75" customHeight="1">
      <c r="A10" s="3" t="str">
        <f>'Spa Manager'!A10</f>
        <v>State</v>
      </c>
      <c r="B10" s="4" t="str">
        <f>'Spa Manager'!B10</f>
        <v>Level1</v>
      </c>
      <c r="C10" s="46">
        <f>'Grader #1'!C10</f>
        <v>1</v>
      </c>
      <c r="D10" s="46">
        <f>'Grader #2'!C10</f>
        <v>1</v>
      </c>
      <c r="F10" s="52">
        <v>0.0</v>
      </c>
      <c r="G10" s="53">
        <f t="shared" ref="G10:H10" si="4">COUNTIFS($A$2:$A$90,$F$9,$C$2:$C$90,$F10,$D$2:$D$90,G$9)</f>
        <v>1</v>
      </c>
      <c r="H10" s="54">
        <f t="shared" si="4"/>
        <v>0</v>
      </c>
      <c r="I10" s="55">
        <f>COUNTIFS($A$2:$A$46,$F$9,$C$2:$C$46,$F10,$D$2:$D$46,I$9)+MAX(D47-C47,0)</f>
        <v>0</v>
      </c>
      <c r="J10" s="14">
        <f t="shared" ref="J10:J12" si="6">SUM(G10:I10)</f>
        <v>1</v>
      </c>
      <c r="K10" s="14"/>
      <c r="L10" s="56" t="s">
        <v>84</v>
      </c>
      <c r="M10" s="53">
        <f>(G10+H11+I12)/COUNTIF($A$2:$A$100,F9)</f>
        <v>1</v>
      </c>
      <c r="N10" s="57" t="s">
        <v>85</v>
      </c>
    </row>
    <row r="11" ht="12.75" customHeight="1">
      <c r="A11" s="3" t="str">
        <f>'Spa Manager'!A11</f>
        <v>Transition</v>
      </c>
      <c r="B11" s="4" t="str">
        <f>'Spa Manager'!B11</f>
        <v>up (Level1 ⇒ Level2)</v>
      </c>
      <c r="C11" s="46">
        <f>'Grader #1'!C11</f>
        <v>1</v>
      </c>
      <c r="D11" s="46">
        <f>'Grader #2'!C11</f>
        <v>1</v>
      </c>
      <c r="F11" s="52">
        <v>0.5</v>
      </c>
      <c r="G11" s="58">
        <f t="shared" ref="G11:I11" si="5">COUNTIFS($A$2:$A$90,$F$9,$C$2:$C$90,$F11,$D$2:$D$90,G$9)</f>
        <v>0</v>
      </c>
      <c r="H11" s="14">
        <f t="shared" si="5"/>
        <v>0</v>
      </c>
      <c r="I11" s="59">
        <f t="shared" si="5"/>
        <v>0</v>
      </c>
      <c r="J11" s="14">
        <f t="shared" si="6"/>
        <v>0</v>
      </c>
      <c r="K11" s="14"/>
      <c r="L11" s="56" t="s">
        <v>86</v>
      </c>
      <c r="M11" s="58">
        <f t="array" ref="M11">SUMPRODUCT(J10:J12/COUNTIF($A$2:$A$100,F9), TRANSPOSE(G13:I13)/COUNTIF($A$2:$A$100,F9))</f>
        <v>0.8892733564</v>
      </c>
      <c r="N11" s="59" t="s">
        <v>87</v>
      </c>
    </row>
    <row r="12" ht="12.75" customHeight="1">
      <c r="A12" s="3" t="str">
        <f>'Spa Manager'!A12</f>
        <v>State</v>
      </c>
      <c r="B12" s="4" t="str">
        <f>'Spa Manager'!B12</f>
        <v>Level2</v>
      </c>
      <c r="C12" s="46">
        <f>'Grader #1'!C12</f>
        <v>1</v>
      </c>
      <c r="D12" s="46">
        <f>'Grader #2'!C12</f>
        <v>1</v>
      </c>
      <c r="F12" s="52">
        <v>1.0</v>
      </c>
      <c r="G12" s="60">
        <f>COUNTIFS($A$2:$A$46,$F$9,$C$2:$C$46,$F12,$D$2:$D$46,G$9)+MAX(C47-D47,0)</f>
        <v>0</v>
      </c>
      <c r="H12" s="61">
        <f>COUNTIFS($A$2:$A$90,$F$9,$C$2:$C$90,$F12,$D$2:$D$90,H$9)</f>
        <v>0</v>
      </c>
      <c r="I12" s="62">
        <f>COUNTIFS($A$2:$A$46,$F$9,$C$2:$C$46,$F12,$D$2:$D$46,I$9)+MIN(C47-D47)</f>
        <v>16</v>
      </c>
      <c r="J12" s="63">
        <f t="shared" si="6"/>
        <v>16</v>
      </c>
      <c r="K12" s="14"/>
      <c r="L12" s="56" t="s">
        <v>75</v>
      </c>
      <c r="M12" s="64">
        <f>(M10-M11)/(1-M11)</f>
        <v>1</v>
      </c>
      <c r="N12" s="65" t="s">
        <v>88</v>
      </c>
    </row>
    <row r="13" ht="12.75" customHeight="1">
      <c r="A13" s="3" t="str">
        <f>'Spa Manager'!A13</f>
        <v>Transition</v>
      </c>
      <c r="B13" s="4" t="str">
        <f>'Spa Manager'!B13</f>
        <v>up (Level2 ⇒ Level3)</v>
      </c>
      <c r="C13" s="46">
        <f>'Grader #1'!C13</f>
        <v>1</v>
      </c>
      <c r="D13" s="46">
        <f>'Grader #2'!C13</f>
        <v>1</v>
      </c>
      <c r="F13" s="66" t="s">
        <v>89</v>
      </c>
      <c r="G13" s="14">
        <f t="shared" ref="G13:I13" si="7">SUM(G10:G12)</f>
        <v>1</v>
      </c>
      <c r="H13" s="14">
        <f t="shared" si="7"/>
        <v>0</v>
      </c>
      <c r="I13" s="63">
        <f t="shared" si="7"/>
        <v>16</v>
      </c>
      <c r="J13" s="14"/>
      <c r="L13" s="14"/>
      <c r="M13" s="67"/>
    </row>
    <row r="14" ht="12.75" customHeight="1">
      <c r="A14" s="3" t="str">
        <f>'Spa Manager'!A14</f>
        <v>Transition</v>
      </c>
      <c r="B14" s="4" t="str">
        <f>'Spa Manager'!B14</f>
        <v>down (Level2 ⇒ Level1)</v>
      </c>
      <c r="C14" s="46">
        <f>'Grader #1'!C14</f>
        <v>1</v>
      </c>
      <c r="D14" s="46">
        <f>'Grader #2'!C14</f>
        <v>1</v>
      </c>
    </row>
    <row r="15" ht="12.75" customHeight="1">
      <c r="A15" s="3" t="str">
        <f>'Spa Manager'!A15</f>
        <v>State</v>
      </c>
      <c r="B15" s="4" t="str">
        <f>'Spa Manager'!B15</f>
        <v>Level3</v>
      </c>
      <c r="C15" s="46">
        <f>'Grader #1'!C15</f>
        <v>1</v>
      </c>
      <c r="D15" s="46">
        <f>'Grader #2'!C15</f>
        <v>1</v>
      </c>
      <c r="F15" s="43" t="s">
        <v>92</v>
      </c>
      <c r="L15" s="44" t="s">
        <v>93</v>
      </c>
      <c r="M15" s="45"/>
      <c r="N15" s="45"/>
    </row>
    <row r="16" ht="12.75" customHeight="1">
      <c r="A16" s="3" t="str">
        <f>'Spa Manager'!A16</f>
        <v>Transition</v>
      </c>
      <c r="B16" s="4" t="str">
        <f>'Spa Manager'!B16</f>
        <v>down (Level3 ⇒ Level2)</v>
      </c>
      <c r="C16" s="46">
        <f>'Grader #1'!C16</f>
        <v>1</v>
      </c>
      <c r="D16" s="46">
        <f>'Grader #2'!C16</f>
        <v>1</v>
      </c>
      <c r="F16" s="14" t="s">
        <v>10</v>
      </c>
      <c r="G16" s="68" t="s">
        <v>77</v>
      </c>
      <c r="H16" s="68" t="s">
        <v>78</v>
      </c>
      <c r="I16" s="68" t="s">
        <v>79</v>
      </c>
      <c r="J16" s="69" t="s">
        <v>80</v>
      </c>
      <c r="K16" s="14"/>
      <c r="L16" s="51" t="s">
        <v>81</v>
      </c>
      <c r="M16" s="51" t="s">
        <v>82</v>
      </c>
      <c r="N16" s="51" t="s">
        <v>83</v>
      </c>
    </row>
    <row r="17" ht="12.75" customHeight="1">
      <c r="A17" s="3" t="str">
        <f>'Spa Manager'!A17</f>
        <v>History State</v>
      </c>
      <c r="B17" s="4" t="str">
        <f>'Spa Manager'!B17</f>
        <v>History State for Jacuzzi On</v>
      </c>
      <c r="C17" s="46">
        <f>'Grader #1'!C17</f>
        <v>1</v>
      </c>
      <c r="D17" s="46">
        <f>'Grader #2'!C17</f>
        <v>1</v>
      </c>
      <c r="F17" s="52">
        <v>0.0</v>
      </c>
      <c r="G17" s="53">
        <f t="shared" ref="G17:H17" si="8">COUNTIFS($A$2:$A$90,$F$16,$C$2:$C$90,$F17,$D$2:$D$90,G$16)</f>
        <v>1</v>
      </c>
      <c r="H17" s="54">
        <f t="shared" si="8"/>
        <v>1</v>
      </c>
      <c r="I17" s="55">
        <f>COUNTIFS($A$2:$A$46,$F$16,$C$2:$C$46,$F17,$D$2:$D$46,I$16) + MAX(D48-C48,0)</f>
        <v>0</v>
      </c>
      <c r="J17" s="14">
        <f t="shared" ref="J17:J19" si="10">SUM(G17:I17)</f>
        <v>2</v>
      </c>
      <c r="K17" s="14"/>
      <c r="L17" s="56" t="s">
        <v>84</v>
      </c>
      <c r="M17" s="53">
        <f>(G17+H18+I19)/COUNTIF($A$2:$A$100,F16)</f>
        <v>0.9375</v>
      </c>
      <c r="N17" s="57" t="s">
        <v>85</v>
      </c>
    </row>
    <row r="18" ht="12.75" customHeight="1">
      <c r="A18" s="3" t="str">
        <f>'Spa Manager'!A18</f>
        <v>Transition</v>
      </c>
      <c r="B18" s="4" t="str">
        <f>'Spa Manager'!B18</f>
        <v>setPattern(PatternType type) (On⇒ History State)</v>
      </c>
      <c r="C18" s="46">
        <f>'Grader #1'!C18</f>
        <v>0.5</v>
      </c>
      <c r="D18" s="46">
        <f>'Grader #2'!C18</f>
        <v>0.5</v>
      </c>
      <c r="F18" s="52">
        <v>0.5</v>
      </c>
      <c r="G18" s="58">
        <f t="shared" ref="G18:I18" si="9">COUNTIFS($A$2:$A$90,$F$16,$C$2:$C$90,$F18,$D$2:$D$90,G$16)</f>
        <v>0</v>
      </c>
      <c r="H18" s="14">
        <f t="shared" si="9"/>
        <v>1</v>
      </c>
      <c r="I18" s="59">
        <f t="shared" si="9"/>
        <v>0</v>
      </c>
      <c r="J18" s="14">
        <f t="shared" si="10"/>
        <v>1</v>
      </c>
      <c r="K18" s="14"/>
      <c r="L18" s="56" t="s">
        <v>86</v>
      </c>
      <c r="M18" s="58">
        <f t="array" ref="M18">SUMPRODUCT(J17:J19/COUNTIF($A$2:$A$100,F16), TRANSPOSE(G20:I20)/COUNTIF($A$2:$A$100,F16))</f>
        <v>0.67578125</v>
      </c>
      <c r="N18" s="59" t="s">
        <v>87</v>
      </c>
    </row>
    <row r="19" ht="12.75" customHeight="1">
      <c r="A19" s="3" t="str">
        <f>'Spa Manager'!A19</f>
        <v>State</v>
      </c>
      <c r="B19" s="4" t="str">
        <f>'Spa Manager'!B19</f>
        <v>Paused</v>
      </c>
      <c r="C19" s="46">
        <f>'Grader #1'!C19</f>
        <v>1</v>
      </c>
      <c r="D19" s="46">
        <f>'Grader #2'!C19</f>
        <v>1</v>
      </c>
      <c r="F19" s="52">
        <v>1.0</v>
      </c>
      <c r="G19" s="60">
        <f>COUNTIFS($A$2:$A$46,$F$16,$C$2:$C$46,$F19,$D$2:$D$46,G$16)+MAX(C48-D48,0)</f>
        <v>0</v>
      </c>
      <c r="H19" s="61">
        <f>COUNTIFS($A$2:$A$90,$F$16,$C$2:$C$90,$F19,$D$2:$D$90,H$16)</f>
        <v>0</v>
      </c>
      <c r="I19" s="62">
        <f>COUNTIFS($A$2:$A$46,$F$16,$C$2:$C$46,$F19,$D$2:$D$46,I$16) + MIN(C48,D48)</f>
        <v>13</v>
      </c>
      <c r="J19" s="63">
        <f t="shared" si="10"/>
        <v>13</v>
      </c>
      <c r="K19" s="14"/>
      <c r="L19" s="56" t="s">
        <v>75</v>
      </c>
      <c r="M19" s="64">
        <f>(M17-M18)/(1-M18)</f>
        <v>0.8072289157</v>
      </c>
      <c r="N19" s="65" t="s">
        <v>88</v>
      </c>
    </row>
    <row r="20">
      <c r="A20" s="3" t="str">
        <f>'Spa Manager'!A20</f>
        <v>Transition</v>
      </c>
      <c r="B20" s="4" t="str">
        <f>'Spa Manager'!B20</f>
        <v>pause (On⇒ Pause)</v>
      </c>
      <c r="C20" s="46">
        <f>'Grader #1'!C20</f>
        <v>0</v>
      </c>
      <c r="D20" s="46">
        <f>'Grader #2'!C20</f>
        <v>0.5</v>
      </c>
      <c r="F20" s="66" t="s">
        <v>89</v>
      </c>
      <c r="G20" s="14">
        <f t="shared" ref="G20:I20" si="11">SUM(G17:G19)</f>
        <v>1</v>
      </c>
      <c r="H20" s="14">
        <f t="shared" si="11"/>
        <v>2</v>
      </c>
      <c r="I20" s="63">
        <f t="shared" si="11"/>
        <v>13</v>
      </c>
      <c r="J20" s="14"/>
      <c r="L20" s="14"/>
      <c r="M20" s="67"/>
    </row>
    <row r="21" ht="12.75" customHeight="1">
      <c r="A21" s="3" t="str">
        <f>'Spa Manager'!A21</f>
        <v>Transition</v>
      </c>
      <c r="B21" s="4" t="str">
        <f>'Spa Manager'!B21</f>
        <v>after 2min  (Paused ⇒ History State)</v>
      </c>
      <c r="C21" s="46">
        <f>'Grader #1'!C21</f>
        <v>1</v>
      </c>
      <c r="D21" s="46">
        <f>'Grader #2'!C21</f>
        <v>1</v>
      </c>
    </row>
    <row r="22" ht="12.75" customHeight="1">
      <c r="A22" s="3" t="str">
        <f>'Spa Manager'!A22</f>
        <v>Region</v>
      </c>
      <c r="B22" s="4" t="str">
        <f>'Spa Manager'!B22</f>
        <v>Sauna</v>
      </c>
      <c r="C22" s="46">
        <f>'Grader #1'!C22</f>
        <v>1</v>
      </c>
      <c r="D22" s="46">
        <f>'Grader #2'!C22</f>
        <v>1</v>
      </c>
      <c r="F22" s="43" t="s">
        <v>94</v>
      </c>
      <c r="L22" s="44" t="s">
        <v>95</v>
      </c>
      <c r="M22" s="45"/>
      <c r="N22" s="45"/>
    </row>
    <row r="23" ht="12.75" customHeight="1">
      <c r="A23" s="3" t="str">
        <f>'Spa Manager'!A23</f>
        <v>State</v>
      </c>
      <c r="B23" s="4" t="str">
        <f>'Spa Manager'!B23</f>
        <v>initial state (Sauna → Off)</v>
      </c>
      <c r="C23" s="46">
        <f>'Grader #1'!C23</f>
        <v>1</v>
      </c>
      <c r="D23" s="46">
        <f>'Grader #2'!C23</f>
        <v>1</v>
      </c>
      <c r="F23" s="14" t="s">
        <v>2</v>
      </c>
      <c r="G23" s="68" t="s">
        <v>77</v>
      </c>
      <c r="H23" s="68" t="s">
        <v>78</v>
      </c>
      <c r="I23" s="68" t="s">
        <v>79</v>
      </c>
      <c r="J23" s="69" t="s">
        <v>80</v>
      </c>
      <c r="K23" s="14"/>
      <c r="L23" s="51" t="s">
        <v>81</v>
      </c>
      <c r="M23" s="51" t="s">
        <v>82</v>
      </c>
      <c r="N23" s="51" t="s">
        <v>83</v>
      </c>
    </row>
    <row r="24" ht="12.75" customHeight="1">
      <c r="A24" s="3" t="str">
        <f>'Spa Manager'!A24</f>
        <v>State</v>
      </c>
      <c r="B24" s="4" t="str">
        <f>'Spa Manager'!B24</f>
        <v>Off</v>
      </c>
      <c r="C24" s="46">
        <f>'Grader #1'!C24</f>
        <v>1</v>
      </c>
      <c r="D24" s="46">
        <f>'Grader #2'!C24</f>
        <v>1</v>
      </c>
      <c r="F24" s="52">
        <v>0.0</v>
      </c>
      <c r="G24" s="53">
        <f t="shared" ref="G24:H24" si="12">COUNTIFS($A$2:$A$90,$F$23,$C$2:$C$90,$F24,$D$2:$D$90,G$23)</f>
        <v>1</v>
      </c>
      <c r="H24" s="54">
        <f t="shared" si="12"/>
        <v>0</v>
      </c>
      <c r="I24" s="55">
        <f>COUNTIFS($A$2:$A$46,$F$23,$C$2:$C$46,$F24,$D$2:$D$46,I$23) + MAX(D51-C51,0)</f>
        <v>0</v>
      </c>
      <c r="J24" s="14">
        <f t="shared" ref="J24:J26" si="14">SUM(G24:I24)</f>
        <v>1</v>
      </c>
      <c r="K24" s="14"/>
      <c r="L24" s="56" t="s">
        <v>84</v>
      </c>
      <c r="M24" s="53">
        <f>(G24+H25+I26)/COUNTIF($A$2:$A$100,F23)</f>
        <v>1</v>
      </c>
      <c r="N24" s="57" t="s">
        <v>85</v>
      </c>
    </row>
    <row r="25" ht="12.75" customHeight="1">
      <c r="A25" s="3" t="str">
        <f>'Spa Manager'!A25</f>
        <v>Composite State</v>
      </c>
      <c r="B25" s="4" t="str">
        <f>'Spa Manager'!B25</f>
        <v>On (Sauna)</v>
      </c>
      <c r="C25" s="46">
        <f>'Grader #1'!C25</f>
        <v>1</v>
      </c>
      <c r="D25" s="46">
        <f>'Grader #2'!C25</f>
        <v>1</v>
      </c>
      <c r="F25" s="52">
        <v>0.5</v>
      </c>
      <c r="G25" s="58">
        <f t="shared" ref="G25:I25" si="13">COUNTIFS($A$2:$A$90,$F$23,$C$2:$C$90,$F25,$D$2:$D$90,G$23)</f>
        <v>0</v>
      </c>
      <c r="H25" s="14">
        <f t="shared" si="13"/>
        <v>0</v>
      </c>
      <c r="I25" s="59">
        <f t="shared" si="13"/>
        <v>0</v>
      </c>
      <c r="J25" s="14">
        <f t="shared" si="14"/>
        <v>0</v>
      </c>
      <c r="K25" s="14"/>
      <c r="L25" s="56" t="s">
        <v>86</v>
      </c>
      <c r="M25" s="58">
        <f t="array" ref="M25">SUMPRODUCT(J24:J26/COUNTIF($A$2:$A$100,F23), TRANSPOSE(G27:I27)/COUNTIF($A$2:$A$100,F23))</f>
        <v>0.625</v>
      </c>
      <c r="N25" s="59" t="s">
        <v>87</v>
      </c>
    </row>
    <row r="26" ht="12.75" customHeight="1">
      <c r="A26" s="3" t="str">
        <f>'Spa Manager'!A26</f>
        <v>Transition</v>
      </c>
      <c r="B26" s="4" t="str">
        <f>'Spa Manager'!B26</f>
        <v>on (Off ⇒ On)</v>
      </c>
      <c r="C26" s="46">
        <f>'Grader #1'!C26</f>
        <v>1</v>
      </c>
      <c r="D26" s="46">
        <f>'Grader #2'!C26</f>
        <v>1</v>
      </c>
      <c r="F26" s="52">
        <v>1.0</v>
      </c>
      <c r="G26" s="60">
        <f>COUNTIFS($A$2:$A$46,$F$23,$C$2:$C$46,$F26,$D$2:$D$46,G$23) + MAX(C51-D51,0)</f>
        <v>0</v>
      </c>
      <c r="H26" s="61">
        <f>COUNTIFS($A$2:$A$90,$F$23,$C$2:$C$90,$F26,$D$2:$D$90,H$23)</f>
        <v>0</v>
      </c>
      <c r="I26" s="62">
        <f>COUNTIFS($A$2:$A$46,$F$23,$C$2:$C$46,$F26,$D$2:$D$46,I$23) + MIN(C51,D51)</f>
        <v>3</v>
      </c>
      <c r="J26" s="63">
        <f t="shared" si="14"/>
        <v>3</v>
      </c>
      <c r="K26" s="14"/>
      <c r="L26" s="56" t="s">
        <v>75</v>
      </c>
      <c r="M26" s="64">
        <f>(M24-M25)/(1-M25)</f>
        <v>1</v>
      </c>
      <c r="N26" s="65" t="s">
        <v>88</v>
      </c>
    </row>
    <row r="27" ht="12.75" customHeight="1">
      <c r="A27" s="3" t="str">
        <f>'Spa Manager'!A27</f>
        <v>Transition</v>
      </c>
      <c r="B27" s="4" t="str">
        <f>'Spa Manager'!B27</f>
        <v>off (On ⇒ Off)</v>
      </c>
      <c r="C27" s="46">
        <f>'Grader #1'!C27</f>
        <v>1</v>
      </c>
      <c r="D27" s="46">
        <f>'Grader #2'!C27</f>
        <v>1</v>
      </c>
      <c r="F27" s="66" t="s">
        <v>89</v>
      </c>
      <c r="G27" s="14">
        <f t="shared" ref="G27:I27" si="15">SUM(G24:G26)</f>
        <v>1</v>
      </c>
      <c r="H27" s="14">
        <f t="shared" si="15"/>
        <v>0</v>
      </c>
      <c r="I27" s="63">
        <f t="shared" si="15"/>
        <v>3</v>
      </c>
      <c r="J27" s="14"/>
      <c r="L27" s="14"/>
      <c r="M27" s="67"/>
    </row>
    <row r="28" ht="12.75" customHeight="1">
      <c r="A28" s="3" t="str">
        <f>'Spa Manager'!A28</f>
        <v>Region</v>
      </c>
      <c r="B28" s="4" t="str">
        <f>'Spa Manager'!B28</f>
        <v>Heater</v>
      </c>
      <c r="C28" s="46">
        <f>'Grader #1'!C28</f>
        <v>1</v>
      </c>
      <c r="D28" s="46">
        <f>'Grader #2'!C28</f>
        <v>1</v>
      </c>
    </row>
    <row r="29" ht="12.75" customHeight="1">
      <c r="A29" s="3" t="str">
        <f>'Spa Manager'!A29</f>
        <v>State</v>
      </c>
      <c r="B29" s="4" t="str">
        <f>'Spa Manager'!B29</f>
        <v>initial state (Heater → Heat)</v>
      </c>
      <c r="C29" s="46">
        <f>'Grader #1'!C29</f>
        <v>1</v>
      </c>
      <c r="D29" s="46">
        <f>'Grader #2'!C29</f>
        <v>1</v>
      </c>
      <c r="F29" s="43" t="s">
        <v>96</v>
      </c>
      <c r="L29" s="44" t="s">
        <v>97</v>
      </c>
      <c r="M29" s="45"/>
      <c r="N29" s="45"/>
    </row>
    <row r="30" ht="12.75" customHeight="1">
      <c r="A30" s="3" t="str">
        <f>'Spa Manager'!A30</f>
        <v>State</v>
      </c>
      <c r="B30" s="4" t="str">
        <f>'Spa Manager'!B30</f>
        <v>Heat</v>
      </c>
      <c r="C30" s="46">
        <f>'Grader #1'!C30</f>
        <v>1</v>
      </c>
      <c r="D30" s="46">
        <f>'Grader #2'!C30</f>
        <v>1</v>
      </c>
      <c r="F30" s="14" t="s">
        <v>34</v>
      </c>
      <c r="G30" s="68" t="s">
        <v>77</v>
      </c>
      <c r="H30" s="68" t="s">
        <v>78</v>
      </c>
      <c r="I30" s="68" t="s">
        <v>79</v>
      </c>
      <c r="J30" s="69" t="s">
        <v>80</v>
      </c>
      <c r="K30" s="14"/>
      <c r="L30" s="51" t="s">
        <v>81</v>
      </c>
      <c r="M30" s="51" t="s">
        <v>82</v>
      </c>
      <c r="N30" s="51" t="s">
        <v>83</v>
      </c>
    </row>
    <row r="31" ht="12.75" customHeight="1">
      <c r="A31" s="3" t="str">
        <f>'Spa Manager'!A31</f>
        <v>Transition</v>
      </c>
      <c r="B31" s="4" t="str">
        <f>'Spa Manager'!B31</f>
        <v>Heat ⇒ Idle</v>
      </c>
      <c r="C31" s="46">
        <f>'Grader #1'!C31</f>
        <v>1</v>
      </c>
      <c r="D31" s="46">
        <f>'Grader #2'!C31</f>
        <v>1</v>
      </c>
      <c r="F31" s="52">
        <v>0.0</v>
      </c>
      <c r="G31" s="53">
        <f t="shared" ref="G31:H31" si="16">COUNTIFS($A$2:$A$90,$F$30,$C$2:$C$90,$F31,$D$2:$D$90,G$30)</f>
        <v>1</v>
      </c>
      <c r="H31" s="54">
        <f t="shared" si="16"/>
        <v>0</v>
      </c>
      <c r="I31" s="55">
        <f>COUNTIFS($A$2:$A$46,$F$30,$C$2:$C$46,$F31,$D$2:$D$46,I$30) + MAX(D49-C49,0)</f>
        <v>0</v>
      </c>
      <c r="J31" s="14">
        <f t="shared" ref="J31:J33" si="18">SUM(G31:I31)</f>
        <v>1</v>
      </c>
      <c r="K31" s="14"/>
      <c r="L31" s="56" t="s">
        <v>84</v>
      </c>
      <c r="M31" s="53">
        <f>(G31+H32+I33)/COUNTIF($A$2:$A$100,F30)</f>
        <v>1</v>
      </c>
      <c r="N31" s="57" t="s">
        <v>85</v>
      </c>
    </row>
    <row r="32" ht="12.75" customHeight="1">
      <c r="A32" s="3" t="str">
        <f>'Spa Manager'!A32</f>
        <v>Guard</v>
      </c>
      <c r="B32" s="4" t="str">
        <f>'Spa Manager'!B32</f>
        <v>[temp ≥ 90°C]</v>
      </c>
      <c r="C32" s="46">
        <f>'Grader #1'!C32</f>
        <v>1</v>
      </c>
      <c r="D32" s="46">
        <f>'Grader #2'!C32</f>
        <v>1</v>
      </c>
      <c r="F32" s="52">
        <v>0.5</v>
      </c>
      <c r="G32" s="58">
        <f t="shared" ref="G32:I32" si="17">COUNTIFS($A$2:$A$90,$F$30,$C$2:$C$90,$F32,$D$2:$D$90,G$30)</f>
        <v>0</v>
      </c>
      <c r="H32" s="14">
        <f t="shared" si="17"/>
        <v>0</v>
      </c>
      <c r="I32" s="59">
        <f t="shared" si="17"/>
        <v>0</v>
      </c>
      <c r="J32" s="14">
        <f t="shared" si="18"/>
        <v>0</v>
      </c>
      <c r="K32" s="14"/>
      <c r="L32" s="56" t="s">
        <v>86</v>
      </c>
      <c r="M32" s="58">
        <f t="array" ref="M32">SUMPRODUCT(J31:J33/COUNTIF($A$2:$A$100,F30), TRANSPOSE(G34:I34)/COUNTIF($A$2:$A$100,F30))</f>
        <v>0.68</v>
      </c>
      <c r="N32" s="59" t="s">
        <v>87</v>
      </c>
    </row>
    <row r="33" ht="12.75" customHeight="1">
      <c r="A33" s="3" t="str">
        <f>'Spa Manager'!A33</f>
        <v>State</v>
      </c>
      <c r="B33" s="4" t="str">
        <f>'Spa Manager'!B33</f>
        <v>Idle</v>
      </c>
      <c r="C33" s="46">
        <f>'Grader #1'!C33</f>
        <v>1</v>
      </c>
      <c r="D33" s="46">
        <f>'Grader #2'!C33</f>
        <v>1</v>
      </c>
      <c r="F33" s="52">
        <v>1.0</v>
      </c>
      <c r="G33" s="60">
        <f>COUNTIFS($A$2:$A$46,$F$30,$C$2:$C$46,$F33,$D$2:$D$46,G$30) + MAX(C49-D49,0)</f>
        <v>0</v>
      </c>
      <c r="H33" s="61">
        <f>COUNTIFS($A$2:$A$90,$F$30,$C$2:$C$90,$F33,$D$2:$D$90,H$30)</f>
        <v>0</v>
      </c>
      <c r="I33" s="62">
        <f>COUNTIFS($A$2:$A$46,$F$30,$C$2:$C$46,$F33,$D$2:$D$46,I$30) + MIN(C49,D49)</f>
        <v>4</v>
      </c>
      <c r="J33" s="63">
        <f t="shared" si="18"/>
        <v>4</v>
      </c>
      <c r="K33" s="14"/>
      <c r="L33" s="56" t="s">
        <v>75</v>
      </c>
      <c r="M33" s="64">
        <f>(M31-M32)/(1-M32)</f>
        <v>1</v>
      </c>
      <c r="N33" s="65" t="s">
        <v>88</v>
      </c>
    </row>
    <row r="34" ht="12.75" customHeight="1">
      <c r="A34" s="3" t="str">
        <f>'Spa Manager'!A34</f>
        <v>Transition</v>
      </c>
      <c r="B34" s="4" t="str">
        <f>'Spa Manager'!B34</f>
        <v>Idle ⇒ Heat</v>
      </c>
      <c r="C34" s="46">
        <f>'Grader #1'!C34</f>
        <v>1</v>
      </c>
      <c r="D34" s="46">
        <f>'Grader #2'!C34</f>
        <v>1</v>
      </c>
      <c r="F34" s="66" t="s">
        <v>89</v>
      </c>
      <c r="G34" s="14">
        <f t="shared" ref="G34:I34" si="19">SUM(G31:G33)</f>
        <v>1</v>
      </c>
      <c r="H34" s="14">
        <f t="shared" si="19"/>
        <v>0</v>
      </c>
      <c r="I34" s="63">
        <f t="shared" si="19"/>
        <v>4</v>
      </c>
      <c r="J34" s="14"/>
      <c r="L34" s="14"/>
      <c r="M34" s="67"/>
    </row>
    <row r="35" ht="12.75" customHeight="1">
      <c r="A35" s="3" t="str">
        <f>'Spa Manager'!A35</f>
        <v>Guard</v>
      </c>
      <c r="B35" s="4" t="str">
        <f>'Spa Manager'!B35</f>
        <v>[temp &lt; 85°C]</v>
      </c>
      <c r="C35" s="46">
        <f>'Grader #1'!C35</f>
        <v>1</v>
      </c>
      <c r="D35" s="46">
        <f>'Grader #2'!C35</f>
        <v>1</v>
      </c>
    </row>
    <row r="36" ht="12.75" customHeight="1">
      <c r="A36" s="3" t="str">
        <f>'Spa Manager'!A36</f>
        <v>Region</v>
      </c>
      <c r="B36" s="4" t="str">
        <f>'Spa Manager'!B36</f>
        <v>Fan</v>
      </c>
      <c r="C36" s="46">
        <f>'Grader #1'!C36</f>
        <v>1</v>
      </c>
      <c r="D36" s="46">
        <f>'Grader #2'!C36</f>
        <v>1</v>
      </c>
      <c r="F36" s="43" t="s">
        <v>98</v>
      </c>
      <c r="L36" s="44" t="s">
        <v>99</v>
      </c>
      <c r="M36" s="45"/>
      <c r="N36" s="45"/>
    </row>
    <row r="37" ht="12.75" customHeight="1">
      <c r="A37" s="3" t="str">
        <f>'Spa Manager'!A37</f>
        <v>State</v>
      </c>
      <c r="B37" s="4" t="str">
        <f>'Spa Manager'!B37</f>
        <v>initial state (Fan → Off)</v>
      </c>
      <c r="C37" s="46">
        <f>'Grader #1'!C37</f>
        <v>1</v>
      </c>
      <c r="D37" s="46">
        <f>'Grader #2'!C37</f>
        <v>1</v>
      </c>
      <c r="F37" s="14" t="s">
        <v>48</v>
      </c>
      <c r="G37" s="68" t="s">
        <v>77</v>
      </c>
      <c r="H37" s="68" t="s">
        <v>78</v>
      </c>
      <c r="I37" s="68" t="s">
        <v>79</v>
      </c>
      <c r="J37" s="69" t="s">
        <v>80</v>
      </c>
      <c r="K37" s="14"/>
      <c r="L37" s="51" t="s">
        <v>81</v>
      </c>
      <c r="M37" s="51" t="s">
        <v>82</v>
      </c>
      <c r="N37" s="51" t="s">
        <v>83</v>
      </c>
    </row>
    <row r="38" ht="12.75" customHeight="1">
      <c r="A38" s="3" t="str">
        <f>'Spa Manager'!A38</f>
        <v>State</v>
      </c>
      <c r="B38" s="4" t="str">
        <f>'Spa Manager'!B38</f>
        <v>Off</v>
      </c>
      <c r="C38" s="46">
        <f>'Grader #1'!C38</f>
        <v>1</v>
      </c>
      <c r="D38" s="46">
        <f>'Grader #2'!C38</f>
        <v>1</v>
      </c>
      <c r="E38" s="6"/>
      <c r="F38" s="52">
        <v>0.0</v>
      </c>
      <c r="G38" s="53">
        <f t="shared" ref="G38:H38" si="20">COUNTIFS($A$2:$A$90,$F$37,$C$2:$C$90,$F38,$D$2:$D$90,G$37)</f>
        <v>1</v>
      </c>
      <c r="H38" s="54">
        <f t="shared" si="20"/>
        <v>0</v>
      </c>
      <c r="I38" s="55">
        <f>COUNTIFS($A$2:$A$46,$F$37,$C$2:$C$46,$F38,$D$2:$D$46,I$37)+MAX(D50-C50,0)</f>
        <v>0</v>
      </c>
      <c r="J38" s="14">
        <f t="shared" ref="J38:J40" si="22">SUM(G38:I38)</f>
        <v>1</v>
      </c>
      <c r="K38" s="14"/>
      <c r="L38" s="56" t="s">
        <v>84</v>
      </c>
      <c r="M38" s="53">
        <f>(G38+H39+I40)/COUNTIF($A$2:$A$100,F37)</f>
        <v>1</v>
      </c>
      <c r="N38" s="57" t="s">
        <v>85</v>
      </c>
    </row>
    <row r="39" ht="15.0" customHeight="1">
      <c r="A39" s="3" t="str">
        <f>'Spa Manager'!A39</f>
        <v>Transition</v>
      </c>
      <c r="B39" s="4" t="str">
        <f>'Spa Manager'!B39</f>
        <v>Off ⇒ On</v>
      </c>
      <c r="C39" s="46">
        <f>'Grader #1'!C39</f>
        <v>1</v>
      </c>
      <c r="D39" s="46">
        <f>'Grader #2'!C39</f>
        <v>1</v>
      </c>
      <c r="E39" s="6"/>
      <c r="F39" s="52">
        <v>0.5</v>
      </c>
      <c r="G39" s="58">
        <f t="shared" ref="G39:I39" si="21">COUNTIFS($A$2:$A$90,$F$37,$C$2:$C$90,$F39,$D$2:$D$90,G$37)</f>
        <v>0</v>
      </c>
      <c r="H39" s="14">
        <f t="shared" si="21"/>
        <v>0</v>
      </c>
      <c r="I39" s="59">
        <f t="shared" si="21"/>
        <v>0</v>
      </c>
      <c r="J39" s="14">
        <f t="shared" si="22"/>
        <v>0</v>
      </c>
      <c r="K39" s="14"/>
      <c r="L39" s="56" t="s">
        <v>86</v>
      </c>
      <c r="M39" s="58">
        <f t="array" ref="M39">SUMPRODUCT(J38:J40/COUNTIF($A$2:$A$100,F37), TRANSPOSE(G41:I41)/COUNTIF($A$2:$A$100,F37))</f>
        <v>1</v>
      </c>
      <c r="N39" s="59" t="s">
        <v>87</v>
      </c>
    </row>
    <row r="40" ht="15.0" customHeight="1">
      <c r="A40" s="3" t="str">
        <f>'Spa Manager'!A40</f>
        <v>Guard</v>
      </c>
      <c r="B40" s="4" t="str">
        <f>'Spa Manager'!B40</f>
        <v>[humidity &gt; 40% &amp;&amp; exceedTime &gt; 3min]</v>
      </c>
      <c r="C40" s="46">
        <f>'Grader #1'!C40</f>
        <v>1</v>
      </c>
      <c r="D40" s="46">
        <f>'Grader #2'!C40</f>
        <v>1</v>
      </c>
      <c r="E40" s="6"/>
      <c r="F40" s="52">
        <v>1.0</v>
      </c>
      <c r="G40" s="60">
        <f>COUNTIFS($A$2:$A$46,$F$37,$C$2:$C$46,$F40,$D$2:$D$46,G$37)+MAX(C50-D50,0)</f>
        <v>0</v>
      </c>
      <c r="H40" s="61">
        <f>COUNTIFS($A$2:$A$90,$F$37,$C$2:$C$90,$F40,$D$2:$D$90,H$37)</f>
        <v>0</v>
      </c>
      <c r="I40" s="62">
        <f>COUNTIFS($A$2:$A$46,$F$37,$C$2:$C$46,$F40,$D$2:$D$46,I$37) + MIN(C50,D50)</f>
        <v>0</v>
      </c>
      <c r="J40" s="63">
        <f t="shared" si="22"/>
        <v>0</v>
      </c>
      <c r="K40" s="14"/>
      <c r="L40" s="56" t="s">
        <v>75</v>
      </c>
      <c r="M40" s="64" t="str">
        <f>(M38-M39)/(1-M39)</f>
        <v>#DIV/0!</v>
      </c>
      <c r="N40" s="65" t="s">
        <v>88</v>
      </c>
    </row>
    <row r="41" ht="15.0" customHeight="1">
      <c r="A41" s="3" t="str">
        <f>'Spa Manager'!A41</f>
        <v>Region</v>
      </c>
      <c r="B41" s="4" t="str">
        <f>'Spa Manager'!B41</f>
        <v>Water</v>
      </c>
      <c r="C41" s="46">
        <f>'Grader #1'!C41</f>
        <v>1</v>
      </c>
      <c r="D41" s="46">
        <f>'Grader #2'!C41</f>
        <v>1</v>
      </c>
      <c r="E41" s="6"/>
      <c r="F41" s="66" t="s">
        <v>89</v>
      </c>
      <c r="G41" s="14">
        <f t="shared" ref="G41:I41" si="23">SUM(G38:G40)</f>
        <v>1</v>
      </c>
      <c r="H41" s="14">
        <f t="shared" si="23"/>
        <v>0</v>
      </c>
      <c r="I41" s="63">
        <f t="shared" si="23"/>
        <v>0</v>
      </c>
      <c r="J41" s="14"/>
      <c r="L41" s="14"/>
      <c r="M41" s="67"/>
    </row>
    <row r="42" ht="15.0" customHeight="1">
      <c r="A42" s="3" t="str">
        <f>'Spa Manager'!A42</f>
        <v>State</v>
      </c>
      <c r="B42" s="4" t="str">
        <f>'Spa Manager'!B42</f>
        <v>initial state (Water → Idle)</v>
      </c>
      <c r="C42" s="46">
        <f>'Grader #1'!C42</f>
        <v>1</v>
      </c>
      <c r="D42" s="46">
        <f>'Grader #2'!C42</f>
        <v>1</v>
      </c>
      <c r="E42" s="6"/>
    </row>
    <row r="43" ht="15.0" customHeight="1">
      <c r="A43" s="3" t="str">
        <f>'Spa Manager'!A43</f>
        <v>State</v>
      </c>
      <c r="B43" s="4" t="str">
        <f>'Spa Manager'!B43</f>
        <v>Idle</v>
      </c>
      <c r="C43" s="46">
        <f>'Grader #1'!C43</f>
        <v>1</v>
      </c>
      <c r="D43" s="46">
        <f>'Grader #2'!C43</f>
        <v>1</v>
      </c>
      <c r="E43" s="6"/>
      <c r="F43" s="43" t="s">
        <v>100</v>
      </c>
      <c r="L43" s="44" t="s">
        <v>101</v>
      </c>
      <c r="M43" s="45"/>
      <c r="N43" s="45"/>
    </row>
    <row r="44" ht="15.0" customHeight="1">
      <c r="A44" s="3" t="str">
        <f>'Spa Manager'!A44</f>
        <v>Transition</v>
      </c>
      <c r="B44" s="4" t="str">
        <f>'Spa Manager'!B44</f>
        <v>Idle ⇒ Idle</v>
      </c>
      <c r="C44" s="46">
        <f>'Grader #1'!C44</f>
        <v>1</v>
      </c>
      <c r="D44" s="46">
        <f>'Grader #2'!C44</f>
        <v>1</v>
      </c>
      <c r="E44" s="6"/>
      <c r="F44" s="14" t="s">
        <v>21</v>
      </c>
      <c r="G44" s="68" t="s">
        <v>77</v>
      </c>
      <c r="H44" s="68" t="s">
        <v>78</v>
      </c>
      <c r="I44" s="68" t="s">
        <v>79</v>
      </c>
      <c r="J44" s="69" t="s">
        <v>80</v>
      </c>
      <c r="K44" s="14"/>
      <c r="L44" s="51" t="s">
        <v>81</v>
      </c>
      <c r="M44" s="51" t="s">
        <v>82</v>
      </c>
      <c r="N44" s="51" t="s">
        <v>83</v>
      </c>
    </row>
    <row r="45" ht="15.0" customHeight="1">
      <c r="A45" s="3" t="str">
        <f>'Spa Manager'!A45</f>
        <v>Guard</v>
      </c>
      <c r="B45" s="4" t="str">
        <f>'Spa Manager'!B45</f>
        <v>disperse [humidity &lt; 40% &amp;&amp; !Fan.On &amp;&amp; timeSinceLast ≥ 15min]</v>
      </c>
      <c r="C45" s="46">
        <f>'Grader #1'!C45</f>
        <v>1</v>
      </c>
      <c r="D45" s="46">
        <f>'Grader #2'!C45</f>
        <v>1</v>
      </c>
      <c r="E45" s="6"/>
      <c r="F45" s="52">
        <v>0.0</v>
      </c>
      <c r="G45" s="53">
        <f t="shared" ref="G45:H45" si="24">COUNTIFS($A$2:$A$90,$F$44,$C$2:$C$90,$F45,$D$2:$D$90,G$44)</f>
        <v>1</v>
      </c>
      <c r="H45" s="54">
        <f t="shared" si="24"/>
        <v>0</v>
      </c>
      <c r="I45" s="57">
        <f>COUNTIFS($A$2:$A$46,$F$44,$C$2:$C$46,$F45,$D$2:$D$46,I$44) + MAX(D53-C53,0)</f>
        <v>0</v>
      </c>
      <c r="J45" s="14">
        <f t="shared" ref="J45:J47" si="26">SUM(G45:I45)</f>
        <v>1</v>
      </c>
      <c r="K45" s="14"/>
      <c r="L45" s="56" t="s">
        <v>84</v>
      </c>
      <c r="M45" s="53">
        <f>(G45+H46+I47)/COUNTIF($A$2:$A$100,F44)</f>
        <v>1</v>
      </c>
      <c r="N45" s="57" t="s">
        <v>85</v>
      </c>
    </row>
    <row r="46" ht="15.0" customHeight="1">
      <c r="A46" s="70" t="str">
        <f>'Spa Manager'!A46</f>
        <v>State</v>
      </c>
      <c r="B46" s="71" t="str">
        <f>'Spa Manager'!B46</f>
        <v>additional elements</v>
      </c>
      <c r="C46" s="72">
        <f>'Grader #1'!C46</f>
        <v>0</v>
      </c>
      <c r="D46" s="72">
        <f>'Grader #2'!C46</f>
        <v>0</v>
      </c>
      <c r="E46" s="6"/>
      <c r="F46" s="52">
        <v>0.5</v>
      </c>
      <c r="G46" s="58">
        <f t="shared" ref="G46:I46" si="25">COUNTIFS($A$2:$A$90,$F$44,$C$2:$C$90,$F46,$D$2:$D$90,G$44)</f>
        <v>0</v>
      </c>
      <c r="H46" s="14">
        <f t="shared" si="25"/>
        <v>0</v>
      </c>
      <c r="I46" s="59">
        <f t="shared" si="25"/>
        <v>0</v>
      </c>
      <c r="J46" s="14">
        <f t="shared" si="26"/>
        <v>0</v>
      </c>
      <c r="K46" s="14"/>
      <c r="L46" s="56" t="s">
        <v>86</v>
      </c>
      <c r="M46" s="58">
        <f t="array" ref="M46">SUMPRODUCT(J45:J47/COUNTIF($A$2:$A$100,F44), TRANSPOSE(G48:I48)/COUNTIF($A$2:$A$100,F44))</f>
        <v>0.5</v>
      </c>
      <c r="N46" s="59" t="s">
        <v>87</v>
      </c>
    </row>
    <row r="47" ht="15.0" customHeight="1">
      <c r="A47" s="3" t="str">
        <f>'Spa Manager'!A47</f>
        <v>Transition</v>
      </c>
      <c r="B47" s="4" t="str">
        <f>'Spa Manager'!B47</f>
        <v>additional elements</v>
      </c>
      <c r="C47" s="46">
        <f>'Grader #1'!C47</f>
        <v>0</v>
      </c>
      <c r="D47" s="46">
        <f>'Grader #2'!C47</f>
        <v>0</v>
      </c>
      <c r="E47" s="6"/>
      <c r="F47" s="52">
        <v>1.0</v>
      </c>
      <c r="G47" s="64">
        <f>COUNTIFS($A$2:$A$46,$F$44,$C$2:$C$46,$F47,$D$2:$D$46,G$44) + MAX(C53-D53,0)</f>
        <v>0</v>
      </c>
      <c r="H47" s="61">
        <f>COUNTIFS($A$2:$A$90,$F$44,$C$2:$C$90,$F47,$D$2:$D$90,H$44)</f>
        <v>0</v>
      </c>
      <c r="I47" s="65">
        <f>COUNTIFS($A$2:$A$46,$F$44,$C$2:$C$46,$F47,$D$2:$D$46,I$44) + MIN(C53,D53)</f>
        <v>1</v>
      </c>
      <c r="J47" s="14">
        <f t="shared" si="26"/>
        <v>1</v>
      </c>
      <c r="K47" s="14"/>
      <c r="L47" s="56" t="s">
        <v>75</v>
      </c>
      <c r="M47" s="64">
        <f>(M45-M46)/(1-M46)</f>
        <v>1</v>
      </c>
      <c r="N47" s="65" t="s">
        <v>88</v>
      </c>
    </row>
    <row r="48" ht="15.0" customHeight="1">
      <c r="A48" s="3" t="str">
        <f>'Spa Manager'!A48</f>
        <v>Guard</v>
      </c>
      <c r="B48" s="4" t="str">
        <f>'Spa Manager'!B48</f>
        <v>additional elements</v>
      </c>
      <c r="C48" s="46">
        <f>'Grader #1'!C48</f>
        <v>0</v>
      </c>
      <c r="D48" s="46">
        <f>'Grader #2'!C48</f>
        <v>0</v>
      </c>
      <c r="E48" s="6"/>
      <c r="F48" s="66" t="s">
        <v>89</v>
      </c>
      <c r="G48" s="14">
        <f t="shared" ref="G48:I48" si="27">SUM(G45:G47)</f>
        <v>1</v>
      </c>
      <c r="H48" s="14">
        <f t="shared" si="27"/>
        <v>0</v>
      </c>
      <c r="I48" s="14">
        <f t="shared" si="27"/>
        <v>1</v>
      </c>
      <c r="J48" s="14"/>
      <c r="L48" s="14"/>
      <c r="M48" s="67"/>
    </row>
    <row r="49" ht="15.0" customHeight="1">
      <c r="A49" s="3" t="str">
        <f>'Spa Manager'!A49</f>
        <v>Action</v>
      </c>
      <c r="B49" s="4" t="str">
        <f>'Spa Manager'!B49</f>
        <v>additional elements</v>
      </c>
      <c r="C49" s="46">
        <f>'Grader #1'!C49</f>
        <v>0</v>
      </c>
      <c r="D49" s="46">
        <f>'Grader #2'!C49</f>
        <v>0</v>
      </c>
      <c r="E49" s="6"/>
    </row>
    <row r="50" ht="12.75" customHeight="1">
      <c r="A50" s="3" t="str">
        <f>'Spa Manager'!A50</f>
        <v>Composite State</v>
      </c>
      <c r="B50" s="4" t="str">
        <f>'Spa Manager'!B50</f>
        <v>additional elements</v>
      </c>
      <c r="C50" s="46">
        <f>'Grader #1'!C50</f>
        <v>0</v>
      </c>
      <c r="D50" s="46">
        <f>'Grader #2'!C50</f>
        <v>0</v>
      </c>
      <c r="F50" s="43" t="s">
        <v>102</v>
      </c>
      <c r="L50" s="44" t="s">
        <v>103</v>
      </c>
      <c r="M50" s="45"/>
      <c r="N50" s="45"/>
    </row>
    <row r="51" ht="12.75" customHeight="1">
      <c r="A51" s="3" t="str">
        <f>'Spa Manager'!A51</f>
        <v>Region</v>
      </c>
      <c r="B51" s="4" t="str">
        <f>'Spa Manager'!B51</f>
        <v>additional elements</v>
      </c>
      <c r="C51" s="46">
        <f>'Grader #1'!C51</f>
        <v>0</v>
      </c>
      <c r="D51" s="46">
        <f>'Grader #2'!C51</f>
        <v>0</v>
      </c>
      <c r="F51" s="14" t="s">
        <v>4</v>
      </c>
      <c r="G51" s="68" t="s">
        <v>77</v>
      </c>
      <c r="H51" s="68" t="s">
        <v>78</v>
      </c>
      <c r="I51" s="68" t="s">
        <v>79</v>
      </c>
      <c r="J51" s="69" t="s">
        <v>80</v>
      </c>
      <c r="K51" s="14"/>
      <c r="L51" s="51" t="s">
        <v>81</v>
      </c>
      <c r="M51" s="51" t="s">
        <v>82</v>
      </c>
      <c r="N51" s="51" t="s">
        <v>83</v>
      </c>
    </row>
    <row r="52" ht="12.75" customHeight="1">
      <c r="A52" s="3" t="str">
        <f>'Spa Manager'!A52</f>
        <v>History State</v>
      </c>
      <c r="B52" s="4" t="str">
        <f>'Spa Manager'!B52</f>
        <v>additional elements</v>
      </c>
      <c r="C52" s="46">
        <f>'Grader #1'!C52</f>
        <v>0</v>
      </c>
      <c r="D52" s="46">
        <f>'Grader #2'!C52</f>
        <v>0</v>
      </c>
      <c r="F52" s="52">
        <v>0.0</v>
      </c>
      <c r="G52" s="53">
        <f t="shared" ref="G52:H52" si="28">COUNTIFS($A$2:$A$90,$F$51,$C$2:$C$90,$F52,$D$2:$D$90,G$51)</f>
        <v>1</v>
      </c>
      <c r="H52" s="54">
        <f t="shared" si="28"/>
        <v>0</v>
      </c>
      <c r="I52" s="55">
        <f>COUNTIFS($A$2:$A$46,$F$51,$C$2:$C$46,$F52,$D$2:$D$46,I$51)+MAX(D52-C52,0)</f>
        <v>0</v>
      </c>
      <c r="J52" s="14">
        <f t="shared" ref="J52:J54" si="30">SUM(G52:I52)</f>
        <v>1</v>
      </c>
      <c r="K52" s="14"/>
      <c r="L52" s="56" t="s">
        <v>84</v>
      </c>
      <c r="M52" s="53">
        <f>(G52+H53+I54)/COUNTIF($A$2:$A$100,F51)</f>
        <v>1</v>
      </c>
      <c r="N52" s="57" t="s">
        <v>85</v>
      </c>
    </row>
    <row r="53" ht="12.75" customHeight="1">
      <c r="A53" s="43"/>
      <c r="B53" s="73"/>
      <c r="C53" s="14"/>
      <c r="D53" s="14"/>
      <c r="F53" s="52">
        <v>0.5</v>
      </c>
      <c r="G53" s="58">
        <f t="shared" ref="G53:I53" si="29">COUNTIFS($A$2:$A$90,$F$51,$C$2:$C$90,$F53,$D$2:$D$90,G$51)</f>
        <v>0</v>
      </c>
      <c r="H53" s="14">
        <f t="shared" si="29"/>
        <v>0</v>
      </c>
      <c r="I53" s="59">
        <f t="shared" si="29"/>
        <v>0</v>
      </c>
      <c r="J53" s="14">
        <f t="shared" si="30"/>
        <v>0</v>
      </c>
      <c r="K53" s="14"/>
      <c r="L53" s="56" t="s">
        <v>86</v>
      </c>
      <c r="M53" s="58">
        <f t="array" ref="M53">SUMPRODUCT(J52:J54/COUNTIF($A$2:$A$100,F51), TRANSPOSE(G55:I55)/COUNTIF($A$2:$A$100,F51))</f>
        <v>0.7222222222</v>
      </c>
      <c r="N53" s="59" t="s">
        <v>87</v>
      </c>
    </row>
    <row r="54" ht="12.75" customHeight="1">
      <c r="A54" s="43"/>
      <c r="B54" s="73"/>
      <c r="C54" s="14"/>
      <c r="D54" s="14"/>
      <c r="F54" s="52">
        <v>1.0</v>
      </c>
      <c r="G54" s="60">
        <f>COUNTIFS($A$2:$A$46,$F$51,$C$2:$C$46,$F54,$D$2:$D$46,G$51) + MAX(C52-D52,0)</f>
        <v>0</v>
      </c>
      <c r="H54" s="61">
        <f>COUNTIFS($A$2:$A$90,$F$51,$C$2:$C$90,$F54,$D$2:$D$90,H$51)</f>
        <v>0</v>
      </c>
      <c r="I54" s="62">
        <f>COUNTIFS($A$2:$A$46,$F$51,$C$2:$C$46,$F54,$D$2:$D$46,I$51)+MIN(C52,D52)</f>
        <v>5</v>
      </c>
      <c r="J54" s="63">
        <f t="shared" si="30"/>
        <v>5</v>
      </c>
      <c r="K54" s="14"/>
      <c r="L54" s="56" t="s">
        <v>75</v>
      </c>
      <c r="M54" s="64">
        <f>(M52-M53)/(1-M53)</f>
        <v>1</v>
      </c>
      <c r="N54" s="65" t="s">
        <v>88</v>
      </c>
    </row>
    <row r="55" ht="12.75" customHeight="1">
      <c r="A55" s="43"/>
      <c r="B55" s="73"/>
      <c r="C55" s="14"/>
      <c r="D55" s="14"/>
      <c r="F55" s="66" t="s">
        <v>89</v>
      </c>
      <c r="G55" s="14">
        <f t="shared" ref="G55:I55" si="31">SUM(G52:G54)</f>
        <v>1</v>
      </c>
      <c r="H55" s="14">
        <f t="shared" si="31"/>
        <v>0</v>
      </c>
      <c r="I55" s="63">
        <f t="shared" si="31"/>
        <v>5</v>
      </c>
      <c r="J55" s="14"/>
      <c r="L55" s="14"/>
      <c r="M55" s="67"/>
    </row>
    <row r="56" ht="12.75" customHeight="1">
      <c r="A56" s="43"/>
      <c r="B56" s="73"/>
      <c r="C56" s="14"/>
      <c r="D56" s="14"/>
    </row>
    <row r="57" ht="12.75" customHeight="1">
      <c r="A57" s="43"/>
      <c r="B57" s="73"/>
      <c r="C57" s="14"/>
      <c r="D57" s="14"/>
    </row>
    <row r="58" ht="12.75" customHeight="1">
      <c r="A58" s="43"/>
      <c r="B58" s="73"/>
      <c r="C58" s="14"/>
      <c r="D58" s="14"/>
    </row>
    <row r="59" ht="12.75" customHeight="1">
      <c r="A59" s="43"/>
      <c r="B59" s="73"/>
      <c r="C59" s="14"/>
      <c r="D59" s="14"/>
    </row>
    <row r="60" ht="12.75" customHeight="1">
      <c r="A60" s="43"/>
      <c r="B60" s="73"/>
      <c r="C60" s="14"/>
      <c r="D60" s="14"/>
    </row>
    <row r="61" ht="12.75" customHeight="1">
      <c r="A61" s="43"/>
      <c r="B61" s="73"/>
      <c r="C61" s="14"/>
      <c r="D61" s="14"/>
    </row>
    <row r="62" ht="12.75" customHeight="1">
      <c r="A62" s="43"/>
      <c r="B62" s="73"/>
      <c r="C62" s="14"/>
      <c r="D62" s="14"/>
    </row>
    <row r="63" ht="12.75" customHeight="1">
      <c r="A63" s="43"/>
      <c r="B63" s="73"/>
      <c r="C63" s="14"/>
      <c r="D63" s="14"/>
    </row>
    <row r="64" ht="12.75" customHeight="1">
      <c r="A64" s="43"/>
      <c r="B64" s="73"/>
      <c r="C64" s="14"/>
      <c r="D64" s="14"/>
    </row>
    <row r="65" ht="12.75" customHeight="1">
      <c r="A65" s="43"/>
      <c r="B65" s="73"/>
      <c r="C65" s="14"/>
      <c r="D65" s="14"/>
    </row>
    <row r="66" ht="12.75" customHeight="1">
      <c r="A66" s="43"/>
      <c r="B66" s="73"/>
      <c r="C66" s="14"/>
      <c r="D66" s="14"/>
    </row>
    <row r="67" ht="12.75" customHeight="1">
      <c r="A67" s="43"/>
      <c r="B67" s="73"/>
      <c r="C67" s="14"/>
      <c r="D67" s="14"/>
    </row>
    <row r="68" ht="12.75" customHeight="1">
      <c r="A68" s="43"/>
      <c r="B68" s="73"/>
      <c r="C68" s="14"/>
      <c r="D68" s="14"/>
    </row>
    <row r="69" ht="12.75" customHeight="1">
      <c r="A69" s="43"/>
      <c r="B69" s="73"/>
      <c r="C69" s="14"/>
      <c r="D69" s="14"/>
    </row>
    <row r="70" ht="12.75" customHeight="1">
      <c r="A70" s="43"/>
      <c r="B70" s="73"/>
      <c r="C70" s="14"/>
      <c r="D70" s="14"/>
    </row>
    <row r="71" ht="12.75" customHeight="1">
      <c r="A71" s="43"/>
      <c r="B71" s="73"/>
      <c r="C71" s="14"/>
      <c r="D71" s="14"/>
    </row>
    <row r="72" ht="12.75" customHeight="1">
      <c r="A72" s="43"/>
      <c r="B72" s="73"/>
      <c r="C72" s="14"/>
      <c r="D72" s="14"/>
    </row>
    <row r="73" ht="12.75" customHeight="1">
      <c r="A73" s="43"/>
      <c r="B73" s="73"/>
      <c r="C73" s="14"/>
      <c r="D73" s="14"/>
    </row>
    <row r="74" ht="12.75" customHeight="1">
      <c r="A74" s="43"/>
      <c r="B74" s="73"/>
      <c r="C74" s="14"/>
      <c r="D74" s="14"/>
    </row>
    <row r="75" ht="12.75" customHeight="1">
      <c r="A75" s="43"/>
      <c r="B75" s="73"/>
      <c r="C75" s="14"/>
      <c r="D75" s="14"/>
    </row>
    <row r="76" ht="12.75" customHeight="1">
      <c r="A76" s="43"/>
      <c r="B76" s="73"/>
      <c r="C76" s="14"/>
      <c r="D76" s="14"/>
    </row>
    <row r="77" ht="12.75" customHeight="1">
      <c r="A77" s="43"/>
      <c r="B77" s="73"/>
      <c r="C77" s="14"/>
      <c r="D77" s="14"/>
    </row>
    <row r="78" ht="12.75" customHeight="1">
      <c r="A78" s="43"/>
      <c r="B78" s="73"/>
      <c r="C78" s="14"/>
      <c r="D78" s="14"/>
    </row>
    <row r="79" ht="12.75" customHeight="1">
      <c r="A79" s="13"/>
      <c r="B79" s="73"/>
      <c r="C79" s="14"/>
      <c r="D79" s="14"/>
    </row>
    <row r="80" ht="12.75" customHeight="1">
      <c r="A80" s="13"/>
      <c r="B80" s="73"/>
      <c r="C80" s="14"/>
      <c r="D80" s="14"/>
    </row>
    <row r="81" ht="12.75" customHeight="1">
      <c r="A81" s="13"/>
      <c r="B81" s="14"/>
      <c r="C81" s="14"/>
      <c r="D81" s="14"/>
    </row>
    <row r="82" ht="12.75" customHeight="1">
      <c r="A82" s="13"/>
      <c r="B82" s="14"/>
      <c r="C82" s="14"/>
      <c r="D82" s="14"/>
    </row>
    <row r="83" ht="12.75" customHeight="1">
      <c r="A83" s="13"/>
      <c r="B83" s="14"/>
      <c r="C83" s="14"/>
      <c r="D83" s="14"/>
    </row>
    <row r="84" ht="12.75" customHeight="1">
      <c r="A84" s="13"/>
      <c r="B84" s="14"/>
      <c r="C84" s="14"/>
      <c r="D84" s="14"/>
    </row>
    <row r="85" ht="12.75" customHeight="1">
      <c r="A85" s="13"/>
      <c r="B85" s="14"/>
      <c r="C85" s="14"/>
      <c r="D85" s="14"/>
    </row>
    <row r="86" ht="12.75" customHeight="1">
      <c r="A86" s="13"/>
      <c r="B86" s="14"/>
      <c r="C86" s="14"/>
      <c r="D86" s="14"/>
    </row>
    <row r="87" ht="12.75" customHeight="1">
      <c r="A87" s="13"/>
      <c r="B87" s="14"/>
      <c r="C87" s="14"/>
      <c r="D87" s="14"/>
    </row>
    <row r="88" ht="12.75" customHeight="1">
      <c r="A88" s="13"/>
      <c r="B88" s="14"/>
      <c r="C88" s="14"/>
      <c r="D88" s="14"/>
    </row>
    <row r="89" ht="12.75" customHeight="1">
      <c r="A89" s="13"/>
      <c r="B89" s="14"/>
      <c r="C89" s="14"/>
      <c r="D89" s="14"/>
    </row>
    <row r="90" ht="12.75" customHeight="1">
      <c r="A90" s="13"/>
      <c r="B90" s="14"/>
      <c r="C90" s="14"/>
      <c r="D90" s="14"/>
    </row>
    <row r="91" ht="12.75" customHeight="1">
      <c r="A91" s="13"/>
      <c r="B91" s="14"/>
      <c r="C91" s="14"/>
      <c r="D91" s="14"/>
    </row>
    <row r="92" ht="12.75" customHeight="1">
      <c r="A92" s="13"/>
      <c r="B92" s="14"/>
      <c r="C92" s="14"/>
      <c r="D92" s="14"/>
    </row>
    <row r="93" ht="12.75" customHeight="1">
      <c r="A93" s="13"/>
      <c r="B93" s="14"/>
      <c r="C93" s="14"/>
      <c r="D93" s="14"/>
    </row>
    <row r="94" ht="12.75" customHeight="1">
      <c r="A94" s="13"/>
      <c r="B94" s="14"/>
      <c r="C94" s="14"/>
      <c r="D94" s="14"/>
    </row>
    <row r="95" ht="12.75" customHeight="1">
      <c r="A95" s="13"/>
      <c r="B95" s="14"/>
      <c r="C95" s="14"/>
      <c r="D95" s="14"/>
    </row>
    <row r="96" ht="12.75" customHeight="1">
      <c r="A96" s="13"/>
      <c r="B96" s="14"/>
      <c r="C96" s="14"/>
      <c r="D96" s="14"/>
    </row>
    <row r="97" ht="12.75" customHeight="1">
      <c r="A97" s="13"/>
      <c r="B97" s="14"/>
      <c r="C97" s="14"/>
      <c r="D97" s="14"/>
    </row>
    <row r="98" ht="12.75" customHeight="1">
      <c r="A98" s="13"/>
      <c r="B98" s="14"/>
      <c r="C98" s="14"/>
      <c r="D98" s="14"/>
    </row>
    <row r="99" ht="12.75" customHeight="1">
      <c r="A99" s="13"/>
      <c r="B99" s="14"/>
      <c r="C99" s="14"/>
      <c r="D99" s="14"/>
    </row>
    <row r="100" ht="12.75" customHeight="1">
      <c r="A100" s="13"/>
      <c r="B100" s="14"/>
      <c r="C100" s="14"/>
      <c r="D100" s="14"/>
    </row>
    <row r="101" ht="12.75" customHeight="1">
      <c r="A101" s="13"/>
      <c r="B101" s="14"/>
      <c r="C101" s="14"/>
      <c r="D101" s="14"/>
    </row>
    <row r="102" ht="12.75" customHeight="1">
      <c r="A102" s="13"/>
      <c r="B102" s="14"/>
      <c r="C102" s="14"/>
      <c r="D102" s="14"/>
    </row>
    <row r="103" ht="12.75" customHeight="1">
      <c r="A103" s="13"/>
      <c r="B103" s="14"/>
      <c r="C103" s="14"/>
      <c r="D103" s="14"/>
    </row>
    <row r="104" ht="12.75" customHeight="1">
      <c r="A104" s="13"/>
      <c r="B104" s="14"/>
      <c r="C104" s="14"/>
      <c r="D104" s="14"/>
    </row>
    <row r="105" ht="12.75" customHeight="1">
      <c r="A105" s="13"/>
      <c r="B105" s="14"/>
      <c r="C105" s="14"/>
      <c r="D105" s="14"/>
    </row>
    <row r="106" ht="12.75" customHeight="1">
      <c r="A106" s="13"/>
      <c r="B106" s="14"/>
      <c r="C106" s="14"/>
      <c r="D106" s="14"/>
    </row>
    <row r="107" ht="12.75" customHeight="1">
      <c r="A107" s="13"/>
      <c r="B107" s="14"/>
      <c r="C107" s="14"/>
      <c r="D107" s="14"/>
    </row>
    <row r="108" ht="12.75" customHeight="1">
      <c r="A108" s="13"/>
      <c r="B108" s="14"/>
      <c r="C108" s="14"/>
      <c r="D108" s="14"/>
    </row>
    <row r="109" ht="12.75" customHeight="1">
      <c r="A109" s="13"/>
      <c r="B109" s="14"/>
      <c r="C109" s="14"/>
      <c r="D109" s="14"/>
    </row>
    <row r="110" ht="12.75" customHeight="1">
      <c r="A110" s="13"/>
      <c r="B110" s="14"/>
      <c r="C110" s="14"/>
      <c r="D110" s="14"/>
    </row>
    <row r="111" ht="12.75" customHeight="1">
      <c r="A111" s="13"/>
      <c r="B111" s="14"/>
      <c r="C111" s="14"/>
      <c r="D111" s="14"/>
    </row>
    <row r="112" ht="12.75" customHeight="1">
      <c r="A112" s="13"/>
      <c r="B112" s="14"/>
      <c r="C112" s="14"/>
      <c r="D112" s="14"/>
    </row>
    <row r="113" ht="12.75" customHeight="1">
      <c r="A113" s="13"/>
      <c r="B113" s="14"/>
      <c r="C113" s="14"/>
      <c r="D113" s="14"/>
    </row>
    <row r="114" ht="12.75" customHeight="1">
      <c r="A114" s="13"/>
      <c r="B114" s="14"/>
      <c r="C114" s="14"/>
      <c r="D114" s="14"/>
    </row>
    <row r="115" ht="12.75" customHeight="1">
      <c r="A115" s="13"/>
      <c r="B115" s="14"/>
      <c r="C115" s="14"/>
      <c r="D115" s="14"/>
    </row>
    <row r="116" ht="12.75" customHeight="1">
      <c r="A116" s="13"/>
      <c r="B116" s="14"/>
      <c r="C116" s="14"/>
      <c r="D116" s="14"/>
    </row>
    <row r="117" ht="12.75" customHeight="1">
      <c r="A117" s="13"/>
      <c r="B117" s="14"/>
      <c r="C117" s="14"/>
      <c r="D117" s="14"/>
    </row>
    <row r="118" ht="12.75" customHeight="1">
      <c r="A118" s="13"/>
      <c r="B118" s="14"/>
      <c r="C118" s="14"/>
      <c r="D118" s="14"/>
    </row>
    <row r="119" ht="12.75" customHeight="1">
      <c r="A119" s="13"/>
      <c r="B119" s="14"/>
      <c r="C119" s="14"/>
      <c r="D119" s="14"/>
    </row>
    <row r="120" ht="12.75" customHeight="1">
      <c r="A120" s="13"/>
      <c r="B120" s="14"/>
      <c r="C120" s="14"/>
      <c r="D120" s="14"/>
    </row>
    <row r="121" ht="12.75" customHeight="1">
      <c r="A121" s="13"/>
      <c r="B121" s="14"/>
      <c r="C121" s="14"/>
      <c r="D121" s="14"/>
    </row>
    <row r="122" ht="12.75" customHeight="1">
      <c r="A122" s="13"/>
      <c r="B122" s="14"/>
      <c r="C122" s="14"/>
      <c r="D122" s="14"/>
    </row>
    <row r="123" ht="12.75" customHeight="1">
      <c r="A123" s="13"/>
      <c r="B123" s="14"/>
      <c r="C123" s="14"/>
      <c r="D123" s="14"/>
    </row>
    <row r="124" ht="12.75" customHeight="1">
      <c r="A124" s="13"/>
      <c r="B124" s="14"/>
      <c r="C124" s="14"/>
      <c r="D124" s="14"/>
    </row>
    <row r="125" ht="12.75" customHeight="1">
      <c r="A125" s="13"/>
      <c r="B125" s="14"/>
      <c r="C125" s="14"/>
      <c r="D125" s="14"/>
    </row>
    <row r="126" ht="12.75" customHeight="1">
      <c r="A126" s="13"/>
      <c r="B126" s="14"/>
      <c r="C126" s="14"/>
      <c r="D126" s="14"/>
    </row>
    <row r="127" ht="12.75" customHeight="1">
      <c r="A127" s="13"/>
      <c r="B127" s="14"/>
      <c r="C127" s="14"/>
      <c r="D127" s="14"/>
    </row>
    <row r="128" ht="12.75" customHeight="1">
      <c r="A128" s="13"/>
      <c r="B128" s="14"/>
      <c r="C128" s="14"/>
      <c r="D128" s="14"/>
    </row>
    <row r="129" ht="12.75" customHeight="1">
      <c r="A129" s="13"/>
      <c r="B129" s="14"/>
      <c r="C129" s="14"/>
      <c r="D129" s="14"/>
    </row>
    <row r="130" ht="12.75" customHeight="1">
      <c r="A130" s="13"/>
      <c r="B130" s="14"/>
      <c r="C130" s="14"/>
      <c r="D130" s="14"/>
    </row>
    <row r="131" ht="12.75" customHeight="1">
      <c r="A131" s="13"/>
      <c r="B131" s="14"/>
      <c r="C131" s="14"/>
      <c r="D131" s="14"/>
    </row>
    <row r="132" ht="12.75" customHeight="1">
      <c r="A132" s="13"/>
      <c r="B132" s="14"/>
      <c r="C132" s="14"/>
      <c r="D132" s="14"/>
    </row>
    <row r="133" ht="12.75" customHeight="1">
      <c r="A133" s="13"/>
      <c r="B133" s="14"/>
      <c r="C133" s="14"/>
      <c r="D133" s="14"/>
    </row>
    <row r="134" ht="12.75" customHeight="1">
      <c r="A134" s="13"/>
      <c r="B134" s="14"/>
      <c r="C134" s="14"/>
      <c r="D134" s="14"/>
    </row>
    <row r="135" ht="12.75" customHeight="1">
      <c r="A135" s="13"/>
      <c r="B135" s="14"/>
      <c r="C135" s="14"/>
      <c r="D135" s="14"/>
    </row>
    <row r="136" ht="12.75" customHeight="1">
      <c r="A136" s="13"/>
      <c r="B136" s="14"/>
      <c r="C136" s="14"/>
      <c r="D136" s="14"/>
    </row>
    <row r="137" ht="12.75" customHeight="1">
      <c r="A137" s="13"/>
      <c r="B137" s="14"/>
      <c r="C137" s="14"/>
      <c r="D137" s="14"/>
    </row>
    <row r="138" ht="12.75" customHeight="1">
      <c r="A138" s="13"/>
      <c r="B138" s="14"/>
      <c r="C138" s="14"/>
      <c r="D138" s="14"/>
    </row>
    <row r="139" ht="12.75" customHeight="1">
      <c r="A139" s="13"/>
      <c r="B139" s="14"/>
      <c r="C139" s="14"/>
      <c r="D139" s="14"/>
    </row>
    <row r="140" ht="12.75" customHeight="1">
      <c r="A140" s="13"/>
      <c r="B140" s="14"/>
      <c r="C140" s="14"/>
      <c r="D140" s="14"/>
    </row>
    <row r="141" ht="12.75" customHeight="1">
      <c r="A141" s="13"/>
      <c r="B141" s="14"/>
      <c r="C141" s="14"/>
      <c r="D141" s="14"/>
    </row>
    <row r="142" ht="12.75" customHeight="1">
      <c r="A142" s="13"/>
      <c r="B142" s="14"/>
      <c r="C142" s="14"/>
      <c r="D142" s="14"/>
    </row>
    <row r="143" ht="12.75" customHeight="1">
      <c r="A143" s="13"/>
      <c r="B143" s="14"/>
      <c r="C143" s="14"/>
      <c r="D143" s="14"/>
    </row>
    <row r="144" ht="12.75" customHeight="1">
      <c r="A144" s="13"/>
      <c r="B144" s="14"/>
      <c r="C144" s="14"/>
      <c r="D144" s="14"/>
    </row>
    <row r="145" ht="12.75" customHeight="1">
      <c r="A145" s="13"/>
      <c r="B145" s="14"/>
      <c r="C145" s="14"/>
      <c r="D145" s="14"/>
    </row>
    <row r="146" ht="12.75" customHeight="1">
      <c r="A146" s="13"/>
      <c r="B146" s="14"/>
      <c r="C146" s="14"/>
      <c r="D146" s="14"/>
    </row>
    <row r="147" ht="12.75" customHeight="1">
      <c r="A147" s="13"/>
      <c r="B147" s="14"/>
      <c r="C147" s="14"/>
      <c r="D147" s="14"/>
    </row>
    <row r="148" ht="12.75" customHeight="1">
      <c r="A148" s="13"/>
      <c r="B148" s="14"/>
      <c r="C148" s="14"/>
      <c r="D148" s="14"/>
    </row>
    <row r="149" ht="12.75" customHeight="1">
      <c r="A149" s="13"/>
      <c r="B149" s="14"/>
      <c r="C149" s="14"/>
      <c r="D149" s="14"/>
    </row>
    <row r="150" ht="12.75" customHeight="1">
      <c r="A150" s="13"/>
      <c r="B150" s="14"/>
      <c r="C150" s="14"/>
      <c r="D150" s="14"/>
    </row>
    <row r="151" ht="12.75" customHeight="1">
      <c r="A151" s="13"/>
      <c r="B151" s="14"/>
      <c r="C151" s="14"/>
      <c r="D151" s="14"/>
    </row>
    <row r="152" ht="12.75" customHeight="1">
      <c r="A152" s="13"/>
      <c r="B152" s="14"/>
      <c r="C152" s="14"/>
      <c r="D152" s="14"/>
    </row>
    <row r="153" ht="12.75" customHeight="1">
      <c r="A153" s="13"/>
      <c r="B153" s="14"/>
      <c r="C153" s="14"/>
      <c r="D153" s="14"/>
    </row>
    <row r="154" ht="12.75" customHeight="1">
      <c r="A154" s="13"/>
      <c r="B154" s="14"/>
      <c r="C154" s="14"/>
      <c r="D154" s="14"/>
    </row>
    <row r="155" ht="12.75" customHeight="1">
      <c r="A155" s="13"/>
      <c r="B155" s="14"/>
      <c r="C155" s="14"/>
      <c r="D155" s="14"/>
    </row>
    <row r="156" ht="12.75" customHeight="1">
      <c r="A156" s="13"/>
      <c r="B156" s="14"/>
      <c r="C156" s="14"/>
      <c r="D156" s="14"/>
    </row>
    <row r="157" ht="12.75" customHeight="1">
      <c r="A157" s="13"/>
      <c r="B157" s="14"/>
      <c r="C157" s="14"/>
      <c r="D157" s="14"/>
    </row>
    <row r="158" ht="12.75" customHeight="1">
      <c r="A158" s="13"/>
      <c r="B158" s="14"/>
      <c r="C158" s="14"/>
      <c r="D158" s="14"/>
    </row>
    <row r="159" ht="12.75" customHeight="1">
      <c r="A159" s="13"/>
      <c r="B159" s="14"/>
      <c r="C159" s="14"/>
      <c r="D159" s="14"/>
    </row>
    <row r="160" ht="12.75" customHeight="1">
      <c r="A160" s="13"/>
      <c r="B160" s="14"/>
      <c r="C160" s="14"/>
      <c r="D160" s="14"/>
    </row>
    <row r="161" ht="12.75" customHeight="1">
      <c r="A161" s="13"/>
      <c r="B161" s="14"/>
      <c r="C161" s="14"/>
      <c r="D161" s="14"/>
    </row>
    <row r="162" ht="12.75" customHeight="1">
      <c r="A162" s="13"/>
      <c r="B162" s="14"/>
      <c r="C162" s="14"/>
      <c r="D162" s="14"/>
    </row>
    <row r="163" ht="12.75" customHeight="1">
      <c r="A163" s="13"/>
      <c r="B163" s="14"/>
      <c r="C163" s="14"/>
      <c r="D163" s="14"/>
    </row>
    <row r="164" ht="12.75" customHeight="1">
      <c r="A164" s="13"/>
      <c r="B164" s="14"/>
      <c r="C164" s="14"/>
      <c r="D164" s="14"/>
    </row>
    <row r="165" ht="12.75" customHeight="1">
      <c r="A165" s="13"/>
      <c r="B165" s="14"/>
      <c r="C165" s="14"/>
      <c r="D165" s="14"/>
    </row>
    <row r="166" ht="12.75" customHeight="1">
      <c r="A166" s="13"/>
      <c r="B166" s="14"/>
      <c r="C166" s="14"/>
      <c r="D166" s="14"/>
    </row>
    <row r="167" ht="12.75" customHeight="1">
      <c r="A167" s="13"/>
      <c r="B167" s="14"/>
      <c r="C167" s="14"/>
      <c r="D167" s="14"/>
    </row>
    <row r="168" ht="12.75" customHeight="1">
      <c r="A168" s="13"/>
      <c r="B168" s="14"/>
      <c r="C168" s="14"/>
      <c r="D168" s="14"/>
    </row>
    <row r="169" ht="12.75" customHeight="1">
      <c r="A169" s="13"/>
      <c r="B169" s="14"/>
      <c r="C169" s="14"/>
      <c r="D169" s="14"/>
    </row>
    <row r="170" ht="12.75" customHeight="1">
      <c r="A170" s="13"/>
      <c r="B170" s="14"/>
      <c r="C170" s="14"/>
      <c r="D170" s="14"/>
    </row>
    <row r="171" ht="12.75" customHeight="1">
      <c r="A171" s="13"/>
      <c r="B171" s="14"/>
      <c r="C171" s="14"/>
      <c r="D171" s="14"/>
    </row>
    <row r="172" ht="12.75" customHeight="1">
      <c r="A172" s="13"/>
      <c r="B172" s="14"/>
      <c r="C172" s="14"/>
      <c r="D172" s="14"/>
    </row>
    <row r="173" ht="12.75" customHeight="1">
      <c r="A173" s="13"/>
      <c r="B173" s="14"/>
      <c r="C173" s="14"/>
      <c r="D173" s="14"/>
    </row>
    <row r="174" ht="12.75" customHeight="1">
      <c r="A174" s="13"/>
      <c r="B174" s="14"/>
      <c r="C174" s="14"/>
      <c r="D174" s="14"/>
    </row>
    <row r="175" ht="12.75" customHeight="1">
      <c r="A175" s="13"/>
      <c r="B175" s="14"/>
      <c r="C175" s="14"/>
      <c r="D175" s="14"/>
    </row>
    <row r="176" ht="12.75" customHeight="1">
      <c r="A176" s="13"/>
      <c r="B176" s="14"/>
      <c r="C176" s="14"/>
      <c r="D176" s="14"/>
    </row>
    <row r="177" ht="12.75" customHeight="1">
      <c r="A177" s="13"/>
      <c r="B177" s="14"/>
      <c r="C177" s="14"/>
      <c r="D177" s="14"/>
    </row>
    <row r="178" ht="12.75" customHeight="1">
      <c r="A178" s="13"/>
      <c r="B178" s="14"/>
      <c r="C178" s="14"/>
      <c r="D178" s="14"/>
    </row>
    <row r="179" ht="12.75" customHeight="1">
      <c r="A179" s="13"/>
      <c r="B179" s="14"/>
      <c r="C179" s="14"/>
      <c r="D179" s="14"/>
    </row>
    <row r="180" ht="12.75" customHeight="1">
      <c r="A180" s="13"/>
      <c r="B180" s="14"/>
      <c r="C180" s="14"/>
      <c r="D180" s="14"/>
    </row>
    <row r="181" ht="12.75" customHeight="1">
      <c r="A181" s="13"/>
      <c r="B181" s="14"/>
      <c r="C181" s="14"/>
      <c r="D181" s="14"/>
    </row>
    <row r="182" ht="12.75" customHeight="1">
      <c r="A182" s="13"/>
      <c r="B182" s="14"/>
      <c r="C182" s="14"/>
      <c r="D182" s="14"/>
    </row>
    <row r="183" ht="12.75" customHeight="1">
      <c r="A183" s="13"/>
      <c r="B183" s="14"/>
      <c r="C183" s="14"/>
      <c r="D183" s="14"/>
    </row>
    <row r="184" ht="12.75" customHeight="1">
      <c r="A184" s="13"/>
      <c r="B184" s="14"/>
      <c r="C184" s="14"/>
      <c r="D184" s="14"/>
    </row>
    <row r="185" ht="12.75" customHeight="1">
      <c r="A185" s="13"/>
      <c r="B185" s="14"/>
      <c r="C185" s="14"/>
      <c r="D185" s="14"/>
    </row>
    <row r="186" ht="12.75" customHeight="1">
      <c r="A186" s="13"/>
      <c r="B186" s="14"/>
      <c r="C186" s="14"/>
      <c r="D186" s="14"/>
    </row>
    <row r="187" ht="12.75" customHeight="1">
      <c r="A187" s="13"/>
      <c r="B187" s="14"/>
      <c r="C187" s="14"/>
      <c r="D187" s="14"/>
    </row>
    <row r="188" ht="12.75" customHeight="1">
      <c r="A188" s="13"/>
      <c r="B188" s="14"/>
      <c r="C188" s="14"/>
      <c r="D188" s="14"/>
    </row>
    <row r="189" ht="12.75" customHeight="1">
      <c r="A189" s="13"/>
      <c r="B189" s="14"/>
      <c r="C189" s="14"/>
      <c r="D189" s="14"/>
    </row>
    <row r="190" ht="12.75" customHeight="1">
      <c r="A190" s="13"/>
      <c r="B190" s="14"/>
      <c r="C190" s="14"/>
      <c r="D190" s="14"/>
    </row>
    <row r="191" ht="12.75" customHeight="1">
      <c r="A191" s="13"/>
      <c r="B191" s="14"/>
      <c r="C191" s="14"/>
      <c r="D191" s="14"/>
    </row>
    <row r="192" ht="12.75" customHeight="1">
      <c r="A192" s="13"/>
      <c r="B192" s="14"/>
      <c r="C192" s="14"/>
      <c r="D192" s="14"/>
    </row>
    <row r="193" ht="12.75" customHeight="1">
      <c r="A193" s="13"/>
      <c r="B193" s="14"/>
      <c r="C193" s="14"/>
      <c r="D193" s="14"/>
    </row>
    <row r="194" ht="12.75" customHeight="1">
      <c r="A194" s="13"/>
      <c r="B194" s="14"/>
      <c r="C194" s="14"/>
      <c r="D194" s="14"/>
    </row>
    <row r="195" ht="12.75" customHeight="1">
      <c r="A195" s="13"/>
      <c r="B195" s="14"/>
      <c r="C195" s="14"/>
      <c r="D195" s="14"/>
    </row>
    <row r="196" ht="12.75" customHeight="1">
      <c r="A196" s="13"/>
      <c r="B196" s="14"/>
      <c r="C196" s="14"/>
      <c r="D196" s="14"/>
    </row>
    <row r="197" ht="12.75" customHeight="1">
      <c r="A197" s="13"/>
      <c r="B197" s="14"/>
      <c r="C197" s="14"/>
      <c r="D197" s="14"/>
    </row>
    <row r="198" ht="12.75" customHeight="1">
      <c r="A198" s="13"/>
      <c r="B198" s="14"/>
      <c r="C198" s="14"/>
      <c r="D198" s="14"/>
    </row>
    <row r="199" ht="12.75" customHeight="1">
      <c r="A199" s="13"/>
      <c r="B199" s="14"/>
      <c r="C199" s="14"/>
      <c r="D199" s="14"/>
    </row>
    <row r="200" ht="12.75" customHeight="1">
      <c r="A200" s="13"/>
      <c r="B200" s="14"/>
      <c r="C200" s="14"/>
      <c r="D200" s="14"/>
    </row>
    <row r="201" ht="12.75" customHeight="1">
      <c r="A201" s="13"/>
      <c r="B201" s="14"/>
      <c r="C201" s="14"/>
      <c r="D201" s="14"/>
    </row>
    <row r="202" ht="12.75" customHeight="1">
      <c r="A202" s="13"/>
      <c r="B202" s="14"/>
      <c r="C202" s="14"/>
      <c r="D202" s="14"/>
    </row>
    <row r="203" ht="12.75" customHeight="1">
      <c r="A203" s="13"/>
      <c r="B203" s="14"/>
      <c r="C203" s="14"/>
      <c r="D203" s="14"/>
    </row>
    <row r="204" ht="12.75" customHeight="1">
      <c r="A204" s="13"/>
      <c r="B204" s="14"/>
      <c r="C204" s="14"/>
      <c r="D204" s="14"/>
    </row>
    <row r="205" ht="12.75" customHeight="1">
      <c r="A205" s="13"/>
      <c r="B205" s="14"/>
      <c r="C205" s="14"/>
      <c r="D205" s="14"/>
    </row>
    <row r="206" ht="12.75" customHeight="1">
      <c r="A206" s="13"/>
      <c r="B206" s="14"/>
      <c r="C206" s="14"/>
      <c r="D206" s="14"/>
    </row>
    <row r="207" ht="12.75" customHeight="1">
      <c r="A207" s="13"/>
      <c r="B207" s="14"/>
      <c r="C207" s="14"/>
      <c r="D207" s="14"/>
    </row>
    <row r="208" ht="12.75" customHeight="1">
      <c r="A208" s="13"/>
      <c r="B208" s="14"/>
      <c r="C208" s="14"/>
      <c r="D208" s="14"/>
    </row>
    <row r="209" ht="12.75" customHeight="1">
      <c r="A209" s="13"/>
      <c r="B209" s="14"/>
      <c r="C209" s="14"/>
      <c r="D209" s="14"/>
    </row>
    <row r="210" ht="12.75" customHeight="1">
      <c r="A210" s="13"/>
      <c r="B210" s="14"/>
      <c r="C210" s="14"/>
      <c r="D210" s="14"/>
    </row>
    <row r="211" ht="12.75" customHeight="1">
      <c r="A211" s="13"/>
      <c r="B211" s="14"/>
      <c r="C211" s="14"/>
      <c r="D211" s="14"/>
    </row>
    <row r="212" ht="12.75" customHeight="1">
      <c r="A212" s="13"/>
      <c r="B212" s="14"/>
      <c r="C212" s="14"/>
      <c r="D212" s="14"/>
    </row>
    <row r="213" ht="12.75" customHeight="1">
      <c r="A213" s="13"/>
      <c r="B213" s="14"/>
      <c r="C213" s="14"/>
      <c r="D213" s="14"/>
    </row>
    <row r="214" ht="12.75" customHeight="1">
      <c r="A214" s="13"/>
      <c r="B214" s="14"/>
      <c r="C214" s="14"/>
      <c r="D214" s="14"/>
    </row>
    <row r="215" ht="12.75" customHeight="1">
      <c r="A215" s="13"/>
      <c r="B215" s="14"/>
      <c r="C215" s="14"/>
      <c r="D215" s="14"/>
    </row>
    <row r="216" ht="12.75" customHeight="1">
      <c r="A216" s="13"/>
      <c r="B216" s="14"/>
      <c r="C216" s="14"/>
      <c r="D216" s="14"/>
    </row>
    <row r="217" ht="12.75" customHeight="1">
      <c r="A217" s="13"/>
      <c r="B217" s="14"/>
      <c r="C217" s="14"/>
      <c r="D217" s="14"/>
    </row>
    <row r="218" ht="12.75" customHeight="1">
      <c r="A218" s="13"/>
      <c r="B218" s="14"/>
      <c r="C218" s="14"/>
      <c r="D218" s="14"/>
    </row>
    <row r="219" ht="12.75" customHeight="1">
      <c r="A219" s="13"/>
      <c r="B219" s="14"/>
      <c r="C219" s="14"/>
      <c r="D219" s="14"/>
    </row>
    <row r="220" ht="12.75" customHeight="1">
      <c r="A220" s="13"/>
      <c r="B220" s="14"/>
      <c r="C220" s="14"/>
      <c r="D220" s="14"/>
    </row>
    <row r="221" ht="12.75" customHeight="1">
      <c r="A221" s="13"/>
      <c r="B221" s="14"/>
      <c r="C221" s="14"/>
      <c r="D221" s="14"/>
    </row>
    <row r="222" ht="12.75" customHeight="1">
      <c r="A222" s="13"/>
      <c r="B222" s="14"/>
      <c r="C222" s="14"/>
      <c r="D222" s="14"/>
    </row>
    <row r="223" ht="12.75" customHeight="1">
      <c r="A223" s="13"/>
      <c r="B223" s="14"/>
      <c r="C223" s="14"/>
      <c r="D223" s="14"/>
    </row>
    <row r="224" ht="12.75" customHeight="1">
      <c r="A224" s="13"/>
      <c r="B224" s="14"/>
      <c r="C224" s="14"/>
      <c r="D224" s="14"/>
    </row>
    <row r="225" ht="12.75" customHeight="1">
      <c r="A225" s="13"/>
      <c r="B225" s="14"/>
      <c r="C225" s="14"/>
      <c r="D225" s="14"/>
    </row>
    <row r="226" ht="12.75" customHeight="1">
      <c r="A226" s="13"/>
      <c r="B226" s="14"/>
      <c r="C226" s="14"/>
      <c r="D226" s="14"/>
    </row>
    <row r="227" ht="12.75" customHeight="1">
      <c r="A227" s="13"/>
      <c r="B227" s="14"/>
      <c r="C227" s="14"/>
      <c r="D227" s="14"/>
    </row>
    <row r="228" ht="12.75" customHeight="1">
      <c r="A228" s="13"/>
      <c r="B228" s="14"/>
      <c r="C228" s="14"/>
      <c r="D228" s="14"/>
    </row>
    <row r="229" ht="12.75" customHeight="1">
      <c r="A229" s="13"/>
      <c r="B229" s="14"/>
      <c r="C229" s="14"/>
      <c r="D229" s="14"/>
    </row>
    <row r="230" ht="12.75" customHeight="1">
      <c r="A230" s="13"/>
      <c r="B230" s="14"/>
      <c r="C230" s="14"/>
      <c r="D230" s="14"/>
    </row>
    <row r="231" ht="12.75" customHeight="1">
      <c r="A231" s="13"/>
      <c r="B231" s="14"/>
      <c r="C231" s="14"/>
      <c r="D231" s="14"/>
    </row>
    <row r="232" ht="12.75" customHeight="1">
      <c r="A232" s="13"/>
      <c r="B232" s="14"/>
      <c r="C232" s="14"/>
      <c r="D232" s="14"/>
    </row>
    <row r="233" ht="12.75" customHeight="1">
      <c r="A233" s="13"/>
      <c r="B233" s="14"/>
      <c r="C233" s="14"/>
      <c r="D233" s="14"/>
    </row>
    <row r="234" ht="12.75" customHeight="1">
      <c r="A234" s="13"/>
      <c r="B234" s="14"/>
      <c r="C234" s="14"/>
      <c r="D234" s="14"/>
    </row>
    <row r="235" ht="12.75" customHeight="1">
      <c r="A235" s="13"/>
      <c r="B235" s="14"/>
      <c r="C235" s="14"/>
      <c r="D235" s="14"/>
    </row>
    <row r="236" ht="12.75" customHeight="1">
      <c r="A236" s="13"/>
      <c r="B236" s="14"/>
      <c r="C236" s="14"/>
      <c r="D236" s="14"/>
    </row>
    <row r="237" ht="12.75" customHeight="1">
      <c r="A237" s="13"/>
      <c r="B237" s="14"/>
      <c r="C237" s="14"/>
      <c r="D237" s="14"/>
    </row>
    <row r="238" ht="12.75" customHeight="1">
      <c r="A238" s="13"/>
      <c r="B238" s="14"/>
      <c r="C238" s="14"/>
      <c r="D238" s="14"/>
    </row>
    <row r="239" ht="12.75" customHeight="1">
      <c r="A239" s="13"/>
      <c r="B239" s="14"/>
      <c r="C239" s="14"/>
      <c r="D239" s="14"/>
    </row>
    <row r="240" ht="12.75" customHeight="1">
      <c r="A240" s="13"/>
      <c r="B240" s="14"/>
      <c r="C240" s="14"/>
      <c r="D240" s="14"/>
    </row>
    <row r="241" ht="12.75" customHeight="1">
      <c r="A241" s="13"/>
      <c r="B241" s="14"/>
      <c r="C241" s="14"/>
      <c r="D241" s="14"/>
    </row>
    <row r="242" ht="12.75" customHeight="1">
      <c r="A242" s="13"/>
      <c r="B242" s="14"/>
      <c r="C242" s="14"/>
      <c r="D242" s="14"/>
    </row>
    <row r="243" ht="12.75" customHeight="1">
      <c r="A243" s="13"/>
      <c r="B243" s="14"/>
      <c r="C243" s="14"/>
      <c r="D243" s="14"/>
    </row>
    <row r="244" ht="12.75" customHeight="1">
      <c r="A244" s="13"/>
      <c r="B244" s="14"/>
      <c r="C244" s="14"/>
      <c r="D244" s="14"/>
    </row>
    <row r="245" ht="12.75" customHeight="1">
      <c r="A245" s="13"/>
      <c r="B245" s="14"/>
      <c r="C245" s="14"/>
      <c r="D245" s="14"/>
    </row>
    <row r="246" ht="12.75" customHeight="1">
      <c r="A246" s="13"/>
      <c r="B246" s="14"/>
      <c r="C246" s="14"/>
      <c r="D246" s="14"/>
    </row>
    <row r="247" ht="12.75" customHeight="1">
      <c r="A247" s="13"/>
      <c r="B247" s="14"/>
      <c r="C247" s="14"/>
      <c r="D247" s="14"/>
    </row>
    <row r="248" ht="12.75" customHeight="1">
      <c r="A248" s="13"/>
      <c r="B248" s="14"/>
      <c r="C248" s="14"/>
      <c r="D248" s="14"/>
    </row>
    <row r="249" ht="12.75" customHeight="1">
      <c r="A249" s="13"/>
      <c r="B249" s="14"/>
      <c r="C249" s="14"/>
      <c r="D249" s="14"/>
    </row>
    <row r="250" ht="12.75" customHeight="1">
      <c r="A250" s="13"/>
      <c r="B250" s="14"/>
      <c r="C250" s="14"/>
      <c r="D250" s="14"/>
    </row>
    <row r="251" ht="12.75" customHeight="1">
      <c r="A251" s="13"/>
      <c r="B251" s="14"/>
      <c r="C251" s="14"/>
      <c r="D251" s="14"/>
    </row>
    <row r="252" ht="12.75" customHeight="1">
      <c r="A252" s="13"/>
      <c r="B252" s="14"/>
      <c r="C252" s="14"/>
      <c r="D252" s="14"/>
    </row>
    <row r="253" ht="12.75" customHeight="1">
      <c r="A253" s="13"/>
      <c r="B253" s="14"/>
      <c r="C253" s="14"/>
      <c r="D253" s="14"/>
    </row>
    <row r="254" ht="12.75" customHeight="1">
      <c r="A254" s="13"/>
      <c r="B254" s="14"/>
      <c r="C254" s="14"/>
      <c r="D254" s="14"/>
    </row>
    <row r="255" ht="12.75" customHeight="1">
      <c r="A255" s="13"/>
      <c r="B255" s="14"/>
      <c r="C255" s="14"/>
      <c r="D255" s="14"/>
    </row>
    <row r="256" ht="12.75" customHeight="1">
      <c r="A256" s="13"/>
      <c r="B256" s="14"/>
      <c r="C256" s="14"/>
      <c r="D256" s="14"/>
    </row>
    <row r="257" ht="12.75" customHeight="1">
      <c r="A257" s="13"/>
      <c r="B257" s="14"/>
      <c r="C257" s="14"/>
      <c r="D257" s="14"/>
    </row>
    <row r="258" ht="12.75" customHeight="1">
      <c r="A258" s="13"/>
      <c r="B258" s="14"/>
      <c r="C258" s="14"/>
      <c r="D258" s="14"/>
    </row>
    <row r="259" ht="12.75" customHeight="1">
      <c r="A259" s="13"/>
      <c r="B259" s="14"/>
      <c r="C259" s="14"/>
      <c r="D259" s="14"/>
    </row>
    <row r="260" ht="12.75" customHeight="1">
      <c r="A260" s="13"/>
      <c r="B260" s="14"/>
      <c r="C260" s="14"/>
      <c r="D260" s="14"/>
    </row>
    <row r="261" ht="12.75" customHeight="1">
      <c r="A261" s="13"/>
      <c r="B261" s="14"/>
      <c r="C261" s="14"/>
      <c r="D261" s="14"/>
    </row>
    <row r="262" ht="12.75" customHeight="1">
      <c r="A262" s="13"/>
      <c r="B262" s="14"/>
      <c r="C262" s="14"/>
      <c r="D262" s="14"/>
    </row>
    <row r="263" ht="12.75" customHeight="1">
      <c r="A263" s="13"/>
      <c r="B263" s="14"/>
      <c r="C263" s="14"/>
      <c r="D263" s="14"/>
    </row>
    <row r="264" ht="12.75" customHeight="1">
      <c r="A264" s="13"/>
      <c r="B264" s="14"/>
      <c r="C264" s="14"/>
      <c r="D264" s="14"/>
    </row>
    <row r="265" ht="12.75" customHeight="1">
      <c r="A265" s="13"/>
      <c r="B265" s="14"/>
      <c r="C265" s="14"/>
      <c r="D265" s="14"/>
    </row>
    <row r="266" ht="12.75" customHeight="1">
      <c r="A266" s="13"/>
      <c r="B266" s="14"/>
      <c r="C266" s="14"/>
      <c r="D266" s="14"/>
    </row>
    <row r="267" ht="12.75" customHeight="1">
      <c r="A267" s="13"/>
      <c r="B267" s="14"/>
      <c r="C267" s="14"/>
      <c r="D267" s="14"/>
    </row>
    <row r="268" ht="12.75" customHeight="1">
      <c r="C268" s="14"/>
      <c r="D268" s="14"/>
    </row>
    <row r="269" ht="12.75" customHeight="1">
      <c r="C269" s="14"/>
      <c r="D269" s="14"/>
    </row>
    <row r="270" ht="12.75" customHeight="1">
      <c r="C270" s="14"/>
      <c r="D270" s="14"/>
    </row>
    <row r="271" ht="12.75" customHeight="1">
      <c r="C271" s="14"/>
      <c r="D271" s="14"/>
    </row>
    <row r="272" ht="15.75" customHeight="1">
      <c r="C272" s="14"/>
      <c r="D272" s="14"/>
    </row>
    <row r="273" ht="15.75" customHeight="1">
      <c r="C273" s="14"/>
      <c r="D273" s="14"/>
    </row>
    <row r="274" ht="15.75" customHeight="1">
      <c r="C274" s="14"/>
      <c r="D274" s="14"/>
    </row>
    <row r="275" ht="15.75" customHeight="1">
      <c r="C275" s="14"/>
      <c r="D275" s="14"/>
    </row>
    <row r="276" ht="15.75" customHeight="1">
      <c r="C276" s="14"/>
      <c r="D276" s="14"/>
    </row>
    <row r="277" ht="15.75" customHeight="1">
      <c r="C277" s="14"/>
      <c r="D277" s="14"/>
    </row>
    <row r="278" ht="15.75" customHeight="1">
      <c r="C278" s="14"/>
      <c r="D278" s="14"/>
    </row>
    <row r="279" ht="15.75" customHeight="1">
      <c r="C279" s="14"/>
      <c r="D279" s="14"/>
    </row>
    <row r="280" ht="15.75" customHeight="1">
      <c r="C280" s="14"/>
      <c r="D280" s="14"/>
    </row>
    <row r="281" ht="15.75" customHeight="1">
      <c r="C281" s="14"/>
      <c r="D281" s="14"/>
    </row>
    <row r="282" ht="15.75" customHeight="1">
      <c r="C282" s="14"/>
      <c r="D282" s="14"/>
    </row>
    <row r="283" ht="15.75" customHeight="1">
      <c r="C283" s="14"/>
      <c r="D283" s="14"/>
    </row>
    <row r="284" ht="15.75" customHeight="1">
      <c r="C284" s="14"/>
      <c r="D284" s="14"/>
    </row>
    <row r="285" ht="15.75" customHeight="1">
      <c r="C285" s="14"/>
      <c r="D285" s="14"/>
    </row>
    <row r="286" ht="15.75" customHeight="1">
      <c r="C286" s="14"/>
      <c r="D286" s="14"/>
    </row>
    <row r="287" ht="15.75" customHeight="1">
      <c r="C287" s="14"/>
      <c r="D287" s="14"/>
    </row>
    <row r="288" ht="15.75" customHeight="1">
      <c r="C288" s="14"/>
      <c r="D288" s="14"/>
    </row>
    <row r="289" ht="15.75" customHeight="1">
      <c r="C289" s="14"/>
      <c r="D289" s="14"/>
    </row>
    <row r="290" ht="15.75" customHeight="1">
      <c r="C290" s="14"/>
      <c r="D290" s="14"/>
    </row>
    <row r="291" ht="15.75" customHeight="1">
      <c r="C291" s="14"/>
      <c r="D291" s="14"/>
    </row>
    <row r="292" ht="15.75" customHeight="1">
      <c r="C292" s="14"/>
      <c r="D292" s="14"/>
    </row>
    <row r="293" ht="15.75" customHeight="1">
      <c r="C293" s="14"/>
      <c r="D293" s="14"/>
    </row>
    <row r="294" ht="15.75" customHeight="1">
      <c r="C294" s="14"/>
      <c r="D294" s="14"/>
    </row>
    <row r="295" ht="15.75" customHeight="1">
      <c r="C295" s="14"/>
      <c r="D295" s="14"/>
    </row>
    <row r="296" ht="15.75" customHeight="1">
      <c r="C296" s="14"/>
      <c r="D296" s="14"/>
    </row>
    <row r="297" ht="15.75" customHeight="1">
      <c r="C297" s="14"/>
      <c r="D297" s="14"/>
    </row>
    <row r="298" ht="15.75" customHeight="1">
      <c r="C298" s="14"/>
      <c r="D298" s="14"/>
    </row>
    <row r="299" ht="15.75" customHeight="1">
      <c r="C299" s="14"/>
      <c r="D299" s="14"/>
    </row>
    <row r="300" ht="15.75" customHeight="1">
      <c r="C300" s="14"/>
      <c r="D300" s="14"/>
    </row>
    <row r="301" ht="15.75" customHeight="1">
      <c r="C301" s="14"/>
      <c r="D301" s="14"/>
    </row>
    <row r="302" ht="15.75" customHeight="1">
      <c r="C302" s="14"/>
      <c r="D302" s="14"/>
    </row>
    <row r="303" ht="15.75" customHeight="1">
      <c r="C303" s="14"/>
      <c r="D303" s="14"/>
    </row>
    <row r="304" ht="15.75" customHeight="1">
      <c r="C304" s="14"/>
      <c r="D304" s="14"/>
    </row>
    <row r="305" ht="15.75" customHeight="1">
      <c r="C305" s="14"/>
      <c r="D305" s="14"/>
    </row>
    <row r="306" ht="15.75" customHeight="1">
      <c r="C306" s="14"/>
      <c r="D306" s="14"/>
    </row>
    <row r="307" ht="15.75" customHeight="1">
      <c r="C307" s="14"/>
      <c r="D307" s="14"/>
    </row>
    <row r="308" ht="15.75" customHeight="1">
      <c r="C308" s="14"/>
      <c r="D308" s="14"/>
    </row>
    <row r="309" ht="15.75" customHeight="1">
      <c r="C309" s="14"/>
      <c r="D309" s="14"/>
    </row>
    <row r="310" ht="15.75" customHeight="1">
      <c r="C310" s="14"/>
      <c r="D310" s="14"/>
    </row>
    <row r="311" ht="15.75" customHeight="1">
      <c r="C311" s="14"/>
      <c r="D311" s="14"/>
    </row>
    <row r="312" ht="15.75" customHeight="1">
      <c r="C312" s="14"/>
      <c r="D312" s="14"/>
    </row>
    <row r="313" ht="15.75" customHeight="1">
      <c r="C313" s="14"/>
      <c r="D313" s="14"/>
    </row>
    <row r="314" ht="15.75" customHeight="1">
      <c r="C314" s="14"/>
      <c r="D314" s="14"/>
    </row>
    <row r="315" ht="15.75" customHeight="1">
      <c r="C315" s="14"/>
      <c r="D315" s="14"/>
    </row>
    <row r="316" ht="15.75" customHeight="1">
      <c r="C316" s="14"/>
      <c r="D316" s="14"/>
    </row>
    <row r="317" ht="15.75" customHeight="1">
      <c r="C317" s="14"/>
      <c r="D317" s="14"/>
    </row>
    <row r="318" ht="15.75" customHeight="1">
      <c r="C318" s="14"/>
      <c r="D318" s="14"/>
    </row>
    <row r="319" ht="15.75" customHeight="1">
      <c r="C319" s="14"/>
      <c r="D319" s="14"/>
    </row>
    <row r="320" ht="15.75" customHeight="1">
      <c r="C320" s="14"/>
      <c r="D320" s="14"/>
    </row>
    <row r="321" ht="15.75" customHeight="1">
      <c r="C321" s="14"/>
      <c r="D321" s="14"/>
    </row>
    <row r="322" ht="15.75" customHeight="1">
      <c r="C322" s="14"/>
      <c r="D322" s="14"/>
    </row>
    <row r="323" ht="15.75" customHeight="1">
      <c r="C323" s="14"/>
      <c r="D323" s="14"/>
    </row>
    <row r="324" ht="15.75" customHeight="1">
      <c r="C324" s="14"/>
      <c r="D324" s="14"/>
    </row>
    <row r="325" ht="15.75" customHeight="1">
      <c r="C325" s="14"/>
      <c r="D325" s="14"/>
    </row>
    <row r="326" ht="15.75" customHeight="1">
      <c r="C326" s="14"/>
      <c r="D326" s="14"/>
    </row>
    <row r="327" ht="15.75" customHeight="1">
      <c r="C327" s="14"/>
      <c r="D327" s="14"/>
    </row>
    <row r="328" ht="15.75" customHeight="1">
      <c r="C328" s="14"/>
      <c r="D328" s="14"/>
    </row>
    <row r="329" ht="15.75" customHeight="1">
      <c r="C329" s="14"/>
      <c r="D329" s="14"/>
    </row>
    <row r="330" ht="15.75" customHeight="1">
      <c r="C330" s="14"/>
      <c r="D330" s="14"/>
    </row>
    <row r="331" ht="15.75" customHeight="1">
      <c r="C331" s="14"/>
      <c r="D331" s="14"/>
    </row>
    <row r="332" ht="15.75" customHeight="1">
      <c r="C332" s="14"/>
      <c r="D332" s="14"/>
    </row>
    <row r="333" ht="15.75" customHeight="1">
      <c r="C333" s="14"/>
      <c r="D333" s="14"/>
    </row>
    <row r="334" ht="15.75" customHeight="1">
      <c r="C334" s="14"/>
      <c r="D334" s="14"/>
    </row>
    <row r="335" ht="15.75" customHeight="1">
      <c r="C335" s="14"/>
      <c r="D335" s="14"/>
    </row>
    <row r="336" ht="15.75" customHeight="1">
      <c r="C336" s="14"/>
      <c r="D336" s="14"/>
    </row>
    <row r="337" ht="15.75" customHeight="1">
      <c r="C337" s="14"/>
      <c r="D337" s="14"/>
    </row>
    <row r="338" ht="15.75" customHeight="1">
      <c r="C338" s="14"/>
      <c r="D338" s="14"/>
    </row>
    <row r="339" ht="15.75" customHeight="1">
      <c r="C339" s="14"/>
      <c r="D339" s="14"/>
    </row>
    <row r="340" ht="15.75" customHeight="1">
      <c r="C340" s="14"/>
      <c r="D340" s="14"/>
    </row>
    <row r="341" ht="15.75" customHeight="1">
      <c r="C341" s="14"/>
      <c r="D341" s="14"/>
    </row>
    <row r="342" ht="15.75" customHeight="1">
      <c r="C342" s="14"/>
      <c r="D342" s="14"/>
    </row>
    <row r="343" ht="15.75" customHeight="1">
      <c r="C343" s="14"/>
      <c r="D343" s="14"/>
    </row>
    <row r="344" ht="15.75" customHeight="1">
      <c r="C344" s="14"/>
      <c r="D344" s="14"/>
    </row>
    <row r="345" ht="15.75" customHeight="1">
      <c r="C345" s="14"/>
      <c r="D345" s="14"/>
    </row>
    <row r="346" ht="15.75" customHeight="1">
      <c r="C346" s="14"/>
      <c r="D346" s="14"/>
    </row>
    <row r="347" ht="15.75" customHeight="1">
      <c r="C347" s="14"/>
      <c r="D347" s="14"/>
    </row>
    <row r="348" ht="15.75" customHeight="1">
      <c r="C348" s="14"/>
      <c r="D348" s="14"/>
    </row>
    <row r="349" ht="15.75" customHeight="1">
      <c r="C349" s="14"/>
      <c r="D349" s="14"/>
    </row>
    <row r="350" ht="15.75" customHeight="1">
      <c r="C350" s="14"/>
      <c r="D350" s="14"/>
    </row>
    <row r="351" ht="15.75" customHeight="1">
      <c r="C351" s="14"/>
      <c r="D351" s="14"/>
    </row>
    <row r="352" ht="15.75" customHeight="1">
      <c r="C352" s="14"/>
      <c r="D352" s="14"/>
    </row>
    <row r="353" ht="15.75" customHeight="1">
      <c r="C353" s="14"/>
      <c r="D353" s="14"/>
    </row>
    <row r="354" ht="15.75" customHeight="1">
      <c r="C354" s="14"/>
      <c r="D354" s="14"/>
    </row>
    <row r="355" ht="15.75" customHeight="1">
      <c r="C355" s="14"/>
      <c r="D355" s="14"/>
    </row>
    <row r="356" ht="15.75" customHeight="1">
      <c r="C356" s="14"/>
      <c r="D356" s="14"/>
    </row>
    <row r="357" ht="15.75" customHeight="1">
      <c r="C357" s="14"/>
      <c r="D357" s="14"/>
    </row>
    <row r="358" ht="15.75" customHeight="1">
      <c r="C358" s="14"/>
      <c r="D358" s="14"/>
    </row>
    <row r="359" ht="15.75" customHeight="1">
      <c r="C359" s="14"/>
      <c r="D359" s="14"/>
    </row>
    <row r="360" ht="15.75" customHeight="1">
      <c r="C360" s="14"/>
      <c r="D360" s="14"/>
    </row>
    <row r="361" ht="15.75" customHeight="1">
      <c r="C361" s="14"/>
      <c r="D361" s="14"/>
    </row>
    <row r="362" ht="15.75" customHeight="1">
      <c r="C362" s="14"/>
      <c r="D362" s="14"/>
    </row>
    <row r="363" ht="15.75" customHeight="1">
      <c r="C363" s="14"/>
      <c r="D363" s="14"/>
    </row>
    <row r="364" ht="15.75" customHeight="1">
      <c r="C364" s="14"/>
      <c r="D364" s="14"/>
    </row>
    <row r="365" ht="15.75" customHeight="1">
      <c r="C365" s="14"/>
      <c r="D365" s="14"/>
    </row>
    <row r="366" ht="15.75" customHeight="1">
      <c r="C366" s="14"/>
      <c r="D366" s="14"/>
    </row>
    <row r="367" ht="15.75" customHeight="1">
      <c r="C367" s="14"/>
      <c r="D367" s="14"/>
    </row>
    <row r="368" ht="15.75" customHeight="1">
      <c r="C368" s="14"/>
      <c r="D368" s="14"/>
    </row>
    <row r="369" ht="15.75" customHeight="1">
      <c r="C369" s="14"/>
      <c r="D369" s="14"/>
    </row>
    <row r="370" ht="15.75" customHeight="1">
      <c r="C370" s="14"/>
      <c r="D370" s="14"/>
    </row>
    <row r="371" ht="15.75" customHeight="1">
      <c r="C371" s="14"/>
      <c r="D371" s="14"/>
    </row>
    <row r="372" ht="15.75" customHeight="1">
      <c r="C372" s="14"/>
      <c r="D372" s="14"/>
    </row>
    <row r="373" ht="15.75" customHeight="1">
      <c r="C373" s="14"/>
      <c r="D373" s="14"/>
    </row>
    <row r="374" ht="15.75" customHeight="1">
      <c r="C374" s="14"/>
      <c r="D374" s="14"/>
    </row>
    <row r="375" ht="15.75" customHeight="1">
      <c r="C375" s="14"/>
      <c r="D375" s="14"/>
    </row>
    <row r="376" ht="15.75" customHeight="1">
      <c r="C376" s="14"/>
      <c r="D376" s="14"/>
    </row>
    <row r="377" ht="15.75" customHeight="1">
      <c r="C377" s="14"/>
      <c r="D377" s="14"/>
    </row>
    <row r="378" ht="15.75" customHeight="1">
      <c r="C378" s="14"/>
      <c r="D378" s="14"/>
    </row>
    <row r="379" ht="15.75" customHeight="1">
      <c r="C379" s="14"/>
      <c r="D379" s="14"/>
    </row>
    <row r="380" ht="15.75" customHeight="1">
      <c r="C380" s="14"/>
      <c r="D380" s="14"/>
    </row>
    <row r="381" ht="15.75" customHeight="1">
      <c r="C381" s="14"/>
      <c r="D381" s="14"/>
    </row>
    <row r="382" ht="15.75" customHeight="1">
      <c r="C382" s="14"/>
      <c r="D382" s="14"/>
    </row>
    <row r="383" ht="15.75" customHeight="1">
      <c r="C383" s="14"/>
      <c r="D383" s="14"/>
    </row>
    <row r="384" ht="15.75" customHeight="1">
      <c r="C384" s="14"/>
      <c r="D384" s="14"/>
    </row>
    <row r="385" ht="15.75" customHeight="1">
      <c r="C385" s="14"/>
      <c r="D385" s="14"/>
    </row>
    <row r="386" ht="15.75" customHeight="1">
      <c r="C386" s="14"/>
      <c r="D386" s="14"/>
    </row>
    <row r="387" ht="15.75" customHeight="1">
      <c r="C387" s="14"/>
      <c r="D387" s="14"/>
    </row>
    <row r="388" ht="15.75" customHeight="1">
      <c r="C388" s="14"/>
      <c r="D388" s="14"/>
    </row>
    <row r="389" ht="15.75" customHeight="1">
      <c r="C389" s="14"/>
      <c r="D389" s="14"/>
    </row>
    <row r="390" ht="15.75" customHeight="1">
      <c r="C390" s="14"/>
      <c r="D390" s="14"/>
    </row>
    <row r="391" ht="15.75" customHeight="1">
      <c r="C391" s="14"/>
      <c r="D391" s="14"/>
    </row>
    <row r="392" ht="15.75" customHeight="1">
      <c r="C392" s="14"/>
      <c r="D392" s="14"/>
    </row>
    <row r="393" ht="15.75" customHeight="1">
      <c r="C393" s="14"/>
      <c r="D393" s="14"/>
    </row>
    <row r="394" ht="15.75" customHeight="1">
      <c r="C394" s="14"/>
      <c r="D394" s="14"/>
    </row>
    <row r="395" ht="15.75" customHeight="1">
      <c r="C395" s="14"/>
      <c r="D395" s="14"/>
    </row>
    <row r="396" ht="15.75" customHeight="1">
      <c r="C396" s="14"/>
      <c r="D396" s="14"/>
    </row>
    <row r="397" ht="15.75" customHeight="1">
      <c r="C397" s="14"/>
      <c r="D397" s="14"/>
    </row>
    <row r="398" ht="15.75" customHeight="1">
      <c r="C398" s="14"/>
      <c r="D398" s="14"/>
    </row>
    <row r="399" ht="15.75" customHeight="1">
      <c r="C399" s="14"/>
      <c r="D399" s="14"/>
    </row>
    <row r="400" ht="15.75" customHeight="1">
      <c r="C400" s="14"/>
      <c r="D400" s="14"/>
    </row>
    <row r="401" ht="15.75" customHeight="1">
      <c r="C401" s="14"/>
      <c r="D401" s="14"/>
    </row>
    <row r="402" ht="15.75" customHeight="1">
      <c r="C402" s="14"/>
      <c r="D402" s="14"/>
    </row>
    <row r="403" ht="15.75" customHeight="1">
      <c r="C403" s="14"/>
      <c r="D403" s="14"/>
    </row>
    <row r="404" ht="15.75" customHeight="1">
      <c r="C404" s="14"/>
      <c r="D404" s="14"/>
    </row>
    <row r="405" ht="15.75" customHeight="1">
      <c r="C405" s="14"/>
      <c r="D405" s="14"/>
    </row>
    <row r="406" ht="15.75" customHeight="1">
      <c r="C406" s="14"/>
      <c r="D406" s="14"/>
    </row>
    <row r="407" ht="15.75" customHeight="1">
      <c r="C407" s="14"/>
      <c r="D407" s="14"/>
    </row>
    <row r="408" ht="15.75" customHeight="1">
      <c r="C408" s="14"/>
      <c r="D408" s="14"/>
    </row>
    <row r="409" ht="15.75" customHeight="1">
      <c r="C409" s="14"/>
      <c r="D409" s="14"/>
    </row>
    <row r="410" ht="15.75" customHeight="1">
      <c r="C410" s="14"/>
      <c r="D410" s="14"/>
    </row>
    <row r="411" ht="15.75" customHeight="1">
      <c r="C411" s="14"/>
      <c r="D411" s="14"/>
    </row>
    <row r="412" ht="15.75" customHeight="1">
      <c r="C412" s="14"/>
      <c r="D412" s="14"/>
    </row>
    <row r="413" ht="15.75" customHeight="1">
      <c r="C413" s="14"/>
      <c r="D413" s="14"/>
    </row>
    <row r="414" ht="15.75" customHeight="1">
      <c r="C414" s="14"/>
      <c r="D414" s="14"/>
    </row>
    <row r="415" ht="15.75" customHeight="1">
      <c r="C415" s="14"/>
      <c r="D415" s="14"/>
    </row>
    <row r="416" ht="15.75" customHeight="1">
      <c r="C416" s="14"/>
      <c r="D416" s="14"/>
    </row>
    <row r="417" ht="15.75" customHeight="1">
      <c r="C417" s="14"/>
      <c r="D417" s="14"/>
    </row>
    <row r="418" ht="15.75" customHeight="1">
      <c r="C418" s="14"/>
      <c r="D418" s="14"/>
    </row>
    <row r="419" ht="15.75" customHeight="1">
      <c r="C419" s="14"/>
      <c r="D419" s="14"/>
    </row>
    <row r="420" ht="15.75" customHeight="1">
      <c r="C420" s="14"/>
      <c r="D420" s="14"/>
    </row>
    <row r="421" ht="15.75" customHeight="1">
      <c r="C421" s="14"/>
      <c r="D421" s="14"/>
    </row>
    <row r="422" ht="15.75" customHeight="1">
      <c r="C422" s="14"/>
      <c r="D422" s="14"/>
    </row>
    <row r="423" ht="15.75" customHeight="1">
      <c r="C423" s="14"/>
      <c r="D423" s="14"/>
    </row>
    <row r="424" ht="15.75" customHeight="1">
      <c r="C424" s="14"/>
      <c r="D424" s="14"/>
    </row>
    <row r="425" ht="15.75" customHeight="1">
      <c r="C425" s="14"/>
      <c r="D425" s="14"/>
    </row>
    <row r="426" ht="15.75" customHeight="1">
      <c r="C426" s="14"/>
      <c r="D426" s="14"/>
    </row>
    <row r="427" ht="15.75" customHeight="1">
      <c r="C427" s="14"/>
      <c r="D427" s="14"/>
    </row>
    <row r="428" ht="15.75" customHeight="1">
      <c r="C428" s="14"/>
      <c r="D428" s="14"/>
    </row>
    <row r="429" ht="15.75" customHeight="1">
      <c r="C429" s="14"/>
      <c r="D429" s="14"/>
    </row>
    <row r="430" ht="15.75" customHeight="1">
      <c r="C430" s="14"/>
      <c r="D430" s="14"/>
    </row>
    <row r="431" ht="15.75" customHeight="1">
      <c r="C431" s="14"/>
      <c r="D431" s="14"/>
    </row>
    <row r="432" ht="15.75" customHeight="1">
      <c r="C432" s="14"/>
      <c r="D432" s="14"/>
    </row>
    <row r="433" ht="15.75" customHeight="1">
      <c r="C433" s="14"/>
      <c r="D433" s="14"/>
    </row>
    <row r="434" ht="15.75" customHeight="1">
      <c r="C434" s="14"/>
      <c r="D434" s="14"/>
    </row>
    <row r="435" ht="15.75" customHeight="1">
      <c r="C435" s="14"/>
      <c r="D435" s="14"/>
    </row>
    <row r="436" ht="15.75" customHeight="1">
      <c r="C436" s="14"/>
      <c r="D436" s="14"/>
    </row>
    <row r="437" ht="15.75" customHeight="1">
      <c r="C437" s="14"/>
      <c r="D437" s="14"/>
    </row>
    <row r="438" ht="15.75" customHeight="1">
      <c r="C438" s="14"/>
      <c r="D438" s="14"/>
    </row>
    <row r="439" ht="15.75" customHeight="1">
      <c r="C439" s="14"/>
      <c r="D439" s="14"/>
    </row>
    <row r="440" ht="15.75" customHeight="1">
      <c r="C440" s="14"/>
      <c r="D440" s="14"/>
    </row>
    <row r="441" ht="15.75" customHeight="1">
      <c r="C441" s="14"/>
      <c r="D441" s="14"/>
    </row>
    <row r="442" ht="15.75" customHeight="1">
      <c r="C442" s="14"/>
      <c r="D442" s="14"/>
    </row>
    <row r="443" ht="15.75" customHeight="1">
      <c r="C443" s="14"/>
      <c r="D443" s="14"/>
    </row>
    <row r="444" ht="15.75" customHeight="1">
      <c r="C444" s="14"/>
      <c r="D444" s="14"/>
    </row>
    <row r="445" ht="15.75" customHeight="1">
      <c r="C445" s="14"/>
      <c r="D445" s="14"/>
    </row>
    <row r="446" ht="15.75" customHeight="1">
      <c r="C446" s="14"/>
      <c r="D446" s="14"/>
    </row>
    <row r="447" ht="15.75" customHeight="1">
      <c r="C447" s="14"/>
      <c r="D447" s="14"/>
    </row>
    <row r="448" ht="15.75" customHeight="1">
      <c r="C448" s="14"/>
      <c r="D448" s="14"/>
    </row>
    <row r="449" ht="15.75" customHeight="1">
      <c r="C449" s="14"/>
      <c r="D449" s="14"/>
    </row>
    <row r="450" ht="15.75" customHeight="1">
      <c r="C450" s="14"/>
      <c r="D450" s="14"/>
    </row>
    <row r="451" ht="15.75" customHeight="1">
      <c r="C451" s="14"/>
      <c r="D451" s="14"/>
    </row>
    <row r="452" ht="15.75" customHeight="1">
      <c r="C452" s="14"/>
      <c r="D452" s="14"/>
    </row>
    <row r="453" ht="15.75" customHeight="1">
      <c r="C453" s="14"/>
      <c r="D453" s="14"/>
    </row>
    <row r="454" ht="15.75" customHeight="1">
      <c r="C454" s="14"/>
      <c r="D454" s="14"/>
    </row>
    <row r="455" ht="15.75" customHeight="1">
      <c r="C455" s="14"/>
      <c r="D455" s="14"/>
    </row>
    <row r="456" ht="15.75" customHeight="1">
      <c r="C456" s="14"/>
      <c r="D456" s="14"/>
    </row>
    <row r="457" ht="15.75" customHeight="1">
      <c r="C457" s="14"/>
      <c r="D457" s="14"/>
    </row>
    <row r="458" ht="15.75" customHeight="1">
      <c r="C458" s="14"/>
      <c r="D458" s="14"/>
    </row>
    <row r="459" ht="15.75" customHeight="1">
      <c r="C459" s="14"/>
      <c r="D459" s="14"/>
    </row>
    <row r="460" ht="15.75" customHeight="1">
      <c r="C460" s="14"/>
      <c r="D460" s="14"/>
    </row>
    <row r="461" ht="15.75" customHeight="1">
      <c r="C461" s="14"/>
      <c r="D461" s="14"/>
    </row>
    <row r="462" ht="15.75" customHeight="1">
      <c r="C462" s="14"/>
      <c r="D462" s="14"/>
    </row>
    <row r="463" ht="15.75" customHeight="1">
      <c r="C463" s="14"/>
      <c r="D463" s="14"/>
    </row>
    <row r="464" ht="15.75" customHeight="1">
      <c r="C464" s="14"/>
      <c r="D464" s="14"/>
    </row>
    <row r="465" ht="15.75" customHeight="1">
      <c r="C465" s="14"/>
      <c r="D465" s="14"/>
    </row>
    <row r="466" ht="15.75" customHeight="1">
      <c r="C466" s="14"/>
      <c r="D466" s="14"/>
    </row>
    <row r="467" ht="15.75" customHeight="1">
      <c r="C467" s="14"/>
      <c r="D467" s="14"/>
    </row>
    <row r="468" ht="15.75" customHeight="1">
      <c r="C468" s="14"/>
      <c r="D468" s="14"/>
    </row>
    <row r="469" ht="15.75" customHeight="1">
      <c r="C469" s="14"/>
      <c r="D469" s="14"/>
    </row>
    <row r="470" ht="15.75" customHeight="1">
      <c r="C470" s="14"/>
      <c r="D470" s="14"/>
    </row>
    <row r="471" ht="15.75" customHeight="1">
      <c r="C471" s="14"/>
      <c r="D471" s="14"/>
    </row>
    <row r="472" ht="15.75" customHeight="1">
      <c r="C472" s="14"/>
      <c r="D472" s="14"/>
    </row>
    <row r="473" ht="15.75" customHeight="1">
      <c r="C473" s="14"/>
      <c r="D473" s="14"/>
    </row>
    <row r="474" ht="15.75" customHeight="1">
      <c r="C474" s="14"/>
      <c r="D474" s="14"/>
    </row>
    <row r="475" ht="15.75" customHeight="1">
      <c r="C475" s="14"/>
      <c r="D475" s="14"/>
    </row>
    <row r="476" ht="15.75" customHeight="1">
      <c r="C476" s="14"/>
      <c r="D476" s="14"/>
    </row>
    <row r="477" ht="15.75" customHeight="1">
      <c r="C477" s="14"/>
      <c r="D477" s="14"/>
    </row>
    <row r="478" ht="15.75" customHeight="1">
      <c r="C478" s="14"/>
      <c r="D478" s="14"/>
    </row>
    <row r="479" ht="15.75" customHeight="1">
      <c r="C479" s="14"/>
      <c r="D479" s="14"/>
    </row>
    <row r="480" ht="15.75" customHeight="1">
      <c r="C480" s="14"/>
      <c r="D480" s="14"/>
    </row>
    <row r="481" ht="15.75" customHeight="1">
      <c r="C481" s="14"/>
      <c r="D481" s="14"/>
    </row>
    <row r="482" ht="15.75" customHeight="1">
      <c r="C482" s="14"/>
      <c r="D482" s="14"/>
    </row>
    <row r="483" ht="15.75" customHeight="1">
      <c r="C483" s="14"/>
      <c r="D483" s="14"/>
    </row>
    <row r="484" ht="15.75" customHeight="1">
      <c r="C484" s="14"/>
      <c r="D484" s="14"/>
    </row>
    <row r="485" ht="15.75" customHeight="1">
      <c r="C485" s="14"/>
      <c r="D485" s="14"/>
    </row>
    <row r="486" ht="15.75" customHeight="1">
      <c r="C486" s="14"/>
      <c r="D486" s="14"/>
    </row>
    <row r="487" ht="15.75" customHeight="1">
      <c r="C487" s="14"/>
      <c r="D487" s="14"/>
    </row>
    <row r="488" ht="15.75" customHeight="1">
      <c r="C488" s="14"/>
      <c r="D488" s="14"/>
    </row>
    <row r="489" ht="15.75" customHeight="1">
      <c r="C489" s="14"/>
      <c r="D489" s="14"/>
    </row>
    <row r="490" ht="15.75" customHeight="1">
      <c r="C490" s="14"/>
      <c r="D490" s="14"/>
    </row>
    <row r="491" ht="15.75" customHeight="1">
      <c r="C491" s="14"/>
      <c r="D491" s="14"/>
    </row>
    <row r="492" ht="15.75" customHeight="1">
      <c r="C492" s="14"/>
      <c r="D492" s="14"/>
    </row>
    <row r="493" ht="15.75" customHeight="1">
      <c r="C493" s="14"/>
      <c r="D493" s="14"/>
    </row>
    <row r="494" ht="15.75" customHeight="1">
      <c r="C494" s="14"/>
      <c r="D494" s="14"/>
    </row>
    <row r="495" ht="15.75" customHeight="1">
      <c r="C495" s="14"/>
      <c r="D495" s="14"/>
    </row>
    <row r="496" ht="15.75" customHeight="1">
      <c r="C496" s="14"/>
      <c r="D496" s="14"/>
    </row>
    <row r="497" ht="15.75" customHeight="1">
      <c r="C497" s="14"/>
      <c r="D497" s="14"/>
    </row>
    <row r="498" ht="15.75" customHeight="1">
      <c r="C498" s="14"/>
      <c r="D498" s="14"/>
    </row>
    <row r="499" ht="15.75" customHeight="1">
      <c r="C499" s="14"/>
      <c r="D499" s="14"/>
    </row>
    <row r="500" ht="15.75" customHeight="1">
      <c r="C500" s="14"/>
      <c r="D500" s="14"/>
    </row>
    <row r="501" ht="15.75" customHeight="1">
      <c r="C501" s="14"/>
      <c r="D501" s="14"/>
    </row>
    <row r="502" ht="15.75" customHeight="1">
      <c r="C502" s="14"/>
      <c r="D502" s="14"/>
    </row>
    <row r="503" ht="15.75" customHeight="1">
      <c r="C503" s="14"/>
      <c r="D503" s="14"/>
    </row>
    <row r="504" ht="15.75" customHeight="1">
      <c r="C504" s="14"/>
      <c r="D504" s="14"/>
    </row>
    <row r="505" ht="15.75" customHeight="1">
      <c r="C505" s="14"/>
      <c r="D505" s="14"/>
    </row>
    <row r="506" ht="15.75" customHeight="1">
      <c r="C506" s="14"/>
      <c r="D506" s="14"/>
    </row>
    <row r="507" ht="15.75" customHeight="1">
      <c r="C507" s="14"/>
      <c r="D507" s="14"/>
    </row>
    <row r="508" ht="15.75" customHeight="1">
      <c r="C508" s="14"/>
      <c r="D508" s="14"/>
    </row>
    <row r="509" ht="15.75" customHeight="1">
      <c r="C509" s="14"/>
      <c r="D509" s="14"/>
    </row>
    <row r="510" ht="15.75" customHeight="1">
      <c r="C510" s="14"/>
      <c r="D510" s="14"/>
    </row>
    <row r="511" ht="15.75" customHeight="1">
      <c r="C511" s="14"/>
      <c r="D511" s="14"/>
    </row>
    <row r="512" ht="15.75" customHeight="1">
      <c r="C512" s="14"/>
      <c r="D512" s="14"/>
    </row>
    <row r="513" ht="15.75" customHeight="1">
      <c r="C513" s="14"/>
      <c r="D513" s="14"/>
    </row>
    <row r="514" ht="15.75" customHeight="1">
      <c r="C514" s="14"/>
      <c r="D514" s="14"/>
    </row>
    <row r="515" ht="15.75" customHeight="1">
      <c r="C515" s="14"/>
      <c r="D515" s="14"/>
    </row>
    <row r="516" ht="15.75" customHeight="1">
      <c r="C516" s="14"/>
      <c r="D516" s="14"/>
    </row>
    <row r="517" ht="15.75" customHeight="1">
      <c r="C517" s="14"/>
      <c r="D517" s="14"/>
    </row>
    <row r="518" ht="15.75" customHeight="1">
      <c r="C518" s="14"/>
      <c r="D518" s="14"/>
    </row>
    <row r="519" ht="15.75" customHeight="1">
      <c r="C519" s="14"/>
      <c r="D519" s="14"/>
    </row>
    <row r="520" ht="15.75" customHeight="1">
      <c r="C520" s="14"/>
      <c r="D520" s="14"/>
    </row>
    <row r="521" ht="15.75" customHeight="1">
      <c r="C521" s="14"/>
      <c r="D521" s="14"/>
    </row>
    <row r="522" ht="15.75" customHeight="1">
      <c r="C522" s="14"/>
      <c r="D522" s="14"/>
    </row>
    <row r="523" ht="15.75" customHeight="1">
      <c r="C523" s="14"/>
      <c r="D523" s="14"/>
    </row>
    <row r="524" ht="15.75" customHeight="1">
      <c r="C524" s="14"/>
      <c r="D524" s="14"/>
    </row>
    <row r="525" ht="15.75" customHeight="1">
      <c r="C525" s="14"/>
      <c r="D525" s="14"/>
    </row>
    <row r="526" ht="15.75" customHeight="1">
      <c r="C526" s="14"/>
      <c r="D526" s="14"/>
    </row>
    <row r="527" ht="15.75" customHeight="1">
      <c r="C527" s="14"/>
      <c r="D527" s="14"/>
    </row>
    <row r="528" ht="15.75" customHeight="1">
      <c r="C528" s="14"/>
      <c r="D528" s="14"/>
    </row>
    <row r="529" ht="15.75" customHeight="1">
      <c r="C529" s="14"/>
      <c r="D529" s="14"/>
    </row>
    <row r="530" ht="15.75" customHeight="1">
      <c r="C530" s="14"/>
      <c r="D530" s="14"/>
    </row>
    <row r="531" ht="15.75" customHeight="1">
      <c r="C531" s="14"/>
      <c r="D531" s="14"/>
    </row>
    <row r="532" ht="15.75" customHeight="1">
      <c r="C532" s="14"/>
      <c r="D532" s="14"/>
    </row>
    <row r="533" ht="15.75" customHeight="1">
      <c r="C533" s="14"/>
      <c r="D533" s="14"/>
    </row>
    <row r="534" ht="15.75" customHeight="1">
      <c r="C534" s="14"/>
      <c r="D534" s="14"/>
    </row>
    <row r="535" ht="15.75" customHeight="1">
      <c r="C535" s="14"/>
      <c r="D535" s="14"/>
    </row>
    <row r="536" ht="15.75" customHeight="1">
      <c r="C536" s="14"/>
      <c r="D536" s="14"/>
    </row>
    <row r="537" ht="15.75" customHeight="1">
      <c r="C537" s="14"/>
      <c r="D537" s="14"/>
    </row>
    <row r="538" ht="15.75" customHeight="1">
      <c r="C538" s="14"/>
      <c r="D538" s="14"/>
    </row>
    <row r="539" ht="15.75" customHeight="1">
      <c r="C539" s="14"/>
      <c r="D539" s="14"/>
    </row>
    <row r="540" ht="15.75" customHeight="1">
      <c r="C540" s="14"/>
      <c r="D540" s="14"/>
    </row>
    <row r="541" ht="15.75" customHeight="1">
      <c r="C541" s="14"/>
      <c r="D541" s="14"/>
    </row>
    <row r="542" ht="15.75" customHeight="1">
      <c r="C542" s="14"/>
      <c r="D542" s="14"/>
    </row>
    <row r="543" ht="15.75" customHeight="1">
      <c r="C543" s="14"/>
      <c r="D543" s="14"/>
    </row>
    <row r="544" ht="15.75" customHeight="1">
      <c r="C544" s="14"/>
      <c r="D544" s="14"/>
    </row>
    <row r="545" ht="15.75" customHeight="1">
      <c r="C545" s="14"/>
      <c r="D545" s="14"/>
    </row>
    <row r="546" ht="15.75" customHeight="1">
      <c r="C546" s="14"/>
      <c r="D546" s="14"/>
    </row>
    <row r="547" ht="15.75" customHeight="1">
      <c r="C547" s="14"/>
      <c r="D547" s="14"/>
    </row>
    <row r="548" ht="15.75" customHeight="1">
      <c r="C548" s="14"/>
      <c r="D548" s="14"/>
    </row>
    <row r="549" ht="15.75" customHeight="1">
      <c r="C549" s="14"/>
      <c r="D549" s="14"/>
    </row>
    <row r="550" ht="15.75" customHeight="1">
      <c r="C550" s="14"/>
      <c r="D550" s="14"/>
    </row>
    <row r="551" ht="15.75" customHeight="1">
      <c r="C551" s="14"/>
      <c r="D551" s="14"/>
    </row>
    <row r="552" ht="15.75" customHeight="1">
      <c r="C552" s="14"/>
      <c r="D552" s="14"/>
    </row>
    <row r="553" ht="15.75" customHeight="1">
      <c r="C553" s="14"/>
      <c r="D553" s="14"/>
    </row>
    <row r="554" ht="15.75" customHeight="1">
      <c r="C554" s="14"/>
      <c r="D554" s="14"/>
    </row>
    <row r="555" ht="15.75" customHeight="1">
      <c r="C555" s="14"/>
      <c r="D555" s="14"/>
    </row>
    <row r="556" ht="15.75" customHeight="1">
      <c r="C556" s="14"/>
      <c r="D556" s="14"/>
    </row>
    <row r="557" ht="15.75" customHeight="1">
      <c r="C557" s="14"/>
      <c r="D557" s="14"/>
    </row>
    <row r="558" ht="15.75" customHeight="1">
      <c r="C558" s="14"/>
      <c r="D558" s="14"/>
    </row>
    <row r="559" ht="15.75" customHeight="1">
      <c r="C559" s="14"/>
      <c r="D559" s="14"/>
    </row>
    <row r="560" ht="15.75" customHeight="1">
      <c r="C560" s="14"/>
      <c r="D560" s="14"/>
    </row>
    <row r="561" ht="15.75" customHeight="1">
      <c r="C561" s="14"/>
      <c r="D561" s="14"/>
    </row>
    <row r="562" ht="15.75" customHeight="1">
      <c r="C562" s="14"/>
      <c r="D562" s="14"/>
    </row>
    <row r="563" ht="15.75" customHeight="1">
      <c r="C563" s="14"/>
      <c r="D563" s="14"/>
    </row>
    <row r="564" ht="15.75" customHeight="1">
      <c r="C564" s="14"/>
      <c r="D564" s="14"/>
    </row>
    <row r="565" ht="15.75" customHeight="1">
      <c r="C565" s="14"/>
      <c r="D565" s="14"/>
    </row>
    <row r="566" ht="15.75" customHeight="1">
      <c r="C566" s="14"/>
      <c r="D566" s="14"/>
    </row>
    <row r="567" ht="15.75" customHeight="1">
      <c r="C567" s="14"/>
      <c r="D567" s="14"/>
    </row>
    <row r="568" ht="15.75" customHeight="1">
      <c r="C568" s="14"/>
      <c r="D568" s="14"/>
    </row>
    <row r="569" ht="15.75" customHeight="1">
      <c r="C569" s="14"/>
      <c r="D569" s="14"/>
    </row>
    <row r="570" ht="15.75" customHeight="1">
      <c r="C570" s="14"/>
      <c r="D570" s="14"/>
    </row>
    <row r="571" ht="15.75" customHeight="1">
      <c r="C571" s="14"/>
      <c r="D571" s="14"/>
    </row>
    <row r="572" ht="15.75" customHeight="1">
      <c r="C572" s="14"/>
      <c r="D572" s="14"/>
    </row>
    <row r="573" ht="15.75" customHeight="1">
      <c r="C573" s="14"/>
      <c r="D573" s="14"/>
    </row>
    <row r="574" ht="15.75" customHeight="1">
      <c r="C574" s="14"/>
      <c r="D574" s="14"/>
    </row>
    <row r="575" ht="15.75" customHeight="1">
      <c r="C575" s="14"/>
      <c r="D575" s="14"/>
    </row>
    <row r="576" ht="15.75" customHeight="1">
      <c r="C576" s="14"/>
      <c r="D576" s="14"/>
    </row>
    <row r="577" ht="15.75" customHeight="1">
      <c r="C577" s="14"/>
      <c r="D577" s="14"/>
    </row>
    <row r="578" ht="15.75" customHeight="1">
      <c r="C578" s="14"/>
      <c r="D578" s="14"/>
    </row>
    <row r="579" ht="15.75" customHeight="1">
      <c r="C579" s="14"/>
      <c r="D579" s="14"/>
    </row>
    <row r="580" ht="15.75" customHeight="1">
      <c r="C580" s="14"/>
      <c r="D580" s="14"/>
    </row>
    <row r="581" ht="15.75" customHeight="1">
      <c r="C581" s="14"/>
      <c r="D581" s="14"/>
    </row>
    <row r="582" ht="15.75" customHeight="1">
      <c r="C582" s="14"/>
      <c r="D582" s="14"/>
    </row>
    <row r="583" ht="15.75" customHeight="1">
      <c r="C583" s="14"/>
      <c r="D583" s="14"/>
    </row>
    <row r="584" ht="15.75" customHeight="1">
      <c r="C584" s="14"/>
      <c r="D584" s="14"/>
    </row>
    <row r="585" ht="15.75" customHeight="1">
      <c r="C585" s="14"/>
      <c r="D585" s="14"/>
    </row>
    <row r="586" ht="15.75" customHeight="1">
      <c r="C586" s="14"/>
      <c r="D586" s="14"/>
    </row>
    <row r="587" ht="15.75" customHeight="1">
      <c r="C587" s="14"/>
      <c r="D587" s="14"/>
    </row>
    <row r="588" ht="15.75" customHeight="1">
      <c r="C588" s="14"/>
      <c r="D588" s="14"/>
    </row>
    <row r="589" ht="15.75" customHeight="1">
      <c r="C589" s="14"/>
      <c r="D589" s="14"/>
    </row>
    <row r="590" ht="15.75" customHeight="1">
      <c r="C590" s="14"/>
      <c r="D590" s="14"/>
    </row>
    <row r="591" ht="15.75" customHeight="1">
      <c r="C591" s="14"/>
      <c r="D591" s="14"/>
    </row>
    <row r="592" ht="15.75" customHeight="1">
      <c r="C592" s="14"/>
      <c r="D592" s="14"/>
    </row>
    <row r="593" ht="15.75" customHeight="1">
      <c r="C593" s="14"/>
      <c r="D593" s="14"/>
    </row>
    <row r="594" ht="15.75" customHeight="1">
      <c r="C594" s="14"/>
      <c r="D594" s="14"/>
    </row>
    <row r="595" ht="15.75" customHeight="1">
      <c r="C595" s="14"/>
      <c r="D595" s="14"/>
    </row>
    <row r="596" ht="15.75" customHeight="1">
      <c r="C596" s="14"/>
      <c r="D596" s="14"/>
    </row>
    <row r="597" ht="15.75" customHeight="1">
      <c r="C597" s="14"/>
      <c r="D597" s="14"/>
    </row>
    <row r="598" ht="15.75" customHeight="1">
      <c r="C598" s="14"/>
      <c r="D598" s="14"/>
    </row>
    <row r="599" ht="15.75" customHeight="1">
      <c r="C599" s="14"/>
      <c r="D599" s="14"/>
    </row>
    <row r="600" ht="15.75" customHeight="1">
      <c r="C600" s="14"/>
      <c r="D600" s="14"/>
    </row>
    <row r="601" ht="15.75" customHeight="1">
      <c r="C601" s="14"/>
      <c r="D601" s="14"/>
    </row>
    <row r="602" ht="15.75" customHeight="1">
      <c r="C602" s="14"/>
      <c r="D602" s="14"/>
    </row>
    <row r="603" ht="15.75" customHeight="1">
      <c r="C603" s="14"/>
      <c r="D603" s="14"/>
    </row>
    <row r="604" ht="15.75" customHeight="1">
      <c r="C604" s="14"/>
      <c r="D604" s="14"/>
    </row>
    <row r="605" ht="15.75" customHeight="1">
      <c r="C605" s="14"/>
      <c r="D605" s="14"/>
    </row>
    <row r="606" ht="15.75" customHeight="1">
      <c r="C606" s="14"/>
      <c r="D606" s="14"/>
    </row>
    <row r="607" ht="15.75" customHeight="1">
      <c r="C607" s="14"/>
      <c r="D607" s="14"/>
    </row>
    <row r="608" ht="15.75" customHeight="1">
      <c r="C608" s="14"/>
      <c r="D608" s="14"/>
    </row>
    <row r="609" ht="15.75" customHeight="1">
      <c r="C609" s="14"/>
      <c r="D609" s="14"/>
    </row>
    <row r="610" ht="15.75" customHeight="1">
      <c r="C610" s="14"/>
      <c r="D610" s="14"/>
    </row>
    <row r="611" ht="15.75" customHeight="1">
      <c r="C611" s="14"/>
      <c r="D611" s="14"/>
    </row>
    <row r="612" ht="15.75" customHeight="1">
      <c r="C612" s="14"/>
      <c r="D612" s="14"/>
    </row>
    <row r="613" ht="15.75" customHeight="1">
      <c r="C613" s="14"/>
      <c r="D613" s="14"/>
    </row>
    <row r="614" ht="15.75" customHeight="1">
      <c r="C614" s="14"/>
      <c r="D614" s="14"/>
    </row>
    <row r="615" ht="15.75" customHeight="1">
      <c r="C615" s="14"/>
      <c r="D615" s="14"/>
    </row>
    <row r="616" ht="15.75" customHeight="1">
      <c r="C616" s="14"/>
      <c r="D616" s="14"/>
    </row>
    <row r="617" ht="15.75" customHeight="1">
      <c r="C617" s="14"/>
      <c r="D617" s="14"/>
    </row>
    <row r="618" ht="15.75" customHeight="1">
      <c r="C618" s="14"/>
      <c r="D618" s="14"/>
    </row>
    <row r="619" ht="15.75" customHeight="1">
      <c r="C619" s="14"/>
      <c r="D619" s="14"/>
    </row>
    <row r="620" ht="15.75" customHeight="1">
      <c r="C620" s="14"/>
      <c r="D620" s="14"/>
    </row>
    <row r="621" ht="15.75" customHeight="1">
      <c r="C621" s="14"/>
      <c r="D621" s="14"/>
    </row>
    <row r="622" ht="15.75" customHeight="1">
      <c r="C622" s="14"/>
      <c r="D622" s="14"/>
    </row>
    <row r="623" ht="15.75" customHeight="1">
      <c r="C623" s="14"/>
      <c r="D623" s="14"/>
    </row>
    <row r="624" ht="15.75" customHeight="1">
      <c r="C624" s="14"/>
      <c r="D624" s="14"/>
    </row>
    <row r="625" ht="15.75" customHeight="1">
      <c r="C625" s="14"/>
      <c r="D625" s="14"/>
    </row>
    <row r="626" ht="15.75" customHeight="1">
      <c r="C626" s="14"/>
      <c r="D626" s="14"/>
    </row>
    <row r="627" ht="15.75" customHeight="1">
      <c r="C627" s="14"/>
      <c r="D627" s="14"/>
    </row>
    <row r="628" ht="15.75" customHeight="1">
      <c r="C628" s="14"/>
      <c r="D628" s="14"/>
    </row>
    <row r="629" ht="15.75" customHeight="1">
      <c r="C629" s="14"/>
      <c r="D629" s="14"/>
    </row>
    <row r="630" ht="15.75" customHeight="1">
      <c r="C630" s="14"/>
      <c r="D630" s="14"/>
    </row>
    <row r="631" ht="15.75" customHeight="1">
      <c r="C631" s="14"/>
      <c r="D631" s="14"/>
    </row>
    <row r="632" ht="15.75" customHeight="1">
      <c r="C632" s="14"/>
      <c r="D632" s="14"/>
    </row>
    <row r="633" ht="15.75" customHeight="1">
      <c r="C633" s="14"/>
      <c r="D633" s="14"/>
    </row>
    <row r="634" ht="15.75" customHeight="1">
      <c r="C634" s="14"/>
      <c r="D634" s="14"/>
    </row>
    <row r="635" ht="15.75" customHeight="1">
      <c r="C635" s="14"/>
      <c r="D635" s="14"/>
    </row>
    <row r="636" ht="15.75" customHeight="1">
      <c r="C636" s="14"/>
      <c r="D636" s="14"/>
    </row>
    <row r="637" ht="15.75" customHeight="1">
      <c r="C637" s="14"/>
      <c r="D637" s="14"/>
    </row>
    <row r="638" ht="15.75" customHeight="1">
      <c r="C638" s="14"/>
      <c r="D638" s="14"/>
    </row>
    <row r="639" ht="15.75" customHeight="1">
      <c r="C639" s="14"/>
      <c r="D639" s="14"/>
    </row>
    <row r="640" ht="15.75" customHeight="1">
      <c r="C640" s="14"/>
      <c r="D640" s="14"/>
    </row>
    <row r="641" ht="15.75" customHeight="1">
      <c r="C641" s="14"/>
      <c r="D641" s="14"/>
    </row>
    <row r="642" ht="15.75" customHeight="1">
      <c r="C642" s="14"/>
      <c r="D642" s="14"/>
    </row>
    <row r="643" ht="15.75" customHeight="1">
      <c r="C643" s="14"/>
      <c r="D643" s="14"/>
    </row>
    <row r="644" ht="15.75" customHeight="1">
      <c r="C644" s="14"/>
      <c r="D644" s="14"/>
    </row>
    <row r="645" ht="15.75" customHeight="1">
      <c r="C645" s="14"/>
      <c r="D645" s="14"/>
    </row>
    <row r="646" ht="15.75" customHeight="1">
      <c r="C646" s="14"/>
      <c r="D646" s="14"/>
    </row>
    <row r="647" ht="15.75" customHeight="1">
      <c r="C647" s="14"/>
      <c r="D647" s="14"/>
    </row>
    <row r="648" ht="15.75" customHeight="1">
      <c r="C648" s="14"/>
      <c r="D648" s="14"/>
    </row>
    <row r="649" ht="15.75" customHeight="1">
      <c r="C649" s="14"/>
      <c r="D649" s="14"/>
    </row>
    <row r="650" ht="15.75" customHeight="1">
      <c r="C650" s="14"/>
      <c r="D650" s="14"/>
    </row>
    <row r="651" ht="15.75" customHeight="1">
      <c r="C651" s="14"/>
      <c r="D651" s="14"/>
    </row>
    <row r="652" ht="15.75" customHeight="1">
      <c r="C652" s="14"/>
      <c r="D652" s="14"/>
    </row>
    <row r="653" ht="15.75" customHeight="1">
      <c r="C653" s="14"/>
      <c r="D653" s="14"/>
    </row>
    <row r="654" ht="15.75" customHeight="1">
      <c r="C654" s="14"/>
      <c r="D654" s="14"/>
    </row>
    <row r="655" ht="15.75" customHeight="1">
      <c r="C655" s="14"/>
      <c r="D655" s="14"/>
    </row>
    <row r="656" ht="15.75" customHeight="1">
      <c r="C656" s="14"/>
      <c r="D656" s="14"/>
    </row>
    <row r="657" ht="15.75" customHeight="1">
      <c r="C657" s="14"/>
      <c r="D657" s="14"/>
    </row>
    <row r="658" ht="15.75" customHeight="1">
      <c r="C658" s="14"/>
      <c r="D658" s="14"/>
    </row>
    <row r="659" ht="15.75" customHeight="1">
      <c r="C659" s="14"/>
      <c r="D659" s="14"/>
    </row>
    <row r="660" ht="15.75" customHeight="1">
      <c r="C660" s="14"/>
      <c r="D660" s="14"/>
    </row>
    <row r="661" ht="15.75" customHeight="1">
      <c r="C661" s="14"/>
      <c r="D661" s="14"/>
    </row>
    <row r="662" ht="15.75" customHeight="1">
      <c r="C662" s="14"/>
      <c r="D662" s="14"/>
    </row>
    <row r="663" ht="15.75" customHeight="1">
      <c r="C663" s="14"/>
      <c r="D663" s="14"/>
    </row>
    <row r="664" ht="15.75" customHeight="1">
      <c r="C664" s="14"/>
      <c r="D664" s="14"/>
    </row>
    <row r="665" ht="15.75" customHeight="1">
      <c r="C665" s="14"/>
      <c r="D665" s="14"/>
    </row>
    <row r="666" ht="15.75" customHeight="1">
      <c r="C666" s="14"/>
      <c r="D666" s="14"/>
    </row>
    <row r="667" ht="15.75" customHeight="1">
      <c r="C667" s="14"/>
      <c r="D667" s="14"/>
    </row>
    <row r="668" ht="15.75" customHeight="1">
      <c r="C668" s="14"/>
      <c r="D668" s="14"/>
    </row>
    <row r="669" ht="15.75" customHeight="1">
      <c r="C669" s="14"/>
      <c r="D669" s="14"/>
    </row>
    <row r="670" ht="15.75" customHeight="1">
      <c r="C670" s="14"/>
      <c r="D670" s="14"/>
    </row>
    <row r="671" ht="15.75" customHeight="1">
      <c r="C671" s="14"/>
      <c r="D671" s="14"/>
    </row>
    <row r="672" ht="15.75" customHeight="1">
      <c r="C672" s="14"/>
      <c r="D672" s="14"/>
    </row>
    <row r="673" ht="15.75" customHeight="1">
      <c r="C673" s="14"/>
      <c r="D673" s="14"/>
    </row>
    <row r="674" ht="15.75" customHeight="1">
      <c r="C674" s="14"/>
      <c r="D674" s="14"/>
    </row>
    <row r="675" ht="15.75" customHeight="1">
      <c r="C675" s="14"/>
      <c r="D675" s="14"/>
    </row>
    <row r="676" ht="15.75" customHeight="1">
      <c r="C676" s="14"/>
      <c r="D676" s="14"/>
    </row>
    <row r="677" ht="15.75" customHeight="1">
      <c r="C677" s="14"/>
      <c r="D677" s="14"/>
    </row>
    <row r="678" ht="15.75" customHeight="1">
      <c r="C678" s="14"/>
      <c r="D678" s="14"/>
    </row>
    <row r="679" ht="15.75" customHeight="1">
      <c r="C679" s="14"/>
      <c r="D679" s="14"/>
    </row>
    <row r="680" ht="15.75" customHeight="1">
      <c r="C680" s="14"/>
      <c r="D680" s="14"/>
    </row>
    <row r="681" ht="15.75" customHeight="1">
      <c r="C681" s="14"/>
      <c r="D681" s="14"/>
    </row>
    <row r="682" ht="15.75" customHeight="1">
      <c r="C682" s="14"/>
      <c r="D682" s="14"/>
    </row>
    <row r="683" ht="15.75" customHeight="1">
      <c r="C683" s="14"/>
      <c r="D683" s="14"/>
    </row>
    <row r="684" ht="15.75" customHeight="1">
      <c r="C684" s="14"/>
      <c r="D684" s="14"/>
    </row>
    <row r="685" ht="15.75" customHeight="1">
      <c r="C685" s="14"/>
      <c r="D685" s="14"/>
    </row>
    <row r="686" ht="15.75" customHeight="1">
      <c r="C686" s="14"/>
      <c r="D686" s="14"/>
    </row>
    <row r="687" ht="15.75" customHeight="1">
      <c r="C687" s="14"/>
      <c r="D687" s="14"/>
    </row>
    <row r="688" ht="15.75" customHeight="1">
      <c r="C688" s="14"/>
      <c r="D688" s="14"/>
    </row>
    <row r="689" ht="15.75" customHeight="1">
      <c r="C689" s="14"/>
      <c r="D689" s="14"/>
    </row>
    <row r="690" ht="15.75" customHeight="1">
      <c r="C690" s="14"/>
      <c r="D690" s="14"/>
    </row>
    <row r="691" ht="15.75" customHeight="1">
      <c r="C691" s="14"/>
      <c r="D691" s="14"/>
    </row>
    <row r="692" ht="15.75" customHeight="1">
      <c r="C692" s="14"/>
      <c r="D692" s="14"/>
    </row>
    <row r="693" ht="15.75" customHeight="1">
      <c r="C693" s="14"/>
      <c r="D693" s="14"/>
    </row>
    <row r="694" ht="15.75" customHeight="1">
      <c r="C694" s="14"/>
      <c r="D694" s="14"/>
    </row>
    <row r="695" ht="15.75" customHeight="1">
      <c r="C695" s="14"/>
      <c r="D695" s="14"/>
    </row>
    <row r="696" ht="15.75" customHeight="1">
      <c r="C696" s="14"/>
      <c r="D696" s="14"/>
    </row>
    <row r="697" ht="15.75" customHeight="1">
      <c r="C697" s="14"/>
      <c r="D697" s="14"/>
    </row>
    <row r="698" ht="15.75" customHeight="1">
      <c r="C698" s="14"/>
      <c r="D698" s="14"/>
    </row>
    <row r="699" ht="15.75" customHeight="1">
      <c r="C699" s="14"/>
      <c r="D699" s="14"/>
    </row>
    <row r="700" ht="15.75" customHeight="1">
      <c r="C700" s="14"/>
      <c r="D700" s="14"/>
    </row>
    <row r="701" ht="15.75" customHeight="1">
      <c r="C701" s="14"/>
      <c r="D701" s="14"/>
    </row>
    <row r="702" ht="15.75" customHeight="1">
      <c r="C702" s="14"/>
      <c r="D702" s="14"/>
    </row>
    <row r="703" ht="15.75" customHeight="1">
      <c r="C703" s="14"/>
      <c r="D703" s="14"/>
    </row>
    <row r="704" ht="15.75" customHeight="1">
      <c r="C704" s="14"/>
      <c r="D704" s="14"/>
    </row>
    <row r="705" ht="15.75" customHeight="1">
      <c r="C705" s="14"/>
      <c r="D705" s="14"/>
    </row>
    <row r="706" ht="15.75" customHeight="1">
      <c r="C706" s="14"/>
      <c r="D706" s="14"/>
    </row>
    <row r="707" ht="15.75" customHeight="1">
      <c r="C707" s="14"/>
      <c r="D707" s="14"/>
    </row>
    <row r="708" ht="15.75" customHeight="1">
      <c r="C708" s="14"/>
      <c r="D708" s="14"/>
    </row>
    <row r="709" ht="15.75" customHeight="1">
      <c r="C709" s="14"/>
      <c r="D709" s="14"/>
    </row>
    <row r="710" ht="15.75" customHeight="1">
      <c r="C710" s="14"/>
      <c r="D710" s="14"/>
    </row>
    <row r="711" ht="15.75" customHeight="1">
      <c r="C711" s="14"/>
      <c r="D711" s="14"/>
    </row>
    <row r="712" ht="15.75" customHeight="1">
      <c r="C712" s="14"/>
      <c r="D712" s="14"/>
    </row>
    <row r="713" ht="15.75" customHeight="1">
      <c r="C713" s="14"/>
      <c r="D713" s="14"/>
    </row>
    <row r="714" ht="15.75" customHeight="1">
      <c r="C714" s="14"/>
      <c r="D714" s="14"/>
    </row>
    <row r="715" ht="15.75" customHeight="1">
      <c r="C715" s="14"/>
      <c r="D715" s="14"/>
    </row>
    <row r="716" ht="15.75" customHeight="1">
      <c r="C716" s="14"/>
      <c r="D716" s="14"/>
    </row>
    <row r="717" ht="15.75" customHeight="1">
      <c r="C717" s="14"/>
      <c r="D717" s="14"/>
    </row>
    <row r="718" ht="15.75" customHeight="1">
      <c r="C718" s="14"/>
      <c r="D718" s="14"/>
    </row>
    <row r="719" ht="15.75" customHeight="1">
      <c r="C719" s="14"/>
      <c r="D719" s="14"/>
    </row>
    <row r="720" ht="15.75" customHeight="1">
      <c r="C720" s="14"/>
      <c r="D720" s="14"/>
    </row>
    <row r="721" ht="15.75" customHeight="1">
      <c r="C721" s="14"/>
      <c r="D721" s="14"/>
    </row>
    <row r="722" ht="15.75" customHeight="1">
      <c r="C722" s="14"/>
      <c r="D722" s="14"/>
    </row>
    <row r="723" ht="15.75" customHeight="1">
      <c r="C723" s="14"/>
      <c r="D723" s="14"/>
    </row>
    <row r="724" ht="15.75" customHeight="1">
      <c r="C724" s="14"/>
      <c r="D724" s="14"/>
    </row>
    <row r="725" ht="15.75" customHeight="1">
      <c r="C725" s="14"/>
      <c r="D725" s="14"/>
    </row>
    <row r="726" ht="15.75" customHeight="1">
      <c r="C726" s="14"/>
      <c r="D726" s="14"/>
    </row>
    <row r="727" ht="15.75" customHeight="1">
      <c r="C727" s="14"/>
      <c r="D727" s="14"/>
    </row>
    <row r="728" ht="15.75" customHeight="1">
      <c r="C728" s="14"/>
      <c r="D728" s="14"/>
    </row>
    <row r="729" ht="15.75" customHeight="1">
      <c r="C729" s="14"/>
      <c r="D729" s="14"/>
    </row>
    <row r="730" ht="15.75" customHeight="1">
      <c r="C730" s="14"/>
      <c r="D730" s="14"/>
    </row>
    <row r="731" ht="15.75" customHeight="1">
      <c r="C731" s="14"/>
      <c r="D731" s="14"/>
    </row>
    <row r="732" ht="15.75" customHeight="1">
      <c r="C732" s="14"/>
      <c r="D732" s="14"/>
    </row>
    <row r="733" ht="15.75" customHeight="1">
      <c r="C733" s="14"/>
      <c r="D733" s="14"/>
    </row>
    <row r="734" ht="15.75" customHeight="1">
      <c r="C734" s="14"/>
      <c r="D734" s="14"/>
    </row>
    <row r="735" ht="15.75" customHeight="1">
      <c r="C735" s="14"/>
      <c r="D735" s="14"/>
    </row>
    <row r="736" ht="15.75" customHeight="1">
      <c r="C736" s="14"/>
      <c r="D736" s="14"/>
    </row>
    <row r="737" ht="15.75" customHeight="1">
      <c r="C737" s="14"/>
      <c r="D737" s="14"/>
    </row>
    <row r="738" ht="15.75" customHeight="1">
      <c r="C738" s="14"/>
      <c r="D738" s="14"/>
    </row>
    <row r="739" ht="15.75" customHeight="1">
      <c r="C739" s="14"/>
      <c r="D739" s="14"/>
    </row>
    <row r="740" ht="15.75" customHeight="1">
      <c r="C740" s="14"/>
      <c r="D740" s="14"/>
    </row>
    <row r="741" ht="15.75" customHeight="1">
      <c r="C741" s="14"/>
      <c r="D741" s="14"/>
    </row>
    <row r="742" ht="15.75" customHeight="1">
      <c r="C742" s="14"/>
      <c r="D742" s="14"/>
    </row>
    <row r="743" ht="15.75" customHeight="1">
      <c r="C743" s="14"/>
      <c r="D743" s="14"/>
    </row>
    <row r="744" ht="15.75" customHeight="1">
      <c r="C744" s="14"/>
      <c r="D744" s="14"/>
    </row>
    <row r="745" ht="15.75" customHeight="1">
      <c r="C745" s="14"/>
      <c r="D745" s="14"/>
    </row>
    <row r="746" ht="15.75" customHeight="1">
      <c r="C746" s="14"/>
      <c r="D746" s="14"/>
    </row>
    <row r="747" ht="15.75" customHeight="1">
      <c r="C747" s="14"/>
      <c r="D747" s="14"/>
    </row>
    <row r="748" ht="15.75" customHeight="1">
      <c r="C748" s="14"/>
      <c r="D748" s="14"/>
    </row>
    <row r="749" ht="15.75" customHeight="1">
      <c r="C749" s="14"/>
      <c r="D749" s="14"/>
    </row>
    <row r="750" ht="15.75" customHeight="1">
      <c r="C750" s="14"/>
      <c r="D750" s="14"/>
    </row>
    <row r="751" ht="15.75" customHeight="1">
      <c r="C751" s="14"/>
      <c r="D751" s="14"/>
    </row>
    <row r="752" ht="15.75" customHeight="1">
      <c r="C752" s="14"/>
      <c r="D752" s="14"/>
    </row>
    <row r="753" ht="15.75" customHeight="1">
      <c r="C753" s="14"/>
      <c r="D753" s="14"/>
    </row>
    <row r="754" ht="15.75" customHeight="1">
      <c r="C754" s="14"/>
      <c r="D754" s="14"/>
    </row>
    <row r="755" ht="15.75" customHeight="1">
      <c r="C755" s="14"/>
      <c r="D755" s="14"/>
    </row>
    <row r="756" ht="15.75" customHeight="1">
      <c r="C756" s="14"/>
      <c r="D756" s="14"/>
    </row>
    <row r="757" ht="15.75" customHeight="1">
      <c r="C757" s="14"/>
      <c r="D757" s="14"/>
    </row>
    <row r="758" ht="15.75" customHeight="1">
      <c r="C758" s="14"/>
      <c r="D758" s="14"/>
    </row>
    <row r="759" ht="15.75" customHeight="1">
      <c r="C759" s="14"/>
      <c r="D759" s="14"/>
    </row>
    <row r="760" ht="15.75" customHeight="1">
      <c r="C760" s="14"/>
      <c r="D760" s="14"/>
    </row>
    <row r="761" ht="15.75" customHeight="1">
      <c r="C761" s="14"/>
      <c r="D761" s="14"/>
    </row>
    <row r="762" ht="15.75" customHeight="1">
      <c r="C762" s="14"/>
      <c r="D762" s="14"/>
    </row>
    <row r="763" ht="15.75" customHeight="1">
      <c r="C763" s="14"/>
      <c r="D763" s="14"/>
    </row>
    <row r="764" ht="15.75" customHeight="1">
      <c r="C764" s="14"/>
      <c r="D764" s="14"/>
    </row>
    <row r="765" ht="15.75" customHeight="1">
      <c r="C765" s="14"/>
      <c r="D765" s="14"/>
    </row>
    <row r="766" ht="15.75" customHeight="1">
      <c r="C766" s="14"/>
      <c r="D766" s="14"/>
    </row>
    <row r="767" ht="15.75" customHeight="1">
      <c r="C767" s="14"/>
      <c r="D767" s="14"/>
    </row>
    <row r="768" ht="15.75" customHeight="1">
      <c r="C768" s="14"/>
      <c r="D768" s="14"/>
    </row>
    <row r="769" ht="15.75" customHeight="1">
      <c r="C769" s="14"/>
      <c r="D769" s="14"/>
    </row>
    <row r="770" ht="15.75" customHeight="1">
      <c r="C770" s="14"/>
      <c r="D770" s="14"/>
    </row>
    <row r="771" ht="15.75" customHeight="1">
      <c r="C771" s="14"/>
      <c r="D771" s="14"/>
    </row>
    <row r="772" ht="15.75" customHeight="1">
      <c r="C772" s="14"/>
      <c r="D772" s="14"/>
    </row>
    <row r="773" ht="15.75" customHeight="1">
      <c r="C773" s="14"/>
      <c r="D773" s="14"/>
    </row>
    <row r="774" ht="15.75" customHeight="1">
      <c r="C774" s="14"/>
      <c r="D774" s="14"/>
    </row>
    <row r="775" ht="15.75" customHeight="1">
      <c r="C775" s="14"/>
      <c r="D775" s="14"/>
    </row>
    <row r="776" ht="15.75" customHeight="1">
      <c r="C776" s="14"/>
      <c r="D776" s="14"/>
    </row>
    <row r="777" ht="15.75" customHeight="1">
      <c r="C777" s="14"/>
      <c r="D777" s="14"/>
    </row>
    <row r="778" ht="15.75" customHeight="1">
      <c r="C778" s="14"/>
      <c r="D778" s="14"/>
    </row>
    <row r="779" ht="15.75" customHeight="1">
      <c r="C779" s="14"/>
      <c r="D779" s="14"/>
    </row>
    <row r="780" ht="15.75" customHeight="1">
      <c r="C780" s="14"/>
      <c r="D780" s="14"/>
    </row>
    <row r="781" ht="15.75" customHeight="1">
      <c r="C781" s="14"/>
      <c r="D781" s="14"/>
    </row>
    <row r="782" ht="15.75" customHeight="1">
      <c r="C782" s="14"/>
      <c r="D782" s="14"/>
    </row>
    <row r="783" ht="15.75" customHeight="1">
      <c r="C783" s="14"/>
      <c r="D783" s="14"/>
    </row>
    <row r="784" ht="15.75" customHeight="1">
      <c r="C784" s="14"/>
      <c r="D784" s="14"/>
    </row>
    <row r="785" ht="15.75" customHeight="1">
      <c r="C785" s="14"/>
      <c r="D785" s="14"/>
    </row>
    <row r="786" ht="15.75" customHeight="1">
      <c r="C786" s="14"/>
      <c r="D786" s="14"/>
    </row>
    <row r="787" ht="15.75" customHeight="1">
      <c r="C787" s="14"/>
      <c r="D787" s="14"/>
    </row>
    <row r="788" ht="15.75" customHeight="1">
      <c r="C788" s="14"/>
      <c r="D788" s="14"/>
    </row>
    <row r="789" ht="15.75" customHeight="1">
      <c r="C789" s="14"/>
      <c r="D789" s="14"/>
    </row>
    <row r="790" ht="15.75" customHeight="1">
      <c r="C790" s="14"/>
      <c r="D790" s="14"/>
    </row>
    <row r="791" ht="15.75" customHeight="1">
      <c r="C791" s="14"/>
      <c r="D791" s="14"/>
    </row>
    <row r="792" ht="15.75" customHeight="1">
      <c r="C792" s="14"/>
      <c r="D792" s="14"/>
    </row>
    <row r="793" ht="15.75" customHeight="1">
      <c r="C793" s="14"/>
      <c r="D793" s="14"/>
    </row>
    <row r="794" ht="15.75" customHeight="1">
      <c r="C794" s="14"/>
      <c r="D794" s="14"/>
    </row>
    <row r="795" ht="15.75" customHeight="1">
      <c r="C795" s="14"/>
      <c r="D795" s="14"/>
    </row>
    <row r="796" ht="15.75" customHeight="1">
      <c r="C796" s="14"/>
      <c r="D796" s="14"/>
    </row>
    <row r="797" ht="15.75" customHeight="1">
      <c r="C797" s="14"/>
      <c r="D797" s="14"/>
    </row>
    <row r="798" ht="15.75" customHeight="1">
      <c r="C798" s="14"/>
      <c r="D798" s="14"/>
    </row>
    <row r="799" ht="15.75" customHeight="1">
      <c r="C799" s="14"/>
      <c r="D799" s="14"/>
    </row>
    <row r="800" ht="15.75" customHeight="1">
      <c r="C800" s="14"/>
      <c r="D800" s="14"/>
    </row>
    <row r="801" ht="15.75" customHeight="1">
      <c r="C801" s="14"/>
      <c r="D801" s="14"/>
    </row>
    <row r="802" ht="15.75" customHeight="1">
      <c r="C802" s="14"/>
      <c r="D802" s="14"/>
    </row>
    <row r="803" ht="15.75" customHeight="1">
      <c r="C803" s="14"/>
      <c r="D803" s="14"/>
    </row>
    <row r="804" ht="15.75" customHeight="1">
      <c r="C804" s="14"/>
      <c r="D804" s="14"/>
    </row>
    <row r="805" ht="15.75" customHeight="1">
      <c r="C805" s="14"/>
      <c r="D805" s="14"/>
    </row>
    <row r="806" ht="15.75" customHeight="1">
      <c r="C806" s="14"/>
      <c r="D806" s="14"/>
    </row>
    <row r="807" ht="15.75" customHeight="1">
      <c r="C807" s="14"/>
      <c r="D807" s="14"/>
    </row>
    <row r="808" ht="15.75" customHeight="1">
      <c r="C808" s="14"/>
      <c r="D808" s="14"/>
    </row>
    <row r="809" ht="15.75" customHeight="1">
      <c r="C809" s="14"/>
      <c r="D809" s="14"/>
    </row>
    <row r="810" ht="15.75" customHeight="1">
      <c r="C810" s="14"/>
      <c r="D810" s="14"/>
    </row>
    <row r="811" ht="15.75" customHeight="1">
      <c r="C811" s="14"/>
      <c r="D811" s="14"/>
    </row>
    <row r="812" ht="15.75" customHeight="1">
      <c r="C812" s="14"/>
      <c r="D812" s="14"/>
    </row>
    <row r="813" ht="15.75" customHeight="1">
      <c r="C813" s="14"/>
      <c r="D813" s="14"/>
    </row>
    <row r="814" ht="15.75" customHeight="1">
      <c r="C814" s="14"/>
      <c r="D814" s="14"/>
    </row>
    <row r="815" ht="15.75" customHeight="1">
      <c r="C815" s="14"/>
      <c r="D815" s="14"/>
    </row>
    <row r="816" ht="15.75" customHeight="1">
      <c r="C816" s="14"/>
      <c r="D816" s="14"/>
    </row>
    <row r="817" ht="15.75" customHeight="1">
      <c r="C817" s="14"/>
      <c r="D817" s="14"/>
    </row>
    <row r="818" ht="15.75" customHeight="1">
      <c r="C818" s="14"/>
      <c r="D818" s="14"/>
    </row>
    <row r="819" ht="15.75" customHeight="1">
      <c r="C819" s="14"/>
      <c r="D819" s="14"/>
    </row>
    <row r="820" ht="15.75" customHeight="1">
      <c r="C820" s="14"/>
      <c r="D820" s="14"/>
    </row>
    <row r="821" ht="15.75" customHeight="1">
      <c r="C821" s="14"/>
      <c r="D821" s="14"/>
    </row>
    <row r="822" ht="15.75" customHeight="1">
      <c r="C822" s="14"/>
      <c r="D822" s="14"/>
    </row>
    <row r="823" ht="15.75" customHeight="1">
      <c r="C823" s="14"/>
      <c r="D823" s="14"/>
    </row>
    <row r="824" ht="15.75" customHeight="1">
      <c r="C824" s="14"/>
      <c r="D824" s="14"/>
    </row>
    <row r="825" ht="15.75" customHeight="1">
      <c r="C825" s="14"/>
      <c r="D825" s="14"/>
    </row>
    <row r="826" ht="15.75" customHeight="1">
      <c r="C826" s="14"/>
      <c r="D826" s="14"/>
    </row>
    <row r="827" ht="15.75" customHeight="1">
      <c r="C827" s="14"/>
      <c r="D827" s="14"/>
    </row>
    <row r="828" ht="15.75" customHeight="1">
      <c r="C828" s="14"/>
      <c r="D828" s="14"/>
    </row>
    <row r="829" ht="15.75" customHeight="1">
      <c r="C829" s="14"/>
      <c r="D829" s="14"/>
    </row>
    <row r="830" ht="15.75" customHeight="1">
      <c r="C830" s="14"/>
      <c r="D830" s="14"/>
    </row>
    <row r="831" ht="15.75" customHeight="1">
      <c r="C831" s="14"/>
      <c r="D831" s="14"/>
    </row>
    <row r="832" ht="15.75" customHeight="1">
      <c r="C832" s="14"/>
      <c r="D832" s="14"/>
    </row>
    <row r="833" ht="15.75" customHeight="1">
      <c r="C833" s="14"/>
      <c r="D833" s="14"/>
    </row>
    <row r="834" ht="15.75" customHeight="1">
      <c r="C834" s="14"/>
      <c r="D834" s="14"/>
    </row>
    <row r="835" ht="15.75" customHeight="1">
      <c r="C835" s="14"/>
      <c r="D835" s="14"/>
    </row>
    <row r="836" ht="15.75" customHeight="1">
      <c r="C836" s="14"/>
      <c r="D836" s="14"/>
    </row>
    <row r="837" ht="15.75" customHeight="1">
      <c r="C837" s="14"/>
      <c r="D837" s="14"/>
    </row>
    <row r="838" ht="15.75" customHeight="1">
      <c r="C838" s="14"/>
      <c r="D838" s="14"/>
    </row>
    <row r="839" ht="15.75" customHeight="1">
      <c r="C839" s="14"/>
      <c r="D839" s="14"/>
    </row>
    <row r="840" ht="15.75" customHeight="1">
      <c r="C840" s="14"/>
      <c r="D840" s="14"/>
    </row>
    <row r="841" ht="15.75" customHeight="1">
      <c r="C841" s="14"/>
      <c r="D841" s="14"/>
    </row>
    <row r="842" ht="15.75" customHeight="1">
      <c r="C842" s="14"/>
      <c r="D842" s="14"/>
    </row>
    <row r="843" ht="15.75" customHeight="1">
      <c r="C843" s="14"/>
      <c r="D843" s="14"/>
    </row>
    <row r="844" ht="15.75" customHeight="1">
      <c r="C844" s="14"/>
      <c r="D844" s="14"/>
    </row>
    <row r="845" ht="15.75" customHeight="1">
      <c r="C845" s="14"/>
      <c r="D845" s="14"/>
    </row>
    <row r="846" ht="15.75" customHeight="1">
      <c r="C846" s="14"/>
      <c r="D846" s="14"/>
    </row>
    <row r="847" ht="15.75" customHeight="1">
      <c r="C847" s="14"/>
      <c r="D847" s="14"/>
    </row>
    <row r="848" ht="15.75" customHeight="1">
      <c r="C848" s="14"/>
      <c r="D848" s="14"/>
    </row>
    <row r="849" ht="15.75" customHeight="1">
      <c r="C849" s="14"/>
      <c r="D849" s="14"/>
    </row>
    <row r="850" ht="15.75" customHeight="1">
      <c r="C850" s="14"/>
      <c r="D850" s="14"/>
    </row>
    <row r="851" ht="15.75" customHeight="1">
      <c r="C851" s="14"/>
      <c r="D851" s="14"/>
    </row>
    <row r="852" ht="15.75" customHeight="1">
      <c r="C852" s="14"/>
      <c r="D852" s="14"/>
    </row>
    <row r="853" ht="15.75" customHeight="1">
      <c r="C853" s="14"/>
      <c r="D853" s="14"/>
    </row>
    <row r="854" ht="15.75" customHeight="1">
      <c r="C854" s="14"/>
      <c r="D854" s="14"/>
    </row>
    <row r="855" ht="15.75" customHeight="1">
      <c r="C855" s="14"/>
      <c r="D855" s="14"/>
    </row>
    <row r="856" ht="15.75" customHeight="1">
      <c r="C856" s="14"/>
      <c r="D856" s="14"/>
    </row>
    <row r="857" ht="15.75" customHeight="1">
      <c r="C857" s="14"/>
      <c r="D857" s="14"/>
    </row>
    <row r="858" ht="15.75" customHeight="1">
      <c r="C858" s="14"/>
      <c r="D858" s="14"/>
    </row>
    <row r="859" ht="15.75" customHeight="1">
      <c r="C859" s="14"/>
      <c r="D859" s="14"/>
    </row>
    <row r="860" ht="15.75" customHeight="1">
      <c r="C860" s="14"/>
      <c r="D860" s="14"/>
    </row>
    <row r="861" ht="15.75" customHeight="1">
      <c r="C861" s="14"/>
      <c r="D861" s="14"/>
    </row>
    <row r="862" ht="15.75" customHeight="1">
      <c r="C862" s="14"/>
      <c r="D862" s="14"/>
    </row>
    <row r="863" ht="15.75" customHeight="1">
      <c r="C863" s="14"/>
      <c r="D863" s="14"/>
    </row>
    <row r="864" ht="15.75" customHeight="1">
      <c r="C864" s="14"/>
      <c r="D864" s="14"/>
    </row>
    <row r="865" ht="15.75" customHeight="1">
      <c r="C865" s="14"/>
      <c r="D865" s="14"/>
    </row>
    <row r="866" ht="15.75" customHeight="1">
      <c r="C866" s="14"/>
      <c r="D866" s="14"/>
    </row>
    <row r="867" ht="15.75" customHeight="1">
      <c r="C867" s="14"/>
      <c r="D867" s="14"/>
    </row>
    <row r="868" ht="15.75" customHeight="1">
      <c r="C868" s="14"/>
      <c r="D868" s="14"/>
    </row>
    <row r="869" ht="15.75" customHeight="1">
      <c r="C869" s="14"/>
      <c r="D869" s="14"/>
    </row>
    <row r="870" ht="15.75" customHeight="1">
      <c r="C870" s="14"/>
      <c r="D870" s="14"/>
    </row>
    <row r="871" ht="15.75" customHeight="1">
      <c r="C871" s="14"/>
      <c r="D871" s="14"/>
    </row>
    <row r="872" ht="15.75" customHeight="1">
      <c r="C872" s="14"/>
      <c r="D872" s="14"/>
    </row>
    <row r="873" ht="15.75" customHeight="1">
      <c r="C873" s="14"/>
      <c r="D873" s="14"/>
    </row>
    <row r="874" ht="15.75" customHeight="1">
      <c r="C874" s="14"/>
      <c r="D874" s="14"/>
    </row>
    <row r="875" ht="15.75" customHeight="1">
      <c r="C875" s="14"/>
      <c r="D875" s="14"/>
    </row>
    <row r="876" ht="15.75" customHeight="1">
      <c r="C876" s="14"/>
      <c r="D876" s="14"/>
    </row>
    <row r="877" ht="15.75" customHeight="1">
      <c r="C877" s="14"/>
      <c r="D877" s="14"/>
    </row>
    <row r="878" ht="15.75" customHeight="1">
      <c r="C878" s="14"/>
      <c r="D878" s="14"/>
    </row>
    <row r="879" ht="15.75" customHeight="1">
      <c r="C879" s="14"/>
      <c r="D879" s="14"/>
    </row>
    <row r="880" ht="15.75" customHeight="1">
      <c r="C880" s="14"/>
      <c r="D880" s="14"/>
    </row>
    <row r="881" ht="15.75" customHeight="1">
      <c r="C881" s="14"/>
      <c r="D881" s="14"/>
    </row>
    <row r="882" ht="15.75" customHeight="1">
      <c r="C882" s="14"/>
      <c r="D882" s="14"/>
    </row>
    <row r="883" ht="15.75" customHeight="1">
      <c r="C883" s="14"/>
      <c r="D883" s="14"/>
    </row>
    <row r="884" ht="15.75" customHeight="1">
      <c r="C884" s="14"/>
      <c r="D884" s="14"/>
    </row>
    <row r="885" ht="15.75" customHeight="1">
      <c r="C885" s="14"/>
      <c r="D885" s="14"/>
    </row>
    <row r="886" ht="15.75" customHeight="1">
      <c r="C886" s="14"/>
      <c r="D886" s="14"/>
    </row>
    <row r="887" ht="15.75" customHeight="1">
      <c r="C887" s="14"/>
      <c r="D887" s="14"/>
    </row>
    <row r="888" ht="15.75" customHeight="1">
      <c r="C888" s="14"/>
      <c r="D888" s="14"/>
    </row>
    <row r="889" ht="15.75" customHeight="1">
      <c r="C889" s="14"/>
      <c r="D889" s="14"/>
    </row>
    <row r="890" ht="15.75" customHeight="1">
      <c r="C890" s="14"/>
      <c r="D890" s="14"/>
    </row>
    <row r="891" ht="15.75" customHeight="1">
      <c r="C891" s="14"/>
      <c r="D891" s="14"/>
    </row>
    <row r="892" ht="15.75" customHeight="1">
      <c r="C892" s="14"/>
      <c r="D892" s="14"/>
    </row>
    <row r="893" ht="15.75" customHeight="1">
      <c r="C893" s="14"/>
      <c r="D893" s="14"/>
    </row>
    <row r="894" ht="15.75" customHeight="1">
      <c r="C894" s="14"/>
      <c r="D894" s="14"/>
    </row>
    <row r="895" ht="15.75" customHeight="1">
      <c r="C895" s="14"/>
      <c r="D895" s="14"/>
    </row>
    <row r="896" ht="15.75" customHeight="1">
      <c r="C896" s="14"/>
      <c r="D896" s="14"/>
    </row>
    <row r="897" ht="15.75" customHeight="1">
      <c r="C897" s="14"/>
      <c r="D897" s="14"/>
    </row>
    <row r="898" ht="15.75" customHeight="1">
      <c r="C898" s="14"/>
      <c r="D898" s="14"/>
    </row>
    <row r="899" ht="15.75" customHeight="1">
      <c r="C899" s="14"/>
      <c r="D899" s="14"/>
    </row>
    <row r="900" ht="15.75" customHeight="1">
      <c r="C900" s="14"/>
      <c r="D900" s="14"/>
    </row>
    <row r="901" ht="15.75" customHeight="1">
      <c r="C901" s="14"/>
      <c r="D901" s="14"/>
    </row>
    <row r="902" ht="15.75" customHeight="1">
      <c r="C902" s="14"/>
      <c r="D902" s="14"/>
    </row>
    <row r="903" ht="15.75" customHeight="1">
      <c r="C903" s="14"/>
      <c r="D903" s="14"/>
    </row>
    <row r="904" ht="15.75" customHeight="1">
      <c r="C904" s="14"/>
      <c r="D904" s="14"/>
    </row>
    <row r="905" ht="15.75" customHeight="1">
      <c r="C905" s="14"/>
      <c r="D905" s="14"/>
    </row>
    <row r="906" ht="15.75" customHeight="1">
      <c r="C906" s="14"/>
      <c r="D906" s="14"/>
    </row>
    <row r="907" ht="15.75" customHeight="1">
      <c r="C907" s="14"/>
      <c r="D907" s="14"/>
    </row>
    <row r="908" ht="15.75" customHeight="1">
      <c r="C908" s="14"/>
      <c r="D908" s="14"/>
    </row>
    <row r="909" ht="15.75" customHeight="1">
      <c r="C909" s="14"/>
      <c r="D909" s="14"/>
    </row>
    <row r="910" ht="15.75" customHeight="1">
      <c r="C910" s="14"/>
      <c r="D910" s="14"/>
    </row>
    <row r="911" ht="15.75" customHeight="1">
      <c r="C911" s="14"/>
      <c r="D911" s="14"/>
    </row>
    <row r="912" ht="15.75" customHeight="1">
      <c r="C912" s="14"/>
      <c r="D912" s="14"/>
    </row>
    <row r="913" ht="15.75" customHeight="1">
      <c r="C913" s="14"/>
      <c r="D913" s="14"/>
    </row>
    <row r="914" ht="15.75" customHeight="1">
      <c r="C914" s="14"/>
      <c r="D914" s="14"/>
    </row>
    <row r="915" ht="15.75" customHeight="1">
      <c r="C915" s="14"/>
      <c r="D915" s="14"/>
    </row>
    <row r="916" ht="15.75" customHeight="1">
      <c r="C916" s="14"/>
      <c r="D916" s="14"/>
    </row>
    <row r="917" ht="15.75" customHeight="1">
      <c r="C917" s="14"/>
      <c r="D917" s="14"/>
    </row>
    <row r="918" ht="15.75" customHeight="1">
      <c r="C918" s="14"/>
      <c r="D918" s="14"/>
    </row>
    <row r="919" ht="15.75" customHeight="1">
      <c r="C919" s="14"/>
      <c r="D919" s="14"/>
    </row>
    <row r="920" ht="15.75" customHeight="1">
      <c r="C920" s="14"/>
      <c r="D920" s="14"/>
    </row>
    <row r="921" ht="15.75" customHeight="1">
      <c r="C921" s="14"/>
      <c r="D921" s="14"/>
    </row>
    <row r="922" ht="15.75" customHeight="1">
      <c r="C922" s="14"/>
      <c r="D922" s="14"/>
    </row>
    <row r="923" ht="15.75" customHeight="1">
      <c r="C923" s="14"/>
      <c r="D923" s="14"/>
    </row>
    <row r="924" ht="15.75" customHeight="1">
      <c r="C924" s="14"/>
      <c r="D924" s="14"/>
    </row>
    <row r="925" ht="15.75" customHeight="1">
      <c r="C925" s="14"/>
      <c r="D925" s="14"/>
    </row>
    <row r="926" ht="15.75" customHeight="1">
      <c r="C926" s="14"/>
      <c r="D926" s="14"/>
    </row>
    <row r="927" ht="15.75" customHeight="1">
      <c r="C927" s="14"/>
      <c r="D927" s="14"/>
    </row>
    <row r="928" ht="15.75" customHeight="1">
      <c r="C928" s="14"/>
      <c r="D928" s="14"/>
    </row>
    <row r="929" ht="15.75" customHeight="1">
      <c r="C929" s="14"/>
      <c r="D929" s="14"/>
    </row>
    <row r="930" ht="15.75" customHeight="1">
      <c r="C930" s="14"/>
      <c r="D930" s="14"/>
    </row>
    <row r="931" ht="15.75" customHeight="1">
      <c r="C931" s="14"/>
      <c r="D931" s="14"/>
    </row>
    <row r="932" ht="15.75" customHeight="1">
      <c r="C932" s="14"/>
      <c r="D932" s="14"/>
    </row>
    <row r="933" ht="15.75" customHeight="1">
      <c r="C933" s="14"/>
      <c r="D933" s="14"/>
    </row>
    <row r="934" ht="15.75" customHeight="1">
      <c r="C934" s="14"/>
      <c r="D934" s="14"/>
    </row>
    <row r="935" ht="15.75" customHeight="1">
      <c r="C935" s="14"/>
      <c r="D935" s="14"/>
    </row>
    <row r="936" ht="15.75" customHeight="1">
      <c r="C936" s="14"/>
      <c r="D936" s="14"/>
    </row>
    <row r="937" ht="15.75" customHeight="1">
      <c r="C937" s="14"/>
      <c r="D937" s="14"/>
    </row>
    <row r="938" ht="15.75" customHeight="1">
      <c r="C938" s="14"/>
      <c r="D938" s="14"/>
    </row>
    <row r="939" ht="15.75" customHeight="1">
      <c r="C939" s="14"/>
      <c r="D939" s="14"/>
    </row>
    <row r="940" ht="15.75" customHeight="1">
      <c r="C940" s="14"/>
      <c r="D940" s="14"/>
    </row>
    <row r="941" ht="15.75" customHeight="1">
      <c r="C941" s="14"/>
      <c r="D941" s="14"/>
    </row>
    <row r="942" ht="15.75" customHeight="1">
      <c r="C942" s="14"/>
      <c r="D942" s="14"/>
    </row>
    <row r="943" ht="15.75" customHeight="1">
      <c r="C943" s="14"/>
      <c r="D943" s="14"/>
    </row>
    <row r="944" ht="15.75" customHeight="1">
      <c r="C944" s="14"/>
      <c r="D944" s="14"/>
    </row>
    <row r="945" ht="15.75" customHeight="1">
      <c r="C945" s="14"/>
      <c r="D945" s="14"/>
    </row>
    <row r="946" ht="15.75" customHeight="1">
      <c r="C946" s="14"/>
      <c r="D946" s="14"/>
    </row>
    <row r="947" ht="15.75" customHeight="1">
      <c r="C947" s="14"/>
      <c r="D947" s="14"/>
    </row>
    <row r="948" ht="15.75" customHeight="1">
      <c r="C948" s="14"/>
      <c r="D948" s="14"/>
    </row>
    <row r="949" ht="15.75" customHeight="1">
      <c r="C949" s="14"/>
      <c r="D949" s="14"/>
    </row>
    <row r="950" ht="15.75" customHeight="1">
      <c r="C950" s="14"/>
      <c r="D950" s="14"/>
    </row>
    <row r="951" ht="15.75" customHeight="1">
      <c r="C951" s="14"/>
      <c r="D951" s="14"/>
    </row>
    <row r="952" ht="15.75" customHeight="1">
      <c r="C952" s="14"/>
      <c r="D952" s="14"/>
    </row>
    <row r="953" ht="15.75" customHeight="1">
      <c r="C953" s="14"/>
      <c r="D953" s="14"/>
    </row>
    <row r="954" ht="15.75" customHeight="1">
      <c r="C954" s="14"/>
      <c r="D954" s="14"/>
    </row>
    <row r="955" ht="15.75" customHeight="1">
      <c r="C955" s="14"/>
      <c r="D955" s="14"/>
    </row>
    <row r="956" ht="15.75" customHeight="1">
      <c r="C956" s="14"/>
      <c r="D956" s="14"/>
    </row>
    <row r="957" ht="15.75" customHeight="1">
      <c r="C957" s="14"/>
      <c r="D957" s="14"/>
    </row>
    <row r="958" ht="15.75" customHeight="1">
      <c r="C958" s="14"/>
      <c r="D958" s="14"/>
    </row>
    <row r="959" ht="15.75" customHeight="1">
      <c r="C959" s="14"/>
      <c r="D959" s="14"/>
    </row>
    <row r="960" ht="15.75" customHeight="1">
      <c r="C960" s="14"/>
      <c r="D960" s="14"/>
    </row>
    <row r="961" ht="15.75" customHeight="1">
      <c r="C961" s="14"/>
      <c r="D961" s="14"/>
    </row>
    <row r="962" ht="15.75" customHeight="1">
      <c r="C962" s="14"/>
      <c r="D962" s="14"/>
    </row>
    <row r="963" ht="15.75" customHeight="1">
      <c r="C963" s="14"/>
      <c r="D963" s="14"/>
    </row>
    <row r="964" ht="15.75" customHeight="1">
      <c r="C964" s="14"/>
      <c r="D964" s="14"/>
    </row>
    <row r="965" ht="15.75" customHeight="1">
      <c r="C965" s="14"/>
      <c r="D965" s="14"/>
    </row>
    <row r="966" ht="15.75" customHeight="1">
      <c r="C966" s="14"/>
      <c r="D966" s="14"/>
    </row>
    <row r="967" ht="15.75" customHeight="1">
      <c r="C967" s="14"/>
      <c r="D967" s="14"/>
    </row>
    <row r="968" ht="15.75" customHeight="1">
      <c r="C968" s="14"/>
      <c r="D968" s="14"/>
    </row>
    <row r="969" ht="15.75" customHeight="1">
      <c r="C969" s="14"/>
      <c r="D969" s="14"/>
    </row>
    <row r="970" ht="15.75" customHeight="1">
      <c r="C970" s="14"/>
      <c r="D970" s="14"/>
    </row>
    <row r="971" ht="15.75" customHeight="1">
      <c r="C971" s="14"/>
      <c r="D971" s="14"/>
    </row>
    <row r="972" ht="15.75" customHeight="1">
      <c r="C972" s="14"/>
      <c r="D972" s="14"/>
    </row>
    <row r="973" ht="15.75" customHeight="1">
      <c r="C973" s="14"/>
      <c r="D973" s="14"/>
    </row>
    <row r="974" ht="15.75" customHeight="1">
      <c r="C974" s="14"/>
      <c r="D974" s="14"/>
    </row>
    <row r="975" ht="15.75" customHeight="1">
      <c r="C975" s="14"/>
      <c r="D975" s="14"/>
    </row>
    <row r="976" ht="15.75" customHeight="1">
      <c r="C976" s="14"/>
      <c r="D976" s="14"/>
    </row>
    <row r="977" ht="15.75" customHeight="1">
      <c r="C977" s="14"/>
      <c r="D977" s="14"/>
    </row>
    <row r="978" ht="15.75" customHeight="1">
      <c r="C978" s="14"/>
      <c r="D978" s="14"/>
    </row>
    <row r="979" ht="15.75" customHeight="1">
      <c r="C979" s="14"/>
      <c r="D979" s="14"/>
    </row>
    <row r="980" ht="15.75" customHeight="1">
      <c r="C980" s="14"/>
      <c r="D980" s="14"/>
    </row>
    <row r="981" ht="15.75" customHeight="1">
      <c r="C981" s="14"/>
      <c r="D981" s="14"/>
    </row>
    <row r="982" ht="15.75" customHeight="1">
      <c r="C982" s="14"/>
      <c r="D982" s="14"/>
    </row>
    <row r="983" ht="15.75" customHeight="1">
      <c r="C983" s="14"/>
      <c r="D983" s="14"/>
    </row>
    <row r="984" ht="15.75" customHeight="1">
      <c r="C984" s="14"/>
      <c r="D984" s="14"/>
    </row>
    <row r="985" ht="15.75" customHeight="1">
      <c r="C985" s="14"/>
      <c r="D985" s="14"/>
    </row>
    <row r="986" ht="15.75" customHeight="1">
      <c r="C986" s="14"/>
      <c r="D986" s="14"/>
    </row>
    <row r="987" ht="15.75" customHeight="1">
      <c r="C987" s="14"/>
      <c r="D987" s="14"/>
    </row>
    <row r="988" ht="15.75" customHeight="1">
      <c r="C988" s="14"/>
      <c r="D988" s="14"/>
    </row>
    <row r="989" ht="15.75" customHeight="1">
      <c r="C989" s="14"/>
      <c r="D989" s="14"/>
    </row>
    <row r="990" ht="15.75" customHeight="1">
      <c r="C990" s="14"/>
      <c r="D990" s="14"/>
    </row>
    <row r="991" ht="15.75" customHeight="1">
      <c r="C991" s="14"/>
      <c r="D991" s="14"/>
    </row>
    <row r="992" ht="15.75" customHeight="1">
      <c r="C992" s="14"/>
      <c r="D992" s="14"/>
    </row>
    <row r="993" ht="15.75" customHeight="1">
      <c r="C993" s="14"/>
      <c r="D993" s="14"/>
    </row>
    <row r="994" ht="15.75" customHeight="1">
      <c r="C994" s="14"/>
      <c r="D994" s="14"/>
    </row>
    <row r="995" ht="15.75" customHeight="1">
      <c r="C995" s="14"/>
      <c r="D995" s="14"/>
    </row>
    <row r="996" ht="15.75" customHeight="1">
      <c r="C996" s="14"/>
      <c r="D996" s="14"/>
    </row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5" width="10.63"/>
    <col customWidth="1" min="6" max="6" width="14.0"/>
    <col customWidth="1" min="7" max="13" width="10.63"/>
    <col customWidth="1" min="14" max="14" width="12.88"/>
    <col customWidth="1" min="15" max="15" width="10.63"/>
    <col customWidth="1" min="16" max="16" width="12.13"/>
    <col customWidth="1" min="17" max="21" width="10.63"/>
    <col customWidth="1" min="22" max="22" width="36.38"/>
    <col customWidth="1" min="23" max="23" width="13.5"/>
    <col customWidth="1" min="24" max="24" width="54.88"/>
    <col customWidth="1" min="25" max="25" width="13.5"/>
    <col customWidth="1" min="26" max="26" width="7.0"/>
    <col customWidth="1" min="28" max="28" width="36.38"/>
    <col customWidth="1" min="30" max="30" width="54.88"/>
  </cols>
  <sheetData>
    <row r="1" ht="12.75" customHeight="1">
      <c r="A1" s="1" t="s">
        <v>0</v>
      </c>
      <c r="B1" s="2" t="s">
        <v>1</v>
      </c>
      <c r="C1" s="2" t="s">
        <v>49</v>
      </c>
      <c r="D1" s="2" t="s">
        <v>52</v>
      </c>
      <c r="F1" s="43" t="s">
        <v>74</v>
      </c>
      <c r="L1" s="43" t="s">
        <v>104</v>
      </c>
    </row>
    <row r="2" ht="12.75" customHeight="1">
      <c r="A2" s="3" t="str">
        <f>'Spa Manager'!A2</f>
        <v>Composite State</v>
      </c>
      <c r="B2" s="4" t="str">
        <f>'Spa Manager'!B2</f>
        <v>SpaManager</v>
      </c>
      <c r="C2" s="46">
        <f>'Grader #1'!C2</f>
        <v>1</v>
      </c>
      <c r="D2" s="46">
        <f>'Grader #2'!C2</f>
        <v>1</v>
      </c>
      <c r="F2" s="14" t="s">
        <v>76</v>
      </c>
      <c r="G2" s="47" t="s">
        <v>77</v>
      </c>
      <c r="H2" s="48" t="s">
        <v>78</v>
      </c>
      <c r="I2" s="49" t="s">
        <v>79</v>
      </c>
      <c r="J2" s="69" t="s">
        <v>80</v>
      </c>
      <c r="K2" s="14"/>
      <c r="L2" s="14" t="s">
        <v>76</v>
      </c>
      <c r="M2" s="68" t="s">
        <v>77</v>
      </c>
      <c r="N2" s="68" t="s">
        <v>78</v>
      </c>
      <c r="O2" s="68" t="s">
        <v>79</v>
      </c>
      <c r="P2" s="14"/>
      <c r="Q2" s="14" t="s">
        <v>76</v>
      </c>
      <c r="R2" s="68" t="s">
        <v>77</v>
      </c>
      <c r="S2" s="68" t="s">
        <v>78</v>
      </c>
      <c r="T2" s="68" t="s">
        <v>79</v>
      </c>
      <c r="V2" s="51" t="s">
        <v>81</v>
      </c>
      <c r="W2" s="51" t="s">
        <v>82</v>
      </c>
      <c r="X2" s="51" t="s">
        <v>83</v>
      </c>
    </row>
    <row r="3" ht="12.75" customHeight="1">
      <c r="A3" s="3" t="str">
        <f>'Spa Manager'!A3</f>
        <v>Region</v>
      </c>
      <c r="B3" s="4" t="str">
        <f>'Spa Manager'!B3</f>
        <v>Jacuzzi</v>
      </c>
      <c r="C3" s="46">
        <f>'Grader #1'!C3</f>
        <v>1</v>
      </c>
      <c r="D3" s="46">
        <f>'Grader #2'!C3</f>
        <v>1</v>
      </c>
      <c r="F3" s="52">
        <v>0.0</v>
      </c>
      <c r="G3" s="53">
        <f>COUNTIFS($C$2:$C$90, $F3, $D$2:$D$90, G$2)</f>
        <v>7</v>
      </c>
      <c r="H3" s="54">
        <f>COUNTIFS($C$2:$C$46, $F3, $D$2:$D$46, H$2)</f>
        <v>1</v>
      </c>
      <c r="I3" s="55">
        <f>COUNTIFS($C$2:$C$46, $F3, $D$2:$D$46, I$2)+MAX(D47-C47,0)+MAX(D48-C48,0)+MAX(D49-C49,0)+MAX(D50-C50,0)+MAX(D51-C51,0)+MAX(D52-C52,0)+MAX(D53-C53,0)</f>
        <v>0</v>
      </c>
      <c r="J3" s="14">
        <f t="shared" ref="J3:J5" si="4">SUM(G3:I3)</f>
        <v>8</v>
      </c>
      <c r="K3" s="14"/>
      <c r="L3" s="52">
        <v>0.0</v>
      </c>
      <c r="M3" s="53">
        <f t="shared" ref="M3:O3" si="1">ABS(G$2-$F3)/1</f>
        <v>0</v>
      </c>
      <c r="N3" s="54">
        <f t="shared" si="1"/>
        <v>0.5</v>
      </c>
      <c r="O3" s="57">
        <f t="shared" si="1"/>
        <v>1</v>
      </c>
      <c r="P3" s="14"/>
      <c r="Q3" s="52">
        <v>0.0</v>
      </c>
      <c r="R3" s="53">
        <f t="shared" ref="R3:T3" si="2">($J3/$J$6) * (G$6/$J$6)</f>
        <v>0.0215301807</v>
      </c>
      <c r="S3" s="54">
        <f t="shared" si="2"/>
        <v>0.0061514802</v>
      </c>
      <c r="T3" s="57">
        <f t="shared" si="2"/>
        <v>0.1291810842</v>
      </c>
      <c r="U3" s="14"/>
      <c r="V3" s="56" t="s">
        <v>105</v>
      </c>
      <c r="W3" s="53">
        <f>SUMPRODUCT(G3:I5, M3:O5) /$J$6</f>
        <v>0.009803921569</v>
      </c>
      <c r="X3" s="57" t="s">
        <v>106</v>
      </c>
    </row>
    <row r="4" ht="12.75" customHeight="1">
      <c r="A4" s="3" t="str">
        <f>'Spa Manager'!A4</f>
        <v>State</v>
      </c>
      <c r="B4" s="4" t="str">
        <f>'Spa Manager'!B4</f>
        <v>initial state (Jacuzzi → Off)</v>
      </c>
      <c r="C4" s="46">
        <f>'Grader #1'!C4</f>
        <v>1</v>
      </c>
      <c r="D4" s="46">
        <f>'Grader #2'!C4</f>
        <v>1</v>
      </c>
      <c r="F4" s="52">
        <v>0.5</v>
      </c>
      <c r="G4" s="58">
        <f t="shared" ref="G4:I4" si="3">COUNTIFS($C$2:$C$46, $F4, $D$2:$D$46, G$2)</f>
        <v>0</v>
      </c>
      <c r="H4" s="14">
        <f t="shared" si="3"/>
        <v>1</v>
      </c>
      <c r="I4" s="59">
        <f t="shared" si="3"/>
        <v>0</v>
      </c>
      <c r="J4" s="14">
        <f t="shared" si="4"/>
        <v>1</v>
      </c>
      <c r="K4" s="14"/>
      <c r="L4" s="52">
        <v>0.5</v>
      </c>
      <c r="M4" s="58">
        <f t="shared" ref="M4:M5" si="6">ABS(G$2-$F4)/1</f>
        <v>0.5</v>
      </c>
      <c r="N4" s="14">
        <f>ABS(H$2-$F4)/3</f>
        <v>0</v>
      </c>
      <c r="O4" s="59">
        <f>ABS(I$2-$F4)/1</f>
        <v>0.5</v>
      </c>
      <c r="P4" s="14"/>
      <c r="Q4" s="52">
        <v>0.5</v>
      </c>
      <c r="R4" s="58">
        <f t="shared" ref="R4:T4" si="5">($J4/$J$6) * (G$6/$J$6)</f>
        <v>0.002691272587</v>
      </c>
      <c r="S4" s="14">
        <f t="shared" si="5"/>
        <v>0.000768935025</v>
      </c>
      <c r="T4" s="59">
        <f t="shared" si="5"/>
        <v>0.01614763552</v>
      </c>
      <c r="U4" s="14"/>
      <c r="V4" s="56" t="s">
        <v>107</v>
      </c>
      <c r="W4" s="58">
        <f>SUMPRODUCT(R3:T5, M3:O5)</f>
        <v>0.2708573626</v>
      </c>
      <c r="X4" s="59" t="s">
        <v>108</v>
      </c>
    </row>
    <row r="5" ht="12.75" customHeight="1">
      <c r="A5" s="3" t="str">
        <f>'Spa Manager'!A5</f>
        <v>State</v>
      </c>
      <c r="B5" s="4" t="str">
        <f>'Spa Manager'!B5</f>
        <v>Off</v>
      </c>
      <c r="C5" s="46">
        <f>'Grader #1'!C5</f>
        <v>1</v>
      </c>
      <c r="D5" s="46">
        <f>'Grader #2'!C5</f>
        <v>1</v>
      </c>
      <c r="F5" s="52">
        <v>1.0</v>
      </c>
      <c r="G5" s="60">
        <f>COUNTIFS($C$2:$C$46, $F5, $D$2:$D$46, G$2)+MAX(C47-D47,0)+MAX(C48-D48,0)+MAX(C49-D49,0)+MAX(C50-D50,0)+MAX(C51-D51,0)+MAX(C52-D52,0)+MAX(C53-D53,0)</f>
        <v>0</v>
      </c>
      <c r="H5" s="61">
        <f>COUNTIFS($C$2:$C$46, $F5, $D$2:$D$46, H$2)</f>
        <v>0</v>
      </c>
      <c r="I5" s="62">
        <f>COUNTIFS($C$2:$C$46, $F5, $D$2:$D$46, I$2)+ SUM(MIN(C47,D47), MIN(C48,D48), MIN(C49,D49), MIN(C50,D50), MIN(C51,D51), MIN(C52,D52), MIN(C53,D53))</f>
        <v>42</v>
      </c>
      <c r="J5" s="63">
        <f t="shared" si="4"/>
        <v>42</v>
      </c>
      <c r="K5" s="14"/>
      <c r="L5" s="52">
        <v>1.0</v>
      </c>
      <c r="M5" s="64">
        <f t="shared" si="6"/>
        <v>1</v>
      </c>
      <c r="N5" s="61">
        <f t="shared" ref="N5:O5" si="7">ABS(H$2-$F5)/1</f>
        <v>0.5</v>
      </c>
      <c r="O5" s="65">
        <f t="shared" si="7"/>
        <v>0</v>
      </c>
      <c r="P5" s="14"/>
      <c r="Q5" s="52">
        <v>1.0</v>
      </c>
      <c r="R5" s="64">
        <f t="shared" ref="R5:T5" si="8">($J5/$J$6) * (G$6/$J$6)</f>
        <v>0.1130334487</v>
      </c>
      <c r="S5" s="61">
        <f t="shared" si="8"/>
        <v>0.03229527105</v>
      </c>
      <c r="T5" s="65">
        <f t="shared" si="8"/>
        <v>0.678200692</v>
      </c>
      <c r="U5" s="14"/>
      <c r="V5" s="56" t="s">
        <v>75</v>
      </c>
      <c r="W5" s="64">
        <f>1-W3/W4</f>
        <v>0.9638041164</v>
      </c>
      <c r="X5" s="65" t="s">
        <v>109</v>
      </c>
    </row>
    <row r="6" ht="12.75" customHeight="1">
      <c r="A6" s="3" t="str">
        <f>'Spa Manager'!A6</f>
        <v>Composite State</v>
      </c>
      <c r="B6" s="4" t="str">
        <f>'Spa Manager'!B6</f>
        <v>On (Jacuzzi)</v>
      </c>
      <c r="C6" s="46">
        <f>'Grader #1'!C6</f>
        <v>1</v>
      </c>
      <c r="D6" s="46">
        <f>'Grader #2'!C6</f>
        <v>1</v>
      </c>
      <c r="F6" s="66" t="s">
        <v>89</v>
      </c>
      <c r="G6" s="14">
        <f t="shared" ref="G6:I6" si="9">SUM(G3:G5)</f>
        <v>7</v>
      </c>
      <c r="H6" s="14">
        <f t="shared" si="9"/>
        <v>2</v>
      </c>
      <c r="I6" s="63">
        <f t="shared" si="9"/>
        <v>42</v>
      </c>
      <c r="J6" s="14">
        <f>SUM(G3:I5)</f>
        <v>51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67"/>
    </row>
    <row r="7" ht="12.75" customHeight="1">
      <c r="A7" s="3" t="str">
        <f>'Spa Manager'!A7</f>
        <v>Transition</v>
      </c>
      <c r="B7" s="4" t="str">
        <f>'Spa Manager'!B7</f>
        <v>on (Off ⇒ On)</v>
      </c>
      <c r="C7" s="46">
        <f>'Grader #1'!C7</f>
        <v>1</v>
      </c>
      <c r="D7" s="46">
        <f>'Grader #2'!C7</f>
        <v>1</v>
      </c>
      <c r="L7" s="14"/>
      <c r="M7" s="14"/>
      <c r="N7" s="14"/>
    </row>
    <row r="8" ht="12.75" customHeight="1">
      <c r="A8" s="3" t="str">
        <f>'Spa Manager'!A8</f>
        <v>Transition</v>
      </c>
      <c r="B8" s="4" t="str">
        <f>'Spa Manager'!B8</f>
        <v>off (On ⇒ Off)</v>
      </c>
      <c r="C8" s="46">
        <f>'Grader #1'!C8</f>
        <v>1</v>
      </c>
      <c r="D8" s="46">
        <f>'Grader #2'!C8</f>
        <v>1</v>
      </c>
      <c r="F8" s="43" t="s">
        <v>90</v>
      </c>
    </row>
    <row r="9" ht="12.75" customHeight="1">
      <c r="A9" s="3" t="str">
        <f>'Spa Manager'!A9</f>
        <v>State</v>
      </c>
      <c r="B9" s="4" t="str">
        <f>'Spa Manager'!B9</f>
        <v>initial state (Level1)</v>
      </c>
      <c r="C9" s="46">
        <f>'Grader #1'!C9</f>
        <v>1</v>
      </c>
      <c r="D9" s="46">
        <f>'Grader #2'!C9</f>
        <v>1</v>
      </c>
      <c r="F9" s="14" t="s">
        <v>6</v>
      </c>
      <c r="G9" s="68" t="s">
        <v>77</v>
      </c>
      <c r="H9" s="68" t="s">
        <v>78</v>
      </c>
      <c r="I9" s="68" t="s">
        <v>79</v>
      </c>
      <c r="J9" s="69" t="s">
        <v>80</v>
      </c>
      <c r="K9" s="14"/>
      <c r="L9" s="14" t="s">
        <v>76</v>
      </c>
      <c r="M9" s="68" t="s">
        <v>77</v>
      </c>
      <c r="N9" s="68" t="s">
        <v>78</v>
      </c>
      <c r="O9" s="68" t="s">
        <v>79</v>
      </c>
      <c r="P9" s="14"/>
      <c r="Q9" s="14" t="s">
        <v>76</v>
      </c>
      <c r="R9" s="68" t="s">
        <v>77</v>
      </c>
      <c r="S9" s="68" t="s">
        <v>78</v>
      </c>
      <c r="T9" s="68" t="s">
        <v>79</v>
      </c>
      <c r="V9" s="51" t="s">
        <v>81</v>
      </c>
      <c r="W9" s="51" t="s">
        <v>82</v>
      </c>
      <c r="X9" s="51" t="s">
        <v>83</v>
      </c>
    </row>
    <row r="10" ht="12.75" customHeight="1">
      <c r="A10" s="3" t="str">
        <f>'Spa Manager'!A10</f>
        <v>State</v>
      </c>
      <c r="B10" s="4" t="str">
        <f>'Spa Manager'!B10</f>
        <v>Level1</v>
      </c>
      <c r="C10" s="46">
        <f>'Grader #1'!C10</f>
        <v>1</v>
      </c>
      <c r="D10" s="46">
        <f>'Grader #2'!C10</f>
        <v>1</v>
      </c>
      <c r="F10" s="52">
        <v>0.0</v>
      </c>
      <c r="G10" s="53">
        <f t="shared" ref="G10:H10" si="10">COUNTIFS($A$2:$A$90,$F$9,$C$2:$C$90,$F10,$D$2:$D$90,G$9)</f>
        <v>1</v>
      </c>
      <c r="H10" s="54">
        <f t="shared" si="10"/>
        <v>0</v>
      </c>
      <c r="I10" s="55">
        <f>COUNTIFS($A$2:$A$46,$F$9,$C$2:$C$46,$F10,$D$2:$D$46,I$9)+MAX(D47-C47,0)</f>
        <v>0</v>
      </c>
      <c r="J10" s="14">
        <f t="shared" ref="J10:J12" si="14">SUM(G10:I10)</f>
        <v>1</v>
      </c>
      <c r="K10" s="14"/>
      <c r="L10" s="52">
        <v>0.0</v>
      </c>
      <c r="M10" s="53">
        <f t="shared" ref="M10:O10" si="11">ABS(G$2-$F10)/1</f>
        <v>0</v>
      </c>
      <c r="N10" s="54">
        <f t="shared" si="11"/>
        <v>0.5</v>
      </c>
      <c r="O10" s="57">
        <f t="shared" si="11"/>
        <v>1</v>
      </c>
      <c r="P10" s="14"/>
      <c r="Q10" s="52">
        <v>0.0</v>
      </c>
      <c r="R10" s="53">
        <f t="shared" ref="R10:T10" si="12">($J10/$J$13) * (G$13/$J$13)</f>
        <v>0.003460207612</v>
      </c>
      <c r="S10" s="54">
        <f t="shared" si="12"/>
        <v>0</v>
      </c>
      <c r="T10" s="57">
        <f t="shared" si="12"/>
        <v>0.0553633218</v>
      </c>
      <c r="U10" s="14"/>
      <c r="V10" s="56" t="s">
        <v>105</v>
      </c>
      <c r="W10" s="53">
        <f>SUMPRODUCT(G10:I12, M10:O12) /$J$13</f>
        <v>0</v>
      </c>
      <c r="X10" s="57" t="s">
        <v>106</v>
      </c>
    </row>
    <row r="11" ht="12.75" customHeight="1">
      <c r="A11" s="3" t="str">
        <f>'Spa Manager'!A11</f>
        <v>Transition</v>
      </c>
      <c r="B11" s="4" t="str">
        <f>'Spa Manager'!B11</f>
        <v>up (Level1 ⇒ Level2)</v>
      </c>
      <c r="C11" s="46">
        <f>'Grader #1'!C11</f>
        <v>1</v>
      </c>
      <c r="D11" s="46">
        <f>'Grader #2'!C11</f>
        <v>1</v>
      </c>
      <c r="F11" s="52">
        <v>0.5</v>
      </c>
      <c r="G11" s="58">
        <f t="shared" ref="G11:I11" si="13">COUNTIFS($A$2:$A$90,$F$9,$C$2:$C$90,$F11,$D$2:$D$90,G$9)</f>
        <v>0</v>
      </c>
      <c r="H11" s="14">
        <f t="shared" si="13"/>
        <v>0</v>
      </c>
      <c r="I11" s="59">
        <f t="shared" si="13"/>
        <v>0</v>
      </c>
      <c r="J11" s="14">
        <f t="shared" si="14"/>
        <v>0</v>
      </c>
      <c r="K11" s="14"/>
      <c r="L11" s="52">
        <v>0.5</v>
      </c>
      <c r="M11" s="58">
        <f t="shared" ref="M11:M12" si="16">ABS(G$2-$F11)/1</f>
        <v>0.5</v>
      </c>
      <c r="N11" s="14">
        <f>ABS(H$2-$F11)/3</f>
        <v>0</v>
      </c>
      <c r="O11" s="59">
        <f>ABS(I$2-$F11)/1</f>
        <v>0.5</v>
      </c>
      <c r="P11" s="14"/>
      <c r="Q11" s="52">
        <v>0.5</v>
      </c>
      <c r="R11" s="58">
        <f t="shared" ref="R11:T11" si="15">($J11/$J$13) * (G$13/$J$13)</f>
        <v>0</v>
      </c>
      <c r="S11" s="14">
        <f t="shared" si="15"/>
        <v>0</v>
      </c>
      <c r="T11" s="59">
        <f t="shared" si="15"/>
        <v>0</v>
      </c>
      <c r="U11" s="14"/>
      <c r="V11" s="56" t="s">
        <v>107</v>
      </c>
      <c r="W11" s="58">
        <f>SUMPRODUCT(R10:T12, M10:O12)</f>
        <v>0.1107266436</v>
      </c>
      <c r="X11" s="59" t="s">
        <v>108</v>
      </c>
    </row>
    <row r="12" ht="12.75" customHeight="1">
      <c r="A12" s="3" t="str">
        <f>'Spa Manager'!A12</f>
        <v>State</v>
      </c>
      <c r="B12" s="4" t="str">
        <f>'Spa Manager'!B12</f>
        <v>Level2</v>
      </c>
      <c r="C12" s="46">
        <f>'Grader #1'!C12</f>
        <v>1</v>
      </c>
      <c r="D12" s="46">
        <f>'Grader #2'!C12</f>
        <v>1</v>
      </c>
      <c r="F12" s="52">
        <v>1.0</v>
      </c>
      <c r="G12" s="60">
        <f>COUNTIFS($A$2:$A$46,$F$9,$C$2:$C$46,$F12,$D$2:$D$46,G$9)+MAX(C47-D47,0)</f>
        <v>0</v>
      </c>
      <c r="H12" s="61">
        <f>COUNTIFS($A$2:$A$90,$F$9,$C$2:$C$90,$F12,$D$2:$D$90,H$9)</f>
        <v>0</v>
      </c>
      <c r="I12" s="62">
        <f>COUNTIFS($A$2:$A$46,$F$9,$C$2:$C$46,$F12,$D$2:$D$46,I$9)+MIN(C47-D47)</f>
        <v>16</v>
      </c>
      <c r="J12" s="63">
        <f t="shared" si="14"/>
        <v>16</v>
      </c>
      <c r="K12" s="14"/>
      <c r="L12" s="52">
        <v>1.0</v>
      </c>
      <c r="M12" s="64">
        <f t="shared" si="16"/>
        <v>1</v>
      </c>
      <c r="N12" s="61">
        <f t="shared" ref="N12:O12" si="17">ABS(H$2-$F12)/1</f>
        <v>0.5</v>
      </c>
      <c r="O12" s="65">
        <f t="shared" si="17"/>
        <v>0</v>
      </c>
      <c r="P12" s="14"/>
      <c r="Q12" s="52">
        <v>1.0</v>
      </c>
      <c r="R12" s="64">
        <f t="shared" ref="R12:T12" si="18">($J12/$J$13) * (G$13/$J$13)</f>
        <v>0.0553633218</v>
      </c>
      <c r="S12" s="61">
        <f t="shared" si="18"/>
        <v>0</v>
      </c>
      <c r="T12" s="65">
        <f t="shared" si="18"/>
        <v>0.8858131488</v>
      </c>
      <c r="U12" s="14"/>
      <c r="V12" s="56" t="s">
        <v>75</v>
      </c>
      <c r="W12" s="64">
        <f>1-W10/W11</f>
        <v>1</v>
      </c>
      <c r="X12" s="65" t="s">
        <v>109</v>
      </c>
    </row>
    <row r="13" ht="12.75" customHeight="1">
      <c r="A13" s="3" t="str">
        <f>'Spa Manager'!A13</f>
        <v>Transition</v>
      </c>
      <c r="B13" s="4" t="str">
        <f>'Spa Manager'!B13</f>
        <v>up (Level2 ⇒ Level3)</v>
      </c>
      <c r="C13" s="46">
        <f>'Grader #1'!C13</f>
        <v>1</v>
      </c>
      <c r="D13" s="46">
        <f>'Grader #2'!C13</f>
        <v>1</v>
      </c>
      <c r="F13" s="66" t="s">
        <v>89</v>
      </c>
      <c r="G13" s="14">
        <f t="shared" ref="G13:I13" si="19">SUM(G10:G12)</f>
        <v>1</v>
      </c>
      <c r="H13" s="14">
        <f t="shared" si="19"/>
        <v>0</v>
      </c>
      <c r="I13" s="63">
        <f t="shared" si="19"/>
        <v>16</v>
      </c>
      <c r="J13" s="14">
        <f>SUM(G10:I12)</f>
        <v>17</v>
      </c>
    </row>
    <row r="14" ht="12.75" customHeight="1">
      <c r="A14" s="3" t="str">
        <f>'Spa Manager'!A14</f>
        <v>Transition</v>
      </c>
      <c r="B14" s="4" t="str">
        <f>'Spa Manager'!B14</f>
        <v>down (Level2 ⇒ Level1)</v>
      </c>
      <c r="C14" s="46">
        <f>'Grader #1'!C14</f>
        <v>1</v>
      </c>
      <c r="D14" s="46">
        <f>'Grader #2'!C14</f>
        <v>1</v>
      </c>
    </row>
    <row r="15" ht="12.75" customHeight="1">
      <c r="A15" s="3" t="str">
        <f>'Spa Manager'!A15</f>
        <v>State</v>
      </c>
      <c r="B15" s="4" t="str">
        <f>'Spa Manager'!B15</f>
        <v>Level3</v>
      </c>
      <c r="C15" s="46">
        <f>'Grader #1'!C15</f>
        <v>1</v>
      </c>
      <c r="D15" s="46">
        <f>'Grader #2'!C15</f>
        <v>1</v>
      </c>
      <c r="F15" s="43" t="s">
        <v>92</v>
      </c>
    </row>
    <row r="16" ht="12.75" customHeight="1">
      <c r="A16" s="3" t="str">
        <f>'Spa Manager'!A16</f>
        <v>Transition</v>
      </c>
      <c r="B16" s="4" t="str">
        <f>'Spa Manager'!B16</f>
        <v>down (Level3 ⇒ Level2)</v>
      </c>
      <c r="C16" s="46">
        <f>'Grader #1'!C16</f>
        <v>1</v>
      </c>
      <c r="D16" s="46">
        <f>'Grader #2'!C16</f>
        <v>1</v>
      </c>
      <c r="F16" s="14" t="s">
        <v>10</v>
      </c>
      <c r="G16" s="68" t="s">
        <v>77</v>
      </c>
      <c r="H16" s="68" t="s">
        <v>78</v>
      </c>
      <c r="I16" s="68" t="s">
        <v>79</v>
      </c>
      <c r="J16" s="69" t="s">
        <v>80</v>
      </c>
      <c r="K16" s="14"/>
      <c r="L16" s="14" t="s">
        <v>76</v>
      </c>
      <c r="M16" s="68" t="s">
        <v>77</v>
      </c>
      <c r="N16" s="68" t="s">
        <v>78</v>
      </c>
      <c r="O16" s="68" t="s">
        <v>79</v>
      </c>
      <c r="P16" s="14"/>
      <c r="Q16" s="14" t="s">
        <v>76</v>
      </c>
      <c r="R16" s="68" t="s">
        <v>77</v>
      </c>
      <c r="S16" s="68" t="s">
        <v>78</v>
      </c>
      <c r="T16" s="68" t="s">
        <v>79</v>
      </c>
      <c r="V16" s="51" t="s">
        <v>81</v>
      </c>
      <c r="W16" s="51" t="s">
        <v>82</v>
      </c>
      <c r="X16" s="51" t="s">
        <v>83</v>
      </c>
    </row>
    <row r="17" ht="12.75" customHeight="1">
      <c r="A17" s="3" t="str">
        <f>'Spa Manager'!A17</f>
        <v>History State</v>
      </c>
      <c r="B17" s="4" t="str">
        <f>'Spa Manager'!B17</f>
        <v>History State for Jacuzzi On</v>
      </c>
      <c r="C17" s="46">
        <f>'Grader #1'!C17</f>
        <v>1</v>
      </c>
      <c r="D17" s="46">
        <f>'Grader #2'!C17</f>
        <v>1</v>
      </c>
      <c r="F17" s="52">
        <v>0.0</v>
      </c>
      <c r="G17" s="53">
        <f t="shared" ref="G17:H17" si="20">COUNTIFS($A$2:$A$90,$F$16,$C$2:$C$90,$F17,$D$2:$D$90,G$16)</f>
        <v>1</v>
      </c>
      <c r="H17" s="54">
        <f t="shared" si="20"/>
        <v>1</v>
      </c>
      <c r="I17" s="55">
        <f>COUNTIFS($A$2:$A$46,$F$16,$C$2:$C$46,$F17,$D$2:$D$46,I$16) + MAX(D48-C48,0)</f>
        <v>0</v>
      </c>
      <c r="J17" s="14">
        <f t="shared" ref="J17:J19" si="24">SUM(G17:I17)</f>
        <v>2</v>
      </c>
      <c r="K17" s="14"/>
      <c r="L17" s="52">
        <v>0.0</v>
      </c>
      <c r="M17" s="53">
        <f t="shared" ref="M17:O17" si="21">ABS(G$2-$F17)/1</f>
        <v>0</v>
      </c>
      <c r="N17" s="54">
        <f t="shared" si="21"/>
        <v>0.5</v>
      </c>
      <c r="O17" s="57">
        <f t="shared" si="21"/>
        <v>1</v>
      </c>
      <c r="P17" s="14"/>
      <c r="Q17" s="52">
        <v>0.0</v>
      </c>
      <c r="R17" s="53">
        <f t="shared" ref="R17:T17" si="22">($J17/$J$20) * (G$20/$J$20)</f>
        <v>0.0078125</v>
      </c>
      <c r="S17" s="54">
        <f t="shared" si="22"/>
        <v>0.015625</v>
      </c>
      <c r="T17" s="57">
        <f t="shared" si="22"/>
        <v>0.1015625</v>
      </c>
      <c r="U17" s="14"/>
      <c r="V17" s="56" t="s">
        <v>105</v>
      </c>
      <c r="W17" s="53">
        <f>SUMPRODUCT(G17:I19, M17:O19) /$J$20</f>
        <v>0.03125</v>
      </c>
      <c r="X17" s="57" t="s">
        <v>106</v>
      </c>
    </row>
    <row r="18" ht="12.75" customHeight="1">
      <c r="A18" s="3" t="str">
        <f>'Spa Manager'!A18</f>
        <v>Transition</v>
      </c>
      <c r="B18" s="4" t="str">
        <f>'Spa Manager'!B18</f>
        <v>setPattern(PatternType type) (On⇒ History State)</v>
      </c>
      <c r="C18" s="46">
        <f>'Grader #1'!C18</f>
        <v>0.5</v>
      </c>
      <c r="D18" s="46">
        <f>'Grader #2'!C18</f>
        <v>0.5</v>
      </c>
      <c r="F18" s="52">
        <v>0.5</v>
      </c>
      <c r="G18" s="58">
        <f t="shared" ref="G18:I18" si="23">COUNTIFS($A$2:$A$90,$F$16,$C$2:$C$90,$F18,$D$2:$D$90,G$16)</f>
        <v>0</v>
      </c>
      <c r="H18" s="14">
        <f t="shared" si="23"/>
        <v>1</v>
      </c>
      <c r="I18" s="59">
        <f t="shared" si="23"/>
        <v>0</v>
      </c>
      <c r="J18" s="14">
        <f t="shared" si="24"/>
        <v>1</v>
      </c>
      <c r="K18" s="14"/>
      <c r="L18" s="52">
        <v>0.5</v>
      </c>
      <c r="M18" s="58">
        <f t="shared" ref="M18:M19" si="26">ABS(G$2-$F18)/1</f>
        <v>0.5</v>
      </c>
      <c r="N18" s="14">
        <f>ABS(H$2-$F18)/3</f>
        <v>0</v>
      </c>
      <c r="O18" s="59">
        <f>ABS(I$2-$F18)/1</f>
        <v>0.5</v>
      </c>
      <c r="P18" s="14"/>
      <c r="Q18" s="52">
        <v>0.5</v>
      </c>
      <c r="R18" s="58">
        <f t="shared" ref="R18:T18" si="25">($J18/$J$20) * (G$20/$J$20)</f>
        <v>0.00390625</v>
      </c>
      <c r="S18" s="14">
        <f t="shared" si="25"/>
        <v>0.0078125</v>
      </c>
      <c r="T18" s="59">
        <f t="shared" si="25"/>
        <v>0.05078125</v>
      </c>
      <c r="U18" s="14"/>
      <c r="V18" s="56" t="s">
        <v>107</v>
      </c>
      <c r="W18" s="58">
        <f>SUMPRODUCT(R17:T19, M17:O19)</f>
        <v>0.23828125</v>
      </c>
      <c r="X18" s="59" t="s">
        <v>108</v>
      </c>
    </row>
    <row r="19">
      <c r="A19" s="3" t="str">
        <f>'Spa Manager'!A19</f>
        <v>State</v>
      </c>
      <c r="B19" s="4" t="str">
        <f>'Spa Manager'!B19</f>
        <v>Paused</v>
      </c>
      <c r="C19" s="46">
        <f>'Grader #1'!C19</f>
        <v>1</v>
      </c>
      <c r="D19" s="46">
        <f>'Grader #2'!C19</f>
        <v>1</v>
      </c>
      <c r="F19" s="52">
        <v>1.0</v>
      </c>
      <c r="G19" s="60">
        <f>COUNTIFS($A$2:$A$46,$F$16,$C$2:$C$46,$F19,$D$2:$D$46,G$16)+MAX(C48-D48,0)</f>
        <v>0</v>
      </c>
      <c r="H19" s="61">
        <f>COUNTIFS($A$2:$A$90,$F$16,$C$2:$C$90,$F19,$D$2:$D$90,H$16)</f>
        <v>0</v>
      </c>
      <c r="I19" s="62">
        <f>COUNTIFS($A$2:$A$46,$F$16,$C$2:$C$46,$F19,$D$2:$D$46,I$16) + MIN(C48,D48)</f>
        <v>13</v>
      </c>
      <c r="J19" s="63">
        <f t="shared" si="24"/>
        <v>13</v>
      </c>
      <c r="K19" s="14"/>
      <c r="L19" s="52">
        <v>1.0</v>
      </c>
      <c r="M19" s="64">
        <f t="shared" si="26"/>
        <v>1</v>
      </c>
      <c r="N19" s="61">
        <f t="shared" ref="N19:O19" si="27">ABS(H$2-$F19)/1</f>
        <v>0.5</v>
      </c>
      <c r="O19" s="65">
        <f t="shared" si="27"/>
        <v>0</v>
      </c>
      <c r="P19" s="14"/>
      <c r="Q19" s="52">
        <v>1.0</v>
      </c>
      <c r="R19" s="64">
        <f t="shared" ref="R19:T19" si="28">($J19/$J$20) * (G$20/$J$20)</f>
        <v>0.05078125</v>
      </c>
      <c r="S19" s="61">
        <f t="shared" si="28"/>
        <v>0.1015625</v>
      </c>
      <c r="T19" s="65">
        <f t="shared" si="28"/>
        <v>0.66015625</v>
      </c>
      <c r="U19" s="14"/>
      <c r="V19" s="56" t="s">
        <v>75</v>
      </c>
      <c r="W19" s="64">
        <f>1-W17/W18</f>
        <v>0.868852459</v>
      </c>
      <c r="X19" s="65" t="s">
        <v>109</v>
      </c>
    </row>
    <row r="20">
      <c r="A20" s="3" t="str">
        <f>'Spa Manager'!A20</f>
        <v>Transition</v>
      </c>
      <c r="B20" s="4" t="str">
        <f>'Spa Manager'!B20</f>
        <v>pause (On⇒ Pause)</v>
      </c>
      <c r="C20" s="46">
        <f>'Grader #1'!C20</f>
        <v>0</v>
      </c>
      <c r="D20" s="46">
        <f>'Grader #2'!C20</f>
        <v>0.5</v>
      </c>
      <c r="F20" s="66" t="s">
        <v>89</v>
      </c>
      <c r="G20" s="14">
        <f t="shared" ref="G20:I20" si="29">SUM(G17:G19)</f>
        <v>1</v>
      </c>
      <c r="H20" s="14">
        <f t="shared" si="29"/>
        <v>2</v>
      </c>
      <c r="I20" s="63">
        <f t="shared" si="29"/>
        <v>13</v>
      </c>
      <c r="J20" s="14">
        <f>SUM(G17:I19)</f>
        <v>16</v>
      </c>
    </row>
    <row r="21" ht="12.75" customHeight="1">
      <c r="A21" s="3" t="str">
        <f>'Spa Manager'!A21</f>
        <v>Transition</v>
      </c>
      <c r="B21" s="4" t="str">
        <f>'Spa Manager'!B21</f>
        <v>after 2min  (Paused ⇒ History State)</v>
      </c>
      <c r="C21" s="46">
        <f>'Grader #1'!C21</f>
        <v>1</v>
      </c>
      <c r="D21" s="46">
        <f>'Grader #2'!C21</f>
        <v>1</v>
      </c>
    </row>
    <row r="22" ht="12.75" customHeight="1">
      <c r="A22" s="3" t="str">
        <f>'Spa Manager'!A22</f>
        <v>Region</v>
      </c>
      <c r="B22" s="4" t="str">
        <f>'Spa Manager'!B22</f>
        <v>Sauna</v>
      </c>
      <c r="C22" s="46">
        <f>'Grader #1'!C22</f>
        <v>1</v>
      </c>
      <c r="D22" s="46">
        <f>'Grader #2'!C22</f>
        <v>1</v>
      </c>
      <c r="F22" s="43" t="s">
        <v>94</v>
      </c>
    </row>
    <row r="23" ht="12.75" customHeight="1">
      <c r="A23" s="3" t="str">
        <f>'Spa Manager'!A23</f>
        <v>State</v>
      </c>
      <c r="B23" s="4" t="str">
        <f>'Spa Manager'!B23</f>
        <v>initial state (Sauna → Off)</v>
      </c>
      <c r="C23" s="46">
        <f>'Grader #1'!C23</f>
        <v>1</v>
      </c>
      <c r="D23" s="46">
        <f>'Grader #2'!C23</f>
        <v>1</v>
      </c>
      <c r="F23" s="14" t="s">
        <v>2</v>
      </c>
      <c r="G23" s="68" t="s">
        <v>77</v>
      </c>
      <c r="H23" s="68" t="s">
        <v>78</v>
      </c>
      <c r="I23" s="68" t="s">
        <v>79</v>
      </c>
      <c r="J23" s="69" t="s">
        <v>80</v>
      </c>
      <c r="K23" s="14"/>
      <c r="L23" s="14" t="s">
        <v>76</v>
      </c>
      <c r="M23" s="68" t="s">
        <v>77</v>
      </c>
      <c r="N23" s="68" t="s">
        <v>78</v>
      </c>
      <c r="O23" s="68" t="s">
        <v>79</v>
      </c>
      <c r="P23" s="14"/>
      <c r="Q23" s="14" t="s">
        <v>76</v>
      </c>
      <c r="R23" s="68" t="s">
        <v>77</v>
      </c>
      <c r="S23" s="68" t="s">
        <v>78</v>
      </c>
      <c r="T23" s="68" t="s">
        <v>79</v>
      </c>
      <c r="V23" s="51" t="s">
        <v>81</v>
      </c>
      <c r="W23" s="51" t="s">
        <v>82</v>
      </c>
      <c r="X23" s="51" t="s">
        <v>83</v>
      </c>
    </row>
    <row r="24" ht="12.75" customHeight="1">
      <c r="A24" s="3" t="str">
        <f>'Spa Manager'!A24</f>
        <v>State</v>
      </c>
      <c r="B24" s="4" t="str">
        <f>'Spa Manager'!B24</f>
        <v>Off</v>
      </c>
      <c r="C24" s="46">
        <f>'Grader #1'!C24</f>
        <v>1</v>
      </c>
      <c r="D24" s="46">
        <f>'Grader #2'!C24</f>
        <v>1</v>
      </c>
      <c r="F24" s="52">
        <v>0.0</v>
      </c>
      <c r="G24" s="53">
        <f t="shared" ref="G24:H24" si="30">COUNTIFS($A$2:$A$90,$F$23,$C$2:$C$90,$F24,$D$2:$D$90,G$23)</f>
        <v>1</v>
      </c>
      <c r="H24" s="54">
        <f t="shared" si="30"/>
        <v>0</v>
      </c>
      <c r="I24" s="55">
        <f>COUNTIFS($A$2:$A$46,$F$23,$C$2:$C$46,$F24,$D$2:$D$46,I$23) + MAX(D51-C51,0)</f>
        <v>0</v>
      </c>
      <c r="J24" s="14">
        <f t="shared" ref="J24:J26" si="34">SUM(G24:I24)</f>
        <v>1</v>
      </c>
      <c r="K24" s="14"/>
      <c r="L24" s="52">
        <v>0.0</v>
      </c>
      <c r="M24" s="53">
        <f t="shared" ref="M24:O24" si="31">ABS(G$2-$F24)/1</f>
        <v>0</v>
      </c>
      <c r="N24" s="54">
        <f t="shared" si="31"/>
        <v>0.5</v>
      </c>
      <c r="O24" s="57">
        <f t="shared" si="31"/>
        <v>1</v>
      </c>
      <c r="P24" s="14"/>
      <c r="Q24" s="52">
        <v>0.0</v>
      </c>
      <c r="R24" s="53">
        <f t="shared" ref="R24:T24" si="32">($J24/$J$27) * (G$27/$J$27)</f>
        <v>0.0625</v>
      </c>
      <c r="S24" s="54">
        <f t="shared" si="32"/>
        <v>0</v>
      </c>
      <c r="T24" s="57">
        <f t="shared" si="32"/>
        <v>0.1875</v>
      </c>
      <c r="U24" s="14"/>
      <c r="V24" s="56" t="s">
        <v>105</v>
      </c>
      <c r="W24" s="53">
        <f>SUMPRODUCT(G24:I26, M24:O26) /$J$27</f>
        <v>0</v>
      </c>
      <c r="X24" s="57" t="s">
        <v>106</v>
      </c>
    </row>
    <row r="25" ht="12.75" customHeight="1">
      <c r="A25" s="3" t="str">
        <f>'Spa Manager'!A25</f>
        <v>Composite State</v>
      </c>
      <c r="B25" s="4" t="str">
        <f>'Spa Manager'!B25</f>
        <v>On (Sauna)</v>
      </c>
      <c r="C25" s="46">
        <f>'Grader #1'!C25</f>
        <v>1</v>
      </c>
      <c r="D25" s="46">
        <f>'Grader #2'!C25</f>
        <v>1</v>
      </c>
      <c r="F25" s="52">
        <v>0.5</v>
      </c>
      <c r="G25" s="58">
        <f t="shared" ref="G25:I25" si="33">COUNTIFS($A$2:$A$90,$F$23,$C$2:$C$90,$F25,$D$2:$D$90,G$23)</f>
        <v>0</v>
      </c>
      <c r="H25" s="14">
        <f t="shared" si="33"/>
        <v>0</v>
      </c>
      <c r="I25" s="59">
        <f t="shared" si="33"/>
        <v>0</v>
      </c>
      <c r="J25" s="14">
        <f t="shared" si="34"/>
        <v>0</v>
      </c>
      <c r="K25" s="14"/>
      <c r="L25" s="52">
        <v>0.5</v>
      </c>
      <c r="M25" s="58">
        <f t="shared" ref="M25:M26" si="36">ABS(G$2-$F25)/1</f>
        <v>0.5</v>
      </c>
      <c r="N25" s="14">
        <f>ABS(H$2-$F25)/3</f>
        <v>0</v>
      </c>
      <c r="O25" s="59">
        <f>ABS(I$2-$F25)/1</f>
        <v>0.5</v>
      </c>
      <c r="P25" s="14"/>
      <c r="Q25" s="52">
        <v>0.5</v>
      </c>
      <c r="R25" s="58">
        <f t="shared" ref="R25:T25" si="35">($J25/$J$27) * (G$27/$J$27)</f>
        <v>0</v>
      </c>
      <c r="S25" s="14">
        <f t="shared" si="35"/>
        <v>0</v>
      </c>
      <c r="T25" s="59">
        <f t="shared" si="35"/>
        <v>0</v>
      </c>
      <c r="U25" s="14"/>
      <c r="V25" s="56" t="s">
        <v>107</v>
      </c>
      <c r="W25" s="58">
        <f>SUMPRODUCT(R24:T26, M24:O26)</f>
        <v>0.375</v>
      </c>
      <c r="X25" s="59" t="s">
        <v>108</v>
      </c>
    </row>
    <row r="26" ht="12.75" customHeight="1">
      <c r="A26" s="3" t="str">
        <f>'Spa Manager'!A26</f>
        <v>Transition</v>
      </c>
      <c r="B26" s="4" t="str">
        <f>'Spa Manager'!B26</f>
        <v>on (Off ⇒ On)</v>
      </c>
      <c r="C26" s="46">
        <f>'Grader #1'!C26</f>
        <v>1</v>
      </c>
      <c r="D26" s="46">
        <f>'Grader #2'!C26</f>
        <v>1</v>
      </c>
      <c r="F26" s="52">
        <v>1.0</v>
      </c>
      <c r="G26" s="60">
        <f>COUNTIFS($A$2:$A$46,$F$23,$C$2:$C$46,$F26,$D$2:$D$46,G$23) + MAX(C51-D51,0)</f>
        <v>0</v>
      </c>
      <c r="H26" s="61">
        <f>COUNTIFS($A$2:$A$90,$F$23,$C$2:$C$90,$F26,$D$2:$D$90,H$23)</f>
        <v>0</v>
      </c>
      <c r="I26" s="62">
        <f>COUNTIFS($A$2:$A$46,$F$23,$C$2:$C$46,$F26,$D$2:$D$46,I$23) + MIN(C51,D51)</f>
        <v>3</v>
      </c>
      <c r="J26" s="63">
        <f t="shared" si="34"/>
        <v>3</v>
      </c>
      <c r="K26" s="14"/>
      <c r="L26" s="52">
        <v>1.0</v>
      </c>
      <c r="M26" s="64">
        <f t="shared" si="36"/>
        <v>1</v>
      </c>
      <c r="N26" s="61">
        <f t="shared" ref="N26:O26" si="37">ABS(H$2-$F26)/1</f>
        <v>0.5</v>
      </c>
      <c r="O26" s="65">
        <f t="shared" si="37"/>
        <v>0</v>
      </c>
      <c r="P26" s="14"/>
      <c r="Q26" s="52">
        <v>1.0</v>
      </c>
      <c r="R26" s="64">
        <f t="shared" ref="R26:T26" si="38">($J26/$J$27) * (G$27/$J$27)</f>
        <v>0.1875</v>
      </c>
      <c r="S26" s="61">
        <f t="shared" si="38"/>
        <v>0</v>
      </c>
      <c r="T26" s="65">
        <f t="shared" si="38"/>
        <v>0.5625</v>
      </c>
      <c r="U26" s="14"/>
      <c r="V26" s="56" t="s">
        <v>75</v>
      </c>
      <c r="W26" s="64">
        <f>1-W24/W25</f>
        <v>1</v>
      </c>
      <c r="X26" s="65" t="s">
        <v>109</v>
      </c>
    </row>
    <row r="27" ht="12.75" customHeight="1">
      <c r="A27" s="3" t="str">
        <f>'Spa Manager'!A27</f>
        <v>Transition</v>
      </c>
      <c r="B27" s="4" t="str">
        <f>'Spa Manager'!B27</f>
        <v>off (On ⇒ Off)</v>
      </c>
      <c r="C27" s="46">
        <f>'Grader #1'!C27</f>
        <v>1</v>
      </c>
      <c r="D27" s="46">
        <f>'Grader #2'!C27</f>
        <v>1</v>
      </c>
      <c r="F27" s="66" t="s">
        <v>89</v>
      </c>
      <c r="G27" s="14">
        <f t="shared" ref="G27:I27" si="39">SUM(G24:G26)</f>
        <v>1</v>
      </c>
      <c r="H27" s="14">
        <f t="shared" si="39"/>
        <v>0</v>
      </c>
      <c r="I27" s="63">
        <f t="shared" si="39"/>
        <v>3</v>
      </c>
      <c r="J27" s="14">
        <f>SUM(G24:I26)</f>
        <v>4</v>
      </c>
    </row>
    <row r="28" ht="12.75" customHeight="1">
      <c r="A28" s="3" t="str">
        <f>'Spa Manager'!A28</f>
        <v>Region</v>
      </c>
      <c r="B28" s="4" t="str">
        <f>'Spa Manager'!B28</f>
        <v>Heater</v>
      </c>
      <c r="C28" s="46">
        <f>'Grader #1'!C28</f>
        <v>1</v>
      </c>
      <c r="D28" s="46">
        <f>'Grader #2'!C28</f>
        <v>1</v>
      </c>
    </row>
    <row r="29" ht="12.75" customHeight="1">
      <c r="A29" s="3" t="str">
        <f>'Spa Manager'!A29</f>
        <v>State</v>
      </c>
      <c r="B29" s="4" t="str">
        <f>'Spa Manager'!B29</f>
        <v>initial state (Heater → Heat)</v>
      </c>
      <c r="C29" s="46">
        <f>'Grader #1'!C29</f>
        <v>1</v>
      </c>
      <c r="D29" s="46">
        <f>'Grader #2'!C29</f>
        <v>1</v>
      </c>
      <c r="F29" s="43" t="s">
        <v>96</v>
      </c>
    </row>
    <row r="30" ht="12.75" customHeight="1">
      <c r="A30" s="3" t="str">
        <f>'Spa Manager'!A30</f>
        <v>State</v>
      </c>
      <c r="B30" s="4" t="str">
        <f>'Spa Manager'!B30</f>
        <v>Heat</v>
      </c>
      <c r="C30" s="46">
        <f>'Grader #1'!C30</f>
        <v>1</v>
      </c>
      <c r="D30" s="46">
        <f>'Grader #2'!C30</f>
        <v>1</v>
      </c>
      <c r="F30" s="14" t="s">
        <v>34</v>
      </c>
      <c r="G30" s="68" t="s">
        <v>77</v>
      </c>
      <c r="H30" s="68" t="s">
        <v>78</v>
      </c>
      <c r="I30" s="68" t="s">
        <v>79</v>
      </c>
      <c r="J30" s="69" t="s">
        <v>80</v>
      </c>
      <c r="K30" s="14"/>
      <c r="L30" s="14" t="s">
        <v>76</v>
      </c>
      <c r="M30" s="68">
        <v>0.0</v>
      </c>
      <c r="N30" s="68" t="s">
        <v>78</v>
      </c>
      <c r="O30" s="68" t="s">
        <v>79</v>
      </c>
      <c r="P30" s="14"/>
      <c r="Q30" s="14" t="s">
        <v>76</v>
      </c>
      <c r="R30" s="68" t="s">
        <v>77</v>
      </c>
      <c r="S30" s="68" t="s">
        <v>78</v>
      </c>
      <c r="T30" s="68" t="s">
        <v>79</v>
      </c>
      <c r="V30" s="51" t="s">
        <v>81</v>
      </c>
      <c r="W30" s="51" t="s">
        <v>82</v>
      </c>
      <c r="X30" s="51" t="s">
        <v>83</v>
      </c>
    </row>
    <row r="31" ht="12.75" customHeight="1">
      <c r="A31" s="3" t="str">
        <f>'Spa Manager'!A31</f>
        <v>Transition</v>
      </c>
      <c r="B31" s="4" t="str">
        <f>'Spa Manager'!B31</f>
        <v>Heat ⇒ Idle</v>
      </c>
      <c r="C31" s="46">
        <f>'Grader #1'!C31</f>
        <v>1</v>
      </c>
      <c r="D31" s="46">
        <f>'Grader #2'!C31</f>
        <v>1</v>
      </c>
      <c r="F31" s="52">
        <v>0.0</v>
      </c>
      <c r="G31" s="53">
        <f t="shared" ref="G31:H31" si="40">COUNTIFS($A$2:$A$90,$F$30,$C$2:$C$90,$F31,$D$2:$D$90,G$30)</f>
        <v>1</v>
      </c>
      <c r="H31" s="54">
        <f t="shared" si="40"/>
        <v>0</v>
      </c>
      <c r="I31" s="55">
        <f>COUNTIFS($A$2:$A$46,$F$30,$C$2:$C$46,$F31,$D$2:$D$46,I$30) + MAX(D49-C49,0)</f>
        <v>0</v>
      </c>
      <c r="J31" s="14">
        <f t="shared" ref="J31:J33" si="44">SUM(G31:I31)</f>
        <v>1</v>
      </c>
      <c r="K31" s="14"/>
      <c r="L31" s="52">
        <v>0.0</v>
      </c>
      <c r="M31" s="53">
        <f t="shared" ref="M31:O31" si="41">ABS(G$2-$F31)/1</f>
        <v>0</v>
      </c>
      <c r="N31" s="54">
        <f t="shared" si="41"/>
        <v>0.5</v>
      </c>
      <c r="O31" s="57">
        <f t="shared" si="41"/>
        <v>1</v>
      </c>
      <c r="P31" s="14"/>
      <c r="Q31" s="52">
        <v>0.0</v>
      </c>
      <c r="R31" s="53">
        <f t="shared" ref="R31:T31" si="42">($J31/$J$34) * (G$34/$J$34)</f>
        <v>0.04</v>
      </c>
      <c r="S31" s="54">
        <f t="shared" si="42"/>
        <v>0</v>
      </c>
      <c r="T31" s="57">
        <f t="shared" si="42"/>
        <v>0.16</v>
      </c>
      <c r="U31" s="14"/>
      <c r="V31" s="56" t="s">
        <v>105</v>
      </c>
      <c r="W31" s="53">
        <f>SUMPRODUCT(G31:I33, M31:O33) /$J$34</f>
        <v>0</v>
      </c>
      <c r="X31" s="57" t="s">
        <v>106</v>
      </c>
    </row>
    <row r="32" ht="12.75" customHeight="1">
      <c r="A32" s="3" t="str">
        <f>'Spa Manager'!A32</f>
        <v>Guard</v>
      </c>
      <c r="B32" s="4" t="str">
        <f>'Spa Manager'!B32</f>
        <v>[temp ≥ 90°C]</v>
      </c>
      <c r="C32" s="46">
        <f>'Grader #1'!C32</f>
        <v>1</v>
      </c>
      <c r="D32" s="46">
        <f>'Grader #2'!C32</f>
        <v>1</v>
      </c>
      <c r="F32" s="52">
        <v>0.5</v>
      </c>
      <c r="G32" s="58">
        <f t="shared" ref="G32:I32" si="43">COUNTIFS($A$2:$A$90,$F$30,$C$2:$C$90,$F32,$D$2:$D$90,G$30)</f>
        <v>0</v>
      </c>
      <c r="H32" s="14">
        <f t="shared" si="43"/>
        <v>0</v>
      </c>
      <c r="I32" s="59">
        <f t="shared" si="43"/>
        <v>0</v>
      </c>
      <c r="J32" s="14">
        <f t="shared" si="44"/>
        <v>0</v>
      </c>
      <c r="K32" s="14"/>
      <c r="L32" s="52">
        <v>0.5</v>
      </c>
      <c r="M32" s="58">
        <f t="shared" ref="M32:M33" si="46">ABS(G$2-$F32)/1</f>
        <v>0.5</v>
      </c>
      <c r="N32" s="14">
        <f>ABS(H$2-$F32)/3</f>
        <v>0</v>
      </c>
      <c r="O32" s="59">
        <f>ABS(I$2-$F32)/1</f>
        <v>0.5</v>
      </c>
      <c r="P32" s="14"/>
      <c r="Q32" s="52">
        <v>0.5</v>
      </c>
      <c r="R32" s="58">
        <f t="shared" ref="R32:T32" si="45">($J32/$J$34) * (G$34/$J$34)</f>
        <v>0</v>
      </c>
      <c r="S32" s="14">
        <f t="shared" si="45"/>
        <v>0</v>
      </c>
      <c r="T32" s="59">
        <f t="shared" si="45"/>
        <v>0</v>
      </c>
      <c r="U32" s="14"/>
      <c r="V32" s="56" t="s">
        <v>107</v>
      </c>
      <c r="W32" s="58">
        <f>SUMPRODUCT(R31:T33, M31:O33)</f>
        <v>0.32</v>
      </c>
      <c r="X32" s="59" t="s">
        <v>108</v>
      </c>
    </row>
    <row r="33" ht="12.75" customHeight="1">
      <c r="A33" s="3" t="str">
        <f>'Spa Manager'!A33</f>
        <v>State</v>
      </c>
      <c r="B33" s="4" t="str">
        <f>'Spa Manager'!B33</f>
        <v>Idle</v>
      </c>
      <c r="C33" s="46">
        <f>'Grader #1'!C33</f>
        <v>1</v>
      </c>
      <c r="D33" s="46">
        <f>'Grader #2'!C33</f>
        <v>1</v>
      </c>
      <c r="F33" s="52">
        <v>1.0</v>
      </c>
      <c r="G33" s="60">
        <f>COUNTIFS($A$2:$A$46,$F$30,$C$2:$C$46,$F33,$D$2:$D$46,G$30) + MAX(C49-D49,0)</f>
        <v>0</v>
      </c>
      <c r="H33" s="61">
        <f>COUNTIFS($A$2:$A$90,$F$30,$C$2:$C$90,$F33,$D$2:$D$90,H$30)</f>
        <v>0</v>
      </c>
      <c r="I33" s="62">
        <f>COUNTIFS($A$2:$A$46,$F$30,$C$2:$C$46,$F33,$D$2:$D$46,I$30) + MIN(C49,D49)</f>
        <v>4</v>
      </c>
      <c r="J33" s="63">
        <f t="shared" si="44"/>
        <v>4</v>
      </c>
      <c r="K33" s="14"/>
      <c r="L33" s="52">
        <v>1.0</v>
      </c>
      <c r="M33" s="64">
        <f t="shared" si="46"/>
        <v>1</v>
      </c>
      <c r="N33" s="61">
        <f t="shared" ref="N33:O33" si="47">ABS(H$2-$F33)/1</f>
        <v>0.5</v>
      </c>
      <c r="O33" s="65">
        <f t="shared" si="47"/>
        <v>0</v>
      </c>
      <c r="P33" s="14"/>
      <c r="Q33" s="52">
        <v>1.0</v>
      </c>
      <c r="R33" s="64">
        <f t="shared" ref="R33:T33" si="48">($J33/$J$34) * (G$34/$J$34)</f>
        <v>0.16</v>
      </c>
      <c r="S33" s="61">
        <f t="shared" si="48"/>
        <v>0</v>
      </c>
      <c r="T33" s="65">
        <f t="shared" si="48"/>
        <v>0.64</v>
      </c>
      <c r="U33" s="14"/>
      <c r="V33" s="56" t="s">
        <v>75</v>
      </c>
      <c r="W33" s="64">
        <f>1-W31/W32</f>
        <v>1</v>
      </c>
      <c r="X33" s="65" t="s">
        <v>109</v>
      </c>
    </row>
    <row r="34" ht="12.75" customHeight="1">
      <c r="A34" s="3" t="str">
        <f>'Spa Manager'!A34</f>
        <v>Transition</v>
      </c>
      <c r="B34" s="4" t="str">
        <f>'Spa Manager'!B34</f>
        <v>Idle ⇒ Heat</v>
      </c>
      <c r="C34" s="46">
        <f>'Grader #1'!C34</f>
        <v>1</v>
      </c>
      <c r="D34" s="46">
        <f>'Grader #2'!C34</f>
        <v>1</v>
      </c>
      <c r="F34" s="66" t="s">
        <v>89</v>
      </c>
      <c r="G34" s="14">
        <f t="shared" ref="G34:I34" si="49">SUM(G31:G33)</f>
        <v>1</v>
      </c>
      <c r="H34" s="14">
        <f t="shared" si="49"/>
        <v>0</v>
      </c>
      <c r="I34" s="63">
        <f t="shared" si="49"/>
        <v>4</v>
      </c>
      <c r="J34" s="14">
        <f>SUM(G31:I33)</f>
        <v>5</v>
      </c>
    </row>
    <row r="35" ht="12.75" customHeight="1">
      <c r="A35" s="3" t="str">
        <f>'Spa Manager'!A35</f>
        <v>Guard</v>
      </c>
      <c r="B35" s="4" t="str">
        <f>'Spa Manager'!B35</f>
        <v>[temp &lt; 85°C]</v>
      </c>
      <c r="C35" s="46">
        <f>'Grader #1'!C35</f>
        <v>1</v>
      </c>
      <c r="D35" s="46">
        <f>'Grader #2'!C35</f>
        <v>1</v>
      </c>
    </row>
    <row r="36" ht="12.75" customHeight="1">
      <c r="A36" s="3" t="str">
        <f>'Spa Manager'!A36</f>
        <v>Region</v>
      </c>
      <c r="B36" s="4" t="str">
        <f>'Spa Manager'!B36</f>
        <v>Fan</v>
      </c>
      <c r="C36" s="46">
        <f>'Grader #1'!C36</f>
        <v>1</v>
      </c>
      <c r="D36" s="46">
        <f>'Grader #2'!C36</f>
        <v>1</v>
      </c>
      <c r="F36" s="43" t="s">
        <v>98</v>
      </c>
    </row>
    <row r="37" ht="12.75" customHeight="1">
      <c r="A37" s="3" t="str">
        <f>'Spa Manager'!A37</f>
        <v>State</v>
      </c>
      <c r="B37" s="4" t="str">
        <f>'Spa Manager'!B37</f>
        <v>initial state (Fan → Off)</v>
      </c>
      <c r="C37" s="46">
        <f>'Grader #1'!C37</f>
        <v>1</v>
      </c>
      <c r="D37" s="46">
        <f>'Grader #2'!C37</f>
        <v>1</v>
      </c>
      <c r="F37" s="14" t="s">
        <v>48</v>
      </c>
      <c r="G37" s="68" t="s">
        <v>77</v>
      </c>
      <c r="H37" s="68" t="s">
        <v>78</v>
      </c>
      <c r="I37" s="68" t="s">
        <v>79</v>
      </c>
      <c r="J37" s="69" t="s">
        <v>80</v>
      </c>
      <c r="K37" s="14"/>
      <c r="L37" s="14" t="s">
        <v>76</v>
      </c>
      <c r="M37" s="68" t="s">
        <v>77</v>
      </c>
      <c r="N37" s="68" t="s">
        <v>78</v>
      </c>
      <c r="O37" s="68" t="s">
        <v>79</v>
      </c>
      <c r="P37" s="14"/>
      <c r="Q37" s="74" t="s">
        <v>76</v>
      </c>
      <c r="R37" s="75" t="s">
        <v>77</v>
      </c>
      <c r="S37" s="75" t="s">
        <v>78</v>
      </c>
      <c r="T37" s="75" t="s">
        <v>79</v>
      </c>
      <c r="V37" s="51" t="s">
        <v>81</v>
      </c>
      <c r="W37" s="51" t="s">
        <v>82</v>
      </c>
      <c r="X37" s="51" t="s">
        <v>83</v>
      </c>
    </row>
    <row r="38" ht="12.75" customHeight="1">
      <c r="A38" s="3" t="str">
        <f>'Spa Manager'!A38</f>
        <v>State</v>
      </c>
      <c r="B38" s="4" t="str">
        <f>'Spa Manager'!B38</f>
        <v>Off</v>
      </c>
      <c r="C38" s="46">
        <f>'Grader #1'!C38</f>
        <v>1</v>
      </c>
      <c r="D38" s="46">
        <f>'Grader #2'!C38</f>
        <v>1</v>
      </c>
      <c r="E38" s="6"/>
      <c r="F38" s="52">
        <v>0.0</v>
      </c>
      <c r="G38" s="53">
        <f t="shared" ref="G38:H38" si="50">COUNTIFS($A$2:$A$90,$F$37,$C$2:$C$90,$F38,$D$2:$D$90,G$37)</f>
        <v>1</v>
      </c>
      <c r="H38" s="54">
        <f t="shared" si="50"/>
        <v>0</v>
      </c>
      <c r="I38" s="55">
        <f>COUNTIFS($A$2:$A$46,$F$37,$C$2:$C$46,$F38,$D$2:$D$46,I$37)+MAX(D50-C50,0)</f>
        <v>0</v>
      </c>
      <c r="J38" s="14">
        <f t="shared" ref="J38:J40" si="54">SUM(G38:I38)</f>
        <v>1</v>
      </c>
      <c r="K38" s="14"/>
      <c r="L38" s="52">
        <v>0.0</v>
      </c>
      <c r="M38" s="53">
        <f t="shared" ref="M38:O38" si="51">ABS(G$2-$F38)/1</f>
        <v>0</v>
      </c>
      <c r="N38" s="54">
        <f t="shared" si="51"/>
        <v>0.5</v>
      </c>
      <c r="O38" s="57">
        <f t="shared" si="51"/>
        <v>1</v>
      </c>
      <c r="P38" s="14"/>
      <c r="Q38" s="76">
        <v>0.0</v>
      </c>
      <c r="R38" s="77">
        <f t="shared" ref="R38:T38" si="52">($J38/$J$27) * (G$27/$J$27)</f>
        <v>0.0625</v>
      </c>
      <c r="S38" s="78">
        <f t="shared" si="52"/>
        <v>0</v>
      </c>
      <c r="T38" s="79">
        <f t="shared" si="52"/>
        <v>0.1875</v>
      </c>
      <c r="U38" s="14"/>
      <c r="V38" s="56" t="s">
        <v>105</v>
      </c>
      <c r="W38" s="53">
        <f>SUMPRODUCT(G38:I40, M38:O40) /$J$41</f>
        <v>0</v>
      </c>
      <c r="X38" s="57" t="s">
        <v>106</v>
      </c>
    </row>
    <row r="39" ht="15.0" customHeight="1">
      <c r="A39" s="3" t="str">
        <f>'Spa Manager'!A39</f>
        <v>Transition</v>
      </c>
      <c r="B39" s="4" t="str">
        <f>'Spa Manager'!B39</f>
        <v>Off ⇒ On</v>
      </c>
      <c r="C39" s="46">
        <f>'Grader #1'!C39</f>
        <v>1</v>
      </c>
      <c r="D39" s="46">
        <f>'Grader #2'!C39</f>
        <v>1</v>
      </c>
      <c r="E39" s="6"/>
      <c r="F39" s="52">
        <v>0.5</v>
      </c>
      <c r="G39" s="58">
        <f t="shared" ref="G39:I39" si="53">COUNTIFS($A$2:$A$90,$F$37,$C$2:$C$90,$F39,$D$2:$D$90,G$37)</f>
        <v>0</v>
      </c>
      <c r="H39" s="14">
        <f t="shared" si="53"/>
        <v>0</v>
      </c>
      <c r="I39" s="59">
        <f t="shared" si="53"/>
        <v>0</v>
      </c>
      <c r="J39" s="14">
        <f t="shared" si="54"/>
        <v>0</v>
      </c>
      <c r="K39" s="14"/>
      <c r="L39" s="52">
        <v>0.5</v>
      </c>
      <c r="M39" s="58">
        <f t="shared" ref="M39:M40" si="56">ABS(G$2-$F39)/1</f>
        <v>0.5</v>
      </c>
      <c r="N39" s="14">
        <f>ABS(H$2-$F39)/3</f>
        <v>0</v>
      </c>
      <c r="O39" s="59">
        <f>ABS(I$2-$F39)/1</f>
        <v>0.5</v>
      </c>
      <c r="P39" s="14"/>
      <c r="Q39" s="76">
        <v>0.5</v>
      </c>
      <c r="R39" s="80">
        <f t="shared" ref="R39:T39" si="55">($J39/$J$27) * (G$27/$J$27)</f>
        <v>0</v>
      </c>
      <c r="S39" s="74">
        <f t="shared" si="55"/>
        <v>0</v>
      </c>
      <c r="T39" s="81">
        <f t="shared" si="55"/>
        <v>0</v>
      </c>
      <c r="U39" s="14"/>
      <c r="V39" s="56" t="s">
        <v>107</v>
      </c>
      <c r="W39" s="58">
        <f>SUMPRODUCT(R38:T40, M38:O40)</f>
        <v>0.1875</v>
      </c>
      <c r="X39" s="59" t="s">
        <v>108</v>
      </c>
    </row>
    <row r="40" ht="15.0" customHeight="1">
      <c r="A40" s="3" t="str">
        <f>'Spa Manager'!A40</f>
        <v>Guard</v>
      </c>
      <c r="B40" s="4" t="str">
        <f>'Spa Manager'!B40</f>
        <v>[humidity &gt; 40% &amp;&amp; exceedTime &gt; 3min]</v>
      </c>
      <c r="C40" s="46">
        <f>'Grader #1'!C40</f>
        <v>1</v>
      </c>
      <c r="D40" s="46">
        <f>'Grader #2'!C40</f>
        <v>1</v>
      </c>
      <c r="E40" s="6"/>
      <c r="F40" s="52">
        <v>1.0</v>
      </c>
      <c r="G40" s="60">
        <f>COUNTIFS($A$2:$A$46,$F$37,$C$2:$C$46,$F40,$D$2:$D$46,G$37)+MAX(C50-D50,0)</f>
        <v>0</v>
      </c>
      <c r="H40" s="61">
        <f>COUNTIFS($A$2:$A$90,$F$37,$C$2:$C$90,$F40,$D$2:$D$90,H$37)</f>
        <v>0</v>
      </c>
      <c r="I40" s="62">
        <f>COUNTIFS($A$2:$A$46,$F$37,$C$2:$C$46,$F40,$D$2:$D$46,I$37) + MIN(C50,D50)</f>
        <v>0</v>
      </c>
      <c r="J40" s="63">
        <f t="shared" si="54"/>
        <v>0</v>
      </c>
      <c r="K40" s="14"/>
      <c r="L40" s="52">
        <v>1.0</v>
      </c>
      <c r="M40" s="64">
        <f t="shared" si="56"/>
        <v>1</v>
      </c>
      <c r="N40" s="61">
        <f t="shared" ref="N40:O40" si="57">ABS(H$2-$F40)/1</f>
        <v>0.5</v>
      </c>
      <c r="O40" s="65">
        <f t="shared" si="57"/>
        <v>0</v>
      </c>
      <c r="P40" s="14"/>
      <c r="Q40" s="76">
        <v>1.0</v>
      </c>
      <c r="R40" s="82">
        <f t="shared" ref="R40:T40" si="58">($J40/$J$27) * (G$27/$J$27)</f>
        <v>0</v>
      </c>
      <c r="S40" s="83">
        <f t="shared" si="58"/>
        <v>0</v>
      </c>
      <c r="T40" s="84">
        <f t="shared" si="58"/>
        <v>0</v>
      </c>
      <c r="U40" s="14"/>
      <c r="V40" s="56" t="s">
        <v>75</v>
      </c>
      <c r="W40" s="64">
        <f>1-W38/W39</f>
        <v>1</v>
      </c>
      <c r="X40" s="65" t="s">
        <v>109</v>
      </c>
    </row>
    <row r="41" ht="15.0" customHeight="1">
      <c r="A41" s="3" t="str">
        <f>'Spa Manager'!A41</f>
        <v>Region</v>
      </c>
      <c r="B41" s="4" t="str">
        <f>'Spa Manager'!B41</f>
        <v>Water</v>
      </c>
      <c r="C41" s="46">
        <f>'Grader #1'!C41</f>
        <v>1</v>
      </c>
      <c r="D41" s="46">
        <f>'Grader #2'!C41</f>
        <v>1</v>
      </c>
      <c r="E41" s="6"/>
      <c r="F41" s="66" t="s">
        <v>89</v>
      </c>
      <c r="G41" s="14">
        <f t="shared" ref="G41:I41" si="59">SUM(G38:G40)</f>
        <v>1</v>
      </c>
      <c r="H41" s="14">
        <f t="shared" si="59"/>
        <v>0</v>
      </c>
      <c r="I41" s="63">
        <f t="shared" si="59"/>
        <v>0</v>
      </c>
      <c r="J41" s="14">
        <f>SUM(G38:I40)</f>
        <v>1</v>
      </c>
    </row>
    <row r="42" ht="15.0" customHeight="1">
      <c r="A42" s="3" t="str">
        <f>'Spa Manager'!A42</f>
        <v>State</v>
      </c>
      <c r="B42" s="4" t="str">
        <f>'Spa Manager'!B42</f>
        <v>initial state (Water → Idle)</v>
      </c>
      <c r="C42" s="46">
        <f>'Grader #1'!C42</f>
        <v>1</v>
      </c>
      <c r="D42" s="46">
        <f>'Grader #2'!C42</f>
        <v>1</v>
      </c>
      <c r="E42" s="6"/>
    </row>
    <row r="43" ht="15.0" customHeight="1">
      <c r="A43" s="3" t="str">
        <f>'Spa Manager'!A43</f>
        <v>State</v>
      </c>
      <c r="B43" s="4" t="str">
        <f>'Spa Manager'!B43</f>
        <v>Idle</v>
      </c>
      <c r="C43" s="46">
        <f>'Grader #1'!C43</f>
        <v>1</v>
      </c>
      <c r="D43" s="46">
        <f>'Grader #2'!C43</f>
        <v>1</v>
      </c>
      <c r="E43" s="6"/>
      <c r="F43" s="43" t="s">
        <v>100</v>
      </c>
    </row>
    <row r="44" ht="15.0" customHeight="1">
      <c r="A44" s="3" t="str">
        <f>'Spa Manager'!A44</f>
        <v>Transition</v>
      </c>
      <c r="B44" s="4" t="str">
        <f>'Spa Manager'!B44</f>
        <v>Idle ⇒ Idle</v>
      </c>
      <c r="C44" s="46">
        <f>'Grader #1'!C44</f>
        <v>1</v>
      </c>
      <c r="D44" s="46">
        <f>'Grader #2'!C44</f>
        <v>1</v>
      </c>
      <c r="E44" s="6"/>
      <c r="F44" s="14" t="s">
        <v>21</v>
      </c>
      <c r="G44" s="68" t="s">
        <v>77</v>
      </c>
      <c r="H44" s="68" t="s">
        <v>78</v>
      </c>
      <c r="I44" s="68" t="s">
        <v>79</v>
      </c>
      <c r="J44" s="69" t="s">
        <v>80</v>
      </c>
      <c r="K44" s="14"/>
      <c r="L44" s="14" t="s">
        <v>76</v>
      </c>
      <c r="M44" s="68" t="s">
        <v>77</v>
      </c>
      <c r="N44" s="68" t="s">
        <v>78</v>
      </c>
      <c r="O44" s="68" t="s">
        <v>79</v>
      </c>
      <c r="P44" s="14"/>
      <c r="Q44" s="14" t="s">
        <v>76</v>
      </c>
      <c r="R44" s="68" t="s">
        <v>77</v>
      </c>
      <c r="S44" s="68" t="s">
        <v>78</v>
      </c>
      <c r="T44" s="68" t="s">
        <v>79</v>
      </c>
      <c r="V44" s="51" t="s">
        <v>81</v>
      </c>
      <c r="W44" s="51" t="s">
        <v>82</v>
      </c>
      <c r="X44" s="51" t="s">
        <v>83</v>
      </c>
    </row>
    <row r="45" ht="15.0" customHeight="1">
      <c r="A45" s="3" t="str">
        <f>'Spa Manager'!A45</f>
        <v>Guard</v>
      </c>
      <c r="B45" s="8" t="str">
        <f>'Spa Manager'!B45</f>
        <v>disperse [humidity &lt; 40% &amp;&amp; !Fan.On &amp;&amp; timeSinceLast ≥ 15min]</v>
      </c>
      <c r="C45" s="85">
        <f>'Grader #1'!C45</f>
        <v>1</v>
      </c>
      <c r="D45" s="85">
        <f>'Grader #2'!C45</f>
        <v>1</v>
      </c>
      <c r="E45" s="6"/>
      <c r="F45" s="52">
        <v>0.0</v>
      </c>
      <c r="G45" s="53">
        <f t="shared" ref="G45:H45" si="60">COUNTIFS($A$2:$A$90,$F$44,$C$2:$C$90,$F45,$D$2:$D$90,G$44)</f>
        <v>1</v>
      </c>
      <c r="H45" s="54">
        <f t="shared" si="60"/>
        <v>0</v>
      </c>
      <c r="I45" s="57">
        <f>COUNTIFS($A$2:$A$46,$F$44,$C$2:$C$46,$F45,$D$2:$D$46,I$44) + MAX(D53-C53,0)</f>
        <v>0</v>
      </c>
      <c r="J45" s="14">
        <f t="shared" ref="J45:J47" si="64">SUM(G45:I45)</f>
        <v>1</v>
      </c>
      <c r="K45" s="14"/>
      <c r="L45" s="52">
        <v>0.0</v>
      </c>
      <c r="M45" s="53">
        <f t="shared" ref="M45:O45" si="61">ABS(G$2-$F45)/1</f>
        <v>0</v>
      </c>
      <c r="N45" s="54">
        <f t="shared" si="61"/>
        <v>0.5</v>
      </c>
      <c r="O45" s="57">
        <f t="shared" si="61"/>
        <v>1</v>
      </c>
      <c r="P45" s="14"/>
      <c r="Q45" s="52">
        <v>0.0</v>
      </c>
      <c r="R45" s="53">
        <f t="shared" ref="R45:T45" si="62">($J45/$J$48) * (G$48/$J$48)</f>
        <v>0.25</v>
      </c>
      <c r="S45" s="54">
        <f t="shared" si="62"/>
        <v>0</v>
      </c>
      <c r="T45" s="57">
        <f t="shared" si="62"/>
        <v>0.25</v>
      </c>
      <c r="U45" s="14"/>
      <c r="V45" s="56" t="s">
        <v>105</v>
      </c>
      <c r="W45" s="53">
        <f>SUMPRODUCT(G45:I47, M45:O47) /$J$48</f>
        <v>0</v>
      </c>
      <c r="X45" s="57" t="s">
        <v>106</v>
      </c>
    </row>
    <row r="46" ht="15.0" customHeight="1">
      <c r="A46" s="3" t="str">
        <f>'Spa Manager'!A46</f>
        <v>State</v>
      </c>
      <c r="B46" s="4" t="str">
        <f>'Spa Manager'!B46</f>
        <v>additional elements</v>
      </c>
      <c r="C46" s="46">
        <f>'Grader #1'!C46</f>
        <v>0</v>
      </c>
      <c r="D46" s="46">
        <f>'Grader #2'!C46</f>
        <v>0</v>
      </c>
      <c r="E46" s="6"/>
      <c r="F46" s="52">
        <v>0.5</v>
      </c>
      <c r="G46" s="58">
        <f t="shared" ref="G46:I46" si="63">COUNTIFS($A$2:$A$90,$F$44,$C$2:$C$90,$F46,$D$2:$D$90,G$44)</f>
        <v>0</v>
      </c>
      <c r="H46" s="14">
        <f t="shared" si="63"/>
        <v>0</v>
      </c>
      <c r="I46" s="59">
        <f t="shared" si="63"/>
        <v>0</v>
      </c>
      <c r="J46" s="14">
        <f t="shared" si="64"/>
        <v>0</v>
      </c>
      <c r="K46" s="14"/>
      <c r="L46" s="52">
        <v>0.5</v>
      </c>
      <c r="M46" s="58">
        <f t="shared" ref="M46:M47" si="66">ABS(G$2-$F46)/1</f>
        <v>0.5</v>
      </c>
      <c r="N46" s="14">
        <f>ABS(H$2-$F46)/3</f>
        <v>0</v>
      </c>
      <c r="O46" s="59">
        <f>ABS(I$2-$F46)/1</f>
        <v>0.5</v>
      </c>
      <c r="P46" s="14"/>
      <c r="Q46" s="52">
        <v>0.5</v>
      </c>
      <c r="R46" s="58">
        <f t="shared" ref="R46:T46" si="65">($J46/$J$48) * (G$48/$J$48)</f>
        <v>0</v>
      </c>
      <c r="S46" s="14">
        <f t="shared" si="65"/>
        <v>0</v>
      </c>
      <c r="T46" s="59">
        <f t="shared" si="65"/>
        <v>0</v>
      </c>
      <c r="U46" s="14"/>
      <c r="V46" s="56" t="s">
        <v>107</v>
      </c>
      <c r="W46" s="58">
        <f>SUMPRODUCT(R45:T47, M45:O47)</f>
        <v>0.5</v>
      </c>
      <c r="X46" s="59" t="s">
        <v>108</v>
      </c>
    </row>
    <row r="47" ht="15.0" customHeight="1">
      <c r="A47" s="3" t="str">
        <f>'Spa Manager'!A47</f>
        <v>Transition</v>
      </c>
      <c r="B47" s="4" t="str">
        <f>'Spa Manager'!B47</f>
        <v>additional elements</v>
      </c>
      <c r="C47" s="46">
        <f>'Grader #1'!C47</f>
        <v>0</v>
      </c>
      <c r="D47" s="46">
        <f>'Grader #2'!C47</f>
        <v>0</v>
      </c>
      <c r="E47" s="6"/>
      <c r="F47" s="52">
        <v>1.0</v>
      </c>
      <c r="G47" s="64">
        <f>COUNTIFS($A$2:$A$46,$F$44,$C$2:$C$46,$F47,$D$2:$D$46,G$44) + MAX(C53-D53,0)</f>
        <v>0</v>
      </c>
      <c r="H47" s="61">
        <f>COUNTIFS($A$2:$A$90,$F$44,$C$2:$C$90,$F47,$D$2:$D$90,H$44)</f>
        <v>0</v>
      </c>
      <c r="I47" s="65">
        <f>COUNTIFS($A$2:$A$46,$F$44,$C$2:$C$46,$F47,$D$2:$D$46,I$44) + MIN(C53,D53)</f>
        <v>1</v>
      </c>
      <c r="J47" s="14">
        <f t="shared" si="64"/>
        <v>1</v>
      </c>
      <c r="K47" s="14"/>
      <c r="L47" s="52">
        <v>1.0</v>
      </c>
      <c r="M47" s="64">
        <f t="shared" si="66"/>
        <v>1</v>
      </c>
      <c r="N47" s="61">
        <f t="shared" ref="N47:O47" si="67">ABS(H$2-$F47)/1</f>
        <v>0.5</v>
      </c>
      <c r="O47" s="65">
        <f t="shared" si="67"/>
        <v>0</v>
      </c>
      <c r="P47" s="14"/>
      <c r="Q47" s="52">
        <v>1.0</v>
      </c>
      <c r="R47" s="64">
        <f t="shared" ref="R47:T47" si="68">($J47/$J$48) * (G$48/$J$48)</f>
        <v>0.25</v>
      </c>
      <c r="S47" s="61">
        <f t="shared" si="68"/>
        <v>0</v>
      </c>
      <c r="T47" s="65">
        <f t="shared" si="68"/>
        <v>0.25</v>
      </c>
      <c r="U47" s="14"/>
      <c r="V47" s="56" t="s">
        <v>75</v>
      </c>
      <c r="W47" s="64">
        <f>1-W45/W46</f>
        <v>1</v>
      </c>
      <c r="X47" s="65" t="s">
        <v>109</v>
      </c>
    </row>
    <row r="48" ht="15.0" customHeight="1">
      <c r="A48" s="3" t="str">
        <f>'Spa Manager'!A48</f>
        <v>Guard</v>
      </c>
      <c r="B48" s="4" t="str">
        <f>'Spa Manager'!B48</f>
        <v>additional elements</v>
      </c>
      <c r="C48" s="46">
        <f>'Grader #1'!C48</f>
        <v>0</v>
      </c>
      <c r="D48" s="46">
        <f>'Grader #2'!C48</f>
        <v>0</v>
      </c>
      <c r="E48" s="6"/>
      <c r="F48" s="66" t="s">
        <v>89</v>
      </c>
      <c r="G48" s="14">
        <f t="shared" ref="G48:I48" si="69">SUM(G45:G47)</f>
        <v>1</v>
      </c>
      <c r="H48" s="14">
        <f t="shared" si="69"/>
        <v>0</v>
      </c>
      <c r="I48" s="14">
        <f t="shared" si="69"/>
        <v>1</v>
      </c>
      <c r="J48" s="14">
        <f>SUM(G45:I47)</f>
        <v>2</v>
      </c>
    </row>
    <row r="49" ht="15.0" customHeight="1">
      <c r="A49" s="3" t="str">
        <f>'Spa Manager'!A49</f>
        <v>Action</v>
      </c>
      <c r="B49" s="4" t="str">
        <f>'Spa Manager'!B49</f>
        <v>additional elements</v>
      </c>
      <c r="C49" s="46">
        <f>'Grader #1'!C49</f>
        <v>0</v>
      </c>
      <c r="D49" s="46">
        <f>'Grader #2'!C49</f>
        <v>0</v>
      </c>
      <c r="E49" s="6"/>
    </row>
    <row r="50" ht="12.75" customHeight="1">
      <c r="A50" s="3" t="str">
        <f>'Spa Manager'!A50</f>
        <v>Composite State</v>
      </c>
      <c r="B50" s="4" t="str">
        <f>'Spa Manager'!B50</f>
        <v>additional elements</v>
      </c>
      <c r="C50" s="46">
        <f>'Grader #1'!C50</f>
        <v>0</v>
      </c>
      <c r="D50" s="46">
        <f>'Grader #2'!C50</f>
        <v>0</v>
      </c>
      <c r="F50" s="43" t="s">
        <v>102</v>
      </c>
    </row>
    <row r="51" ht="12.75" customHeight="1">
      <c r="A51" s="3" t="str">
        <f>'Spa Manager'!A51</f>
        <v>Region</v>
      </c>
      <c r="B51" s="4" t="str">
        <f>'Spa Manager'!B51</f>
        <v>additional elements</v>
      </c>
      <c r="C51" s="46">
        <f>'Grader #1'!C51</f>
        <v>0</v>
      </c>
      <c r="D51" s="46">
        <f>'Grader #2'!C51</f>
        <v>0</v>
      </c>
      <c r="F51" s="14" t="s">
        <v>4</v>
      </c>
      <c r="G51" s="68" t="s">
        <v>77</v>
      </c>
      <c r="H51" s="68" t="s">
        <v>78</v>
      </c>
      <c r="I51" s="68" t="s">
        <v>79</v>
      </c>
      <c r="J51" s="69" t="s">
        <v>80</v>
      </c>
      <c r="K51" s="14"/>
      <c r="L51" s="14" t="s">
        <v>76</v>
      </c>
      <c r="M51" s="68" t="s">
        <v>77</v>
      </c>
      <c r="N51" s="68" t="s">
        <v>78</v>
      </c>
      <c r="O51" s="68" t="s">
        <v>79</v>
      </c>
      <c r="P51" s="14"/>
      <c r="Q51" s="14" t="s">
        <v>76</v>
      </c>
      <c r="R51" s="68" t="s">
        <v>77</v>
      </c>
      <c r="S51" s="68" t="s">
        <v>78</v>
      </c>
      <c r="T51" s="68" t="s">
        <v>79</v>
      </c>
      <c r="V51" s="51" t="s">
        <v>81</v>
      </c>
      <c r="W51" s="51" t="s">
        <v>82</v>
      </c>
      <c r="X51" s="51" t="s">
        <v>83</v>
      </c>
    </row>
    <row r="52" ht="12.75" customHeight="1">
      <c r="A52" s="3" t="str">
        <f>'Spa Manager'!A52</f>
        <v>History State</v>
      </c>
      <c r="B52" s="4" t="str">
        <f>'Spa Manager'!B52</f>
        <v>additional elements</v>
      </c>
      <c r="C52" s="46">
        <f>'Grader #1'!C52</f>
        <v>0</v>
      </c>
      <c r="D52" s="46">
        <f>'Grader #2'!C52</f>
        <v>0</v>
      </c>
      <c r="F52" s="52">
        <v>0.0</v>
      </c>
      <c r="G52" s="53">
        <f t="shared" ref="G52:H52" si="70">COUNTIFS($A$2:$A$90,$F$51,$C$2:$C$90,$F52,$D$2:$D$90,G$51)</f>
        <v>1</v>
      </c>
      <c r="H52" s="54">
        <f t="shared" si="70"/>
        <v>0</v>
      </c>
      <c r="I52" s="55">
        <f>COUNTIFS($A$2:$A$46,$F$51,$C$2:$C$46,$F52,$D$2:$D$46,I$51)+MAX(D52-C52,0)</f>
        <v>0</v>
      </c>
      <c r="J52" s="14">
        <f t="shared" ref="J52:J54" si="74">SUM(G52:I52)</f>
        <v>1</v>
      </c>
      <c r="K52" s="14"/>
      <c r="L52" s="52">
        <v>0.0</v>
      </c>
      <c r="M52" s="53">
        <f t="shared" ref="M52:O52" si="71">ABS(G$2-$F52)/1</f>
        <v>0</v>
      </c>
      <c r="N52" s="54">
        <f t="shared" si="71"/>
        <v>0.5</v>
      </c>
      <c r="O52" s="57">
        <f t="shared" si="71"/>
        <v>1</v>
      </c>
      <c r="P52" s="14"/>
      <c r="Q52" s="52">
        <v>0.0</v>
      </c>
      <c r="R52" s="53">
        <f t="shared" ref="R52:T52" si="72">($J52/$J$55) * (G$55/$J$55)</f>
        <v>0.02777777778</v>
      </c>
      <c r="S52" s="54">
        <f t="shared" si="72"/>
        <v>0</v>
      </c>
      <c r="T52" s="57">
        <f t="shared" si="72"/>
        <v>0.1388888889</v>
      </c>
      <c r="U52" s="14"/>
      <c r="V52" s="56" t="s">
        <v>105</v>
      </c>
      <c r="W52" s="53">
        <f>SUMPRODUCT(G52:I54, M52:O54) /$J$55</f>
        <v>0</v>
      </c>
      <c r="X52" s="57" t="s">
        <v>106</v>
      </c>
    </row>
    <row r="53" ht="12.75" customHeight="1">
      <c r="A53" s="3" t="str">
        <f>'Spa Manager'!A53</f>
        <v/>
      </c>
      <c r="B53" s="73"/>
      <c r="C53" s="14"/>
      <c r="D53" s="14"/>
      <c r="F53" s="52">
        <v>0.5</v>
      </c>
      <c r="G53" s="58">
        <f t="shared" ref="G53:I53" si="73">COUNTIFS($A$2:$A$90,$F$51,$C$2:$C$90,$F53,$D$2:$D$90,G$51)</f>
        <v>0</v>
      </c>
      <c r="H53" s="14">
        <f t="shared" si="73"/>
        <v>0</v>
      </c>
      <c r="I53" s="59">
        <f t="shared" si="73"/>
        <v>0</v>
      </c>
      <c r="J53" s="14">
        <f t="shared" si="74"/>
        <v>0</v>
      </c>
      <c r="K53" s="14"/>
      <c r="L53" s="52">
        <v>0.5</v>
      </c>
      <c r="M53" s="58">
        <f t="shared" ref="M53:M54" si="76">ABS(G$2-$F53)/1</f>
        <v>0.5</v>
      </c>
      <c r="N53" s="14">
        <f>ABS(H$2-$F53)/3</f>
        <v>0</v>
      </c>
      <c r="O53" s="59">
        <f>ABS(I$2-$F53)/1</f>
        <v>0.5</v>
      </c>
      <c r="P53" s="14"/>
      <c r="Q53" s="52">
        <v>0.5</v>
      </c>
      <c r="R53" s="58">
        <f t="shared" ref="R53:T53" si="75">($J53/$J$55) * (G$55/$J$55)</f>
        <v>0</v>
      </c>
      <c r="S53" s="14">
        <f t="shared" si="75"/>
        <v>0</v>
      </c>
      <c r="T53" s="59">
        <f t="shared" si="75"/>
        <v>0</v>
      </c>
      <c r="U53" s="14"/>
      <c r="V53" s="56" t="s">
        <v>107</v>
      </c>
      <c r="W53" s="58">
        <f>SUMPRODUCT(R52:T54, M52:O54)</f>
        <v>0.2777777778</v>
      </c>
      <c r="X53" s="59" t="s">
        <v>108</v>
      </c>
    </row>
    <row r="54" ht="12.75" customHeight="1">
      <c r="A54" s="3" t="str">
        <f>'Spa Manager'!A54</f>
        <v/>
      </c>
      <c r="B54" s="73"/>
      <c r="C54" s="14"/>
      <c r="D54" s="14"/>
      <c r="F54" s="52">
        <v>1.0</v>
      </c>
      <c r="G54" s="60">
        <f>COUNTIFS($A$2:$A$46,$F$51,$C$2:$C$46,$F54,$D$2:$D$46,G$51) + MAX(C52-D52,0)</f>
        <v>0</v>
      </c>
      <c r="H54" s="61">
        <f>COUNTIFS($A$2:$A$90,$F$51,$C$2:$C$90,$F54,$D$2:$D$90,H$51)</f>
        <v>0</v>
      </c>
      <c r="I54" s="62">
        <f>COUNTIFS($A$2:$A$46,$F$51,$C$2:$C$46,$F54,$D$2:$D$46,I$51)+MIN(C52,D52)</f>
        <v>5</v>
      </c>
      <c r="J54" s="63">
        <f t="shared" si="74"/>
        <v>5</v>
      </c>
      <c r="K54" s="14"/>
      <c r="L54" s="52">
        <v>1.0</v>
      </c>
      <c r="M54" s="64">
        <f t="shared" si="76"/>
        <v>1</v>
      </c>
      <c r="N54" s="61">
        <f t="shared" ref="N54:O54" si="77">ABS(H$2-$F54)/1</f>
        <v>0.5</v>
      </c>
      <c r="O54" s="65">
        <f t="shared" si="77"/>
        <v>0</v>
      </c>
      <c r="P54" s="14"/>
      <c r="Q54" s="52">
        <v>1.0</v>
      </c>
      <c r="R54" s="64">
        <f t="shared" ref="R54:T54" si="78">($J54/$J$55) * (G$55/$J$55)</f>
        <v>0.1388888889</v>
      </c>
      <c r="S54" s="61">
        <f t="shared" si="78"/>
        <v>0</v>
      </c>
      <c r="T54" s="65">
        <f t="shared" si="78"/>
        <v>0.6944444444</v>
      </c>
      <c r="U54" s="14"/>
      <c r="V54" s="56" t="s">
        <v>75</v>
      </c>
      <c r="W54" s="64">
        <f>1-W52/W53</f>
        <v>1</v>
      </c>
      <c r="X54" s="65" t="s">
        <v>109</v>
      </c>
    </row>
    <row r="55" ht="12.75" customHeight="1">
      <c r="A55" s="3" t="str">
        <f>'Spa Manager'!A55</f>
        <v/>
      </c>
      <c r="B55" s="73"/>
      <c r="C55" s="14"/>
      <c r="D55" s="14"/>
      <c r="F55" s="66" t="s">
        <v>89</v>
      </c>
      <c r="G55" s="14">
        <f t="shared" ref="G55:I55" si="79">SUM(G52:G54)</f>
        <v>1</v>
      </c>
      <c r="H55" s="14">
        <f t="shared" si="79"/>
        <v>0</v>
      </c>
      <c r="I55" s="63">
        <f t="shared" si="79"/>
        <v>5</v>
      </c>
      <c r="J55" s="14">
        <f>SUM(G52:I54)</f>
        <v>6</v>
      </c>
      <c r="L55" s="14"/>
      <c r="M55" s="67"/>
    </row>
    <row r="56" ht="12.75" customHeight="1">
      <c r="A56" s="3" t="str">
        <f>'Spa Manager'!A56</f>
        <v/>
      </c>
      <c r="B56" s="73"/>
      <c r="C56" s="14"/>
      <c r="D56" s="14"/>
    </row>
    <row r="57" ht="12.75" customHeight="1">
      <c r="A57" s="3" t="str">
        <f>'Spa Manager'!A57</f>
        <v/>
      </c>
      <c r="B57" s="73"/>
      <c r="C57" s="14"/>
      <c r="D57" s="14"/>
    </row>
    <row r="58" ht="12.75" customHeight="1">
      <c r="A58" s="3" t="str">
        <f>'Spa Manager'!A58</f>
        <v/>
      </c>
      <c r="B58" s="73"/>
      <c r="C58" s="14"/>
      <c r="D58" s="14"/>
    </row>
    <row r="59" ht="12.75" customHeight="1">
      <c r="A59" s="43"/>
      <c r="B59" s="73"/>
      <c r="C59" s="14"/>
      <c r="D59" s="14"/>
    </row>
    <row r="60" ht="12.75" customHeight="1">
      <c r="A60" s="43"/>
      <c r="B60" s="73"/>
      <c r="C60" s="14"/>
      <c r="D60" s="14"/>
    </row>
    <row r="61" ht="12.75" customHeight="1">
      <c r="A61" s="43"/>
      <c r="B61" s="73"/>
      <c r="C61" s="14"/>
      <c r="D61" s="14"/>
    </row>
    <row r="62" ht="12.75" customHeight="1">
      <c r="A62" s="43"/>
      <c r="B62" s="73"/>
      <c r="C62" s="14"/>
      <c r="D62" s="14"/>
    </row>
    <row r="63" ht="12.75" customHeight="1">
      <c r="A63" s="43"/>
      <c r="B63" s="73"/>
      <c r="C63" s="14"/>
      <c r="D63" s="14"/>
    </row>
    <row r="64" ht="12.75" customHeight="1">
      <c r="A64" s="43"/>
      <c r="B64" s="73"/>
      <c r="C64" s="14"/>
      <c r="D64" s="14"/>
    </row>
    <row r="65" ht="12.75" customHeight="1">
      <c r="A65" s="43"/>
      <c r="B65" s="73"/>
      <c r="C65" s="14"/>
      <c r="D65" s="14"/>
    </row>
    <row r="66" ht="12.75" customHeight="1">
      <c r="A66" s="43"/>
      <c r="B66" s="73"/>
      <c r="C66" s="14"/>
      <c r="D66" s="14"/>
    </row>
    <row r="67" ht="12.75" customHeight="1">
      <c r="A67" s="43"/>
      <c r="B67" s="73"/>
      <c r="C67" s="14"/>
      <c r="D67" s="14"/>
    </row>
    <row r="68" ht="12.75" customHeight="1">
      <c r="A68" s="43"/>
      <c r="B68" s="73"/>
      <c r="C68" s="14"/>
      <c r="D68" s="14"/>
    </row>
    <row r="69" ht="12.75" customHeight="1">
      <c r="A69" s="43"/>
      <c r="B69" s="73"/>
      <c r="C69" s="14"/>
      <c r="D69" s="14"/>
    </row>
    <row r="70" ht="12.75" customHeight="1">
      <c r="A70" s="43"/>
      <c r="B70" s="73"/>
      <c r="C70" s="14"/>
      <c r="D70" s="14"/>
    </row>
    <row r="71" ht="12.75" customHeight="1">
      <c r="A71" s="43"/>
      <c r="B71" s="73"/>
      <c r="C71" s="14"/>
      <c r="D71" s="14"/>
    </row>
    <row r="72" ht="12.75" customHeight="1">
      <c r="A72" s="43"/>
      <c r="B72" s="73"/>
      <c r="C72" s="14"/>
      <c r="D72" s="14"/>
    </row>
    <row r="73" ht="12.75" customHeight="1">
      <c r="A73" s="43"/>
      <c r="B73" s="73"/>
      <c r="C73" s="14"/>
      <c r="D73" s="14"/>
    </row>
    <row r="74" ht="12.75" customHeight="1">
      <c r="A74" s="43"/>
      <c r="B74" s="73"/>
      <c r="C74" s="14"/>
      <c r="D74" s="14"/>
    </row>
    <row r="75" ht="12.75" customHeight="1">
      <c r="A75" s="43"/>
      <c r="B75" s="73"/>
      <c r="C75" s="14"/>
      <c r="D75" s="14"/>
    </row>
    <row r="76" ht="12.75" customHeight="1">
      <c r="A76" s="43"/>
      <c r="B76" s="73"/>
      <c r="C76" s="14"/>
      <c r="D76" s="14"/>
    </row>
    <row r="77" ht="12.75" customHeight="1">
      <c r="A77" s="43"/>
      <c r="B77" s="73"/>
      <c r="C77" s="14"/>
      <c r="D77" s="14"/>
    </row>
    <row r="78" ht="12.75" customHeight="1">
      <c r="A78" s="43"/>
      <c r="B78" s="73"/>
      <c r="C78" s="14"/>
      <c r="D78" s="14"/>
    </row>
    <row r="79" ht="12.75" customHeight="1">
      <c r="A79" s="13"/>
      <c r="B79" s="73"/>
      <c r="C79" s="14"/>
      <c r="D79" s="14"/>
    </row>
    <row r="80" ht="12.75" customHeight="1">
      <c r="A80" s="13"/>
      <c r="B80" s="73"/>
      <c r="C80" s="14"/>
      <c r="D80" s="14"/>
    </row>
    <row r="81" ht="12.75" customHeight="1">
      <c r="A81" s="13"/>
      <c r="B81" s="14"/>
      <c r="C81" s="14"/>
      <c r="D81" s="14"/>
    </row>
    <row r="82" ht="12.75" customHeight="1">
      <c r="A82" s="13"/>
      <c r="B82" s="14"/>
      <c r="C82" s="14"/>
      <c r="D82" s="14"/>
    </row>
    <row r="83" ht="12.75" customHeight="1">
      <c r="A83" s="13"/>
      <c r="B83" s="14"/>
      <c r="C83" s="14"/>
      <c r="D83" s="14"/>
    </row>
    <row r="84" ht="12.75" customHeight="1">
      <c r="A84" s="13"/>
      <c r="B84" s="14"/>
      <c r="C84" s="14"/>
      <c r="D84" s="14"/>
    </row>
    <row r="85" ht="12.75" customHeight="1">
      <c r="A85" s="13"/>
      <c r="B85" s="14"/>
      <c r="C85" s="14"/>
      <c r="D85" s="14"/>
    </row>
    <row r="86" ht="12.75" customHeight="1">
      <c r="A86" s="13"/>
      <c r="B86" s="14"/>
      <c r="C86" s="14"/>
      <c r="D86" s="14"/>
    </row>
    <row r="87" ht="12.75" customHeight="1">
      <c r="A87" s="13"/>
      <c r="B87" s="14"/>
      <c r="C87" s="14"/>
      <c r="D87" s="14"/>
    </row>
    <row r="88" ht="12.75" customHeight="1">
      <c r="A88" s="13"/>
      <c r="B88" s="14"/>
      <c r="C88" s="14"/>
      <c r="D88" s="14"/>
    </row>
    <row r="89" ht="12.75" customHeight="1">
      <c r="A89" s="13"/>
      <c r="B89" s="14"/>
      <c r="C89" s="14"/>
      <c r="D89" s="14"/>
    </row>
    <row r="90" ht="12.75" customHeight="1">
      <c r="A90" s="13"/>
      <c r="B90" s="14"/>
      <c r="C90" s="14"/>
      <c r="D90" s="14"/>
    </row>
    <row r="91" ht="12.75" customHeight="1">
      <c r="A91" s="13"/>
      <c r="B91" s="14"/>
      <c r="C91" s="14"/>
      <c r="D91" s="14"/>
    </row>
    <row r="92" ht="12.75" customHeight="1">
      <c r="A92" s="13"/>
      <c r="B92" s="14"/>
      <c r="C92" s="14"/>
      <c r="D92" s="14"/>
    </row>
    <row r="93" ht="12.75" customHeight="1">
      <c r="A93" s="13"/>
      <c r="B93" s="14"/>
      <c r="C93" s="14"/>
      <c r="D93" s="14"/>
    </row>
    <row r="94" ht="12.75" customHeight="1">
      <c r="A94" s="13"/>
      <c r="B94" s="14"/>
      <c r="C94" s="14"/>
      <c r="D94" s="14"/>
    </row>
    <row r="95" ht="12.75" customHeight="1">
      <c r="A95" s="13"/>
      <c r="B95" s="14"/>
      <c r="C95" s="14"/>
      <c r="D95" s="14"/>
    </row>
    <row r="96" ht="12.75" customHeight="1">
      <c r="A96" s="13"/>
      <c r="B96" s="14"/>
      <c r="C96" s="14"/>
      <c r="D96" s="14"/>
    </row>
    <row r="97" ht="12.75" customHeight="1">
      <c r="A97" s="13"/>
      <c r="B97" s="14"/>
      <c r="C97" s="14"/>
      <c r="D97" s="14"/>
    </row>
    <row r="98" ht="12.75" customHeight="1">
      <c r="A98" s="13"/>
      <c r="B98" s="14"/>
      <c r="C98" s="14"/>
      <c r="D98" s="14"/>
    </row>
    <row r="99" ht="12.75" customHeight="1">
      <c r="A99" s="13"/>
      <c r="B99" s="14"/>
      <c r="C99" s="14"/>
      <c r="D99" s="14"/>
    </row>
    <row r="100" ht="12.75" customHeight="1">
      <c r="A100" s="13"/>
      <c r="B100" s="14"/>
      <c r="C100" s="14"/>
      <c r="D100" s="14"/>
    </row>
    <row r="101" ht="12.75" customHeight="1">
      <c r="A101" s="13"/>
      <c r="B101" s="14"/>
      <c r="C101" s="14"/>
      <c r="D101" s="14"/>
    </row>
    <row r="102" ht="12.75" customHeight="1">
      <c r="A102" s="13"/>
      <c r="B102" s="14"/>
      <c r="C102" s="14"/>
      <c r="D102" s="14"/>
    </row>
    <row r="103" ht="12.75" customHeight="1">
      <c r="A103" s="13"/>
      <c r="B103" s="14"/>
      <c r="C103" s="14"/>
      <c r="D103" s="14"/>
    </row>
    <row r="104" ht="12.75" customHeight="1">
      <c r="A104" s="13"/>
      <c r="B104" s="14"/>
      <c r="C104" s="14"/>
      <c r="D104" s="14"/>
    </row>
    <row r="105" ht="12.75" customHeight="1">
      <c r="A105" s="13"/>
      <c r="B105" s="14"/>
      <c r="C105" s="14"/>
      <c r="D105" s="14"/>
    </row>
    <row r="106" ht="12.75" customHeight="1">
      <c r="A106" s="13"/>
      <c r="B106" s="14"/>
      <c r="C106" s="14"/>
      <c r="D106" s="14"/>
    </row>
    <row r="107" ht="12.75" customHeight="1">
      <c r="A107" s="13"/>
      <c r="B107" s="14"/>
      <c r="C107" s="14"/>
      <c r="D107" s="14"/>
    </row>
    <row r="108" ht="12.75" customHeight="1">
      <c r="A108" s="13"/>
      <c r="B108" s="14"/>
      <c r="C108" s="14"/>
      <c r="D108" s="14"/>
    </row>
    <row r="109" ht="12.75" customHeight="1">
      <c r="A109" s="13"/>
      <c r="B109" s="14"/>
      <c r="C109" s="14"/>
      <c r="D109" s="14"/>
    </row>
    <row r="110" ht="12.75" customHeight="1">
      <c r="A110" s="13"/>
      <c r="B110" s="14"/>
      <c r="C110" s="14"/>
      <c r="D110" s="14"/>
    </row>
    <row r="111" ht="12.75" customHeight="1">
      <c r="A111" s="13"/>
      <c r="B111" s="14"/>
      <c r="C111" s="14"/>
      <c r="D111" s="14"/>
    </row>
    <row r="112" ht="12.75" customHeight="1">
      <c r="A112" s="13"/>
      <c r="B112" s="14"/>
      <c r="C112" s="14"/>
      <c r="D112" s="14"/>
    </row>
    <row r="113" ht="12.75" customHeight="1">
      <c r="A113" s="13"/>
      <c r="B113" s="14"/>
      <c r="C113" s="14"/>
      <c r="D113" s="14"/>
    </row>
    <row r="114" ht="12.75" customHeight="1">
      <c r="A114" s="13"/>
      <c r="B114" s="14"/>
      <c r="C114" s="14"/>
      <c r="D114" s="14"/>
    </row>
    <row r="115" ht="12.75" customHeight="1">
      <c r="A115" s="13"/>
      <c r="B115" s="14"/>
      <c r="C115" s="14"/>
      <c r="D115" s="14"/>
    </row>
    <row r="116" ht="12.75" customHeight="1">
      <c r="A116" s="13"/>
      <c r="B116" s="14"/>
      <c r="C116" s="14"/>
      <c r="D116" s="14"/>
    </row>
    <row r="117" ht="12.75" customHeight="1">
      <c r="A117" s="13"/>
      <c r="B117" s="14"/>
      <c r="C117" s="14"/>
      <c r="D117" s="14"/>
    </row>
    <row r="118" ht="12.75" customHeight="1">
      <c r="A118" s="13"/>
      <c r="B118" s="14"/>
      <c r="C118" s="14"/>
      <c r="D118" s="14"/>
    </row>
    <row r="119" ht="12.75" customHeight="1">
      <c r="A119" s="13"/>
      <c r="B119" s="14"/>
      <c r="C119" s="14"/>
      <c r="D119" s="14"/>
    </row>
    <row r="120" ht="12.75" customHeight="1">
      <c r="A120" s="13"/>
      <c r="B120" s="14"/>
      <c r="C120" s="14"/>
      <c r="D120" s="14"/>
    </row>
    <row r="121" ht="12.75" customHeight="1">
      <c r="A121" s="13"/>
      <c r="B121" s="14"/>
      <c r="C121" s="14"/>
      <c r="D121" s="14"/>
    </row>
    <row r="122" ht="12.75" customHeight="1">
      <c r="A122" s="13"/>
      <c r="B122" s="14"/>
      <c r="C122" s="14"/>
      <c r="D122" s="14"/>
    </row>
    <row r="123" ht="12.75" customHeight="1">
      <c r="A123" s="13"/>
      <c r="B123" s="14"/>
      <c r="C123" s="14"/>
      <c r="D123" s="14"/>
    </row>
    <row r="124" ht="12.75" customHeight="1">
      <c r="A124" s="13"/>
      <c r="B124" s="14"/>
      <c r="C124" s="14"/>
      <c r="D124" s="14"/>
    </row>
    <row r="125" ht="12.75" customHeight="1">
      <c r="A125" s="13"/>
      <c r="B125" s="14"/>
      <c r="C125" s="14"/>
      <c r="D125" s="14"/>
    </row>
    <row r="126" ht="12.75" customHeight="1">
      <c r="A126" s="13"/>
      <c r="B126" s="14"/>
      <c r="C126" s="14"/>
      <c r="D126" s="14"/>
    </row>
    <row r="127" ht="12.75" customHeight="1">
      <c r="A127" s="13"/>
      <c r="B127" s="14"/>
      <c r="C127" s="14"/>
      <c r="D127" s="14"/>
    </row>
    <row r="128" ht="12.75" customHeight="1">
      <c r="A128" s="13"/>
      <c r="B128" s="14"/>
      <c r="C128" s="14"/>
      <c r="D128" s="14"/>
    </row>
    <row r="129" ht="12.75" customHeight="1">
      <c r="A129" s="13"/>
      <c r="B129" s="14"/>
      <c r="C129" s="14"/>
      <c r="D129" s="14"/>
    </row>
    <row r="130" ht="12.75" customHeight="1">
      <c r="A130" s="13"/>
      <c r="B130" s="14"/>
      <c r="C130" s="14"/>
      <c r="D130" s="14"/>
    </row>
    <row r="131" ht="12.75" customHeight="1">
      <c r="A131" s="13"/>
      <c r="B131" s="14"/>
      <c r="C131" s="14"/>
      <c r="D131" s="14"/>
    </row>
    <row r="132" ht="12.75" customHeight="1">
      <c r="A132" s="13"/>
      <c r="B132" s="14"/>
      <c r="C132" s="14"/>
      <c r="D132" s="14"/>
    </row>
    <row r="133" ht="12.75" customHeight="1">
      <c r="A133" s="13"/>
      <c r="B133" s="14"/>
      <c r="C133" s="14"/>
      <c r="D133" s="14"/>
    </row>
    <row r="134" ht="12.75" customHeight="1">
      <c r="A134" s="13"/>
      <c r="B134" s="14"/>
      <c r="C134" s="14"/>
      <c r="D134" s="14"/>
    </row>
    <row r="135" ht="12.75" customHeight="1">
      <c r="A135" s="13"/>
      <c r="B135" s="14"/>
      <c r="C135" s="14"/>
      <c r="D135" s="14"/>
    </row>
    <row r="136" ht="12.75" customHeight="1">
      <c r="A136" s="13"/>
      <c r="B136" s="14"/>
      <c r="C136" s="14"/>
      <c r="D136" s="14"/>
    </row>
    <row r="137" ht="12.75" customHeight="1">
      <c r="A137" s="13"/>
      <c r="B137" s="14"/>
      <c r="C137" s="14"/>
      <c r="D137" s="14"/>
    </row>
    <row r="138" ht="12.75" customHeight="1">
      <c r="A138" s="13"/>
      <c r="B138" s="14"/>
      <c r="C138" s="14"/>
      <c r="D138" s="14"/>
    </row>
    <row r="139" ht="12.75" customHeight="1">
      <c r="A139" s="13"/>
      <c r="B139" s="14"/>
      <c r="C139" s="14"/>
      <c r="D139" s="14"/>
    </row>
    <row r="140" ht="12.75" customHeight="1">
      <c r="A140" s="13"/>
      <c r="B140" s="14"/>
      <c r="C140" s="14"/>
      <c r="D140" s="14"/>
    </row>
    <row r="141" ht="12.75" customHeight="1">
      <c r="A141" s="13"/>
      <c r="B141" s="14"/>
      <c r="C141" s="14"/>
      <c r="D141" s="14"/>
    </row>
    <row r="142" ht="12.75" customHeight="1">
      <c r="A142" s="13"/>
      <c r="B142" s="14"/>
      <c r="C142" s="14"/>
      <c r="D142" s="14"/>
    </row>
    <row r="143" ht="12.75" customHeight="1">
      <c r="A143" s="13"/>
      <c r="B143" s="14"/>
      <c r="C143" s="14"/>
      <c r="D143" s="14"/>
    </row>
    <row r="144" ht="12.75" customHeight="1">
      <c r="A144" s="13"/>
      <c r="B144" s="14"/>
      <c r="C144" s="14"/>
      <c r="D144" s="14"/>
    </row>
    <row r="145" ht="12.75" customHeight="1">
      <c r="A145" s="13"/>
      <c r="B145" s="14"/>
      <c r="C145" s="14"/>
      <c r="D145" s="14"/>
    </row>
    <row r="146" ht="12.75" customHeight="1">
      <c r="A146" s="13"/>
      <c r="B146" s="14"/>
      <c r="C146" s="14"/>
      <c r="D146" s="14"/>
    </row>
    <row r="147" ht="12.75" customHeight="1">
      <c r="A147" s="13"/>
      <c r="B147" s="14"/>
      <c r="C147" s="14"/>
      <c r="D147" s="14"/>
    </row>
    <row r="148" ht="12.75" customHeight="1">
      <c r="A148" s="13"/>
      <c r="B148" s="14"/>
      <c r="C148" s="14"/>
      <c r="D148" s="14"/>
    </row>
    <row r="149" ht="12.75" customHeight="1">
      <c r="A149" s="13"/>
      <c r="B149" s="14"/>
      <c r="C149" s="14"/>
      <c r="D149" s="14"/>
    </row>
    <row r="150" ht="12.75" customHeight="1">
      <c r="A150" s="13"/>
      <c r="B150" s="14"/>
      <c r="C150" s="14"/>
      <c r="D150" s="14"/>
    </row>
    <row r="151" ht="12.75" customHeight="1">
      <c r="A151" s="13"/>
      <c r="B151" s="14"/>
      <c r="C151" s="14"/>
      <c r="D151" s="14"/>
    </row>
    <row r="152" ht="12.75" customHeight="1">
      <c r="A152" s="13"/>
      <c r="B152" s="14"/>
      <c r="C152" s="14"/>
      <c r="D152" s="14"/>
    </row>
    <row r="153" ht="12.75" customHeight="1">
      <c r="A153" s="13"/>
      <c r="B153" s="14"/>
      <c r="C153" s="14"/>
      <c r="D153" s="14"/>
    </row>
    <row r="154" ht="12.75" customHeight="1">
      <c r="A154" s="13"/>
      <c r="B154" s="14"/>
      <c r="C154" s="14"/>
      <c r="D154" s="14"/>
    </row>
    <row r="155" ht="12.75" customHeight="1">
      <c r="A155" s="13"/>
      <c r="B155" s="14"/>
      <c r="C155" s="14"/>
      <c r="D155" s="14"/>
    </row>
    <row r="156" ht="12.75" customHeight="1">
      <c r="A156" s="13"/>
      <c r="B156" s="14"/>
      <c r="C156" s="14"/>
      <c r="D156" s="14"/>
    </row>
    <row r="157" ht="12.75" customHeight="1">
      <c r="A157" s="13"/>
      <c r="B157" s="14"/>
      <c r="C157" s="14"/>
      <c r="D157" s="14"/>
    </row>
    <row r="158" ht="12.75" customHeight="1">
      <c r="A158" s="13"/>
      <c r="B158" s="14"/>
      <c r="C158" s="14"/>
      <c r="D158" s="14"/>
    </row>
    <row r="159" ht="12.75" customHeight="1">
      <c r="A159" s="13"/>
      <c r="B159" s="14"/>
      <c r="C159" s="14"/>
      <c r="D159" s="14"/>
    </row>
    <row r="160" ht="12.75" customHeight="1">
      <c r="A160" s="13"/>
      <c r="B160" s="14"/>
      <c r="C160" s="14"/>
      <c r="D160" s="14"/>
    </row>
    <row r="161" ht="12.75" customHeight="1">
      <c r="A161" s="13"/>
      <c r="B161" s="14"/>
      <c r="C161" s="14"/>
      <c r="D161" s="14"/>
    </row>
    <row r="162" ht="12.75" customHeight="1">
      <c r="A162" s="13"/>
      <c r="B162" s="14"/>
      <c r="C162" s="14"/>
      <c r="D162" s="14"/>
    </row>
    <row r="163" ht="12.75" customHeight="1">
      <c r="A163" s="13"/>
      <c r="B163" s="14"/>
      <c r="C163" s="14"/>
      <c r="D163" s="14"/>
    </row>
    <row r="164" ht="12.75" customHeight="1">
      <c r="A164" s="13"/>
      <c r="B164" s="14"/>
      <c r="C164" s="14"/>
      <c r="D164" s="14"/>
    </row>
    <row r="165" ht="12.75" customHeight="1">
      <c r="A165" s="13"/>
      <c r="B165" s="14"/>
      <c r="C165" s="14"/>
      <c r="D165" s="14"/>
    </row>
    <row r="166" ht="12.75" customHeight="1">
      <c r="A166" s="13"/>
      <c r="B166" s="14"/>
      <c r="C166" s="14"/>
      <c r="D166" s="14"/>
    </row>
    <row r="167" ht="12.75" customHeight="1">
      <c r="A167" s="13"/>
      <c r="B167" s="14"/>
      <c r="C167" s="14"/>
      <c r="D167" s="14"/>
    </row>
    <row r="168" ht="12.75" customHeight="1">
      <c r="A168" s="13"/>
      <c r="B168" s="14"/>
      <c r="C168" s="14"/>
      <c r="D168" s="14"/>
    </row>
    <row r="169" ht="12.75" customHeight="1">
      <c r="A169" s="13"/>
      <c r="B169" s="14"/>
      <c r="C169" s="14"/>
      <c r="D169" s="14"/>
    </row>
    <row r="170" ht="12.75" customHeight="1">
      <c r="A170" s="13"/>
      <c r="B170" s="14"/>
      <c r="C170" s="14"/>
      <c r="D170" s="14"/>
    </row>
    <row r="171" ht="12.75" customHeight="1">
      <c r="A171" s="13"/>
      <c r="B171" s="14"/>
      <c r="C171" s="14"/>
      <c r="D171" s="14"/>
    </row>
    <row r="172" ht="12.75" customHeight="1">
      <c r="A172" s="13"/>
      <c r="B172" s="14"/>
      <c r="C172" s="14"/>
      <c r="D172" s="14"/>
    </row>
    <row r="173" ht="12.75" customHeight="1">
      <c r="A173" s="13"/>
      <c r="B173" s="14"/>
      <c r="C173" s="14"/>
      <c r="D173" s="14"/>
    </row>
    <row r="174" ht="12.75" customHeight="1">
      <c r="A174" s="13"/>
      <c r="B174" s="14"/>
      <c r="C174" s="14"/>
      <c r="D174" s="14"/>
    </row>
    <row r="175" ht="12.75" customHeight="1">
      <c r="A175" s="13"/>
      <c r="B175" s="14"/>
      <c r="C175" s="14"/>
      <c r="D175" s="14"/>
    </row>
    <row r="176" ht="12.75" customHeight="1">
      <c r="A176" s="13"/>
      <c r="B176" s="14"/>
      <c r="C176" s="14"/>
      <c r="D176" s="14"/>
    </row>
    <row r="177" ht="12.75" customHeight="1">
      <c r="A177" s="13"/>
      <c r="B177" s="14"/>
      <c r="C177" s="14"/>
      <c r="D177" s="14"/>
    </row>
    <row r="178" ht="12.75" customHeight="1">
      <c r="A178" s="13"/>
      <c r="B178" s="14"/>
      <c r="C178" s="14"/>
      <c r="D178" s="14"/>
    </row>
    <row r="179" ht="12.75" customHeight="1">
      <c r="A179" s="13"/>
      <c r="B179" s="14"/>
      <c r="C179" s="14"/>
      <c r="D179" s="14"/>
    </row>
    <row r="180" ht="12.75" customHeight="1">
      <c r="A180" s="13"/>
      <c r="B180" s="14"/>
      <c r="C180" s="14"/>
      <c r="D180" s="14"/>
    </row>
    <row r="181" ht="12.75" customHeight="1">
      <c r="A181" s="13"/>
      <c r="B181" s="14"/>
      <c r="C181" s="14"/>
      <c r="D181" s="14"/>
    </row>
    <row r="182" ht="12.75" customHeight="1">
      <c r="A182" s="13"/>
      <c r="B182" s="14"/>
      <c r="C182" s="14"/>
      <c r="D182" s="14"/>
    </row>
    <row r="183" ht="12.75" customHeight="1">
      <c r="A183" s="13"/>
      <c r="B183" s="14"/>
      <c r="C183" s="14"/>
      <c r="D183" s="14"/>
    </row>
    <row r="184" ht="12.75" customHeight="1">
      <c r="A184" s="13"/>
      <c r="B184" s="14"/>
      <c r="C184" s="14"/>
      <c r="D184" s="14"/>
    </row>
    <row r="185" ht="12.75" customHeight="1">
      <c r="A185" s="13"/>
      <c r="B185" s="14"/>
      <c r="C185" s="14"/>
      <c r="D185" s="14"/>
    </row>
    <row r="186" ht="12.75" customHeight="1">
      <c r="A186" s="13"/>
      <c r="B186" s="14"/>
      <c r="C186" s="14"/>
      <c r="D186" s="14"/>
    </row>
    <row r="187" ht="12.75" customHeight="1">
      <c r="A187" s="13"/>
      <c r="B187" s="14"/>
      <c r="C187" s="14"/>
      <c r="D187" s="14"/>
    </row>
    <row r="188" ht="12.75" customHeight="1">
      <c r="A188" s="13"/>
      <c r="B188" s="14"/>
      <c r="C188" s="14"/>
      <c r="D188" s="14"/>
    </row>
    <row r="189" ht="12.75" customHeight="1">
      <c r="A189" s="13"/>
      <c r="B189" s="14"/>
      <c r="C189" s="14"/>
      <c r="D189" s="14"/>
    </row>
    <row r="190" ht="12.75" customHeight="1">
      <c r="A190" s="13"/>
      <c r="B190" s="14"/>
      <c r="C190" s="14"/>
      <c r="D190" s="14"/>
    </row>
    <row r="191" ht="12.75" customHeight="1">
      <c r="A191" s="13"/>
      <c r="B191" s="14"/>
      <c r="C191" s="14"/>
      <c r="D191" s="14"/>
    </row>
    <row r="192" ht="12.75" customHeight="1">
      <c r="A192" s="13"/>
      <c r="B192" s="14"/>
      <c r="C192" s="14"/>
      <c r="D192" s="14"/>
    </row>
    <row r="193" ht="12.75" customHeight="1">
      <c r="A193" s="13"/>
      <c r="B193" s="14"/>
      <c r="C193" s="14"/>
      <c r="D193" s="14"/>
    </row>
    <row r="194" ht="12.75" customHeight="1">
      <c r="A194" s="13"/>
      <c r="B194" s="14"/>
      <c r="C194" s="14"/>
      <c r="D194" s="14"/>
    </row>
    <row r="195" ht="12.75" customHeight="1">
      <c r="A195" s="13"/>
      <c r="B195" s="14"/>
      <c r="C195" s="14"/>
      <c r="D195" s="14"/>
    </row>
    <row r="196" ht="12.75" customHeight="1">
      <c r="A196" s="13"/>
      <c r="B196" s="14"/>
      <c r="C196" s="14"/>
      <c r="D196" s="14"/>
    </row>
    <row r="197" ht="12.75" customHeight="1">
      <c r="A197" s="13"/>
      <c r="B197" s="14"/>
      <c r="C197" s="14"/>
      <c r="D197" s="14"/>
    </row>
    <row r="198" ht="12.75" customHeight="1">
      <c r="A198" s="13"/>
      <c r="B198" s="14"/>
      <c r="C198" s="14"/>
      <c r="D198" s="14"/>
    </row>
    <row r="199" ht="12.75" customHeight="1">
      <c r="A199" s="13"/>
      <c r="B199" s="14"/>
      <c r="C199" s="14"/>
      <c r="D199" s="14"/>
    </row>
    <row r="200" ht="12.75" customHeight="1">
      <c r="A200" s="13"/>
      <c r="B200" s="14"/>
      <c r="C200" s="14"/>
      <c r="D200" s="14"/>
    </row>
    <row r="201" ht="12.75" customHeight="1">
      <c r="A201" s="13"/>
      <c r="B201" s="14"/>
      <c r="C201" s="14"/>
      <c r="D201" s="14"/>
    </row>
    <row r="202" ht="12.75" customHeight="1">
      <c r="A202" s="13"/>
      <c r="B202" s="14"/>
      <c r="C202" s="14"/>
      <c r="D202" s="14"/>
    </row>
    <row r="203" ht="12.75" customHeight="1">
      <c r="A203" s="13"/>
      <c r="B203" s="14"/>
      <c r="C203" s="14"/>
      <c r="D203" s="14"/>
    </row>
    <row r="204" ht="12.75" customHeight="1">
      <c r="A204" s="13"/>
      <c r="B204" s="14"/>
      <c r="C204" s="14"/>
      <c r="D204" s="14"/>
    </row>
    <row r="205" ht="12.75" customHeight="1">
      <c r="A205" s="13"/>
      <c r="B205" s="14"/>
      <c r="C205" s="14"/>
      <c r="D205" s="14"/>
    </row>
    <row r="206" ht="12.75" customHeight="1">
      <c r="A206" s="13"/>
      <c r="B206" s="14"/>
      <c r="C206" s="14"/>
      <c r="D206" s="14"/>
    </row>
    <row r="207" ht="12.75" customHeight="1">
      <c r="A207" s="13"/>
      <c r="B207" s="14"/>
      <c r="C207" s="14"/>
      <c r="D207" s="14"/>
    </row>
    <row r="208" ht="12.75" customHeight="1">
      <c r="A208" s="13"/>
      <c r="B208" s="14"/>
      <c r="C208" s="14"/>
      <c r="D208" s="14"/>
    </row>
    <row r="209" ht="12.75" customHeight="1">
      <c r="A209" s="13"/>
      <c r="B209" s="14"/>
      <c r="C209" s="14"/>
      <c r="D209" s="14"/>
    </row>
    <row r="210" ht="12.75" customHeight="1">
      <c r="A210" s="13"/>
      <c r="B210" s="14"/>
      <c r="C210" s="14"/>
      <c r="D210" s="14"/>
    </row>
    <row r="211" ht="12.75" customHeight="1">
      <c r="A211" s="13"/>
      <c r="B211" s="14"/>
      <c r="C211" s="14"/>
      <c r="D211" s="14"/>
    </row>
    <row r="212" ht="12.75" customHeight="1">
      <c r="A212" s="13"/>
      <c r="B212" s="14"/>
      <c r="C212" s="14"/>
      <c r="D212" s="14"/>
    </row>
    <row r="213" ht="12.75" customHeight="1">
      <c r="A213" s="13"/>
      <c r="B213" s="14"/>
      <c r="C213" s="14"/>
      <c r="D213" s="14"/>
    </row>
    <row r="214" ht="12.75" customHeight="1">
      <c r="A214" s="13"/>
      <c r="B214" s="14"/>
      <c r="C214" s="14"/>
      <c r="D214" s="14"/>
    </row>
    <row r="215" ht="12.75" customHeight="1">
      <c r="A215" s="13"/>
      <c r="B215" s="14"/>
      <c r="C215" s="14"/>
      <c r="D215" s="14"/>
    </row>
    <row r="216" ht="12.75" customHeight="1">
      <c r="A216" s="13"/>
      <c r="B216" s="14"/>
      <c r="C216" s="14"/>
      <c r="D216" s="14"/>
    </row>
    <row r="217" ht="12.75" customHeight="1">
      <c r="A217" s="13"/>
      <c r="B217" s="14"/>
      <c r="C217" s="14"/>
      <c r="D217" s="14"/>
    </row>
    <row r="218" ht="12.75" customHeight="1">
      <c r="A218" s="13"/>
      <c r="B218" s="14"/>
      <c r="C218" s="14"/>
      <c r="D218" s="14"/>
    </row>
    <row r="219" ht="12.75" customHeight="1">
      <c r="A219" s="13"/>
      <c r="B219" s="14"/>
      <c r="C219" s="14"/>
      <c r="D219" s="14"/>
    </row>
    <row r="220" ht="12.75" customHeight="1">
      <c r="A220" s="13"/>
      <c r="B220" s="14"/>
      <c r="C220" s="14"/>
      <c r="D220" s="14"/>
    </row>
    <row r="221" ht="12.75" customHeight="1">
      <c r="A221" s="13"/>
      <c r="B221" s="14"/>
      <c r="C221" s="14"/>
      <c r="D221" s="14"/>
    </row>
    <row r="222" ht="12.75" customHeight="1">
      <c r="A222" s="13"/>
      <c r="B222" s="14"/>
      <c r="C222" s="14"/>
      <c r="D222" s="14"/>
    </row>
    <row r="223" ht="12.75" customHeight="1">
      <c r="A223" s="13"/>
      <c r="B223" s="14"/>
      <c r="C223" s="14"/>
      <c r="D223" s="14"/>
    </row>
    <row r="224" ht="12.75" customHeight="1">
      <c r="A224" s="13"/>
      <c r="B224" s="14"/>
      <c r="C224" s="14"/>
      <c r="D224" s="14"/>
    </row>
    <row r="225" ht="12.75" customHeight="1">
      <c r="A225" s="13"/>
      <c r="B225" s="14"/>
      <c r="C225" s="14"/>
      <c r="D225" s="14"/>
    </row>
    <row r="226" ht="12.75" customHeight="1">
      <c r="A226" s="13"/>
      <c r="B226" s="14"/>
      <c r="C226" s="14"/>
      <c r="D226" s="14"/>
    </row>
    <row r="227" ht="12.75" customHeight="1">
      <c r="A227" s="13"/>
      <c r="B227" s="14"/>
      <c r="C227" s="14"/>
      <c r="D227" s="14"/>
    </row>
    <row r="228" ht="12.75" customHeight="1">
      <c r="A228" s="13"/>
      <c r="B228" s="14"/>
      <c r="C228" s="14"/>
      <c r="D228" s="14"/>
    </row>
    <row r="229" ht="12.75" customHeight="1">
      <c r="A229" s="13"/>
      <c r="B229" s="14"/>
      <c r="C229" s="14"/>
      <c r="D229" s="14"/>
    </row>
    <row r="230" ht="12.75" customHeight="1">
      <c r="A230" s="13"/>
      <c r="B230" s="14"/>
      <c r="C230" s="14"/>
      <c r="D230" s="14"/>
    </row>
    <row r="231" ht="12.75" customHeight="1">
      <c r="A231" s="13"/>
      <c r="B231" s="14"/>
      <c r="C231" s="14"/>
      <c r="D231" s="14"/>
    </row>
    <row r="232" ht="12.75" customHeight="1">
      <c r="A232" s="13"/>
      <c r="B232" s="14"/>
      <c r="C232" s="14"/>
      <c r="D232" s="14"/>
    </row>
    <row r="233" ht="12.75" customHeight="1">
      <c r="A233" s="13"/>
      <c r="B233" s="14"/>
      <c r="C233" s="14"/>
      <c r="D233" s="14"/>
    </row>
    <row r="234" ht="12.75" customHeight="1">
      <c r="A234" s="13"/>
      <c r="B234" s="14"/>
      <c r="C234" s="14"/>
      <c r="D234" s="14"/>
    </row>
    <row r="235" ht="12.75" customHeight="1">
      <c r="A235" s="13"/>
      <c r="B235" s="14"/>
      <c r="C235" s="14"/>
      <c r="D235" s="14"/>
    </row>
    <row r="236" ht="12.75" customHeight="1">
      <c r="A236" s="13"/>
      <c r="B236" s="14"/>
      <c r="C236" s="14"/>
      <c r="D236" s="14"/>
    </row>
    <row r="237" ht="12.75" customHeight="1">
      <c r="A237" s="13"/>
      <c r="B237" s="14"/>
      <c r="C237" s="14"/>
      <c r="D237" s="14"/>
    </row>
    <row r="238" ht="12.75" customHeight="1">
      <c r="A238" s="13"/>
      <c r="B238" s="14"/>
      <c r="C238" s="14"/>
      <c r="D238" s="14"/>
    </row>
    <row r="239" ht="12.75" customHeight="1">
      <c r="A239" s="13"/>
      <c r="B239" s="14"/>
      <c r="C239" s="14"/>
      <c r="D239" s="14"/>
    </row>
    <row r="240" ht="12.75" customHeight="1">
      <c r="A240" s="13"/>
      <c r="B240" s="14"/>
      <c r="C240" s="14"/>
      <c r="D240" s="14"/>
    </row>
    <row r="241" ht="12.75" customHeight="1">
      <c r="A241" s="13"/>
      <c r="B241" s="14"/>
      <c r="C241" s="14"/>
      <c r="D241" s="14"/>
    </row>
    <row r="242" ht="12.75" customHeight="1">
      <c r="A242" s="13"/>
      <c r="B242" s="14"/>
      <c r="C242" s="14"/>
      <c r="D242" s="14"/>
    </row>
    <row r="243" ht="12.75" customHeight="1">
      <c r="A243" s="13"/>
      <c r="B243" s="14"/>
      <c r="C243" s="14"/>
      <c r="D243" s="14"/>
    </row>
    <row r="244" ht="12.75" customHeight="1">
      <c r="A244" s="13"/>
      <c r="B244" s="14"/>
      <c r="C244" s="14"/>
      <c r="D244" s="14"/>
    </row>
    <row r="245" ht="12.75" customHeight="1">
      <c r="A245" s="13"/>
      <c r="B245" s="14"/>
      <c r="C245" s="14"/>
      <c r="D245" s="14"/>
    </row>
    <row r="246" ht="12.75" customHeight="1">
      <c r="A246" s="13"/>
      <c r="B246" s="14"/>
      <c r="C246" s="14"/>
      <c r="D246" s="14"/>
    </row>
    <row r="247" ht="12.75" customHeight="1">
      <c r="A247" s="13"/>
      <c r="B247" s="14"/>
      <c r="C247" s="14"/>
      <c r="D247" s="14"/>
    </row>
    <row r="248" ht="12.75" customHeight="1">
      <c r="A248" s="13"/>
      <c r="B248" s="14"/>
      <c r="C248" s="14"/>
      <c r="D248" s="14"/>
    </row>
    <row r="249" ht="12.75" customHeight="1">
      <c r="A249" s="13"/>
      <c r="B249" s="14"/>
      <c r="C249" s="14"/>
      <c r="D249" s="14"/>
    </row>
    <row r="250" ht="12.75" customHeight="1">
      <c r="A250" s="13"/>
      <c r="B250" s="14"/>
      <c r="C250" s="14"/>
      <c r="D250" s="14"/>
    </row>
    <row r="251" ht="12.75" customHeight="1">
      <c r="A251" s="13"/>
      <c r="B251" s="14"/>
      <c r="C251" s="14"/>
      <c r="D251" s="14"/>
    </row>
    <row r="252" ht="12.75" customHeight="1">
      <c r="A252" s="13"/>
      <c r="B252" s="14"/>
      <c r="C252" s="14"/>
      <c r="D252" s="14"/>
    </row>
    <row r="253" ht="12.75" customHeight="1">
      <c r="A253" s="13"/>
      <c r="B253" s="14"/>
      <c r="C253" s="14"/>
      <c r="D253" s="14"/>
    </row>
    <row r="254" ht="12.75" customHeight="1">
      <c r="A254" s="13"/>
      <c r="B254" s="14"/>
      <c r="C254" s="14"/>
      <c r="D254" s="14"/>
    </row>
    <row r="255" ht="12.75" customHeight="1">
      <c r="A255" s="13"/>
      <c r="B255" s="14"/>
      <c r="C255" s="14"/>
      <c r="D255" s="14"/>
    </row>
    <row r="256" ht="12.75" customHeight="1">
      <c r="A256" s="13"/>
      <c r="B256" s="14"/>
      <c r="C256" s="14"/>
      <c r="D256" s="14"/>
    </row>
    <row r="257" ht="12.75" customHeight="1">
      <c r="A257" s="13"/>
      <c r="B257" s="14"/>
      <c r="C257" s="14"/>
      <c r="D257" s="14"/>
    </row>
    <row r="258" ht="12.75" customHeight="1">
      <c r="A258" s="13"/>
      <c r="B258" s="14"/>
      <c r="C258" s="14"/>
      <c r="D258" s="14"/>
    </row>
    <row r="259" ht="12.75" customHeight="1">
      <c r="A259" s="13"/>
      <c r="B259" s="14"/>
      <c r="C259" s="14"/>
      <c r="D259" s="14"/>
    </row>
    <row r="260" ht="12.75" customHeight="1">
      <c r="A260" s="13"/>
      <c r="B260" s="14"/>
      <c r="C260" s="14"/>
      <c r="D260" s="14"/>
    </row>
    <row r="261" ht="12.75" customHeight="1">
      <c r="A261" s="13"/>
      <c r="B261" s="14"/>
      <c r="C261" s="14"/>
      <c r="D261" s="14"/>
    </row>
    <row r="262" ht="12.75" customHeight="1">
      <c r="A262" s="13"/>
      <c r="B262" s="14"/>
      <c r="C262" s="14"/>
      <c r="D262" s="14"/>
    </row>
    <row r="263" ht="12.75" customHeight="1">
      <c r="A263" s="13"/>
      <c r="B263" s="14"/>
      <c r="C263" s="14"/>
      <c r="D263" s="14"/>
    </row>
    <row r="264" ht="12.75" customHeight="1">
      <c r="A264" s="13"/>
      <c r="B264" s="14"/>
      <c r="C264" s="14"/>
      <c r="D264" s="14"/>
    </row>
    <row r="265" ht="12.75" customHeight="1">
      <c r="A265" s="13"/>
      <c r="B265" s="14"/>
      <c r="C265" s="14"/>
      <c r="D265" s="14"/>
    </row>
    <row r="266" ht="12.75" customHeight="1">
      <c r="A266" s="13"/>
      <c r="B266" s="14"/>
      <c r="C266" s="14"/>
      <c r="D266" s="14"/>
    </row>
    <row r="267" ht="12.75" customHeight="1">
      <c r="A267" s="13"/>
      <c r="B267" s="14"/>
      <c r="C267" s="14"/>
      <c r="D267" s="14"/>
    </row>
    <row r="268" ht="12.75" customHeight="1"/>
    <row r="269" ht="12.75" customHeight="1"/>
    <row r="270" ht="12.75" customHeight="1"/>
    <row r="271" ht="12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