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000" windowWidth="38400" windowHeight="21000" tabRatio="600" firstSheet="0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emini 3 Pro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'Gemini 3 Pro Generation'!A2</f>
        <v/>
      </c>
      <c r="B2" s="4">
        <f>'Gemini 3 Pro Generation'!B2</f>
        <v/>
      </c>
      <c r="C2" s="5" t="n"/>
      <c r="D2" s="5" t="n"/>
    </row>
    <row r="3" ht="12.75" customHeight="1" s="69">
      <c r="A3" s="4">
        <f>'Gemini 3 Pro Generation'!A3</f>
        <v/>
      </c>
      <c r="B3" s="4">
        <f>'Gemini 3 Pro Generation'!B3</f>
        <v/>
      </c>
      <c r="C3" s="5" t="n"/>
      <c r="D3" s="5" t="n"/>
    </row>
    <row r="4" ht="12.75" customHeight="1" s="69">
      <c r="A4" s="4">
        <f>'Gemini 3 Pro Generation'!A4</f>
        <v/>
      </c>
      <c r="B4" s="4">
        <f>'Gemini 3 Pro Generation'!B4</f>
        <v/>
      </c>
      <c r="C4" s="5" t="n"/>
      <c r="D4" s="5" t="n"/>
    </row>
    <row r="5" ht="12.75" customHeight="1" s="69">
      <c r="A5" s="4">
        <f>'Gemini 3 Pro Generation'!A5</f>
        <v/>
      </c>
      <c r="B5" s="4">
        <f>'Gemini 3 Pro Generation'!B5</f>
        <v/>
      </c>
      <c r="C5" s="5" t="n"/>
      <c r="D5" s="5" t="n"/>
    </row>
    <row r="6" ht="12.75" customHeight="1" s="69">
      <c r="A6" s="4">
        <f>'Gemini 3 Pro Generation'!A6</f>
        <v/>
      </c>
      <c r="B6" s="4">
        <f>'Gemini 3 Pro Generation'!B6</f>
        <v/>
      </c>
      <c r="C6" s="5" t="n"/>
      <c r="D6" s="5" t="n"/>
    </row>
    <row r="7" ht="12.75" customHeight="1" s="69">
      <c r="A7" s="4">
        <f>'Gemini 3 Pro Generation'!A7</f>
        <v/>
      </c>
      <c r="B7" s="4">
        <f>'Gemini 3 Pro Generation'!B7</f>
        <v/>
      </c>
      <c r="C7" s="5" t="n"/>
      <c r="D7" s="5" t="n"/>
    </row>
    <row r="8" ht="12.75" customHeight="1" s="69">
      <c r="A8" s="4">
        <f>'Gemini 3 Pro Generation'!A8</f>
        <v/>
      </c>
      <c r="B8" s="4">
        <f>'Gemini 3 Pro Generation'!B8</f>
        <v/>
      </c>
      <c r="C8" s="5" t="n"/>
      <c r="D8" s="5" t="n"/>
    </row>
    <row r="9" ht="12.75" customHeight="1" s="69">
      <c r="A9" s="4">
        <f>'Gemini 3 Pro Generation'!A9</f>
        <v/>
      </c>
      <c r="B9" s="4">
        <f>'Gemini 3 Pro Generation'!B9</f>
        <v/>
      </c>
      <c r="C9" s="5" t="n"/>
      <c r="D9" s="5" t="n"/>
    </row>
    <row r="10" ht="12.75" customHeight="1" s="69">
      <c r="A10" s="4">
        <f>'Gemini 3 Pro Generation'!A10</f>
        <v/>
      </c>
      <c r="B10" s="4">
        <f>'Gemini 3 Pro Generation'!B10</f>
        <v/>
      </c>
      <c r="C10" s="5" t="n"/>
      <c r="D10" s="5" t="n"/>
    </row>
    <row r="11" ht="12.75" customHeight="1" s="69">
      <c r="A11" s="4">
        <f>'Gemini 3 Pro Generation'!A11</f>
        <v/>
      </c>
      <c r="B11" s="4">
        <f>'Gemini 3 Pro Generation'!B11</f>
        <v/>
      </c>
      <c r="C11" s="5" t="n"/>
      <c r="D11" s="5" t="n"/>
    </row>
    <row r="12" ht="12.75" customHeight="1" s="69">
      <c r="A12" s="4">
        <f>'Gemini 3 Pro Generation'!A12</f>
        <v/>
      </c>
      <c r="B12" s="4">
        <f>'Gemini 3 Pro Generation'!B12</f>
        <v/>
      </c>
      <c r="C12" s="5" t="n"/>
      <c r="D12" s="5" t="n"/>
    </row>
    <row r="13" ht="12.75" customHeight="1" s="69">
      <c r="A13" s="4">
        <f>'Gemini 3 Pro Generation'!A13</f>
        <v/>
      </c>
      <c r="B13" s="4">
        <f>'Gemini 3 Pro Generation'!B13</f>
        <v/>
      </c>
      <c r="C13" s="5" t="n"/>
      <c r="D13" s="5" t="n"/>
    </row>
    <row r="14" ht="12.75" customHeight="1" s="69">
      <c r="A14" s="4">
        <f>'Gemini 3 Pro Generation'!A14</f>
        <v/>
      </c>
      <c r="B14" s="4">
        <f>'Gemini 3 Pro Generation'!B14</f>
        <v/>
      </c>
      <c r="C14" s="5" t="n"/>
      <c r="D14" s="5" t="n"/>
    </row>
    <row r="15" ht="12.75" customHeight="1" s="69">
      <c r="A15" s="4">
        <f>'Gemini 3 Pro Generation'!A15</f>
        <v/>
      </c>
      <c r="B15" s="4">
        <f>'Gemini 3 Pro Generation'!B15</f>
        <v/>
      </c>
      <c r="C15" s="5" t="n"/>
      <c r="D15" s="5" t="n"/>
    </row>
    <row r="16" ht="12.75" customHeight="1" s="69">
      <c r="A16" s="4">
        <f>'Gemini 3 Pro Generation'!A16</f>
        <v/>
      </c>
      <c r="B16" s="4">
        <f>'Gemini 3 Pro Generation'!B16</f>
        <v/>
      </c>
      <c r="C16" s="5" t="n"/>
      <c r="D16" s="5" t="n"/>
    </row>
    <row r="17" ht="15" customHeight="1" s="69">
      <c r="A17" s="4">
        <f>'Gemini 3 Pro Generation'!A17</f>
        <v/>
      </c>
      <c r="B17" s="4">
        <f>'Gemini 3 Pro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'Gemini 3 Pro Generation'!A18</f>
        <v/>
      </c>
      <c r="B18" s="4">
        <f>'Gemini 3 Pro Generation'!B18</f>
        <v/>
      </c>
      <c r="C18" s="5" t="n"/>
      <c r="D18" s="5" t="n"/>
    </row>
    <row r="19" ht="12.75" customHeight="1" s="69">
      <c r="A19" s="4">
        <f>'Gemini 3 Pro Generation'!A19</f>
        <v/>
      </c>
      <c r="B19" s="4">
        <f>'Gemini 3 Pro Generation'!B19</f>
        <v/>
      </c>
      <c r="C19" s="5" t="n"/>
      <c r="D19" s="5" t="n"/>
    </row>
    <row r="20" ht="12.75" customHeight="1" s="69">
      <c r="A20" s="4">
        <f>'Gemini 3 Pro Generation'!A20</f>
        <v/>
      </c>
      <c r="B20" s="4">
        <f>'Gemini 3 Pro Generation'!B20</f>
        <v/>
      </c>
      <c r="C20" s="5" t="n"/>
      <c r="D20" s="5" t="n"/>
    </row>
    <row r="21" ht="12.75" customHeight="1" s="69">
      <c r="A21" s="4">
        <f>'Gemini 3 Pro Generation'!A21</f>
        <v/>
      </c>
      <c r="B21" s="4">
        <f>'Gemini 3 Pro Generation'!B21</f>
        <v/>
      </c>
      <c r="C21" s="5" t="n"/>
      <c r="D21" s="5" t="n"/>
    </row>
    <row r="22" ht="12.75" customHeight="1" s="69">
      <c r="A22" s="4">
        <f>'Gemini 3 Pro Generation'!A22</f>
        <v/>
      </c>
      <c r="B22" s="4">
        <f>'Gemini 3 Pro Generation'!B22</f>
        <v/>
      </c>
      <c r="C22" s="5" t="n"/>
      <c r="D22" s="5" t="n"/>
    </row>
    <row r="23" ht="12.75" customHeight="1" s="69">
      <c r="A23" s="4">
        <f>'Gemini 3 Pro Generation'!A23</f>
        <v/>
      </c>
      <c r="B23" s="4">
        <f>'Gemini 3 Pro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'Gemini 3 Pro Generation'!A24</f>
        <v/>
      </c>
      <c r="B24" s="4">
        <f>'Gemini 3 Pro Generation'!B24</f>
        <v/>
      </c>
      <c r="C24" s="5" t="n"/>
      <c r="D24" s="5" t="n"/>
    </row>
    <row r="25" ht="12.75" customHeight="1" s="69">
      <c r="A25" s="4">
        <f>'Gemini 3 Pro Generation'!A25</f>
        <v/>
      </c>
      <c r="B25" s="4">
        <f>'Gemini 3 Pro Generation'!B25</f>
        <v/>
      </c>
      <c r="C25" s="5" t="n"/>
      <c r="D25" s="5" t="n"/>
    </row>
    <row r="26" ht="15" customHeight="1" s="69">
      <c r="A26" s="4">
        <f>'Gemini 3 Pro Generation'!A26</f>
        <v/>
      </c>
      <c r="B26" s="4">
        <f>'Gemini 3 Pro Generation'!B26</f>
        <v/>
      </c>
      <c r="C26" s="5" t="n"/>
      <c r="D26" s="5" t="n"/>
    </row>
    <row r="27" ht="12.75" customHeight="1" s="69">
      <c r="A27" s="4">
        <f>'Gemini 3 Pro Generation'!A27</f>
        <v/>
      </c>
      <c r="B27" s="4">
        <f>'Gemini 3 Pro Generation'!B27</f>
        <v/>
      </c>
      <c r="C27" s="5" t="n"/>
      <c r="D27" s="5" t="n"/>
    </row>
    <row r="28" ht="12.75" customHeight="1" s="69">
      <c r="A28" s="4">
        <f>'Gemini 3 Pro Generation'!A28</f>
        <v/>
      </c>
      <c r="B28" s="4">
        <f>'Gemini 3 Pro Generation'!B28</f>
        <v/>
      </c>
      <c r="C28" s="5" t="n"/>
      <c r="D28" s="5" t="n"/>
    </row>
    <row r="29" ht="12.75" customHeight="1" s="69">
      <c r="A29" s="4">
        <f>'Gemini 3 Pro Generation'!A29</f>
        <v/>
      </c>
      <c r="B29" s="4">
        <f>'Gemini 3 Pro Generation'!B29</f>
        <v/>
      </c>
      <c r="C29" s="5" t="n"/>
      <c r="D29" s="5" t="n"/>
    </row>
    <row r="30" ht="12.75" customHeight="1" s="69">
      <c r="A30" s="4">
        <f>'Gemini 3 Pro Generation'!A30</f>
        <v/>
      </c>
      <c r="B30" s="4">
        <f>'Gemini 3 Pro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'Gemini 3 Pro Generation'!A31</f>
        <v/>
      </c>
      <c r="B31" s="4">
        <f>'Gemini 3 Pro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'Gemini 3 Pro Generation'!A32</f>
        <v/>
      </c>
      <c r="B32" s="4">
        <f>'Gemini 3 Pro Generation'!B32</f>
        <v/>
      </c>
      <c r="C32" s="5" t="n"/>
      <c r="D32" s="5" t="n"/>
    </row>
    <row r="33" ht="12.75" customHeight="1" s="69">
      <c r="A33" s="4">
        <f>'Gemini 3 Pro Generation'!A33</f>
        <v/>
      </c>
      <c r="B33" s="4">
        <f>'Gemini 3 Pro Generation'!B33</f>
        <v/>
      </c>
      <c r="C33" s="5" t="n"/>
      <c r="D33" s="5" t="n"/>
    </row>
    <row r="34" ht="12.75" customHeight="1" s="69">
      <c r="A34" s="4">
        <f>'Gemini 3 Pro Generation'!A34</f>
        <v/>
      </c>
      <c r="B34" s="4">
        <f>'Gemini 3 Pro Generation'!B34</f>
        <v/>
      </c>
      <c r="C34" s="5" t="n"/>
      <c r="D34" s="5" t="n"/>
    </row>
    <row r="35" ht="12.75" customHeight="1" s="69">
      <c r="A35" s="4">
        <f>'Gemini 3 Pro Generation'!A35</f>
        <v/>
      </c>
      <c r="B35" s="4">
        <f>'Gemini 3 Pro Generation'!B35</f>
        <v/>
      </c>
      <c r="C35" s="5" t="n"/>
      <c r="D35" s="5" t="n"/>
    </row>
    <row r="36" ht="12.75" customHeight="1" s="69">
      <c r="A36" s="4">
        <f>'Gemini 3 Pro Generation'!A36</f>
        <v/>
      </c>
      <c r="B36" s="4">
        <f>'Gemini 3 Pro Generation'!B36</f>
        <v/>
      </c>
      <c r="C36" s="5" t="n"/>
      <c r="D36" s="5" t="n"/>
    </row>
    <row r="37" ht="12.75" customHeight="1" s="69">
      <c r="A37" s="4">
        <f>'Gemini 3 Pro Generation'!A37</f>
        <v/>
      </c>
      <c r="B37" s="4">
        <f>'Gemini 3 Pro Generation'!B37</f>
        <v/>
      </c>
      <c r="C37" s="5" t="n"/>
      <c r="D37" s="5" t="n"/>
    </row>
    <row r="38" ht="15" customHeight="1" s="69">
      <c r="A38" s="4">
        <f>'Gemini 3 Pro Generation'!A38</f>
        <v/>
      </c>
      <c r="B38" s="4">
        <f>'Gemini 3 Pro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'Gemini 3 Pro Generation'!A39</f>
        <v/>
      </c>
      <c r="B39" s="4">
        <f>'Gemini 3 Pro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'Gemini 3 Pro Generation'!A40</f>
        <v/>
      </c>
      <c r="B40" s="4">
        <f>'Gemini 3 Pro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'Gemini 3 Pro Generation'!A41</f>
        <v/>
      </c>
      <c r="B41" s="4">
        <f>'Gemini 3 Pro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'Gemini 3 Pro Generation'!A42</f>
        <v/>
      </c>
      <c r="B42" s="4">
        <f>'Gemini 3 Pro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'Gemini 3 Pro Generation'!A43</f>
        <v/>
      </c>
      <c r="B43" s="4">
        <f>'Gemini 3 Pro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'Gemini 3 Pro Generation'!A44</f>
        <v/>
      </c>
      <c r="B44" s="4">
        <f>'Gemini 3 Pro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'Gemini 3 Pro Generation'!A45</f>
        <v/>
      </c>
      <c r="B45" s="4">
        <f>'Gemini 3 Pro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'Gemini 3 Pro Generation'!A46</f>
        <v/>
      </c>
      <c r="B46" s="4">
        <f>'Gemini 3 Pro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'Gemini 3 Pro Generation'!A47</f>
        <v/>
      </c>
      <c r="B47" s="4">
        <f>'Gemini 3 Pro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'Gemini 3 Pro Generation'!A48</f>
        <v/>
      </c>
      <c r="B48" s="4">
        <f>'Gemini 3 Pro Generation'!B48</f>
        <v/>
      </c>
      <c r="C48" s="5" t="n"/>
      <c r="D48" s="5" t="n"/>
    </row>
    <row r="49" ht="12.75" customHeight="1" s="69">
      <c r="A49" s="4">
        <f>'Gemini 3 Pro Generation'!A49</f>
        <v/>
      </c>
      <c r="B49" s="4">
        <f>'Gemini 3 Pro Generation'!B49</f>
        <v/>
      </c>
      <c r="C49" s="5" t="n"/>
      <c r="D49" s="5" t="n"/>
    </row>
    <row r="50" ht="12.75" customHeight="1" s="69">
      <c r="A50" s="4">
        <f>'Gemini 3 Pro Generation'!A50</f>
        <v/>
      </c>
      <c r="B50" s="4">
        <f>'Gemini 3 Pro Generation'!B50</f>
        <v/>
      </c>
      <c r="C50" s="5" t="n"/>
      <c r="D50" s="5" t="n"/>
    </row>
    <row r="51" ht="12.75" customHeight="1" s="69">
      <c r="A51" s="4">
        <f>'Gemini 3 Pro Generation'!A51</f>
        <v/>
      </c>
      <c r="B51" s="4">
        <f>'Gemini 3 Pro Generation'!B51</f>
        <v/>
      </c>
      <c r="C51" s="5" t="n"/>
      <c r="D51" s="5" t="n"/>
    </row>
    <row r="52" ht="12.75" customHeight="1" s="69">
      <c r="A52" s="4">
        <f>'Gemini 3 Pro Generation'!A52</f>
        <v/>
      </c>
      <c r="B52" s="4">
        <f>'Gemini 3 Pro Generation'!B52</f>
        <v/>
      </c>
      <c r="C52" s="5" t="n"/>
      <c r="D52" s="5" t="n"/>
    </row>
    <row r="53" ht="12.75" customHeight="1" s="69">
      <c r="A53" s="4">
        <f>'Gemini 3 Pro Generation'!A53</f>
        <v/>
      </c>
      <c r="B53" s="4">
        <f>'Gemini 3 Pro Generation'!B53</f>
        <v/>
      </c>
      <c r="C53" s="5" t="n"/>
      <c r="D53" s="5" t="n"/>
    </row>
    <row r="54" ht="12.75" customHeight="1" s="69">
      <c r="A54" s="4">
        <f>'Gemini 3 Pro Generation'!A54</f>
        <v/>
      </c>
      <c r="B54" s="4">
        <f>'Gemini 3 Pro Generation'!B54</f>
        <v/>
      </c>
      <c r="C54" s="5" t="n"/>
      <c r="D54" s="5" t="n"/>
    </row>
    <row r="55" ht="12.75" customHeight="1" s="69">
      <c r="A55" s="4">
        <f>'Gemini 3 Pro Generation'!A55</f>
        <v/>
      </c>
      <c r="B55" s="4">
        <f>'Gemini 3 Pro Generation'!B55</f>
        <v/>
      </c>
      <c r="C55" s="5" t="n"/>
      <c r="D55" s="5" t="n"/>
    </row>
    <row r="56" ht="12.75" customHeight="1" s="69">
      <c r="A56" s="4">
        <f>'Gemini 3 Pro Generation'!A56</f>
        <v/>
      </c>
      <c r="B56" s="4">
        <f>'Gemini 3 Pro Generation'!B56</f>
        <v/>
      </c>
      <c r="C56" s="5" t="n"/>
      <c r="D56" s="5" t="n"/>
    </row>
    <row r="57" ht="12.75" customHeight="1" s="69">
      <c r="A57" s="4">
        <f>'Gemini 3 Pro Generation'!A57</f>
        <v/>
      </c>
      <c r="B57" s="4">
        <f>'Gemini 3 Pro Generation'!B57</f>
        <v/>
      </c>
      <c r="C57" s="5" t="n"/>
      <c r="D57" s="5" t="n"/>
    </row>
    <row r="58" ht="12.75" customHeight="1" s="69">
      <c r="A58" s="4">
        <f>'Gemini 3 Pro Generation'!A58</f>
        <v/>
      </c>
      <c r="B58" s="4">
        <f>'Gemini 3 Pro Generation'!B58</f>
        <v/>
      </c>
      <c r="C58" s="5" t="n"/>
      <c r="D58" s="5" t="n"/>
    </row>
    <row r="59" ht="12.75" customHeight="1" s="69">
      <c r="A59" s="4">
        <f>'Gemini 3 Pro Generation'!A59</f>
        <v/>
      </c>
      <c r="B59" s="4">
        <f>'Gemini 3 Pro Generation'!B59</f>
        <v/>
      </c>
      <c r="C59" s="5" t="n"/>
      <c r="D59" s="5" t="n"/>
    </row>
    <row r="60" ht="12.75" customHeight="1" s="69">
      <c r="A60" s="4">
        <f>'Gemini 3 Pro Generation'!A60</f>
        <v/>
      </c>
      <c r="B60" s="4">
        <f>'Gemini 3 Pro Generation'!B60</f>
        <v/>
      </c>
      <c r="C60" s="5" t="n"/>
      <c r="D60" s="5" t="n"/>
    </row>
    <row r="61" ht="12.75" customHeight="1" s="69">
      <c r="A61" s="4">
        <f>'Gemini 3 Pro Generation'!A61</f>
        <v/>
      </c>
      <c r="B61" s="4">
        <f>'Gemini 3 Pro Generation'!B61</f>
        <v/>
      </c>
      <c r="C61" s="5" t="n"/>
      <c r="D61" s="5" t="n"/>
    </row>
    <row r="62" ht="12.75" customHeight="1" s="69">
      <c r="A62" s="4">
        <f>'Gemini 3 Pro Generation'!A62</f>
        <v/>
      </c>
      <c r="B62" s="4">
        <f>'Gemini 3 Pro Generation'!B62</f>
        <v/>
      </c>
      <c r="C62" s="5" t="n"/>
      <c r="D62" s="5" t="n"/>
    </row>
    <row r="63" ht="12.75" customHeight="1" s="69">
      <c r="A63" s="4">
        <f>'Gemini 3 Pro Generation'!A63</f>
        <v/>
      </c>
      <c r="B63" s="4">
        <f>'Gemini 3 Pro Generation'!B63</f>
        <v/>
      </c>
      <c r="C63" s="5" t="n"/>
      <c r="D63" s="5" t="n"/>
    </row>
    <row r="64" ht="12.75" customHeight="1" s="69">
      <c r="A64" s="4">
        <f>'Gemini 3 Pro Generation'!A64</f>
        <v/>
      </c>
      <c r="B64" s="4">
        <f>'Gemini 3 Pro Generation'!B64</f>
        <v/>
      </c>
      <c r="C64" s="5" t="n"/>
      <c r="D64" s="5" t="n"/>
    </row>
    <row r="65" ht="12.75" customHeight="1" s="69">
      <c r="A65" s="4">
        <f>'Gemini 3 Pro Generation'!A65</f>
        <v/>
      </c>
      <c r="B65" s="4">
        <f>'Gemini 3 Pro Generation'!B65</f>
        <v/>
      </c>
      <c r="C65" s="5" t="n"/>
      <c r="D65" s="5" t="n"/>
    </row>
    <row r="66" ht="12.75" customHeight="1" s="69">
      <c r="A66" s="4">
        <f>'Gemini 3 Pro Generation'!A66</f>
        <v/>
      </c>
      <c r="B66" s="4">
        <f>'Gemini 3 Pro Generation'!B66</f>
        <v/>
      </c>
      <c r="C66" s="5" t="n"/>
      <c r="D66" s="5" t="n"/>
    </row>
    <row r="67" ht="12.75" customHeight="1" s="69">
      <c r="A67" s="4">
        <f>'Gemini 3 Pro Generation'!A67</f>
        <v/>
      </c>
      <c r="B67" s="4">
        <f>'Gemini 3 Pro Generation'!B67</f>
        <v/>
      </c>
      <c r="C67" s="5" t="n"/>
      <c r="D67" s="5" t="n"/>
    </row>
    <row r="68" ht="12.75" customHeight="1" s="69">
      <c r="A68" s="4">
        <f>'Gemini 3 Pro Generation'!A68</f>
        <v/>
      </c>
      <c r="B68" s="4">
        <f>'Gemini 3 Pro Generation'!B68</f>
        <v/>
      </c>
    </row>
    <row r="69" ht="12.75" customHeight="1" s="69">
      <c r="A69" s="4">
        <f>'Gemini 3 Pro Generation'!A69</f>
        <v/>
      </c>
      <c r="B69" s="4">
        <f>'Gemini 3 Pro Generation'!B69</f>
        <v/>
      </c>
    </row>
    <row r="70" ht="12.75" customHeight="1" s="69">
      <c r="A70" s="4">
        <f>'Gemini 3 Pro Generation'!A70</f>
        <v/>
      </c>
      <c r="B70" s="4">
        <f>'Gemini 3 Pro Generation'!B70</f>
        <v/>
      </c>
    </row>
    <row r="71" ht="12.75" customHeight="1" s="69">
      <c r="A71" s="6">
        <f>'Gemini 3 Pro Generation'!A71</f>
        <v/>
      </c>
      <c r="B71" s="6">
        <f>'Gemini 3 Pro Generation'!B71</f>
        <v/>
      </c>
    </row>
    <row r="72" ht="12.75" customHeight="1" s="69">
      <c r="A72" s="7">
        <f>'Gemini 3 Pro Generation'!A72</f>
        <v/>
      </c>
      <c r="B72" s="7">
        <f>'Gemini 3 Pro Generation'!B72</f>
        <v/>
      </c>
    </row>
    <row r="73" ht="12.75" customHeight="1" s="69">
      <c r="A73" s="4">
        <f>'Gemini 3 Pro Generation'!A73</f>
        <v/>
      </c>
      <c r="B73" s="4">
        <f>'Gemini 3 Pro Generation'!B73</f>
        <v/>
      </c>
    </row>
    <row r="74" ht="12.75" customHeight="1" s="69">
      <c r="A74" s="4">
        <f>'Gemini 3 Pro Generation'!A74</f>
        <v/>
      </c>
      <c r="B74" s="4">
        <f>'Gemini 3 Pro Generation'!B74</f>
        <v/>
      </c>
    </row>
    <row r="75" ht="12.75" customHeight="1" s="69">
      <c r="A75" s="4">
        <f>'Gemini 3 Pro Generation'!A75</f>
        <v/>
      </c>
      <c r="B75" s="4">
        <f>'Gemini 3 Pro Generation'!B75</f>
        <v/>
      </c>
    </row>
    <row r="76" ht="12.75" customHeight="1" s="69">
      <c r="A76" s="4">
        <f>'Gemini 3 Pro Generation'!A76</f>
        <v/>
      </c>
      <c r="B76" s="4">
        <f>'Gemini 3 Pro Generation'!B76</f>
        <v/>
      </c>
    </row>
    <row r="77" ht="12.75" customHeight="1" s="69">
      <c r="A77" s="4">
        <f>'Gemini 3 Pro Generation'!A77</f>
        <v/>
      </c>
      <c r="B77" s="4">
        <f>'Gemini 3 Pro Generation'!B77</f>
        <v/>
      </c>
    </row>
    <row r="78" ht="12.75" customHeight="1" s="69">
      <c r="A78" s="4">
        <f>'Gemini 3 Pro Generation'!A78</f>
        <v/>
      </c>
      <c r="B78" s="4">
        <f>'Gemini 3 Pro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1" sqref="C1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Gemini 3 Pro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1</v>
      </c>
      <c r="D2" s="12" t="inlineStr">
        <is>
          <t>Present as [*] --&gt; Scheduled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1</v>
      </c>
      <c r="D3" s="15" t="inlineStr">
        <is>
          <t>Present in student submission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1</v>
      </c>
      <c r="D4" s="12" t="inlineStr">
        <is>
          <t>Present as atStartOfStopDuration transition from Scheduled to Active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Both actions present: pOn() and setCS(firstSegment)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Present as composite state with regions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Present as ControlRegion containing train control logic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Present as Control composite state containing movement states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Present as [*] --&gt; AtStation within Control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Present in student submission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Present as entry action in AtStation note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inlineStr">
        <is>
          <t>Present as closeDoors() action on transition from AtStation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Present as transition from AtStation to Moving after stopDuration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Present as [!finalStation] guard on transition from AtStation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</v>
      </c>
      <c r="D15" s="15" t="inlineStr">
        <is>
          <t>No explicit Arrived state; final station handled by transition to Off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Present as [finalStation] guard on transition to Off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Present as pOff() on transition to Off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Represented by Moving state which handles non-stop movement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Present as setSpeed action on transitions entering Moving state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Present as self-transition on Moving for regular segments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Present as [regular] guard on Moving self-transition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Present as transition from Moving to StoppingAtLight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Present as [trafficLight &amp;&amp; red] guard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Present as self-transition on Moving for green traffic lights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Present as [trafficLight &amp;&amp; green] guard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Present as transition from Moving to StoppingAtStation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Present as [station] guard (station implies stop required per system description)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Present as StoppingAtLight state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Present as stopAL action on transition to StoppingAtLight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Present as transition from StoppingAtLight to WaitingAtLight on stopped event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Present as WaitingAtLight state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Present as transition from WaitingAtLight to Moving on green event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Present as StoppingAtStation state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Present as stopAL action on transition to StoppingAtStation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Present as transition from StoppingAtStation to AtStation on stopped event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Present as H state in Control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Present in ControlRegion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Present as transition from Control to Emergency on obstructed event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Present as eStop() action on transition to Emergency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Present as transition from Emergency to H on cleared event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Present as SDSRegion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Present as [*] --&gt; SDS_Running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Present as SDS_Running state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Present as self-transition with after(1s) trigger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Present as [newSegmentDetected] guard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setCS present but enteringSegment event not explicitly generated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0.5</v>
      </c>
      <c r="D47" s="12" t="inlineStr">
        <is>
          <t>Self-transition present but no explicit else-branch without segment change guard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0</v>
      </c>
      <c r="D48" s="15" t="inlineStr">
        <is>
          <t>No explicit guard for when segment has not changed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Present as MDSRegion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0</v>
      </c>
      <c r="D50" s="15" t="inlineStr">
        <is>
          <t>Initial state goes to MDS_Running not to a Stopped state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No explicit Stopped state; MDS_Running performs checks but does not model stopped/moving distinction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No transition between Stopped and Moving states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No speed-based guards in MDS region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0</v>
      </c>
      <c r="D54" s="15" t="inlineStr">
        <is>
          <t>No self-transition on Stopped state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No speed-based guards in MDS region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</v>
      </c>
      <c r="D56" s="15" t="inlineStr">
        <is>
          <t>No stopped() event generation in MDS region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No Moving state in MDS region (Moving exists in Control region but not in MDS)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No transition from Moving to Stopped in MDS region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No speed-based guards in MDS region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0</v>
      </c>
      <c r="D60" s="15" t="inlineStr">
        <is>
          <t>No stopped() event generation in MDS region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0</v>
      </c>
      <c r="D61" s="19" t="inlineStr">
        <is>
          <t>No self-transition on Moving in MDS region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2" t="inlineStr">
        <is>
          <t>No speed-based guards in MDS region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Present as ODSRegion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Present as [*] --&gt; ODS_Running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Present as ODS_Running state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Present as self-transition with after(1s) trigger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0.5</v>
      </c>
      <c r="D67" s="19" t="inlineStr">
        <is>
          <t>Implicit in checkObstruction() but not explicit guard shown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inlineStr">
        <is>
          <t>Emergency triggered via obstructed event to Control region but not shown as action in ODS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0.5</v>
      </c>
      <c r="D69" s="19" t="inlineStr">
        <is>
          <t>Self-transition present but no explicit else-branch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0</v>
      </c>
      <c r="D70" s="19" t="inlineStr">
        <is>
          <t>No explicit guard for when no obstacle detected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explicit Arrived state; final station handled by transition to Off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zoomScale="168" workbookViewId="0">
      <selection activeCell="M18" sqref="M18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Gemini 3 Pro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SUMIF('Gemini 3 Pro Generation'!$A$2:$A$71, $A3, 'Gemini 3 Pro Generation'!$C$2:$C$71)</f>
        <v/>
      </c>
      <c r="D3" s="26">
        <f>SUMIF('Gemini 3 Pro Generation'!$A$72:$A$78, $A3, 'Gemini 3 Pro Generation'!$C$72:$C$78)</f>
        <v/>
      </c>
      <c r="E3" s="26">
        <f>COUNTIFS('Gemini 3 Pro Generation'!$A$2:$A$71, $A3, 'Gemini 3 Pro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SUMIF('Gemini 3 Pro Generation'!$A$2:$A$71, $A4, 'Gemini 3 Pro Generation'!$C$2:$C$71)</f>
        <v/>
      </c>
      <c r="D4" s="26">
        <f>SUMIF('Gemini 3 Pro Generation'!$A$72:$A$78, $A4, 'Gemini 3 Pro Generation'!$C$72:$C$78)</f>
        <v/>
      </c>
      <c r="E4" s="26">
        <f>COUNTIFS('Gemini 3 Pro Generation'!$A$2:$A$71, $A4, 'Gemini 3 Pro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SUMIF('Gemini 3 Pro Generation'!$A$2:$A$71, $A5, 'Gemini 3 Pro Generation'!$C$2:$C$71)</f>
        <v/>
      </c>
      <c r="D5" s="26">
        <f>SUMIF('Gemini 3 Pro Generation'!$A$72:$A$78, $A5, 'Gemini 3 Pro Generation'!$C$72:$C$78)</f>
        <v/>
      </c>
      <c r="E5" s="26">
        <f>COUNTIFS('Gemini 3 Pro Generation'!$A$2:$A$71, $A5, 'Gemini 3 Pro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Sonnet 4.5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SUMIF('Gemini 3 Pro Generation'!$A$2:$A$71, $A6, 'Gemini 3 Pro Generation'!$C$2:$C$71)</f>
        <v/>
      </c>
      <c r="D6" s="26">
        <f>SUMIF('Gemini 3 Pro Generation'!$A$72:$A$78, $A6, 'Gemini 3 Pro Generation'!$C$72:$C$78)</f>
        <v/>
      </c>
      <c r="E6" s="26">
        <f>COUNTIFS('Gemini 3 Pro Generation'!$A$2:$A$71, $A6, 'Gemini 3 Pro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SUMIF('Gemini 3 Pro Generation'!$A$2:$A$71, $A7, 'Gemini 3 Pro Generation'!$C$2:$C$71)</f>
        <v/>
      </c>
      <c r="D7" s="26">
        <f>SUMIF('Gemini 3 Pro Generation'!$A$72:$A$78, $A7, 'Gemini 3 Pro Generation'!$C$72:$C$78)</f>
        <v/>
      </c>
      <c r="E7" s="26">
        <f>COUNTIFS('Gemini 3 Pro Generation'!$A$2:$A$71, $A7, 'Gemini 3 Pro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3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SUMIF('Gemini 3 Pro Generation'!$A$2:$A$71, $A8, 'Gemini 3 Pro Generation'!$C$2:$C$71)</f>
        <v/>
      </c>
      <c r="D8" s="26">
        <f>SUMIF('Gemini 3 Pro Generation'!$A$72:$A$78, $A8, 'Gemini 3 Pro Generation'!$C$72:$C$78)</f>
        <v/>
      </c>
      <c r="E8" s="26">
        <f>COUNTIFS('Gemini 3 Pro Generation'!$A$2:$A$71, $A8, 'Gemini 3 Pro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4" t="inlineStr">
        <is>
          <t>Gemini 3 Pro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SUMIF('Gemini 3 Pro Generation'!$A$2:$A$71, $A9, 'Gemini 3 Pro Generation'!$C$2:$C$71)</f>
        <v/>
      </c>
      <c r="D9" s="26">
        <f>SUMIF('Gemini 3 Pro Generation'!$A$72:$A$78, $A9, 'Gemini 3 Pro Generation'!$C$72:$C$78)</f>
        <v/>
      </c>
      <c r="E9" s="26">
        <f>COUNTIFS('Gemini 3 Pro Generation'!$A$2:$A$71, $A9, 'Gemini 3 Pro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4" t="inlineStr">
        <is>
          <t>Claude Sonnet 4.5</t>
        </is>
      </c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inlineStr">
        <is>
          <t>Generated by Claude Sonnet 4.5</t>
        </is>
      </c>
    </row>
    <row r="13" ht="15.75" customHeight="1" s="69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69">
      <c r="A14" s="25" t="inlineStr">
        <is>
          <t>Composite state</t>
        </is>
      </c>
      <c r="B14" s="26">
        <f>COUNTIF('Train Automation System'!$A$2:$A$71, A14)</f>
        <v/>
      </c>
      <c r="C14" s="26">
        <f>SUMIF('Claude Sonnet 4.5 Gen'!$A$2:$A$71, $A14, 'Claude Sonnet 4.5 Gen'!$C$2:$C$71)</f>
        <v/>
      </c>
      <c r="D14" s="26">
        <f>SUMIF('Claude Sonnet 4.5 Gen'!$A$72:$A$78, $A14, 'Claude Sonnet 4.5 Gen'!$C$72:$C$78)</f>
        <v/>
      </c>
      <c r="E14" s="26">
        <f>COUNTIFS('Claude Sonnet 4.5 Gen'!$A$2:$A$71, $A14, 'Claude Sonnet 4.5 Gen'!$C$2:$C$71,0)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69">
      <c r="A15" s="28" t="inlineStr">
        <is>
          <t>State</t>
        </is>
      </c>
      <c r="B15" s="26">
        <f>COUNTIF('Train Automation System'!$A$2:$A$71, A15)</f>
        <v/>
      </c>
      <c r="C15" s="26">
        <f>SUMIF('Claude Sonnet 4.5 Gen'!$A$2:$A$71, $A15, 'Claude Sonnet 4.5 Gen'!$C$2:$C$71)</f>
        <v/>
      </c>
      <c r="D15" s="26">
        <f>SUMIF('Claude Sonnet 4.5 Gen'!$A$72:$A$78, $A15, 'Claude Sonnet 4.5 Gen'!$C$72:$C$78)</f>
        <v/>
      </c>
      <c r="E15" s="26">
        <f>COUNTIFS('Claude Sonnet 4.5 Gen'!$A$2:$A$71, $A15, 'Claude Sonnet 4.5 Gen'!$C$2:$C$71,0)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69">
      <c r="A16" s="28" t="inlineStr">
        <is>
          <t>Transition</t>
        </is>
      </c>
      <c r="B16" s="26">
        <f>COUNTIF('Train Automation System'!$A$2:$A$71, A16)</f>
        <v/>
      </c>
      <c r="C16" s="26">
        <f>SUMIF('Claude Sonnet 4.5 Gen'!$A$2:$A$71, $A16, 'Claude Sonnet 4.5 Gen'!$C$2:$C$71)</f>
        <v/>
      </c>
      <c r="D16" s="26">
        <f>SUMIF('Claude Sonnet 4.5 Gen'!$A$72:$A$78, $A16, 'Claude Sonnet 4.5 Gen'!$C$72:$C$78)</f>
        <v/>
      </c>
      <c r="E16" s="26">
        <f>COUNTIFS('Claude Sonnet 4.5 Gen'!$A$2:$A$71, $A16, 'Claude Sonnet 4.5 Gen'!$C$2:$C$71,0)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69">
      <c r="A17" s="28" t="inlineStr">
        <is>
          <t>Action</t>
        </is>
      </c>
      <c r="B17" s="26">
        <f>COUNTIF('Train Automation System'!$A$2:$A$71, A17)</f>
        <v/>
      </c>
      <c r="C17" s="26">
        <f>SUMIF('Claude Sonnet 4.5 Gen'!$A$2:$A$71, $A17, 'Claude Sonnet 4.5 Gen'!$C$2:$C$71)</f>
        <v/>
      </c>
      <c r="D17" s="26">
        <f>SUMIF('Claude Sonnet 4.5 Gen'!$A$72:$A$78, $A17, 'Claude Sonnet 4.5 Gen'!$C$72:$C$78)</f>
        <v/>
      </c>
      <c r="E17" s="26">
        <f>COUNTIFS('Claude Sonnet 4.5 Gen'!$A$2:$A$71, $A17, 'Claude Sonnet 4.5 Gen'!$C$2:$C$71,0)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69">
      <c r="A18" s="28" t="inlineStr">
        <is>
          <t>Region</t>
        </is>
      </c>
      <c r="B18" s="26">
        <f>COUNTIF('Train Automation System'!$A$2:$A$71, A18)</f>
        <v/>
      </c>
      <c r="C18" s="26">
        <f>SUMIF('Claude Sonnet 4.5 Gen'!$A$2:$A$71, $A18, 'Claude Sonnet 4.5 Gen'!$C$2:$C$71)</f>
        <v/>
      </c>
      <c r="D18" s="26">
        <f>SUMIF('Claude Sonnet 4.5 Gen'!$A$72:$A$78, $A18, 'Claude Sonnet 4.5 Gen'!$C$72:$C$78)</f>
        <v/>
      </c>
      <c r="E18" s="26">
        <f>COUNTIFS('Claude Sonnet 4.5 Gen'!$A$2:$A$71, $A18, 'Claude Sonnet 4.5 Gen'!$C$2:$C$71,0)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69">
      <c r="A19" s="28" t="inlineStr">
        <is>
          <t>History State</t>
        </is>
      </c>
      <c r="B19" s="26">
        <f>COUNTIF('Train Automation System'!$A$2:$A$71, A19)</f>
        <v/>
      </c>
      <c r="C19" s="26">
        <f>SUMIF('Claude Sonnet 4.5 Gen'!$A$2:$A$71, $A19, 'Claude Sonnet 4.5 Gen'!$C$2:$C$71)</f>
        <v/>
      </c>
      <c r="D19" s="26">
        <f>SUMIF('Claude Sonnet 4.5 Gen'!$A$72:$A$78, $A19, 'Claude Sonnet 4.5 Gen'!$C$72:$C$78)</f>
        <v/>
      </c>
      <c r="E19" s="26">
        <f>COUNTIFS('Claude Sonnet 4.5 Gen'!$A$2:$A$71, $A19, 'Claude Sonnet 4.5 Gen'!$C$2:$C$71,0)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69">
      <c r="A20" s="28" t="inlineStr">
        <is>
          <t>Guard</t>
        </is>
      </c>
      <c r="B20" s="26">
        <f>COUNTIF('Train Automation System'!$A$2:$A$71, A20)</f>
        <v/>
      </c>
      <c r="C20" s="26">
        <f>SUMIF('Claude Sonnet 4.5 Gen'!$A$2:$A$71, $A20, 'Claude Sonnet 4.5 Gen'!$C$2:$C$71)</f>
        <v/>
      </c>
      <c r="D20" s="26">
        <f>SUMIF('Claude Sonnet 4.5 Gen'!$A$72:$A$78, $A20, 'Claude Sonnet 4.5 Gen'!$C$72:$C$78)</f>
        <v/>
      </c>
      <c r="E20" s="26">
        <f>COUNTIFS('Claude Sonnet 4.5 Gen'!$A$2:$A$71, $A20, 'Claude Sonnet 4.5 Gen'!$C$2:$C$71,0)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69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2026-05-12T19:20:45Z</dcterms:modified>
  <cp:lastModifiedBy>Marc-Antoine Nadeau</cp:lastModifiedBy>
</cp:coreProperties>
</file>