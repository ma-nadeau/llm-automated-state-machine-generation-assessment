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2 stage/2026-03-12/"/>
    </mc:Choice>
  </mc:AlternateContent>
  <xr:revisionPtr revIDLastSave="0" documentId="8_{491717F7-473C-714C-BC1A-41AE0B3174AF}" xr6:coauthVersionLast="47" xr6:coauthVersionMax="47" xr10:uidLastSave="{00000000-0000-0000-0000-000000000000}"/>
  <bookViews>
    <workbookView xWindow="19780" yWindow="-21000" windowWidth="30240" windowHeight="17300" activeTab="5" xr2:uid="{00000000-000D-0000-FFFF-FFFF00000000}"/>
  </bookViews>
  <sheets>
    <sheet name="Train Automation System" sheetId="1" r:id="rId1"/>
    <sheet name="GPT-5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6" l="1"/>
  <c r="W5" i="6" s="1"/>
  <c r="D78" i="5"/>
  <c r="C78" i="5"/>
  <c r="B78" i="5"/>
  <c r="A78" i="5"/>
  <c r="D77" i="5"/>
  <c r="C77" i="5"/>
  <c r="B77" i="5"/>
  <c r="A77" i="5"/>
  <c r="D76" i="5"/>
  <c r="C76" i="5"/>
  <c r="G26" i="5" s="1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G32" i="5" s="1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D21" i="4"/>
  <c r="E20" i="4"/>
  <c r="D20" i="4"/>
  <c r="C20" i="4"/>
  <c r="F19" i="4"/>
  <c r="E19" i="4"/>
  <c r="D19" i="4"/>
  <c r="C19" i="4"/>
  <c r="E18" i="4"/>
  <c r="D18" i="4"/>
  <c r="F18" i="4" s="1"/>
  <c r="C18" i="4"/>
  <c r="E17" i="4"/>
  <c r="D17" i="4"/>
  <c r="C17" i="4"/>
  <c r="F17" i="4" s="1"/>
  <c r="F16" i="4"/>
  <c r="E16" i="4"/>
  <c r="D16" i="4"/>
  <c r="C16" i="4"/>
  <c r="E15" i="4"/>
  <c r="E21" i="4" s="1"/>
  <c r="D15" i="4"/>
  <c r="C15" i="4"/>
  <c r="F15" i="4" s="1"/>
  <c r="E14" i="4"/>
  <c r="D14" i="4"/>
  <c r="C14" i="4"/>
  <c r="E9" i="4"/>
  <c r="D9" i="4"/>
  <c r="F9" i="4" s="1"/>
  <c r="C9" i="4"/>
  <c r="E8" i="4"/>
  <c r="D8" i="4"/>
  <c r="C8" i="4"/>
  <c r="E7" i="4"/>
  <c r="D7" i="4"/>
  <c r="C7" i="4"/>
  <c r="F6" i="4"/>
  <c r="E6" i="4"/>
  <c r="D6" i="4"/>
  <c r="C6" i="4"/>
  <c r="E5" i="4"/>
  <c r="D5" i="4"/>
  <c r="C5" i="4"/>
  <c r="E4" i="4"/>
  <c r="D4" i="4"/>
  <c r="C4" i="4"/>
  <c r="F4" i="4" s="1"/>
  <c r="F3" i="4"/>
  <c r="E3" i="4"/>
  <c r="D3" i="4"/>
  <c r="C3" i="4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19" i="4" s="1"/>
  <c r="G19" i="4" s="1"/>
  <c r="H19" i="4" s="1"/>
  <c r="D78" i="6"/>
  <c r="C78" i="6"/>
  <c r="G47" i="6" s="1"/>
  <c r="B78" i="6"/>
  <c r="A78" i="6"/>
  <c r="D77" i="6"/>
  <c r="C77" i="6"/>
  <c r="B77" i="6"/>
  <c r="A77" i="6"/>
  <c r="D76" i="6"/>
  <c r="I24" i="6" s="1"/>
  <c r="C76" i="6"/>
  <c r="B76" i="6"/>
  <c r="A76" i="6"/>
  <c r="D75" i="6"/>
  <c r="C75" i="6"/>
  <c r="G40" i="6" s="1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H53" i="6" s="1"/>
  <c r="E10" i="4" l="1"/>
  <c r="G47" i="5"/>
  <c r="G5" i="5"/>
  <c r="G19" i="6"/>
  <c r="F5" i="4"/>
  <c r="G26" i="6"/>
  <c r="I4" i="6"/>
  <c r="I5" i="5"/>
  <c r="I31" i="5"/>
  <c r="H5" i="6"/>
  <c r="I12" i="6"/>
  <c r="D10" i="4"/>
  <c r="H54" i="5"/>
  <c r="I38" i="5"/>
  <c r="I3" i="5"/>
  <c r="I52" i="5"/>
  <c r="H18" i="5"/>
  <c r="H3" i="6"/>
  <c r="I45" i="6"/>
  <c r="H17" i="6"/>
  <c r="H12" i="5"/>
  <c r="G33" i="5"/>
  <c r="G10" i="6"/>
  <c r="I31" i="6"/>
  <c r="I18" i="6"/>
  <c r="H24" i="6"/>
  <c r="H27" i="6" s="1"/>
  <c r="H26" i="6"/>
  <c r="G32" i="6"/>
  <c r="I53" i="6"/>
  <c r="F7" i="4"/>
  <c r="B9" i="4"/>
  <c r="G9" i="4" s="1"/>
  <c r="H9" i="4" s="1"/>
  <c r="F20" i="4"/>
  <c r="H24" i="5"/>
  <c r="I25" i="5"/>
  <c r="I26" i="5"/>
  <c r="G45" i="5"/>
  <c r="H46" i="5"/>
  <c r="H47" i="5"/>
  <c r="I46" i="6"/>
  <c r="H52" i="6"/>
  <c r="I17" i="6"/>
  <c r="H25" i="6"/>
  <c r="G31" i="6"/>
  <c r="G33" i="6"/>
  <c r="I52" i="6"/>
  <c r="I54" i="6"/>
  <c r="H11" i="5"/>
  <c r="G12" i="6"/>
  <c r="I33" i="6"/>
  <c r="H39" i="6"/>
  <c r="H12" i="6"/>
  <c r="G3" i="6"/>
  <c r="G5" i="6"/>
  <c r="I26" i="6"/>
  <c r="H32" i="6"/>
  <c r="G38" i="6"/>
  <c r="B15" i="4"/>
  <c r="G15" i="4" s="1"/>
  <c r="H15" i="4" s="1"/>
  <c r="G18" i="5"/>
  <c r="G19" i="5"/>
  <c r="I24" i="5"/>
  <c r="H45" i="5"/>
  <c r="I46" i="5"/>
  <c r="I47" i="5"/>
  <c r="H19" i="5"/>
  <c r="G40" i="5"/>
  <c r="I45" i="5"/>
  <c r="I48" i="5" s="1"/>
  <c r="G11" i="6"/>
  <c r="J11" i="6" s="1"/>
  <c r="I32" i="6"/>
  <c r="H38" i="6"/>
  <c r="H40" i="6"/>
  <c r="J40" i="6" s="1"/>
  <c r="G46" i="6"/>
  <c r="B5" i="4"/>
  <c r="G5" i="4" s="1"/>
  <c r="H5" i="4" s="1"/>
  <c r="B18" i="4"/>
  <c r="G18" i="4" s="1"/>
  <c r="H18" i="4" s="1"/>
  <c r="G17" i="5"/>
  <c r="G39" i="5"/>
  <c r="I3" i="6"/>
  <c r="I5" i="6"/>
  <c r="H11" i="6"/>
  <c r="G17" i="6"/>
  <c r="I38" i="6"/>
  <c r="I40" i="6"/>
  <c r="H46" i="6"/>
  <c r="G52" i="6"/>
  <c r="G54" i="6"/>
  <c r="B8" i="4"/>
  <c r="G8" i="4" s="1"/>
  <c r="H17" i="5"/>
  <c r="H20" i="5" s="1"/>
  <c r="I18" i="5"/>
  <c r="I19" i="5"/>
  <c r="G38" i="5"/>
  <c r="H39" i="5"/>
  <c r="H41" i="5" s="1"/>
  <c r="H40" i="5"/>
  <c r="B14" i="4"/>
  <c r="G14" i="4" s="1"/>
  <c r="C21" i="4"/>
  <c r="G11" i="5"/>
  <c r="J11" i="5" s="1"/>
  <c r="G12" i="5"/>
  <c r="J12" i="5" s="1"/>
  <c r="I17" i="5"/>
  <c r="H38" i="5"/>
  <c r="I39" i="5"/>
  <c r="I40" i="5"/>
  <c r="B17" i="4"/>
  <c r="G17" i="4" s="1"/>
  <c r="H17" i="4" s="1"/>
  <c r="G10" i="5"/>
  <c r="I11" i="6"/>
  <c r="G4" i="6"/>
  <c r="I25" i="6"/>
  <c r="I27" i="6" s="1"/>
  <c r="H31" i="6"/>
  <c r="H33" i="6"/>
  <c r="G39" i="6"/>
  <c r="B7" i="4"/>
  <c r="G7" i="4" s="1"/>
  <c r="B20" i="4"/>
  <c r="G20" i="4" s="1"/>
  <c r="H10" i="5"/>
  <c r="H13" i="5" s="1"/>
  <c r="I11" i="5"/>
  <c r="I12" i="5"/>
  <c r="G31" i="5"/>
  <c r="H32" i="5"/>
  <c r="J32" i="5" s="1"/>
  <c r="H33" i="5"/>
  <c r="G53" i="5"/>
  <c r="J53" i="5" s="1"/>
  <c r="G54" i="5"/>
  <c r="F8" i="4"/>
  <c r="G4" i="5"/>
  <c r="I10" i="5"/>
  <c r="I13" i="5" s="1"/>
  <c r="H31" i="5"/>
  <c r="I32" i="5"/>
  <c r="I33" i="5"/>
  <c r="G52" i="5"/>
  <c r="H53" i="5"/>
  <c r="H4" i="6"/>
  <c r="H6" i="6" s="1"/>
  <c r="G45" i="6"/>
  <c r="H47" i="6"/>
  <c r="J47" i="6" s="1"/>
  <c r="B3" i="4"/>
  <c r="C10" i="4"/>
  <c r="F14" i="4"/>
  <c r="B16" i="4"/>
  <c r="G16" i="4" s="1"/>
  <c r="H16" i="4" s="1"/>
  <c r="G3" i="5"/>
  <c r="H4" i="5"/>
  <c r="H5" i="5"/>
  <c r="J5" i="5" s="1"/>
  <c r="G25" i="5"/>
  <c r="J25" i="5" s="1"/>
  <c r="H52" i="5"/>
  <c r="I53" i="5"/>
  <c r="I54" i="5"/>
  <c r="H19" i="6"/>
  <c r="J19" i="6" s="1"/>
  <c r="G25" i="6"/>
  <c r="H54" i="6"/>
  <c r="I19" i="6"/>
  <c r="B4" i="4"/>
  <c r="G4" i="4" s="1"/>
  <c r="H4" i="4" s="1"/>
  <c r="H10" i="6"/>
  <c r="H13" i="6" s="1"/>
  <c r="G18" i="6"/>
  <c r="J18" i="6" s="1"/>
  <c r="I39" i="6"/>
  <c r="H45" i="6"/>
  <c r="H48" i="6" s="1"/>
  <c r="G53" i="6"/>
  <c r="J53" i="6" s="1"/>
  <c r="I10" i="6"/>
  <c r="I13" i="6" s="1"/>
  <c r="H18" i="6"/>
  <c r="G24" i="6"/>
  <c r="I47" i="6"/>
  <c r="B6" i="4"/>
  <c r="G6" i="4" s="1"/>
  <c r="H6" i="4" s="1"/>
  <c r="H3" i="5"/>
  <c r="H6" i="5" s="1"/>
  <c r="I4" i="5"/>
  <c r="I6" i="5" s="1"/>
  <c r="G24" i="5"/>
  <c r="H25" i="5"/>
  <c r="H26" i="5"/>
  <c r="J26" i="5" s="1"/>
  <c r="G46" i="5"/>
  <c r="J46" i="5" s="1"/>
  <c r="I27" i="5" l="1"/>
  <c r="H55" i="6"/>
  <c r="I55" i="5"/>
  <c r="I41" i="5"/>
  <c r="J47" i="5"/>
  <c r="J32" i="6"/>
  <c r="J39" i="6"/>
  <c r="J26" i="6"/>
  <c r="J40" i="5"/>
  <c r="I34" i="5"/>
  <c r="I48" i="6"/>
  <c r="J46" i="6"/>
  <c r="H48" i="5"/>
  <c r="R47" i="6"/>
  <c r="S47" i="6"/>
  <c r="B10" i="4"/>
  <c r="G3" i="4"/>
  <c r="H3" i="4" s="1"/>
  <c r="G27" i="5"/>
  <c r="M24" i="5"/>
  <c r="J24" i="5"/>
  <c r="H55" i="5"/>
  <c r="G48" i="6"/>
  <c r="J48" i="6"/>
  <c r="W45" i="6" s="1"/>
  <c r="J45" i="6"/>
  <c r="J54" i="5"/>
  <c r="J18" i="5"/>
  <c r="J12" i="6"/>
  <c r="H20" i="6"/>
  <c r="I55" i="6"/>
  <c r="G55" i="5"/>
  <c r="M52" i="5"/>
  <c r="J52" i="5"/>
  <c r="H34" i="6"/>
  <c r="I6" i="6"/>
  <c r="J39" i="5"/>
  <c r="J27" i="6"/>
  <c r="G27" i="6"/>
  <c r="J24" i="6"/>
  <c r="J4" i="6"/>
  <c r="F21" i="4"/>
  <c r="G55" i="6"/>
  <c r="J52" i="6"/>
  <c r="J55" i="6"/>
  <c r="S53" i="6" s="1"/>
  <c r="J5" i="6"/>
  <c r="J31" i="6"/>
  <c r="J34" i="6"/>
  <c r="G34" i="6"/>
  <c r="H27" i="5"/>
  <c r="J41" i="6"/>
  <c r="R40" i="6" s="1"/>
  <c r="G41" i="6"/>
  <c r="J38" i="6"/>
  <c r="G48" i="5"/>
  <c r="M45" i="5"/>
  <c r="J45" i="5"/>
  <c r="G6" i="5"/>
  <c r="M3" i="5"/>
  <c r="J3" i="5"/>
  <c r="J31" i="5"/>
  <c r="G34" i="5"/>
  <c r="M31" i="5"/>
  <c r="J54" i="6"/>
  <c r="M17" i="5"/>
  <c r="G20" i="5"/>
  <c r="J17" i="5"/>
  <c r="J33" i="6"/>
  <c r="J25" i="6"/>
  <c r="H14" i="4"/>
  <c r="H34" i="5"/>
  <c r="B21" i="4"/>
  <c r="G21" i="4" s="1"/>
  <c r="J6" i="6"/>
  <c r="W3" i="6" s="1"/>
  <c r="G6" i="6"/>
  <c r="J3" i="6"/>
  <c r="H20" i="4"/>
  <c r="I34" i="6"/>
  <c r="I20" i="5"/>
  <c r="G10" i="4"/>
  <c r="F10" i="4"/>
  <c r="M10" i="5"/>
  <c r="J10" i="5"/>
  <c r="G13" i="5"/>
  <c r="T46" i="6"/>
  <c r="S46" i="6"/>
  <c r="I20" i="6"/>
  <c r="G13" i="6"/>
  <c r="J10" i="6"/>
  <c r="J13" i="6"/>
  <c r="T11" i="6" s="1"/>
  <c r="J33" i="5"/>
  <c r="J4" i="5"/>
  <c r="I41" i="6"/>
  <c r="H41" i="6"/>
  <c r="H8" i="4"/>
  <c r="M38" i="5"/>
  <c r="J38" i="5"/>
  <c r="G41" i="5"/>
  <c r="G20" i="6"/>
  <c r="J17" i="6"/>
  <c r="J20" i="6"/>
  <c r="S18" i="6" s="1"/>
  <c r="J19" i="5"/>
  <c r="H7" i="4"/>
  <c r="M25" i="5" l="1" a="1"/>
  <c r="M25" i="5" s="1"/>
  <c r="M11" i="5" a="1"/>
  <c r="M11" i="5" s="1"/>
  <c r="M12" i="5" s="1"/>
  <c r="W17" i="6"/>
  <c r="T32" i="6"/>
  <c r="T26" i="6"/>
  <c r="W24" i="6"/>
  <c r="M39" i="5" a="1"/>
  <c r="M39" i="5" s="1"/>
  <c r="M40" i="5" s="1"/>
  <c r="R46" i="6"/>
  <c r="T17" i="6"/>
  <c r="S17" i="6"/>
  <c r="R17" i="6"/>
  <c r="W31" i="6"/>
  <c r="S4" i="6"/>
  <c r="R4" i="6"/>
  <c r="T4" i="6"/>
  <c r="R11" i="6"/>
  <c r="S40" i="6"/>
  <c r="T54" i="6"/>
  <c r="S54" i="6"/>
  <c r="R54" i="6"/>
  <c r="S38" i="6"/>
  <c r="R38" i="6"/>
  <c r="T38" i="6"/>
  <c r="S24" i="6"/>
  <c r="T24" i="6"/>
  <c r="R24" i="6"/>
  <c r="M53" i="5" a="1"/>
  <c r="M53" i="5" s="1"/>
  <c r="M54" i="5" s="1"/>
  <c r="M26" i="5"/>
  <c r="R19" i="6"/>
  <c r="W38" i="6"/>
  <c r="T31" i="6"/>
  <c r="S31" i="6"/>
  <c r="R31" i="6"/>
  <c r="R12" i="6"/>
  <c r="T12" i="6"/>
  <c r="S12" i="6"/>
  <c r="S19" i="6"/>
  <c r="S5" i="6"/>
  <c r="R5" i="6"/>
  <c r="T5" i="6"/>
  <c r="T19" i="6"/>
  <c r="M4" i="5" a="1"/>
  <c r="M4" i="5" s="1"/>
  <c r="T39" i="6"/>
  <c r="W52" i="6"/>
  <c r="R32" i="6"/>
  <c r="R45" i="6"/>
  <c r="T45" i="6"/>
  <c r="S45" i="6"/>
  <c r="R53" i="6"/>
  <c r="M5" i="5"/>
  <c r="R39" i="6"/>
  <c r="T52" i="6"/>
  <c r="S52" i="6"/>
  <c r="R52" i="6"/>
  <c r="S32" i="6"/>
  <c r="T53" i="6"/>
  <c r="T47" i="6"/>
  <c r="T25" i="6"/>
  <c r="S25" i="6"/>
  <c r="R25" i="6"/>
  <c r="T33" i="6"/>
  <c r="S33" i="6"/>
  <c r="R33" i="6"/>
  <c r="S39" i="6"/>
  <c r="R18" i="6"/>
  <c r="R26" i="6"/>
  <c r="T10" i="6"/>
  <c r="R10" i="6"/>
  <c r="S10" i="6"/>
  <c r="H10" i="4"/>
  <c r="M18" i="5" a="1"/>
  <c r="M18" i="5" s="1"/>
  <c r="M19" i="5" s="1"/>
  <c r="M46" i="5" a="1"/>
  <c r="M46" i="5" s="1"/>
  <c r="M47" i="5" s="1"/>
  <c r="H21" i="4"/>
  <c r="T18" i="6"/>
  <c r="S11" i="6"/>
  <c r="T40" i="6"/>
  <c r="S26" i="6"/>
  <c r="M32" i="5" a="1"/>
  <c r="M32" i="5" s="1"/>
  <c r="M33" i="5" s="1"/>
  <c r="W10" i="6"/>
  <c r="S3" i="6"/>
  <c r="R3" i="6"/>
  <c r="T3" i="6"/>
  <c r="W46" i="6" l="1"/>
  <c r="W47" i="6" s="1"/>
  <c r="W11" i="6"/>
  <c r="W32" i="6"/>
  <c r="W33" i="6" s="1"/>
  <c r="W12" i="6"/>
  <c r="W39" i="6"/>
  <c r="W40" i="6" s="1"/>
  <c r="W18" i="6"/>
  <c r="W19" i="6" s="1"/>
  <c r="W53" i="6"/>
  <c r="W54" i="6" s="1"/>
  <c r="W25" i="6"/>
  <c r="W26" i="6" s="1"/>
</calcChain>
</file>

<file path=xl/sharedStrings.xml><?xml version="1.0" encoding="utf-8"?>
<sst xmlns="http://schemas.openxmlformats.org/spreadsheetml/2006/main" count="840" uniqueCount="283">
  <si>
    <t>Type</t>
  </si>
  <si>
    <t>Element</t>
  </si>
  <si>
    <t>GPT-5</t>
  </si>
  <si>
    <t>Claude Sonnet 4.5</t>
  </si>
  <si>
    <t>Confusion Matrix</t>
  </si>
  <si>
    <t>Weight Matrix</t>
  </si>
  <si>
    <t>Global</t>
  </si>
  <si>
    <t>0</t>
  </si>
  <si>
    <t>0.5</t>
  </si>
  <si>
    <t>1</t>
  </si>
  <si>
    <t>Row Totals</t>
  </si>
  <si>
    <t>Value</t>
  </si>
  <si>
    <t>Note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</si>
  <si>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</si>
  <si>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</si>
  <si>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</si>
  <si>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</si>
  <si>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Cohen's Kappa</t>
  </si>
  <si>
    <t>1 - (D_obs / D_exp)</t>
  </si>
  <si>
    <t>Column Totals</t>
  </si>
  <si>
    <t>Confusion Matrix (State)</t>
  </si>
  <si>
    <t>State</t>
  </si>
  <si>
    <t>Confusion Matrix (Transition)</t>
  </si>
  <si>
    <t>Transition</t>
  </si>
  <si>
    <t>Confusion Matrix (Composite State)</t>
  </si>
  <si>
    <t>Composite State</t>
  </si>
  <si>
    <t>Confusion Matrix (Guard)</t>
  </si>
  <si>
    <t>Guard</t>
  </si>
  <si>
    <t>Confusion Matrix (Action)</t>
  </si>
  <si>
    <t>Action</t>
  </si>
  <si>
    <t>Confusion Matrix (History State)</t>
  </si>
  <si>
    <t>History State</t>
  </si>
  <si>
    <t>Confusion Matrix (Region)</t>
  </si>
  <si>
    <t>Region</t>
  </si>
  <si>
    <t>Notes</t>
  </si>
  <si>
    <t>Initial state (→ Scheduled)</t>
  </si>
  <si>
    <t>Scheduled</t>
  </si>
  <si>
    <t>at beginningStopDuration (Scheduled ⇒ Active)</t>
  </si>
  <si>
    <t>pOn; setCS;</t>
  </si>
  <si>
    <t>Active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</si>
  <si>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</si>
  <si>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</si>
  <si>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</si>
  <si>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</si>
  <si>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</si>
  <si>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</si>
  <si>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</si>
  <si>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</si>
  <si>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</si>
  <si>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</si>
  <si>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</si>
  <si>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</si>
  <si>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</si>
  <si>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</si>
  <si>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</si>
  <si>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</si>
  <si>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</si>
  <si>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</si>
  <si>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</si>
  <si>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</si>
  <si>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</si>
  <si>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</si>
  <si>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</si>
  <si>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</si>
  <si>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</si>
  <si>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</si>
  <si>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</si>
  <si>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</si>
  <si>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</si>
  <si>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</si>
  <si>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</si>
  <si>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</si>
  <si>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</si>
  <si>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</si>
  <si>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</si>
  <si>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</si>
  <si>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</si>
  <si>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</si>
  <si>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</si>
  <si>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</si>
  <si>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</si>
  <si>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</si>
  <si>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</si>
  <si>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</si>
  <si>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</si>
  <si>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</si>
  <si>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</si>
  <si>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</si>
  <si>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</si>
  <si>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</si>
  <si>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</si>
  <si>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</si>
  <si>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</si>
  <si>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</si>
  <si>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</si>
  <si>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</si>
  <si>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</si>
  <si>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</si>
  <si>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</si>
  <si>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Rater 2</t>
  </si>
  <si>
    <t>Student model starts with Off state instead of Scheduled; no Scheduled state exists</t>
  </si>
  <si>
    <t>No Scheduled state in student submission</t>
  </si>
  <si>
    <t>at_beginningStopDuration (Scheduled ⇒ Active)</t>
  </si>
  <si>
    <t>No Scheduled state or corresponding transition exists</t>
  </si>
  <si>
    <t>pOn() exists on Off→On transition but setCS is in WaitingAtFirstStation entry action not on transition</t>
  </si>
  <si>
    <t>On state serves as the active composite state containing all train operations</t>
  </si>
  <si>
    <t>Journey region contains train control logic</t>
  </si>
  <si>
    <t>Moving composite state represents train movement behavior</t>
  </si>
  <si>
    <t>Initial state in Journey region goes to WaitingAtFirstStation not AtStation</t>
  </si>
  <si>
    <t>StoppedAtStation exists but represents intermediate stations; WaitingAtFirstStation represents first station</t>
  </si>
  <si>
    <t>Entry Action</t>
  </si>
  <si>
    <t>openDoors()</t>
  </si>
  <si>
    <t>DoorsOpening state with entry/openDoors() in StoppedAtStation composite</t>
  </si>
  <si>
    <t>Exit Action</t>
  </si>
  <si>
    <t>closeDoors()</t>
  </si>
  <si>
    <t>DoorsClosing state exists but not modeled as exit action of parent state</t>
  </si>
  <si>
    <t>WaitingAtStation→DoorsClosing uses afterStopDuration but goes to Moving not a separate StopNotRequired state</t>
  </si>
  <si>
    <t>Guard [segmentType==station &amp;&amp; !finalStation] on Moving→StoppedAtStation transition</t>
  </si>
  <si>
    <t>StoppedAtFinalStation→Off uses afterStopDuration but no explicit Arrived state</t>
  </si>
  <si>
    <t>Guard [segmentType==station &amp;&amp; finalStation] on Moving→StoppedAtFinalStation transition</t>
  </si>
  <si>
    <t>pOff() action on StoppedAtFinalStation→Off transition</t>
  </si>
  <si>
    <t>No explicit StopNotRequired state; Traveling state exists but serves different purpose</t>
  </si>
  <si>
    <t>setSpeed()</t>
  </si>
  <si>
    <t>setSpeed() called on transitions but not as entry action of a state</t>
  </si>
  <si>
    <t>Self-transitions on Moving for regular segments exist but no StopNotRequired state</t>
  </si>
  <si>
    <t>Guard [segmentType==regular] on Moving self-transition</t>
  </si>
  <si>
    <t>No ApproachingRedLight state; transition goes directly to StoppedAtTrafficLight</t>
  </si>
  <si>
    <t>Guard [segmentType==trafficLight &amp;&amp; lightRed] on Moving→StoppedAtTrafficLight</t>
  </si>
  <si>
    <t>Self-transition on Moving with guard [segmentType==trafficLight &amp;&amp; !lightRed]</t>
  </si>
  <si>
    <t>Guard [segmentType==trafficLight &amp;&amp; !lightRed] present</t>
  </si>
  <si>
    <t>No ApproachingStation state; transition goes directly to StoppedAtStation</t>
  </si>
  <si>
    <t>Guard [segmentType==station &amp;&amp; !finalStation] captures station stop requirement</t>
  </si>
  <si>
    <t>No ApproachingRedLight state; stopping handled directly in StoppedAtTrafficLight</t>
  </si>
  <si>
    <t>stopAL;</t>
  </si>
  <si>
    <t>stopAL(segment.location) called on transition to StoppedAtTrafficLight</t>
  </si>
  <si>
    <t>No separate approaching and stopped states for traffic light</t>
  </si>
  <si>
    <t>StoppedAtTrafficLight state represents waiting at red light</t>
  </si>
  <si>
    <t>lightTurnedGreen transition from StoppedAtTrafficLight to Moving exists but no StopNotRequired state</t>
  </si>
  <si>
    <t>No ApproachingStation state; stopping handled directly in StoppedAtStation</t>
  </si>
  <si>
    <t>stopAL(segment.location) called on transition to StoppedAtStation</t>
  </si>
  <si>
    <t>No separate approaching and stopped states for station</t>
  </si>
  <si>
    <t>History state H exists within Moving composite state</t>
  </si>
  <si>
    <t>EmergencyStopped state represents emergency condition</t>
  </si>
  <si>
    <t>obstructionDetected transition from Moving to EmergencyStopped</t>
  </si>
  <si>
    <t>eStop() action on Moving→EmergencyStopped transition</t>
  </si>
  <si>
    <t>cleared transition from EmergencyStopped to H history state</t>
  </si>
  <si>
    <t>SDS region exists with correct structure</t>
  </si>
  <si>
    <t>Initial state correctly points to SDSActive</t>
  </si>
  <si>
    <t>SDSActive state exists</t>
  </si>
  <si>
    <t>after1sec self-transition on SDSActive exists</t>
  </si>
  <si>
    <t>No explicit guard shown but checkSegment() action implies segment checking</t>
  </si>
  <si>
    <t>checkSegment() action exists but not explicit setCS and enteringSegment calls</t>
  </si>
  <si>
    <t>Self-transition with after1sec exists</t>
  </si>
  <si>
    <t>Implicit in single self-transition but not explicitly shown</t>
  </si>
  <si>
    <t>MDS region exists with correct structure</t>
  </si>
  <si>
    <t>Initial state goes to MDSActive not a Stopped state</t>
  </si>
  <si>
    <t>No explicit Stopped state; only MDSActive with self-transition</t>
  </si>
  <si>
    <t>No separate Stopped and Moving states in MDS region</t>
  </si>
  <si>
    <t>No speed guards shown in MDS region</t>
  </si>
  <si>
    <t>Self-transition on MDSActive exists but no speed guard</t>
  </si>
  <si>
    <t>checkMovement() action exists but not explicit stopped() call</t>
  </si>
  <si>
    <t>No Moving state in MDS region; only MDSActive</t>
  </si>
  <si>
    <t>No separate Moving and Stopped states</t>
  </si>
  <si>
    <t>No speed guards in MDS region</t>
  </si>
  <si>
    <t>checkMovement() implies movement detection but no explicit stopped() action</t>
  </si>
  <si>
    <t>No speed guards shown</t>
  </si>
  <si>
    <t>ODS region exists with correct structure</t>
  </si>
  <si>
    <t>Initial state correctly points to ODSActive</t>
  </si>
  <si>
    <t>ODSActive state exists</t>
  </si>
  <si>
    <t>after1sec self-transition exists</t>
  </si>
  <si>
    <t>checkObstruction() action implies checking but no explicit guard shown</t>
  </si>
  <si>
    <t>checkObstruction() exists but not explicit emergency() call</t>
  </si>
  <si>
    <t>No explicit Arrived state; Off state serves as final state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</si>
  <si>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</si>
  <si>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</si>
  <si>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</si>
  <si>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</si>
  <si>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</si>
  <si>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No fundamentally incorrect additional regions</t>
  </si>
  <si>
    <t>No fundamentally incorrect additional history states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</si>
  <si>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</si>
  <si>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</si>
  <si>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</si>
  <si>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</si>
  <si>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</si>
  <si>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</si>
  <si>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</si>
  <si>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</si>
  <si>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</si>
  <si>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</si>
  <si>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</si>
  <si>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</si>
  <si>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</si>
  <si>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Generated by Claude Sonnet 4.5</t>
  </si>
  <si>
    <t>Composite state</t>
  </si>
  <si>
    <t>Metric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</si>
  <si>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</si>
  <si>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</si>
  <si>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</si>
  <si>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</si>
  <si>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</si>
  <si>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Cohen's Kappa (State)</t>
  </si>
  <si>
    <t>Cohen's Kappa (Transition)</t>
  </si>
  <si>
    <t>Cohen's Kappa (Composite State)</t>
  </si>
  <si>
    <t>Cohen's Kappa (Guard)</t>
  </si>
  <si>
    <t>Cohen's Kappa (Action)</t>
  </si>
  <si>
    <t xml:space="preserve">Cohen's Kappa (History State)		</t>
  </si>
  <si>
    <t>Cohen's Kappa (Region)</t>
  </si>
  <si>
    <t>Student model starts with Inactive state instead of Scheduled; initial state points to Inactive not Scheduled.</t>
  </si>
  <si>
    <t>No Scheduled state exists in student submission; uses Inactive state which does not represent the scheduled waiting period.</t>
  </si>
  <si>
    <t>Transition exists from Inactive to Active with scheduledStopBegins event but does not match the expected atBeginningStopDuration semantics exactly.</t>
  </si>
  <si>
    <t>Actions pOn() and setCS(firstSegment) are present on the Inactive to Active transition.</t>
  </si>
  <si>
    <t>Active composite state is present and contains the required regions.</t>
  </si>
  <si>
    <t>Student has Operation region which serves similar purpose but is named differently; contains Journey and EmergencyStopped states.</t>
  </si>
  <si>
    <t>Journey composite state in student submission represents the train movement logic equivalent to TrainMovement.</t>
  </si>
  <si>
    <t>Initial state in Journey points to InitialStationStop which represents the station stop behavior.</t>
  </si>
  <si>
    <t>InitialStationStop and DwellingAtStation states together represent AtStation behavior; doors open and close appropriately.</t>
  </si>
  <si>
    <t>openDoors() action is present when entering DwellingAtStation after stoppedDetected.</t>
  </si>
  <si>
    <t>closeDoors() action is present when leaving DwellingAtStation and InitialStationStop states.</t>
  </si>
  <si>
    <t>Transition from InitialStationStop and DwellingAtStation to Running after stopDuration with setSpeed action.</t>
  </si>
  <si>
    <t>Student uses separate states for final station vs intermediate stations; StoppingAtStation handles non-final stations.</t>
  </si>
  <si>
    <t>Transition from FinalStationDwelling to Inactive after stopDuration exists but goes to Inactive rather than separate Arrived state.</t>
  </si>
  <si>
    <t>Guard finalStation() is used to distinguish final station in transition from Running to StoppingAtFinalStation.</t>
  </si>
  <si>
    <t>pOff() action is present on transition from FinalStationDwelling to Inactive.</t>
  </si>
  <si>
    <t>Running state represents the normal running behavior equivalent to StopNotRequired.</t>
  </si>
  <si>
    <t>setSpeed action is present on transitions entering Running state from various sources.</t>
  </si>
  <si>
    <t>Self-transition on Running with segmentUpdated event and guard for regular segment type with setSpeed action.</t>
  </si>
  <si>
    <t>Guard currentSegment.type==regular checks for regular segment type.</t>
  </si>
  <si>
    <t>Transition from Running to StoppingAtRedLight when segmentUpdated with trafficLight type and lightRed() guard.</t>
  </si>
  <si>
    <t>Guard currentSegment.type==trafficLight &amp;&amp; lightRed() correctly checks for red traffic light.</t>
  </si>
  <si>
    <t>Self-transition on Running for traffic light segment when not red with setSpeed action.</t>
  </si>
  <si>
    <t>Guard currentSegment.type==trafficLight &amp;&amp; !lightRed() correctly checks for green traffic light.</t>
  </si>
  <si>
    <t>Transition from Running to StoppingAtStation when station segment and stationOnItinerary() and not final station.</t>
  </si>
  <si>
    <t>Guard currentSegment.type==station &amp;&amp; stationOnItinerary() checks if stop is required at station.</t>
  </si>
  <si>
    <t>StoppingAtRedLight state represents the approaching red light behavior.</t>
  </si>
  <si>
    <t>stopAL action is present on transition to StoppingAtRedLight state.</t>
  </si>
  <si>
    <t>Transition from StoppingAtRedLight to WaitingAtRedLight on stoppedDetected event.</t>
  </si>
  <si>
    <t>WaitingAtRedLight state represents waiting at red traffic light.</t>
  </si>
  <si>
    <t>Transition from WaitingAtRedLight to Running on lightGreen event with setSpeed action.</t>
  </si>
  <si>
    <t>StoppingAtStation state represents approaching station behavior.</t>
  </si>
  <si>
    <t>stopAL action is present on transition to StoppingAtStation state.</t>
  </si>
  <si>
    <t>Transition from StoppingAtStation to DwellingAtStation on stoppedDetected event with openDoors action.</t>
  </si>
  <si>
    <t>History state H is present in Journey composite state for resuming after emergency.</t>
  </si>
  <si>
    <t>EmergencyStopped state represents emergency stop behavior.</t>
  </si>
  <si>
    <t>Transition from Journey to EmergencyStopped on obstructionDetected event with eStop action.</t>
  </si>
  <si>
    <t>eStop() action is present on transition to EmergencyStopped state.</t>
  </si>
  <si>
    <t>Transition from EmergencyStopped to history state H on obstructionCleared event.</t>
  </si>
  <si>
    <t>SegmentDetection region represents the SDS functionality.</t>
  </si>
  <si>
    <t>Initial state in SegmentDetection region points to MonitoringSegment.</t>
  </si>
  <si>
    <t>MonitoringSegment state represents the active segment detection behavior.</t>
  </si>
  <si>
    <t>Self-transition on MonitoringSegment with after(1s) trigger and guard for segment change.</t>
  </si>
  <si>
    <t>Guard enteredNewSegment(segment) checks if segment has changed.</t>
  </si>
  <si>
    <t>Actions setCS(segment) and raiseSegmentUpdated() are present; raiseSegmentUpdated serves as enteringSegment event.</t>
  </si>
  <si>
    <t>Self-transition on MonitoringSegment with after(1s) trigger when no segment change detected.</t>
  </si>
  <si>
    <t>Guard !enteredNewSegment(segment) checks if segment has not changed.</t>
  </si>
  <si>
    <t>MovementDetection region represents the MDS functionality.</t>
  </si>
  <si>
    <t>Initial state in MovementDetection region points to Stopped.</t>
  </si>
  <si>
    <t>Stopped state is present in MovementDetection region.</t>
  </si>
  <si>
    <t>Transition from Stopped to Moving with after(1s) trigger and trainMoving() guard.</t>
  </si>
  <si>
    <t>Guard trainMoving() represents speed &gt; 0 condition.</t>
  </si>
  <si>
    <t>Self-transition on Stopped with after(1s) trigger when not moving.</t>
  </si>
  <si>
    <t>Guard !trainMoving() represents speed == 0 condition.</t>
  </si>
  <si>
    <t>Student raises stoppedDetected event on Moving to Stopped transition but not on Stopped self-loop; partial coverage.</t>
  </si>
  <si>
    <t>Moving state is present in MovementDetection region.</t>
  </si>
  <si>
    <t>Transition from Moving to Stopped with after(1s) trigger and raiseStoppedDetected action.</t>
  </si>
  <si>
    <t>raiseStoppedDetected() action is present on Moving to Stopped transition.</t>
  </si>
  <si>
    <t>Self-transition on Moving with after(1s) trigger when still moving.</t>
  </si>
  <si>
    <t>ObstructionDetection region represents the ODS functionality.</t>
  </si>
  <si>
    <t>Initial state in ObstructionDetection region points to TracksClear.</t>
  </si>
  <si>
    <t>TracksClear and TracksObstructed states together represent the ODS active monitoring behavior.</t>
  </si>
  <si>
    <t>Transition from TracksClear to TracksObstructed with after(1s) trigger and tracksObstructed() guard with raiseObstructionDetected action.</t>
  </si>
  <si>
    <t>Guard tracksObstructed() checks for obstacle detection.</t>
  </si>
  <si>
    <t>raiseObstructionDetected() action triggers emergency transition in Operation region.</t>
  </si>
  <si>
    <t>Self-transitions on TracksClear and TracksObstructed when conditions remain unchanged.</t>
  </si>
  <si>
    <t>Guard !tracksObstructed() checks for no obstacle.</t>
  </si>
  <si>
    <t>No separate Arrived state; train goes directly to Inactive after final station dwelling.</t>
  </si>
  <si>
    <t>No fundamentally incorrect additional states present.</t>
  </si>
  <si>
    <t>No fundamentally incorrect additional transitions present.</t>
  </si>
  <si>
    <t>No fundamentally incorrect additional guards present.</t>
  </si>
  <si>
    <t>No fundamentally incorrect additional actions present.</t>
  </si>
  <si>
    <t>No fundamentally incorrect additional composite states present.</t>
  </si>
  <si>
    <t>No fundamentally incorrect additional regions present.</t>
  </si>
  <si>
    <t>No fundamentally incorrect additional history states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</si>
</sst>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 applyBorder="1"/>
    <xf numFmtId="0" fontId="6" fillId="5" borderId="6" xfId="0" applyFont="1" applyFill="1" applyBorder="1" applyAlignment="1">
      <alignment horizontal="center"/>
    </xf>
    <xf numFmtId="0" fontId="5" fillId="3" borderId="0" xfId="0" applyFont="1" applyFill="1" applyBorder="1"/>
    <xf numFmtId="0" fontId="7" fillId="6" borderId="6" xfId="0" applyFont="1" applyFill="1" applyBorder="1" applyAlignment="1">
      <alignment wrapText="1"/>
    </xf>
    <xf numFmtId="0" fontId="5" fillId="0" borderId="6" xfId="0" applyFont="1" applyBorder="1" applyAlignment="1">
      <alignment horizontal="right"/>
    </xf>
    <xf numFmtId="0" fontId="5" fillId="0" borderId="0" xfId="0" applyFont="1" applyBorder="1"/>
    <xf numFmtId="0" fontId="6" fillId="0" borderId="6" xfId="0" applyFont="1" applyBorder="1"/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4" fillId="0" borderId="9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7" borderId="2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3" fillId="0" borderId="5" xfId="0" applyFont="1" applyAlignment="1">
      <alignment horizontal="center"/>
    </xf>
    <xf numFmtId="0" fontId="0" fillId="0" borderId="0" xfId="0" applyBorder="1"/>
    <xf numFmtId="0" fontId="6" fillId="5" borderId="5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/>
    <xf numFmtId="0" fontId="0" fillId="8" borderId="0" xfId="0" applyFill="1" applyBorder="1"/>
    <xf numFmtId="0" fontId="0" fillId="9" borderId="0" xfId="0" applyFill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8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8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8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'GPT-5 Generation'!A2</f>
        <v>State</v>
      </c>
      <c r="B2" s="4" t="str">
        <f>'GPT-5 Generation'!B2</f>
        <v>Initial state (→ Scheduled)</v>
      </c>
      <c r="C2" s="5"/>
      <c r="D2" s="5"/>
    </row>
    <row r="3" spans="1:4" ht="12.75" customHeight="1" x14ac:dyDescent="0.15">
      <c r="A3" s="4" t="str">
        <f>'GPT-5 Generation'!A3</f>
        <v>State</v>
      </c>
      <c r="B3" s="4" t="str">
        <f>'GPT-5 Generation'!B3</f>
        <v>Scheduled</v>
      </c>
      <c r="C3" s="5"/>
      <c r="D3" s="5"/>
    </row>
    <row r="4" spans="1:4" ht="12.75" customHeight="1" x14ac:dyDescent="0.15">
      <c r="A4" s="4" t="str">
        <f>'GPT-5 Generation'!A4</f>
        <v>Transition</v>
      </c>
      <c r="B4" s="4" t="str">
        <f>'GPT-5 Generation'!B4</f>
        <v>at beginningStopDuration (Scheduled ⇒ Active)</v>
      </c>
      <c r="C4" s="5"/>
      <c r="D4" s="5"/>
    </row>
    <row r="5" spans="1:4" ht="12.75" customHeight="1" x14ac:dyDescent="0.15">
      <c r="A5" s="4" t="str">
        <f>'GPT-5 Generation'!A5</f>
        <v>Action</v>
      </c>
      <c r="B5" s="4" t="str">
        <f>'GPT-5 Generation'!B5</f>
        <v>pOn; setCS;</v>
      </c>
      <c r="C5" s="5"/>
      <c r="D5" s="5"/>
    </row>
    <row r="6" spans="1:4" ht="12.75" customHeight="1" x14ac:dyDescent="0.15">
      <c r="A6" s="4" t="str">
        <f>'GPT-5 Generation'!A6</f>
        <v>Composite State</v>
      </c>
      <c r="B6" s="4" t="str">
        <f>'GPT-5 Generation'!B6</f>
        <v>Active</v>
      </c>
      <c r="C6" s="5"/>
      <c r="D6" s="5"/>
    </row>
    <row r="7" spans="1:4" ht="12.75" customHeight="1" x14ac:dyDescent="0.15">
      <c r="A7" s="4" t="str">
        <f>'GPT-5 Generation'!A7</f>
        <v>Region</v>
      </c>
      <c r="B7" s="4" t="str">
        <f>'GPT-5 Generation'!B7</f>
        <v>TrainControl</v>
      </c>
      <c r="C7" s="5"/>
      <c r="D7" s="5"/>
    </row>
    <row r="8" spans="1:4" ht="12.75" customHeight="1" x14ac:dyDescent="0.15">
      <c r="A8" s="4" t="str">
        <f>'GPT-5 Generation'!A8</f>
        <v>Composite State</v>
      </c>
      <c r="B8" s="4" t="str">
        <f>'GPT-5 Generation'!B8</f>
        <v>TrainMovement</v>
      </c>
      <c r="C8" s="5"/>
      <c r="D8" s="5"/>
    </row>
    <row r="9" spans="1:4" ht="12.75" customHeight="1" x14ac:dyDescent="0.15">
      <c r="A9" s="4" t="str">
        <f>'GPT-5 Generation'!A9</f>
        <v>State</v>
      </c>
      <c r="B9" s="4" t="str">
        <f>'GPT-5 Generation'!B9</f>
        <v>Initial state (TrainMovement → AtStation)</v>
      </c>
      <c r="C9" s="5"/>
      <c r="D9" s="5"/>
    </row>
    <row r="10" spans="1:4" ht="12.75" customHeight="1" x14ac:dyDescent="0.15">
      <c r="A10" s="4" t="str">
        <f>'GPT-5 Generation'!A10</f>
        <v>State</v>
      </c>
      <c r="B10" s="4" t="str">
        <f>'GPT-5 Generation'!B10</f>
        <v>AtStation</v>
      </c>
      <c r="C10" s="5"/>
      <c r="D10" s="5"/>
    </row>
    <row r="11" spans="1:4" ht="12.75" customHeight="1" x14ac:dyDescent="0.15">
      <c r="A11" s="4" t="str">
        <f>'GPT-5 Generation'!A11</f>
        <v>Action</v>
      </c>
      <c r="B11" s="4" t="str">
        <f>'GPT-5 Generation'!B11</f>
        <v>entry / openDoors()</v>
      </c>
      <c r="C11" s="5"/>
      <c r="D11" s="5"/>
    </row>
    <row r="12" spans="1:4" ht="12.75" customHeight="1" x14ac:dyDescent="0.15">
      <c r="A12" s="4" t="str">
        <f>'GPT-5 Generation'!A12</f>
        <v>Action</v>
      </c>
      <c r="B12" s="4" t="str">
        <f>'GPT-5 Generation'!B12</f>
        <v>exit / closeDoors()</v>
      </c>
      <c r="C12" s="5"/>
      <c r="D12" s="5"/>
    </row>
    <row r="13" spans="1:4" ht="12.75" customHeight="1" x14ac:dyDescent="0.15">
      <c r="A13" s="4" t="str">
        <f>'GPT-5 Generation'!A13</f>
        <v>Transition</v>
      </c>
      <c r="B13" s="4" t="str">
        <f>'GPT-5 Generation'!B13</f>
        <v>after stopDuration (AtStation ⇒ StopNotRequired)</v>
      </c>
      <c r="C13" s="5"/>
      <c r="D13" s="5"/>
    </row>
    <row r="14" spans="1:4" ht="12.75" customHeight="1" x14ac:dyDescent="0.15">
      <c r="A14" s="4" t="str">
        <f>'GPT-5 Generation'!A14</f>
        <v>Guard</v>
      </c>
      <c r="B14" s="4" t="str">
        <f>'GPT-5 Generation'!B14</f>
        <v>[!isLastStop()]</v>
      </c>
      <c r="C14" s="5"/>
      <c r="D14" s="5"/>
    </row>
    <row r="15" spans="1:4" ht="12.75" customHeight="1" x14ac:dyDescent="0.15">
      <c r="A15" s="4" t="str">
        <f>'GPT-5 Generation'!A15</f>
        <v>Transition</v>
      </c>
      <c r="B15" s="4" t="str">
        <f>'GPT-5 Generation'!B15</f>
        <v>after stopDuration (AtStation ⇒ Arrived)</v>
      </c>
      <c r="C15" s="5"/>
      <c r="D15" s="5"/>
    </row>
    <row r="16" spans="1:4" ht="12.75" customHeight="1" x14ac:dyDescent="0.15">
      <c r="A16" s="4" t="str">
        <f>'GPT-5 Generation'!A16</f>
        <v>Guard</v>
      </c>
      <c r="B16" s="4" t="str">
        <f>'GPT-5 Generation'!B16</f>
        <v>[isLastStop()]</v>
      </c>
      <c r="C16" s="5"/>
      <c r="D16" s="5"/>
    </row>
    <row r="17" spans="1:22" ht="15" customHeight="1" x14ac:dyDescent="0.15">
      <c r="A17" s="4" t="str">
        <f>'GPT-5 Generation'!A17</f>
        <v>Action</v>
      </c>
      <c r="B17" s="4" t="str">
        <f>'GPT-5 Generation'!B17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'GPT-5 Generation'!A18</f>
        <v>State</v>
      </c>
      <c r="B18" s="4" t="str">
        <f>'GPT-5 Generation'!B18</f>
        <v>StopNotRequired</v>
      </c>
      <c r="C18" s="5"/>
      <c r="D18" s="5"/>
    </row>
    <row r="19" spans="1:22" ht="12.75" customHeight="1" x14ac:dyDescent="0.15">
      <c r="A19" s="4" t="str">
        <f>'GPT-5 Generation'!A19</f>
        <v>Action</v>
      </c>
      <c r="B19" s="4" t="str">
        <f>'GPT-5 Generation'!B19</f>
        <v>entry / setSpeed()</v>
      </c>
      <c r="C19" s="5"/>
      <c r="D19" s="5"/>
    </row>
    <row r="20" spans="1:22" ht="12.75" customHeight="1" x14ac:dyDescent="0.15">
      <c r="A20" s="4" t="str">
        <f>'GPT-5 Generation'!A20</f>
        <v>Transition</v>
      </c>
      <c r="B20" s="4" t="str">
        <f>'GPT-5 Generation'!B20</f>
        <v>enteringSegment (StopNotRequired ⇒ StopNotRequired)</v>
      </c>
      <c r="C20" s="5"/>
      <c r="D20" s="5"/>
    </row>
    <row r="21" spans="1:22" ht="12.75" customHeight="1" x14ac:dyDescent="0.15">
      <c r="A21" s="4" t="str">
        <f>'GPT-5 Generation'!A21</f>
        <v>Guard</v>
      </c>
      <c r="B21" s="4" t="str">
        <f>'GPT-5 Generation'!B21</f>
        <v>[isRegularSegment()]</v>
      </c>
      <c r="C21" s="5"/>
      <c r="D21" s="5"/>
    </row>
    <row r="22" spans="1:22" ht="12.75" customHeight="1" x14ac:dyDescent="0.15">
      <c r="A22" s="4" t="str">
        <f>'GPT-5 Generation'!A22</f>
        <v>Transition</v>
      </c>
      <c r="B22" s="4" t="str">
        <f>'GPT-5 Generation'!B22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'GPT-5 Generation'!A23</f>
        <v>Guard</v>
      </c>
      <c r="B23" s="4" t="str">
        <f>'GPT-5 Generation'!B23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'GPT-5 Generation'!A24</f>
        <v>Transition</v>
      </c>
      <c r="B24" s="4" t="str">
        <f>'GPT-5 Generation'!B24</f>
        <v>enteringSegment (StopNotRequired ⇒ StopNotRequired)</v>
      </c>
      <c r="C24" s="5"/>
      <c r="D24" s="5"/>
    </row>
    <row r="25" spans="1:22" ht="12.75" customHeight="1" x14ac:dyDescent="0.15">
      <c r="A25" s="4" t="str">
        <f>'GPT-5 Generation'!A25</f>
        <v>Guard</v>
      </c>
      <c r="B25" s="4" t="str">
        <f>'GPT-5 Generation'!B25</f>
        <v>[isTrafficLightSegment() &amp;&amp; !isRed()]</v>
      </c>
      <c r="C25" s="5"/>
      <c r="D25" s="5"/>
    </row>
    <row r="26" spans="1:22" ht="15" customHeight="1" x14ac:dyDescent="0.15">
      <c r="A26" s="4" t="str">
        <f>'GPT-5 Generation'!A26</f>
        <v>Transition</v>
      </c>
      <c r="B26" s="4" t="str">
        <f>'GPT-5 Generation'!B26</f>
        <v>enteringSegment (StopNotRequired ⇒ ApproachingStation)</v>
      </c>
      <c r="C26" s="5"/>
      <c r="D26" s="5"/>
    </row>
    <row r="27" spans="1:22" ht="12.75" customHeight="1" x14ac:dyDescent="0.15">
      <c r="A27" s="4" t="str">
        <f>'GPT-5 Generation'!A27</f>
        <v>Guard</v>
      </c>
      <c r="B27" s="4" t="str">
        <f>'GPT-5 Generation'!B27</f>
        <v>[isStationSegment() &amp;&amp; stopRequired()]</v>
      </c>
      <c r="C27" s="5"/>
      <c r="D27" s="5"/>
    </row>
    <row r="28" spans="1:22" ht="12.75" customHeight="1" x14ac:dyDescent="0.15">
      <c r="A28" s="4" t="str">
        <f>'GPT-5 Generation'!A28</f>
        <v>State</v>
      </c>
      <c r="B28" s="4" t="str">
        <f>'GPT-5 Generation'!B28</f>
        <v>ApproachingRedLight</v>
      </c>
      <c r="C28" s="5"/>
      <c r="D28" s="5"/>
    </row>
    <row r="29" spans="1:22" ht="12.75" customHeight="1" x14ac:dyDescent="0.15">
      <c r="A29" s="4" t="str">
        <f>'GPT-5 Generation'!A29</f>
        <v>Action</v>
      </c>
      <c r="B29" s="4" t="str">
        <f>'GPT-5 Generation'!B29</f>
        <v>entry / stopAL</v>
      </c>
      <c r="C29" s="5"/>
      <c r="D29" s="5"/>
    </row>
    <row r="30" spans="1:22" ht="12.75" customHeight="1" x14ac:dyDescent="0.15">
      <c r="A30" s="4" t="str">
        <f>'GPT-5 Generation'!A30</f>
        <v>Transition</v>
      </c>
      <c r="B30" s="4" t="str">
        <f>'GPT-5 Generation'!B30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'GPT-5 Generation'!A31</f>
        <v>State</v>
      </c>
      <c r="B31" s="4" t="str">
        <f>'GPT-5 Generation'!B31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'GPT-5 Generation'!A32</f>
        <v>Transition</v>
      </c>
      <c r="B32" s="4" t="str">
        <f>'GPT-5 Generation'!B32</f>
        <v>green (AtRedTrafficLight ⇒ StopNotRequired)</v>
      </c>
      <c r="C32" s="5"/>
      <c r="D32" s="5"/>
    </row>
    <row r="33" spans="1:22" ht="12.75" customHeight="1" x14ac:dyDescent="0.15">
      <c r="A33" s="4" t="str">
        <f>'GPT-5 Generation'!A33</f>
        <v>State</v>
      </c>
      <c r="B33" s="4" t="str">
        <f>'GPT-5 Generation'!B33</f>
        <v>ApproachingStation</v>
      </c>
      <c r="C33" s="5"/>
      <c r="D33" s="5"/>
    </row>
    <row r="34" spans="1:22" ht="12.75" customHeight="1" x14ac:dyDescent="0.15">
      <c r="A34" s="4" t="str">
        <f>'GPT-5 Generation'!A34</f>
        <v>Action</v>
      </c>
      <c r="B34" s="4" t="str">
        <f>'GPT-5 Generation'!B34</f>
        <v>entry / stopAL</v>
      </c>
      <c r="C34" s="5"/>
      <c r="D34" s="5"/>
    </row>
    <row r="35" spans="1:22" ht="12.75" customHeight="1" x14ac:dyDescent="0.15">
      <c r="A35" s="4" t="str">
        <f>'GPT-5 Generation'!A35</f>
        <v>Transition</v>
      </c>
      <c r="B35" s="4" t="str">
        <f>'GPT-5 Generation'!B35</f>
        <v>stopped (ApproachingStation ⇒ AtStation)</v>
      </c>
      <c r="C35" s="5"/>
      <c r="D35" s="5"/>
    </row>
    <row r="36" spans="1:22" ht="12.75" customHeight="1" x14ac:dyDescent="0.15">
      <c r="A36" s="4" t="str">
        <f>'GPT-5 Generation'!A36</f>
        <v>History State</v>
      </c>
      <c r="B36" s="4" t="str">
        <f>'GPT-5 Generation'!B36</f>
        <v>History State for TrainMovement</v>
      </c>
      <c r="C36" s="5"/>
      <c r="D36" s="5"/>
    </row>
    <row r="37" spans="1:22" ht="12.75" customHeight="1" x14ac:dyDescent="0.15">
      <c r="A37" s="4" t="str">
        <f>'GPT-5 Generation'!A37</f>
        <v>State</v>
      </c>
      <c r="B37" s="4" t="str">
        <f>'GPT-5 Generation'!B37</f>
        <v>Emergency</v>
      </c>
      <c r="C37" s="5"/>
      <c r="D37" s="5"/>
    </row>
    <row r="38" spans="1:22" ht="15" customHeight="1" x14ac:dyDescent="0.15">
      <c r="A38" s="4" t="str">
        <f>'GPT-5 Generation'!A38</f>
        <v>Transition</v>
      </c>
      <c r="B38" s="4" t="str">
        <f>'GPT-5 Generation'!B38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'GPT-5 Generation'!A39</f>
        <v>Action</v>
      </c>
      <c r="B39" s="4" t="str">
        <f>'GPT-5 Generation'!B39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'GPT-5 Generation'!A40</f>
        <v>Transition</v>
      </c>
      <c r="B40" s="4" t="str">
        <f>'GPT-5 Generation'!B40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'GPT-5 Generation'!A41</f>
        <v>Region</v>
      </c>
      <c r="B41" s="4" t="str">
        <f>'GPT-5 Generation'!B41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'GPT-5 Generation'!A42</f>
        <v>State</v>
      </c>
      <c r="B42" s="4" t="str">
        <f>'GPT-5 Generation'!B42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'GPT-5 Generation'!A43</f>
        <v>State</v>
      </c>
      <c r="B43" s="4" t="str">
        <f>'GPT-5 Generation'!B43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'GPT-5 Generation'!A44</f>
        <v>Transition</v>
      </c>
      <c r="B44" s="4" t="str">
        <f>'GPT-5 Generation'!B44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'GPT-5 Generation'!A45</f>
        <v>Guard</v>
      </c>
      <c r="B45" s="4" t="str">
        <f>'GPT-5 Generation'!B45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'GPT-5 Generation'!A46</f>
        <v>Action</v>
      </c>
      <c r="B46" s="4" t="str">
        <f>'GPT-5 Generation'!B46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'GPT-5 Generation'!A47</f>
        <v>Transition</v>
      </c>
      <c r="B47" s="4" t="str">
        <f>'GPT-5 Generation'!B47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'GPT-5 Generation'!A48</f>
        <v>Guard</v>
      </c>
      <c r="B48" s="4" t="str">
        <f>'GPT-5 Generation'!B48</f>
        <v>[!hasSegmentChanged()]</v>
      </c>
      <c r="C48" s="5"/>
      <c r="D48" s="5"/>
    </row>
    <row r="49" spans="1:4" ht="12.75" customHeight="1" x14ac:dyDescent="0.15">
      <c r="A49" s="4" t="str">
        <f>'GPT-5 Generation'!A49</f>
        <v>Region</v>
      </c>
      <c r="B49" s="4" t="str">
        <f>'GPT-5 Generation'!B49</f>
        <v>MDS</v>
      </c>
      <c r="C49" s="5"/>
      <c r="D49" s="5"/>
    </row>
    <row r="50" spans="1:4" ht="12.75" customHeight="1" x14ac:dyDescent="0.15">
      <c r="A50" s="4" t="str">
        <f>'GPT-5 Generation'!A50</f>
        <v>State</v>
      </c>
      <c r="B50" s="4" t="str">
        <f>'GPT-5 Generation'!B50</f>
        <v>Initial state (MDS → Stopped)</v>
      </c>
      <c r="C50" s="5"/>
      <c r="D50" s="5"/>
    </row>
    <row r="51" spans="1:4" ht="12.75" customHeight="1" x14ac:dyDescent="0.15">
      <c r="A51" s="4" t="str">
        <f>'GPT-5 Generation'!A51</f>
        <v>State</v>
      </c>
      <c r="B51" s="4" t="str">
        <f>'GPT-5 Generation'!B51</f>
        <v>Stopped</v>
      </c>
      <c r="C51" s="5"/>
      <c r="D51" s="5"/>
    </row>
    <row r="52" spans="1:4" ht="12.75" customHeight="1" x14ac:dyDescent="0.15">
      <c r="A52" s="4" t="str">
        <f>'GPT-5 Generation'!A52</f>
        <v>Transition</v>
      </c>
      <c r="B52" s="4" t="str">
        <f>'GPT-5 Generation'!B52</f>
        <v>after 1 sec (Stopped ⇒ Moving)</v>
      </c>
      <c r="C52" s="5"/>
      <c r="D52" s="5"/>
    </row>
    <row r="53" spans="1:4" ht="12.75" customHeight="1" x14ac:dyDescent="0.15">
      <c r="A53" s="4" t="str">
        <f>'GPT-5 Generation'!A53</f>
        <v>Guard</v>
      </c>
      <c r="B53" s="4" t="str">
        <f>'GPT-5 Generation'!B53</f>
        <v>[speed &gt; 0]</v>
      </c>
      <c r="C53" s="5"/>
      <c r="D53" s="5"/>
    </row>
    <row r="54" spans="1:4" ht="12.75" customHeight="1" x14ac:dyDescent="0.15">
      <c r="A54" s="4" t="str">
        <f>'GPT-5 Generation'!A54</f>
        <v>Transition</v>
      </c>
      <c r="B54" s="4" t="str">
        <f>'GPT-5 Generation'!B54</f>
        <v>after 1 sec (Stopped ⇒ Stopped)</v>
      </c>
      <c r="C54" s="5"/>
      <c r="D54" s="5"/>
    </row>
    <row r="55" spans="1:4" ht="12.75" customHeight="1" x14ac:dyDescent="0.15">
      <c r="A55" s="4" t="str">
        <f>'GPT-5 Generation'!A55</f>
        <v>Guard</v>
      </c>
      <c r="B55" s="4" t="str">
        <f>'GPT-5 Generation'!B55</f>
        <v>[speed == 0]</v>
      </c>
      <c r="C55" s="5"/>
      <c r="D55" s="5"/>
    </row>
    <row r="56" spans="1:4" ht="12.75" customHeight="1" x14ac:dyDescent="0.15">
      <c r="A56" s="4" t="str">
        <f>'GPT-5 Generation'!A56</f>
        <v>Action</v>
      </c>
      <c r="B56" s="4" t="str">
        <f>'GPT-5 Generation'!B56</f>
        <v>stopped()</v>
      </c>
      <c r="C56" s="5"/>
      <c r="D56" s="5"/>
    </row>
    <row r="57" spans="1:4" ht="12.75" customHeight="1" x14ac:dyDescent="0.15">
      <c r="A57" s="4" t="str">
        <f>'GPT-5 Generation'!A57</f>
        <v>State</v>
      </c>
      <c r="B57" s="4" t="str">
        <f>'GPT-5 Generation'!B57</f>
        <v>Moving</v>
      </c>
      <c r="C57" s="5"/>
      <c r="D57" s="5"/>
    </row>
    <row r="58" spans="1:4" ht="12.75" customHeight="1" x14ac:dyDescent="0.15">
      <c r="A58" s="4" t="str">
        <f>'GPT-5 Generation'!A58</f>
        <v>Transition</v>
      </c>
      <c r="B58" s="4" t="str">
        <f>'GPT-5 Generation'!B58</f>
        <v>after 1 sec (Moving ⇒ Stopped)</v>
      </c>
      <c r="C58" s="5"/>
      <c r="D58" s="5"/>
    </row>
    <row r="59" spans="1:4" ht="12.75" customHeight="1" x14ac:dyDescent="0.15">
      <c r="A59" s="4" t="str">
        <f>'GPT-5 Generation'!A59</f>
        <v>Guard</v>
      </c>
      <c r="B59" s="4" t="str">
        <f>'GPT-5 Generation'!B59</f>
        <v>[speed == 0]</v>
      </c>
      <c r="C59" s="5"/>
      <c r="D59" s="5"/>
    </row>
    <row r="60" spans="1:4" ht="12.75" customHeight="1" x14ac:dyDescent="0.15">
      <c r="A60" s="4" t="str">
        <f>'GPT-5 Generation'!A60</f>
        <v>Action</v>
      </c>
      <c r="B60" s="4" t="str">
        <f>'GPT-5 Generation'!B60</f>
        <v>stopped()</v>
      </c>
      <c r="C60" s="5"/>
      <c r="D60" s="5"/>
    </row>
    <row r="61" spans="1:4" ht="12.75" customHeight="1" x14ac:dyDescent="0.15">
      <c r="A61" s="4" t="str">
        <f>'GPT-5 Generation'!A61</f>
        <v>Transition</v>
      </c>
      <c r="B61" s="4" t="str">
        <f>'GPT-5 Generation'!B61</f>
        <v>after 1 sec (Moving ⇒ Moving)</v>
      </c>
      <c r="C61" s="5"/>
      <c r="D61" s="5"/>
    </row>
    <row r="62" spans="1:4" ht="12.75" customHeight="1" x14ac:dyDescent="0.15">
      <c r="A62" s="4" t="str">
        <f>'GPT-5 Generation'!A62</f>
        <v>Guard</v>
      </c>
      <c r="B62" s="4" t="str">
        <f>'GPT-5 Generation'!B62</f>
        <v>[speed &gt; 0]</v>
      </c>
      <c r="C62" s="5"/>
      <c r="D62" s="5"/>
    </row>
    <row r="63" spans="1:4" ht="12.75" customHeight="1" x14ac:dyDescent="0.15">
      <c r="A63" s="4" t="str">
        <f>'GPT-5 Generation'!A63</f>
        <v>Region</v>
      </c>
      <c r="B63" s="4" t="str">
        <f>'GPT-5 Generation'!B63</f>
        <v>ODS</v>
      </c>
      <c r="C63" s="5"/>
      <c r="D63" s="5"/>
    </row>
    <row r="64" spans="1:4" ht="12.75" customHeight="1" x14ac:dyDescent="0.15">
      <c r="A64" s="4" t="str">
        <f>'GPT-5 Generation'!A64</f>
        <v>State</v>
      </c>
      <c r="B64" s="4" t="str">
        <f>'GPT-5 Generation'!B64</f>
        <v>Initial state (ODS → ODSActive)</v>
      </c>
      <c r="C64" s="5"/>
      <c r="D64" s="5"/>
    </row>
    <row r="65" spans="1:4" ht="12.75" customHeight="1" x14ac:dyDescent="0.15">
      <c r="A65" s="4" t="str">
        <f>'GPT-5 Generation'!A65</f>
        <v>State</v>
      </c>
      <c r="B65" s="4" t="str">
        <f>'GPT-5 Generation'!B65</f>
        <v>ODSActive</v>
      </c>
      <c r="C65" s="5"/>
      <c r="D65" s="5"/>
    </row>
    <row r="66" spans="1:4" ht="12.75" customHeight="1" x14ac:dyDescent="0.15">
      <c r="A66" s="4" t="str">
        <f>'GPT-5 Generation'!A66</f>
        <v>Transition</v>
      </c>
      <c r="B66" s="4" t="str">
        <f>'GPT-5 Generation'!B66</f>
        <v>after 1 sec (ODSActive ⇒ ODSActive)</v>
      </c>
      <c r="C66" s="5"/>
      <c r="D66" s="5"/>
    </row>
    <row r="67" spans="1:4" ht="12.75" customHeight="1" x14ac:dyDescent="0.15">
      <c r="A67" s="4" t="str">
        <f>'GPT-5 Generation'!A67</f>
        <v>Guard</v>
      </c>
      <c r="B67" s="4" t="str">
        <f>'GPT-5 Generation'!B67</f>
        <v>[obstacleDetected()]</v>
      </c>
      <c r="C67" s="5"/>
      <c r="D67" s="5"/>
    </row>
    <row r="68" spans="1:4" ht="12.75" customHeight="1" x14ac:dyDescent="0.15">
      <c r="A68" s="4" t="str">
        <f>'GPT-5 Generation'!A68</f>
        <v>Action</v>
      </c>
      <c r="B68" s="4" t="str">
        <f>'GPT-5 Generation'!B68</f>
        <v>emergency()</v>
      </c>
    </row>
    <row r="69" spans="1:4" ht="12.75" customHeight="1" x14ac:dyDescent="0.15">
      <c r="A69" s="4" t="str">
        <f>'GPT-5 Generation'!A69</f>
        <v>Transition</v>
      </c>
      <c r="B69" s="4" t="str">
        <f>'GPT-5 Generation'!B69</f>
        <v>after 1 sec (ODSActive ⇒ ODSActive)</v>
      </c>
    </row>
    <row r="70" spans="1:4" ht="12.75" customHeight="1" x14ac:dyDescent="0.15">
      <c r="A70" s="4" t="str">
        <f>'GPT-5 Generation'!A70</f>
        <v>Guard</v>
      </c>
      <c r="B70" s="4" t="str">
        <f>'GPT-5 Generation'!B70</f>
        <v>[!obstacleDetected()]</v>
      </c>
    </row>
    <row r="71" spans="1:4" ht="12.75" customHeight="1" x14ac:dyDescent="0.15">
      <c r="A71" s="6" t="str">
        <f>'GPT-5 Generation'!A71</f>
        <v>State</v>
      </c>
      <c r="B71" s="6" t="str">
        <f>'GPT-5 Generation'!B71</f>
        <v>Arrived</v>
      </c>
    </row>
    <row r="72" spans="1:4" ht="12.75" customHeight="1" x14ac:dyDescent="0.15">
      <c r="A72" s="7" t="str">
        <f>'GPT-5 Generation'!A72</f>
        <v>State</v>
      </c>
      <c r="B72" s="7" t="str">
        <f>'GPT-5 Generation'!B72</f>
        <v>additional elements</v>
      </c>
    </row>
    <row r="73" spans="1:4" ht="12.75" customHeight="1" x14ac:dyDescent="0.15">
      <c r="A73" s="4" t="str">
        <f>'GPT-5 Generation'!A73</f>
        <v>Transition</v>
      </c>
      <c r="B73" s="4" t="str">
        <f>'GPT-5 Generation'!B73</f>
        <v>additional elements</v>
      </c>
    </row>
    <row r="74" spans="1:4" ht="12.75" customHeight="1" x14ac:dyDescent="0.15">
      <c r="A74" s="4" t="str">
        <f>'GPT-5 Generation'!A74</f>
        <v>Guard</v>
      </c>
      <c r="B74" s="4" t="str">
        <f>'GPT-5 Generation'!B74</f>
        <v>additional elements</v>
      </c>
    </row>
    <row r="75" spans="1:4" ht="12.75" customHeight="1" x14ac:dyDescent="0.15">
      <c r="A75" s="4" t="str">
        <f>'GPT-5 Generation'!A75</f>
        <v>Action</v>
      </c>
      <c r="B75" s="4" t="str">
        <f>'GPT-5 Generation'!B75</f>
        <v>additional elements</v>
      </c>
    </row>
    <row r="76" spans="1:4" ht="12.75" customHeight="1" x14ac:dyDescent="0.15">
      <c r="A76" s="4" t="str">
        <f>'GPT-5 Generation'!A76</f>
        <v>Composite State</v>
      </c>
      <c r="B76" s="4" t="str">
        <f>'GPT-5 Generation'!B76</f>
        <v>additional elements</v>
      </c>
    </row>
    <row r="77" spans="1:4" ht="12.75" customHeight="1" x14ac:dyDescent="0.15">
      <c r="A77" s="4" t="str">
        <f>'GPT-5 Generation'!A77</f>
        <v>Region</v>
      </c>
      <c r="B77" s="4" t="str">
        <f>'GPT-5 Generation'!B77</f>
        <v>additional elements</v>
      </c>
    </row>
    <row r="78" spans="1:4" ht="12.75" customHeight="1" x14ac:dyDescent="0.15">
      <c r="A78" s="4" t="str">
        <f>'GPT-5 Generation'!A78</f>
        <v>History State</v>
      </c>
      <c r="B78" s="4" t="str">
        <f>'GPT-5 Generation'!B78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workbookViewId="0">
      <selection activeCell="C2" sqref="C2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9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34</v>
      </c>
    </row>
    <row r="2" spans="1:4" ht="12.75" customHeight="1" x14ac:dyDescent="0.15">
      <c r="A2" s="11" t="s">
        <v>21</v>
      </c>
      <c r="B2" s="4" t="s">
        <v>35</v>
      </c>
      <c r="C2" s="4">
        <v>0</v>
      </c>
      <c r="D2" s="12" t="s">
        <v>208</v>
      </c>
    </row>
    <row r="3" spans="1:4" ht="12.75" customHeight="1" x14ac:dyDescent="0.15">
      <c r="A3" s="13" t="s">
        <v>21</v>
      </c>
      <c r="B3" s="14" t="s">
        <v>36</v>
      </c>
      <c r="C3" s="14">
        <v>0</v>
      </c>
      <c r="D3" s="15" t="s">
        <v>209</v>
      </c>
    </row>
    <row r="4" spans="1:4" ht="12.75" customHeight="1" x14ac:dyDescent="0.15">
      <c r="A4" s="11" t="s">
        <v>23</v>
      </c>
      <c r="B4" s="4" t="s">
        <v>37</v>
      </c>
      <c r="C4" s="4">
        <v>0.5</v>
      </c>
      <c r="D4" s="12" t="s">
        <v>210</v>
      </c>
    </row>
    <row r="5" spans="1:4" ht="12.75" customHeight="1" x14ac:dyDescent="0.15">
      <c r="A5" s="13" t="s">
        <v>29</v>
      </c>
      <c r="B5" s="14" t="s">
        <v>38</v>
      </c>
      <c r="C5" s="14">
        <v>1</v>
      </c>
      <c r="D5" s="15" t="s">
        <v>211</v>
      </c>
    </row>
    <row r="6" spans="1:4" ht="12.75" customHeight="1" x14ac:dyDescent="0.15">
      <c r="A6" s="11" t="s">
        <v>25</v>
      </c>
      <c r="B6" s="4" t="s">
        <v>39</v>
      </c>
      <c r="C6" s="4">
        <v>1</v>
      </c>
      <c r="D6" s="12" t="s">
        <v>212</v>
      </c>
    </row>
    <row r="7" spans="1:4" ht="12.75" customHeight="1" x14ac:dyDescent="0.15">
      <c r="A7" s="13" t="s">
        <v>33</v>
      </c>
      <c r="B7" s="14" t="s">
        <v>40</v>
      </c>
      <c r="C7" s="14">
        <v>0.5</v>
      </c>
      <c r="D7" s="15" t="s">
        <v>213</v>
      </c>
    </row>
    <row r="8" spans="1:4" ht="12.75" customHeight="1" x14ac:dyDescent="0.15">
      <c r="A8" s="11" t="s">
        <v>25</v>
      </c>
      <c r="B8" s="4" t="s">
        <v>41</v>
      </c>
      <c r="C8" s="4">
        <v>1</v>
      </c>
      <c r="D8" s="12" t="s">
        <v>214</v>
      </c>
    </row>
    <row r="9" spans="1:4" ht="12.75" customHeight="1" x14ac:dyDescent="0.15">
      <c r="A9" s="13" t="s">
        <v>21</v>
      </c>
      <c r="B9" s="14" t="s">
        <v>42</v>
      </c>
      <c r="C9" s="14">
        <v>1</v>
      </c>
      <c r="D9" s="15" t="s">
        <v>215</v>
      </c>
    </row>
    <row r="10" spans="1:4" ht="12.75" customHeight="1" x14ac:dyDescent="0.15">
      <c r="A10" s="11" t="s">
        <v>21</v>
      </c>
      <c r="B10" s="4" t="s">
        <v>43</v>
      </c>
      <c r="C10" s="4">
        <v>1</v>
      </c>
      <c r="D10" s="12" t="s">
        <v>216</v>
      </c>
    </row>
    <row r="11" spans="1:4" ht="12.75" customHeight="1" x14ac:dyDescent="0.15">
      <c r="A11" s="13" t="s">
        <v>29</v>
      </c>
      <c r="B11" s="14" t="s">
        <v>44</v>
      </c>
      <c r="C11" s="14">
        <v>1</v>
      </c>
      <c r="D11" s="15" t="s">
        <v>217</v>
      </c>
    </row>
    <row r="12" spans="1:4" ht="12.75" customHeight="1" x14ac:dyDescent="0.15">
      <c r="A12" s="11" t="s">
        <v>29</v>
      </c>
      <c r="B12" s="4" t="s">
        <v>45</v>
      </c>
      <c r="C12" s="4">
        <v>1</v>
      </c>
      <c r="D12" s="12" t="s">
        <v>218</v>
      </c>
    </row>
    <row r="13" spans="1:4" ht="12.75" customHeight="1" x14ac:dyDescent="0.15">
      <c r="A13" s="13" t="s">
        <v>23</v>
      </c>
      <c r="B13" s="14" t="s">
        <v>46</v>
      </c>
      <c r="C13" s="14">
        <v>1</v>
      </c>
      <c r="D13" s="15" t="s">
        <v>219</v>
      </c>
    </row>
    <row r="14" spans="1:4" ht="12.75" customHeight="1" x14ac:dyDescent="0.15">
      <c r="A14" s="11" t="s">
        <v>27</v>
      </c>
      <c r="B14" s="4" t="s">
        <v>47</v>
      </c>
      <c r="C14" s="4">
        <v>1</v>
      </c>
      <c r="D14" s="12" t="s">
        <v>220</v>
      </c>
    </row>
    <row r="15" spans="1:4" ht="12.75" customHeight="1" x14ac:dyDescent="0.15">
      <c r="A15" s="13" t="s">
        <v>23</v>
      </c>
      <c r="B15" s="14" t="s">
        <v>48</v>
      </c>
      <c r="C15" s="14">
        <v>0.5</v>
      </c>
      <c r="D15" s="15" t="s">
        <v>221</v>
      </c>
    </row>
    <row r="16" spans="1:4" ht="12.75" customHeight="1" x14ac:dyDescent="0.15">
      <c r="A16" s="11" t="s">
        <v>27</v>
      </c>
      <c r="B16" s="4" t="s">
        <v>49</v>
      </c>
      <c r="C16" s="4">
        <v>1</v>
      </c>
      <c r="D16" s="12" t="s">
        <v>222</v>
      </c>
    </row>
    <row r="17" spans="1:22" ht="15" customHeight="1" x14ac:dyDescent="0.15">
      <c r="A17" s="13" t="s">
        <v>29</v>
      </c>
      <c r="B17" s="14" t="s">
        <v>50</v>
      </c>
      <c r="C17" s="14">
        <v>1</v>
      </c>
      <c r="D17" s="15" t="s">
        <v>223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21</v>
      </c>
      <c r="B18" s="4" t="s">
        <v>51</v>
      </c>
      <c r="C18" s="4">
        <v>1</v>
      </c>
      <c r="D18" s="12" t="s">
        <v>224</v>
      </c>
    </row>
    <row r="19" spans="1:22" ht="12.75" customHeight="1" x14ac:dyDescent="0.15">
      <c r="A19" s="13" t="s">
        <v>29</v>
      </c>
      <c r="B19" s="14" t="s">
        <v>52</v>
      </c>
      <c r="C19" s="14">
        <v>1</v>
      </c>
      <c r="D19" s="15" t="s">
        <v>225</v>
      </c>
    </row>
    <row r="20" spans="1:22" ht="12.75" customHeight="1" x14ac:dyDescent="0.15">
      <c r="A20" s="11" t="s">
        <v>23</v>
      </c>
      <c r="B20" s="4" t="s">
        <v>53</v>
      </c>
      <c r="C20" s="4">
        <v>1</v>
      </c>
      <c r="D20" s="12" t="s">
        <v>226</v>
      </c>
    </row>
    <row r="21" spans="1:22" ht="12.75" customHeight="1" x14ac:dyDescent="0.15">
      <c r="A21" s="13" t="s">
        <v>27</v>
      </c>
      <c r="B21" s="14" t="s">
        <v>54</v>
      </c>
      <c r="C21" s="14">
        <v>1</v>
      </c>
      <c r="D21" s="15" t="s">
        <v>227</v>
      </c>
    </row>
    <row r="22" spans="1:22" ht="12.75" customHeight="1" x14ac:dyDescent="0.15">
      <c r="A22" s="11" t="s">
        <v>23</v>
      </c>
      <c r="B22" s="4" t="s">
        <v>55</v>
      </c>
      <c r="C22" s="4">
        <v>1</v>
      </c>
      <c r="D22" s="12" t="s">
        <v>228</v>
      </c>
    </row>
    <row r="23" spans="1:22" ht="12.75" customHeight="1" x14ac:dyDescent="0.15">
      <c r="A23" s="13" t="s">
        <v>27</v>
      </c>
      <c r="B23" s="14" t="s">
        <v>56</v>
      </c>
      <c r="C23" s="14">
        <v>1</v>
      </c>
      <c r="D23" s="15" t="s">
        <v>229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23</v>
      </c>
      <c r="B24" s="4" t="s">
        <v>53</v>
      </c>
      <c r="C24" s="4">
        <v>1</v>
      </c>
      <c r="D24" s="12" t="s">
        <v>230</v>
      </c>
    </row>
    <row r="25" spans="1:22" ht="12.75" customHeight="1" x14ac:dyDescent="0.15">
      <c r="A25" s="13" t="s">
        <v>27</v>
      </c>
      <c r="B25" s="14" t="s">
        <v>57</v>
      </c>
      <c r="C25" s="14">
        <v>1</v>
      </c>
      <c r="D25" s="15" t="s">
        <v>231</v>
      </c>
    </row>
    <row r="26" spans="1:22" ht="15" customHeight="1" x14ac:dyDescent="0.15">
      <c r="A26" s="11" t="s">
        <v>23</v>
      </c>
      <c r="B26" s="4" t="s">
        <v>58</v>
      </c>
      <c r="C26" s="4">
        <v>1</v>
      </c>
      <c r="D26" s="12" t="s">
        <v>232</v>
      </c>
    </row>
    <row r="27" spans="1:22" ht="12.75" customHeight="1" x14ac:dyDescent="0.15">
      <c r="A27" s="13" t="s">
        <v>27</v>
      </c>
      <c r="B27" s="14" t="s">
        <v>59</v>
      </c>
      <c r="C27" s="14">
        <v>1</v>
      </c>
      <c r="D27" s="15" t="s">
        <v>233</v>
      </c>
    </row>
    <row r="28" spans="1:22" ht="12.75" customHeight="1" x14ac:dyDescent="0.15">
      <c r="A28" s="11" t="s">
        <v>21</v>
      </c>
      <c r="B28" s="4" t="s">
        <v>60</v>
      </c>
      <c r="C28" s="4">
        <v>1</v>
      </c>
      <c r="D28" s="12" t="s">
        <v>234</v>
      </c>
    </row>
    <row r="29" spans="1:22" ht="12.75" customHeight="1" x14ac:dyDescent="0.15">
      <c r="A29" s="13" t="s">
        <v>29</v>
      </c>
      <c r="B29" s="14" t="s">
        <v>61</v>
      </c>
      <c r="C29" s="14">
        <v>1</v>
      </c>
      <c r="D29" s="15" t="s">
        <v>235</v>
      </c>
    </row>
    <row r="30" spans="1:22" ht="12.75" customHeight="1" x14ac:dyDescent="0.15">
      <c r="A30" s="11" t="s">
        <v>23</v>
      </c>
      <c r="B30" s="4" t="s">
        <v>62</v>
      </c>
      <c r="C30" s="4">
        <v>1</v>
      </c>
      <c r="D30" s="12" t="s">
        <v>236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21</v>
      </c>
      <c r="B31" s="14" t="s">
        <v>63</v>
      </c>
      <c r="C31" s="14">
        <v>1</v>
      </c>
      <c r="D31" s="15" t="s">
        <v>237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23</v>
      </c>
      <c r="B32" s="4" t="s">
        <v>64</v>
      </c>
      <c r="C32" s="4">
        <v>1</v>
      </c>
      <c r="D32" s="12" t="s">
        <v>238</v>
      </c>
    </row>
    <row r="33" spans="1:22" ht="12.75" customHeight="1" x14ac:dyDescent="0.15">
      <c r="A33" s="13" t="s">
        <v>21</v>
      </c>
      <c r="B33" s="14" t="s">
        <v>65</v>
      </c>
      <c r="C33" s="14">
        <v>1</v>
      </c>
      <c r="D33" s="12" t="s">
        <v>239</v>
      </c>
    </row>
    <row r="34" spans="1:22" ht="12.75" customHeight="1" x14ac:dyDescent="0.15">
      <c r="A34" s="11" t="s">
        <v>29</v>
      </c>
      <c r="B34" s="4" t="s">
        <v>61</v>
      </c>
      <c r="C34" s="4">
        <v>1</v>
      </c>
      <c r="D34" s="12" t="s">
        <v>240</v>
      </c>
    </row>
    <row r="35" spans="1:22" ht="12.75" customHeight="1" x14ac:dyDescent="0.15">
      <c r="A35" s="13" t="s">
        <v>23</v>
      </c>
      <c r="B35" s="14" t="s">
        <v>66</v>
      </c>
      <c r="C35" s="14">
        <v>1</v>
      </c>
      <c r="D35" s="15" t="s">
        <v>241</v>
      </c>
    </row>
    <row r="36" spans="1:22" ht="12.75" customHeight="1" x14ac:dyDescent="0.15">
      <c r="A36" s="11" t="s">
        <v>31</v>
      </c>
      <c r="B36" s="4" t="s">
        <v>67</v>
      </c>
      <c r="C36" s="4">
        <v>1</v>
      </c>
      <c r="D36" s="12" t="s">
        <v>242</v>
      </c>
    </row>
    <row r="37" spans="1:22" ht="12.75" customHeight="1" x14ac:dyDescent="0.15">
      <c r="A37" s="11" t="s">
        <v>21</v>
      </c>
      <c r="B37" s="4" t="s">
        <v>68</v>
      </c>
      <c r="C37" s="4">
        <v>1</v>
      </c>
      <c r="D37" s="12" t="s">
        <v>243</v>
      </c>
    </row>
    <row r="38" spans="1:22" ht="15" customHeight="1" x14ac:dyDescent="0.15">
      <c r="A38" s="13" t="s">
        <v>23</v>
      </c>
      <c r="B38" s="14" t="s">
        <v>69</v>
      </c>
      <c r="C38" s="14">
        <v>1</v>
      </c>
      <c r="D38" s="15" t="s">
        <v>244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29</v>
      </c>
      <c r="B39" s="4" t="s">
        <v>70</v>
      </c>
      <c r="C39" s="4">
        <v>1</v>
      </c>
      <c r="D39" s="12" t="s">
        <v>245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23</v>
      </c>
      <c r="B40" s="14" t="s">
        <v>71</v>
      </c>
      <c r="C40" s="14">
        <v>1</v>
      </c>
      <c r="D40" s="15" t="s">
        <v>246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33</v>
      </c>
      <c r="B41" s="4" t="s">
        <v>72</v>
      </c>
      <c r="C41" s="4">
        <v>1</v>
      </c>
      <c r="D41" s="12" t="s">
        <v>247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21</v>
      </c>
      <c r="B42" s="14" t="s">
        <v>73</v>
      </c>
      <c r="C42" s="14">
        <v>1</v>
      </c>
      <c r="D42" s="15" t="s">
        <v>248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21</v>
      </c>
      <c r="B43" s="4" t="s">
        <v>74</v>
      </c>
      <c r="C43" s="4">
        <v>1</v>
      </c>
      <c r="D43" s="12" t="s">
        <v>249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23</v>
      </c>
      <c r="B44" s="14" t="s">
        <v>75</v>
      </c>
      <c r="C44" s="14">
        <v>1</v>
      </c>
      <c r="D44" s="15" t="s">
        <v>250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27</v>
      </c>
      <c r="B45" s="4" t="s">
        <v>76</v>
      </c>
      <c r="C45" s="4">
        <v>1</v>
      </c>
      <c r="D45" s="12" t="s">
        <v>251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29</v>
      </c>
      <c r="B46" s="14" t="s">
        <v>77</v>
      </c>
      <c r="C46" s="14">
        <v>1</v>
      </c>
      <c r="D46" s="15" t="s">
        <v>252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23</v>
      </c>
      <c r="B47" s="4" t="s">
        <v>75</v>
      </c>
      <c r="C47" s="4">
        <v>1</v>
      </c>
      <c r="D47" s="12" t="s">
        <v>253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27</v>
      </c>
      <c r="B48" s="14" t="s">
        <v>78</v>
      </c>
      <c r="C48" s="14">
        <v>1</v>
      </c>
      <c r="D48" s="15" t="s">
        <v>254</v>
      </c>
    </row>
    <row r="49" spans="1:4" ht="12.75" customHeight="1" x14ac:dyDescent="0.15">
      <c r="A49" s="11" t="s">
        <v>33</v>
      </c>
      <c r="B49" s="4" t="s">
        <v>79</v>
      </c>
      <c r="C49" s="4">
        <v>1</v>
      </c>
      <c r="D49" s="12" t="s">
        <v>255</v>
      </c>
    </row>
    <row r="50" spans="1:4" ht="12.75" customHeight="1" x14ac:dyDescent="0.15">
      <c r="A50" s="13" t="s">
        <v>21</v>
      </c>
      <c r="B50" s="14" t="s">
        <v>80</v>
      </c>
      <c r="C50" s="14">
        <v>1</v>
      </c>
      <c r="D50" s="15" t="s">
        <v>256</v>
      </c>
    </row>
    <row r="51" spans="1:4" ht="12.75" customHeight="1" x14ac:dyDescent="0.15">
      <c r="A51" s="11" t="s">
        <v>21</v>
      </c>
      <c r="B51" s="4" t="s">
        <v>81</v>
      </c>
      <c r="C51" s="4">
        <v>1</v>
      </c>
      <c r="D51" s="12" t="s">
        <v>257</v>
      </c>
    </row>
    <row r="52" spans="1:4" ht="12.75" customHeight="1" x14ac:dyDescent="0.15">
      <c r="A52" s="13" t="s">
        <v>23</v>
      </c>
      <c r="B52" s="14" t="s">
        <v>82</v>
      </c>
      <c r="C52" s="14">
        <v>1</v>
      </c>
      <c r="D52" s="15" t="s">
        <v>258</v>
      </c>
    </row>
    <row r="53" spans="1:4" ht="12.75" customHeight="1" x14ac:dyDescent="0.15">
      <c r="A53" s="11" t="s">
        <v>27</v>
      </c>
      <c r="B53" s="4" t="s">
        <v>83</v>
      </c>
      <c r="C53" s="16">
        <v>1</v>
      </c>
      <c r="D53" s="12" t="s">
        <v>259</v>
      </c>
    </row>
    <row r="54" spans="1:4" ht="12.75" customHeight="1" x14ac:dyDescent="0.15">
      <c r="A54" s="13" t="s">
        <v>23</v>
      </c>
      <c r="B54" s="14" t="s">
        <v>84</v>
      </c>
      <c r="C54" s="14">
        <v>1</v>
      </c>
      <c r="D54" s="15" t="s">
        <v>260</v>
      </c>
    </row>
    <row r="55" spans="1:4" ht="12.75" customHeight="1" x14ac:dyDescent="0.15">
      <c r="A55" s="11" t="s">
        <v>27</v>
      </c>
      <c r="B55" s="4" t="s">
        <v>85</v>
      </c>
      <c r="C55" s="4">
        <v>1</v>
      </c>
      <c r="D55" s="12" t="s">
        <v>261</v>
      </c>
    </row>
    <row r="56" spans="1:4" ht="12.75" customHeight="1" x14ac:dyDescent="0.15">
      <c r="A56" s="13" t="s">
        <v>29</v>
      </c>
      <c r="B56" s="14" t="s">
        <v>86</v>
      </c>
      <c r="C56" s="14">
        <v>0.5</v>
      </c>
      <c r="D56" s="15" t="s">
        <v>262</v>
      </c>
    </row>
    <row r="57" spans="1:4" ht="12.75" customHeight="1" x14ac:dyDescent="0.15">
      <c r="A57" s="13" t="s">
        <v>21</v>
      </c>
      <c r="B57" s="14" t="s">
        <v>87</v>
      </c>
      <c r="C57" s="4">
        <v>1</v>
      </c>
      <c r="D57" s="12" t="s">
        <v>263</v>
      </c>
    </row>
    <row r="58" spans="1:4" ht="12.75" customHeight="1" x14ac:dyDescent="0.15">
      <c r="A58" s="13" t="s">
        <v>23</v>
      </c>
      <c r="B58" s="14" t="s">
        <v>88</v>
      </c>
      <c r="C58" s="14">
        <v>1</v>
      </c>
      <c r="D58" s="15" t="s">
        <v>264</v>
      </c>
    </row>
    <row r="59" spans="1:4" ht="12.75" customHeight="1" x14ac:dyDescent="0.15">
      <c r="A59" s="13" t="s">
        <v>27</v>
      </c>
      <c r="B59" s="14" t="s">
        <v>85</v>
      </c>
      <c r="C59" s="4">
        <v>1</v>
      </c>
      <c r="D59" s="12" t="s">
        <v>261</v>
      </c>
    </row>
    <row r="60" spans="1:4" ht="12.75" customHeight="1" x14ac:dyDescent="0.15">
      <c r="A60" s="13" t="s">
        <v>29</v>
      </c>
      <c r="B60" s="14" t="s">
        <v>86</v>
      </c>
      <c r="C60" s="14">
        <v>1</v>
      </c>
      <c r="D60" s="15" t="s">
        <v>265</v>
      </c>
    </row>
    <row r="61" spans="1:4" ht="12.75" customHeight="1" x14ac:dyDescent="0.15">
      <c r="A61" s="17" t="s">
        <v>23</v>
      </c>
      <c r="B61" s="18" t="s">
        <v>89</v>
      </c>
      <c r="C61" s="18">
        <v>1</v>
      </c>
      <c r="D61" s="19" t="s">
        <v>266</v>
      </c>
    </row>
    <row r="62" spans="1:4" ht="12.75" customHeight="1" x14ac:dyDescent="0.15">
      <c r="A62" s="17" t="s">
        <v>27</v>
      </c>
      <c r="B62" s="18" t="s">
        <v>83</v>
      </c>
      <c r="C62" s="18">
        <v>1</v>
      </c>
      <c r="D62" s="12" t="s">
        <v>259</v>
      </c>
    </row>
    <row r="63" spans="1:4" ht="12.75" customHeight="1" x14ac:dyDescent="0.15">
      <c r="A63" s="17" t="s">
        <v>33</v>
      </c>
      <c r="B63" s="18" t="s">
        <v>90</v>
      </c>
      <c r="C63" s="18">
        <v>1</v>
      </c>
      <c r="D63" s="19" t="s">
        <v>267</v>
      </c>
    </row>
    <row r="64" spans="1:4" ht="12.75" customHeight="1" x14ac:dyDescent="0.15">
      <c r="A64" s="17" t="s">
        <v>21</v>
      </c>
      <c r="B64" s="18" t="s">
        <v>91</v>
      </c>
      <c r="C64" s="18">
        <v>1</v>
      </c>
      <c r="D64" s="19" t="s">
        <v>268</v>
      </c>
    </row>
    <row r="65" spans="1:4" ht="12.75" customHeight="1" x14ac:dyDescent="0.15">
      <c r="A65" s="17" t="s">
        <v>21</v>
      </c>
      <c r="B65" s="18" t="s">
        <v>92</v>
      </c>
      <c r="C65" s="18">
        <v>1</v>
      </c>
      <c r="D65" s="19" t="s">
        <v>269</v>
      </c>
    </row>
    <row r="66" spans="1:4" ht="12.75" customHeight="1" x14ac:dyDescent="0.15">
      <c r="A66" s="17" t="s">
        <v>23</v>
      </c>
      <c r="B66" s="18" t="s">
        <v>93</v>
      </c>
      <c r="C66" s="18">
        <v>1</v>
      </c>
      <c r="D66" s="19" t="s">
        <v>270</v>
      </c>
    </row>
    <row r="67" spans="1:4" ht="12.75" customHeight="1" x14ac:dyDescent="0.15">
      <c r="A67" s="17" t="s">
        <v>27</v>
      </c>
      <c r="B67" s="18" t="s">
        <v>94</v>
      </c>
      <c r="C67" s="18">
        <v>1</v>
      </c>
      <c r="D67" s="19" t="s">
        <v>271</v>
      </c>
    </row>
    <row r="68" spans="1:4" ht="12.75" customHeight="1" x14ac:dyDescent="0.15">
      <c r="A68" s="17" t="s">
        <v>29</v>
      </c>
      <c r="B68" s="18" t="s">
        <v>95</v>
      </c>
      <c r="C68" s="18">
        <v>1</v>
      </c>
      <c r="D68" s="19" t="s">
        <v>272</v>
      </c>
    </row>
    <row r="69" spans="1:4" ht="12.75" customHeight="1" x14ac:dyDescent="0.15">
      <c r="A69" s="17" t="s">
        <v>23</v>
      </c>
      <c r="B69" s="18" t="s">
        <v>93</v>
      </c>
      <c r="C69" s="18">
        <v>1</v>
      </c>
      <c r="D69" s="19" t="s">
        <v>273</v>
      </c>
    </row>
    <row r="70" spans="1:4" ht="12.75" customHeight="1" x14ac:dyDescent="0.15">
      <c r="A70" s="17" t="s">
        <v>27</v>
      </c>
      <c r="B70" s="18" t="s">
        <v>96</v>
      </c>
      <c r="C70" s="18">
        <v>1</v>
      </c>
      <c r="D70" s="19" t="s">
        <v>274</v>
      </c>
    </row>
    <row r="71" spans="1:4" ht="12.75" customHeight="1" x14ac:dyDescent="0.15">
      <c r="A71" s="17" t="s">
        <v>21</v>
      </c>
      <c r="B71" s="18" t="s">
        <v>97</v>
      </c>
      <c r="C71" s="18">
        <v>0</v>
      </c>
      <c r="D71" s="19" t="s">
        <v>275</v>
      </c>
    </row>
    <row r="72" spans="1:4" ht="12.75" customHeight="1" x14ac:dyDescent="0.15">
      <c r="A72" s="20" t="s">
        <v>21</v>
      </c>
      <c r="B72" s="7" t="s">
        <v>98</v>
      </c>
      <c r="C72" s="7">
        <v>0</v>
      </c>
      <c r="D72" s="21" t="s">
        <v>276</v>
      </c>
    </row>
    <row r="73" spans="1:4" ht="12.75" customHeight="1" x14ac:dyDescent="0.15">
      <c r="A73" s="13" t="s">
        <v>23</v>
      </c>
      <c r="B73" s="14" t="s">
        <v>98</v>
      </c>
      <c r="C73" s="14">
        <v>0</v>
      </c>
      <c r="D73" s="15" t="s">
        <v>277</v>
      </c>
    </row>
    <row r="74" spans="1:4" ht="12.75" customHeight="1" x14ac:dyDescent="0.15">
      <c r="A74" s="11" t="s">
        <v>27</v>
      </c>
      <c r="B74" s="4" t="s">
        <v>98</v>
      </c>
      <c r="C74" s="4">
        <v>0</v>
      </c>
      <c r="D74" s="12" t="s">
        <v>278</v>
      </c>
    </row>
    <row r="75" spans="1:4" ht="12.75" customHeight="1" x14ac:dyDescent="0.15">
      <c r="A75" s="13" t="s">
        <v>29</v>
      </c>
      <c r="B75" s="14" t="s">
        <v>98</v>
      </c>
      <c r="C75" s="4">
        <v>0</v>
      </c>
      <c r="D75" s="12" t="s">
        <v>279</v>
      </c>
    </row>
    <row r="76" spans="1:4" ht="12.75" customHeight="1" x14ac:dyDescent="0.15">
      <c r="A76" s="11" t="s">
        <v>25</v>
      </c>
      <c r="B76" s="4" t="s">
        <v>98</v>
      </c>
      <c r="C76" s="4">
        <v>0</v>
      </c>
      <c r="D76" s="12" t="s">
        <v>280</v>
      </c>
    </row>
    <row r="77" spans="1:4" ht="12.75" customHeight="1" x14ac:dyDescent="0.15">
      <c r="A77" s="13" t="s">
        <v>33</v>
      </c>
      <c r="B77" s="14" t="s">
        <v>98</v>
      </c>
      <c r="C77" s="4">
        <v>0</v>
      </c>
      <c r="D77" s="12" t="s">
        <v>281</v>
      </c>
    </row>
    <row r="78" spans="1:4" ht="12.75" customHeight="1" x14ac:dyDescent="0.15">
      <c r="A78" s="11" t="s">
        <v>31</v>
      </c>
      <c r="B78" s="4" t="s">
        <v>98</v>
      </c>
      <c r="C78" s="4">
        <v>0</v>
      </c>
      <c r="D78" s="12" t="s">
        <v>282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workbookViewId="0"/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5.3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99</v>
      </c>
      <c r="D1" s="10" t="s">
        <v>34</v>
      </c>
    </row>
    <row r="2" spans="1:4" ht="12.75" customHeight="1" x14ac:dyDescent="0.15">
      <c r="A2" s="11" t="s">
        <v>21</v>
      </c>
      <c r="B2" s="4" t="s">
        <v>35</v>
      </c>
      <c r="C2" s="4">
        <v>0</v>
      </c>
      <c r="D2" s="12" t="s">
        <v>100</v>
      </c>
    </row>
    <row r="3" spans="1:4" ht="12.75" customHeight="1" x14ac:dyDescent="0.15">
      <c r="A3" s="13" t="s">
        <v>21</v>
      </c>
      <c r="B3" s="14" t="s">
        <v>36</v>
      </c>
      <c r="C3" s="14">
        <v>0</v>
      </c>
      <c r="D3" s="15" t="s">
        <v>101</v>
      </c>
    </row>
    <row r="4" spans="1:4" ht="12.75" customHeight="1" x14ac:dyDescent="0.15">
      <c r="A4" s="11" t="s">
        <v>23</v>
      </c>
      <c r="B4" s="4" t="s">
        <v>102</v>
      </c>
      <c r="C4" s="4">
        <v>0</v>
      </c>
      <c r="D4" s="12" t="s">
        <v>103</v>
      </c>
    </row>
    <row r="5" spans="1:4" ht="12.75" customHeight="1" x14ac:dyDescent="0.15">
      <c r="A5" s="13" t="s">
        <v>29</v>
      </c>
      <c r="B5" s="14" t="s">
        <v>38</v>
      </c>
      <c r="C5" s="14">
        <v>0.5</v>
      </c>
      <c r="D5" s="15" t="s">
        <v>104</v>
      </c>
    </row>
    <row r="6" spans="1:4" ht="12.75" customHeight="1" x14ac:dyDescent="0.15">
      <c r="A6" s="11" t="s">
        <v>25</v>
      </c>
      <c r="B6" s="4" t="s">
        <v>39</v>
      </c>
      <c r="C6" s="4">
        <v>1</v>
      </c>
      <c r="D6" s="12" t="s">
        <v>105</v>
      </c>
    </row>
    <row r="7" spans="1:4" ht="12.75" customHeight="1" x14ac:dyDescent="0.15">
      <c r="A7" s="13" t="s">
        <v>33</v>
      </c>
      <c r="B7" s="14" t="s">
        <v>40</v>
      </c>
      <c r="C7" s="14">
        <v>1</v>
      </c>
      <c r="D7" s="15" t="s">
        <v>106</v>
      </c>
    </row>
    <row r="8" spans="1:4" ht="12.75" customHeight="1" x14ac:dyDescent="0.15">
      <c r="A8" s="11" t="s">
        <v>25</v>
      </c>
      <c r="B8" s="4" t="s">
        <v>41</v>
      </c>
      <c r="C8" s="4">
        <v>1</v>
      </c>
      <c r="D8" s="12" t="s">
        <v>107</v>
      </c>
    </row>
    <row r="9" spans="1:4" ht="12.75" customHeight="1" x14ac:dyDescent="0.15">
      <c r="A9" s="13" t="s">
        <v>21</v>
      </c>
      <c r="B9" s="14" t="s">
        <v>42</v>
      </c>
      <c r="C9" s="14">
        <v>0</v>
      </c>
      <c r="D9" s="15" t="s">
        <v>108</v>
      </c>
    </row>
    <row r="10" spans="1:4" ht="12.75" customHeight="1" x14ac:dyDescent="0.15">
      <c r="A10" s="11" t="s">
        <v>21</v>
      </c>
      <c r="B10" s="4" t="s">
        <v>43</v>
      </c>
      <c r="C10" s="4">
        <v>0.5</v>
      </c>
      <c r="D10" s="12" t="s">
        <v>109</v>
      </c>
    </row>
    <row r="11" spans="1:4" ht="12.75" customHeight="1" x14ac:dyDescent="0.15">
      <c r="A11" s="13" t="s">
        <v>110</v>
      </c>
      <c r="B11" s="14" t="s">
        <v>111</v>
      </c>
      <c r="C11" s="14">
        <v>1</v>
      </c>
      <c r="D11" s="15" t="s">
        <v>112</v>
      </c>
    </row>
    <row r="12" spans="1:4" ht="12.75" customHeight="1" x14ac:dyDescent="0.15">
      <c r="A12" s="11" t="s">
        <v>113</v>
      </c>
      <c r="B12" s="4" t="s">
        <v>114</v>
      </c>
      <c r="C12" s="4">
        <v>0.5</v>
      </c>
      <c r="D12" s="12" t="s">
        <v>115</v>
      </c>
    </row>
    <row r="13" spans="1:4" ht="12.75" customHeight="1" x14ac:dyDescent="0.15">
      <c r="A13" s="13" t="s">
        <v>23</v>
      </c>
      <c r="B13" s="14" t="s">
        <v>46</v>
      </c>
      <c r="C13" s="14">
        <v>0.5</v>
      </c>
      <c r="D13" s="15" t="s">
        <v>116</v>
      </c>
    </row>
    <row r="14" spans="1:4" ht="12.75" customHeight="1" x14ac:dyDescent="0.15">
      <c r="A14" s="11" t="s">
        <v>27</v>
      </c>
      <c r="B14" s="4" t="s">
        <v>47</v>
      </c>
      <c r="C14" s="4">
        <v>1</v>
      </c>
      <c r="D14" s="12" t="s">
        <v>117</v>
      </c>
    </row>
    <row r="15" spans="1:4" ht="12.75" customHeight="1" x14ac:dyDescent="0.15">
      <c r="A15" s="13" t="s">
        <v>23</v>
      </c>
      <c r="B15" s="14" t="s">
        <v>48</v>
      </c>
      <c r="C15" s="14">
        <v>0.5</v>
      </c>
      <c r="D15" s="15" t="s">
        <v>118</v>
      </c>
    </row>
    <row r="16" spans="1:4" ht="12.75" customHeight="1" x14ac:dyDescent="0.15">
      <c r="A16" s="11" t="s">
        <v>27</v>
      </c>
      <c r="B16" s="4" t="s">
        <v>49</v>
      </c>
      <c r="C16" s="4">
        <v>1</v>
      </c>
      <c r="D16" s="12" t="s">
        <v>119</v>
      </c>
    </row>
    <row r="17" spans="1:22" ht="15" customHeight="1" x14ac:dyDescent="0.15">
      <c r="A17" s="13" t="s">
        <v>29</v>
      </c>
      <c r="B17" s="14" t="s">
        <v>50</v>
      </c>
      <c r="C17" s="14">
        <v>1</v>
      </c>
      <c r="D17" s="15" t="s">
        <v>120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21</v>
      </c>
      <c r="B18" s="4" t="s">
        <v>51</v>
      </c>
      <c r="C18" s="4">
        <v>0</v>
      </c>
      <c r="D18" s="12" t="s">
        <v>121</v>
      </c>
    </row>
    <row r="19" spans="1:22" ht="12.75" customHeight="1" x14ac:dyDescent="0.15">
      <c r="A19" s="13" t="s">
        <v>110</v>
      </c>
      <c r="B19" s="14" t="s">
        <v>122</v>
      </c>
      <c r="C19" s="14">
        <v>0.5</v>
      </c>
      <c r="D19" s="15" t="s">
        <v>123</v>
      </c>
    </row>
    <row r="20" spans="1:22" ht="12.75" customHeight="1" x14ac:dyDescent="0.15">
      <c r="A20" s="11" t="s">
        <v>23</v>
      </c>
      <c r="B20" s="4" t="s">
        <v>53</v>
      </c>
      <c r="C20" s="4">
        <v>0.5</v>
      </c>
      <c r="D20" s="12" t="s">
        <v>124</v>
      </c>
    </row>
    <row r="21" spans="1:22" ht="12.75" customHeight="1" x14ac:dyDescent="0.15">
      <c r="A21" s="13" t="s">
        <v>27</v>
      </c>
      <c r="B21" s="14" t="s">
        <v>54</v>
      </c>
      <c r="C21" s="14">
        <v>1</v>
      </c>
      <c r="D21" s="15" t="s">
        <v>125</v>
      </c>
    </row>
    <row r="22" spans="1:22" ht="12.75" customHeight="1" x14ac:dyDescent="0.15">
      <c r="A22" s="11" t="s">
        <v>23</v>
      </c>
      <c r="B22" s="4" t="s">
        <v>55</v>
      </c>
      <c r="C22" s="4">
        <v>0</v>
      </c>
      <c r="D22" s="12" t="s">
        <v>126</v>
      </c>
    </row>
    <row r="23" spans="1:22" ht="12.75" customHeight="1" x14ac:dyDescent="0.15">
      <c r="A23" s="13" t="s">
        <v>27</v>
      </c>
      <c r="B23" s="14" t="s">
        <v>56</v>
      </c>
      <c r="C23" s="14">
        <v>1</v>
      </c>
      <c r="D23" s="15" t="s">
        <v>127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23</v>
      </c>
      <c r="B24" s="4" t="s">
        <v>53</v>
      </c>
      <c r="C24" s="4">
        <v>1</v>
      </c>
      <c r="D24" s="12" t="s">
        <v>128</v>
      </c>
    </row>
    <row r="25" spans="1:22" ht="12.75" customHeight="1" x14ac:dyDescent="0.15">
      <c r="A25" s="13" t="s">
        <v>27</v>
      </c>
      <c r="B25" s="14" t="s">
        <v>57</v>
      </c>
      <c r="C25" s="14">
        <v>1</v>
      </c>
      <c r="D25" s="15" t="s">
        <v>129</v>
      </c>
    </row>
    <row r="26" spans="1:22" ht="15" customHeight="1" x14ac:dyDescent="0.15">
      <c r="A26" s="11" t="s">
        <v>23</v>
      </c>
      <c r="B26" s="4" t="s">
        <v>58</v>
      </c>
      <c r="C26" s="4">
        <v>0</v>
      </c>
      <c r="D26" s="12" t="s">
        <v>130</v>
      </c>
    </row>
    <row r="27" spans="1:22" ht="12.75" customHeight="1" x14ac:dyDescent="0.15">
      <c r="A27" s="13" t="s">
        <v>27</v>
      </c>
      <c r="B27" s="14" t="s">
        <v>59</v>
      </c>
      <c r="C27" s="14">
        <v>1</v>
      </c>
      <c r="D27" s="15" t="s">
        <v>131</v>
      </c>
    </row>
    <row r="28" spans="1:22" ht="12.75" customHeight="1" x14ac:dyDescent="0.15">
      <c r="A28" s="11" t="s">
        <v>21</v>
      </c>
      <c r="B28" s="4" t="s">
        <v>60</v>
      </c>
      <c r="C28" s="4">
        <v>0</v>
      </c>
      <c r="D28" s="12" t="s">
        <v>132</v>
      </c>
    </row>
    <row r="29" spans="1:22" ht="12.75" customHeight="1" x14ac:dyDescent="0.15">
      <c r="A29" s="13" t="s">
        <v>110</v>
      </c>
      <c r="B29" s="14" t="s">
        <v>133</v>
      </c>
      <c r="C29" s="14">
        <v>1</v>
      </c>
      <c r="D29" s="15" t="s">
        <v>134</v>
      </c>
    </row>
    <row r="30" spans="1:22" ht="12.75" customHeight="1" x14ac:dyDescent="0.15">
      <c r="A30" s="11" t="s">
        <v>23</v>
      </c>
      <c r="B30" s="4" t="s">
        <v>62</v>
      </c>
      <c r="C30" s="4">
        <v>0</v>
      </c>
      <c r="D30" s="12" t="s">
        <v>135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21</v>
      </c>
      <c r="B31" s="14" t="s">
        <v>63</v>
      </c>
      <c r="C31" s="14">
        <v>1</v>
      </c>
      <c r="D31" s="15" t="s">
        <v>136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23</v>
      </c>
      <c r="B32" s="4" t="s">
        <v>64</v>
      </c>
      <c r="C32" s="4">
        <v>0.5</v>
      </c>
      <c r="D32" s="12" t="s">
        <v>137</v>
      </c>
    </row>
    <row r="33" spans="1:22" ht="12.75" customHeight="1" x14ac:dyDescent="0.15">
      <c r="A33" s="13" t="s">
        <v>21</v>
      </c>
      <c r="B33" s="14" t="s">
        <v>65</v>
      </c>
      <c r="C33" s="14">
        <v>0</v>
      </c>
      <c r="D33" s="15" t="s">
        <v>138</v>
      </c>
    </row>
    <row r="34" spans="1:22" ht="12.75" customHeight="1" x14ac:dyDescent="0.15">
      <c r="A34" s="11" t="s">
        <v>110</v>
      </c>
      <c r="B34" s="4" t="s">
        <v>133</v>
      </c>
      <c r="C34" s="4">
        <v>1</v>
      </c>
      <c r="D34" s="12" t="s">
        <v>139</v>
      </c>
    </row>
    <row r="35" spans="1:22" ht="12.75" customHeight="1" x14ac:dyDescent="0.15">
      <c r="A35" s="13" t="s">
        <v>23</v>
      </c>
      <c r="B35" s="14" t="s">
        <v>66</v>
      </c>
      <c r="C35" s="14">
        <v>0</v>
      </c>
      <c r="D35" s="15" t="s">
        <v>140</v>
      </c>
    </row>
    <row r="36" spans="1:22" ht="12.75" customHeight="1" x14ac:dyDescent="0.15">
      <c r="A36" s="11" t="s">
        <v>31</v>
      </c>
      <c r="B36" s="4" t="s">
        <v>67</v>
      </c>
      <c r="C36" s="4">
        <v>1</v>
      </c>
      <c r="D36" s="12" t="s">
        <v>141</v>
      </c>
    </row>
    <row r="37" spans="1:22" ht="12.75" customHeight="1" x14ac:dyDescent="0.15">
      <c r="A37" s="11" t="s">
        <v>21</v>
      </c>
      <c r="B37" s="4" t="s">
        <v>68</v>
      </c>
      <c r="C37" s="4">
        <v>1</v>
      </c>
      <c r="D37" s="12" t="s">
        <v>142</v>
      </c>
    </row>
    <row r="38" spans="1:22" ht="15" customHeight="1" x14ac:dyDescent="0.15">
      <c r="A38" s="13" t="s">
        <v>23</v>
      </c>
      <c r="B38" s="14" t="s">
        <v>69</v>
      </c>
      <c r="C38" s="14">
        <v>1</v>
      </c>
      <c r="D38" s="15" t="s">
        <v>143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29</v>
      </c>
      <c r="B39" s="4" t="s">
        <v>70</v>
      </c>
      <c r="C39" s="4">
        <v>1</v>
      </c>
      <c r="D39" s="12" t="s">
        <v>144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23</v>
      </c>
      <c r="B40" s="14" t="s">
        <v>71</v>
      </c>
      <c r="C40" s="14">
        <v>1</v>
      </c>
      <c r="D40" s="15" t="s">
        <v>145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33</v>
      </c>
      <c r="B41" s="4" t="s">
        <v>72</v>
      </c>
      <c r="C41" s="4">
        <v>1</v>
      </c>
      <c r="D41" s="12" t="s">
        <v>146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21</v>
      </c>
      <c r="B42" s="14" t="s">
        <v>73</v>
      </c>
      <c r="C42" s="14">
        <v>1</v>
      </c>
      <c r="D42" s="15" t="s">
        <v>147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21</v>
      </c>
      <c r="B43" s="4" t="s">
        <v>74</v>
      </c>
      <c r="C43" s="4">
        <v>1</v>
      </c>
      <c r="D43" s="12" t="s">
        <v>148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23</v>
      </c>
      <c r="B44" s="14" t="s">
        <v>75</v>
      </c>
      <c r="C44" s="14">
        <v>1</v>
      </c>
      <c r="D44" s="15" t="s">
        <v>149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27</v>
      </c>
      <c r="B45" s="4" t="s">
        <v>76</v>
      </c>
      <c r="C45" s="4">
        <v>0.5</v>
      </c>
      <c r="D45" s="12" t="s">
        <v>150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29</v>
      </c>
      <c r="B46" s="14" t="s">
        <v>77</v>
      </c>
      <c r="C46" s="14">
        <v>0.5</v>
      </c>
      <c r="D46" s="15" t="s">
        <v>151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23</v>
      </c>
      <c r="B47" s="4" t="s">
        <v>75</v>
      </c>
      <c r="C47" s="4">
        <v>1</v>
      </c>
      <c r="D47" s="12" t="s">
        <v>152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27</v>
      </c>
      <c r="B48" s="14" t="s">
        <v>78</v>
      </c>
      <c r="C48" s="14">
        <v>0.5</v>
      </c>
      <c r="D48" s="15" t="s">
        <v>153</v>
      </c>
    </row>
    <row r="49" spans="1:4" ht="12.75" customHeight="1" x14ac:dyDescent="0.15">
      <c r="A49" s="11" t="s">
        <v>33</v>
      </c>
      <c r="B49" s="4" t="s">
        <v>79</v>
      </c>
      <c r="C49" s="4">
        <v>1</v>
      </c>
      <c r="D49" s="12" t="s">
        <v>154</v>
      </c>
    </row>
    <row r="50" spans="1:4" ht="12.75" customHeight="1" x14ac:dyDescent="0.15">
      <c r="A50" s="13" t="s">
        <v>21</v>
      </c>
      <c r="B50" s="14" t="s">
        <v>80</v>
      </c>
      <c r="C50" s="14">
        <v>0</v>
      </c>
      <c r="D50" s="15" t="s">
        <v>155</v>
      </c>
    </row>
    <row r="51" spans="1:4" ht="12.75" customHeight="1" x14ac:dyDescent="0.15">
      <c r="A51" s="11" t="s">
        <v>21</v>
      </c>
      <c r="B51" s="4" t="s">
        <v>81</v>
      </c>
      <c r="C51" s="4">
        <v>0</v>
      </c>
      <c r="D51" s="12" t="s">
        <v>156</v>
      </c>
    </row>
    <row r="52" spans="1:4" ht="12.75" customHeight="1" x14ac:dyDescent="0.15">
      <c r="A52" s="13" t="s">
        <v>23</v>
      </c>
      <c r="B52" s="14" t="s">
        <v>82</v>
      </c>
      <c r="C52" s="14">
        <v>0</v>
      </c>
      <c r="D52" s="15" t="s">
        <v>157</v>
      </c>
    </row>
    <row r="53" spans="1:4" ht="12.75" customHeight="1" x14ac:dyDescent="0.15">
      <c r="A53" s="11" t="s">
        <v>27</v>
      </c>
      <c r="B53" s="4" t="s">
        <v>83</v>
      </c>
      <c r="C53" s="16">
        <v>0</v>
      </c>
      <c r="D53" s="12" t="s">
        <v>158</v>
      </c>
    </row>
    <row r="54" spans="1:4" ht="12.75" customHeight="1" x14ac:dyDescent="0.15">
      <c r="A54" s="13" t="s">
        <v>23</v>
      </c>
      <c r="B54" s="14" t="s">
        <v>84</v>
      </c>
      <c r="C54" s="14">
        <v>0.5</v>
      </c>
      <c r="D54" s="15" t="s">
        <v>159</v>
      </c>
    </row>
    <row r="55" spans="1:4" ht="12.75" customHeight="1" x14ac:dyDescent="0.15">
      <c r="A55" s="11" t="s">
        <v>27</v>
      </c>
      <c r="B55" s="4" t="s">
        <v>85</v>
      </c>
      <c r="C55" s="4">
        <v>0</v>
      </c>
      <c r="D55" s="12" t="s">
        <v>158</v>
      </c>
    </row>
    <row r="56" spans="1:4" ht="12.75" customHeight="1" x14ac:dyDescent="0.15">
      <c r="A56" s="13" t="s">
        <v>29</v>
      </c>
      <c r="B56" s="14" t="s">
        <v>86</v>
      </c>
      <c r="C56" s="14">
        <v>0.5</v>
      </c>
      <c r="D56" s="15" t="s">
        <v>160</v>
      </c>
    </row>
    <row r="57" spans="1:4" ht="12.75" customHeight="1" x14ac:dyDescent="0.15">
      <c r="A57" s="13" t="s">
        <v>21</v>
      </c>
      <c r="B57" s="14" t="s">
        <v>87</v>
      </c>
      <c r="C57" s="4">
        <v>0</v>
      </c>
      <c r="D57" s="12" t="s">
        <v>161</v>
      </c>
    </row>
    <row r="58" spans="1:4" ht="12.75" customHeight="1" x14ac:dyDescent="0.15">
      <c r="A58" s="13" t="s">
        <v>23</v>
      </c>
      <c r="B58" s="14" t="s">
        <v>88</v>
      </c>
      <c r="C58" s="14">
        <v>0</v>
      </c>
      <c r="D58" s="15" t="s">
        <v>162</v>
      </c>
    </row>
    <row r="59" spans="1:4" ht="12.75" customHeight="1" x14ac:dyDescent="0.15">
      <c r="A59" s="13" t="s">
        <v>27</v>
      </c>
      <c r="B59" s="14" t="s">
        <v>85</v>
      </c>
      <c r="C59" s="4">
        <v>0</v>
      </c>
      <c r="D59" s="12" t="s">
        <v>163</v>
      </c>
    </row>
    <row r="60" spans="1:4" ht="12.75" customHeight="1" x14ac:dyDescent="0.15">
      <c r="A60" s="13" t="s">
        <v>29</v>
      </c>
      <c r="B60" s="14" t="s">
        <v>86</v>
      </c>
      <c r="C60" s="14">
        <v>0.5</v>
      </c>
      <c r="D60" s="15" t="s">
        <v>164</v>
      </c>
    </row>
    <row r="61" spans="1:4" ht="12.75" customHeight="1" x14ac:dyDescent="0.15">
      <c r="A61" s="17" t="s">
        <v>23</v>
      </c>
      <c r="B61" s="18" t="s">
        <v>89</v>
      </c>
      <c r="C61" s="18">
        <v>0.5</v>
      </c>
      <c r="D61" s="19" t="s">
        <v>159</v>
      </c>
    </row>
    <row r="62" spans="1:4" ht="12.75" customHeight="1" x14ac:dyDescent="0.15">
      <c r="A62" s="17" t="s">
        <v>27</v>
      </c>
      <c r="B62" s="18" t="s">
        <v>83</v>
      </c>
      <c r="C62" s="18">
        <v>0</v>
      </c>
      <c r="D62" s="19" t="s">
        <v>165</v>
      </c>
    </row>
    <row r="63" spans="1:4" ht="12.75" customHeight="1" x14ac:dyDescent="0.15">
      <c r="A63" s="17" t="s">
        <v>33</v>
      </c>
      <c r="B63" s="18" t="s">
        <v>90</v>
      </c>
      <c r="C63" s="18">
        <v>1</v>
      </c>
      <c r="D63" s="19" t="s">
        <v>166</v>
      </c>
    </row>
    <row r="64" spans="1:4" ht="12.75" customHeight="1" x14ac:dyDescent="0.15">
      <c r="A64" s="17" t="s">
        <v>21</v>
      </c>
      <c r="B64" s="18" t="s">
        <v>91</v>
      </c>
      <c r="C64" s="18">
        <v>1</v>
      </c>
      <c r="D64" s="19" t="s">
        <v>167</v>
      </c>
    </row>
    <row r="65" spans="1:4" ht="12.75" customHeight="1" x14ac:dyDescent="0.15">
      <c r="A65" s="17" t="s">
        <v>21</v>
      </c>
      <c r="B65" s="18" t="s">
        <v>92</v>
      </c>
      <c r="C65" s="18">
        <v>1</v>
      </c>
      <c r="D65" s="19" t="s">
        <v>168</v>
      </c>
    </row>
    <row r="66" spans="1:4" ht="12.75" customHeight="1" x14ac:dyDescent="0.15">
      <c r="A66" s="17" t="s">
        <v>23</v>
      </c>
      <c r="B66" s="18" t="s">
        <v>93</v>
      </c>
      <c r="C66" s="18">
        <v>1</v>
      </c>
      <c r="D66" s="19" t="s">
        <v>169</v>
      </c>
    </row>
    <row r="67" spans="1:4" ht="12.75" customHeight="1" x14ac:dyDescent="0.15">
      <c r="A67" s="17" t="s">
        <v>27</v>
      </c>
      <c r="B67" s="18" t="s">
        <v>94</v>
      </c>
      <c r="C67" s="18">
        <v>0.5</v>
      </c>
      <c r="D67" s="19" t="s">
        <v>170</v>
      </c>
    </row>
    <row r="68" spans="1:4" ht="12.75" customHeight="1" x14ac:dyDescent="0.15">
      <c r="A68" s="17" t="s">
        <v>29</v>
      </c>
      <c r="B68" s="18" t="s">
        <v>95</v>
      </c>
      <c r="C68" s="18">
        <v>0.5</v>
      </c>
      <c r="D68" s="19" t="s">
        <v>171</v>
      </c>
    </row>
    <row r="69" spans="1:4" ht="12.75" customHeight="1" x14ac:dyDescent="0.15">
      <c r="A69" s="17" t="s">
        <v>23</v>
      </c>
      <c r="B69" s="18" t="s">
        <v>93</v>
      </c>
      <c r="C69" s="18">
        <v>1</v>
      </c>
      <c r="D69" s="19" t="s">
        <v>152</v>
      </c>
    </row>
    <row r="70" spans="1:4" ht="12.75" customHeight="1" x14ac:dyDescent="0.15">
      <c r="A70" s="17" t="s">
        <v>27</v>
      </c>
      <c r="B70" s="18" t="s">
        <v>96</v>
      </c>
      <c r="C70" s="18">
        <v>0.5</v>
      </c>
      <c r="D70" s="19" t="s">
        <v>153</v>
      </c>
    </row>
    <row r="71" spans="1:4" ht="12.75" customHeight="1" x14ac:dyDescent="0.15">
      <c r="A71" s="17" t="s">
        <v>21</v>
      </c>
      <c r="B71" s="18" t="s">
        <v>97</v>
      </c>
      <c r="C71" s="18">
        <v>0</v>
      </c>
      <c r="D71" s="19" t="s">
        <v>172</v>
      </c>
    </row>
    <row r="72" spans="1:4" ht="12.75" customHeight="1" x14ac:dyDescent="0.15">
      <c r="A72" s="20" t="s">
        <v>21</v>
      </c>
      <c r="B72" s="7" t="s">
        <v>98</v>
      </c>
      <c r="C72" s="7">
        <v>0</v>
      </c>
      <c r="D72" s="21" t="s">
        <v>173</v>
      </c>
    </row>
    <row r="73" spans="1:4" ht="12.75" customHeight="1" x14ac:dyDescent="0.15">
      <c r="A73" s="13" t="s">
        <v>23</v>
      </c>
      <c r="B73" s="14" t="s">
        <v>98</v>
      </c>
      <c r="C73" s="14">
        <v>0</v>
      </c>
      <c r="D73" s="15" t="s">
        <v>174</v>
      </c>
    </row>
    <row r="74" spans="1:4" ht="12.75" customHeight="1" x14ac:dyDescent="0.15">
      <c r="A74" s="11" t="s">
        <v>27</v>
      </c>
      <c r="B74" s="4" t="s">
        <v>98</v>
      </c>
      <c r="C74" s="4">
        <v>0</v>
      </c>
      <c r="D74" s="12" t="s">
        <v>175</v>
      </c>
    </row>
    <row r="75" spans="1:4" ht="12.75" customHeight="1" x14ac:dyDescent="0.15">
      <c r="A75" s="13" t="s">
        <v>29</v>
      </c>
      <c r="B75" s="14" t="s">
        <v>98</v>
      </c>
      <c r="C75" s="4">
        <v>0</v>
      </c>
      <c r="D75" s="12" t="s">
        <v>176</v>
      </c>
    </row>
    <row r="76" spans="1:4" ht="12.75" customHeight="1" x14ac:dyDescent="0.15">
      <c r="A76" s="11" t="s">
        <v>25</v>
      </c>
      <c r="B76" s="4" t="s">
        <v>98</v>
      </c>
      <c r="C76" s="4">
        <v>0</v>
      </c>
      <c r="D76" s="12" t="s">
        <v>177</v>
      </c>
    </row>
    <row r="77" spans="1:4" ht="12.75" customHeight="1" x14ac:dyDescent="0.15">
      <c r="A77" s="13" t="s">
        <v>33</v>
      </c>
      <c r="B77" s="14" t="s">
        <v>98</v>
      </c>
      <c r="C77" s="4">
        <v>0</v>
      </c>
      <c r="D77" s="12" t="s">
        <v>178</v>
      </c>
    </row>
    <row r="78" spans="1:4" ht="12.75" customHeight="1" x14ac:dyDescent="0.15">
      <c r="A78" s="11" t="s">
        <v>31</v>
      </c>
      <c r="B78" s="4" t="s">
        <v>98</v>
      </c>
      <c r="C78" s="4">
        <v>0</v>
      </c>
      <c r="D78" s="12" t="s">
        <v>179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H14" sqref="H14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0" t="s">
        <v>180</v>
      </c>
      <c r="B1" s="69"/>
      <c r="C1" s="69"/>
      <c r="D1" s="69"/>
      <c r="E1" s="69"/>
      <c r="F1" s="69"/>
      <c r="G1" s="69"/>
      <c r="H1" s="69"/>
      <c r="J1" s="22" t="s">
        <v>181</v>
      </c>
    </row>
    <row r="2" spans="1:10" ht="15.75" customHeight="1" x14ac:dyDescent="0.15">
      <c r="A2" s="23" t="s">
        <v>0</v>
      </c>
      <c r="B2" s="23" t="s">
        <v>182</v>
      </c>
      <c r="C2" s="23" t="s">
        <v>183</v>
      </c>
      <c r="D2" s="23" t="s">
        <v>184</v>
      </c>
      <c r="E2" s="23" t="s">
        <v>185</v>
      </c>
      <c r="F2" s="23" t="s">
        <v>186</v>
      </c>
      <c r="G2" s="23" t="s">
        <v>187</v>
      </c>
      <c r="H2" s="23" t="s">
        <v>188</v>
      </c>
      <c r="J2" s="24" t="s">
        <v>189</v>
      </c>
    </row>
    <row r="3" spans="1:10" ht="15.75" customHeight="1" x14ac:dyDescent="0.2">
      <c r="A3" s="25" t="s">
        <v>25</v>
      </c>
      <c r="B3" s="26">
        <f>COUNTIF('Train Automation System'!$A$2:$A$71, A3)</f>
        <v>2</v>
      </c>
      <c r="C3" s="26">
        <f>SUMIF('GPT-5 Generation'!$A$2:$A$71, $A3, 'GPT-5 Generation'!$C$2:$C$71)</f>
        <v>2</v>
      </c>
      <c r="D3" s="26">
        <f>SUMIF('GPT-5 Generation'!$A$72:$A$78, $A3, 'GPT-5 Generation'!$C$72:$C$78)</f>
        <v>0</v>
      </c>
      <c r="E3" s="26">
        <f>COUNTIFS('GPT-5 Generation'!$A$2:$A$71, $A3, 'GPT-5 Generation'!$C$2:$C$71,0)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21</v>
      </c>
      <c r="B4" s="26">
        <f>COUNTIF('Train Automation System'!$A$2:$A$71, A4)</f>
        <v>17</v>
      </c>
      <c r="C4" s="26">
        <f>SUMIF('GPT-5 Generation'!$A$2:$A$71, $A4, 'GPT-5 Generation'!$C$2:$C$71)</f>
        <v>14</v>
      </c>
      <c r="D4" s="26">
        <f>SUMIF('GPT-5 Generation'!$A$72:$A$78, $A4, 'GPT-5 Generation'!$C$72:$C$78)</f>
        <v>0</v>
      </c>
      <c r="E4" s="26">
        <f>COUNTIFS('GPT-5 Generation'!$A$2:$A$71, $A4, 'GPT-5 Generation'!$C$2:$C$71,0)</f>
        <v>3</v>
      </c>
      <c r="F4" s="26">
        <f t="shared" si="0"/>
        <v>1</v>
      </c>
      <c r="G4" s="26">
        <f t="shared" si="1"/>
        <v>0.82352941176470584</v>
      </c>
      <c r="H4" s="26">
        <f t="shared" si="2"/>
        <v>0.90322580645161288</v>
      </c>
      <c r="J4" s="22" t="s">
        <v>190</v>
      </c>
    </row>
    <row r="5" spans="1:10" ht="15.75" customHeight="1" x14ac:dyDescent="0.15">
      <c r="A5" s="28" t="s">
        <v>23</v>
      </c>
      <c r="B5" s="26">
        <f>COUNTIF('Train Automation System'!$A$2:$A$71, A5)</f>
        <v>20</v>
      </c>
      <c r="C5" s="26">
        <f>SUMIF('GPT-5 Generation'!$A$2:$A$71, $A5, 'GPT-5 Generation'!$C$2:$C$71)</f>
        <v>19</v>
      </c>
      <c r="D5" s="26">
        <f>SUMIF('GPT-5 Generation'!$A$72:$A$78, $A5, 'GPT-5 Generation'!$C$72:$C$78)</f>
        <v>0</v>
      </c>
      <c r="E5" s="26">
        <f>COUNTIFS('GPT-5 Generation'!$A$2:$A$71, $A5, 'GPT-5 Generation'!$C$2:$C$71,0)</f>
        <v>0</v>
      </c>
      <c r="F5" s="26">
        <f t="shared" si="0"/>
        <v>1</v>
      </c>
      <c r="G5" s="26">
        <f t="shared" si="1"/>
        <v>0.95</v>
      </c>
      <c r="H5" s="26">
        <f t="shared" si="2"/>
        <v>0.97435897435897434</v>
      </c>
      <c r="J5" s="24" t="s">
        <v>3</v>
      </c>
    </row>
    <row r="6" spans="1:10" ht="15.75" customHeight="1" x14ac:dyDescent="0.15">
      <c r="A6" s="28" t="s">
        <v>29</v>
      </c>
      <c r="B6" s="26">
        <f>COUNTIF('Train Automation System'!$A$2:$A$71, A6)</f>
        <v>12</v>
      </c>
      <c r="C6" s="26">
        <f>SUMIF('GPT-5 Generation'!$A$2:$A$71, $A6, 'GPT-5 Generation'!$C$2:$C$71)</f>
        <v>11.5</v>
      </c>
      <c r="D6" s="26">
        <f>SUMIF('GPT-5 Generation'!$A$72:$A$78, $A6, 'GPT-5 Generation'!$C$72:$C$78)</f>
        <v>0</v>
      </c>
      <c r="E6" s="26">
        <f>COUNTIFS('GPT-5 Generation'!$A$2:$A$71, $A6, 'GPT-5 Generation'!$C$2:$C$71,0)</f>
        <v>0</v>
      </c>
      <c r="F6" s="26">
        <f t="shared" si="0"/>
        <v>1</v>
      </c>
      <c r="G6" s="26">
        <f t="shared" si="1"/>
        <v>0.95833333333333337</v>
      </c>
      <c r="H6" s="26">
        <f t="shared" si="2"/>
        <v>0.97872340425531912</v>
      </c>
    </row>
    <row r="7" spans="1:10" ht="15.75" customHeight="1" x14ac:dyDescent="0.15">
      <c r="A7" s="28" t="s">
        <v>33</v>
      </c>
      <c r="B7" s="26">
        <f>COUNTIF('Train Automation System'!$A$2:$A$71, A7)</f>
        <v>4</v>
      </c>
      <c r="C7" s="26">
        <f>SUMIF('GPT-5 Generation'!$A$2:$A$71, $A7, 'GPT-5 Generation'!$C$2:$C$71)</f>
        <v>3.5</v>
      </c>
      <c r="D7" s="26">
        <f>SUMIF('GPT-5 Generation'!$A$72:$A$78, $A7, 'GPT-5 Generation'!$C$72:$C$78)</f>
        <v>0</v>
      </c>
      <c r="E7" s="26">
        <f>COUNTIFS('GPT-5 Generation'!$A$2:$A$71, $A7, 'GPT-5 Generation'!$C$2:$C$71,0)</f>
        <v>0</v>
      </c>
      <c r="F7" s="26">
        <f t="shared" si="0"/>
        <v>1</v>
      </c>
      <c r="G7" s="26">
        <f t="shared" si="1"/>
        <v>0.875</v>
      </c>
      <c r="H7" s="26">
        <f t="shared" si="2"/>
        <v>0.93333333333333335</v>
      </c>
      <c r="J7" s="74" t="s">
        <v>191</v>
      </c>
    </row>
    <row r="8" spans="1:10" ht="15.75" customHeight="1" x14ac:dyDescent="0.15">
      <c r="A8" s="28" t="s">
        <v>31</v>
      </c>
      <c r="B8" s="26">
        <f>COUNTIF('Train Automation System'!$A$2:$A$71, A8)</f>
        <v>1</v>
      </c>
      <c r="C8" s="26">
        <f>SUMIF('GPT-5 Generation'!$A$2:$A$71, $A8, 'GPT-5 Generation'!$C$2:$C$71)</f>
        <v>1</v>
      </c>
      <c r="D8" s="26">
        <f>SUMIF('GPT-5 Generation'!$A$72:$A$78, $A8, 'GPT-5 Generation'!$C$72:$C$78)</f>
        <v>0</v>
      </c>
      <c r="E8" s="26">
        <f>COUNTIFS('GPT-5 Generation'!$A$2:$A$71, $A8, 'GPT-5 Generation'!$C$2:$C$71,0)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  <c r="J8" s="73" t="s">
        <v>2</v>
      </c>
    </row>
    <row r="9" spans="1:10" ht="15.75" customHeight="1" x14ac:dyDescent="0.15">
      <c r="A9" s="28" t="s">
        <v>27</v>
      </c>
      <c r="B9" s="26">
        <f>COUNTIF('Train Automation System'!$A$2:$A$71, A9)</f>
        <v>14</v>
      </c>
      <c r="C9" s="26">
        <f>SUMIF('GPT-5 Generation'!$A$2:$A$71, $A9, 'GPT-5 Generation'!$C$2:$C$71)</f>
        <v>14</v>
      </c>
      <c r="D9" s="26">
        <f>SUMIF('GPT-5 Generation'!$A$72:$A$78, $A9, 'GPT-5 Generation'!$C$72:$C$78)</f>
        <v>0</v>
      </c>
      <c r="E9" s="26">
        <f>COUNTIFS('GPT-5 Generation'!$A$2:$A$71, $A9, 'GPT-5 Generation'!$C$2:$C$71,0)</f>
        <v>0</v>
      </c>
      <c r="F9" s="26">
        <f t="shared" si="0"/>
        <v>1</v>
      </c>
      <c r="G9" s="26">
        <f t="shared" si="1"/>
        <v>1</v>
      </c>
      <c r="H9" s="26">
        <f t="shared" si="2"/>
        <v>1</v>
      </c>
      <c r="J9" s="73" t="s">
        <v>3</v>
      </c>
    </row>
    <row r="10" spans="1:10" ht="15.75" customHeight="1" x14ac:dyDescent="0.15">
      <c r="A10" s="28" t="s">
        <v>192</v>
      </c>
      <c r="B10" s="26">
        <f>SUM(B3:B9)</f>
        <v>70</v>
      </c>
      <c r="C10" s="26">
        <f>SUM(C3:C9)</f>
        <v>65</v>
      </c>
      <c r="D10" s="26">
        <f>SUM(D3:D9)</f>
        <v>0</v>
      </c>
      <c r="E10" s="26">
        <f>SUM(E3:E9)</f>
        <v>3</v>
      </c>
      <c r="F10" s="26">
        <f t="shared" si="0"/>
        <v>1</v>
      </c>
      <c r="G10" s="26">
        <f t="shared" si="1"/>
        <v>0.9285714285714286</v>
      </c>
      <c r="H10" s="26">
        <f t="shared" si="2"/>
        <v>0.96296296296296302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</row>
    <row r="12" spans="1:10" ht="15.75" customHeight="1" x14ac:dyDescent="0.15">
      <c r="A12" s="70" t="s">
        <v>193</v>
      </c>
      <c r="B12" s="69"/>
      <c r="C12" s="69"/>
      <c r="D12" s="69"/>
      <c r="E12" s="69"/>
      <c r="F12" s="69"/>
      <c r="G12" s="69"/>
      <c r="H12" s="69"/>
    </row>
    <row r="13" spans="1:10" ht="15.75" customHeight="1" x14ac:dyDescent="0.15">
      <c r="A13" s="23" t="s">
        <v>0</v>
      </c>
      <c r="B13" s="23" t="s">
        <v>182</v>
      </c>
      <c r="C13" s="23" t="s">
        <v>183</v>
      </c>
      <c r="D13" s="23" t="s">
        <v>184</v>
      </c>
      <c r="E13" s="23" t="s">
        <v>185</v>
      </c>
      <c r="F13" s="23" t="s">
        <v>186</v>
      </c>
      <c r="G13" s="23" t="s">
        <v>187</v>
      </c>
      <c r="H13" s="23" t="s">
        <v>188</v>
      </c>
    </row>
    <row r="14" spans="1:10" ht="15.75" customHeight="1" x14ac:dyDescent="0.2">
      <c r="A14" s="25" t="s">
        <v>194</v>
      </c>
      <c r="B14" s="26">
        <f>COUNTIF('Train Automation System'!$A$2:$A$71, A14)</f>
        <v>2</v>
      </c>
      <c r="C14" s="26">
        <f>SUMIF('Claude Sonnet 4.5 Gen'!$A$2:$A$71, $A14, 'Claude Sonnet 4.5 Gen'!$C$2:$C$71)</f>
        <v>2</v>
      </c>
      <c r="D14" s="26">
        <f>SUMIF('Claude Sonnet 4.5 Gen'!$A$72:$A$78, $A14, 'Claude Sonnet 4.5 Gen'!$C$72:$C$78)</f>
        <v>0</v>
      </c>
      <c r="E14" s="26">
        <f>COUNTIFS('Claude Sonnet 4.5 Gen'!$A$2:$A$71, $A14, 'Claude Sonnet 4.5 Gen'!$C$2:$C$71,0)</f>
        <v>0</v>
      </c>
      <c r="F14" s="26">
        <f t="shared" ref="F14:F21" si="3">IFERROR(C14 / (C14 + D14), "Not Available")</f>
        <v>1</v>
      </c>
      <c r="G14" s="26">
        <f t="shared" ref="G14:G21" si="4">IFERROR(C14 / B14, "Not Available")</f>
        <v>1</v>
      </c>
      <c r="H14" s="26">
        <f t="shared" ref="H14:H21" si="5">IFERROR(2*((F14*G14)/(F14+G14)),"Not Available")</f>
        <v>1</v>
      </c>
    </row>
    <row r="15" spans="1:10" ht="15.75" customHeight="1" x14ac:dyDescent="0.15">
      <c r="A15" s="28" t="s">
        <v>21</v>
      </c>
      <c r="B15" s="26">
        <f>COUNTIF('Train Automation System'!$A$2:$A$71, A15)</f>
        <v>17</v>
      </c>
      <c r="C15" s="26">
        <f>SUMIF('Claude Sonnet 4.5 Gen'!$A$2:$A$71, $A15, 'Claude Sonnet 4.5 Gen'!$C$2:$C$71)</f>
        <v>6.5</v>
      </c>
      <c r="D15" s="26">
        <f>SUMIF('Claude Sonnet 4.5 Gen'!$A$72:$A$78, $A15, 'Claude Sonnet 4.5 Gen'!$C$72:$C$78)</f>
        <v>0</v>
      </c>
      <c r="E15" s="26">
        <f>COUNTIFS('Claude Sonnet 4.5 Gen'!$A$2:$A$71, $A15, 'Claude Sonnet 4.5 Gen'!$C$2:$C$71,0)</f>
        <v>10</v>
      </c>
      <c r="F15" s="26">
        <f t="shared" si="3"/>
        <v>1</v>
      </c>
      <c r="G15" s="26">
        <f t="shared" si="4"/>
        <v>0.38235294117647056</v>
      </c>
      <c r="H15" s="26">
        <f t="shared" si="5"/>
        <v>0.55319148936170215</v>
      </c>
    </row>
    <row r="16" spans="1:10" ht="15.75" customHeight="1" x14ac:dyDescent="0.15">
      <c r="A16" s="28" t="s">
        <v>23</v>
      </c>
      <c r="B16" s="26">
        <f>COUNTIF('Train Automation System'!$A$2:$A$71, A16)</f>
        <v>20</v>
      </c>
      <c r="C16" s="26">
        <f>SUMIF('Claude Sonnet 4.5 Gen'!$A$2:$A$71, $A16, 'Claude Sonnet 4.5 Gen'!$C$2:$C$71)</f>
        <v>10</v>
      </c>
      <c r="D16" s="26">
        <f>SUMIF('Claude Sonnet 4.5 Gen'!$A$72:$A$78, $A16, 'Claude Sonnet 4.5 Gen'!$C$72:$C$78)</f>
        <v>0</v>
      </c>
      <c r="E16" s="26">
        <f>COUNTIFS('Claude Sonnet 4.5 Gen'!$A$2:$A$71, $A16, 'Claude Sonnet 4.5 Gen'!$C$2:$C$71,0)</f>
        <v>7</v>
      </c>
      <c r="F16" s="26">
        <f t="shared" si="3"/>
        <v>1</v>
      </c>
      <c r="G16" s="26">
        <f t="shared" si="4"/>
        <v>0.5</v>
      </c>
      <c r="H16" s="26">
        <f t="shared" si="5"/>
        <v>0.66666666666666663</v>
      </c>
    </row>
    <row r="17" spans="1:8" ht="15.75" customHeight="1" x14ac:dyDescent="0.15">
      <c r="A17" s="28" t="s">
        <v>29</v>
      </c>
      <c r="B17" s="26">
        <f>COUNTIF('Train Automation System'!$A$2:$A$71, A17)</f>
        <v>12</v>
      </c>
      <c r="C17" s="26">
        <f>SUMIF('Claude Sonnet 4.5 Gen'!$A$2:$A$71, $A17, 'Claude Sonnet 4.5 Gen'!$C$2:$C$71)</f>
        <v>4.5</v>
      </c>
      <c r="D17" s="26">
        <f>SUMIF('Claude Sonnet 4.5 Gen'!$A$72:$A$78, $A17, 'Claude Sonnet 4.5 Gen'!$C$72:$C$78)</f>
        <v>0</v>
      </c>
      <c r="E17" s="26">
        <f>COUNTIFS('Claude Sonnet 4.5 Gen'!$A$2:$A$71, $A17, 'Claude Sonnet 4.5 Gen'!$C$2:$C$71,0)</f>
        <v>0</v>
      </c>
      <c r="F17" s="26">
        <f t="shared" si="3"/>
        <v>1</v>
      </c>
      <c r="G17" s="26">
        <f t="shared" si="4"/>
        <v>0.375</v>
      </c>
      <c r="H17" s="26">
        <f t="shared" si="5"/>
        <v>0.54545454545454541</v>
      </c>
    </row>
    <row r="18" spans="1:8" ht="15.75" customHeight="1" x14ac:dyDescent="0.15">
      <c r="A18" s="28" t="s">
        <v>33</v>
      </c>
      <c r="B18" s="26">
        <f>COUNTIF('Train Automation System'!$A$2:$A$71, A18)</f>
        <v>4</v>
      </c>
      <c r="C18" s="26">
        <f>SUMIF('Claude Sonnet 4.5 Gen'!$A$2:$A$71, $A18, 'Claude Sonnet 4.5 Gen'!$C$2:$C$71)</f>
        <v>4</v>
      </c>
      <c r="D18" s="26">
        <f>SUMIF('Claude Sonnet 4.5 Gen'!$A$72:$A$78, $A18, 'Claude Sonnet 4.5 Gen'!$C$72:$C$78)</f>
        <v>0</v>
      </c>
      <c r="E18" s="26">
        <f>COUNTIFS('Claude Sonnet 4.5 Gen'!$A$2:$A$71, $A18, 'Claude Sonnet 4.5 Gen'!$C$2:$C$71,0)</f>
        <v>0</v>
      </c>
      <c r="F18" s="26">
        <f t="shared" si="3"/>
        <v>1</v>
      </c>
      <c r="G18" s="26">
        <f t="shared" si="4"/>
        <v>1</v>
      </c>
      <c r="H18" s="26">
        <f t="shared" si="5"/>
        <v>1</v>
      </c>
    </row>
    <row r="19" spans="1:8" ht="15.75" customHeight="1" x14ac:dyDescent="0.15">
      <c r="A19" s="28" t="s">
        <v>31</v>
      </c>
      <c r="B19" s="26">
        <f>COUNTIF('Train Automation System'!$A$2:$A$71, A19)</f>
        <v>1</v>
      </c>
      <c r="C19" s="26">
        <f>SUMIF('Claude Sonnet 4.5 Gen'!$A$2:$A$71, $A19, 'Claude Sonnet 4.5 Gen'!$C$2:$C$71)</f>
        <v>1</v>
      </c>
      <c r="D19" s="26">
        <f>SUMIF('Claude Sonnet 4.5 Gen'!$A$72:$A$78, $A19, 'Claude Sonnet 4.5 Gen'!$C$72:$C$78)</f>
        <v>0</v>
      </c>
      <c r="E19" s="26">
        <f>COUNTIFS('Claude Sonnet 4.5 Gen'!$A$2:$A$71, $A19, 'Claude Sonnet 4.5 Gen'!$C$2:$C$71,0)</f>
        <v>0</v>
      </c>
      <c r="F19" s="26">
        <f t="shared" si="3"/>
        <v>1</v>
      </c>
      <c r="G19" s="26">
        <f t="shared" si="4"/>
        <v>1</v>
      </c>
      <c r="H19" s="26">
        <f t="shared" si="5"/>
        <v>1</v>
      </c>
    </row>
    <row r="20" spans="1:8" ht="15.75" customHeight="1" x14ac:dyDescent="0.15">
      <c r="A20" s="28" t="s">
        <v>27</v>
      </c>
      <c r="B20" s="26">
        <f>COUNTIF('Train Automation System'!$A$2:$A$71, A20)</f>
        <v>14</v>
      </c>
      <c r="C20" s="26">
        <f>SUMIF('Claude Sonnet 4.5 Gen'!$A$2:$A$71, $A20, 'Claude Sonnet 4.5 Gen'!$C$2:$C$71)</f>
        <v>8</v>
      </c>
      <c r="D20" s="26">
        <f>SUMIF('Claude Sonnet 4.5 Gen'!$A$72:$A$78, $A20, 'Claude Sonnet 4.5 Gen'!$C$72:$C$78)</f>
        <v>0</v>
      </c>
      <c r="E20" s="26">
        <f>COUNTIFS('Claude Sonnet 4.5 Gen'!$A$2:$A$71, $A20, 'Claude Sonnet 4.5 Gen'!$C$2:$C$71,0)</f>
        <v>4</v>
      </c>
      <c r="F20" s="26">
        <f t="shared" si="3"/>
        <v>1</v>
      </c>
      <c r="G20" s="26">
        <f t="shared" si="4"/>
        <v>0.5714285714285714</v>
      </c>
      <c r="H20" s="26">
        <f t="shared" si="5"/>
        <v>0.72727272727272729</v>
      </c>
    </row>
    <row r="21" spans="1:8" ht="15.75" customHeight="1" x14ac:dyDescent="0.15">
      <c r="A21" s="28" t="s">
        <v>192</v>
      </c>
      <c r="B21" s="29">
        <f>SUM(B14:B20)</f>
        <v>70</v>
      </c>
      <c r="C21" s="29">
        <f>SUM(C14:C20)</f>
        <v>36</v>
      </c>
      <c r="D21" s="29">
        <f>SUM(D14:D20)</f>
        <v>0</v>
      </c>
      <c r="E21" s="29">
        <f>SUM(E14:E20)</f>
        <v>21</v>
      </c>
      <c r="F21" s="26">
        <f t="shared" si="3"/>
        <v>1</v>
      </c>
      <c r="G21" s="26">
        <f t="shared" si="4"/>
        <v>0.51428571428571423</v>
      </c>
      <c r="H21" s="30">
        <f t="shared" si="5"/>
        <v>0.67924528301886788</v>
      </c>
    </row>
    <row r="22" spans="1:8" ht="15.75" customHeight="1" x14ac:dyDescent="0.15">
      <c r="H22" s="31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1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0" t="s">
        <v>2</v>
      </c>
      <c r="D1" s="10" t="s">
        <v>3</v>
      </c>
      <c r="E1" s="32"/>
      <c r="F1" s="68" t="s">
        <v>4</v>
      </c>
      <c r="G1" s="69"/>
      <c r="H1" s="69"/>
      <c r="I1" s="69"/>
      <c r="L1" s="71" t="s">
        <v>17</v>
      </c>
      <c r="M1" s="72"/>
      <c r="N1" s="72"/>
    </row>
    <row r="2" spans="1:14" ht="15.75" customHeight="1" x14ac:dyDescent="0.15">
      <c r="A2" s="4" t="str">
        <f>'GPT-5 Generation'!A2</f>
        <v>State</v>
      </c>
      <c r="B2" s="4" t="str">
        <f>'GPT-5 Generation'!B2</f>
        <v>Initial state (→ Scheduled)</v>
      </c>
      <c r="C2" s="4">
        <f>'GPT-5 Generation'!C2</f>
        <v>0</v>
      </c>
      <c r="D2" s="4">
        <f>'Claude Sonnet 4.5 Gen'!C2</f>
        <v>0</v>
      </c>
      <c r="E2" s="32"/>
      <c r="F2" s="9" t="s">
        <v>6</v>
      </c>
      <c r="G2" s="34" t="s">
        <v>7</v>
      </c>
      <c r="H2" s="35" t="s">
        <v>8</v>
      </c>
      <c r="I2" s="36" t="s">
        <v>9</v>
      </c>
      <c r="J2" s="37" t="s">
        <v>10</v>
      </c>
      <c r="K2" s="9"/>
      <c r="L2" s="38" t="s">
        <v>195</v>
      </c>
      <c r="M2" s="38" t="s">
        <v>11</v>
      </c>
      <c r="N2" s="38" t="s">
        <v>12</v>
      </c>
    </row>
    <row r="3" spans="1:14" ht="15.75" customHeight="1" x14ac:dyDescent="0.15">
      <c r="A3" s="4" t="str">
        <f>'GPT-5 Generation'!A3</f>
        <v>State</v>
      </c>
      <c r="B3" s="4" t="str">
        <f>'GPT-5 Generation'!B3</f>
        <v>Scheduled</v>
      </c>
      <c r="C3" s="4">
        <f>'GPT-5 Generation'!C3</f>
        <v>0</v>
      </c>
      <c r="D3" s="4">
        <f>'Claude Sonnet 4.5 Gen'!C3</f>
        <v>0</v>
      </c>
      <c r="E3" s="32"/>
      <c r="F3" s="39">
        <v>0</v>
      </c>
      <c r="G3" s="40">
        <f>COUNTIFS($C$2:$C$115, $F3, $D$2:$D$115, G$2)</f>
        <v>10</v>
      </c>
      <c r="H3" s="41">
        <f>COUNTIFS($C$2:$C$71, $F3, $D$2:$D$71, H$2)</f>
        <v>0</v>
      </c>
      <c r="I3" s="42">
        <f>COUNTIFS($C$2:$C$71, $F3, $D$2:$D$71, I$2)+MAX(D72-C72,0)+MAX(D73-C73,0)+MAX(D74-C74,0)+MAX(D75-C75,0)+MAX(D76-C76,0)+MAX(D77-C77,0)+MAX(D78-C78,0)</f>
        <v>0</v>
      </c>
      <c r="J3" s="9">
        <f>SUM(G3:I3)</f>
        <v>10</v>
      </c>
      <c r="K3" s="9"/>
      <c r="L3" s="43" t="s">
        <v>196</v>
      </c>
      <c r="M3" s="40">
        <f>(G3+H4+I5)/COUNTA($C$2:$C$125)</f>
        <v>0.54545454545454541</v>
      </c>
      <c r="N3" s="42" t="s">
        <v>197</v>
      </c>
    </row>
    <row r="4" spans="1:14" ht="15.75" customHeight="1" x14ac:dyDescent="0.15">
      <c r="A4" s="4" t="str">
        <f>'GPT-5 Generation'!A4</f>
        <v>Transition</v>
      </c>
      <c r="B4" s="4" t="str">
        <f>'GPT-5 Generation'!B4</f>
        <v>at beginningStopDuration (Scheduled ⇒ Active)</v>
      </c>
      <c r="C4" s="4">
        <f>'GPT-5 Generation'!C4</f>
        <v>0.5</v>
      </c>
      <c r="D4" s="4">
        <f>'Claude Sonnet 4.5 Gen'!C4</f>
        <v>0</v>
      </c>
      <c r="E4" s="32"/>
      <c r="F4" s="39">
        <v>0.5</v>
      </c>
      <c r="G4" s="44">
        <f>COUNTIFS($C$2:$C$71, $F4, $D$2:$D$71, G$2)</f>
        <v>1</v>
      </c>
      <c r="H4" s="9">
        <f>COUNTIFS($C$2:$C$71, $F4, $D$2:$D$71, H$2)</f>
        <v>2</v>
      </c>
      <c r="I4" s="45">
        <f>COUNTIFS($C$2:$C$71, $F4, $D$2:$D$71, I$2)</f>
        <v>1</v>
      </c>
      <c r="J4" s="9">
        <f>SUM(G4:I4)</f>
        <v>4</v>
      </c>
      <c r="K4" s="9"/>
      <c r="L4" s="43" t="s">
        <v>198</v>
      </c>
      <c r="M4" s="44">
        <f t="array" ref="M4">SUMPRODUCT(J3:J5/COUNTA($C$2:$C$125), TRANSPOSE(G6:I6)/COUNTA($C$2:$C$125))</f>
        <v>0.3887670770787654</v>
      </c>
      <c r="N4" s="45" t="s">
        <v>199</v>
      </c>
    </row>
    <row r="5" spans="1:14" ht="15.75" customHeight="1" x14ac:dyDescent="0.15">
      <c r="A5" s="4" t="str">
        <f>'GPT-5 Generation'!A5</f>
        <v>Action</v>
      </c>
      <c r="B5" s="4" t="str">
        <f>'GPT-5 Generation'!B5</f>
        <v>pOn; setCS;</v>
      </c>
      <c r="C5" s="4">
        <f>'GPT-5 Generation'!C5</f>
        <v>1</v>
      </c>
      <c r="D5" s="4">
        <f>'Claude Sonnet 4.5 Gen'!C5</f>
        <v>0.5</v>
      </c>
      <c r="E5" s="32"/>
      <c r="F5" s="39">
        <v>1</v>
      </c>
      <c r="G5" s="46">
        <f>COUNTIFS($C$2:$C$71, $F5, $D$2:$D$71, G$2)+MAX(C72-D72,0)+MAX(C73-D73,0)+MAX(C74-D74,0)+MAX(C75-D75,0)+MAX(C76-D76,0)+MAX(C77-D77,0)+MAX(C78-D78,0)</f>
        <v>17</v>
      </c>
      <c r="H5" s="47">
        <f>COUNTIFS($C$2:$C$71, $F5, $D$2:$D$71, H$2)</f>
        <v>16</v>
      </c>
      <c r="I5" s="48">
        <f>COUNTIFS($C$2:$C$71, $F5, $D$2:$D$71, I$2)+ SUM(MIN(C72,D72), MIN(C73,D73), MIN(C74,D74), MIN(C75,D75), MIN(C76,D76), MIN(C77,D77), MIN(C78,D78))</f>
        <v>30</v>
      </c>
      <c r="J5" s="9">
        <f>SUM(G5:I5)</f>
        <v>63</v>
      </c>
      <c r="K5" s="9"/>
      <c r="L5" s="43" t="s">
        <v>17</v>
      </c>
      <c r="M5" s="46">
        <f>(M3-M4)/(1-M4)</f>
        <v>0.25634657836644587</v>
      </c>
      <c r="N5" s="48" t="s">
        <v>200</v>
      </c>
    </row>
    <row r="6" spans="1:14" ht="15.75" customHeight="1" x14ac:dyDescent="0.15">
      <c r="A6" s="4" t="str">
        <f>'GPT-5 Generation'!A6</f>
        <v>Composite State</v>
      </c>
      <c r="B6" s="4" t="str">
        <f>'GPT-5 Generation'!B6</f>
        <v>Active</v>
      </c>
      <c r="C6" s="4">
        <f>'GPT-5 Generation'!C6</f>
        <v>1</v>
      </c>
      <c r="D6" s="4">
        <f>'Claude Sonnet 4.5 Gen'!C6</f>
        <v>1</v>
      </c>
      <c r="E6" s="32"/>
      <c r="F6" s="49" t="s">
        <v>19</v>
      </c>
      <c r="G6" s="9">
        <f>SUM(G3:G5)</f>
        <v>28</v>
      </c>
      <c r="H6" s="9">
        <f>SUM(H3:H5)</f>
        <v>18</v>
      </c>
      <c r="I6" s="9">
        <f>SUM(I3:I5)</f>
        <v>31</v>
      </c>
      <c r="J6" s="9"/>
      <c r="L6" s="9"/>
      <c r="M6" s="50"/>
    </row>
    <row r="7" spans="1:14" ht="15.75" customHeight="1" x14ac:dyDescent="0.15">
      <c r="A7" s="4" t="str">
        <f>'GPT-5 Generation'!A7</f>
        <v>Region</v>
      </c>
      <c r="B7" s="4" t="str">
        <f>'GPT-5 Generation'!B7</f>
        <v>TrainControl</v>
      </c>
      <c r="C7" s="4">
        <f>'GPT-5 Generation'!C7</f>
        <v>0.5</v>
      </c>
      <c r="D7" s="4">
        <f>'Claude Sonnet 4.5 Gen'!C7</f>
        <v>1</v>
      </c>
      <c r="E7" s="32"/>
      <c r="L7" s="9"/>
      <c r="M7" s="9"/>
      <c r="N7" s="9"/>
    </row>
    <row r="8" spans="1:14" ht="15.75" customHeight="1" x14ac:dyDescent="0.15">
      <c r="A8" s="4" t="str">
        <f>'GPT-5 Generation'!A8</f>
        <v>Composite State</v>
      </c>
      <c r="B8" s="4" t="str">
        <f>'GPT-5 Generation'!B8</f>
        <v>TrainMovement</v>
      </c>
      <c r="C8" s="4">
        <f>'GPT-5 Generation'!C8</f>
        <v>1</v>
      </c>
      <c r="D8" s="4">
        <f>'Claude Sonnet 4.5 Gen'!C8</f>
        <v>1</v>
      </c>
      <c r="E8" s="32"/>
      <c r="F8" s="68" t="s">
        <v>20</v>
      </c>
      <c r="G8" s="69"/>
      <c r="H8" s="69"/>
      <c r="I8" s="69"/>
      <c r="L8" s="71" t="s">
        <v>201</v>
      </c>
      <c r="M8" s="72"/>
      <c r="N8" s="72"/>
    </row>
    <row r="9" spans="1:14" ht="15.75" customHeight="1" x14ac:dyDescent="0.15">
      <c r="A9" s="4" t="str">
        <f>'GPT-5 Generation'!A9</f>
        <v>State</v>
      </c>
      <c r="B9" s="4" t="str">
        <f>'GPT-5 Generation'!B9</f>
        <v>Initial state (TrainMovement → AtStation)</v>
      </c>
      <c r="C9" s="4">
        <f>'GPT-5 Generation'!C9</f>
        <v>1</v>
      </c>
      <c r="D9" s="4">
        <f>'Claude Sonnet 4.5 Gen'!C9</f>
        <v>0</v>
      </c>
      <c r="E9" s="32"/>
      <c r="F9" s="9" t="s">
        <v>21</v>
      </c>
      <c r="G9" s="51" t="s">
        <v>7</v>
      </c>
      <c r="H9" s="51" t="s">
        <v>8</v>
      </c>
      <c r="I9" s="51" t="s">
        <v>9</v>
      </c>
      <c r="J9" s="52" t="s">
        <v>10</v>
      </c>
      <c r="K9" s="9"/>
      <c r="L9" s="38" t="s">
        <v>195</v>
      </c>
      <c r="M9" s="38" t="s">
        <v>11</v>
      </c>
      <c r="N9" s="38" t="s">
        <v>12</v>
      </c>
    </row>
    <row r="10" spans="1:14" ht="15.75" customHeight="1" x14ac:dyDescent="0.15">
      <c r="A10" s="4" t="str">
        <f>'GPT-5 Generation'!A10</f>
        <v>State</v>
      </c>
      <c r="B10" s="4" t="str">
        <f>'GPT-5 Generation'!B10</f>
        <v>AtStation</v>
      </c>
      <c r="C10" s="4">
        <f>'GPT-5 Generation'!C10</f>
        <v>1</v>
      </c>
      <c r="D10" s="4">
        <f>'Claude Sonnet 4.5 Gen'!C10</f>
        <v>0.5</v>
      </c>
      <c r="E10" s="32"/>
      <c r="F10" s="39">
        <v>0</v>
      </c>
      <c r="G10" s="40">
        <f>COUNTIFS($A$2:$A$115,$F$9,$C$2:$C$115,$F10,$D$2:$D$115,G$9)</f>
        <v>4</v>
      </c>
      <c r="H10" s="41">
        <f>COUNTIFS($A$2:$A$115,$F$9,$C$2:$C$115,$F10,$D$2:$D$115,H$9)</f>
        <v>0</v>
      </c>
      <c r="I10" s="42">
        <f>COUNTIFS($A$2:$A$71,$F$9,$C$2:$C$71,$F10,$D$2:$D$71,I$9)+MAX(D72-C72,0)</f>
        <v>0</v>
      </c>
      <c r="J10" s="9">
        <f>SUM(G10:I10)</f>
        <v>4</v>
      </c>
      <c r="K10" s="9"/>
      <c r="L10" s="43" t="s">
        <v>196</v>
      </c>
      <c r="M10" s="40">
        <f>(G10+H11+I12)/COUNTIF($A$2:$A$125,F9)</f>
        <v>0.55555555555555558</v>
      </c>
      <c r="N10" s="42" t="s">
        <v>197</v>
      </c>
    </row>
    <row r="11" spans="1:14" ht="15.75" customHeight="1" x14ac:dyDescent="0.15">
      <c r="A11" s="4" t="str">
        <f>'GPT-5 Generation'!A11</f>
        <v>Action</v>
      </c>
      <c r="B11" s="4" t="str">
        <f>'GPT-5 Generation'!B11</f>
        <v>entry / openDoors()</v>
      </c>
      <c r="C11" s="4">
        <f>'GPT-5 Generation'!C11</f>
        <v>1</v>
      </c>
      <c r="D11" s="4">
        <f>'Claude Sonnet 4.5 Gen'!C11</f>
        <v>1</v>
      </c>
      <c r="E11" s="32"/>
      <c r="F11" s="39">
        <v>0.5</v>
      </c>
      <c r="G11" s="44">
        <f>COUNTIFS($A$2:$A$115,$F$9,$C$2:$C$115,$F11,$D$2:$D$115,G$9)</f>
        <v>0</v>
      </c>
      <c r="H11" s="9">
        <f>COUNTIFS($A$2:$A$115,$F$9,$C$2:$C$115,$F11,$D$2:$D$115,H$9)</f>
        <v>0</v>
      </c>
      <c r="I11" s="45">
        <f>COUNTIFS($A$2:$A$115,$F$9,$C$2:$C$115,$F11,$D$2:$D$115,I$9)</f>
        <v>0</v>
      </c>
      <c r="J11" s="9">
        <f>SUM(G11:I11)</f>
        <v>0</v>
      </c>
      <c r="K11" s="9"/>
      <c r="L11" s="43" t="s">
        <v>198</v>
      </c>
      <c r="M11" s="44">
        <f t="array" ref="M11">SUMPRODUCT(J10:J12/COUNTIF($A$2:$A$125,F9), TRANSPOSE(G13:I13)/COUNTIF($A$2:$A$125,F9))</f>
        <v>0.39506172839506171</v>
      </c>
      <c r="N11" s="45" t="s">
        <v>199</v>
      </c>
    </row>
    <row r="12" spans="1:14" ht="15.75" customHeight="1" x14ac:dyDescent="0.15">
      <c r="A12" s="4" t="str">
        <f>'GPT-5 Generation'!A12</f>
        <v>Action</v>
      </c>
      <c r="B12" s="4" t="str">
        <f>'GPT-5 Generation'!B12</f>
        <v>exit / closeDoors()</v>
      </c>
      <c r="C12" s="4">
        <f>'GPT-5 Generation'!C12</f>
        <v>1</v>
      </c>
      <c r="D12" s="4">
        <f>'Claude Sonnet 4.5 Gen'!C12</f>
        <v>0.5</v>
      </c>
      <c r="E12" s="32"/>
      <c r="F12" s="39">
        <v>1</v>
      </c>
      <c r="G12" s="46">
        <f>COUNTIFS($A$2:$A$71,$F$9,$C$2:$C$71,$F12,$D$2:$D$71,G$9)+MAX(C72-D72,0)</f>
        <v>7</v>
      </c>
      <c r="H12" s="47">
        <f>COUNTIFS($A$2:$A$115,$F$9,$C$2:$C$115,$F12,$D$2:$D$115,H$9)</f>
        <v>1</v>
      </c>
      <c r="I12" s="48">
        <f>COUNTIFS($A$2:$A$71,$F$9,$C$2:$C$71,$F12,$D$2:$D$71,I$9)+MIN(C72-D72)</f>
        <v>6</v>
      </c>
      <c r="J12" s="9">
        <f>SUM(G12:I12)</f>
        <v>14</v>
      </c>
      <c r="K12" s="9"/>
      <c r="L12" s="43" t="s">
        <v>17</v>
      </c>
      <c r="M12" s="46">
        <f>(M10-M11)/(1-M11)</f>
        <v>0.26530612244897966</v>
      </c>
      <c r="N12" s="48" t="s">
        <v>200</v>
      </c>
    </row>
    <row r="13" spans="1:14" ht="15.75" customHeight="1" x14ac:dyDescent="0.15">
      <c r="A13" s="4" t="str">
        <f>'GPT-5 Generation'!A13</f>
        <v>Transition</v>
      </c>
      <c r="B13" s="4" t="str">
        <f>'GPT-5 Generation'!B13</f>
        <v>after stopDuration (AtStation ⇒ StopNotRequired)</v>
      </c>
      <c r="C13" s="4">
        <f>'GPT-5 Generation'!C13</f>
        <v>1</v>
      </c>
      <c r="D13" s="4">
        <f>'Claude Sonnet 4.5 Gen'!C13</f>
        <v>0.5</v>
      </c>
      <c r="E13" s="32"/>
      <c r="F13" s="49" t="s">
        <v>19</v>
      </c>
      <c r="G13" s="9">
        <f>SUM(G10:G12)</f>
        <v>11</v>
      </c>
      <c r="H13" s="9">
        <f>SUM(H10:H12)</f>
        <v>1</v>
      </c>
      <c r="I13" s="9">
        <f>SUM(I10:I12)</f>
        <v>6</v>
      </c>
      <c r="J13" s="9"/>
      <c r="L13" s="9"/>
      <c r="M13" s="50"/>
    </row>
    <row r="14" spans="1:14" ht="15.75" customHeight="1" x14ac:dyDescent="0.15">
      <c r="A14" s="4" t="str">
        <f>'GPT-5 Generation'!A14</f>
        <v>Guard</v>
      </c>
      <c r="B14" s="4" t="str">
        <f>'GPT-5 Generation'!B14</f>
        <v>[!isLastStop()]</v>
      </c>
      <c r="C14" s="4">
        <f>'GPT-5 Generation'!C14</f>
        <v>1</v>
      </c>
      <c r="D14" s="4">
        <f>'Claude Sonnet 4.5 Gen'!C14</f>
        <v>1</v>
      </c>
      <c r="E14" s="32"/>
    </row>
    <row r="15" spans="1:14" ht="15.75" customHeight="1" x14ac:dyDescent="0.15">
      <c r="A15" s="4" t="str">
        <f>'GPT-5 Generation'!A15</f>
        <v>Transition</v>
      </c>
      <c r="B15" s="4" t="str">
        <f>'GPT-5 Generation'!B15</f>
        <v>after stopDuration (AtStation ⇒ Arrived)</v>
      </c>
      <c r="C15" s="4">
        <f>'GPT-5 Generation'!C15</f>
        <v>0.5</v>
      </c>
      <c r="D15" s="4">
        <f>'Claude Sonnet 4.5 Gen'!C15</f>
        <v>0.5</v>
      </c>
      <c r="E15" s="32"/>
      <c r="F15" s="68" t="s">
        <v>22</v>
      </c>
      <c r="G15" s="69"/>
      <c r="H15" s="69"/>
      <c r="I15" s="69"/>
      <c r="L15" s="71" t="s">
        <v>202</v>
      </c>
      <c r="M15" s="72"/>
      <c r="N15" s="72"/>
    </row>
    <row r="16" spans="1:14" ht="15.75" customHeight="1" x14ac:dyDescent="0.15">
      <c r="A16" s="4" t="str">
        <f>'GPT-5 Generation'!A16</f>
        <v>Guard</v>
      </c>
      <c r="B16" s="4" t="str">
        <f>'GPT-5 Generation'!B16</f>
        <v>[isLastStop()]</v>
      </c>
      <c r="C16" s="4">
        <f>'GPT-5 Generation'!C16</f>
        <v>1</v>
      </c>
      <c r="D16" s="4">
        <f>'Claude Sonnet 4.5 Gen'!C16</f>
        <v>1</v>
      </c>
      <c r="E16" s="32"/>
      <c r="F16" s="9" t="s">
        <v>23</v>
      </c>
      <c r="G16" s="51" t="s">
        <v>7</v>
      </c>
      <c r="H16" s="51" t="s">
        <v>8</v>
      </c>
      <c r="I16" s="51" t="s">
        <v>9</v>
      </c>
      <c r="J16" s="52" t="s">
        <v>10</v>
      </c>
      <c r="K16" s="9"/>
      <c r="L16" s="38" t="s">
        <v>195</v>
      </c>
      <c r="M16" s="38" t="s">
        <v>11</v>
      </c>
      <c r="N16" s="38" t="s">
        <v>12</v>
      </c>
    </row>
    <row r="17" spans="1:14" ht="15.75" customHeight="1" x14ac:dyDescent="0.15">
      <c r="A17" s="4" t="str">
        <f>'GPT-5 Generation'!A17</f>
        <v>Action</v>
      </c>
      <c r="B17" s="4" t="str">
        <f>'GPT-5 Generation'!B17</f>
        <v>pOff;</v>
      </c>
      <c r="C17" s="4">
        <f>'GPT-5 Generation'!C17</f>
        <v>1</v>
      </c>
      <c r="D17" s="4">
        <f>'Claude Sonnet 4.5 Gen'!C17</f>
        <v>1</v>
      </c>
      <c r="E17" s="32"/>
      <c r="F17" s="39">
        <v>0</v>
      </c>
      <c r="G17" s="40">
        <f>COUNTIFS($A$2:$A$115,$F$16,$C$2:$C$115,$F17,$D$2:$D$115,G$16)</f>
        <v>1</v>
      </c>
      <c r="H17" s="41">
        <f>COUNTIFS($A$2:$A$115,$F$16,$C$2:$C$115,$F17,$D$2:$D$115,H$16)</f>
        <v>0</v>
      </c>
      <c r="I17" s="42">
        <f>COUNTIFS($A$2:$A$71,$F$16,$C$2:$C$71,$F17,$D$2:$D$71,I$16) + MAX(D73-C73,0)</f>
        <v>0</v>
      </c>
      <c r="J17" s="9">
        <f>SUM(G17:I17)</f>
        <v>1</v>
      </c>
      <c r="K17" s="9"/>
      <c r="L17" s="43" t="s">
        <v>196</v>
      </c>
      <c r="M17" s="40">
        <f>(G17+H18+I19)/COUNTIF($A$2:$A$125,F16)</f>
        <v>0.42857142857142855</v>
      </c>
      <c r="N17" s="42" t="s">
        <v>197</v>
      </c>
    </row>
    <row r="18" spans="1:14" ht="15.75" customHeight="1" x14ac:dyDescent="0.15">
      <c r="A18" s="4" t="str">
        <f>'GPT-5 Generation'!A18</f>
        <v>State</v>
      </c>
      <c r="B18" s="4" t="str">
        <f>'GPT-5 Generation'!B18</f>
        <v>StopNotRequired</v>
      </c>
      <c r="C18" s="4">
        <f>'GPT-5 Generation'!C18</f>
        <v>1</v>
      </c>
      <c r="D18" s="4">
        <f>'Claude Sonnet 4.5 Gen'!C18</f>
        <v>0</v>
      </c>
      <c r="E18" s="32"/>
      <c r="F18" s="39">
        <v>0.5</v>
      </c>
      <c r="G18" s="44">
        <f>COUNTIFS($A$2:$A$115,$F$16,$C$2:$C$115,$F18,$D$2:$D$115,G$16)</f>
        <v>1</v>
      </c>
      <c r="H18" s="9">
        <f>COUNTIFS($A$2:$A$115,$F$16,$C$2:$C$115,$F18,$D$2:$D$115,H$16)</f>
        <v>1</v>
      </c>
      <c r="I18" s="45">
        <f>COUNTIFS($A$2:$A$115,$F$16,$C$2:$C$115,$F18,$D$2:$D$115,I$16)</f>
        <v>0</v>
      </c>
      <c r="J18" s="9">
        <f>SUM(G18:I18)</f>
        <v>2</v>
      </c>
      <c r="K18" s="9"/>
      <c r="L18" s="43" t="s">
        <v>198</v>
      </c>
      <c r="M18" s="44">
        <f t="array" ref="M18">SUMPRODUCT(J17:J19/COUNTIF($A$2:$A$125,F16), TRANSPOSE(G20:I20)/COUNTIF($A$2:$A$125,F16))</f>
        <v>0.33106575963718821</v>
      </c>
      <c r="N18" s="45" t="s">
        <v>199</v>
      </c>
    </row>
    <row r="19" spans="1:14" ht="15.75" customHeight="1" x14ac:dyDescent="0.15">
      <c r="A19" s="4" t="str">
        <f>'GPT-5 Generation'!A19</f>
        <v>Action</v>
      </c>
      <c r="B19" s="4" t="str">
        <f>'GPT-5 Generation'!B19</f>
        <v>entry / setSpeed()</v>
      </c>
      <c r="C19" s="4">
        <f>'GPT-5 Generation'!C19</f>
        <v>1</v>
      </c>
      <c r="D19" s="4">
        <f>'Claude Sonnet 4.5 Gen'!C19</f>
        <v>0.5</v>
      </c>
      <c r="E19" s="32"/>
      <c r="F19" s="39">
        <v>1</v>
      </c>
      <c r="G19" s="46">
        <f>COUNTIFS($A$2:$A$71,$F$16,$C$2:$C$71,$F19,$D$2:$D$71,G$16)+MAX(C73-D73,0)</f>
        <v>6</v>
      </c>
      <c r="H19" s="47">
        <f>COUNTIFS($A$2:$A$115,$F$16,$C$2:$C$115,$F19,$D$2:$D$115,H$16)</f>
        <v>5</v>
      </c>
      <c r="I19" s="48">
        <f>COUNTIFS($A$2:$A$71,$F$16,$C$2:$C$71,$F19,$D$2:$D$71,I$16) + MIN(C73,D73)</f>
        <v>7</v>
      </c>
      <c r="J19" s="9">
        <f>SUM(G19:I19)</f>
        <v>18</v>
      </c>
      <c r="K19" s="9"/>
      <c r="L19" s="43" t="s">
        <v>17</v>
      </c>
      <c r="M19" s="46">
        <f>(M17-M18)/(1-M18)</f>
        <v>0.14576271186440676</v>
      </c>
      <c r="N19" s="48" t="s">
        <v>200</v>
      </c>
    </row>
    <row r="20" spans="1:14" ht="15.75" customHeight="1" x14ac:dyDescent="0.15">
      <c r="A20" s="4" t="str">
        <f>'GPT-5 Generation'!A20</f>
        <v>Transition</v>
      </c>
      <c r="B20" s="4" t="str">
        <f>'GPT-5 Generation'!B20</f>
        <v>enteringSegment (StopNotRequired ⇒ StopNotRequired)</v>
      </c>
      <c r="C20" s="4">
        <f>'GPT-5 Generation'!C20</f>
        <v>1</v>
      </c>
      <c r="D20" s="4">
        <f>'Claude Sonnet 4.5 Gen'!C20</f>
        <v>0.5</v>
      </c>
      <c r="E20" s="32"/>
      <c r="F20" s="49" t="s">
        <v>19</v>
      </c>
      <c r="G20" s="9">
        <f>SUM(G17:G19)</f>
        <v>8</v>
      </c>
      <c r="H20" s="9">
        <f>SUM(H17:H19)</f>
        <v>6</v>
      </c>
      <c r="I20" s="9">
        <f>SUM(I17:I19)</f>
        <v>7</v>
      </c>
      <c r="J20" s="9"/>
      <c r="L20" s="9"/>
      <c r="M20" s="50"/>
    </row>
    <row r="21" spans="1:14" ht="15.75" customHeight="1" x14ac:dyDescent="0.15">
      <c r="A21" s="4" t="str">
        <f>'GPT-5 Generation'!A21</f>
        <v>Guard</v>
      </c>
      <c r="B21" s="4" t="str">
        <f>'GPT-5 Generation'!B21</f>
        <v>[isRegularSegment()]</v>
      </c>
      <c r="C21" s="4">
        <f>'GPT-5 Generation'!C21</f>
        <v>1</v>
      </c>
      <c r="D21" s="4">
        <f>'Claude Sonnet 4.5 Gen'!C21</f>
        <v>1</v>
      </c>
      <c r="E21" s="32"/>
    </row>
    <row r="22" spans="1:14" ht="15.75" customHeight="1" x14ac:dyDescent="0.15">
      <c r="A22" s="4" t="str">
        <f>'GPT-5 Generation'!A22</f>
        <v>Transition</v>
      </c>
      <c r="B22" s="4" t="str">
        <f>'GPT-5 Generation'!B22</f>
        <v>enteringSegment (StopNotRequired ⇒ ApproachingRedLight)</v>
      </c>
      <c r="C22" s="4">
        <f>'GPT-5 Generation'!C22</f>
        <v>1</v>
      </c>
      <c r="D22" s="4">
        <f>'Claude Sonnet 4.5 Gen'!C22</f>
        <v>0</v>
      </c>
      <c r="E22" s="32"/>
      <c r="F22" s="68" t="s">
        <v>24</v>
      </c>
      <c r="G22" s="69"/>
      <c r="H22" s="69"/>
      <c r="I22" s="69"/>
      <c r="L22" s="71" t="s">
        <v>203</v>
      </c>
      <c r="M22" s="72"/>
      <c r="N22" s="72"/>
    </row>
    <row r="23" spans="1:14" ht="15.75" customHeight="1" x14ac:dyDescent="0.15">
      <c r="A23" s="4" t="str">
        <f>'GPT-5 Generation'!A23</f>
        <v>Guard</v>
      </c>
      <c r="B23" s="4" t="str">
        <f>'GPT-5 Generation'!B23</f>
        <v>[isTrafficLightSegment() &amp;&amp; isRed()]</v>
      </c>
      <c r="C23" s="4">
        <f>'GPT-5 Generation'!C23</f>
        <v>1</v>
      </c>
      <c r="D23" s="4">
        <f>'Claude Sonnet 4.5 Gen'!C23</f>
        <v>1</v>
      </c>
      <c r="E23" s="32"/>
      <c r="F23" s="9" t="s">
        <v>25</v>
      </c>
      <c r="G23" s="51" t="s">
        <v>7</v>
      </c>
      <c r="H23" s="51" t="s">
        <v>8</v>
      </c>
      <c r="I23" s="51" t="s">
        <v>9</v>
      </c>
      <c r="J23" s="52" t="s">
        <v>10</v>
      </c>
      <c r="K23" s="9"/>
      <c r="L23" s="38" t="s">
        <v>195</v>
      </c>
      <c r="M23" s="38" t="s">
        <v>11</v>
      </c>
      <c r="N23" s="38" t="s">
        <v>12</v>
      </c>
    </row>
    <row r="24" spans="1:14" ht="15.75" customHeight="1" x14ac:dyDescent="0.15">
      <c r="A24" s="4" t="str">
        <f>'GPT-5 Generation'!A24</f>
        <v>Transition</v>
      </c>
      <c r="B24" s="4" t="str">
        <f>'GPT-5 Generation'!B24</f>
        <v>enteringSegment (StopNotRequired ⇒ StopNotRequired)</v>
      </c>
      <c r="C24" s="4">
        <f>'GPT-5 Generation'!C24</f>
        <v>1</v>
      </c>
      <c r="D24" s="4">
        <f>'Claude Sonnet 4.5 Gen'!C24</f>
        <v>1</v>
      </c>
      <c r="E24" s="32"/>
      <c r="F24" s="39">
        <v>0</v>
      </c>
      <c r="G24" s="40">
        <f>COUNTIFS($A$2:$A$115,$F$23,$C$2:$C$115,$F24,$D$2:$D$115,G$23)</f>
        <v>1</v>
      </c>
      <c r="H24" s="41">
        <f>COUNTIFS($A$2:$A$115,$F$23,$C$2:$C$115,$F24,$D$2:$D$115,H$23)</f>
        <v>0</v>
      </c>
      <c r="I24" s="42">
        <f>COUNTIFS($A$2:$A$71,$F$23,$C$2:$C$71,$F24,$D$2:$D$71,I$23) + MAX(D76-C76,0)</f>
        <v>0</v>
      </c>
      <c r="J24" s="9">
        <f>SUM(G24:I24)</f>
        <v>1</v>
      </c>
      <c r="K24" s="9"/>
      <c r="L24" s="43" t="s">
        <v>196</v>
      </c>
      <c r="M24" s="40">
        <f>(G24+H25+I26)/COUNTIF($A$2:$A$125,F23)</f>
        <v>1</v>
      </c>
      <c r="N24" s="42" t="s">
        <v>197</v>
      </c>
    </row>
    <row r="25" spans="1:14" ht="15.75" customHeight="1" x14ac:dyDescent="0.15">
      <c r="A25" s="4" t="str">
        <f>'GPT-5 Generation'!A25</f>
        <v>Guard</v>
      </c>
      <c r="B25" s="4" t="str">
        <f>'GPT-5 Generation'!B25</f>
        <v>[isTrafficLightSegment() &amp;&amp; !isRed()]</v>
      </c>
      <c r="C25" s="4">
        <f>'GPT-5 Generation'!C25</f>
        <v>1</v>
      </c>
      <c r="D25" s="4">
        <f>'Claude Sonnet 4.5 Gen'!C25</f>
        <v>1</v>
      </c>
      <c r="E25" s="32"/>
      <c r="F25" s="39">
        <v>0.5</v>
      </c>
      <c r="G25" s="44">
        <f>COUNTIFS($A$2:$A$115,$F$23,$C$2:$C$115,$F25,$D$2:$D$115,G$23)</f>
        <v>0</v>
      </c>
      <c r="H25" s="9">
        <f>COUNTIFS($A$2:$A$115,$F$23,$C$2:$C$115,$F25,$D$2:$D$115,H$23)</f>
        <v>0</v>
      </c>
      <c r="I25" s="45">
        <f>COUNTIFS($A$2:$A$115,$F$23,$C$2:$C$115,$F25,$D$2:$D$115,I$23)</f>
        <v>0</v>
      </c>
      <c r="J25" s="9">
        <f>SUM(G25:I25)</f>
        <v>0</v>
      </c>
      <c r="K25" s="9"/>
      <c r="L25" s="43" t="s">
        <v>198</v>
      </c>
      <c r="M25" s="44">
        <f t="array" ref="M25">SUMPRODUCT(J24:J26/COUNTIF($A$2:$A$125,F23), TRANSPOSE(G27:I27)/COUNTIF($A$2:$A$125,F23))</f>
        <v>0.55555555555555558</v>
      </c>
      <c r="N25" s="45" t="s">
        <v>199</v>
      </c>
    </row>
    <row r="26" spans="1:14" ht="15.75" customHeight="1" x14ac:dyDescent="0.15">
      <c r="A26" s="4" t="str">
        <f>'GPT-5 Generation'!A26</f>
        <v>Transition</v>
      </c>
      <c r="B26" s="4" t="str">
        <f>'GPT-5 Generation'!B26</f>
        <v>enteringSegment (StopNotRequired ⇒ ApproachingStation)</v>
      </c>
      <c r="C26" s="4">
        <f>'GPT-5 Generation'!C26</f>
        <v>1</v>
      </c>
      <c r="D26" s="4">
        <f>'Claude Sonnet 4.5 Gen'!C26</f>
        <v>0</v>
      </c>
      <c r="E26" s="32"/>
      <c r="F26" s="39">
        <v>1</v>
      </c>
      <c r="G26" s="46">
        <f>COUNTIFS($A$2:$A$71,$F$23,$C$2:$C$71,$F26,$D$2:$D$71,G$23) + MAX(C76-D76,0)</f>
        <v>0</v>
      </c>
      <c r="H26" s="47">
        <f>COUNTIFS($A$2:$A$115,$F$23,$C$2:$C$115,$F26,$D$2:$D$115,H$23)</f>
        <v>0</v>
      </c>
      <c r="I26" s="48">
        <f>COUNTIFS($A$2:$A$71,$F$23,$C$2:$C$71,$F26,$D$2:$D$71,I$23) + MIN(C76,D76)</f>
        <v>2</v>
      </c>
      <c r="J26" s="9">
        <f>SUM(G26:I26)</f>
        <v>2</v>
      </c>
      <c r="K26" s="9"/>
      <c r="L26" s="43" t="s">
        <v>17</v>
      </c>
      <c r="M26" s="46">
        <f>(M24-M25)/(1-M25)</f>
        <v>1</v>
      </c>
      <c r="N26" s="48" t="s">
        <v>200</v>
      </c>
    </row>
    <row r="27" spans="1:14" ht="15.75" customHeight="1" x14ac:dyDescent="0.15">
      <c r="A27" s="4" t="str">
        <f>'GPT-5 Generation'!A27</f>
        <v>Guard</v>
      </c>
      <c r="B27" s="4" t="str">
        <f>'GPT-5 Generation'!B27</f>
        <v>[isStationSegment() &amp;&amp; stopRequired()]</v>
      </c>
      <c r="C27" s="4">
        <f>'GPT-5 Generation'!C27</f>
        <v>1</v>
      </c>
      <c r="D27" s="4">
        <f>'Claude Sonnet 4.5 Gen'!C27</f>
        <v>1</v>
      </c>
      <c r="E27" s="32"/>
      <c r="F27" s="49" t="s">
        <v>19</v>
      </c>
      <c r="G27" s="9">
        <f>SUM(G24:G26)</f>
        <v>1</v>
      </c>
      <c r="H27" s="9">
        <f>SUM(H24:H26)</f>
        <v>0</v>
      </c>
      <c r="I27" s="9">
        <f>SUM(I24:I26)</f>
        <v>2</v>
      </c>
      <c r="J27" s="9"/>
      <c r="L27" s="9"/>
      <c r="M27" s="50"/>
    </row>
    <row r="28" spans="1:14" ht="15.75" customHeight="1" x14ac:dyDescent="0.15">
      <c r="A28" s="4" t="str">
        <f>'GPT-5 Generation'!A28</f>
        <v>State</v>
      </c>
      <c r="B28" s="4" t="str">
        <f>'GPT-5 Generation'!B28</f>
        <v>ApproachingRedLight</v>
      </c>
      <c r="C28" s="4">
        <f>'GPT-5 Generation'!C28</f>
        <v>1</v>
      </c>
      <c r="D28" s="4">
        <f>'Claude Sonnet 4.5 Gen'!C28</f>
        <v>0</v>
      </c>
      <c r="E28" s="32"/>
    </row>
    <row r="29" spans="1:14" ht="15.75" customHeight="1" x14ac:dyDescent="0.15">
      <c r="A29" s="4" t="str">
        <f>'GPT-5 Generation'!A29</f>
        <v>Action</v>
      </c>
      <c r="B29" s="4" t="str">
        <f>'GPT-5 Generation'!B29</f>
        <v>entry / stopAL</v>
      </c>
      <c r="C29" s="4">
        <f>'GPT-5 Generation'!C29</f>
        <v>1</v>
      </c>
      <c r="D29" s="4">
        <f>'Claude Sonnet 4.5 Gen'!C29</f>
        <v>1</v>
      </c>
      <c r="E29" s="32"/>
      <c r="F29" s="68" t="s">
        <v>26</v>
      </c>
      <c r="G29" s="69"/>
      <c r="H29" s="69"/>
      <c r="I29" s="69"/>
      <c r="L29" s="71" t="s">
        <v>204</v>
      </c>
      <c r="M29" s="72"/>
      <c r="N29" s="72"/>
    </row>
    <row r="30" spans="1:14" ht="15.75" customHeight="1" x14ac:dyDescent="0.15">
      <c r="A30" s="4" t="str">
        <f>'GPT-5 Generation'!A30</f>
        <v>Transition</v>
      </c>
      <c r="B30" s="4" t="str">
        <f>'GPT-5 Generation'!B30</f>
        <v>stopped (ApproachingRedLight ⇒ AtRedTrafficLight)</v>
      </c>
      <c r="C30" s="4">
        <f>'GPT-5 Generation'!C30</f>
        <v>1</v>
      </c>
      <c r="D30" s="4">
        <f>'Claude Sonnet 4.5 Gen'!C30</f>
        <v>0</v>
      </c>
      <c r="E30" s="32"/>
      <c r="F30" s="9" t="s">
        <v>27</v>
      </c>
      <c r="G30" s="51" t="s">
        <v>7</v>
      </c>
      <c r="H30" s="51" t="s">
        <v>8</v>
      </c>
      <c r="I30" s="51" t="s">
        <v>9</v>
      </c>
      <c r="J30" s="52" t="s">
        <v>10</v>
      </c>
      <c r="K30" s="9"/>
      <c r="L30" s="38" t="s">
        <v>195</v>
      </c>
      <c r="M30" s="38" t="s">
        <v>11</v>
      </c>
      <c r="N30" s="38" t="s">
        <v>12</v>
      </c>
    </row>
    <row r="31" spans="1:14" ht="15.75" customHeight="1" x14ac:dyDescent="0.15">
      <c r="A31" s="4" t="str">
        <f>'GPT-5 Generation'!A31</f>
        <v>State</v>
      </c>
      <c r="B31" s="4" t="str">
        <f>'GPT-5 Generation'!B31</f>
        <v>AtRedTrafficLight</v>
      </c>
      <c r="C31" s="4">
        <f>'GPT-5 Generation'!C31</f>
        <v>1</v>
      </c>
      <c r="D31" s="4">
        <f>'Claude Sonnet 4.5 Gen'!C31</f>
        <v>1</v>
      </c>
      <c r="E31" s="32"/>
      <c r="F31" s="39">
        <v>0</v>
      </c>
      <c r="G31" s="40">
        <f>COUNTIFS($A$2:$A$115,$F$30,$C$2:$C$115,$F31,$D$2:$D$115,G$30)</f>
        <v>1</v>
      </c>
      <c r="H31" s="41">
        <f>COUNTIFS($A$2:$A$115,$F$30,$C$2:$C$115,$F31,$D$2:$D$115,H$30)</f>
        <v>0</v>
      </c>
      <c r="I31" s="42">
        <f>COUNTIFS($A$2:$A$71,$F$30,$C$2:$C$71,$F31,$D$2:$D$71,I$30) + MAX(D74-C74,0)</f>
        <v>0</v>
      </c>
      <c r="J31" s="9">
        <f>SUM(G31:I31)</f>
        <v>1</v>
      </c>
      <c r="K31" s="9"/>
      <c r="L31" s="43" t="s">
        <v>196</v>
      </c>
      <c r="M31" s="40">
        <f>(G31+H32+I33)/COUNTIF($A$2:$A$125,F30)</f>
        <v>0.46666666666666667</v>
      </c>
      <c r="N31" s="42" t="s">
        <v>197</v>
      </c>
    </row>
    <row r="32" spans="1:14" ht="15.75" customHeight="1" x14ac:dyDescent="0.15">
      <c r="A32" s="4" t="str">
        <f>'GPT-5 Generation'!A32</f>
        <v>Transition</v>
      </c>
      <c r="B32" s="4" t="str">
        <f>'GPT-5 Generation'!B32</f>
        <v>green (AtRedTrafficLight ⇒ StopNotRequired)</v>
      </c>
      <c r="C32" s="4">
        <f>'GPT-5 Generation'!C32</f>
        <v>1</v>
      </c>
      <c r="D32" s="4">
        <f>'Claude Sonnet 4.5 Gen'!C32</f>
        <v>0.5</v>
      </c>
      <c r="E32" s="32"/>
      <c r="F32" s="39">
        <v>0.5</v>
      </c>
      <c r="G32" s="44">
        <f>COUNTIFS($A$2:$A$115,$F$30,$C$2:$C$115,$F32,$D$2:$D$115,G$30)</f>
        <v>0</v>
      </c>
      <c r="H32" s="9">
        <f>COUNTIFS($A$2:$A$115,$F$30,$C$2:$C$115,$F32,$D$2:$D$115,H$30)</f>
        <v>0</v>
      </c>
      <c r="I32" s="45">
        <f>COUNTIFS($A$2:$A$115,$F$30,$C$2:$C$115,$F32,$D$2:$D$115,I$30)</f>
        <v>0</v>
      </c>
      <c r="J32" s="9">
        <f>SUM(G32:I32)</f>
        <v>0</v>
      </c>
      <c r="K32" s="9"/>
      <c r="L32" s="43" t="s">
        <v>198</v>
      </c>
      <c r="M32" s="44">
        <f t="array" ref="M32">SUMPRODUCT(J31:J33/COUNTIF($A$2:$A$125,F30), TRANSPOSE(G34:I34)/COUNTIF($A$2:$A$125,F30))</f>
        <v>0.39555555555555555</v>
      </c>
      <c r="N32" s="45" t="s">
        <v>199</v>
      </c>
    </row>
    <row r="33" spans="1:14" ht="15.75" customHeight="1" x14ac:dyDescent="0.15">
      <c r="A33" s="4" t="str">
        <f>'GPT-5 Generation'!A33</f>
        <v>State</v>
      </c>
      <c r="B33" s="4" t="str">
        <f>'GPT-5 Generation'!B33</f>
        <v>ApproachingStation</v>
      </c>
      <c r="C33" s="4">
        <f>'GPT-5 Generation'!C33</f>
        <v>1</v>
      </c>
      <c r="D33" s="4">
        <f>'Claude Sonnet 4.5 Gen'!C33</f>
        <v>0</v>
      </c>
      <c r="E33" s="32"/>
      <c r="F33" s="39">
        <v>1</v>
      </c>
      <c r="G33" s="46">
        <f>COUNTIFS($A$2:$A$71,$F$30,$C$2:$C$71,$F33,$D$2:$D$71,G$30) + MAX(C74-D74,0)</f>
        <v>4</v>
      </c>
      <c r="H33" s="47">
        <f>COUNTIFS($A$2:$A$115,$F$30,$C$2:$C$115,$F33,$D$2:$D$115,H$30)</f>
        <v>4</v>
      </c>
      <c r="I33" s="48">
        <f>COUNTIFS($A$2:$A$71,$F$30,$C$2:$C$71,$F33,$D$2:$D$71,I$30) + MIN(C74,D74)</f>
        <v>6</v>
      </c>
      <c r="J33" s="9">
        <f>SUM(G33:I33)</f>
        <v>14</v>
      </c>
      <c r="K33" s="9"/>
      <c r="L33" s="43" t="s">
        <v>17</v>
      </c>
      <c r="M33" s="46">
        <f>(M31-M32)/(1-M32)</f>
        <v>0.11764705882352944</v>
      </c>
      <c r="N33" s="48" t="s">
        <v>200</v>
      </c>
    </row>
    <row r="34" spans="1:14" ht="15.75" customHeight="1" x14ac:dyDescent="0.15">
      <c r="A34" s="4" t="str">
        <f>'GPT-5 Generation'!A34</f>
        <v>Action</v>
      </c>
      <c r="B34" s="4" t="str">
        <f>'GPT-5 Generation'!B34</f>
        <v>entry / stopAL</v>
      </c>
      <c r="C34" s="4">
        <f>'GPT-5 Generation'!C34</f>
        <v>1</v>
      </c>
      <c r="D34" s="4">
        <f>'Claude Sonnet 4.5 Gen'!C34</f>
        <v>1</v>
      </c>
      <c r="E34" s="32"/>
      <c r="F34" s="49" t="s">
        <v>19</v>
      </c>
      <c r="G34" s="9">
        <f>SUM(G31:G33)</f>
        <v>5</v>
      </c>
      <c r="H34" s="9">
        <f>SUM(H31:H33)</f>
        <v>4</v>
      </c>
      <c r="I34" s="9">
        <f>SUM(I31:I33)</f>
        <v>6</v>
      </c>
      <c r="J34" s="9"/>
      <c r="L34" s="9"/>
      <c r="M34" s="50"/>
    </row>
    <row r="35" spans="1:14" ht="15.75" customHeight="1" x14ac:dyDescent="0.15">
      <c r="A35" s="4" t="str">
        <f>'GPT-5 Generation'!A35</f>
        <v>Transition</v>
      </c>
      <c r="B35" s="4" t="str">
        <f>'GPT-5 Generation'!B35</f>
        <v>stopped (ApproachingStation ⇒ AtStation)</v>
      </c>
      <c r="C35" s="4">
        <f>'GPT-5 Generation'!C35</f>
        <v>1</v>
      </c>
      <c r="D35" s="4">
        <f>'Claude Sonnet 4.5 Gen'!C35</f>
        <v>0</v>
      </c>
      <c r="E35" s="32"/>
    </row>
    <row r="36" spans="1:14" ht="15.75" customHeight="1" x14ac:dyDescent="0.15">
      <c r="A36" s="4" t="str">
        <f>'GPT-5 Generation'!A36</f>
        <v>History State</v>
      </c>
      <c r="B36" s="4" t="str">
        <f>'GPT-5 Generation'!B36</f>
        <v>History State for TrainMovement</v>
      </c>
      <c r="C36" s="4">
        <f>'GPT-5 Generation'!C36</f>
        <v>1</v>
      </c>
      <c r="D36" s="4">
        <f>'Claude Sonnet 4.5 Gen'!C36</f>
        <v>1</v>
      </c>
      <c r="E36" s="32"/>
      <c r="F36" s="68" t="s">
        <v>28</v>
      </c>
      <c r="G36" s="69"/>
      <c r="H36" s="69"/>
      <c r="I36" s="69"/>
      <c r="L36" s="71" t="s">
        <v>205</v>
      </c>
      <c r="M36" s="72"/>
      <c r="N36" s="72"/>
    </row>
    <row r="37" spans="1:14" ht="15.75" customHeight="1" x14ac:dyDescent="0.15">
      <c r="A37" s="4" t="str">
        <f>'GPT-5 Generation'!A37</f>
        <v>State</v>
      </c>
      <c r="B37" s="4" t="str">
        <f>'GPT-5 Generation'!B37</f>
        <v>Emergency</v>
      </c>
      <c r="C37" s="4">
        <f>'GPT-5 Generation'!C37</f>
        <v>1</v>
      </c>
      <c r="D37" s="4">
        <f>'Claude Sonnet 4.5 Gen'!C37</f>
        <v>1</v>
      </c>
      <c r="E37" s="32"/>
      <c r="F37" s="16" t="s">
        <v>29</v>
      </c>
      <c r="G37" s="53" t="s">
        <v>7</v>
      </c>
      <c r="H37" s="53" t="s">
        <v>8</v>
      </c>
      <c r="I37" s="53" t="s">
        <v>9</v>
      </c>
      <c r="J37" s="54" t="s">
        <v>10</v>
      </c>
      <c r="K37" s="9"/>
      <c r="L37" s="38" t="s">
        <v>195</v>
      </c>
      <c r="M37" s="38" t="s">
        <v>11</v>
      </c>
      <c r="N37" s="38" t="s">
        <v>12</v>
      </c>
    </row>
    <row r="38" spans="1:14" ht="15.75" customHeight="1" x14ac:dyDescent="0.15">
      <c r="A38" s="4" t="str">
        <f>'GPT-5 Generation'!A38</f>
        <v>Transition</v>
      </c>
      <c r="B38" s="4" t="str">
        <f>'GPT-5 Generation'!B38</f>
        <v>emergency (TrainMovement ⇒ Emergency)</v>
      </c>
      <c r="C38" s="4">
        <f>'GPT-5 Generation'!C38</f>
        <v>1</v>
      </c>
      <c r="D38" s="4">
        <f>'Claude Sonnet 4.5 Gen'!C38</f>
        <v>1</v>
      </c>
      <c r="E38" s="32"/>
      <c r="F38" s="55">
        <v>0</v>
      </c>
      <c r="G38" s="56">
        <f>COUNTIFS($A$2:$A$115,F37,$C$2:$C$115,$F38,$D$2:$D$115,G37)</f>
        <v>1</v>
      </c>
      <c r="H38" s="57">
        <f>COUNTIFS($A$2:$A$115,F37,$C$2:$C$115,$F38,$D$2:$D$115,H37)</f>
        <v>0</v>
      </c>
      <c r="I38" s="58">
        <f>COUNTIFS($A$2:$A$71,F37,$C$2:$C$71,$F38,$D$2:$D$71,I37)+MAX(D75-C75,0)</f>
        <v>0</v>
      </c>
      <c r="J38" s="16">
        <f>SUM(G38:I38)</f>
        <v>1</v>
      </c>
      <c r="K38" s="9"/>
      <c r="L38" s="43" t="s">
        <v>196</v>
      </c>
      <c r="M38" s="40">
        <f>(G38+H39+I40)/COUNTIF($A$2:$A$125,F37)</f>
        <v>0.46153846153846156</v>
      </c>
      <c r="N38" s="42" t="s">
        <v>197</v>
      </c>
    </row>
    <row r="39" spans="1:14" ht="15.75" customHeight="1" x14ac:dyDescent="0.15">
      <c r="A39" s="4" t="str">
        <f>'GPT-5 Generation'!A39</f>
        <v>Action</v>
      </c>
      <c r="B39" s="4" t="str">
        <f>'GPT-5 Generation'!B39</f>
        <v>eStop;</v>
      </c>
      <c r="C39" s="4">
        <f>'GPT-5 Generation'!C39</f>
        <v>1</v>
      </c>
      <c r="D39" s="4">
        <f>'Claude Sonnet 4.5 Gen'!C39</f>
        <v>1</v>
      </c>
      <c r="E39" s="32"/>
      <c r="F39" s="55">
        <v>0.5</v>
      </c>
      <c r="G39" s="59">
        <f>COUNTIFS($A$2:$A$115,F37,$C$2:$C$115,$F39,$D$2:$D$115,G37)</f>
        <v>0</v>
      </c>
      <c r="H39" s="16">
        <f>COUNTIFS($A$2:$A$115,F37,$C$2:$C$115,$F38,$D$2:$D$115,H37)</f>
        <v>0</v>
      </c>
      <c r="I39" s="60">
        <f>COUNTIFS($A$2:$A$115,F37,$C$2:$C$115,$F39,$D$2:$D$115,I37)</f>
        <v>0</v>
      </c>
      <c r="J39" s="16">
        <f>SUM(G39:I39)</f>
        <v>0</v>
      </c>
      <c r="K39" s="9"/>
      <c r="L39" s="43" t="s">
        <v>198</v>
      </c>
      <c r="M39" s="44">
        <f t="array" ref="M39">SUMPRODUCT(J38:J40/COUNTIF($A$2:$A$125,F37), TRANSPOSE(G41:I41)/COUNTIF($A$2:$A$125,F37))</f>
        <v>0.3313609467455621</v>
      </c>
      <c r="N39" s="45" t="s">
        <v>199</v>
      </c>
    </row>
    <row r="40" spans="1:14" ht="15.75" customHeight="1" x14ac:dyDescent="0.15">
      <c r="A40" s="4" t="str">
        <f>'GPT-5 Generation'!A40</f>
        <v>Transition</v>
      </c>
      <c r="B40" s="4" t="str">
        <f>'GPT-5 Generation'!B40</f>
        <v>clear (Emergency ⇒ History State)</v>
      </c>
      <c r="C40" s="4">
        <f>'GPT-5 Generation'!C40</f>
        <v>1</v>
      </c>
      <c r="D40" s="4">
        <f>'Claude Sonnet 4.5 Gen'!C40</f>
        <v>1</v>
      </c>
      <c r="E40" s="32"/>
      <c r="F40" s="55">
        <v>1</v>
      </c>
      <c r="G40" s="61">
        <f>COUNTIFS($A$2:$A$71,F37,$C$2:$C$71,$F40,$D$2:$D$71,G37)+MAX(C75-D75,0)</f>
        <v>0</v>
      </c>
      <c r="H40" s="62">
        <f>COUNTIFS($A$2:$A$115,F37,$C$2:$C$115,$F40,$D$2:$D$115,H37)</f>
        <v>6</v>
      </c>
      <c r="I40" s="63">
        <f>COUNTIFS($A$2:$A$71,F37,$C$2:$C$71,$F40,$D$2:$D$71,I37) + MIN(C75,D75)</f>
        <v>5</v>
      </c>
      <c r="J40" s="16">
        <f>SUM(G40:I40)</f>
        <v>11</v>
      </c>
      <c r="K40" s="9"/>
      <c r="L40" s="43" t="s">
        <v>17</v>
      </c>
      <c r="M40" s="46">
        <f>(M38-M39)/(1-M39)</f>
        <v>0.19469026548672572</v>
      </c>
      <c r="N40" s="48" t="s">
        <v>200</v>
      </c>
    </row>
    <row r="41" spans="1:14" ht="15.75" customHeight="1" x14ac:dyDescent="0.15">
      <c r="A41" s="4" t="str">
        <f>'GPT-5 Generation'!A41</f>
        <v>Region</v>
      </c>
      <c r="B41" s="4" t="str">
        <f>'GPT-5 Generation'!B41</f>
        <v>SDS</v>
      </c>
      <c r="C41" s="4">
        <f>'GPT-5 Generation'!C41</f>
        <v>1</v>
      </c>
      <c r="D41" s="4">
        <f>'Claude Sonnet 4.5 Gen'!C41</f>
        <v>1</v>
      </c>
      <c r="E41" s="32"/>
      <c r="F41" s="64" t="s">
        <v>19</v>
      </c>
      <c r="G41" s="16">
        <f>SUM(G38:G40)</f>
        <v>1</v>
      </c>
      <c r="H41" s="16">
        <f>SUM(H39:H40)</f>
        <v>6</v>
      </c>
      <c r="I41" s="16">
        <f>SUM(I38:I40)</f>
        <v>5</v>
      </c>
      <c r="J41" s="27"/>
      <c r="L41" s="9"/>
      <c r="M41" s="50"/>
    </row>
    <row r="42" spans="1:14" ht="15.75" customHeight="1" x14ac:dyDescent="0.15">
      <c r="A42" s="4" t="str">
        <f>'GPT-5 Generation'!A42</f>
        <v>State</v>
      </c>
      <c r="B42" s="4" t="str">
        <f>'GPT-5 Generation'!B42</f>
        <v>Initial state (SDS → SDSActive)</v>
      </c>
      <c r="C42" s="4">
        <f>'GPT-5 Generation'!C42</f>
        <v>1</v>
      </c>
      <c r="D42" s="4">
        <f>'Claude Sonnet 4.5 Gen'!C42</f>
        <v>1</v>
      </c>
      <c r="E42" s="32"/>
    </row>
    <row r="43" spans="1:14" ht="15.75" customHeight="1" x14ac:dyDescent="0.15">
      <c r="A43" s="4" t="str">
        <f>'GPT-5 Generation'!A43</f>
        <v>State</v>
      </c>
      <c r="B43" s="4" t="str">
        <f>'GPT-5 Generation'!B43</f>
        <v>SDSActive</v>
      </c>
      <c r="C43" s="4">
        <f>'GPT-5 Generation'!C43</f>
        <v>1</v>
      </c>
      <c r="D43" s="4">
        <f>'Claude Sonnet 4.5 Gen'!C43</f>
        <v>1</v>
      </c>
      <c r="E43" s="32"/>
      <c r="F43" s="68" t="s">
        <v>30</v>
      </c>
      <c r="G43" s="69"/>
      <c r="H43" s="69"/>
      <c r="I43" s="69"/>
      <c r="L43" s="71" t="s">
        <v>206</v>
      </c>
      <c r="M43" s="72"/>
      <c r="N43" s="72"/>
    </row>
    <row r="44" spans="1:14" ht="15.75" customHeight="1" x14ac:dyDescent="0.15">
      <c r="A44" s="4" t="str">
        <f>'GPT-5 Generation'!A44</f>
        <v>Transition</v>
      </c>
      <c r="B44" s="4" t="str">
        <f>'GPT-5 Generation'!B44</f>
        <v>after 1 sec (SDSActive ⇒ SDSActive)</v>
      </c>
      <c r="C44" s="4">
        <f>'GPT-5 Generation'!C44</f>
        <v>1</v>
      </c>
      <c r="D44" s="4">
        <f>'Claude Sonnet 4.5 Gen'!C44</f>
        <v>1</v>
      </c>
      <c r="E44" s="32"/>
      <c r="F44" s="9" t="s">
        <v>31</v>
      </c>
      <c r="G44" s="51" t="s">
        <v>7</v>
      </c>
      <c r="H44" s="51" t="s">
        <v>8</v>
      </c>
      <c r="I44" s="51" t="s">
        <v>9</v>
      </c>
      <c r="J44" s="52" t="s">
        <v>10</v>
      </c>
      <c r="K44" s="9"/>
      <c r="L44" s="38" t="s">
        <v>195</v>
      </c>
      <c r="M44" s="38" t="s">
        <v>11</v>
      </c>
      <c r="N44" s="38" t="s">
        <v>12</v>
      </c>
    </row>
    <row r="45" spans="1:14" ht="15.75" customHeight="1" x14ac:dyDescent="0.15">
      <c r="A45" s="4" t="str">
        <f>'GPT-5 Generation'!A45</f>
        <v>Guard</v>
      </c>
      <c r="B45" s="4" t="str">
        <f>'GPT-5 Generation'!B45</f>
        <v>[hasSegmentChanged()]</v>
      </c>
      <c r="C45" s="4">
        <f>'GPT-5 Generation'!C45</f>
        <v>1</v>
      </c>
      <c r="D45" s="4">
        <f>'Claude Sonnet 4.5 Gen'!C45</f>
        <v>0.5</v>
      </c>
      <c r="E45" s="32"/>
      <c r="F45" s="39">
        <v>0</v>
      </c>
      <c r="G45" s="40">
        <f>COUNTIFS($A$2:$A$115,$F$44,$C$2:$C$115,$F45,$D$2:$D$115,G$44)</f>
        <v>1</v>
      </c>
      <c r="H45" s="41">
        <f>COUNTIFS($A$2:$A$115,$F$44,$C$2:$C$115,$F45,$D$2:$D$115,H$44)</f>
        <v>0</v>
      </c>
      <c r="I45" s="42">
        <f>COUNTIFS($A$2:$A$71,$F$44,$C$2:$C$71,$F45,$D$2:$D$71,I$44) + MAX(D78-C78,0)</f>
        <v>0</v>
      </c>
      <c r="J45" s="9">
        <f>SUM(G45:I45)</f>
        <v>1</v>
      </c>
      <c r="K45" s="9"/>
      <c r="L45" s="43" t="s">
        <v>196</v>
      </c>
      <c r="M45" s="40">
        <f>(G45+H46+I47)/COUNTIF($A$2:$A$125,F44)</f>
        <v>1</v>
      </c>
      <c r="N45" s="42" t="s">
        <v>197</v>
      </c>
    </row>
    <row r="46" spans="1:14" ht="15.75" customHeight="1" x14ac:dyDescent="0.15">
      <c r="A46" s="4" t="str">
        <f>'GPT-5 Generation'!A46</f>
        <v>Action</v>
      </c>
      <c r="B46" s="4" t="str">
        <f>'GPT-5 Generation'!B46</f>
        <v>setCS; enteringSegment()</v>
      </c>
      <c r="C46" s="4">
        <f>'GPT-5 Generation'!C46</f>
        <v>1</v>
      </c>
      <c r="D46" s="4">
        <f>'Claude Sonnet 4.5 Gen'!C46</f>
        <v>0.5</v>
      </c>
      <c r="E46" s="32"/>
      <c r="F46" s="39">
        <v>0.5</v>
      </c>
      <c r="G46" s="44">
        <f>COUNTIFS($A$2:$A$115,$F$44,$C$2:$C$115,$F46,$D$2:$D$115,G$44)</f>
        <v>0</v>
      </c>
      <c r="H46" s="9">
        <f>COUNTIFS($A$2:$A$115,$F$44,$C$2:$C$115,$F46,$D$2:$D$115,H$44)</f>
        <v>0</v>
      </c>
      <c r="I46" s="45">
        <f>COUNTIFS($A$2:$A$115,$F$44,$C$2:$C$115,$F46,$D$2:$D$115,I$44)</f>
        <v>0</v>
      </c>
      <c r="J46" s="9">
        <f>SUM(G46:I46)</f>
        <v>0</v>
      </c>
      <c r="K46" s="9"/>
      <c r="L46" s="43" t="s">
        <v>198</v>
      </c>
      <c r="M46" s="44">
        <f t="array" ref="M46">SUMPRODUCT(J45:J47/COUNTIF($A$2:$A$125,F44), TRANSPOSE(G48:I48)/COUNTIF($A$2:$A$125,F44))</f>
        <v>0.5</v>
      </c>
      <c r="N46" s="45" t="s">
        <v>199</v>
      </c>
    </row>
    <row r="47" spans="1:14" ht="15.75" customHeight="1" x14ac:dyDescent="0.15">
      <c r="A47" s="4" t="str">
        <f>'GPT-5 Generation'!A47</f>
        <v>Transition</v>
      </c>
      <c r="B47" s="4" t="str">
        <f>'GPT-5 Generation'!B47</f>
        <v>after 1 sec (SDSActive ⇒ SDSActive)</v>
      </c>
      <c r="C47" s="4">
        <f>'GPT-5 Generation'!C47</f>
        <v>1</v>
      </c>
      <c r="D47" s="4">
        <f>'Claude Sonnet 4.5 Gen'!C47</f>
        <v>1</v>
      </c>
      <c r="E47" s="32"/>
      <c r="F47" s="39">
        <v>1</v>
      </c>
      <c r="G47" s="46">
        <f>COUNTIFS($A$2:$A$71,$F$44,$C$2:$C$71,$F47,$D$2:$D$71,G$44) + MAX(C78-D78,0)</f>
        <v>0</v>
      </c>
      <c r="H47" s="47">
        <f>COUNTIFS($A$2:$A$115,$F$44,$C$2:$C$115,$F47,$D$2:$D$115,H$44)</f>
        <v>0</v>
      </c>
      <c r="I47" s="48">
        <f>COUNTIFS($A$2:$A$71,$F$44,$C$2:$C$71,$F47,$D$2:$D$71,I$44) + MIN(C78,D78)</f>
        <v>1</v>
      </c>
      <c r="J47" s="9">
        <f>SUM(G47:I47)</f>
        <v>1</v>
      </c>
      <c r="K47" s="9"/>
      <c r="L47" s="43" t="s">
        <v>17</v>
      </c>
      <c r="M47" s="46">
        <f>(M45-M46)/(1-M46)</f>
        <v>1</v>
      </c>
      <c r="N47" s="48" t="s">
        <v>200</v>
      </c>
    </row>
    <row r="48" spans="1:14" ht="15.75" customHeight="1" x14ac:dyDescent="0.15">
      <c r="A48" s="4" t="str">
        <f>'GPT-5 Generation'!A48</f>
        <v>Guard</v>
      </c>
      <c r="B48" s="4" t="str">
        <f>'GPT-5 Generation'!B48</f>
        <v>[!hasSegmentChanged()]</v>
      </c>
      <c r="C48" s="4">
        <f>'GPT-5 Generation'!C48</f>
        <v>1</v>
      </c>
      <c r="D48" s="4">
        <f>'Claude Sonnet 4.5 Gen'!C48</f>
        <v>0.5</v>
      </c>
      <c r="E48" s="32"/>
      <c r="F48" s="49" t="s">
        <v>19</v>
      </c>
      <c r="G48" s="9">
        <f>SUM(G45:G47)</f>
        <v>1</v>
      </c>
      <c r="H48" s="9">
        <f>SUM(H45:H47)</f>
        <v>0</v>
      </c>
      <c r="I48" s="9">
        <f>SUM(I45:I47)</f>
        <v>1</v>
      </c>
      <c r="J48" s="9"/>
      <c r="L48" s="9"/>
      <c r="M48" s="50"/>
    </row>
    <row r="49" spans="1:14" ht="15.75" customHeight="1" x14ac:dyDescent="0.15">
      <c r="A49" s="4" t="str">
        <f>'GPT-5 Generation'!A49</f>
        <v>Region</v>
      </c>
      <c r="B49" s="4" t="str">
        <f>'GPT-5 Generation'!B49</f>
        <v>MDS</v>
      </c>
      <c r="C49" s="4">
        <f>'GPT-5 Generation'!C49</f>
        <v>1</v>
      </c>
      <c r="D49" s="4">
        <f>'Claude Sonnet 4.5 Gen'!C49</f>
        <v>1</v>
      </c>
      <c r="E49" s="32"/>
    </row>
    <row r="50" spans="1:14" ht="15.75" customHeight="1" x14ac:dyDescent="0.15">
      <c r="A50" s="4" t="str">
        <f>'GPT-5 Generation'!A50</f>
        <v>State</v>
      </c>
      <c r="B50" s="4" t="str">
        <f>'GPT-5 Generation'!B50</f>
        <v>Initial state (MDS → Stopped)</v>
      </c>
      <c r="C50" s="4">
        <f>'GPT-5 Generation'!C50</f>
        <v>1</v>
      </c>
      <c r="D50" s="4">
        <f>'Claude Sonnet 4.5 Gen'!C50</f>
        <v>0</v>
      </c>
      <c r="E50" s="32"/>
      <c r="F50" s="68" t="s">
        <v>32</v>
      </c>
      <c r="G50" s="69"/>
      <c r="H50" s="69"/>
      <c r="I50" s="69"/>
      <c r="L50" s="71" t="s">
        <v>207</v>
      </c>
      <c r="M50" s="72"/>
      <c r="N50" s="72"/>
    </row>
    <row r="51" spans="1:14" ht="15.75" customHeight="1" x14ac:dyDescent="0.15">
      <c r="A51" s="4" t="str">
        <f>'GPT-5 Generation'!A51</f>
        <v>State</v>
      </c>
      <c r="B51" s="4" t="str">
        <f>'GPT-5 Generation'!B51</f>
        <v>Stopped</v>
      </c>
      <c r="C51" s="4">
        <f>'GPT-5 Generation'!C51</f>
        <v>1</v>
      </c>
      <c r="D51" s="4">
        <f>'Claude Sonnet 4.5 Gen'!C51</f>
        <v>0</v>
      </c>
      <c r="E51" s="32"/>
      <c r="F51" s="9" t="s">
        <v>33</v>
      </c>
      <c r="G51" s="51" t="s">
        <v>7</v>
      </c>
      <c r="H51" s="51" t="s">
        <v>8</v>
      </c>
      <c r="I51" s="51" t="s">
        <v>9</v>
      </c>
      <c r="J51" s="52" t="s">
        <v>10</v>
      </c>
      <c r="K51" s="9"/>
      <c r="L51" s="38" t="s">
        <v>195</v>
      </c>
      <c r="M51" s="38" t="s">
        <v>11</v>
      </c>
      <c r="N51" s="38" t="s">
        <v>12</v>
      </c>
    </row>
    <row r="52" spans="1:14" ht="15.75" customHeight="1" x14ac:dyDescent="0.15">
      <c r="A52" s="4" t="str">
        <f>'GPT-5 Generation'!A52</f>
        <v>Transition</v>
      </c>
      <c r="B52" s="4" t="str">
        <f>'GPT-5 Generation'!B52</f>
        <v>after 1 sec (Stopped ⇒ Moving)</v>
      </c>
      <c r="C52" s="4">
        <f>'GPT-5 Generation'!C52</f>
        <v>1</v>
      </c>
      <c r="D52" s="4">
        <f>'Claude Sonnet 4.5 Gen'!C52</f>
        <v>0</v>
      </c>
      <c r="E52" s="32"/>
      <c r="F52" s="39">
        <v>0</v>
      </c>
      <c r="G52" s="40">
        <f>COUNTIFS($A$2:$A$115,$F$51,$C$2:$C$115,$F52,$D$2:$D$115,G$51)</f>
        <v>1</v>
      </c>
      <c r="H52" s="41">
        <f>COUNTIFS($A$2:$A$115,$F$51,$C$2:$C$115,$F52,$D$2:$D$115,H$51)</f>
        <v>0</v>
      </c>
      <c r="I52" s="42">
        <f>COUNTIFS($A$2:$A$71,$F$51,$C$2:$C$71,$F52,$D$2:$D$71,I$51)+MAX(D77-C77,0)</f>
        <v>0</v>
      </c>
      <c r="J52" s="9">
        <f>SUM(G52:I52)</f>
        <v>1</v>
      </c>
      <c r="K52" s="9"/>
      <c r="L52" s="43" t="s">
        <v>196</v>
      </c>
      <c r="M52" s="40">
        <f>(G52+H53+I54)/COUNTIF($A$2:$A$125,F51)</f>
        <v>0.8</v>
      </c>
      <c r="N52" s="42" t="s">
        <v>197</v>
      </c>
    </row>
    <row r="53" spans="1:14" ht="15.75" customHeight="1" x14ac:dyDescent="0.15">
      <c r="A53" s="4" t="str">
        <f>'GPT-5 Generation'!A53</f>
        <v>Guard</v>
      </c>
      <c r="B53" s="4" t="str">
        <f>'GPT-5 Generation'!B53</f>
        <v>[speed &gt; 0]</v>
      </c>
      <c r="C53" s="4">
        <f>'GPT-5 Generation'!C53</f>
        <v>1</v>
      </c>
      <c r="D53" s="4">
        <f>'Claude Sonnet 4.5 Gen'!C53</f>
        <v>0</v>
      </c>
      <c r="E53" s="32"/>
      <c r="F53" s="39">
        <v>0.5</v>
      </c>
      <c r="G53" s="44">
        <f>COUNTIFS($A$2:$A$115,$F$51,$C$2:$C$115,$F53,$D$2:$D$115,G$51)</f>
        <v>0</v>
      </c>
      <c r="H53" s="9">
        <f>COUNTIFS($A$2:$A$115,$F$51,$C$2:$C$115,$F53,$D$2:$D$115,H$51)</f>
        <v>0</v>
      </c>
      <c r="I53" s="45">
        <f>COUNTIFS($A$2:$A$115,$F$51,$C$2:$C$115,$F53,$D$2:$D$115,I$51)</f>
        <v>1</v>
      </c>
      <c r="J53" s="9">
        <f>SUM(G53:I53)</f>
        <v>1</v>
      </c>
      <c r="K53" s="9"/>
      <c r="L53" s="43" t="s">
        <v>198</v>
      </c>
      <c r="M53" s="44">
        <f t="array" ref="M53">SUMPRODUCT(J52:J54/COUNTIF($A$2:$A$125,F51), TRANSPOSE(G55:I55)/COUNTIF($A$2:$A$125,F51))</f>
        <v>0.52</v>
      </c>
      <c r="N53" s="45" t="s">
        <v>199</v>
      </c>
    </row>
    <row r="54" spans="1:14" ht="15.75" customHeight="1" x14ac:dyDescent="0.15">
      <c r="A54" s="4" t="str">
        <f>'GPT-5 Generation'!A54</f>
        <v>Transition</v>
      </c>
      <c r="B54" s="4" t="str">
        <f>'GPT-5 Generation'!B54</f>
        <v>after 1 sec (Stopped ⇒ Stopped)</v>
      </c>
      <c r="C54" s="4">
        <f>'GPT-5 Generation'!C54</f>
        <v>1</v>
      </c>
      <c r="D54" s="4">
        <f>'Claude Sonnet 4.5 Gen'!C54</f>
        <v>0.5</v>
      </c>
      <c r="E54" s="32"/>
      <c r="F54" s="39">
        <v>1</v>
      </c>
      <c r="G54" s="46">
        <f>COUNTIFS($A$2:$A$71,$F$51,$C$2:$C$71,$F54,$D$2:$D$71,G$51) + MAX(C77-D77,0)</f>
        <v>0</v>
      </c>
      <c r="H54" s="47">
        <f>COUNTIFS($A$2:$A$115,$F$51,$C$2:$C$115,$F54,$D$2:$D$115,H$51)</f>
        <v>0</v>
      </c>
      <c r="I54" s="48">
        <f>COUNTIFS($A$2:$A$71,$F$51,$C$2:$C$71,$F54,$D$2:$D$71,I$51)+MIN(C77,D77)</f>
        <v>3</v>
      </c>
      <c r="J54" s="9">
        <f>SUM(G54:I54)</f>
        <v>3</v>
      </c>
      <c r="K54" s="9"/>
      <c r="L54" s="43" t="s">
        <v>17</v>
      </c>
      <c r="M54" s="46">
        <f>(M52-M53)/(1-M53)</f>
        <v>0.58333333333333337</v>
      </c>
      <c r="N54" s="48" t="s">
        <v>200</v>
      </c>
    </row>
    <row r="55" spans="1:14" ht="15.75" customHeight="1" x14ac:dyDescent="0.15">
      <c r="A55" s="4" t="str">
        <f>'GPT-5 Generation'!A55</f>
        <v>Guard</v>
      </c>
      <c r="B55" s="4" t="str">
        <f>'GPT-5 Generation'!B55</f>
        <v>[speed == 0]</v>
      </c>
      <c r="C55" s="4">
        <f>'GPT-5 Generation'!C55</f>
        <v>1</v>
      </c>
      <c r="D55" s="4">
        <f>'Claude Sonnet 4.5 Gen'!C55</f>
        <v>0</v>
      </c>
      <c r="E55" s="32"/>
      <c r="F55" s="49" t="s">
        <v>19</v>
      </c>
      <c r="G55" s="9">
        <f>SUM(G52:G54)</f>
        <v>1</v>
      </c>
      <c r="H55" s="9">
        <f>SUM(H52:H54)</f>
        <v>0</v>
      </c>
      <c r="I55" s="9">
        <f>SUM(I52:I54)</f>
        <v>4</v>
      </c>
      <c r="J55" s="9"/>
      <c r="L55" s="9"/>
      <c r="M55" s="50"/>
    </row>
    <row r="56" spans="1:14" ht="15.75" customHeight="1" x14ac:dyDescent="0.15">
      <c r="A56" s="4" t="str">
        <f>'GPT-5 Generation'!A56</f>
        <v>Action</v>
      </c>
      <c r="B56" s="4" t="str">
        <f>'GPT-5 Generation'!B56</f>
        <v>stopped()</v>
      </c>
      <c r="C56" s="4">
        <f>'GPT-5 Generation'!C56</f>
        <v>0.5</v>
      </c>
      <c r="D56" s="4">
        <f>'Claude Sonnet 4.5 Gen'!C56</f>
        <v>0.5</v>
      </c>
      <c r="E56" s="32"/>
    </row>
    <row r="57" spans="1:14" ht="15.75" customHeight="1" x14ac:dyDescent="0.15">
      <c r="A57" s="4" t="str">
        <f>'GPT-5 Generation'!A57</f>
        <v>State</v>
      </c>
      <c r="B57" s="4" t="str">
        <f>'GPT-5 Generation'!B57</f>
        <v>Moving</v>
      </c>
      <c r="C57" s="4">
        <f>'GPT-5 Generation'!C57</f>
        <v>1</v>
      </c>
      <c r="D57" s="4">
        <f>'Claude Sonnet 4.5 Gen'!C57</f>
        <v>0</v>
      </c>
      <c r="E57" s="32"/>
    </row>
    <row r="58" spans="1:14" ht="15.75" customHeight="1" x14ac:dyDescent="0.15">
      <c r="A58" s="4" t="str">
        <f>'GPT-5 Generation'!A58</f>
        <v>Transition</v>
      </c>
      <c r="B58" s="4" t="str">
        <f>'GPT-5 Generation'!B58</f>
        <v>after 1 sec (Moving ⇒ Stopped)</v>
      </c>
      <c r="C58" s="4">
        <f>'GPT-5 Generation'!C58</f>
        <v>1</v>
      </c>
      <c r="D58" s="4">
        <f>'Claude Sonnet 4.5 Gen'!C58</f>
        <v>0</v>
      </c>
      <c r="E58" s="32"/>
    </row>
    <row r="59" spans="1:14" ht="15.75" customHeight="1" x14ac:dyDescent="0.15">
      <c r="A59" s="4" t="str">
        <f>'GPT-5 Generation'!A59</f>
        <v>Guard</v>
      </c>
      <c r="B59" s="4" t="str">
        <f>'GPT-5 Generation'!B59</f>
        <v>[speed == 0]</v>
      </c>
      <c r="C59" s="4">
        <f>'GPT-5 Generation'!C59</f>
        <v>1</v>
      </c>
      <c r="D59" s="4">
        <f>'Claude Sonnet 4.5 Gen'!C59</f>
        <v>0</v>
      </c>
      <c r="E59" s="32"/>
    </row>
    <row r="60" spans="1:14" ht="15.75" customHeight="1" x14ac:dyDescent="0.15">
      <c r="A60" s="4" t="str">
        <f>'GPT-5 Generation'!A60</f>
        <v>Action</v>
      </c>
      <c r="B60" s="4" t="str">
        <f>'GPT-5 Generation'!B60</f>
        <v>stopped()</v>
      </c>
      <c r="C60" s="4">
        <f>'GPT-5 Generation'!C60</f>
        <v>1</v>
      </c>
      <c r="D60" s="4">
        <f>'Claude Sonnet 4.5 Gen'!C60</f>
        <v>0.5</v>
      </c>
      <c r="E60" s="32"/>
    </row>
    <row r="61" spans="1:14" ht="15.75" customHeight="1" x14ac:dyDescent="0.15">
      <c r="A61" s="4" t="str">
        <f>'GPT-5 Generation'!A61</f>
        <v>Transition</v>
      </c>
      <c r="B61" s="4" t="str">
        <f>'GPT-5 Generation'!B61</f>
        <v>after 1 sec (Moving ⇒ Moving)</v>
      </c>
      <c r="C61" s="4">
        <f>'GPT-5 Generation'!C61</f>
        <v>1</v>
      </c>
      <c r="D61" s="4">
        <f>'Claude Sonnet 4.5 Gen'!C61</f>
        <v>0.5</v>
      </c>
      <c r="E61" s="32"/>
    </row>
    <row r="62" spans="1:14" ht="15.75" customHeight="1" x14ac:dyDescent="0.15">
      <c r="A62" s="4" t="str">
        <f>'GPT-5 Generation'!A62</f>
        <v>Guard</v>
      </c>
      <c r="B62" s="4" t="str">
        <f>'GPT-5 Generation'!B62</f>
        <v>[speed &gt; 0]</v>
      </c>
      <c r="C62" s="4">
        <f>'GPT-5 Generation'!C62</f>
        <v>1</v>
      </c>
      <c r="D62" s="4">
        <f>'Claude Sonnet 4.5 Gen'!C62</f>
        <v>0</v>
      </c>
      <c r="E62" s="32"/>
    </row>
    <row r="63" spans="1:14" ht="15.75" customHeight="1" x14ac:dyDescent="0.15">
      <c r="A63" s="4" t="str">
        <f>'GPT-5 Generation'!A63</f>
        <v>Region</v>
      </c>
      <c r="B63" s="4" t="str">
        <f>'GPT-5 Generation'!B63</f>
        <v>ODS</v>
      </c>
      <c r="C63" s="4">
        <f>'GPT-5 Generation'!C63</f>
        <v>1</v>
      </c>
      <c r="D63" s="4">
        <f>'Claude Sonnet 4.5 Gen'!C63</f>
        <v>1</v>
      </c>
      <c r="E63" s="32"/>
    </row>
    <row r="64" spans="1:14" ht="15.75" customHeight="1" x14ac:dyDescent="0.15">
      <c r="A64" s="4" t="str">
        <f>'GPT-5 Generation'!A64</f>
        <v>State</v>
      </c>
      <c r="B64" s="4" t="str">
        <f>'GPT-5 Generation'!B64</f>
        <v>Initial state (ODS → ODSActive)</v>
      </c>
      <c r="C64" s="4">
        <f>'GPT-5 Generation'!C64</f>
        <v>1</v>
      </c>
      <c r="D64" s="4">
        <f>'Claude Sonnet 4.5 Gen'!C64</f>
        <v>1</v>
      </c>
      <c r="E64" s="32"/>
    </row>
    <row r="65" spans="1:5" ht="15.75" customHeight="1" x14ac:dyDescent="0.15">
      <c r="A65" s="4" t="str">
        <f>'GPT-5 Generation'!A65</f>
        <v>State</v>
      </c>
      <c r="B65" s="4" t="str">
        <f>'GPT-5 Generation'!B65</f>
        <v>ODSActive</v>
      </c>
      <c r="C65" s="4">
        <f>'GPT-5 Generation'!C65</f>
        <v>1</v>
      </c>
      <c r="D65" s="4">
        <f>'Claude Sonnet 4.5 Gen'!C65</f>
        <v>1</v>
      </c>
      <c r="E65" s="32"/>
    </row>
    <row r="66" spans="1:5" ht="15.75" customHeight="1" x14ac:dyDescent="0.15">
      <c r="A66" s="4" t="str">
        <f>'GPT-5 Generation'!A66</f>
        <v>Transition</v>
      </c>
      <c r="B66" s="4" t="str">
        <f>'GPT-5 Generation'!B66</f>
        <v>after 1 sec (ODSActive ⇒ ODSActive)</v>
      </c>
      <c r="C66" s="4">
        <f>'GPT-5 Generation'!C66</f>
        <v>1</v>
      </c>
      <c r="D66" s="4">
        <f>'Claude Sonnet 4.5 Gen'!C66</f>
        <v>1</v>
      </c>
      <c r="E66" s="32"/>
    </row>
    <row r="67" spans="1:5" ht="15.75" customHeight="1" x14ac:dyDescent="0.15">
      <c r="A67" s="4" t="str">
        <f>'GPT-5 Generation'!A67</f>
        <v>Guard</v>
      </c>
      <c r="B67" s="4" t="str">
        <f>'GPT-5 Generation'!B67</f>
        <v>[obstacleDetected()]</v>
      </c>
      <c r="C67" s="4">
        <f>'GPT-5 Generation'!C67</f>
        <v>1</v>
      </c>
      <c r="D67" s="4">
        <f>'Claude Sonnet 4.5 Gen'!C67</f>
        <v>0.5</v>
      </c>
      <c r="E67" s="32"/>
    </row>
    <row r="68" spans="1:5" ht="15.75" customHeight="1" x14ac:dyDescent="0.15">
      <c r="A68" s="4" t="str">
        <f>'GPT-5 Generation'!A68</f>
        <v>Action</v>
      </c>
      <c r="B68" s="4" t="str">
        <f>'GPT-5 Generation'!B68</f>
        <v>emergency()</v>
      </c>
      <c r="C68" s="4">
        <f>'GPT-5 Generation'!C68</f>
        <v>1</v>
      </c>
      <c r="D68" s="4">
        <f>'Claude Sonnet 4.5 Gen'!C68</f>
        <v>0.5</v>
      </c>
      <c r="E68" s="32"/>
    </row>
    <row r="69" spans="1:5" ht="15.75" customHeight="1" x14ac:dyDescent="0.15">
      <c r="A69" s="4" t="str">
        <f>'GPT-5 Generation'!A69</f>
        <v>Transition</v>
      </c>
      <c r="B69" s="4" t="str">
        <f>'GPT-5 Generation'!B69</f>
        <v>after 1 sec (ODSActive ⇒ ODSActive)</v>
      </c>
      <c r="C69" s="4">
        <f>'GPT-5 Generation'!C69</f>
        <v>1</v>
      </c>
      <c r="D69" s="4">
        <f>'Claude Sonnet 4.5 Gen'!C69</f>
        <v>1</v>
      </c>
      <c r="E69" s="32"/>
    </row>
    <row r="70" spans="1:5" ht="15.75" customHeight="1" x14ac:dyDescent="0.15">
      <c r="A70" s="4" t="str">
        <f>'GPT-5 Generation'!A70</f>
        <v>Guard</v>
      </c>
      <c r="B70" s="4" t="str">
        <f>'GPT-5 Generation'!B70</f>
        <v>[!obstacleDetected()]</v>
      </c>
      <c r="C70" s="4">
        <f>'GPT-5 Generation'!C70</f>
        <v>1</v>
      </c>
      <c r="D70" s="4">
        <f>'Claude Sonnet 4.5 Gen'!C70</f>
        <v>0.5</v>
      </c>
      <c r="E70" s="32"/>
    </row>
    <row r="71" spans="1:5" ht="15.75" customHeight="1" x14ac:dyDescent="0.15">
      <c r="A71" s="6" t="str">
        <f>'GPT-5 Generation'!A71</f>
        <v>State</v>
      </c>
      <c r="B71" s="6" t="str">
        <f>'GPT-5 Generation'!B71</f>
        <v>Arrived</v>
      </c>
      <c r="C71" s="6">
        <f>'GPT-5 Generation'!C71</f>
        <v>0</v>
      </c>
      <c r="D71" s="6">
        <f>'Claude Sonnet 4.5 Gen'!C71</f>
        <v>0</v>
      </c>
      <c r="E71" s="32"/>
    </row>
    <row r="72" spans="1:5" ht="15.75" customHeight="1" x14ac:dyDescent="0.15">
      <c r="A72" s="7" t="str">
        <f>'GPT-5 Generation'!A72</f>
        <v>State</v>
      </c>
      <c r="B72" s="7" t="str">
        <f>'GPT-5 Generation'!B72</f>
        <v>additional elements</v>
      </c>
      <c r="C72" s="7">
        <f>'GPT-5 Generation'!C72</f>
        <v>0</v>
      </c>
      <c r="D72" s="7">
        <f>'Claude Sonnet 4.5 Gen'!C72</f>
        <v>0</v>
      </c>
      <c r="E72" s="32"/>
    </row>
    <row r="73" spans="1:5" ht="15.75" customHeight="1" x14ac:dyDescent="0.15">
      <c r="A73" s="4" t="str">
        <f>'GPT-5 Generation'!A73</f>
        <v>Transition</v>
      </c>
      <c r="B73" s="4" t="str">
        <f>'GPT-5 Generation'!B73</f>
        <v>additional elements</v>
      </c>
      <c r="C73" s="4">
        <f>'GPT-5 Generation'!C73</f>
        <v>0</v>
      </c>
      <c r="D73" s="4">
        <f>'Claude Sonnet 4.5 Gen'!C73</f>
        <v>0</v>
      </c>
      <c r="E73" s="32"/>
    </row>
    <row r="74" spans="1:5" ht="15.75" customHeight="1" x14ac:dyDescent="0.15">
      <c r="A74" s="4" t="str">
        <f>'GPT-5 Generation'!A74</f>
        <v>Guard</v>
      </c>
      <c r="B74" s="4" t="str">
        <f>'GPT-5 Generation'!B74</f>
        <v>additional elements</v>
      </c>
      <c r="C74" s="4">
        <f>'GPT-5 Generation'!C74</f>
        <v>0</v>
      </c>
      <c r="D74" s="4">
        <f>'Claude Sonnet 4.5 Gen'!C74</f>
        <v>0</v>
      </c>
      <c r="E74" s="32"/>
    </row>
    <row r="75" spans="1:5" ht="15.75" customHeight="1" x14ac:dyDescent="0.15">
      <c r="A75" s="4" t="str">
        <f>'GPT-5 Generation'!A75</f>
        <v>Action</v>
      </c>
      <c r="B75" s="4" t="str">
        <f>'GPT-5 Generation'!B75</f>
        <v>additional elements</v>
      </c>
      <c r="C75" s="4">
        <f>'GPT-5 Generation'!C75</f>
        <v>0</v>
      </c>
      <c r="D75" s="4">
        <f>'Claude Sonnet 4.5 Gen'!C75</f>
        <v>0</v>
      </c>
      <c r="E75" s="32"/>
    </row>
    <row r="76" spans="1:5" ht="15.75" customHeight="1" x14ac:dyDescent="0.15">
      <c r="A76" s="4" t="str">
        <f>'GPT-5 Generation'!A76</f>
        <v>Composite State</v>
      </c>
      <c r="B76" s="4" t="str">
        <f>'GPT-5 Generation'!B76</f>
        <v>additional elements</v>
      </c>
      <c r="C76" s="4">
        <f>'GPT-5 Generation'!C76</f>
        <v>0</v>
      </c>
      <c r="D76" s="4">
        <f>'Claude Sonnet 4.5 Gen'!C76</f>
        <v>0</v>
      </c>
      <c r="E76" s="32"/>
    </row>
    <row r="77" spans="1:5" ht="15.75" customHeight="1" x14ac:dyDescent="0.15">
      <c r="A77" s="4" t="str">
        <f>'GPT-5 Generation'!A77</f>
        <v>Region</v>
      </c>
      <c r="B77" s="4" t="str">
        <f>'GPT-5 Generation'!B77</f>
        <v>additional elements</v>
      </c>
      <c r="C77" s="4">
        <f>'GPT-5 Generation'!C77</f>
        <v>0</v>
      </c>
      <c r="D77" s="4">
        <f>'Claude Sonnet 4.5 Gen'!C77</f>
        <v>0</v>
      </c>
      <c r="E77" s="32"/>
    </row>
    <row r="78" spans="1:5" ht="15.75" customHeight="1" x14ac:dyDescent="0.15">
      <c r="A78" s="4" t="str">
        <f>'GPT-5 Generation'!A78</f>
        <v>History State</v>
      </c>
      <c r="B78" s="4" t="str">
        <f>'GPT-5 Generation'!B78</f>
        <v>additional elements</v>
      </c>
      <c r="C78" s="4">
        <f>'GPT-5 Generation'!C78</f>
        <v>0</v>
      </c>
      <c r="D78" s="4">
        <f>'Claude Sonnet 4.5 Gen'!C78</f>
        <v>0</v>
      </c>
      <c r="E78" s="32"/>
    </row>
    <row r="79" spans="1:5" ht="15.75" customHeight="1" x14ac:dyDescent="0.15">
      <c r="A79" s="33"/>
      <c r="B79" s="65"/>
      <c r="C79" s="32"/>
      <c r="D79" s="32"/>
      <c r="E79" s="32"/>
    </row>
    <row r="80" spans="1:5" ht="15.75" customHeight="1" x14ac:dyDescent="0.15">
      <c r="A80" s="33"/>
      <c r="B80" s="65"/>
      <c r="C80" s="32"/>
      <c r="D80" s="32"/>
      <c r="E80" s="32"/>
    </row>
    <row r="81" spans="2:5" ht="15.75" customHeight="1" x14ac:dyDescent="0.15">
      <c r="B81" s="65"/>
      <c r="D81" s="32"/>
      <c r="E81" s="32"/>
    </row>
    <row r="82" spans="2:5" ht="15.75" customHeight="1" x14ac:dyDescent="0.15">
      <c r="B82" s="65"/>
      <c r="D82" s="32"/>
    </row>
    <row r="83" spans="2:5" ht="15.75" customHeight="1" x14ac:dyDescent="0.15">
      <c r="D83" s="3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10"/>
  <sheetViews>
    <sheetView tabSelected="1" workbookViewId="0">
      <selection activeCell="W5" sqref="W5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0" t="s">
        <v>2</v>
      </c>
      <c r="D1" s="10" t="s">
        <v>3</v>
      </c>
      <c r="E1" s="32"/>
      <c r="F1" s="68" t="s">
        <v>4</v>
      </c>
      <c r="G1" s="69"/>
      <c r="H1" s="69"/>
      <c r="I1" s="69"/>
      <c r="L1" s="68" t="s">
        <v>5</v>
      </c>
      <c r="M1" s="69"/>
      <c r="N1" s="69"/>
      <c r="O1" s="69"/>
    </row>
    <row r="2" spans="1:24" ht="15.75" customHeight="1" x14ac:dyDescent="0.15">
      <c r="A2" s="4" t="str">
        <f>'GPT-5 Generation'!A2</f>
        <v>State</v>
      </c>
      <c r="B2" s="4" t="str">
        <f>'GPT-5 Generation'!B2</f>
        <v>Initial state (→ Scheduled)</v>
      </c>
      <c r="C2" s="4">
        <f>'GPT-5 Generation'!C2</f>
        <v>0</v>
      </c>
      <c r="D2" s="4">
        <f>'Claude Sonnet 4.5 Gen'!C2</f>
        <v>0</v>
      </c>
      <c r="E2" s="32"/>
      <c r="F2" s="9" t="s">
        <v>6</v>
      </c>
      <c r="G2" s="34" t="s">
        <v>7</v>
      </c>
      <c r="H2" s="35" t="s">
        <v>8</v>
      </c>
      <c r="I2" s="36" t="s">
        <v>9</v>
      </c>
      <c r="J2" s="52" t="s">
        <v>10</v>
      </c>
      <c r="K2" s="9"/>
      <c r="L2" s="9" t="s">
        <v>6</v>
      </c>
      <c r="M2" s="51" t="s">
        <v>7</v>
      </c>
      <c r="N2" s="51" t="s">
        <v>8</v>
      </c>
      <c r="O2" s="51" t="s">
        <v>9</v>
      </c>
      <c r="P2" s="9"/>
      <c r="Q2" s="9" t="s">
        <v>6</v>
      </c>
      <c r="R2" s="51" t="s">
        <v>7</v>
      </c>
      <c r="S2" s="51" t="s">
        <v>8</v>
      </c>
      <c r="T2" s="51" t="s">
        <v>9</v>
      </c>
      <c r="V2" s="38" t="str">
        <f>"Metrics" &amp; " " &amp; F2</f>
        <v>Metrics Global</v>
      </c>
      <c r="W2" s="38" t="s">
        <v>11</v>
      </c>
      <c r="X2" s="38" t="s">
        <v>12</v>
      </c>
    </row>
    <row r="3" spans="1:24" ht="15.75" customHeight="1" x14ac:dyDescent="0.15">
      <c r="A3" s="4" t="str">
        <f>'GPT-5 Generation'!A3</f>
        <v>State</v>
      </c>
      <c r="B3" s="4" t="str">
        <f>'GPT-5 Generation'!B3</f>
        <v>Scheduled</v>
      </c>
      <c r="C3" s="4">
        <f>'GPT-5 Generation'!C3</f>
        <v>0</v>
      </c>
      <c r="D3" s="4">
        <f>'Claude Sonnet 4.5 Gen'!C3</f>
        <v>0</v>
      </c>
      <c r="E3" s="32"/>
      <c r="F3" s="39">
        <v>0</v>
      </c>
      <c r="G3" s="40">
        <f>COUNTIFS($C$2:$C$115, $F3, $D$2:$D$115, G$2)</f>
        <v>10</v>
      </c>
      <c r="H3" s="41">
        <f>COUNTIFS($C$2:$C$71, $F3, $D$2:$D$71, H$2)</f>
        <v>0</v>
      </c>
      <c r="I3" s="42">
        <f>COUNTIFS($C$2:$C$71, $F3, $D$2:$D$71, I$2)+MAX(D72-C72,0)+MAX(D73-C73,0)+MAX(D74-C74,0)+MAX(D75-C75,0)+MAX(D76-C76,0)+MAX(D77-C77,0)+MAX(D78-C78,0)</f>
        <v>0</v>
      </c>
      <c r="J3" s="9">
        <f>SUM(G3:I3)</f>
        <v>10</v>
      </c>
      <c r="K3" s="9"/>
      <c r="L3" s="39">
        <v>0</v>
      </c>
      <c r="M3" s="40">
        <f>ABS(G$2-$F3)/1</f>
        <v>0</v>
      </c>
      <c r="N3" s="41">
        <f>ABS(H$2-$F3)/1</f>
        <v>0.5</v>
      </c>
      <c r="O3" s="42">
        <f>ABS(I$2-$F3)/1</f>
        <v>1</v>
      </c>
      <c r="P3" s="9"/>
      <c r="Q3" s="39">
        <v>0</v>
      </c>
      <c r="R3" s="40">
        <f t="shared" ref="R3:T5" si="0">($J3/$J$6) * (G$6/$J$6)</f>
        <v>4.7225501770956316E-2</v>
      </c>
      <c r="S3" s="41">
        <f t="shared" si="0"/>
        <v>3.0359251138471915E-2</v>
      </c>
      <c r="T3" s="42">
        <f t="shared" si="0"/>
        <v>5.2285376960701631E-2</v>
      </c>
      <c r="U3" s="9"/>
      <c r="V3" s="43" t="s">
        <v>13</v>
      </c>
      <c r="W3" s="40">
        <f>SUMPRODUCT(G3:I5, M3:O5) /$J$6</f>
        <v>0.33766233766233766</v>
      </c>
      <c r="X3" s="42" t="s">
        <v>14</v>
      </c>
    </row>
    <row r="4" spans="1:24" ht="15.75" customHeight="1" x14ac:dyDescent="0.15">
      <c r="A4" s="4" t="str">
        <f>'GPT-5 Generation'!A4</f>
        <v>Transition</v>
      </c>
      <c r="B4" s="4" t="str">
        <f>'GPT-5 Generation'!B4</f>
        <v>at beginningStopDuration (Scheduled ⇒ Active)</v>
      </c>
      <c r="C4" s="4">
        <f>'GPT-5 Generation'!C4</f>
        <v>0.5</v>
      </c>
      <c r="D4" s="4">
        <f>'Claude Sonnet 4.5 Gen'!C4</f>
        <v>0</v>
      </c>
      <c r="E4" s="32"/>
      <c r="F4" s="39">
        <v>0.5</v>
      </c>
      <c r="G4" s="44">
        <f>COUNTIFS($C$2:$C$71, $F4, $D$2:$D$71, G$2)</f>
        <v>1</v>
      </c>
      <c r="H4" s="9">
        <f>COUNTIFS($C$2:$C$71, $F4, $D$2:$D$71, H$2)</f>
        <v>2</v>
      </c>
      <c r="I4" s="45">
        <f>COUNTIFS($C$2:$C$71, $F4, $D$2:$D$71, I$2)</f>
        <v>1</v>
      </c>
      <c r="J4" s="9">
        <f>SUM(G4:I4)</f>
        <v>4</v>
      </c>
      <c r="K4" s="9"/>
      <c r="L4" s="39">
        <v>0.5</v>
      </c>
      <c r="M4" s="44">
        <f>ABS(G$2-$F4)/1</f>
        <v>0.5</v>
      </c>
      <c r="N4" s="9">
        <f>ABS(H$2-$F4)/3</f>
        <v>0</v>
      </c>
      <c r="O4" s="45">
        <f>ABS(I$2-$F4)/1</f>
        <v>0.5</v>
      </c>
      <c r="P4" s="9"/>
      <c r="Q4" s="39">
        <v>0.5</v>
      </c>
      <c r="R4" s="44">
        <f t="shared" si="0"/>
        <v>1.8890200708382529E-2</v>
      </c>
      <c r="S4" s="9">
        <f t="shared" si="0"/>
        <v>1.2143700455388767E-2</v>
      </c>
      <c r="T4" s="45">
        <f t="shared" si="0"/>
        <v>2.0914150784280657E-2</v>
      </c>
      <c r="U4" s="9"/>
      <c r="V4" s="43" t="s">
        <v>15</v>
      </c>
      <c r="W4" s="44">
        <f>SUMPRODUCT(R3:T5, M3:O5)</f>
        <v>0.48051948051948051</v>
      </c>
      <c r="X4" s="45" t="s">
        <v>16</v>
      </c>
    </row>
    <row r="5" spans="1:24" ht="15.75" customHeight="1" x14ac:dyDescent="0.15">
      <c r="A5" s="4" t="str">
        <f>'GPT-5 Generation'!A5</f>
        <v>Action</v>
      </c>
      <c r="B5" s="4" t="str">
        <f>'GPT-5 Generation'!B5</f>
        <v>pOn; setCS;</v>
      </c>
      <c r="C5" s="4">
        <f>'GPT-5 Generation'!C5</f>
        <v>1</v>
      </c>
      <c r="D5" s="4">
        <f>'Claude Sonnet 4.5 Gen'!C5</f>
        <v>0.5</v>
      </c>
      <c r="E5" s="32"/>
      <c r="F5" s="39">
        <v>1</v>
      </c>
      <c r="G5" s="46">
        <f>COUNTIFS($C$2:$C$71, $F5, $D$2:$D$71, G$2)+MAX(C72-D72,0)+MAX(C73-D73,0)+MAX(C74-D74,0)+MAX(C75-D75,0)+MAX(C76-D76,0)+MAX(C77-D77,0)+MAX(C78-D78,0)</f>
        <v>17</v>
      </c>
      <c r="H5" s="47">
        <f>COUNTIFS($C$2:$C$71, $F5, $D$2:$D$71, H$2)</f>
        <v>16</v>
      </c>
      <c r="I5" s="48">
        <f>COUNTIFS($C$2:$C$71, $F5, $D$2:$D$71, I$2)+ SUM(MIN(C72,D72), MIN(C73,D73), MIN(C74,D74), MIN(C75,D75), MIN(C76,D76), MIN(C77,D77), MIN(C78,D78))</f>
        <v>30</v>
      </c>
      <c r="J5" s="9">
        <f>SUM(G5:I5)</f>
        <v>63</v>
      </c>
      <c r="K5" s="9"/>
      <c r="L5" s="39">
        <v>1</v>
      </c>
      <c r="M5" s="46">
        <f>ABS(G$2-$F5)/1</f>
        <v>1</v>
      </c>
      <c r="N5" s="47">
        <f>ABS(H$2-$F5)/1</f>
        <v>0.5</v>
      </c>
      <c r="O5" s="48">
        <f>ABS(I$2-$F5)/1</f>
        <v>0</v>
      </c>
      <c r="P5" s="9"/>
      <c r="Q5" s="39">
        <v>1</v>
      </c>
      <c r="R5" s="46">
        <f t="shared" si="0"/>
        <v>0.2975206611570248</v>
      </c>
      <c r="S5" s="47">
        <f t="shared" si="0"/>
        <v>0.19126328217237309</v>
      </c>
      <c r="T5" s="48">
        <f t="shared" si="0"/>
        <v>0.32939787485242034</v>
      </c>
      <c r="U5" s="9"/>
      <c r="V5" s="43" t="s">
        <v>17</v>
      </c>
      <c r="W5" s="46">
        <f>1-W3/W4</f>
        <v>0.29729729729729726</v>
      </c>
      <c r="X5" s="48" t="s">
        <v>18</v>
      </c>
    </row>
    <row r="6" spans="1:24" ht="15.75" customHeight="1" x14ac:dyDescent="0.15">
      <c r="A6" s="4" t="str">
        <f>'GPT-5 Generation'!A6</f>
        <v>Composite State</v>
      </c>
      <c r="B6" s="4" t="str">
        <f>'GPT-5 Generation'!B6</f>
        <v>Active</v>
      </c>
      <c r="C6" s="4">
        <f>'GPT-5 Generation'!C6</f>
        <v>1</v>
      </c>
      <c r="D6" s="4">
        <f>'Claude Sonnet 4.5 Gen'!C6</f>
        <v>1</v>
      </c>
      <c r="E6" s="32"/>
      <c r="F6" s="49" t="s">
        <v>19</v>
      </c>
      <c r="G6" s="9">
        <f>SUM(G3:G5)</f>
        <v>28</v>
      </c>
      <c r="H6" s="9">
        <f>SUM(H3:H5)</f>
        <v>18</v>
      </c>
      <c r="I6" s="9">
        <f>SUM(I3:I5)</f>
        <v>31</v>
      </c>
      <c r="J6" s="9">
        <f>SUM(G3:I5)</f>
        <v>77</v>
      </c>
      <c r="L6" s="9"/>
      <c r="M6" s="9"/>
      <c r="N6" s="9"/>
      <c r="O6" s="9"/>
      <c r="P6" s="9"/>
      <c r="Q6" s="9"/>
      <c r="R6" s="9"/>
      <c r="S6" s="9"/>
      <c r="T6" s="9"/>
      <c r="V6" s="9"/>
      <c r="W6" s="50"/>
    </row>
    <row r="7" spans="1:24" ht="15.75" customHeight="1" x14ac:dyDescent="0.15">
      <c r="A7" s="4" t="str">
        <f>'GPT-5 Generation'!A7</f>
        <v>Region</v>
      </c>
      <c r="B7" s="4" t="str">
        <f>'GPT-5 Generation'!B7</f>
        <v>TrainControl</v>
      </c>
      <c r="C7" s="4">
        <f>'GPT-5 Generation'!C7</f>
        <v>0.5</v>
      </c>
      <c r="D7" s="4">
        <f>'Claude Sonnet 4.5 Gen'!C7</f>
        <v>1</v>
      </c>
      <c r="E7" s="32"/>
      <c r="L7" s="9"/>
      <c r="M7" s="9"/>
      <c r="N7" s="9"/>
    </row>
    <row r="8" spans="1:24" ht="15.75" customHeight="1" x14ac:dyDescent="0.15">
      <c r="A8" s="4" t="str">
        <f>'GPT-5 Generation'!A8</f>
        <v>Composite State</v>
      </c>
      <c r="B8" s="4" t="str">
        <f>'GPT-5 Generation'!B8</f>
        <v>TrainMovement</v>
      </c>
      <c r="C8" s="4">
        <f>'GPT-5 Generation'!C8</f>
        <v>1</v>
      </c>
      <c r="D8" s="4">
        <f>'Claude Sonnet 4.5 Gen'!C8</f>
        <v>1</v>
      </c>
      <c r="E8" s="32"/>
      <c r="F8" s="68" t="s">
        <v>20</v>
      </c>
      <c r="G8" s="69"/>
      <c r="H8" s="69"/>
      <c r="I8" s="69"/>
    </row>
    <row r="9" spans="1:24" ht="15.75" customHeight="1" x14ac:dyDescent="0.15">
      <c r="A9" s="4" t="str">
        <f>'GPT-5 Generation'!A9</f>
        <v>State</v>
      </c>
      <c r="B9" s="4" t="str">
        <f>'GPT-5 Generation'!B9</f>
        <v>Initial state (TrainMovement → AtStation)</v>
      </c>
      <c r="C9" s="4">
        <f>'GPT-5 Generation'!C9</f>
        <v>1</v>
      </c>
      <c r="D9" s="4">
        <f>'Claude Sonnet 4.5 Gen'!C9</f>
        <v>0</v>
      </c>
      <c r="E9" s="32"/>
      <c r="F9" s="9" t="s">
        <v>21</v>
      </c>
      <c r="G9" s="51" t="s">
        <v>7</v>
      </c>
      <c r="H9" s="51" t="s">
        <v>8</v>
      </c>
      <c r="I9" s="51" t="s">
        <v>9</v>
      </c>
      <c r="J9" s="52" t="s">
        <v>10</v>
      </c>
      <c r="K9" s="9"/>
      <c r="L9" s="9" t="s">
        <v>6</v>
      </c>
      <c r="M9" s="51" t="s">
        <v>7</v>
      </c>
      <c r="N9" s="51" t="s">
        <v>8</v>
      </c>
      <c r="O9" s="51" t="s">
        <v>9</v>
      </c>
      <c r="P9" s="9"/>
      <c r="Q9" s="9" t="s">
        <v>6</v>
      </c>
      <c r="R9" s="51" t="s">
        <v>7</v>
      </c>
      <c r="S9" s="51" t="s">
        <v>8</v>
      </c>
      <c r="T9" s="51" t="s">
        <v>9</v>
      </c>
      <c r="V9" s="38" t="str">
        <f>"Metrics" &amp; " " &amp; F9</f>
        <v>Metrics State</v>
      </c>
      <c r="W9" s="38" t="s">
        <v>11</v>
      </c>
      <c r="X9" s="38" t="s">
        <v>12</v>
      </c>
    </row>
    <row r="10" spans="1:24" ht="15.75" customHeight="1" x14ac:dyDescent="0.15">
      <c r="A10" s="4" t="str">
        <f>'GPT-5 Generation'!A10</f>
        <v>State</v>
      </c>
      <c r="B10" s="4" t="str">
        <f>'GPT-5 Generation'!B10</f>
        <v>AtStation</v>
      </c>
      <c r="C10" s="4">
        <f>'GPT-5 Generation'!C10</f>
        <v>1</v>
      </c>
      <c r="D10" s="4">
        <f>'Claude Sonnet 4.5 Gen'!C10</f>
        <v>0.5</v>
      </c>
      <c r="E10" s="32"/>
      <c r="F10" s="39">
        <v>0</v>
      </c>
      <c r="G10" s="40">
        <f>COUNTIFS($A$2:$A$115,$F$9,$C$2:$C$115,$F10,$D$2:$D$115,G$9)</f>
        <v>4</v>
      </c>
      <c r="H10" s="41">
        <f>COUNTIFS($A$2:$A$115,$F$9,$C$2:$C$115,$F10,$D$2:$D$115,H$9)</f>
        <v>0</v>
      </c>
      <c r="I10" s="42">
        <f>COUNTIFS($A$2:$A$71,$F$9,$C$2:$C$71,$F10,$D$2:$D$71,I$9)+MAX(D72-C72,0)</f>
        <v>0</v>
      </c>
      <c r="J10" s="9">
        <f>SUM(G10:I10)</f>
        <v>4</v>
      </c>
      <c r="K10" s="9"/>
      <c r="L10" s="39">
        <v>0</v>
      </c>
      <c r="M10" s="40">
        <f>ABS(G$2-$F10)/1</f>
        <v>0</v>
      </c>
      <c r="N10" s="41">
        <f>ABS(H$2-$F10)/1</f>
        <v>0.5</v>
      </c>
      <c r="O10" s="42">
        <f>ABS(I$2-$F10)/1</f>
        <v>1</v>
      </c>
      <c r="P10" s="9"/>
      <c r="Q10" s="39">
        <v>0</v>
      </c>
      <c r="R10" s="40">
        <f t="shared" ref="R10:T12" si="1">($J10/$J$13) * (G$13/$J$13)</f>
        <v>0.13580246913580246</v>
      </c>
      <c r="S10" s="41">
        <f t="shared" si="1"/>
        <v>1.2345679012345678E-2</v>
      </c>
      <c r="T10" s="42">
        <f t="shared" si="1"/>
        <v>7.407407407407407E-2</v>
      </c>
      <c r="U10" s="9"/>
      <c r="V10" s="43" t="s">
        <v>13</v>
      </c>
      <c r="W10" s="40">
        <f>SUMPRODUCT(G10:I12, M10:O12) /$J$13</f>
        <v>0.41666666666666669</v>
      </c>
      <c r="X10" s="42" t="s">
        <v>14</v>
      </c>
    </row>
    <row r="11" spans="1:24" ht="15.75" customHeight="1" x14ac:dyDescent="0.15">
      <c r="A11" s="4" t="str">
        <f>'GPT-5 Generation'!A11</f>
        <v>Action</v>
      </c>
      <c r="B11" s="4" t="str">
        <f>'GPT-5 Generation'!B11</f>
        <v>entry / openDoors()</v>
      </c>
      <c r="C11" s="4">
        <f>'GPT-5 Generation'!C11</f>
        <v>1</v>
      </c>
      <c r="D11" s="4">
        <f>'Claude Sonnet 4.5 Gen'!C11</f>
        <v>1</v>
      </c>
      <c r="E11" s="32"/>
      <c r="F11" s="39">
        <v>0.5</v>
      </c>
      <c r="G11" s="44">
        <f>COUNTIFS($A$2:$A$115,$F$9,$C$2:$C$115,$F11,$D$2:$D$115,G$9)</f>
        <v>0</v>
      </c>
      <c r="H11" s="9">
        <f>COUNTIFS($A$2:$A$115,$F$9,$C$2:$C$115,$F11,$D$2:$D$115,H$9)</f>
        <v>0</v>
      </c>
      <c r="I11" s="45">
        <f>COUNTIFS($A$2:$A$115,$F$9,$C$2:$C$115,$F11,$D$2:$D$115,I$9)</f>
        <v>0</v>
      </c>
      <c r="J11" s="9">
        <f>SUM(G11:I11)</f>
        <v>0</v>
      </c>
      <c r="K11" s="9"/>
      <c r="L11" s="39">
        <v>0.5</v>
      </c>
      <c r="M11" s="44">
        <f>ABS(G$2-$F11)/1</f>
        <v>0.5</v>
      </c>
      <c r="N11" s="9">
        <f>ABS(H$2-$F11)/3</f>
        <v>0</v>
      </c>
      <c r="O11" s="45">
        <f>ABS(I$2-$F11)/1</f>
        <v>0.5</v>
      </c>
      <c r="P11" s="9"/>
      <c r="Q11" s="39">
        <v>0.5</v>
      </c>
      <c r="R11" s="44">
        <f t="shared" si="1"/>
        <v>0</v>
      </c>
      <c r="S11" s="9">
        <f t="shared" si="1"/>
        <v>0</v>
      </c>
      <c r="T11" s="45">
        <f t="shared" si="1"/>
        <v>0</v>
      </c>
      <c r="U11" s="9"/>
      <c r="V11" s="43" t="s">
        <v>15</v>
      </c>
      <c r="W11" s="44">
        <f>SUMPRODUCT(R10:T12, M10:O12)</f>
        <v>0.5771604938271605</v>
      </c>
      <c r="X11" s="45" t="s">
        <v>16</v>
      </c>
    </row>
    <row r="12" spans="1:24" ht="15.75" customHeight="1" x14ac:dyDescent="0.15">
      <c r="A12" s="4" t="str">
        <f>'GPT-5 Generation'!A12</f>
        <v>Action</v>
      </c>
      <c r="B12" s="4" t="str">
        <f>'GPT-5 Generation'!B12</f>
        <v>exit / closeDoors()</v>
      </c>
      <c r="C12" s="4">
        <f>'GPT-5 Generation'!C12</f>
        <v>1</v>
      </c>
      <c r="D12" s="4">
        <f>'Claude Sonnet 4.5 Gen'!C12</f>
        <v>0.5</v>
      </c>
      <c r="E12" s="32"/>
      <c r="F12" s="39">
        <v>1</v>
      </c>
      <c r="G12" s="46">
        <f>COUNTIFS($A$2:$A$71,$F$9,$C$2:$C$71,$F12,$D$2:$D$71,G$9)+MAX(C72-D72,0)</f>
        <v>7</v>
      </c>
      <c r="H12" s="47">
        <f>COUNTIFS($A$2:$A$115,$F$9,$C$2:$C$115,$F12,$D$2:$D$115,H$9)</f>
        <v>1</v>
      </c>
      <c r="I12" s="48">
        <f>COUNTIFS($A$2:$A$71,$F$9,$C$2:$C$71,$F12,$D$2:$D$71,I$9)+MIN(C72-D72)</f>
        <v>6</v>
      </c>
      <c r="J12" s="9">
        <f>SUM(G12:I12)</f>
        <v>14</v>
      </c>
      <c r="K12" s="9"/>
      <c r="L12" s="39">
        <v>1</v>
      </c>
      <c r="M12" s="46">
        <f>ABS(G$2-$F12)/1</f>
        <v>1</v>
      </c>
      <c r="N12" s="47">
        <f>ABS(H$2-$F12)/1</f>
        <v>0.5</v>
      </c>
      <c r="O12" s="48">
        <f>ABS(I$2-$F12)/1</f>
        <v>0</v>
      </c>
      <c r="P12" s="9"/>
      <c r="Q12" s="39">
        <v>1</v>
      </c>
      <c r="R12" s="46">
        <f t="shared" si="1"/>
        <v>0.4753086419753087</v>
      </c>
      <c r="S12" s="47">
        <f t="shared" si="1"/>
        <v>4.3209876543209874E-2</v>
      </c>
      <c r="T12" s="48">
        <f t="shared" si="1"/>
        <v>0.25925925925925924</v>
      </c>
      <c r="U12" s="9"/>
      <c r="V12" s="43" t="s">
        <v>17</v>
      </c>
      <c r="W12" s="46">
        <f>1-W10/W11</f>
        <v>0.27807486631016043</v>
      </c>
      <c r="X12" s="48" t="s">
        <v>18</v>
      </c>
    </row>
    <row r="13" spans="1:24" ht="15.75" customHeight="1" x14ac:dyDescent="0.15">
      <c r="A13" s="4" t="str">
        <f>'GPT-5 Generation'!A13</f>
        <v>Transition</v>
      </c>
      <c r="B13" s="4" t="str">
        <f>'GPT-5 Generation'!B13</f>
        <v>after stopDuration (AtStation ⇒ StopNotRequired)</v>
      </c>
      <c r="C13" s="4">
        <f>'GPT-5 Generation'!C13</f>
        <v>1</v>
      </c>
      <c r="D13" s="4">
        <f>'Claude Sonnet 4.5 Gen'!C13</f>
        <v>0.5</v>
      </c>
      <c r="E13" s="32"/>
      <c r="F13" s="49" t="s">
        <v>19</v>
      </c>
      <c r="G13" s="9">
        <f>SUM(G10:G12)</f>
        <v>11</v>
      </c>
      <c r="H13" s="9">
        <f>SUM(H10:H12)</f>
        <v>1</v>
      </c>
      <c r="I13" s="9">
        <f>SUM(I10:I12)</f>
        <v>6</v>
      </c>
      <c r="J13" s="9">
        <f>SUM(G10:I12)</f>
        <v>18</v>
      </c>
    </row>
    <row r="14" spans="1:24" ht="15.75" customHeight="1" x14ac:dyDescent="0.15">
      <c r="A14" s="4" t="str">
        <f>'GPT-5 Generation'!A14</f>
        <v>Guard</v>
      </c>
      <c r="B14" s="4" t="str">
        <f>'GPT-5 Generation'!B14</f>
        <v>[!isLastStop()]</v>
      </c>
      <c r="C14" s="4">
        <f>'GPT-5 Generation'!C14</f>
        <v>1</v>
      </c>
      <c r="D14" s="4">
        <f>'Claude Sonnet 4.5 Gen'!C14</f>
        <v>1</v>
      </c>
      <c r="E14" s="32"/>
    </row>
    <row r="15" spans="1:24" ht="15.75" customHeight="1" x14ac:dyDescent="0.15">
      <c r="A15" s="4" t="str">
        <f>'GPT-5 Generation'!A15</f>
        <v>Transition</v>
      </c>
      <c r="B15" s="4" t="str">
        <f>'GPT-5 Generation'!B15</f>
        <v>after stopDuration (AtStation ⇒ Arrived)</v>
      </c>
      <c r="C15" s="4">
        <f>'GPT-5 Generation'!C15</f>
        <v>0.5</v>
      </c>
      <c r="D15" s="4">
        <f>'Claude Sonnet 4.5 Gen'!C15</f>
        <v>0.5</v>
      </c>
      <c r="E15" s="32"/>
      <c r="F15" s="68" t="s">
        <v>22</v>
      </c>
      <c r="G15" s="69"/>
      <c r="H15" s="69"/>
      <c r="I15" s="69"/>
    </row>
    <row r="16" spans="1:24" ht="15.75" customHeight="1" x14ac:dyDescent="0.15">
      <c r="A16" s="4" t="str">
        <f>'GPT-5 Generation'!A16</f>
        <v>Guard</v>
      </c>
      <c r="B16" s="4" t="str">
        <f>'GPT-5 Generation'!B16</f>
        <v>[isLastStop()]</v>
      </c>
      <c r="C16" s="4">
        <f>'GPT-5 Generation'!C16</f>
        <v>1</v>
      </c>
      <c r="D16" s="4">
        <f>'Claude Sonnet 4.5 Gen'!C16</f>
        <v>1</v>
      </c>
      <c r="E16" s="32"/>
      <c r="F16" s="9" t="s">
        <v>23</v>
      </c>
      <c r="G16" s="51" t="s">
        <v>7</v>
      </c>
      <c r="H16" s="51" t="s">
        <v>8</v>
      </c>
      <c r="I16" s="51" t="s">
        <v>9</v>
      </c>
      <c r="J16" s="52" t="s">
        <v>10</v>
      </c>
      <c r="K16" s="9"/>
      <c r="L16" s="9" t="s">
        <v>6</v>
      </c>
      <c r="M16" s="51" t="s">
        <v>7</v>
      </c>
      <c r="N16" s="51" t="s">
        <v>8</v>
      </c>
      <c r="O16" s="51" t="s">
        <v>9</v>
      </c>
      <c r="P16" s="9"/>
      <c r="Q16" s="9" t="s">
        <v>6</v>
      </c>
      <c r="R16" s="51" t="s">
        <v>7</v>
      </c>
      <c r="S16" s="51" t="s">
        <v>8</v>
      </c>
      <c r="T16" s="51" t="s">
        <v>9</v>
      </c>
      <c r="V16" s="38" t="str">
        <f>"Metrics" &amp; " " &amp; F16</f>
        <v>Metrics Transition</v>
      </c>
      <c r="W16" s="38" t="s">
        <v>11</v>
      </c>
      <c r="X16" s="38" t="s">
        <v>12</v>
      </c>
    </row>
    <row r="17" spans="1:24" ht="15.75" customHeight="1" x14ac:dyDescent="0.15">
      <c r="A17" s="4" t="str">
        <f>'GPT-5 Generation'!A17</f>
        <v>Action</v>
      </c>
      <c r="B17" s="4" t="str">
        <f>'GPT-5 Generation'!B17</f>
        <v>pOff;</v>
      </c>
      <c r="C17" s="4">
        <f>'GPT-5 Generation'!C17</f>
        <v>1</v>
      </c>
      <c r="D17" s="4">
        <f>'Claude Sonnet 4.5 Gen'!C17</f>
        <v>1</v>
      </c>
      <c r="E17" s="32"/>
      <c r="F17" s="39">
        <v>0</v>
      </c>
      <c r="G17" s="40">
        <f>COUNTIFS($A$2:$A$115,$F$16,$C$2:$C$115,$F17,$D$2:$D$115,G$16)</f>
        <v>1</v>
      </c>
      <c r="H17" s="41">
        <f>COUNTIFS($A$2:$A$115,$F$16,$C$2:$C$115,$F17,$D$2:$D$115,H$16)</f>
        <v>0</v>
      </c>
      <c r="I17" s="42">
        <f>COUNTIFS($A$2:$A$71,$F$16,$C$2:$C$71,$F17,$D$2:$D$71,I$16) + MAX(D73-C73,0)</f>
        <v>0</v>
      </c>
      <c r="J17" s="9">
        <f>SUM(G17:I17)</f>
        <v>1</v>
      </c>
      <c r="K17" s="9"/>
      <c r="L17" s="39">
        <v>0</v>
      </c>
      <c r="M17" s="40">
        <f>ABS(G$2-$F17)/1</f>
        <v>0</v>
      </c>
      <c r="N17" s="41">
        <f>ABS(H$2-$F17)/1</f>
        <v>0.5</v>
      </c>
      <c r="O17" s="42">
        <f>ABS(I$2-$F17)/1</f>
        <v>1</v>
      </c>
      <c r="P17" s="9"/>
      <c r="Q17" s="39">
        <v>0</v>
      </c>
      <c r="R17" s="40">
        <f t="shared" ref="R17:T19" si="2">($J17/$J$20) * (G$20/$J$20)</f>
        <v>1.8140589569160995E-2</v>
      </c>
      <c r="S17" s="41">
        <f t="shared" si="2"/>
        <v>1.3605442176870746E-2</v>
      </c>
      <c r="T17" s="42">
        <f t="shared" si="2"/>
        <v>1.5873015873015872E-2</v>
      </c>
      <c r="U17" s="9"/>
      <c r="V17" s="43" t="s">
        <v>13</v>
      </c>
      <c r="W17" s="40">
        <f>SUMPRODUCT(G17:I19, M17:O19) /$J$20</f>
        <v>0.42857142857142855</v>
      </c>
      <c r="X17" s="42" t="s">
        <v>14</v>
      </c>
    </row>
    <row r="18" spans="1:24" ht="15.75" customHeight="1" x14ac:dyDescent="0.15">
      <c r="A18" s="4" t="str">
        <f>'GPT-5 Generation'!A18</f>
        <v>State</v>
      </c>
      <c r="B18" s="4" t="str">
        <f>'GPT-5 Generation'!B18</f>
        <v>StopNotRequired</v>
      </c>
      <c r="C18" s="4">
        <f>'GPT-5 Generation'!C18</f>
        <v>1</v>
      </c>
      <c r="D18" s="4">
        <f>'Claude Sonnet 4.5 Gen'!C18</f>
        <v>0</v>
      </c>
      <c r="E18" s="32"/>
      <c r="F18" s="39">
        <v>0.5</v>
      </c>
      <c r="G18" s="44">
        <f>COUNTIFS($A$2:$A$115,$F$16,$C$2:$C$115,$F18,$D$2:$D$115,G$16)</f>
        <v>1</v>
      </c>
      <c r="H18" s="9">
        <f>COUNTIFS($A$2:$A$115,$F$16,$C$2:$C$115,$F18,$D$2:$D$115,H$16)</f>
        <v>1</v>
      </c>
      <c r="I18" s="45">
        <f>COUNTIFS($A$2:$A$115,$F$16,$C$2:$C$115,$F18,$D$2:$D$115,I$16)</f>
        <v>0</v>
      </c>
      <c r="J18" s="9">
        <f>SUM(G18:I18)</f>
        <v>2</v>
      </c>
      <c r="K18" s="9"/>
      <c r="L18" s="39">
        <v>0.5</v>
      </c>
      <c r="M18" s="44">
        <f>ABS(G$2-$F18)/1</f>
        <v>0.5</v>
      </c>
      <c r="N18" s="9">
        <f>ABS(H$2-$F18)/3</f>
        <v>0</v>
      </c>
      <c r="O18" s="45">
        <f>ABS(I$2-$F18)/1</f>
        <v>0.5</v>
      </c>
      <c r="P18" s="9"/>
      <c r="Q18" s="39">
        <v>0.5</v>
      </c>
      <c r="R18" s="44">
        <f t="shared" si="2"/>
        <v>3.6281179138321989E-2</v>
      </c>
      <c r="S18" s="9">
        <f t="shared" si="2"/>
        <v>2.7210884353741492E-2</v>
      </c>
      <c r="T18" s="45">
        <f t="shared" si="2"/>
        <v>3.1746031746031744E-2</v>
      </c>
      <c r="U18" s="9"/>
      <c r="V18" s="43" t="s">
        <v>15</v>
      </c>
      <c r="W18" s="44">
        <f>SUMPRODUCT(R17:T19, M17:O19)</f>
        <v>0.50566893424036274</v>
      </c>
      <c r="X18" s="45" t="s">
        <v>16</v>
      </c>
    </row>
    <row r="19" spans="1:24" ht="15.75" customHeight="1" x14ac:dyDescent="0.15">
      <c r="A19" s="4" t="str">
        <f>'GPT-5 Generation'!A19</f>
        <v>Action</v>
      </c>
      <c r="B19" s="4" t="str">
        <f>'GPT-5 Generation'!B19</f>
        <v>entry / setSpeed()</v>
      </c>
      <c r="C19" s="4">
        <f>'GPT-5 Generation'!C19</f>
        <v>1</v>
      </c>
      <c r="D19" s="4">
        <f>'Claude Sonnet 4.5 Gen'!C19</f>
        <v>0.5</v>
      </c>
      <c r="E19" s="32"/>
      <c r="F19" s="39">
        <v>1</v>
      </c>
      <c r="G19" s="46">
        <f>COUNTIFS($A$2:$A$71,$F$16,$C$2:$C$71,$F19,$D$2:$D$71,G$16)+MAX(C73-D73,0)</f>
        <v>6</v>
      </c>
      <c r="H19" s="47">
        <f>COUNTIFS($A$2:$A$115,$F$16,$C$2:$C$115,$F19,$D$2:$D$115,H$16)</f>
        <v>5</v>
      </c>
      <c r="I19" s="48">
        <f>COUNTIFS($A$2:$A$71,$F$16,$C$2:$C$71,$F19,$D$2:$D$71,I$16) + MIN(C73,D73)</f>
        <v>7</v>
      </c>
      <c r="J19" s="9">
        <f>SUM(G19:I19)</f>
        <v>18</v>
      </c>
      <c r="K19" s="9"/>
      <c r="L19" s="39">
        <v>1</v>
      </c>
      <c r="M19" s="46">
        <f>ABS(G$2-$F19)/1</f>
        <v>1</v>
      </c>
      <c r="N19" s="47">
        <f>ABS(H$2-$F19)/1</f>
        <v>0.5</v>
      </c>
      <c r="O19" s="48">
        <f>ABS(I$2-$F19)/1</f>
        <v>0</v>
      </c>
      <c r="P19" s="9"/>
      <c r="Q19" s="39">
        <v>1</v>
      </c>
      <c r="R19" s="46">
        <f t="shared" si="2"/>
        <v>0.32653061224489793</v>
      </c>
      <c r="S19" s="47">
        <f t="shared" si="2"/>
        <v>0.24489795918367344</v>
      </c>
      <c r="T19" s="48">
        <f t="shared" si="2"/>
        <v>0.2857142857142857</v>
      </c>
      <c r="U19" s="9"/>
      <c r="V19" s="43" t="s">
        <v>17</v>
      </c>
      <c r="W19" s="46">
        <f>1-W17/W18</f>
        <v>0.15246636771300437</v>
      </c>
      <c r="X19" s="48" t="s">
        <v>18</v>
      </c>
    </row>
    <row r="20" spans="1:24" ht="15.75" customHeight="1" x14ac:dyDescent="0.15">
      <c r="A20" s="4" t="str">
        <f>'GPT-5 Generation'!A20</f>
        <v>Transition</v>
      </c>
      <c r="B20" s="4" t="str">
        <f>'GPT-5 Generation'!B20</f>
        <v>enteringSegment (StopNotRequired ⇒ StopNotRequired)</v>
      </c>
      <c r="C20" s="4">
        <f>'GPT-5 Generation'!C20</f>
        <v>1</v>
      </c>
      <c r="D20" s="4">
        <f>'Claude Sonnet 4.5 Gen'!C20</f>
        <v>0.5</v>
      </c>
      <c r="E20" s="32"/>
      <c r="F20" s="49" t="s">
        <v>19</v>
      </c>
      <c r="G20" s="9">
        <f>SUM(G17:G19)</f>
        <v>8</v>
      </c>
      <c r="H20" s="9">
        <f>SUM(H17:H19)</f>
        <v>6</v>
      </c>
      <c r="I20" s="9">
        <f>SUM(I17:I19)</f>
        <v>7</v>
      </c>
      <c r="J20" s="9">
        <f>SUM(G17:I19)</f>
        <v>21</v>
      </c>
    </row>
    <row r="21" spans="1:24" ht="15.75" customHeight="1" x14ac:dyDescent="0.15">
      <c r="A21" s="4" t="str">
        <f>'GPT-5 Generation'!A21</f>
        <v>Guard</v>
      </c>
      <c r="B21" s="4" t="str">
        <f>'GPT-5 Generation'!B21</f>
        <v>[isRegularSegment()]</v>
      </c>
      <c r="C21" s="4">
        <f>'GPT-5 Generation'!C21</f>
        <v>1</v>
      </c>
      <c r="D21" s="4">
        <f>'Claude Sonnet 4.5 Gen'!C21</f>
        <v>1</v>
      </c>
      <c r="E21" s="32"/>
    </row>
    <row r="22" spans="1:24" ht="15.75" customHeight="1" x14ac:dyDescent="0.15">
      <c r="A22" s="4" t="str">
        <f>'GPT-5 Generation'!A22</f>
        <v>Transition</v>
      </c>
      <c r="B22" s="4" t="str">
        <f>'GPT-5 Generation'!B22</f>
        <v>enteringSegment (StopNotRequired ⇒ ApproachingRedLight)</v>
      </c>
      <c r="C22" s="4">
        <f>'GPT-5 Generation'!C22</f>
        <v>1</v>
      </c>
      <c r="D22" s="4">
        <f>'Claude Sonnet 4.5 Gen'!C22</f>
        <v>0</v>
      </c>
      <c r="E22" s="32"/>
      <c r="F22" s="68" t="s">
        <v>24</v>
      </c>
      <c r="G22" s="69"/>
      <c r="H22" s="69"/>
      <c r="I22" s="69"/>
    </row>
    <row r="23" spans="1:24" ht="15.75" customHeight="1" x14ac:dyDescent="0.15">
      <c r="A23" s="4" t="str">
        <f>'GPT-5 Generation'!A23</f>
        <v>Guard</v>
      </c>
      <c r="B23" s="4" t="str">
        <f>'GPT-5 Generation'!B23</f>
        <v>[isTrafficLightSegment() &amp;&amp; isRed()]</v>
      </c>
      <c r="C23" s="4">
        <f>'GPT-5 Generation'!C23</f>
        <v>1</v>
      </c>
      <c r="D23" s="4">
        <f>'Claude Sonnet 4.5 Gen'!C23</f>
        <v>1</v>
      </c>
      <c r="E23" s="32"/>
      <c r="F23" s="9" t="s">
        <v>25</v>
      </c>
      <c r="G23" s="51" t="s">
        <v>7</v>
      </c>
      <c r="H23" s="51" t="s">
        <v>8</v>
      </c>
      <c r="I23" s="51" t="s">
        <v>9</v>
      </c>
      <c r="J23" s="52" t="s">
        <v>10</v>
      </c>
      <c r="K23" s="9"/>
      <c r="L23" s="9" t="s">
        <v>6</v>
      </c>
      <c r="M23" s="51" t="s">
        <v>7</v>
      </c>
      <c r="N23" s="51" t="s">
        <v>8</v>
      </c>
      <c r="O23" s="51" t="s">
        <v>9</v>
      </c>
      <c r="P23" s="9"/>
      <c r="Q23" s="9" t="s">
        <v>6</v>
      </c>
      <c r="R23" s="51" t="s">
        <v>7</v>
      </c>
      <c r="S23" s="51" t="s">
        <v>8</v>
      </c>
      <c r="T23" s="51" t="s">
        <v>9</v>
      </c>
      <c r="V23" s="38" t="str">
        <f>"Metrics" &amp; " " &amp; F23</f>
        <v>Metrics Composite State</v>
      </c>
      <c r="W23" s="38" t="s">
        <v>11</v>
      </c>
      <c r="X23" s="38" t="s">
        <v>12</v>
      </c>
    </row>
    <row r="24" spans="1:24" ht="15.75" customHeight="1" x14ac:dyDescent="0.15">
      <c r="A24" s="4" t="str">
        <f>'GPT-5 Generation'!A24</f>
        <v>Transition</v>
      </c>
      <c r="B24" s="4" t="str">
        <f>'GPT-5 Generation'!B24</f>
        <v>enteringSegment (StopNotRequired ⇒ StopNotRequired)</v>
      </c>
      <c r="C24" s="4">
        <f>'GPT-5 Generation'!C24</f>
        <v>1</v>
      </c>
      <c r="D24" s="4">
        <f>'Claude Sonnet 4.5 Gen'!C24</f>
        <v>1</v>
      </c>
      <c r="E24" s="32"/>
      <c r="F24" s="39">
        <v>0</v>
      </c>
      <c r="G24" s="40">
        <f>COUNTIFS($A$2:$A$115,$F$23,$C$2:$C$115,$F24,$D$2:$D$115,G$23)</f>
        <v>1</v>
      </c>
      <c r="H24" s="41">
        <f>COUNTIFS($A$2:$A$115,$F$23,$C$2:$C$115,$F24,$D$2:$D$115,H$23)</f>
        <v>0</v>
      </c>
      <c r="I24" s="42">
        <f>COUNTIFS($A$2:$A$71,$F$23,$C$2:$C$71,$F24,$D$2:$D$71,I$23) + MAX(D76-C76,0)</f>
        <v>0</v>
      </c>
      <c r="J24" s="9">
        <f>SUM(G24:I24)</f>
        <v>1</v>
      </c>
      <c r="K24" s="9"/>
      <c r="L24" s="39">
        <v>0</v>
      </c>
      <c r="M24" s="40">
        <f>ABS(G$2-$F24)/1</f>
        <v>0</v>
      </c>
      <c r="N24" s="41">
        <f>ABS(H$2-$F24)/1</f>
        <v>0.5</v>
      </c>
      <c r="O24" s="42">
        <f>ABS(I$2-$F24)/1</f>
        <v>1</v>
      </c>
      <c r="P24" s="9"/>
      <c r="Q24" s="39">
        <v>0</v>
      </c>
      <c r="R24" s="40">
        <f t="shared" ref="R24:T26" si="3">($J24/$J$27) * (G$27/$J$27)</f>
        <v>0.1111111111111111</v>
      </c>
      <c r="S24" s="41">
        <f t="shared" si="3"/>
        <v>0</v>
      </c>
      <c r="T24" s="42">
        <f t="shared" si="3"/>
        <v>0.22222222222222221</v>
      </c>
      <c r="U24" s="9"/>
      <c r="V24" s="43" t="s">
        <v>13</v>
      </c>
      <c r="W24" s="40">
        <f>SUMPRODUCT(G24:I26, M24:O26) /$J$27</f>
        <v>0</v>
      </c>
      <c r="X24" s="42" t="s">
        <v>14</v>
      </c>
    </row>
    <row r="25" spans="1:24" ht="15.75" customHeight="1" x14ac:dyDescent="0.15">
      <c r="A25" s="4" t="str">
        <f>'GPT-5 Generation'!A25</f>
        <v>Guard</v>
      </c>
      <c r="B25" s="4" t="str">
        <f>'GPT-5 Generation'!B25</f>
        <v>[isTrafficLightSegment() &amp;&amp; !isRed()]</v>
      </c>
      <c r="C25" s="4">
        <f>'GPT-5 Generation'!C25</f>
        <v>1</v>
      </c>
      <c r="D25" s="4">
        <f>'Claude Sonnet 4.5 Gen'!C25</f>
        <v>1</v>
      </c>
      <c r="E25" s="32"/>
      <c r="F25" s="39">
        <v>0.5</v>
      </c>
      <c r="G25" s="44">
        <f>COUNTIFS($A$2:$A$115,$F$23,$C$2:$C$115,$F25,$D$2:$D$115,G$23)</f>
        <v>0</v>
      </c>
      <c r="H25" s="9">
        <f>COUNTIFS($A$2:$A$115,$F$23,$C$2:$C$115,$F25,$D$2:$D$115,H$23)</f>
        <v>0</v>
      </c>
      <c r="I25" s="45">
        <f>COUNTIFS($A$2:$A$115,$F$23,$C$2:$C$115,$F25,$D$2:$D$115,I$23)</f>
        <v>0</v>
      </c>
      <c r="J25" s="9">
        <f>SUM(G25:I25)</f>
        <v>0</v>
      </c>
      <c r="K25" s="9"/>
      <c r="L25" s="39">
        <v>0.5</v>
      </c>
      <c r="M25" s="44">
        <f>ABS(G$2-$F25)/1</f>
        <v>0.5</v>
      </c>
      <c r="N25" s="9">
        <f>ABS(H$2-$F25)/3</f>
        <v>0</v>
      </c>
      <c r="O25" s="45">
        <f>ABS(I$2-$F25)/1</f>
        <v>0.5</v>
      </c>
      <c r="P25" s="9"/>
      <c r="Q25" s="39">
        <v>0.5</v>
      </c>
      <c r="R25" s="44">
        <f t="shared" si="3"/>
        <v>0</v>
      </c>
      <c r="S25" s="9">
        <f t="shared" si="3"/>
        <v>0</v>
      </c>
      <c r="T25" s="45">
        <f t="shared" si="3"/>
        <v>0</v>
      </c>
      <c r="U25" s="9"/>
      <c r="V25" s="43" t="s">
        <v>15</v>
      </c>
      <c r="W25" s="44">
        <f>SUMPRODUCT(R24:T26, M24:O26)</f>
        <v>0.44444444444444442</v>
      </c>
      <c r="X25" s="45" t="s">
        <v>16</v>
      </c>
    </row>
    <row r="26" spans="1:24" ht="15.75" customHeight="1" x14ac:dyDescent="0.15">
      <c r="A26" s="4" t="str">
        <f>'GPT-5 Generation'!A26</f>
        <v>Transition</v>
      </c>
      <c r="B26" s="4" t="str">
        <f>'GPT-5 Generation'!B26</f>
        <v>enteringSegment (StopNotRequired ⇒ ApproachingStation)</v>
      </c>
      <c r="C26" s="4">
        <f>'GPT-5 Generation'!C26</f>
        <v>1</v>
      </c>
      <c r="D26" s="4">
        <f>'Claude Sonnet 4.5 Gen'!C26</f>
        <v>0</v>
      </c>
      <c r="E26" s="32"/>
      <c r="F26" s="39">
        <v>1</v>
      </c>
      <c r="G26" s="46">
        <f>COUNTIFS($A$2:$A$71,$F$23,$C$2:$C$71,$F26,$D$2:$D$71,G$23) + MAX(C76-D76,0)</f>
        <v>0</v>
      </c>
      <c r="H26" s="47">
        <f>COUNTIFS($A$2:$A$115,$F$23,$C$2:$C$115,$F26,$D$2:$D$115,H$23)</f>
        <v>0</v>
      </c>
      <c r="I26" s="48">
        <f>COUNTIFS($A$2:$A$71,$F$23,$C$2:$C$71,$F26,$D$2:$D$71,I$23) + MIN(C76,D76)</f>
        <v>2</v>
      </c>
      <c r="J26" s="9">
        <f>SUM(G26:I26)</f>
        <v>2</v>
      </c>
      <c r="K26" s="9"/>
      <c r="L26" s="39">
        <v>1</v>
      </c>
      <c r="M26" s="46">
        <f>ABS(G$2-$F26)/1</f>
        <v>1</v>
      </c>
      <c r="N26" s="47">
        <f>ABS(H$2-$F26)/1</f>
        <v>0.5</v>
      </c>
      <c r="O26" s="48">
        <f>ABS(I$2-$F26)/1</f>
        <v>0</v>
      </c>
      <c r="P26" s="9"/>
      <c r="Q26" s="39">
        <v>1</v>
      </c>
      <c r="R26" s="46">
        <f t="shared" si="3"/>
        <v>0.22222222222222221</v>
      </c>
      <c r="S26" s="47">
        <f t="shared" si="3"/>
        <v>0</v>
      </c>
      <c r="T26" s="48">
        <f t="shared" si="3"/>
        <v>0.44444444444444442</v>
      </c>
      <c r="U26" s="9"/>
      <c r="V26" s="43" t="s">
        <v>17</v>
      </c>
      <c r="W26" s="46">
        <f>1-W24/W25</f>
        <v>1</v>
      </c>
      <c r="X26" s="48" t="s">
        <v>18</v>
      </c>
    </row>
    <row r="27" spans="1:24" ht="15.75" customHeight="1" x14ac:dyDescent="0.15">
      <c r="A27" s="4" t="str">
        <f>'GPT-5 Generation'!A27</f>
        <v>Guard</v>
      </c>
      <c r="B27" s="4" t="str">
        <f>'GPT-5 Generation'!B27</f>
        <v>[isStationSegment() &amp;&amp; stopRequired()]</v>
      </c>
      <c r="C27" s="4">
        <f>'GPT-5 Generation'!C27</f>
        <v>1</v>
      </c>
      <c r="D27" s="4">
        <f>'Claude Sonnet 4.5 Gen'!C27</f>
        <v>1</v>
      </c>
      <c r="E27" s="32"/>
      <c r="F27" s="49" t="s">
        <v>19</v>
      </c>
      <c r="G27" s="9">
        <f>SUM(G24:G26)</f>
        <v>1</v>
      </c>
      <c r="H27" s="9">
        <f>SUM(H24:H26)</f>
        <v>0</v>
      </c>
      <c r="I27" s="9">
        <f>SUM(I24:I26)</f>
        <v>2</v>
      </c>
      <c r="J27" s="9">
        <f>SUM(G24:I26)</f>
        <v>3</v>
      </c>
    </row>
    <row r="28" spans="1:24" ht="15.75" customHeight="1" x14ac:dyDescent="0.15">
      <c r="A28" s="4" t="str">
        <f>'GPT-5 Generation'!A28</f>
        <v>State</v>
      </c>
      <c r="B28" s="4" t="str">
        <f>'GPT-5 Generation'!B28</f>
        <v>ApproachingRedLight</v>
      </c>
      <c r="C28" s="4">
        <f>'GPT-5 Generation'!C28</f>
        <v>1</v>
      </c>
      <c r="D28" s="4">
        <f>'Claude Sonnet 4.5 Gen'!C28</f>
        <v>0</v>
      </c>
      <c r="E28" s="32"/>
    </row>
    <row r="29" spans="1:24" ht="15.75" customHeight="1" x14ac:dyDescent="0.15">
      <c r="A29" s="4" t="str">
        <f>'GPT-5 Generation'!A29</f>
        <v>Action</v>
      </c>
      <c r="B29" s="4" t="str">
        <f>'GPT-5 Generation'!B29</f>
        <v>entry / stopAL</v>
      </c>
      <c r="C29" s="4">
        <f>'GPT-5 Generation'!C29</f>
        <v>1</v>
      </c>
      <c r="D29" s="4">
        <f>'Claude Sonnet 4.5 Gen'!C29</f>
        <v>1</v>
      </c>
      <c r="E29" s="32"/>
      <c r="F29" s="68" t="s">
        <v>26</v>
      </c>
      <c r="G29" s="69"/>
      <c r="H29" s="69"/>
      <c r="I29" s="69"/>
    </row>
    <row r="30" spans="1:24" ht="15.75" customHeight="1" x14ac:dyDescent="0.15">
      <c r="A30" s="4" t="str">
        <f>'GPT-5 Generation'!A30</f>
        <v>Transition</v>
      </c>
      <c r="B30" s="4" t="str">
        <f>'GPT-5 Generation'!B30</f>
        <v>stopped (ApproachingRedLight ⇒ AtRedTrafficLight)</v>
      </c>
      <c r="C30" s="4">
        <f>'GPT-5 Generation'!C30</f>
        <v>1</v>
      </c>
      <c r="D30" s="4">
        <f>'Claude Sonnet 4.5 Gen'!C30</f>
        <v>0</v>
      </c>
      <c r="E30" s="32"/>
      <c r="F30" s="9" t="s">
        <v>27</v>
      </c>
      <c r="G30" s="51" t="s">
        <v>7</v>
      </c>
      <c r="H30" s="51" t="s">
        <v>8</v>
      </c>
      <c r="I30" s="51" t="s">
        <v>9</v>
      </c>
      <c r="J30" s="52" t="s">
        <v>10</v>
      </c>
      <c r="K30" s="9"/>
      <c r="L30" s="9" t="s">
        <v>6</v>
      </c>
      <c r="M30" s="51">
        <v>0</v>
      </c>
      <c r="N30" s="51" t="s">
        <v>8</v>
      </c>
      <c r="O30" s="51" t="s">
        <v>9</v>
      </c>
      <c r="P30" s="9"/>
      <c r="Q30" s="9" t="s">
        <v>6</v>
      </c>
      <c r="R30" s="51" t="s">
        <v>7</v>
      </c>
      <c r="S30" s="51" t="s">
        <v>8</v>
      </c>
      <c r="T30" s="51" t="s">
        <v>9</v>
      </c>
      <c r="V30" s="38" t="str">
        <f>"Metrics" &amp; " " &amp; F30</f>
        <v>Metrics Guard</v>
      </c>
      <c r="W30" s="38" t="s">
        <v>11</v>
      </c>
      <c r="X30" s="38" t="s">
        <v>12</v>
      </c>
    </row>
    <row r="31" spans="1:24" ht="15.75" customHeight="1" x14ac:dyDescent="0.15">
      <c r="A31" s="4" t="str">
        <f>'GPT-5 Generation'!A31</f>
        <v>State</v>
      </c>
      <c r="B31" s="4" t="str">
        <f>'GPT-5 Generation'!B31</f>
        <v>AtRedTrafficLight</v>
      </c>
      <c r="C31" s="4">
        <f>'GPT-5 Generation'!C31</f>
        <v>1</v>
      </c>
      <c r="D31" s="4">
        <f>'Claude Sonnet 4.5 Gen'!C31</f>
        <v>1</v>
      </c>
      <c r="E31" s="32"/>
      <c r="F31" s="39">
        <v>0</v>
      </c>
      <c r="G31" s="40">
        <f>COUNTIFS($A$2:$A$115,$F$30,$C$2:$C$115,$F31,$D$2:$D$115,G$30)</f>
        <v>1</v>
      </c>
      <c r="H31" s="41">
        <f>COUNTIFS($A$2:$A$115,$F$30,$C$2:$C$115,$F31,$D$2:$D$115,H$30)</f>
        <v>0</v>
      </c>
      <c r="I31" s="42">
        <f>COUNTIFS($A$2:$A$71,$F$30,$C$2:$C$71,$F31,$D$2:$D$71,I$30) + MAX(D74-C74,0)</f>
        <v>0</v>
      </c>
      <c r="J31" s="9">
        <f>SUM(G31:I31)</f>
        <v>1</v>
      </c>
      <c r="K31" s="9"/>
      <c r="L31" s="39">
        <v>0</v>
      </c>
      <c r="M31" s="40">
        <f>ABS(G$2-$F31)/1</f>
        <v>0</v>
      </c>
      <c r="N31" s="41">
        <f>ABS(H$2-$F31)/1</f>
        <v>0.5</v>
      </c>
      <c r="O31" s="42">
        <f>ABS(I$2-$F31)/1</f>
        <v>1</v>
      </c>
      <c r="P31" s="9"/>
      <c r="Q31" s="39">
        <v>0</v>
      </c>
      <c r="R31" s="40">
        <f t="shared" ref="R31:T33" si="4">($J31/$J$34) * (G$34/$J$34)</f>
        <v>2.222222222222222E-2</v>
      </c>
      <c r="S31" s="41">
        <f t="shared" si="4"/>
        <v>1.7777777777777778E-2</v>
      </c>
      <c r="T31" s="42">
        <f t="shared" si="4"/>
        <v>2.6666666666666668E-2</v>
      </c>
      <c r="U31" s="9"/>
      <c r="V31" s="43" t="s">
        <v>13</v>
      </c>
      <c r="W31" s="40">
        <f>SUMPRODUCT(G31:I33, M31:O33) /$J$34</f>
        <v>0.4</v>
      </c>
      <c r="X31" s="42" t="s">
        <v>14</v>
      </c>
    </row>
    <row r="32" spans="1:24" ht="15.75" customHeight="1" x14ac:dyDescent="0.15">
      <c r="A32" s="4" t="str">
        <f>'GPT-5 Generation'!A32</f>
        <v>Transition</v>
      </c>
      <c r="B32" s="4" t="str">
        <f>'GPT-5 Generation'!B32</f>
        <v>green (AtRedTrafficLight ⇒ StopNotRequired)</v>
      </c>
      <c r="C32" s="4">
        <f>'GPT-5 Generation'!C32</f>
        <v>1</v>
      </c>
      <c r="D32" s="4">
        <f>'Claude Sonnet 4.5 Gen'!C32</f>
        <v>0.5</v>
      </c>
      <c r="E32" s="32"/>
      <c r="F32" s="39">
        <v>0.5</v>
      </c>
      <c r="G32" s="44">
        <f>COUNTIFS($A$2:$A$115,$F$30,$C$2:$C$115,$F32,$D$2:$D$115,G$30)</f>
        <v>0</v>
      </c>
      <c r="H32" s="9">
        <f>COUNTIFS($A$2:$A$115,$F$30,$C$2:$C$115,$F32,$D$2:$D$115,H$30)</f>
        <v>0</v>
      </c>
      <c r="I32" s="45">
        <f>COUNTIFS($A$2:$A$115,$F$30,$C$2:$C$115,$F32,$D$2:$D$115,I$30)</f>
        <v>0</v>
      </c>
      <c r="J32" s="9">
        <f>SUM(G32:I32)</f>
        <v>0</v>
      </c>
      <c r="K32" s="9"/>
      <c r="L32" s="39">
        <v>0.5</v>
      </c>
      <c r="M32" s="44">
        <f>ABS(G$2-$F32)/1</f>
        <v>0.5</v>
      </c>
      <c r="N32" s="9">
        <f>ABS(H$2-$F32)/3</f>
        <v>0</v>
      </c>
      <c r="O32" s="45">
        <f>ABS(I$2-$F32)/1</f>
        <v>0.5</v>
      </c>
      <c r="P32" s="9"/>
      <c r="Q32" s="39">
        <v>0.5</v>
      </c>
      <c r="R32" s="44">
        <f t="shared" si="4"/>
        <v>0</v>
      </c>
      <c r="S32" s="9">
        <f t="shared" si="4"/>
        <v>0</v>
      </c>
      <c r="T32" s="45">
        <f t="shared" si="4"/>
        <v>0</v>
      </c>
      <c r="U32" s="9"/>
      <c r="V32" s="43" t="s">
        <v>15</v>
      </c>
      <c r="W32" s="44">
        <f>SUMPRODUCT(R31:T33, M31:O33)</f>
        <v>0.47111111111111115</v>
      </c>
      <c r="X32" s="45" t="s">
        <v>16</v>
      </c>
    </row>
    <row r="33" spans="1:24" ht="15.75" customHeight="1" x14ac:dyDescent="0.15">
      <c r="A33" s="4" t="str">
        <f>'GPT-5 Generation'!A33</f>
        <v>State</v>
      </c>
      <c r="B33" s="4" t="str">
        <f>'GPT-5 Generation'!B33</f>
        <v>ApproachingStation</v>
      </c>
      <c r="C33" s="4">
        <f>'GPT-5 Generation'!C33</f>
        <v>1</v>
      </c>
      <c r="D33" s="4">
        <f>'Claude Sonnet 4.5 Gen'!C33</f>
        <v>0</v>
      </c>
      <c r="E33" s="32"/>
      <c r="F33" s="39">
        <v>1</v>
      </c>
      <c r="G33" s="46">
        <f>COUNTIFS($A$2:$A$71,$F$30,$C$2:$C$71,$F33,$D$2:$D$71,G$30) + MAX(C74-D74,0)</f>
        <v>4</v>
      </c>
      <c r="H33" s="47">
        <f>COUNTIFS($A$2:$A$115,$F$30,$C$2:$C$115,$F33,$D$2:$D$115,H$30)</f>
        <v>4</v>
      </c>
      <c r="I33" s="48">
        <f>COUNTIFS($A$2:$A$71,$F$30,$C$2:$C$71,$F33,$D$2:$D$71,I$30) + MIN(C74,D74)</f>
        <v>6</v>
      </c>
      <c r="J33" s="9">
        <f>SUM(G33:I33)</f>
        <v>14</v>
      </c>
      <c r="K33" s="9"/>
      <c r="L33" s="39">
        <v>1</v>
      </c>
      <c r="M33" s="46">
        <f>ABS(G$2-$F33)/1</f>
        <v>1</v>
      </c>
      <c r="N33" s="47">
        <f>ABS(H$2-$F33)/1</f>
        <v>0.5</v>
      </c>
      <c r="O33" s="48">
        <f>ABS(I$2-$F33)/1</f>
        <v>0</v>
      </c>
      <c r="P33" s="9"/>
      <c r="Q33" s="39">
        <v>1</v>
      </c>
      <c r="R33" s="46">
        <f t="shared" si="4"/>
        <v>0.31111111111111112</v>
      </c>
      <c r="S33" s="47">
        <f t="shared" si="4"/>
        <v>0.24888888888888888</v>
      </c>
      <c r="T33" s="48">
        <f t="shared" si="4"/>
        <v>0.37333333333333335</v>
      </c>
      <c r="U33" s="9"/>
      <c r="V33" s="43" t="s">
        <v>17</v>
      </c>
      <c r="W33" s="46">
        <f>1-W31/W32</f>
        <v>0.15094339622641506</v>
      </c>
      <c r="X33" s="48" t="s">
        <v>18</v>
      </c>
    </row>
    <row r="34" spans="1:24" ht="15.75" customHeight="1" x14ac:dyDescent="0.15">
      <c r="A34" s="4" t="str">
        <f>'GPT-5 Generation'!A34</f>
        <v>Action</v>
      </c>
      <c r="B34" s="4" t="str">
        <f>'GPT-5 Generation'!B34</f>
        <v>entry / stopAL</v>
      </c>
      <c r="C34" s="4">
        <f>'GPT-5 Generation'!C34</f>
        <v>1</v>
      </c>
      <c r="D34" s="4">
        <f>'Claude Sonnet 4.5 Gen'!C34</f>
        <v>1</v>
      </c>
      <c r="E34" s="32"/>
      <c r="F34" s="49" t="s">
        <v>19</v>
      </c>
      <c r="G34" s="9">
        <f>SUM(G31:G33)</f>
        <v>5</v>
      </c>
      <c r="H34" s="9">
        <f>SUM(H31:H33)</f>
        <v>4</v>
      </c>
      <c r="I34" s="9">
        <f>SUM(I31:I33)</f>
        <v>6</v>
      </c>
      <c r="J34" s="9">
        <f>SUM(G31:I33)</f>
        <v>15</v>
      </c>
    </row>
    <row r="35" spans="1:24" ht="15.75" customHeight="1" x14ac:dyDescent="0.15">
      <c r="A35" s="4" t="str">
        <f>'GPT-5 Generation'!A35</f>
        <v>Transition</v>
      </c>
      <c r="B35" s="4" t="str">
        <f>'GPT-5 Generation'!B35</f>
        <v>stopped (ApproachingStation ⇒ AtStation)</v>
      </c>
      <c r="C35" s="4">
        <f>'GPT-5 Generation'!C35</f>
        <v>1</v>
      </c>
      <c r="D35" s="4">
        <f>'Claude Sonnet 4.5 Gen'!C35</f>
        <v>0</v>
      </c>
      <c r="E35" s="32"/>
    </row>
    <row r="36" spans="1:24" ht="15.75" customHeight="1" x14ac:dyDescent="0.15">
      <c r="A36" s="4" t="str">
        <f>'GPT-5 Generation'!A36</f>
        <v>History State</v>
      </c>
      <c r="B36" s="4" t="str">
        <f>'GPT-5 Generation'!B36</f>
        <v>History State for TrainMovement</v>
      </c>
      <c r="C36" s="4">
        <f>'GPT-5 Generation'!C36</f>
        <v>1</v>
      </c>
      <c r="D36" s="4">
        <f>'Claude Sonnet 4.5 Gen'!C36</f>
        <v>1</v>
      </c>
      <c r="E36" s="32"/>
      <c r="F36" s="68" t="s">
        <v>28</v>
      </c>
      <c r="G36" s="69"/>
      <c r="H36" s="69"/>
      <c r="I36" s="69"/>
    </row>
    <row r="37" spans="1:24" ht="15.75" customHeight="1" x14ac:dyDescent="0.15">
      <c r="A37" s="4" t="str">
        <f>'GPT-5 Generation'!A37</f>
        <v>State</v>
      </c>
      <c r="B37" s="4" t="str">
        <f>'GPT-5 Generation'!B37</f>
        <v>Emergency</v>
      </c>
      <c r="C37" s="4">
        <f>'GPT-5 Generation'!C37</f>
        <v>1</v>
      </c>
      <c r="D37" s="4">
        <f>'Claude Sonnet 4.5 Gen'!C37</f>
        <v>1</v>
      </c>
      <c r="E37" s="32"/>
      <c r="F37" s="16" t="s">
        <v>29</v>
      </c>
      <c r="G37" s="53" t="s">
        <v>7</v>
      </c>
      <c r="H37" s="53" t="s">
        <v>8</v>
      </c>
      <c r="I37" s="53" t="s">
        <v>9</v>
      </c>
      <c r="J37" s="54" t="s">
        <v>10</v>
      </c>
      <c r="K37" s="9"/>
      <c r="L37" s="9" t="s">
        <v>6</v>
      </c>
      <c r="M37" s="51">
        <v>0</v>
      </c>
      <c r="N37" s="51" t="s">
        <v>8</v>
      </c>
      <c r="O37" s="51" t="s">
        <v>9</v>
      </c>
      <c r="P37" s="9"/>
      <c r="Q37" s="16" t="s">
        <v>6</v>
      </c>
      <c r="R37" s="66" t="s">
        <v>7</v>
      </c>
      <c r="S37" s="66" t="s">
        <v>8</v>
      </c>
      <c r="T37" s="66" t="s">
        <v>9</v>
      </c>
      <c r="U37" s="9"/>
      <c r="V37" s="38" t="str">
        <f>"Metrics" &amp; " " &amp; F37</f>
        <v>Metrics Action</v>
      </c>
      <c r="W37" s="38" t="s">
        <v>11</v>
      </c>
      <c r="X37" s="38" t="s">
        <v>12</v>
      </c>
    </row>
    <row r="38" spans="1:24" ht="15.75" customHeight="1" x14ac:dyDescent="0.15">
      <c r="A38" s="4" t="str">
        <f>'GPT-5 Generation'!A38</f>
        <v>Transition</v>
      </c>
      <c r="B38" s="4" t="str">
        <f>'GPT-5 Generation'!B38</f>
        <v>emergency (TrainMovement ⇒ Emergency)</v>
      </c>
      <c r="C38" s="4">
        <f>'GPT-5 Generation'!C38</f>
        <v>1</v>
      </c>
      <c r="D38" s="4">
        <f>'Claude Sonnet 4.5 Gen'!C38</f>
        <v>1</v>
      </c>
      <c r="E38" s="32"/>
      <c r="F38" s="55">
        <v>0</v>
      </c>
      <c r="G38" s="56">
        <f>COUNTIFS($A$2:$A$115,F37,$C$2:$C$115,$F38,$D$2:$D$115,G37)</f>
        <v>1</v>
      </c>
      <c r="H38" s="57">
        <f>COUNTIFS($A$2:$A$115,F37,$C$2:$C$115,$F38,$D$2:$D$115,H37)</f>
        <v>0</v>
      </c>
      <c r="I38" s="58">
        <f>COUNTIFS($A$2:$A$71,F37,$C$2:$C$71,$F38,$D$2:$D$71,I37)+MAX(D75-C75,0)</f>
        <v>0</v>
      </c>
      <c r="J38" s="16">
        <f>SUM(G38:I38)</f>
        <v>1</v>
      </c>
      <c r="K38" s="9"/>
      <c r="L38" s="39">
        <v>0</v>
      </c>
      <c r="M38" s="40">
        <f>ABS(G$2-$F38)/1</f>
        <v>0</v>
      </c>
      <c r="N38" s="41">
        <f>ABS(H$2-$F38)/1</f>
        <v>0.5</v>
      </c>
      <c r="O38" s="42">
        <f>ABS(I$2-$F38)/1</f>
        <v>1</v>
      </c>
      <c r="P38" s="9"/>
      <c r="Q38" s="67">
        <v>0</v>
      </c>
      <c r="R38" s="56">
        <f t="shared" ref="R38:T40" si="5">($J38/$J$41) * (G$41/$J$41)</f>
        <v>6.9444444444444441E-3</v>
      </c>
      <c r="S38" s="57">
        <f t="shared" si="5"/>
        <v>4.1666666666666664E-2</v>
      </c>
      <c r="T38" s="58">
        <f t="shared" si="5"/>
        <v>3.4722222222222224E-2</v>
      </c>
      <c r="U38" s="9"/>
      <c r="V38" s="43" t="s">
        <v>13</v>
      </c>
      <c r="W38" s="40">
        <f>SUMPRODUCT(G38:I40, M38:O40) /$J$41</f>
        <v>0.25</v>
      </c>
      <c r="X38" s="42" t="s">
        <v>14</v>
      </c>
    </row>
    <row r="39" spans="1:24" ht="15.75" customHeight="1" x14ac:dyDescent="0.15">
      <c r="A39" s="4" t="str">
        <f>'GPT-5 Generation'!A39</f>
        <v>Action</v>
      </c>
      <c r="B39" s="4" t="str">
        <f>'GPT-5 Generation'!B39</f>
        <v>eStop;</v>
      </c>
      <c r="C39" s="4">
        <f>'GPT-5 Generation'!C39</f>
        <v>1</v>
      </c>
      <c r="D39" s="4">
        <f>'Claude Sonnet 4.5 Gen'!C39</f>
        <v>1</v>
      </c>
      <c r="E39" s="32"/>
      <c r="F39" s="55">
        <v>0.5</v>
      </c>
      <c r="G39" s="59">
        <f>COUNTIFS($A$2:$A$115,F37,$C$2:$C$115,$F39,$D$2:$D$115,G37)</f>
        <v>0</v>
      </c>
      <c r="H39" s="16">
        <f>COUNTIFS($A$2:$A$115,F37,$C$2:$C$115,$F38,$D$2:$D$115,H37)</f>
        <v>0</v>
      </c>
      <c r="I39" s="60">
        <f>COUNTIFS($A$2:$A$115,F37,$C$2:$C$115,$F39,$D$2:$D$115,I37)</f>
        <v>0</v>
      </c>
      <c r="J39" s="16">
        <f>SUM(G39:I39)</f>
        <v>0</v>
      </c>
      <c r="K39" s="9"/>
      <c r="L39" s="39">
        <v>0.5</v>
      </c>
      <c r="M39" s="44">
        <f>ABS(G$2-$F39)/1</f>
        <v>0.5</v>
      </c>
      <c r="N39" s="9">
        <f>ABS(H$2-$F39)/3</f>
        <v>0</v>
      </c>
      <c r="O39" s="45">
        <f>ABS(I$2-$F39)/1</f>
        <v>0.5</v>
      </c>
      <c r="P39" s="9"/>
      <c r="Q39" s="67">
        <v>0.5</v>
      </c>
      <c r="R39" s="59">
        <f t="shared" si="5"/>
        <v>0</v>
      </c>
      <c r="S39" s="16">
        <f t="shared" si="5"/>
        <v>0</v>
      </c>
      <c r="T39" s="60">
        <f t="shared" si="5"/>
        <v>0</v>
      </c>
      <c r="U39" s="9"/>
      <c r="V39" s="43" t="s">
        <v>15</v>
      </c>
      <c r="W39" s="44">
        <f>SUMPRODUCT(R38:T40, M38:O40)</f>
        <v>0.36111111111111105</v>
      </c>
      <c r="X39" s="45" t="s">
        <v>16</v>
      </c>
    </row>
    <row r="40" spans="1:24" ht="15.75" customHeight="1" x14ac:dyDescent="0.15">
      <c r="A40" s="4" t="str">
        <f>'GPT-5 Generation'!A40</f>
        <v>Transition</v>
      </c>
      <c r="B40" s="4" t="str">
        <f>'GPT-5 Generation'!B40</f>
        <v>clear (Emergency ⇒ History State)</v>
      </c>
      <c r="C40" s="4">
        <f>'GPT-5 Generation'!C40</f>
        <v>1</v>
      </c>
      <c r="D40" s="4">
        <f>'Claude Sonnet 4.5 Gen'!C40</f>
        <v>1</v>
      </c>
      <c r="E40" s="32"/>
      <c r="F40" s="55">
        <v>1</v>
      </c>
      <c r="G40" s="61">
        <f>COUNTIFS($A$2:$A$71,F37,$C$2:$C$71,$F40,$D$2:$D$71,G37)+MAX(C75-D75,0)</f>
        <v>0</v>
      </c>
      <c r="H40" s="62">
        <f>COUNTIFS($A$2:$A$115,F37,$C$2:$C$115,$F40,$D$2:$D$115,H37)</f>
        <v>6</v>
      </c>
      <c r="I40" s="63">
        <f>COUNTIFS($A$2:$A$71,F37,$C$2:$C$71,$F40,$D$2:$D$71,I37) + MIN(C75,D75)</f>
        <v>5</v>
      </c>
      <c r="J40" s="16">
        <f>SUM(G40:I40)</f>
        <v>11</v>
      </c>
      <c r="K40" s="9"/>
      <c r="L40" s="39">
        <v>1</v>
      </c>
      <c r="M40" s="46">
        <f>ABS(G$2-$F40)/1</f>
        <v>1</v>
      </c>
      <c r="N40" s="47">
        <f>ABS(H$2-$F40)/1</f>
        <v>0.5</v>
      </c>
      <c r="O40" s="48">
        <f>ABS(I$2-$F40)/1</f>
        <v>0</v>
      </c>
      <c r="P40" s="9"/>
      <c r="Q40" s="67">
        <v>1</v>
      </c>
      <c r="R40" s="61">
        <f t="shared" si="5"/>
        <v>7.6388888888888881E-2</v>
      </c>
      <c r="S40" s="62">
        <f t="shared" si="5"/>
        <v>0.45833333333333331</v>
      </c>
      <c r="T40" s="63">
        <f t="shared" si="5"/>
        <v>0.38194444444444442</v>
      </c>
      <c r="U40" s="9"/>
      <c r="V40" s="43" t="s">
        <v>17</v>
      </c>
      <c r="W40" s="46">
        <f>1-W38/W39</f>
        <v>0.3076923076923076</v>
      </c>
      <c r="X40" s="48" t="s">
        <v>18</v>
      </c>
    </row>
    <row r="41" spans="1:24" ht="15.75" customHeight="1" x14ac:dyDescent="0.15">
      <c r="A41" s="4" t="str">
        <f>'GPT-5 Generation'!A41</f>
        <v>Region</v>
      </c>
      <c r="B41" s="4" t="str">
        <f>'GPT-5 Generation'!B41</f>
        <v>SDS</v>
      </c>
      <c r="C41" s="4">
        <f>'GPT-5 Generation'!C41</f>
        <v>1</v>
      </c>
      <c r="D41" s="4">
        <f>'Claude Sonnet 4.5 Gen'!C41</f>
        <v>1</v>
      </c>
      <c r="E41" s="32"/>
      <c r="F41" s="64" t="s">
        <v>19</v>
      </c>
      <c r="G41" s="16">
        <f>SUM(G38:G40)</f>
        <v>1</v>
      </c>
      <c r="H41" s="16">
        <f>SUM(H39:H40)</f>
        <v>6</v>
      </c>
      <c r="I41" s="16">
        <f>SUM(I38:I40)</f>
        <v>5</v>
      </c>
      <c r="J41" s="9">
        <f>SUM(G38:I40)</f>
        <v>12</v>
      </c>
    </row>
    <row r="42" spans="1:24" ht="15.75" customHeight="1" x14ac:dyDescent="0.15">
      <c r="A42" s="4" t="str">
        <f>'GPT-5 Generation'!A42</f>
        <v>State</v>
      </c>
      <c r="B42" s="4" t="str">
        <f>'GPT-5 Generation'!B42</f>
        <v>Initial state (SDS → SDSActive)</v>
      </c>
      <c r="C42" s="4">
        <f>'GPT-5 Generation'!C42</f>
        <v>1</v>
      </c>
      <c r="D42" s="4">
        <f>'Claude Sonnet 4.5 Gen'!C42</f>
        <v>1</v>
      </c>
      <c r="E42" s="32"/>
    </row>
    <row r="43" spans="1:24" ht="15.75" customHeight="1" x14ac:dyDescent="0.15">
      <c r="A43" s="4" t="str">
        <f>'GPT-5 Generation'!A43</f>
        <v>State</v>
      </c>
      <c r="B43" s="4" t="str">
        <f>'GPT-5 Generation'!B43</f>
        <v>SDSActive</v>
      </c>
      <c r="C43" s="4">
        <f>'GPT-5 Generation'!C43</f>
        <v>1</v>
      </c>
      <c r="D43" s="4">
        <f>'Claude Sonnet 4.5 Gen'!C43</f>
        <v>1</v>
      </c>
      <c r="E43" s="32"/>
      <c r="F43" s="68" t="s">
        <v>30</v>
      </c>
      <c r="G43" s="69"/>
      <c r="H43" s="69"/>
      <c r="I43" s="69"/>
    </row>
    <row r="44" spans="1:24" ht="15.75" customHeight="1" x14ac:dyDescent="0.15">
      <c r="A44" s="4" t="str">
        <f>'GPT-5 Generation'!A44</f>
        <v>Transition</v>
      </c>
      <c r="B44" s="4" t="str">
        <f>'GPT-5 Generation'!B44</f>
        <v>after 1 sec (SDSActive ⇒ SDSActive)</v>
      </c>
      <c r="C44" s="4">
        <f>'GPT-5 Generation'!C44</f>
        <v>1</v>
      </c>
      <c r="D44" s="4">
        <f>'Claude Sonnet 4.5 Gen'!C44</f>
        <v>1</v>
      </c>
      <c r="E44" s="32"/>
      <c r="F44" s="9" t="s">
        <v>31</v>
      </c>
      <c r="G44" s="51" t="s">
        <v>7</v>
      </c>
      <c r="H44" s="51" t="s">
        <v>8</v>
      </c>
      <c r="I44" s="51" t="s">
        <v>9</v>
      </c>
      <c r="J44" s="52" t="s">
        <v>10</v>
      </c>
      <c r="K44" s="9"/>
      <c r="L44" s="9" t="s">
        <v>6</v>
      </c>
      <c r="M44" s="51" t="s">
        <v>7</v>
      </c>
      <c r="N44" s="51" t="s">
        <v>8</v>
      </c>
      <c r="O44" s="51" t="s">
        <v>9</v>
      </c>
      <c r="P44" s="9"/>
      <c r="Q44" s="9" t="s">
        <v>6</v>
      </c>
      <c r="R44" s="51" t="s">
        <v>7</v>
      </c>
      <c r="S44" s="51" t="s">
        <v>8</v>
      </c>
      <c r="T44" s="51" t="s">
        <v>9</v>
      </c>
      <c r="V44" s="38" t="str">
        <f>"Metrics" &amp; " " &amp; F44</f>
        <v>Metrics History State</v>
      </c>
      <c r="W44" s="38" t="s">
        <v>11</v>
      </c>
      <c r="X44" s="38" t="s">
        <v>12</v>
      </c>
    </row>
    <row r="45" spans="1:24" ht="15.75" customHeight="1" x14ac:dyDescent="0.15">
      <c r="A45" s="4" t="str">
        <f>'GPT-5 Generation'!A45</f>
        <v>Guard</v>
      </c>
      <c r="B45" s="4" t="str">
        <f>'GPT-5 Generation'!B45</f>
        <v>[hasSegmentChanged()]</v>
      </c>
      <c r="C45" s="4">
        <f>'GPT-5 Generation'!C45</f>
        <v>1</v>
      </c>
      <c r="D45" s="4">
        <f>'Claude Sonnet 4.5 Gen'!C45</f>
        <v>0.5</v>
      </c>
      <c r="E45" s="32"/>
      <c r="F45" s="39">
        <v>0</v>
      </c>
      <c r="G45" s="40">
        <f>COUNTIFS($A$2:$A$115,$F$44,$C$2:$C$115,$F45,$D$2:$D$115,G$44)</f>
        <v>1</v>
      </c>
      <c r="H45" s="41">
        <f>COUNTIFS($A$2:$A$115,$F$44,$C$2:$C$115,$F45,$D$2:$D$115,H$44)</f>
        <v>0</v>
      </c>
      <c r="I45" s="42">
        <f>COUNTIFS($A$2:$A$71,$F$44,$C$2:$C$71,$F45,$D$2:$D$71,I$44) + MAX(D78-C78,0)</f>
        <v>0</v>
      </c>
      <c r="J45" s="9">
        <f>SUM(G45:I45)</f>
        <v>1</v>
      </c>
      <c r="K45" s="9"/>
      <c r="L45" s="39">
        <v>0</v>
      </c>
      <c r="M45" s="40">
        <f>ABS(G$2-$F45)/1</f>
        <v>0</v>
      </c>
      <c r="N45" s="41">
        <f>ABS(H$2-$F45)/1</f>
        <v>0.5</v>
      </c>
      <c r="O45" s="42">
        <f>ABS(I$2-$F45)/1</f>
        <v>1</v>
      </c>
      <c r="P45" s="9"/>
      <c r="Q45" s="39">
        <v>0</v>
      </c>
      <c r="R45" s="40">
        <f t="shared" ref="R45:T47" si="6">($J45/$J$48) * (G$48/$J$48)</f>
        <v>0.25</v>
      </c>
      <c r="S45" s="41">
        <f t="shared" si="6"/>
        <v>0</v>
      </c>
      <c r="T45" s="42">
        <f t="shared" si="6"/>
        <v>0.25</v>
      </c>
      <c r="U45" s="9"/>
      <c r="V45" s="43" t="s">
        <v>13</v>
      </c>
      <c r="W45" s="40">
        <f>SUMPRODUCT(G45:I47, M45:O47) /$J$48</f>
        <v>0</v>
      </c>
      <c r="X45" s="42" t="s">
        <v>14</v>
      </c>
    </row>
    <row r="46" spans="1:24" ht="15.75" customHeight="1" x14ac:dyDescent="0.15">
      <c r="A46" s="4" t="str">
        <f>'GPT-5 Generation'!A46</f>
        <v>Action</v>
      </c>
      <c r="B46" s="4" t="str">
        <f>'GPT-5 Generation'!B46</f>
        <v>setCS; enteringSegment()</v>
      </c>
      <c r="C46" s="4">
        <f>'GPT-5 Generation'!C46</f>
        <v>1</v>
      </c>
      <c r="D46" s="4">
        <f>'Claude Sonnet 4.5 Gen'!C46</f>
        <v>0.5</v>
      </c>
      <c r="E46" s="32"/>
      <c r="F46" s="39">
        <v>0.5</v>
      </c>
      <c r="G46" s="44">
        <f>COUNTIFS($A$2:$A$115,$F$44,$C$2:$C$115,$F46,$D$2:$D$115,G$44)</f>
        <v>0</v>
      </c>
      <c r="H46" s="9">
        <f>COUNTIFS($A$2:$A$115,$F$44,$C$2:$C$115,$F46,$D$2:$D$115,H$44)</f>
        <v>0</v>
      </c>
      <c r="I46" s="45">
        <f>COUNTIFS($A$2:$A$115,$F$44,$C$2:$C$115,$F46,$D$2:$D$115,I$44)</f>
        <v>0</v>
      </c>
      <c r="J46" s="9">
        <f>SUM(G46:I46)</f>
        <v>0</v>
      </c>
      <c r="K46" s="9"/>
      <c r="L46" s="39">
        <v>0.5</v>
      </c>
      <c r="M46" s="44">
        <f>ABS(G$2-$F46)/1</f>
        <v>0.5</v>
      </c>
      <c r="N46" s="9">
        <f>ABS(H$2-$F46)/3</f>
        <v>0</v>
      </c>
      <c r="O46" s="45">
        <f>ABS(I$2-$F46)/1</f>
        <v>0.5</v>
      </c>
      <c r="P46" s="9"/>
      <c r="Q46" s="39">
        <v>0.5</v>
      </c>
      <c r="R46" s="44">
        <f t="shared" si="6"/>
        <v>0</v>
      </c>
      <c r="S46" s="9">
        <f t="shared" si="6"/>
        <v>0</v>
      </c>
      <c r="T46" s="45">
        <f t="shared" si="6"/>
        <v>0</v>
      </c>
      <c r="U46" s="9"/>
      <c r="V46" s="43" t="s">
        <v>15</v>
      </c>
      <c r="W46" s="44">
        <f>SUMPRODUCT(R45:T47, M45:O47)</f>
        <v>0.5</v>
      </c>
      <c r="X46" s="45" t="s">
        <v>16</v>
      </c>
    </row>
    <row r="47" spans="1:24" ht="15.75" customHeight="1" x14ac:dyDescent="0.15">
      <c r="A47" s="4" t="str">
        <f>'GPT-5 Generation'!A47</f>
        <v>Transition</v>
      </c>
      <c r="B47" s="4" t="str">
        <f>'GPT-5 Generation'!B47</f>
        <v>after 1 sec (SDSActive ⇒ SDSActive)</v>
      </c>
      <c r="C47" s="4">
        <f>'GPT-5 Generation'!C47</f>
        <v>1</v>
      </c>
      <c r="D47" s="4">
        <f>'Claude Sonnet 4.5 Gen'!C47</f>
        <v>1</v>
      </c>
      <c r="E47" s="32"/>
      <c r="F47" s="39">
        <v>1</v>
      </c>
      <c r="G47" s="46">
        <f>COUNTIFS($A$2:$A$71,$F$44,$C$2:$C$71,$F47,$D$2:$D$71,G$44) + MAX(C78-D78,0)</f>
        <v>0</v>
      </c>
      <c r="H47" s="47">
        <f>COUNTIFS($A$2:$A$115,$F$44,$C$2:$C$115,$F47,$D$2:$D$115,H$44)</f>
        <v>0</v>
      </c>
      <c r="I47" s="48">
        <f>COUNTIFS($A$2:$A$71,$F$44,$C$2:$C$71,$F47,$D$2:$D$71,I$44) + MIN(C78,D78)</f>
        <v>1</v>
      </c>
      <c r="J47" s="9">
        <f>SUM(G47:I47)</f>
        <v>1</v>
      </c>
      <c r="K47" s="9"/>
      <c r="L47" s="39">
        <v>1</v>
      </c>
      <c r="M47" s="46">
        <f>ABS(G$2-$F47)/1</f>
        <v>1</v>
      </c>
      <c r="N47" s="47">
        <f>ABS(H$2-$F47)/1</f>
        <v>0.5</v>
      </c>
      <c r="O47" s="48">
        <f>ABS(I$2-$F47)/1</f>
        <v>0</v>
      </c>
      <c r="P47" s="9"/>
      <c r="Q47" s="39">
        <v>1</v>
      </c>
      <c r="R47" s="46">
        <f t="shared" si="6"/>
        <v>0.25</v>
      </c>
      <c r="S47" s="47">
        <f t="shared" si="6"/>
        <v>0</v>
      </c>
      <c r="T47" s="48">
        <f t="shared" si="6"/>
        <v>0.25</v>
      </c>
      <c r="U47" s="9"/>
      <c r="V47" s="43" t="s">
        <v>17</v>
      </c>
      <c r="W47" s="46">
        <f>1-W45/W46</f>
        <v>1</v>
      </c>
      <c r="X47" s="48" t="s">
        <v>18</v>
      </c>
    </row>
    <row r="48" spans="1:24" ht="15.75" customHeight="1" x14ac:dyDescent="0.15">
      <c r="A48" s="4" t="str">
        <f>'GPT-5 Generation'!A48</f>
        <v>Guard</v>
      </c>
      <c r="B48" s="4" t="str">
        <f>'GPT-5 Generation'!B48</f>
        <v>[!hasSegmentChanged()]</v>
      </c>
      <c r="C48" s="4">
        <f>'GPT-5 Generation'!C48</f>
        <v>1</v>
      </c>
      <c r="D48" s="4">
        <f>'Claude Sonnet 4.5 Gen'!C48</f>
        <v>0.5</v>
      </c>
      <c r="E48" s="32"/>
      <c r="F48" s="49" t="s">
        <v>19</v>
      </c>
      <c r="G48" s="9">
        <f>SUM(G45:G47)</f>
        <v>1</v>
      </c>
      <c r="H48" s="9">
        <f>SUM(H45:H47)</f>
        <v>0</v>
      </c>
      <c r="I48" s="9">
        <f>SUM(I45:I47)</f>
        <v>1</v>
      </c>
      <c r="J48" s="9">
        <f>SUM(G45:I47)</f>
        <v>2</v>
      </c>
    </row>
    <row r="49" spans="1:24" ht="15.75" customHeight="1" x14ac:dyDescent="0.15">
      <c r="A49" s="4" t="str">
        <f>'GPT-5 Generation'!A49</f>
        <v>Region</v>
      </c>
      <c r="B49" s="4" t="str">
        <f>'GPT-5 Generation'!B49</f>
        <v>MDS</v>
      </c>
      <c r="C49" s="4">
        <f>'GPT-5 Generation'!C49</f>
        <v>1</v>
      </c>
      <c r="D49" s="4">
        <f>'Claude Sonnet 4.5 Gen'!C49</f>
        <v>1</v>
      </c>
      <c r="E49" s="32"/>
    </row>
    <row r="50" spans="1:24" ht="15.75" customHeight="1" x14ac:dyDescent="0.15">
      <c r="A50" s="4" t="str">
        <f>'GPT-5 Generation'!A50</f>
        <v>State</v>
      </c>
      <c r="B50" s="4" t="str">
        <f>'GPT-5 Generation'!B50</f>
        <v>Initial state (MDS → Stopped)</v>
      </c>
      <c r="C50" s="4">
        <f>'GPT-5 Generation'!C50</f>
        <v>1</v>
      </c>
      <c r="D50" s="4">
        <f>'Claude Sonnet 4.5 Gen'!C50</f>
        <v>0</v>
      </c>
      <c r="E50" s="32"/>
      <c r="F50" s="68" t="s">
        <v>32</v>
      </c>
      <c r="G50" s="69"/>
      <c r="H50" s="69"/>
      <c r="I50" s="69"/>
    </row>
    <row r="51" spans="1:24" ht="15.75" customHeight="1" x14ac:dyDescent="0.15">
      <c r="A51" s="4" t="str">
        <f>'GPT-5 Generation'!A51</f>
        <v>State</v>
      </c>
      <c r="B51" s="4" t="str">
        <f>'GPT-5 Generation'!B51</f>
        <v>Stopped</v>
      </c>
      <c r="C51" s="4">
        <f>'GPT-5 Generation'!C51</f>
        <v>1</v>
      </c>
      <c r="D51" s="4">
        <f>'Claude Sonnet 4.5 Gen'!C51</f>
        <v>0</v>
      </c>
      <c r="E51" s="32"/>
      <c r="F51" s="9" t="s">
        <v>33</v>
      </c>
      <c r="G51" s="51" t="s">
        <v>7</v>
      </c>
      <c r="H51" s="51" t="s">
        <v>8</v>
      </c>
      <c r="I51" s="51" t="s">
        <v>9</v>
      </c>
      <c r="J51" s="52" t="s">
        <v>10</v>
      </c>
      <c r="K51" s="9"/>
      <c r="L51" s="9" t="s">
        <v>6</v>
      </c>
      <c r="M51" s="51" t="s">
        <v>7</v>
      </c>
      <c r="N51" s="51" t="s">
        <v>8</v>
      </c>
      <c r="O51" s="51" t="s">
        <v>9</v>
      </c>
      <c r="P51" s="9"/>
      <c r="Q51" s="9" t="s">
        <v>6</v>
      </c>
      <c r="R51" s="51" t="s">
        <v>7</v>
      </c>
      <c r="S51" s="51" t="s">
        <v>8</v>
      </c>
      <c r="T51" s="51" t="s">
        <v>9</v>
      </c>
      <c r="V51" s="38" t="str">
        <f>"Metrics" &amp; " " &amp; F51</f>
        <v>Metrics Region</v>
      </c>
      <c r="W51" s="38" t="s">
        <v>11</v>
      </c>
      <c r="X51" s="38" t="s">
        <v>12</v>
      </c>
    </row>
    <row r="52" spans="1:24" ht="15.75" customHeight="1" x14ac:dyDescent="0.15">
      <c r="A52" s="4" t="str">
        <f>'GPT-5 Generation'!A52</f>
        <v>Transition</v>
      </c>
      <c r="B52" s="4" t="str">
        <f>'GPT-5 Generation'!B52</f>
        <v>after 1 sec (Stopped ⇒ Moving)</v>
      </c>
      <c r="C52" s="4">
        <f>'GPT-5 Generation'!C52</f>
        <v>1</v>
      </c>
      <c r="D52" s="4">
        <f>'Claude Sonnet 4.5 Gen'!C52</f>
        <v>0</v>
      </c>
      <c r="E52" s="32"/>
      <c r="F52" s="39">
        <v>0</v>
      </c>
      <c r="G52" s="40">
        <f>COUNTIFS($A$2:$A$115,$F$51,$C$2:$C$115,$F52,$D$2:$D$115,G$51)</f>
        <v>1</v>
      </c>
      <c r="H52" s="41">
        <f>COUNTIFS($A$2:$A$115,$F$51,$C$2:$C$115,$F52,$D$2:$D$115,H$51)</f>
        <v>0</v>
      </c>
      <c r="I52" s="42">
        <f>COUNTIFS($A$2:$A$71,$F$51,$C$2:$C$71,$F52,$D$2:$D$71,I$51)+MAX(D77-C77,0)</f>
        <v>0</v>
      </c>
      <c r="J52" s="9">
        <f>SUM(G52:I52)</f>
        <v>1</v>
      </c>
      <c r="K52" s="9"/>
      <c r="L52" s="39">
        <v>0</v>
      </c>
      <c r="M52" s="40">
        <f>ABS(G$2-$F52)/1</f>
        <v>0</v>
      </c>
      <c r="N52" s="41">
        <f>ABS(H$2-$F52)/1</f>
        <v>0.5</v>
      </c>
      <c r="O52" s="42">
        <f>ABS(I$2-$F52)/1</f>
        <v>1</v>
      </c>
      <c r="P52" s="9"/>
      <c r="Q52" s="39">
        <v>0</v>
      </c>
      <c r="R52" s="40">
        <f t="shared" ref="R52:T54" si="7">($J52/$J$55) * (G$55/$J$55)</f>
        <v>4.0000000000000008E-2</v>
      </c>
      <c r="S52" s="41">
        <f t="shared" si="7"/>
        <v>0</v>
      </c>
      <c r="T52" s="42">
        <f t="shared" si="7"/>
        <v>0.16000000000000003</v>
      </c>
      <c r="U52" s="9"/>
      <c r="V52" s="43" t="s">
        <v>13</v>
      </c>
      <c r="W52" s="40">
        <f>SUMPRODUCT(G52:I54, M52:O54) /$J$55</f>
        <v>0.1</v>
      </c>
      <c r="X52" s="42" t="s">
        <v>14</v>
      </c>
    </row>
    <row r="53" spans="1:24" ht="15.75" customHeight="1" x14ac:dyDescent="0.15">
      <c r="A53" s="4" t="str">
        <f>'GPT-5 Generation'!A53</f>
        <v>Guard</v>
      </c>
      <c r="B53" s="4" t="str">
        <f>'GPT-5 Generation'!B53</f>
        <v>[speed &gt; 0]</v>
      </c>
      <c r="C53" s="4">
        <f>'GPT-5 Generation'!C53</f>
        <v>1</v>
      </c>
      <c r="D53" s="4">
        <f>'Claude Sonnet 4.5 Gen'!C53</f>
        <v>0</v>
      </c>
      <c r="E53" s="32"/>
      <c r="F53" s="39">
        <v>0.5</v>
      </c>
      <c r="G53" s="44">
        <f>COUNTIFS($A$2:$A$115,$F$51,$C$2:$C$115,$F53,$D$2:$D$115,G$51)</f>
        <v>0</v>
      </c>
      <c r="H53" s="9">
        <f>COUNTIFS($A$2:$A$115,$F$51,$C$2:$C$115,$F53,$D$2:$D$115,H$51)</f>
        <v>0</v>
      </c>
      <c r="I53" s="45">
        <f>COUNTIFS($A$2:$A$115,$F$51,$C$2:$C$115,$F53,$D$2:$D$115,I$51)</f>
        <v>1</v>
      </c>
      <c r="J53" s="9">
        <f>SUM(G53:I53)</f>
        <v>1</v>
      </c>
      <c r="K53" s="9"/>
      <c r="L53" s="39">
        <v>0.5</v>
      </c>
      <c r="M53" s="44">
        <f>ABS(G$2-$F53)/1</f>
        <v>0.5</v>
      </c>
      <c r="N53" s="9">
        <f>ABS(H$2-$F53)/3</f>
        <v>0</v>
      </c>
      <c r="O53" s="45">
        <f>ABS(I$2-$F53)/1</f>
        <v>0.5</v>
      </c>
      <c r="P53" s="9"/>
      <c r="Q53" s="39">
        <v>0.5</v>
      </c>
      <c r="R53" s="44">
        <f t="shared" si="7"/>
        <v>4.0000000000000008E-2</v>
      </c>
      <c r="S53" s="9">
        <f t="shared" si="7"/>
        <v>0</v>
      </c>
      <c r="T53" s="45">
        <f t="shared" si="7"/>
        <v>0.16000000000000003</v>
      </c>
      <c r="U53" s="9"/>
      <c r="V53" s="43" t="s">
        <v>15</v>
      </c>
      <c r="W53" s="44">
        <f>SUMPRODUCT(R52:T54, M52:O54)</f>
        <v>0.38000000000000006</v>
      </c>
      <c r="X53" s="45" t="s">
        <v>16</v>
      </c>
    </row>
    <row r="54" spans="1:24" ht="15.75" customHeight="1" x14ac:dyDescent="0.15">
      <c r="A54" s="4" t="str">
        <f>'GPT-5 Generation'!A54</f>
        <v>Transition</v>
      </c>
      <c r="B54" s="4" t="str">
        <f>'GPT-5 Generation'!B54</f>
        <v>after 1 sec (Stopped ⇒ Stopped)</v>
      </c>
      <c r="C54" s="4">
        <f>'GPT-5 Generation'!C54</f>
        <v>1</v>
      </c>
      <c r="D54" s="4">
        <f>'Claude Sonnet 4.5 Gen'!C54</f>
        <v>0.5</v>
      </c>
      <c r="E54" s="32"/>
      <c r="F54" s="39">
        <v>1</v>
      </c>
      <c r="G54" s="46">
        <f>COUNTIFS($A$2:$A$71,$F$51,$C$2:$C$71,$F54,$D$2:$D$71,G$51) + MAX(C77-D77,0)</f>
        <v>0</v>
      </c>
      <c r="H54" s="47">
        <f>COUNTIFS($A$2:$A$115,$F$51,$C$2:$C$115,$F54,$D$2:$D$115,H$51)</f>
        <v>0</v>
      </c>
      <c r="I54" s="48">
        <f>COUNTIFS($A$2:$A$71,$F$51,$C$2:$C$71,$F54,$D$2:$D$71,I$51)+MIN(C77,D77)</f>
        <v>3</v>
      </c>
      <c r="J54" s="9">
        <f>SUM(G54:I54)</f>
        <v>3</v>
      </c>
      <c r="K54" s="9"/>
      <c r="L54" s="39">
        <v>1</v>
      </c>
      <c r="M54" s="46">
        <f>ABS(G$2-$F54)/1</f>
        <v>1</v>
      </c>
      <c r="N54" s="47">
        <f>ABS(H$2-$F54)/1</f>
        <v>0.5</v>
      </c>
      <c r="O54" s="48">
        <f>ABS(I$2-$F54)/1</f>
        <v>0</v>
      </c>
      <c r="P54" s="9"/>
      <c r="Q54" s="39">
        <v>1</v>
      </c>
      <c r="R54" s="46">
        <f t="shared" si="7"/>
        <v>0.12</v>
      </c>
      <c r="S54" s="47">
        <f t="shared" si="7"/>
        <v>0</v>
      </c>
      <c r="T54" s="48">
        <f t="shared" si="7"/>
        <v>0.48</v>
      </c>
      <c r="U54" s="9"/>
      <c r="V54" s="43" t="s">
        <v>17</v>
      </c>
      <c r="W54" s="46">
        <f>1-W52/W53</f>
        <v>0.73684210526315796</v>
      </c>
      <c r="X54" s="48" t="s">
        <v>18</v>
      </c>
    </row>
    <row r="55" spans="1:24" ht="15.75" customHeight="1" x14ac:dyDescent="0.15">
      <c r="A55" s="4" t="str">
        <f>'GPT-5 Generation'!A55</f>
        <v>Guard</v>
      </c>
      <c r="B55" s="4" t="str">
        <f>'GPT-5 Generation'!B55</f>
        <v>[speed == 0]</v>
      </c>
      <c r="C55" s="4">
        <f>'GPT-5 Generation'!C55</f>
        <v>1</v>
      </c>
      <c r="D55" s="4">
        <f>'Claude Sonnet 4.5 Gen'!C55</f>
        <v>0</v>
      </c>
      <c r="E55" s="32"/>
      <c r="F55" s="49" t="s">
        <v>19</v>
      </c>
      <c r="G55" s="9">
        <f>SUM(G52:G54)</f>
        <v>1</v>
      </c>
      <c r="H55" s="9">
        <f>SUM(H52:H54)</f>
        <v>0</v>
      </c>
      <c r="I55" s="9">
        <f>SUM(I52:I54)</f>
        <v>4</v>
      </c>
      <c r="J55" s="9">
        <f>SUM(G52:I54)</f>
        <v>5</v>
      </c>
      <c r="L55" s="9"/>
      <c r="M55" s="50"/>
    </row>
    <row r="56" spans="1:24" ht="15.75" customHeight="1" x14ac:dyDescent="0.15">
      <c r="A56" s="4" t="str">
        <f>'GPT-5 Generation'!A56</f>
        <v>Action</v>
      </c>
      <c r="B56" s="4" t="str">
        <f>'GPT-5 Generation'!B56</f>
        <v>stopped()</v>
      </c>
      <c r="C56" s="4">
        <f>'GPT-5 Generation'!C56</f>
        <v>0.5</v>
      </c>
      <c r="D56" s="4">
        <f>'Claude Sonnet 4.5 Gen'!C56</f>
        <v>0.5</v>
      </c>
      <c r="E56" s="32"/>
    </row>
    <row r="57" spans="1:24" ht="15.75" customHeight="1" x14ac:dyDescent="0.15">
      <c r="A57" s="4" t="str">
        <f>'GPT-5 Generation'!A57</f>
        <v>State</v>
      </c>
      <c r="B57" s="4" t="str">
        <f>'GPT-5 Generation'!B57</f>
        <v>Moving</v>
      </c>
      <c r="C57" s="4">
        <f>'GPT-5 Generation'!C57</f>
        <v>1</v>
      </c>
      <c r="D57" s="4">
        <f>'Claude Sonnet 4.5 Gen'!C57</f>
        <v>0</v>
      </c>
      <c r="E57" s="32"/>
    </row>
    <row r="58" spans="1:24" ht="15.75" customHeight="1" x14ac:dyDescent="0.15">
      <c r="A58" s="4" t="str">
        <f>'GPT-5 Generation'!A58</f>
        <v>Transition</v>
      </c>
      <c r="B58" s="4" t="str">
        <f>'GPT-5 Generation'!B58</f>
        <v>after 1 sec (Moving ⇒ Stopped)</v>
      </c>
      <c r="C58" s="4">
        <f>'GPT-5 Generation'!C58</f>
        <v>1</v>
      </c>
      <c r="D58" s="4">
        <f>'Claude Sonnet 4.5 Gen'!C58</f>
        <v>0</v>
      </c>
      <c r="E58" s="32"/>
    </row>
    <row r="59" spans="1:24" ht="15.75" customHeight="1" x14ac:dyDescent="0.15">
      <c r="A59" s="4" t="str">
        <f>'GPT-5 Generation'!A59</f>
        <v>Guard</v>
      </c>
      <c r="B59" s="4" t="str">
        <f>'GPT-5 Generation'!B59</f>
        <v>[speed == 0]</v>
      </c>
      <c r="C59" s="4">
        <f>'GPT-5 Generation'!C59</f>
        <v>1</v>
      </c>
      <c r="D59" s="4">
        <f>'Claude Sonnet 4.5 Gen'!C59</f>
        <v>0</v>
      </c>
      <c r="E59" s="32"/>
    </row>
    <row r="60" spans="1:24" ht="15.75" customHeight="1" x14ac:dyDescent="0.15">
      <c r="A60" s="4" t="str">
        <f>'GPT-5 Generation'!A60</f>
        <v>Action</v>
      </c>
      <c r="B60" s="4" t="str">
        <f>'GPT-5 Generation'!B60</f>
        <v>stopped()</v>
      </c>
      <c r="C60" s="4">
        <f>'GPT-5 Generation'!C60</f>
        <v>1</v>
      </c>
      <c r="D60" s="4">
        <f>'Claude Sonnet 4.5 Gen'!C60</f>
        <v>0.5</v>
      </c>
      <c r="E60" s="32"/>
    </row>
    <row r="61" spans="1:24" ht="15.75" customHeight="1" x14ac:dyDescent="0.15">
      <c r="A61" s="4" t="str">
        <f>'GPT-5 Generation'!A61</f>
        <v>Transition</v>
      </c>
      <c r="B61" s="4" t="str">
        <f>'GPT-5 Generation'!B61</f>
        <v>after 1 sec (Moving ⇒ Moving)</v>
      </c>
      <c r="C61" s="4">
        <f>'GPT-5 Generation'!C61</f>
        <v>1</v>
      </c>
      <c r="D61" s="4">
        <f>'Claude Sonnet 4.5 Gen'!C61</f>
        <v>0.5</v>
      </c>
      <c r="E61" s="32"/>
    </row>
    <row r="62" spans="1:24" ht="15.75" customHeight="1" x14ac:dyDescent="0.15">
      <c r="A62" s="4" t="str">
        <f>'GPT-5 Generation'!A62</f>
        <v>Guard</v>
      </c>
      <c r="B62" s="4" t="str">
        <f>'GPT-5 Generation'!B62</f>
        <v>[speed &gt; 0]</v>
      </c>
      <c r="C62" s="4">
        <f>'GPT-5 Generation'!C62</f>
        <v>1</v>
      </c>
      <c r="D62" s="4">
        <f>'Claude Sonnet 4.5 Gen'!C62</f>
        <v>0</v>
      </c>
      <c r="E62" s="32"/>
    </row>
    <row r="63" spans="1:24" ht="15.75" customHeight="1" x14ac:dyDescent="0.15">
      <c r="A63" s="4" t="str">
        <f>'GPT-5 Generation'!A63</f>
        <v>Region</v>
      </c>
      <c r="B63" s="4" t="str">
        <f>'GPT-5 Generation'!B63</f>
        <v>ODS</v>
      </c>
      <c r="C63" s="4">
        <f>'GPT-5 Generation'!C63</f>
        <v>1</v>
      </c>
      <c r="D63" s="4">
        <f>'Claude Sonnet 4.5 Gen'!C63</f>
        <v>1</v>
      </c>
      <c r="E63" s="32"/>
    </row>
    <row r="64" spans="1:24" ht="15.75" customHeight="1" x14ac:dyDescent="0.15">
      <c r="A64" s="4" t="str">
        <f>'GPT-5 Generation'!A64</f>
        <v>State</v>
      </c>
      <c r="B64" s="4" t="str">
        <f>'GPT-5 Generation'!B64</f>
        <v>Initial state (ODS → ODSActive)</v>
      </c>
      <c r="C64" s="4">
        <f>'GPT-5 Generation'!C64</f>
        <v>1</v>
      </c>
      <c r="D64" s="4">
        <f>'Claude Sonnet 4.5 Gen'!C64</f>
        <v>1</v>
      </c>
      <c r="E64" s="32"/>
    </row>
    <row r="65" spans="1:5" ht="15.75" customHeight="1" x14ac:dyDescent="0.15">
      <c r="A65" s="4" t="str">
        <f>'GPT-5 Generation'!A65</f>
        <v>State</v>
      </c>
      <c r="B65" s="4" t="str">
        <f>'GPT-5 Generation'!B65</f>
        <v>ODSActive</v>
      </c>
      <c r="C65" s="4">
        <f>'GPT-5 Generation'!C65</f>
        <v>1</v>
      </c>
      <c r="D65" s="4">
        <f>'Claude Sonnet 4.5 Gen'!C65</f>
        <v>1</v>
      </c>
      <c r="E65" s="32"/>
    </row>
    <row r="66" spans="1:5" ht="15.75" customHeight="1" x14ac:dyDescent="0.15">
      <c r="A66" s="4" t="str">
        <f>'GPT-5 Generation'!A66</f>
        <v>Transition</v>
      </c>
      <c r="B66" s="4" t="str">
        <f>'GPT-5 Generation'!B66</f>
        <v>after 1 sec (ODSActive ⇒ ODSActive)</v>
      </c>
      <c r="C66" s="4">
        <f>'GPT-5 Generation'!C66</f>
        <v>1</v>
      </c>
      <c r="D66" s="4">
        <f>'Claude Sonnet 4.5 Gen'!C66</f>
        <v>1</v>
      </c>
      <c r="E66" s="32"/>
    </row>
    <row r="67" spans="1:5" ht="15.75" customHeight="1" x14ac:dyDescent="0.15">
      <c r="A67" s="4" t="str">
        <f>'GPT-5 Generation'!A67</f>
        <v>Guard</v>
      </c>
      <c r="B67" s="4" t="str">
        <f>'GPT-5 Generation'!B67</f>
        <v>[obstacleDetected()]</v>
      </c>
      <c r="C67" s="4">
        <f>'GPT-5 Generation'!C67</f>
        <v>1</v>
      </c>
      <c r="D67" s="4">
        <f>'Claude Sonnet 4.5 Gen'!C67</f>
        <v>0.5</v>
      </c>
      <c r="E67" s="32"/>
    </row>
    <row r="68" spans="1:5" ht="15.75" customHeight="1" x14ac:dyDescent="0.15">
      <c r="A68" s="4" t="str">
        <f>'GPT-5 Generation'!A68</f>
        <v>Action</v>
      </c>
      <c r="B68" s="4" t="str">
        <f>'GPT-5 Generation'!B68</f>
        <v>emergency()</v>
      </c>
      <c r="C68" s="4">
        <f>'GPT-5 Generation'!C68</f>
        <v>1</v>
      </c>
      <c r="D68" s="4">
        <f>'Claude Sonnet 4.5 Gen'!C68</f>
        <v>0.5</v>
      </c>
      <c r="E68" s="32"/>
    </row>
    <row r="69" spans="1:5" ht="15.75" customHeight="1" x14ac:dyDescent="0.15">
      <c r="A69" s="4" t="str">
        <f>'GPT-5 Generation'!A69</f>
        <v>Transition</v>
      </c>
      <c r="B69" s="4" t="str">
        <f>'GPT-5 Generation'!B69</f>
        <v>after 1 sec (ODSActive ⇒ ODSActive)</v>
      </c>
      <c r="C69" s="4">
        <f>'GPT-5 Generation'!C69</f>
        <v>1</v>
      </c>
      <c r="D69" s="4">
        <f>'Claude Sonnet 4.5 Gen'!C69</f>
        <v>1</v>
      </c>
      <c r="E69" s="32"/>
    </row>
    <row r="70" spans="1:5" ht="15.75" customHeight="1" x14ac:dyDescent="0.15">
      <c r="A70" s="4" t="str">
        <f>'GPT-5 Generation'!A70</f>
        <v>Guard</v>
      </c>
      <c r="B70" s="4" t="str">
        <f>'GPT-5 Generation'!B70</f>
        <v>[!obstacleDetected()]</v>
      </c>
      <c r="C70" s="4">
        <f>'GPT-5 Generation'!C70</f>
        <v>1</v>
      </c>
      <c r="D70" s="4">
        <f>'Claude Sonnet 4.5 Gen'!C70</f>
        <v>0.5</v>
      </c>
      <c r="E70" s="32"/>
    </row>
    <row r="71" spans="1:5" ht="15.75" customHeight="1" x14ac:dyDescent="0.15">
      <c r="A71" s="6" t="str">
        <f>'GPT-5 Generation'!A71</f>
        <v>State</v>
      </c>
      <c r="B71" s="6" t="str">
        <f>'GPT-5 Generation'!B71</f>
        <v>Arrived</v>
      </c>
      <c r="C71" s="6">
        <f>'GPT-5 Generation'!C71</f>
        <v>0</v>
      </c>
      <c r="D71" s="6">
        <f>'Claude Sonnet 4.5 Gen'!C71</f>
        <v>0</v>
      </c>
      <c r="E71" s="32"/>
    </row>
    <row r="72" spans="1:5" ht="15.75" customHeight="1" x14ac:dyDescent="0.15">
      <c r="A72" s="7" t="str">
        <f>'GPT-5 Generation'!A72</f>
        <v>State</v>
      </c>
      <c r="B72" s="7" t="str">
        <f>'GPT-5 Generation'!B72</f>
        <v>additional elements</v>
      </c>
      <c r="C72" s="7">
        <f>'GPT-5 Generation'!C72</f>
        <v>0</v>
      </c>
      <c r="D72" s="7">
        <f>'Claude Sonnet 4.5 Gen'!C72</f>
        <v>0</v>
      </c>
      <c r="E72" s="32"/>
    </row>
    <row r="73" spans="1:5" ht="15.75" customHeight="1" x14ac:dyDescent="0.15">
      <c r="A73" s="4" t="str">
        <f>'GPT-5 Generation'!A73</f>
        <v>Transition</v>
      </c>
      <c r="B73" s="4" t="str">
        <f>'GPT-5 Generation'!B73</f>
        <v>additional elements</v>
      </c>
      <c r="C73" s="4">
        <f>'GPT-5 Generation'!C73</f>
        <v>0</v>
      </c>
      <c r="D73" s="4">
        <f>'Claude Sonnet 4.5 Gen'!C73</f>
        <v>0</v>
      </c>
      <c r="E73" s="32"/>
    </row>
    <row r="74" spans="1:5" ht="15.75" customHeight="1" x14ac:dyDescent="0.15">
      <c r="A74" s="4" t="str">
        <f>'GPT-5 Generation'!A74</f>
        <v>Guard</v>
      </c>
      <c r="B74" s="4" t="str">
        <f>'GPT-5 Generation'!B74</f>
        <v>additional elements</v>
      </c>
      <c r="C74" s="4">
        <f>'GPT-5 Generation'!C74</f>
        <v>0</v>
      </c>
      <c r="D74" s="4">
        <f>'Claude Sonnet 4.5 Gen'!C74</f>
        <v>0</v>
      </c>
      <c r="E74" s="32"/>
    </row>
    <row r="75" spans="1:5" ht="15.75" customHeight="1" x14ac:dyDescent="0.15">
      <c r="A75" s="4" t="str">
        <f>'GPT-5 Generation'!A75</f>
        <v>Action</v>
      </c>
      <c r="B75" s="4" t="str">
        <f>'GPT-5 Generation'!B75</f>
        <v>additional elements</v>
      </c>
      <c r="C75" s="4">
        <f>'GPT-5 Generation'!C75</f>
        <v>0</v>
      </c>
      <c r="D75" s="4">
        <f>'Claude Sonnet 4.5 Gen'!C75</f>
        <v>0</v>
      </c>
      <c r="E75" s="32"/>
    </row>
    <row r="76" spans="1:5" ht="15.75" customHeight="1" x14ac:dyDescent="0.15">
      <c r="A76" s="4" t="str">
        <f>'GPT-5 Generation'!A76</f>
        <v>Composite State</v>
      </c>
      <c r="B76" s="4" t="str">
        <f>'GPT-5 Generation'!B76</f>
        <v>additional elements</v>
      </c>
      <c r="C76" s="4">
        <f>'GPT-5 Generation'!C76</f>
        <v>0</v>
      </c>
      <c r="D76" s="4">
        <f>'Claude Sonnet 4.5 Gen'!C76</f>
        <v>0</v>
      </c>
      <c r="E76" s="32"/>
    </row>
    <row r="77" spans="1:5" ht="15.75" customHeight="1" x14ac:dyDescent="0.15">
      <c r="A77" s="4" t="str">
        <f>'GPT-5 Generation'!A77</f>
        <v>Region</v>
      </c>
      <c r="B77" s="4" t="str">
        <f>'GPT-5 Generation'!B77</f>
        <v>additional elements</v>
      </c>
      <c r="C77" s="4">
        <f>'GPT-5 Generation'!C77</f>
        <v>0</v>
      </c>
      <c r="D77" s="4">
        <f>'Claude Sonnet 4.5 Gen'!C77</f>
        <v>0</v>
      </c>
      <c r="E77" s="32"/>
    </row>
    <row r="78" spans="1:5" ht="15.75" customHeight="1" x14ac:dyDescent="0.15">
      <c r="A78" s="4" t="str">
        <f>'GPT-5 Generation'!A78</f>
        <v>History State</v>
      </c>
      <c r="B78" s="4" t="str">
        <f>'GPT-5 Generation'!B78</f>
        <v>additional elements</v>
      </c>
      <c r="C78" s="4">
        <f>'GPT-5 Generation'!C78</f>
        <v>0</v>
      </c>
      <c r="D78" s="4">
        <f>'Claude Sonnet 4.5 Gen'!C78</f>
        <v>0</v>
      </c>
      <c r="E78" s="32"/>
    </row>
    <row r="79" spans="1:5" ht="15.75" customHeight="1" x14ac:dyDescent="0.15">
      <c r="A79" s="33"/>
      <c r="B79" s="65"/>
      <c r="C79" s="32"/>
      <c r="D79" s="32"/>
      <c r="E79" s="32"/>
    </row>
    <row r="80" spans="1:5" ht="15.75" customHeight="1" x14ac:dyDescent="0.15">
      <c r="A80" s="33"/>
      <c r="B80" s="65"/>
      <c r="C80" s="32"/>
      <c r="D80" s="32"/>
      <c r="E80" s="32"/>
    </row>
    <row r="81" spans="2:5" ht="15.75" customHeight="1" x14ac:dyDescent="0.15">
      <c r="B81" s="65"/>
      <c r="D81" s="32"/>
      <c r="E81" s="32"/>
    </row>
    <row r="82" spans="2:5" ht="15.75" customHeight="1" x14ac:dyDescent="0.15">
      <c r="B82" s="65"/>
      <c r="D82" s="32"/>
    </row>
    <row r="83" spans="2:5" ht="15.75" customHeight="1" x14ac:dyDescent="0.15">
      <c r="D83" s="3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 Automation System</vt:lpstr>
      <vt:lpstr>GPT-5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2026-05-06T14:55:21Z</dcterms:modified>
</cp:coreProperties>
</file>