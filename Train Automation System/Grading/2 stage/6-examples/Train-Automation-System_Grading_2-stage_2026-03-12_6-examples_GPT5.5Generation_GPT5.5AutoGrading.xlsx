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6-examples/"/>
    </mc:Choice>
  </mc:AlternateContent>
  <xr:revisionPtr revIDLastSave="0" documentId="8_{DA31B90E-EBAF-DC48-B23A-41AD35EB680C}" xr6:coauthVersionLast="47" xr6:coauthVersionMax="47" xr10:uidLastSave="{00000000-0000-0000-0000-000000000000}"/>
  <bookViews>
    <workbookView xWindow="19780" yWindow="-21000" windowWidth="30240" windowHeight="17300" activeTab="2" xr2:uid="{00000000-000D-0000-FFFF-FFFF00000000}"/>
  </bookViews>
  <sheets>
    <sheet name="Train Automation System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F9" i="3" s="1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8" i="3" s="1"/>
  <c r="F6" i="3" l="1"/>
  <c r="C10" i="3"/>
  <c r="E10" i="3"/>
  <c r="F5" i="3"/>
  <c r="D10" i="3"/>
  <c r="F7" i="3"/>
  <c r="G8" i="3"/>
  <c r="F4" i="3"/>
  <c r="B6" i="3"/>
  <c r="G6" i="3" s="1"/>
  <c r="H6" i="3" s="1"/>
  <c r="F10" i="3"/>
  <c r="B4" i="3"/>
  <c r="G4" i="3" s="1"/>
  <c r="B7" i="3"/>
  <c r="G7" i="3" s="1"/>
  <c r="F8" i="3"/>
  <c r="B3" i="3"/>
  <c r="G3" i="3" s="1"/>
  <c r="B9" i="3"/>
  <c r="G9" i="3" s="1"/>
  <c r="H9" i="3" s="1"/>
  <c r="F3" i="3"/>
  <c r="B5" i="3"/>
  <c r="G5" i="3" s="1"/>
  <c r="H5" i="3" s="1"/>
  <c r="H7" i="3" l="1"/>
  <c r="H8" i="3"/>
  <c r="H3" i="3"/>
  <c r="B10" i="3"/>
  <c r="G10" i="3" s="1"/>
  <c r="H10" i="3" s="1"/>
  <c r="H4" i="3"/>
</calcChain>
</file>

<file path=xl/sharedStrings.xml><?xml version="1.0" encoding="utf-8"?>
<sst xmlns="http://schemas.openxmlformats.org/spreadsheetml/2006/main" count="260" uniqueCount="164">
  <si>
    <t>Type</t>
  </si>
  <si>
    <t>Element</t>
  </si>
  <si>
    <t>GPT-5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</si>
  <si>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</si>
  <si>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</si>
  <si>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</si>
  <si>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</si>
  <si>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</si>
  <si>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</si>
  <si>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</si>
  <si>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</si>
  <si>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</si>
  <si>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</si>
  <si>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</si>
  <si>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</si>
  <si>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</si>
  <si>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</si>
  <si>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</si>
  <si>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</si>
  <si>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</si>
  <si>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</si>
  <si>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</si>
  <si>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</si>
  <si>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</si>
  <si>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</si>
  <si>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</si>
  <si>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</si>
  <si>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</si>
  <si>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</si>
  <si>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</si>
  <si>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</si>
  <si>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</si>
  <si>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</si>
  <si>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</si>
  <si>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</si>
  <si>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</si>
  <si>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</si>
  <si>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</si>
  <si>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</si>
  <si>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</si>
  <si>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</si>
  <si>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</si>
  <si>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</si>
  <si>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</si>
  <si>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</si>
  <si>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</si>
  <si>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</si>
  <si>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</si>
  <si>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</si>
  <si>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</si>
  <si>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</si>
  <si>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</si>
  <si>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</si>
  <si>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</si>
  <si>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</si>
  <si>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</si>
  <si>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</si>
  <si>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</si>
  <si>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</si>
  <si>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</si>
  <si>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</si>
  <si>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</si>
  <si>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</si>
  <si>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</si>
  <si>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</si>
  <si>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</si>
  <si>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</si>
  <si>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</si>
  <si>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</si>
  <si>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</si>
  <si>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</si>
  <si>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</si>
  <si>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</si>
  <si>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</si>
  <si>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</si>
  <si>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</si>
  <si>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</si>
  <si>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</si>
  <si>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</si>
  <si>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</si>
  <si>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</si>
  <si>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</si>
  <si>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</si>
  <si>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</si>
  <si>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</si>
  <si>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</si>
  <si>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</si>
  <si>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</si>
  <si>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Initial goes to Inactive rather than a scheduled waiting state but it represents preactivation.</t>
  </si>
  <si>
    <t>Inactive partially represents the scheduled powered off train before activation.</t>
  </si>
  <si>
    <t>scheduledStopBegins activates the train at the beginning of the initial stop period.</t>
  </si>
  <si>
    <t>Activation performs pOn and sets the first segment with setCS.</t>
  </si>
  <si>
    <t>Active composite contains the operating train behavior and monitoring regions.</t>
  </si>
  <si>
    <t>Operation region represents the main train control behavior.</t>
  </si>
  <si>
    <t>Journey composite represents the movement and stopping control.</t>
  </si>
  <si>
    <t>Journey initially enters InitialStationStop which is the first station dwell.</t>
  </si>
  <si>
    <t>Station dwell is represented by InitialStationStop and DwellingAtStation and final dwell.</t>
  </si>
  <si>
    <t>Doors are opened on entering station dwell states and on initial activation.</t>
  </si>
  <si>
    <t>Doors are closed when leaving station dwell states.</t>
  </si>
  <si>
    <t>Initial and intermediate station dwell transition to Running after the stop duration.</t>
  </si>
  <si>
    <t>Nonfinal behavior is encoded by using separate nonfinal station stopping logic.</t>
  </si>
  <si>
    <t>Final station dwell powers off after the stop duration by transitioning to Inactive.</t>
  </si>
  <si>
    <t>Final station behavior is selected with the finalStation guard before the final dwell.</t>
  </si>
  <si>
    <t>FinalStationDwelling performs pOff after the stop duration.</t>
  </si>
  <si>
    <t>Running represents normal travel when no stop is currently required.</t>
  </si>
  <si>
    <t>Speed is set on transitions into and within Running when travel should continue.</t>
  </si>
  <si>
    <t>Running self transition handles entry to a regular segment.</t>
  </si>
  <si>
    <t>Regular segment condition is explicitly checked.</t>
  </si>
  <si>
    <t>Traffic light red segment leads to StoppingAtRedLight.</t>
  </si>
  <si>
    <t>Guard checks traffic light segment and red light.</t>
  </si>
  <si>
    <t>Traffic light segment with nonred light continues Running.</t>
  </si>
  <si>
    <t>Guard checks traffic light segment and not red.</t>
  </si>
  <si>
    <t>Required nonfinal station stop leads to StoppingAtStation.</t>
  </si>
  <si>
    <t>Station stop is guarded by station segment and station on itinerary.</t>
  </si>
  <si>
    <t>StoppingAtRedLight represents approaching a required red light stop.</t>
  </si>
  <si>
    <t>stopAL is called when transitioning to StoppingAtRedLight.</t>
  </si>
  <si>
    <t>Stopped detection moves to WaitingAtRedLight.</t>
  </si>
  <si>
    <t>WaitingAtRedLight represents waiting at a red signal.</t>
  </si>
  <si>
    <t>Green light transition resumes Running with setSpeed.</t>
  </si>
  <si>
    <t>StoppingAtStation represents approaching a station stop.</t>
  </si>
  <si>
    <t>stopAL is called when a station stop is required.</t>
  </si>
  <si>
    <t>Stopped detection moves from station approach to station dwell and opens doors.</t>
  </si>
  <si>
    <t>H and obstructionCleared to H capture resuming the interrupted journey.</t>
  </si>
  <si>
    <t>EmergencyStopped represents the emergency stop condition.</t>
  </si>
  <si>
    <t>ObstructionDetected moves Journey to EmergencyStopped.</t>
  </si>
  <si>
    <t>Emergency transition performs eStop.</t>
  </si>
  <si>
    <t>ObstructionCleared returns from EmergencyStopped to history.</t>
  </si>
  <si>
    <t>SegmentDetection region models the segment detection system.</t>
  </si>
  <si>
    <t>SegmentDetection initially enters MonitoringSegment.</t>
  </si>
  <si>
    <t>MonitoringSegment is the active SDS monitoring state.</t>
  </si>
  <si>
    <t>MonitoringSegment checks for a new segment every second.</t>
  </si>
  <si>
    <t>enteredNewSegment is the equivalent segment change guard.</t>
  </si>
  <si>
    <t>On new segment it sets current segment and raises segmentUpdated.</t>
  </si>
  <si>
    <t>MonitoringSegment also self loops every second when unchanged.</t>
  </si>
  <si>
    <t>The no new segment guard is explicitly modeled.</t>
  </si>
  <si>
    <t>MovementDetection region models the movement detection system.</t>
  </si>
  <si>
    <t>MovementDetection initially enters Stopped.</t>
  </si>
  <si>
    <t>Stopped state is present.</t>
  </si>
  <si>
    <t>Stopped transitions to Moving when trainMoving is true.</t>
  </si>
  <si>
    <t>trainMoving is a reasonable equivalent for positive speed.</t>
  </si>
  <si>
    <t>Stopped self loop occurs when not moving.</t>
  </si>
  <si>
    <t>!trainMoving is a reasonable equivalent for zero speed.</t>
  </si>
  <si>
    <t>The Stopped self loop does not raise stoppedDetected.</t>
  </si>
  <si>
    <t>Moving state is present.</t>
  </si>
  <si>
    <t>Moving transitions to Stopped when train is no longer moving.</t>
  </si>
  <si>
    <t>Moving to Stopped raises stoppedDetected.</t>
  </si>
  <si>
    <t>Moving self loop occurs while trainMoving is true.</t>
  </si>
  <si>
    <t>ObstructionDetection region models the obstruction detection system.</t>
  </si>
  <si>
    <t>ObstructionDetection initially enters TracksClear as the monitoring state.</t>
  </si>
  <si>
    <t>TracksClear and TracksObstructed together represent active obstruction monitoring.</t>
  </si>
  <si>
    <t>TracksClear detects obstruction after one second and triggers the event.</t>
  </si>
  <si>
    <t>tracksObstructed is the equivalent obstruction guard.</t>
  </si>
  <si>
    <t>raiseObstructionDetected initiates the emergency transition.</t>
  </si>
  <si>
    <t>TracksClear self loops every second when no obstruction is present.</t>
  </si>
  <si>
    <t>!tracksObstructed is the equivalent no obstruction guard.</t>
  </si>
  <si>
    <t>No distinct Arrived state is modeled but final power off goes to Inactive.</t>
  </si>
  <si>
    <t>Extra states such as separate final dwell and obstruction states are reasonable refinements.</t>
  </si>
  <si>
    <t>Extra transitions for final station handling and obstruction clearing are consistent with the description.</t>
  </si>
  <si>
    <t>Extra guards such as finalStation and stationOnItinerary refine required behavior.</t>
  </si>
  <si>
    <t>Extra event raising and door actions support the modeled behavior.</t>
  </si>
  <si>
    <t>No fundamentally incorrect extra composite states are present.</t>
  </si>
  <si>
    <t>No fundamentally incorrect extra regions are present.</t>
  </si>
  <si>
    <t>The extra named history element is intended for emergency resume behavior.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</si>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</sst>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5"/>
  </cellStyleXfs>
  <cellXfs count="3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 applyBorder="1"/>
    <xf numFmtId="0" fontId="6" fillId="5" borderId="6" xfId="0" applyFont="1" applyFill="1" applyBorder="1" applyAlignment="1">
      <alignment horizontal="center"/>
    </xf>
    <xf numFmtId="0" fontId="5" fillId="3" borderId="0" xfId="0" applyFont="1" applyFill="1" applyBorder="1"/>
    <xf numFmtId="0" fontId="7" fillId="6" borderId="6" xfId="0" applyFont="1" applyFill="1" applyBorder="1" applyAlignment="1">
      <alignment wrapText="1"/>
    </xf>
    <xf numFmtId="0" fontId="5" fillId="0" borderId="6" xfId="0" applyFont="1" applyBorder="1" applyAlignment="1">
      <alignment horizontal="right"/>
    </xf>
    <xf numFmtId="0" fontId="5" fillId="0" borderId="0" xfId="0" applyFont="1" applyBorder="1"/>
    <xf numFmtId="0" fontId="6" fillId="0" borderId="6" xfId="0" applyFont="1" applyBorder="1"/>
    <xf numFmtId="0" fontId="0" fillId="8" borderId="0" xfId="0" applyFill="1" applyBorder="1"/>
    <xf numFmtId="0" fontId="8" fillId="7" borderId="0" xfId="0" applyFont="1" applyFill="1" applyBorder="1"/>
    <xf numFmtId="0" fontId="6" fillId="5" borderId="7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Human Grading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LLM Grading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Metrics-style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Metrics-style 2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Inter-rater-style" pivot="0" count="3" xr9:uid="{00000000-0011-0000-FFFF-FFFF05000000}">
      <tableStyleElement type="headerRow" dxfId="7"/>
      <tableStyleElement type="firstRowStripe" dxfId="6"/>
      <tableStyleElement type="secondRowStripe" dxfId="5"/>
    </tableStyle>
    <tableStyle name="Weighted Cohens Kappa-style" pivot="0" count="3" xr9:uid="{00000000-0011-0000-FFFF-FFFF06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 dataDxfId="0">
  <tableColumns count="1">
    <tableColumn id="1" xr3:uid="{00000000-0010-0000-0300-000001000000}" name="LLM Used" dataDxfId="1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5"/>
      <c r="D2" s="5"/>
    </row>
    <row r="3" spans="1:4" ht="12.75" customHeight="1" x14ac:dyDescent="0.15">
      <c r="A3" s="4" t="str">
        <f>'GPT-5 Generation'!A3</f>
        <v>State</v>
      </c>
      <c r="B3" s="4" t="str">
        <f>'GPT-5 Generation'!B3</f>
        <v>Scheduled</v>
      </c>
      <c r="C3" s="5"/>
      <c r="D3" s="5"/>
    </row>
    <row r="4" spans="1:4" ht="12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5"/>
      <c r="D4" s="5"/>
    </row>
    <row r="5" spans="1:4" ht="12.75" customHeight="1" x14ac:dyDescent="0.15">
      <c r="A5" s="4" t="str">
        <f>'GPT-5 Generation'!A5</f>
        <v>Action</v>
      </c>
      <c r="B5" s="4" t="str">
        <f>'GPT-5 Generation'!B5</f>
        <v>pOn; setCS;</v>
      </c>
      <c r="C5" s="5"/>
      <c r="D5" s="5"/>
    </row>
    <row r="6" spans="1:4" ht="12.75" customHeight="1" x14ac:dyDescent="0.15">
      <c r="A6" s="4" t="str">
        <f>'GPT-5 Generation'!A6</f>
        <v>Composite State</v>
      </c>
      <c r="B6" s="4" t="str">
        <f>'GPT-5 Generation'!B6</f>
        <v>Active</v>
      </c>
      <c r="C6" s="5"/>
      <c r="D6" s="5"/>
    </row>
    <row r="7" spans="1:4" ht="12.75" customHeight="1" x14ac:dyDescent="0.15">
      <c r="A7" s="4" t="str">
        <f>'GPT-5 Generation'!A7</f>
        <v>Region</v>
      </c>
      <c r="B7" s="4" t="str">
        <f>'GPT-5 Generation'!B7</f>
        <v>TrainControl</v>
      </c>
      <c r="C7" s="5"/>
      <c r="D7" s="5"/>
    </row>
    <row r="8" spans="1:4" ht="12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5"/>
      <c r="D8" s="5"/>
    </row>
    <row r="9" spans="1:4" ht="12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5"/>
      <c r="D9" s="5"/>
    </row>
    <row r="10" spans="1:4" ht="12.75" customHeight="1" x14ac:dyDescent="0.15">
      <c r="A10" s="4" t="str">
        <f>'GPT-5 Generation'!A10</f>
        <v>State</v>
      </c>
      <c r="B10" s="4" t="str">
        <f>'GPT-5 Generation'!B10</f>
        <v>AtStation</v>
      </c>
      <c r="C10" s="5"/>
      <c r="D10" s="5"/>
    </row>
    <row r="11" spans="1:4" ht="12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5"/>
      <c r="D11" s="5"/>
    </row>
    <row r="12" spans="1:4" ht="12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5"/>
      <c r="D12" s="5"/>
    </row>
    <row r="13" spans="1:4" ht="12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5"/>
      <c r="D13" s="5"/>
    </row>
    <row r="14" spans="1:4" ht="12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5"/>
      <c r="D14" s="5"/>
    </row>
    <row r="15" spans="1:4" ht="12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5"/>
      <c r="D15" s="5"/>
    </row>
    <row r="16" spans="1:4" ht="12.75" customHeight="1" x14ac:dyDescent="0.15">
      <c r="A16" s="4" t="str">
        <f>'GPT-5 Generation'!A16</f>
        <v>Guard</v>
      </c>
      <c r="B16" s="4" t="str">
        <f>'GPT-5 Generation'!B16</f>
        <v>[isLastStop()]</v>
      </c>
      <c r="C16" s="5"/>
      <c r="D16" s="5"/>
    </row>
    <row r="17" spans="1:22" ht="15" customHeight="1" x14ac:dyDescent="0.15">
      <c r="A17" s="4" t="str">
        <f>'GPT-5 Generation'!A17</f>
        <v>Action</v>
      </c>
      <c r="B17" s="4" t="str">
        <f>'GPT-5 Generation'!B17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5"/>
      <c r="D18" s="5"/>
    </row>
    <row r="19" spans="1:22" ht="12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5"/>
      <c r="D19" s="5"/>
    </row>
    <row r="20" spans="1:22" ht="12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5"/>
      <c r="D20" s="5"/>
    </row>
    <row r="21" spans="1:22" ht="12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5"/>
      <c r="D21" s="5"/>
    </row>
    <row r="22" spans="1:22" ht="12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5"/>
      <c r="D24" s="5"/>
    </row>
    <row r="25" spans="1:22" ht="12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5"/>
      <c r="D25" s="5"/>
    </row>
    <row r="26" spans="1:22" ht="1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5"/>
      <c r="D26" s="5"/>
    </row>
    <row r="27" spans="1:22" ht="12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5"/>
      <c r="D27" s="5"/>
    </row>
    <row r="28" spans="1:22" ht="12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5"/>
      <c r="D28" s="5"/>
    </row>
    <row r="29" spans="1:22" ht="12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5"/>
      <c r="D29" s="5"/>
    </row>
    <row r="30" spans="1:22" ht="12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5"/>
      <c r="D32" s="5"/>
    </row>
    <row r="33" spans="1:22" ht="12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5"/>
      <c r="D33" s="5"/>
    </row>
    <row r="34" spans="1:22" ht="12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5"/>
      <c r="D34" s="5"/>
    </row>
    <row r="35" spans="1:22" ht="12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5"/>
      <c r="D35" s="5"/>
    </row>
    <row r="36" spans="1:22" ht="12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5"/>
      <c r="D36" s="5"/>
    </row>
    <row r="37" spans="1:22" ht="12.75" customHeight="1" x14ac:dyDescent="0.15">
      <c r="A37" s="4" t="str">
        <f>'GPT-5 Generation'!A37</f>
        <v>State</v>
      </c>
      <c r="B37" s="4" t="str">
        <f>'GPT-5 Generation'!B37</f>
        <v>Emergency</v>
      </c>
      <c r="C37" s="5"/>
      <c r="D37" s="5"/>
    </row>
    <row r="38" spans="1:22" ht="1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'GPT-5 Generation'!A39</f>
        <v>Action</v>
      </c>
      <c r="B39" s="4" t="str">
        <f>'GPT-5 Generation'!B39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'GPT-5 Generation'!A41</f>
        <v>Region</v>
      </c>
      <c r="B41" s="4" t="str">
        <f>'GPT-5 Generation'!B41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'GPT-5 Generation'!A43</f>
        <v>State</v>
      </c>
      <c r="B43" s="4" t="str">
        <f>'GPT-5 Generation'!B43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5"/>
      <c r="D48" s="5"/>
    </row>
    <row r="49" spans="1:4" ht="12.75" customHeight="1" x14ac:dyDescent="0.15">
      <c r="A49" s="4" t="str">
        <f>'GPT-5 Generation'!A49</f>
        <v>Region</v>
      </c>
      <c r="B49" s="4" t="str">
        <f>'GPT-5 Generation'!B49</f>
        <v>MDS</v>
      </c>
      <c r="C49" s="5"/>
      <c r="D49" s="5"/>
    </row>
    <row r="50" spans="1:4" ht="12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5"/>
      <c r="D50" s="5"/>
    </row>
    <row r="51" spans="1:4" ht="12.75" customHeight="1" x14ac:dyDescent="0.15">
      <c r="A51" s="4" t="str">
        <f>'GPT-5 Generation'!A51</f>
        <v>State</v>
      </c>
      <c r="B51" s="4" t="str">
        <f>'GPT-5 Generation'!B51</f>
        <v>Stopped</v>
      </c>
      <c r="C51" s="5"/>
      <c r="D51" s="5"/>
    </row>
    <row r="52" spans="1:4" ht="12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5"/>
      <c r="D52" s="5"/>
    </row>
    <row r="53" spans="1:4" ht="12.75" customHeight="1" x14ac:dyDescent="0.15">
      <c r="A53" s="4" t="str">
        <f>'GPT-5 Generation'!A53</f>
        <v>Guard</v>
      </c>
      <c r="B53" s="4" t="str">
        <f>'GPT-5 Generation'!B53</f>
        <v>[speed &gt; 0]</v>
      </c>
      <c r="C53" s="5"/>
      <c r="D53" s="5"/>
    </row>
    <row r="54" spans="1:4" ht="12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5"/>
      <c r="D54" s="5"/>
    </row>
    <row r="55" spans="1:4" ht="12.75" customHeight="1" x14ac:dyDescent="0.15">
      <c r="A55" s="4" t="str">
        <f>'GPT-5 Generation'!A55</f>
        <v>Guard</v>
      </c>
      <c r="B55" s="4" t="str">
        <f>'GPT-5 Generation'!B55</f>
        <v>[speed == 0]</v>
      </c>
      <c r="C55" s="5"/>
      <c r="D55" s="5"/>
    </row>
    <row r="56" spans="1:4" ht="12.75" customHeight="1" x14ac:dyDescent="0.15">
      <c r="A56" s="4" t="str">
        <f>'GPT-5 Generation'!A56</f>
        <v>Action</v>
      </c>
      <c r="B56" s="4" t="str">
        <f>'GPT-5 Generation'!B56</f>
        <v>stopped()</v>
      </c>
      <c r="C56" s="5"/>
      <c r="D56" s="5"/>
    </row>
    <row r="57" spans="1:4" ht="12.75" customHeight="1" x14ac:dyDescent="0.15">
      <c r="A57" s="4" t="str">
        <f>'GPT-5 Generation'!A57</f>
        <v>State</v>
      </c>
      <c r="B57" s="4" t="str">
        <f>'GPT-5 Generation'!B57</f>
        <v>Moving</v>
      </c>
      <c r="C57" s="5"/>
      <c r="D57" s="5"/>
    </row>
    <row r="58" spans="1:4" ht="12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5"/>
      <c r="D58" s="5"/>
    </row>
    <row r="59" spans="1:4" ht="12.75" customHeight="1" x14ac:dyDescent="0.15">
      <c r="A59" s="4" t="str">
        <f>'GPT-5 Generation'!A59</f>
        <v>Guard</v>
      </c>
      <c r="B59" s="4" t="str">
        <f>'GPT-5 Generation'!B59</f>
        <v>[speed == 0]</v>
      </c>
      <c r="C59" s="5"/>
      <c r="D59" s="5"/>
    </row>
    <row r="60" spans="1:4" ht="12.75" customHeight="1" x14ac:dyDescent="0.15">
      <c r="A60" s="4" t="str">
        <f>'GPT-5 Generation'!A60</f>
        <v>Action</v>
      </c>
      <c r="B60" s="4" t="str">
        <f>'GPT-5 Generation'!B60</f>
        <v>stopped()</v>
      </c>
      <c r="C60" s="5"/>
      <c r="D60" s="5"/>
    </row>
    <row r="61" spans="1:4" ht="12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5"/>
      <c r="D61" s="5"/>
    </row>
    <row r="62" spans="1:4" ht="12.75" customHeight="1" x14ac:dyDescent="0.15">
      <c r="A62" s="4" t="str">
        <f>'GPT-5 Generation'!A62</f>
        <v>Guard</v>
      </c>
      <c r="B62" s="4" t="str">
        <f>'GPT-5 Generation'!B62</f>
        <v>[speed &gt; 0]</v>
      </c>
      <c r="C62" s="5"/>
      <c r="D62" s="5"/>
    </row>
    <row r="63" spans="1:4" ht="12.75" customHeight="1" x14ac:dyDescent="0.15">
      <c r="A63" s="4" t="str">
        <f>'GPT-5 Generation'!A63</f>
        <v>Region</v>
      </c>
      <c r="B63" s="4" t="str">
        <f>'GPT-5 Generation'!B63</f>
        <v>ODS</v>
      </c>
      <c r="C63" s="5"/>
      <c r="D63" s="5"/>
    </row>
    <row r="64" spans="1:4" ht="12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5"/>
      <c r="D64" s="5"/>
    </row>
    <row r="65" spans="1:4" ht="12.75" customHeight="1" x14ac:dyDescent="0.15">
      <c r="A65" s="4" t="str">
        <f>'GPT-5 Generation'!A65</f>
        <v>State</v>
      </c>
      <c r="B65" s="4" t="str">
        <f>'GPT-5 Generation'!B65</f>
        <v>ODSActive</v>
      </c>
      <c r="C65" s="5"/>
      <c r="D65" s="5"/>
    </row>
    <row r="66" spans="1:4" ht="12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5"/>
      <c r="D66" s="5"/>
    </row>
    <row r="67" spans="1:4" ht="12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5"/>
      <c r="D67" s="5"/>
    </row>
    <row r="68" spans="1:4" ht="12.75" customHeight="1" x14ac:dyDescent="0.15">
      <c r="A68" s="4" t="str">
        <f>'GPT-5 Generation'!A68</f>
        <v>Action</v>
      </c>
      <c r="B68" s="4" t="str">
        <f>'GPT-5 Generation'!B68</f>
        <v>emergency()</v>
      </c>
    </row>
    <row r="69" spans="1:4" ht="12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</row>
    <row r="70" spans="1:4" ht="12.75" customHeight="1" x14ac:dyDescent="0.15">
      <c r="A70" s="4" t="str">
        <f>'GPT-5 Generation'!A70</f>
        <v>Guard</v>
      </c>
      <c r="B70" s="4" t="str">
        <f>'GPT-5 Generation'!B70</f>
        <v>[!obstacleDetected()]</v>
      </c>
    </row>
    <row r="71" spans="1:4" ht="12.75" customHeight="1" x14ac:dyDescent="0.15">
      <c r="A71" s="6" t="str">
        <f>'GPT-5 Generation'!A71</f>
        <v>State</v>
      </c>
      <c r="B71" s="6" t="str">
        <f>'GPT-5 Generation'!B71</f>
        <v>Arrived</v>
      </c>
    </row>
    <row r="72" spans="1:4" ht="12.75" customHeight="1" x14ac:dyDescent="0.15">
      <c r="A72" s="7" t="str">
        <f>'GPT-5 Generation'!A72</f>
        <v>State</v>
      </c>
      <c r="B72" s="7" t="str">
        <f>'GPT-5 Generation'!B72</f>
        <v>additional elements</v>
      </c>
    </row>
    <row r="73" spans="1:4" ht="12.75" customHeight="1" x14ac:dyDescent="0.15">
      <c r="A73" s="4" t="str">
        <f>'GPT-5 Generation'!A73</f>
        <v>Transition</v>
      </c>
      <c r="B73" s="4" t="str">
        <f>'GPT-5 Generation'!B73</f>
        <v>additional elements</v>
      </c>
    </row>
    <row r="74" spans="1:4" ht="12.75" customHeight="1" x14ac:dyDescent="0.15">
      <c r="A74" s="4" t="str">
        <f>'GPT-5 Generation'!A74</f>
        <v>Guard</v>
      </c>
      <c r="B74" s="4" t="str">
        <f>'GPT-5 Generation'!B74</f>
        <v>additional elements</v>
      </c>
    </row>
    <row r="75" spans="1:4" ht="12.75" customHeight="1" x14ac:dyDescent="0.15">
      <c r="A75" s="4" t="str">
        <f>'GPT-5 Generation'!A75</f>
        <v>Action</v>
      </c>
      <c r="B75" s="4" t="str">
        <f>'GPT-5 Generation'!B75</f>
        <v>additional elements</v>
      </c>
    </row>
    <row r="76" spans="1:4" ht="12.75" customHeight="1" x14ac:dyDescent="0.15">
      <c r="A76" s="4" t="str">
        <f>'GPT-5 Generation'!A76</f>
        <v>Composite State</v>
      </c>
      <c r="B76" s="4" t="str">
        <f>'GPT-5 Generation'!B76</f>
        <v>additional elements</v>
      </c>
    </row>
    <row r="77" spans="1:4" ht="12.75" customHeight="1" x14ac:dyDescent="0.15">
      <c r="A77" s="4" t="str">
        <f>'GPT-5 Generation'!A77</f>
        <v>Region</v>
      </c>
      <c r="B77" s="4" t="str">
        <f>'GPT-5 Generation'!B77</f>
        <v>additional elements</v>
      </c>
    </row>
    <row r="78" spans="1:4" ht="12.75" customHeight="1" x14ac:dyDescent="0.15">
      <c r="A78" s="4" t="str">
        <f>'GPT-5 Generation'!A78</f>
        <v>History State</v>
      </c>
      <c r="B78" s="4" t="str">
        <f>'GPT-5 Generation'!B78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topLeftCell="A45" workbookViewId="0">
      <selection activeCell="D19" sqref="D19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0.5</v>
      </c>
      <c r="D2" s="12" t="s">
        <v>88</v>
      </c>
    </row>
    <row r="3" spans="1:4" ht="12.75" customHeight="1" x14ac:dyDescent="0.15">
      <c r="A3" s="13" t="s">
        <v>4</v>
      </c>
      <c r="B3" s="14" t="s">
        <v>6</v>
      </c>
      <c r="C3" s="14">
        <v>0.5</v>
      </c>
      <c r="D3" s="15" t="s">
        <v>89</v>
      </c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 t="s">
        <v>90</v>
      </c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 t="s">
        <v>91</v>
      </c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 t="s">
        <v>92</v>
      </c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 t="s">
        <v>93</v>
      </c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 t="s">
        <v>94</v>
      </c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 t="s">
        <v>95</v>
      </c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 t="s">
        <v>96</v>
      </c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 t="s">
        <v>97</v>
      </c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 t="s">
        <v>98</v>
      </c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 t="s">
        <v>99</v>
      </c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 t="s">
        <v>100</v>
      </c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 t="s">
        <v>101</v>
      </c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 t="s">
        <v>102</v>
      </c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 t="s">
        <v>103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 t="s">
        <v>104</v>
      </c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 t="s">
        <v>105</v>
      </c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 t="s">
        <v>106</v>
      </c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 t="s">
        <v>107</v>
      </c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 t="s">
        <v>108</v>
      </c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 t="s">
        <v>109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 t="s">
        <v>110</v>
      </c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 t="s">
        <v>111</v>
      </c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 t="s">
        <v>112</v>
      </c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 t="s">
        <v>113</v>
      </c>
    </row>
    <row r="28" spans="1:22" ht="12.75" customHeight="1" x14ac:dyDescent="0.15">
      <c r="A28" s="11" t="s">
        <v>4</v>
      </c>
      <c r="B28" s="4" t="s">
        <v>35</v>
      </c>
      <c r="C28" s="4">
        <v>1</v>
      </c>
      <c r="D28" s="12" t="s">
        <v>114</v>
      </c>
    </row>
    <row r="29" spans="1:22" ht="12.75" customHeight="1" x14ac:dyDescent="0.15">
      <c r="A29" s="13" t="s">
        <v>9</v>
      </c>
      <c r="B29" s="14" t="s">
        <v>36</v>
      </c>
      <c r="C29" s="14">
        <v>1</v>
      </c>
      <c r="D29" s="15" t="s">
        <v>115</v>
      </c>
    </row>
    <row r="30" spans="1:22" ht="12.75" customHeight="1" x14ac:dyDescent="0.15">
      <c r="A30" s="11" t="s">
        <v>7</v>
      </c>
      <c r="B30" s="4" t="s">
        <v>37</v>
      </c>
      <c r="C30" s="4">
        <v>1</v>
      </c>
      <c r="D30" s="12" t="s">
        <v>116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14">
        <v>1</v>
      </c>
      <c r="D31" s="15" t="s">
        <v>117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1</v>
      </c>
      <c r="D32" s="12" t="s">
        <v>118</v>
      </c>
    </row>
    <row r="33" spans="1:22" ht="12.75" customHeight="1" x14ac:dyDescent="0.15">
      <c r="A33" s="13" t="s">
        <v>4</v>
      </c>
      <c r="B33" s="14" t="s">
        <v>40</v>
      </c>
      <c r="C33" s="14">
        <v>1</v>
      </c>
      <c r="D33" s="12" t="s">
        <v>119</v>
      </c>
    </row>
    <row r="34" spans="1:22" ht="12.75" customHeight="1" x14ac:dyDescent="0.15">
      <c r="A34" s="11" t="s">
        <v>9</v>
      </c>
      <c r="B34" s="4" t="s">
        <v>36</v>
      </c>
      <c r="C34" s="4">
        <v>1</v>
      </c>
      <c r="D34" s="12" t="s">
        <v>120</v>
      </c>
    </row>
    <row r="35" spans="1:22" ht="12.75" customHeight="1" x14ac:dyDescent="0.15">
      <c r="A35" s="13" t="s">
        <v>7</v>
      </c>
      <c r="B35" s="14" t="s">
        <v>41</v>
      </c>
      <c r="C35" s="14">
        <v>1</v>
      </c>
      <c r="D35" s="15" t="s">
        <v>121</v>
      </c>
    </row>
    <row r="36" spans="1:22" ht="12.75" customHeight="1" x14ac:dyDescent="0.15">
      <c r="A36" s="11" t="s">
        <v>42</v>
      </c>
      <c r="B36" s="4" t="s">
        <v>43</v>
      </c>
      <c r="C36" s="4">
        <v>1</v>
      </c>
      <c r="D36" s="12" t="s">
        <v>122</v>
      </c>
    </row>
    <row r="37" spans="1:22" ht="12.75" customHeight="1" x14ac:dyDescent="0.15">
      <c r="A37" s="11" t="s">
        <v>4</v>
      </c>
      <c r="B37" s="4" t="s">
        <v>44</v>
      </c>
      <c r="C37" s="4">
        <v>1</v>
      </c>
      <c r="D37" s="12" t="s">
        <v>123</v>
      </c>
    </row>
    <row r="38" spans="1:22" ht="15" customHeight="1" x14ac:dyDescent="0.15">
      <c r="A38" s="13" t="s">
        <v>7</v>
      </c>
      <c r="B38" s="14" t="s">
        <v>45</v>
      </c>
      <c r="C38" s="14">
        <v>1</v>
      </c>
      <c r="D38" s="15" t="s">
        <v>124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 t="s">
        <v>125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14">
        <v>1</v>
      </c>
      <c r="D40" s="15" t="s">
        <v>126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 t="s">
        <v>127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 t="s">
        <v>128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 t="s">
        <v>129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1</v>
      </c>
      <c r="D44" s="15" t="s">
        <v>130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1</v>
      </c>
      <c r="D45" s="12" t="s">
        <v>131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1</v>
      </c>
      <c r="D46" s="15" t="s">
        <v>132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1</v>
      </c>
      <c r="D47" s="12" t="s">
        <v>133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1</v>
      </c>
      <c r="D48" s="15" t="s">
        <v>134</v>
      </c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 t="s">
        <v>135</v>
      </c>
    </row>
    <row r="50" spans="1:4" ht="12.75" customHeight="1" x14ac:dyDescent="0.15">
      <c r="A50" s="13" t="s">
        <v>4</v>
      </c>
      <c r="B50" s="14" t="s">
        <v>56</v>
      </c>
      <c r="C50" s="14">
        <v>1</v>
      </c>
      <c r="D50" s="15" t="s">
        <v>136</v>
      </c>
    </row>
    <row r="51" spans="1:4" ht="12.75" customHeight="1" x14ac:dyDescent="0.15">
      <c r="A51" s="11" t="s">
        <v>4</v>
      </c>
      <c r="B51" s="4" t="s">
        <v>57</v>
      </c>
      <c r="C51" s="4">
        <v>1</v>
      </c>
      <c r="D51" s="12" t="s">
        <v>137</v>
      </c>
    </row>
    <row r="52" spans="1:4" ht="12.75" customHeight="1" x14ac:dyDescent="0.15">
      <c r="A52" s="13" t="s">
        <v>7</v>
      </c>
      <c r="B52" s="14" t="s">
        <v>58</v>
      </c>
      <c r="C52" s="14">
        <v>1</v>
      </c>
      <c r="D52" s="15" t="s">
        <v>138</v>
      </c>
    </row>
    <row r="53" spans="1:4" ht="12.75" customHeight="1" x14ac:dyDescent="0.15">
      <c r="A53" s="11" t="s">
        <v>21</v>
      </c>
      <c r="B53" s="4" t="s">
        <v>59</v>
      </c>
      <c r="C53" s="16">
        <v>1</v>
      </c>
      <c r="D53" s="12" t="s">
        <v>139</v>
      </c>
    </row>
    <row r="54" spans="1:4" ht="12.75" customHeight="1" x14ac:dyDescent="0.15">
      <c r="A54" s="13" t="s">
        <v>7</v>
      </c>
      <c r="B54" s="14" t="s">
        <v>60</v>
      </c>
      <c r="C54" s="14">
        <v>1</v>
      </c>
      <c r="D54" s="15" t="s">
        <v>140</v>
      </c>
    </row>
    <row r="55" spans="1:4" ht="12.75" customHeight="1" x14ac:dyDescent="0.15">
      <c r="A55" s="11" t="s">
        <v>21</v>
      </c>
      <c r="B55" s="4" t="s">
        <v>61</v>
      </c>
      <c r="C55" s="4">
        <v>1</v>
      </c>
      <c r="D55" s="12" t="s">
        <v>141</v>
      </c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 t="s">
        <v>142</v>
      </c>
    </row>
    <row r="57" spans="1:4" ht="12.75" customHeight="1" x14ac:dyDescent="0.15">
      <c r="A57" s="13" t="s">
        <v>4</v>
      </c>
      <c r="B57" s="14" t="s">
        <v>63</v>
      </c>
      <c r="C57" s="4">
        <v>1</v>
      </c>
      <c r="D57" s="12" t="s">
        <v>143</v>
      </c>
    </row>
    <row r="58" spans="1:4" ht="12.75" customHeight="1" x14ac:dyDescent="0.15">
      <c r="A58" s="13" t="s">
        <v>7</v>
      </c>
      <c r="B58" s="14" t="s">
        <v>64</v>
      </c>
      <c r="C58" s="14">
        <v>1</v>
      </c>
      <c r="D58" s="15" t="s">
        <v>144</v>
      </c>
    </row>
    <row r="59" spans="1:4" ht="12.75" customHeight="1" x14ac:dyDescent="0.15">
      <c r="A59" s="13" t="s">
        <v>21</v>
      </c>
      <c r="B59" s="14" t="s">
        <v>61</v>
      </c>
      <c r="C59" s="4">
        <v>1</v>
      </c>
      <c r="D59" s="12" t="s">
        <v>141</v>
      </c>
    </row>
    <row r="60" spans="1:4" ht="12.75" customHeight="1" x14ac:dyDescent="0.15">
      <c r="A60" s="13" t="s">
        <v>9</v>
      </c>
      <c r="B60" s="14" t="s">
        <v>62</v>
      </c>
      <c r="C60" s="14">
        <v>1</v>
      </c>
      <c r="D60" s="15" t="s">
        <v>145</v>
      </c>
    </row>
    <row r="61" spans="1:4" ht="12.75" customHeight="1" x14ac:dyDescent="0.15">
      <c r="A61" s="17" t="s">
        <v>7</v>
      </c>
      <c r="B61" s="18" t="s">
        <v>65</v>
      </c>
      <c r="C61" s="18">
        <v>1</v>
      </c>
      <c r="D61" s="19" t="s">
        <v>146</v>
      </c>
    </row>
    <row r="62" spans="1:4" ht="12.75" customHeight="1" x14ac:dyDescent="0.15">
      <c r="A62" s="17" t="s">
        <v>21</v>
      </c>
      <c r="B62" s="18" t="s">
        <v>59</v>
      </c>
      <c r="C62" s="18">
        <v>1</v>
      </c>
      <c r="D62" s="12" t="s">
        <v>139</v>
      </c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 t="s">
        <v>147</v>
      </c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 t="s">
        <v>148</v>
      </c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 t="s">
        <v>149</v>
      </c>
    </row>
    <row r="66" spans="1:4" ht="12.75" customHeight="1" x14ac:dyDescent="0.15">
      <c r="A66" s="17" t="s">
        <v>7</v>
      </c>
      <c r="B66" s="18" t="s">
        <v>69</v>
      </c>
      <c r="C66" s="18">
        <v>1</v>
      </c>
      <c r="D66" s="19" t="s">
        <v>150</v>
      </c>
    </row>
    <row r="67" spans="1:4" ht="12.75" customHeight="1" x14ac:dyDescent="0.15">
      <c r="A67" s="17" t="s">
        <v>21</v>
      </c>
      <c r="B67" s="18" t="s">
        <v>70</v>
      </c>
      <c r="C67" s="18">
        <v>1</v>
      </c>
      <c r="D67" s="19" t="s">
        <v>151</v>
      </c>
    </row>
    <row r="68" spans="1:4" ht="12.75" customHeight="1" x14ac:dyDescent="0.15">
      <c r="A68" s="17" t="s">
        <v>9</v>
      </c>
      <c r="B68" s="18" t="s">
        <v>71</v>
      </c>
      <c r="C68" s="18">
        <v>1</v>
      </c>
      <c r="D68" s="19" t="s">
        <v>152</v>
      </c>
    </row>
    <row r="69" spans="1:4" ht="12.75" customHeight="1" x14ac:dyDescent="0.15">
      <c r="A69" s="17" t="s">
        <v>7</v>
      </c>
      <c r="B69" s="18" t="s">
        <v>69</v>
      </c>
      <c r="C69" s="18">
        <v>1</v>
      </c>
      <c r="D69" s="19" t="s">
        <v>153</v>
      </c>
    </row>
    <row r="70" spans="1:4" ht="12.75" customHeight="1" x14ac:dyDescent="0.15">
      <c r="A70" s="17" t="s">
        <v>21</v>
      </c>
      <c r="B70" s="18" t="s">
        <v>72</v>
      </c>
      <c r="C70" s="18">
        <v>1</v>
      </c>
      <c r="D70" s="19" t="s">
        <v>154</v>
      </c>
    </row>
    <row r="71" spans="1:4" ht="12.75" customHeight="1" x14ac:dyDescent="0.15">
      <c r="A71" s="17" t="s">
        <v>4</v>
      </c>
      <c r="B71" s="18" t="s">
        <v>73</v>
      </c>
      <c r="C71" s="18">
        <v>0.5</v>
      </c>
      <c r="D71" s="19" t="s">
        <v>155</v>
      </c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 t="s">
        <v>156</v>
      </c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 t="s">
        <v>157</v>
      </c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 t="s">
        <v>158</v>
      </c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 t="s">
        <v>159</v>
      </c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 t="s">
        <v>160</v>
      </c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 t="s">
        <v>161</v>
      </c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 t="s">
        <v>162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G8" sqref="G8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31" t="s">
        <v>75</v>
      </c>
      <c r="B1" s="31"/>
      <c r="C1" s="31"/>
      <c r="D1" s="31"/>
      <c r="E1" s="31"/>
      <c r="F1" s="31"/>
      <c r="G1" s="31"/>
      <c r="H1" s="31"/>
      <c r="J1" s="22" t="s">
        <v>76</v>
      </c>
    </row>
    <row r="2" spans="1:10" ht="15.75" customHeight="1" x14ac:dyDescent="0.15">
      <c r="A2" s="23" t="s">
        <v>0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J2" s="24" t="s">
        <v>84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SUMIF('GPT-5 Generation'!$A$2:$A$71, $A3, 'GPT-5 Generation'!$C$2:$C$71)</f>
        <v>2</v>
      </c>
      <c r="D3" s="26">
        <f>SUMIF('GPT-5 Generation'!$A$72:$A$78, $A3, 'GPT-5 Generation'!$C$72:$C$78)</f>
        <v>0</v>
      </c>
      <c r="E3" s="26">
        <f>COUNTIFS('GPT-5 Generation'!$A$2:$A$71, $A3, 'GPT-5 Generation'!$C$2:$C$71,0)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SUMIF('GPT-5 Generation'!$A$2:$A$71, $A4, 'GPT-5 Generation'!$C$2:$C$71)</f>
        <v>15.5</v>
      </c>
      <c r="D4" s="26">
        <f>SUMIF('GPT-5 Generation'!$A$72:$A$78, $A4, 'GPT-5 Generation'!$C$72:$C$78)</f>
        <v>0</v>
      </c>
      <c r="E4" s="26">
        <f>COUNTIFS('GPT-5 Generation'!$A$2:$A$71, $A4, 'GPT-5 Generation'!$C$2:$C$71,0)</f>
        <v>0</v>
      </c>
      <c r="F4" s="26">
        <f t="shared" si="0"/>
        <v>1</v>
      </c>
      <c r="G4" s="26">
        <f t="shared" si="1"/>
        <v>0.91176470588235292</v>
      </c>
      <c r="H4" s="26">
        <f t="shared" si="2"/>
        <v>0.9538461538461539</v>
      </c>
      <c r="J4" s="22" t="s">
        <v>85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SUMIF('GPT-5 Generation'!$A$2:$A$71, $A5, 'GPT-5 Generation'!$C$2:$C$71)</f>
        <v>20</v>
      </c>
      <c r="D5" s="26">
        <f>SUMIF('GPT-5 Generation'!$A$72:$A$78, $A5, 'GPT-5 Generation'!$C$72:$C$78)</f>
        <v>0</v>
      </c>
      <c r="E5" s="26">
        <f>COUNTIFS('GPT-5 Generation'!$A$2:$A$71, $A5, 'GPT-5 Generation'!$C$2:$C$71,0)</f>
        <v>0</v>
      </c>
      <c r="F5" s="26">
        <f t="shared" si="0"/>
        <v>1</v>
      </c>
      <c r="G5" s="26">
        <f t="shared" si="1"/>
        <v>1</v>
      </c>
      <c r="H5" s="26">
        <f t="shared" si="2"/>
        <v>1</v>
      </c>
      <c r="J5" s="30" t="s">
        <v>163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SUMIF('GPT-5 Generation'!$A$2:$A$71, $A6, 'GPT-5 Generation'!$C$2:$C$71)</f>
        <v>11</v>
      </c>
      <c r="D6" s="26">
        <f>SUMIF('GPT-5 Generation'!$A$72:$A$78, $A6, 'GPT-5 Generation'!$C$72:$C$78)</f>
        <v>0</v>
      </c>
      <c r="E6" s="26">
        <f>COUNTIFS('GPT-5 Generation'!$A$2:$A$71, $A6, 'GPT-5 Generation'!$C$2:$C$71,0)</f>
        <v>1</v>
      </c>
      <c r="F6" s="26">
        <f t="shared" si="0"/>
        <v>1</v>
      </c>
      <c r="G6" s="26">
        <f t="shared" si="1"/>
        <v>0.91666666666666663</v>
      </c>
      <c r="H6" s="26">
        <f t="shared" si="2"/>
        <v>0.95652173913043481</v>
      </c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SUMIF('GPT-5 Generation'!$A$2:$A$71, $A7, 'GPT-5 Generation'!$C$2:$C$71)</f>
        <v>4</v>
      </c>
      <c r="D7" s="26">
        <f>SUMIF('GPT-5 Generation'!$A$72:$A$78, $A7, 'GPT-5 Generation'!$C$72:$C$78)</f>
        <v>0</v>
      </c>
      <c r="E7" s="26">
        <f>COUNTIFS('GPT-5 Generation'!$A$2:$A$71, $A7, 'GPT-5 Generation'!$C$2:$C$71,0)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  <c r="J7" s="29" t="s">
        <v>86</v>
      </c>
    </row>
    <row r="8" spans="1:10" ht="15.75" customHeight="1" x14ac:dyDescent="0.15">
      <c r="A8" s="28" t="s">
        <v>42</v>
      </c>
      <c r="B8" s="26">
        <f>COUNTIF('Train Automation System'!$A$2:$A$71, A8)</f>
        <v>1</v>
      </c>
      <c r="C8" s="26">
        <f>SUMIF('GPT-5 Generation'!$A$2:$A$71, $A8, 'GPT-5 Generation'!$C$2:$C$71)</f>
        <v>1</v>
      </c>
      <c r="D8" s="26">
        <f>SUMIF('GPT-5 Generation'!$A$72:$A$78, $A8, 'GPT-5 Generation'!$C$72:$C$78)</f>
        <v>0</v>
      </c>
      <c r="E8" s="26">
        <f>COUNTIFS('GPT-5 Generation'!$A$2:$A$71, $A8, 'GPT-5 Generation'!$C$2:$C$71,0)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30" t="s">
        <v>163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SUMIF('GPT-5 Generation'!$A$2:$A$71, $A9, 'GPT-5 Generation'!$C$2:$C$71)</f>
        <v>14</v>
      </c>
      <c r="D9" s="26">
        <f>SUMIF('GPT-5 Generation'!$A$72:$A$78, $A9, 'GPT-5 Generation'!$C$72:$C$78)</f>
        <v>0</v>
      </c>
      <c r="E9" s="26">
        <f>COUNTIFS('GPT-5 Generation'!$A$2:$A$71, $A9, 'GPT-5 Generation'!$C$2:$C$71,0)</f>
        <v>0</v>
      </c>
      <c r="F9" s="26">
        <f t="shared" si="0"/>
        <v>1</v>
      </c>
      <c r="G9" s="26">
        <f t="shared" si="1"/>
        <v>1</v>
      </c>
      <c r="H9" s="26">
        <f t="shared" si="2"/>
        <v>1</v>
      </c>
    </row>
    <row r="10" spans="1:10" ht="15.75" customHeight="1" x14ac:dyDescent="0.15">
      <c r="A10" s="28" t="s">
        <v>87</v>
      </c>
      <c r="B10" s="26">
        <f>SUM(B3:B9)</f>
        <v>70</v>
      </c>
      <c r="C10" s="26">
        <f>SUM(C3:C9)</f>
        <v>67.5</v>
      </c>
      <c r="D10" s="26">
        <f>SUM(D3:D9)</f>
        <v>0</v>
      </c>
      <c r="E10" s="26">
        <f>SUM(E3:E9)</f>
        <v>1</v>
      </c>
      <c r="F10" s="26">
        <f t="shared" si="0"/>
        <v>1</v>
      </c>
      <c r="G10" s="26">
        <f t="shared" si="1"/>
        <v>0.9642857142857143</v>
      </c>
      <c r="H10" s="26">
        <f t="shared" si="2"/>
        <v>0.98181818181818181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Automation System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2026-05-13T16:55:11Z</dcterms:modified>
</cp:coreProperties>
</file>