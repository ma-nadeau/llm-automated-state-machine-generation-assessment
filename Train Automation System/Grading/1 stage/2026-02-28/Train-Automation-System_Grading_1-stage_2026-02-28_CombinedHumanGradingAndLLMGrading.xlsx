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Evaluations 2/Train Automation System/Grading/1 stage/2026-02-28/"/>
    </mc:Choice>
  </mc:AlternateContent>
  <xr:revisionPtr revIDLastSave="0" documentId="13_ncr:1_{FF988477-BA73-BD4C-8150-5B1A2031C1F6}" xr6:coauthVersionLast="47" xr6:coauthVersionMax="47" xr10:uidLastSave="{00000000-0000-0000-0000-000000000000}"/>
  <bookViews>
    <workbookView xWindow="-20" yWindow="660" windowWidth="30240" windowHeight="17480" activeTab="5" xr2:uid="{00000000-000D-0000-FFFF-FFFF00000000}"/>
  </bookViews>
  <sheets>
    <sheet name="Train Automation System" sheetId="1" r:id="rId1"/>
    <sheet name="Human Grading" sheetId="2" r:id="rId2"/>
    <sheet name="LLM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UJWQ8A5RSaQVzHPf4vmy2RMzI+O8QosDM836PNEQFI="/>
    </ext>
  </extLst>
</workbook>
</file>

<file path=xl/calcChain.xml><?xml version="1.0" encoding="utf-8"?>
<calcChain xmlns="http://schemas.openxmlformats.org/spreadsheetml/2006/main">
  <c r="D78" i="6" l="1"/>
  <c r="C78" i="6"/>
  <c r="B78" i="6"/>
  <c r="A78" i="6"/>
  <c r="D77" i="6"/>
  <c r="C77" i="6"/>
  <c r="B77" i="6"/>
  <c r="A77" i="6"/>
  <c r="D76" i="6"/>
  <c r="I24" i="6" s="1"/>
  <c r="C76" i="6"/>
  <c r="B76" i="6"/>
  <c r="A76" i="6"/>
  <c r="D75" i="6"/>
  <c r="I38" i="6" s="1"/>
  <c r="C75" i="6"/>
  <c r="B75" i="6"/>
  <c r="A75" i="6"/>
  <c r="D74" i="6"/>
  <c r="I31" i="6" s="1"/>
  <c r="C74" i="6"/>
  <c r="G33" i="6" s="1"/>
  <c r="B74" i="6"/>
  <c r="A74" i="6"/>
  <c r="D73" i="6"/>
  <c r="C73" i="6"/>
  <c r="B73" i="6"/>
  <c r="A73" i="6"/>
  <c r="D72" i="6"/>
  <c r="I3" i="6" s="1"/>
  <c r="C72" i="6"/>
  <c r="G5" i="6" s="1"/>
  <c r="B72" i="6"/>
  <c r="A72" i="6"/>
  <c r="D71" i="6"/>
  <c r="C71" i="6"/>
  <c r="B71" i="6"/>
  <c r="A71" i="6"/>
  <c r="D70" i="6"/>
  <c r="C70" i="6"/>
  <c r="B70" i="6"/>
  <c r="A70" i="6"/>
  <c r="D69" i="6"/>
  <c r="C69" i="6"/>
  <c r="B69" i="6"/>
  <c r="A69" i="6"/>
  <c r="D68" i="6"/>
  <c r="C68" i="6"/>
  <c r="B68" i="6"/>
  <c r="A68" i="6"/>
  <c r="D67" i="6"/>
  <c r="C67" i="6"/>
  <c r="B67" i="6"/>
  <c r="A67" i="6"/>
  <c r="D66" i="6"/>
  <c r="C66" i="6"/>
  <c r="B66" i="6"/>
  <c r="A66" i="6"/>
  <c r="D65" i="6"/>
  <c r="C65" i="6"/>
  <c r="B65" i="6"/>
  <c r="A65" i="6"/>
  <c r="D64" i="6"/>
  <c r="C64" i="6"/>
  <c r="B64" i="6"/>
  <c r="A64" i="6"/>
  <c r="D63" i="6"/>
  <c r="C63" i="6"/>
  <c r="B63" i="6"/>
  <c r="A63" i="6"/>
  <c r="D62" i="6"/>
  <c r="C62" i="6"/>
  <c r="B62" i="6"/>
  <c r="A62" i="6"/>
  <c r="D61" i="6"/>
  <c r="C61" i="6"/>
  <c r="B61" i="6"/>
  <c r="A61" i="6"/>
  <c r="D60" i="6"/>
  <c r="C60" i="6"/>
  <c r="B60" i="6"/>
  <c r="A60" i="6"/>
  <c r="D59" i="6"/>
  <c r="C59" i="6"/>
  <c r="B59" i="6"/>
  <c r="A59" i="6"/>
  <c r="D58" i="6"/>
  <c r="C58" i="6"/>
  <c r="B58" i="6"/>
  <c r="A58" i="6"/>
  <c r="D57" i="6"/>
  <c r="C57" i="6"/>
  <c r="B57" i="6"/>
  <c r="A57" i="6"/>
  <c r="D56" i="6"/>
  <c r="C56" i="6"/>
  <c r="B56" i="6"/>
  <c r="A56" i="6"/>
  <c r="D55" i="6"/>
  <c r="C55" i="6"/>
  <c r="B55" i="6"/>
  <c r="A55" i="6"/>
  <c r="O54" i="6"/>
  <c r="N54" i="6"/>
  <c r="M54" i="6"/>
  <c r="D54" i="6"/>
  <c r="C54" i="6"/>
  <c r="B54" i="6"/>
  <c r="A54" i="6"/>
  <c r="O53" i="6"/>
  <c r="N53" i="6"/>
  <c r="M53" i="6"/>
  <c r="D53" i="6"/>
  <c r="C53" i="6"/>
  <c r="B53" i="6"/>
  <c r="A53" i="6"/>
  <c r="O52" i="6"/>
  <c r="N52" i="6"/>
  <c r="M52" i="6"/>
  <c r="D52" i="6"/>
  <c r="C52" i="6"/>
  <c r="B52" i="6"/>
  <c r="A52" i="6"/>
  <c r="V51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I38" i="5" s="1"/>
  <c r="C75" i="5"/>
  <c r="G40" i="5" s="1"/>
  <c r="B75" i="5"/>
  <c r="A75" i="5"/>
  <c r="D74" i="5"/>
  <c r="I31" i="5" s="1"/>
  <c r="C74" i="5"/>
  <c r="G33" i="5" s="1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H3" i="5"/>
  <c r="D3" i="5"/>
  <c r="C3" i="5"/>
  <c r="B3" i="5"/>
  <c r="A3" i="5"/>
  <c r="D2" i="5"/>
  <c r="C2" i="5"/>
  <c r="B2" i="5"/>
  <c r="A2" i="5"/>
  <c r="E20" i="4"/>
  <c r="D20" i="4"/>
  <c r="C20" i="4"/>
  <c r="E19" i="4"/>
  <c r="D19" i="4"/>
  <c r="C19" i="4"/>
  <c r="E18" i="4"/>
  <c r="D18" i="4"/>
  <c r="C18" i="4"/>
  <c r="E17" i="4"/>
  <c r="D17" i="4"/>
  <c r="C17" i="4"/>
  <c r="E16" i="4"/>
  <c r="D16" i="4"/>
  <c r="C16" i="4"/>
  <c r="E15" i="4"/>
  <c r="D15" i="4"/>
  <c r="C15" i="4"/>
  <c r="E14" i="4"/>
  <c r="E21" i="4" s="1"/>
  <c r="D14" i="4"/>
  <c r="D21" i="4" s="1"/>
  <c r="C14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E3" i="4"/>
  <c r="E10" i="4" s="1"/>
  <c r="D3" i="4"/>
  <c r="D10" i="4" s="1"/>
  <c r="C3" i="4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  <c r="H45" i="6" l="1"/>
  <c r="I10" i="6"/>
  <c r="G47" i="6"/>
  <c r="I46" i="6"/>
  <c r="H46" i="6"/>
  <c r="G46" i="6"/>
  <c r="J46" i="6" s="1"/>
  <c r="I45" i="6"/>
  <c r="G45" i="6"/>
  <c r="I40" i="6"/>
  <c r="G40" i="6"/>
  <c r="I39" i="6"/>
  <c r="I41" i="6" s="1"/>
  <c r="G39" i="6"/>
  <c r="H39" i="6"/>
  <c r="H40" i="6"/>
  <c r="H47" i="6"/>
  <c r="G26" i="6"/>
  <c r="H19" i="6"/>
  <c r="H52" i="6"/>
  <c r="I52" i="6"/>
  <c r="H54" i="6"/>
  <c r="I54" i="6"/>
  <c r="H11" i="6"/>
  <c r="G12" i="6"/>
  <c r="I47" i="6"/>
  <c r="H12" i="6"/>
  <c r="G17" i="6"/>
  <c r="H17" i="6"/>
  <c r="G53" i="6"/>
  <c r="G18" i="6"/>
  <c r="H18" i="6"/>
  <c r="I26" i="6"/>
  <c r="H26" i="6"/>
  <c r="H53" i="6"/>
  <c r="I25" i="6"/>
  <c r="I27" i="6" s="1"/>
  <c r="H25" i="6"/>
  <c r="G25" i="6"/>
  <c r="J25" i="6" s="1"/>
  <c r="I17" i="6"/>
  <c r="I20" i="6" s="1"/>
  <c r="I12" i="6"/>
  <c r="I11" i="6"/>
  <c r="G11" i="6"/>
  <c r="I53" i="6"/>
  <c r="I18" i="6"/>
  <c r="G19" i="6"/>
  <c r="G52" i="6"/>
  <c r="G54" i="6"/>
  <c r="J54" i="6" s="1"/>
  <c r="I19" i="6"/>
  <c r="H3" i="6"/>
  <c r="I4" i="6"/>
  <c r="I6" i="6" s="1"/>
  <c r="G4" i="6"/>
  <c r="H4" i="6"/>
  <c r="G3" i="6"/>
  <c r="I5" i="6"/>
  <c r="H5" i="6"/>
  <c r="H24" i="6"/>
  <c r="G31" i="6"/>
  <c r="H31" i="6"/>
  <c r="G32" i="6"/>
  <c r="H32" i="6"/>
  <c r="I32" i="6"/>
  <c r="H33" i="6"/>
  <c r="I33" i="6"/>
  <c r="G24" i="6"/>
  <c r="G38" i="6"/>
  <c r="H10" i="6"/>
  <c r="G10" i="6"/>
  <c r="H38" i="6"/>
  <c r="G52" i="5"/>
  <c r="H25" i="5"/>
  <c r="I54" i="5"/>
  <c r="G54" i="5"/>
  <c r="J54" i="5" s="1"/>
  <c r="I53" i="5"/>
  <c r="H53" i="5"/>
  <c r="G53" i="5"/>
  <c r="J53" i="5" s="1"/>
  <c r="I52" i="5"/>
  <c r="H52" i="5"/>
  <c r="I47" i="5"/>
  <c r="H47" i="5"/>
  <c r="G47" i="5"/>
  <c r="J47" i="5" s="1"/>
  <c r="I46" i="5"/>
  <c r="H46" i="5"/>
  <c r="G46" i="5"/>
  <c r="J46" i="5" s="1"/>
  <c r="I45" i="5"/>
  <c r="I48" i="5" s="1"/>
  <c r="G45" i="5"/>
  <c r="H18" i="5"/>
  <c r="H54" i="5"/>
  <c r="G19" i="5"/>
  <c r="H19" i="5"/>
  <c r="H45" i="5"/>
  <c r="H48" i="5" s="1"/>
  <c r="I19" i="5"/>
  <c r="G17" i="5"/>
  <c r="I17" i="5"/>
  <c r="G18" i="5"/>
  <c r="I18" i="5"/>
  <c r="G24" i="5"/>
  <c r="I39" i="5"/>
  <c r="H39" i="5"/>
  <c r="G39" i="5"/>
  <c r="J39" i="5" s="1"/>
  <c r="H24" i="5"/>
  <c r="H38" i="5"/>
  <c r="G38" i="5"/>
  <c r="I33" i="5"/>
  <c r="H33" i="5"/>
  <c r="J33" i="5" s="1"/>
  <c r="I24" i="5"/>
  <c r="I32" i="5"/>
  <c r="I34" i="5" s="1"/>
  <c r="H32" i="5"/>
  <c r="G32" i="5"/>
  <c r="G25" i="5"/>
  <c r="H31" i="5"/>
  <c r="H34" i="5" s="1"/>
  <c r="G31" i="5"/>
  <c r="I26" i="5"/>
  <c r="H26" i="5"/>
  <c r="G26" i="5"/>
  <c r="I25" i="5"/>
  <c r="H17" i="5"/>
  <c r="H20" i="5" s="1"/>
  <c r="G3" i="5"/>
  <c r="G5" i="5"/>
  <c r="I3" i="5"/>
  <c r="I12" i="5"/>
  <c r="G12" i="5"/>
  <c r="J12" i="5" s="1"/>
  <c r="I11" i="5"/>
  <c r="G11" i="5"/>
  <c r="I10" i="5"/>
  <c r="G10" i="5"/>
  <c r="H12" i="5"/>
  <c r="H4" i="5"/>
  <c r="H11" i="5"/>
  <c r="H10" i="5"/>
  <c r="H5" i="5"/>
  <c r="G4" i="5"/>
  <c r="I5" i="5"/>
  <c r="I4" i="5"/>
  <c r="I40" i="5"/>
  <c r="H40" i="5"/>
  <c r="J40" i="5" s="1"/>
  <c r="F20" i="4"/>
  <c r="G20" i="4"/>
  <c r="F19" i="4"/>
  <c r="G19" i="4"/>
  <c r="G18" i="4"/>
  <c r="F18" i="4"/>
  <c r="H18" i="4" s="1"/>
  <c r="F17" i="4"/>
  <c r="F16" i="4"/>
  <c r="F15" i="4"/>
  <c r="F14" i="4"/>
  <c r="C21" i="4"/>
  <c r="F9" i="4"/>
  <c r="F8" i="4"/>
  <c r="F7" i="4"/>
  <c r="F6" i="4"/>
  <c r="F5" i="4"/>
  <c r="F4" i="4"/>
  <c r="F3" i="4"/>
  <c r="C10" i="4"/>
  <c r="B17" i="4"/>
  <c r="G17" i="4" s="1"/>
  <c r="H17" i="4" s="1"/>
  <c r="B16" i="4"/>
  <c r="G16" i="4" s="1"/>
  <c r="H16" i="4" s="1"/>
  <c r="B18" i="4"/>
  <c r="B19" i="4"/>
  <c r="B15" i="4"/>
  <c r="G15" i="4" s="1"/>
  <c r="B20" i="4"/>
  <c r="B14" i="4"/>
  <c r="B7" i="4"/>
  <c r="G7" i="4" s="1"/>
  <c r="H7" i="4" s="1"/>
  <c r="B9" i="4"/>
  <c r="G9" i="4" s="1"/>
  <c r="H9" i="4" s="1"/>
  <c r="B5" i="4"/>
  <c r="G5" i="4" s="1"/>
  <c r="B3" i="4"/>
  <c r="G3" i="4" s="1"/>
  <c r="B8" i="4"/>
  <c r="G8" i="4" s="1"/>
  <c r="H8" i="4" s="1"/>
  <c r="B6" i="4"/>
  <c r="G6" i="4" s="1"/>
  <c r="B4" i="4"/>
  <c r="G4" i="4" s="1"/>
  <c r="J45" i="6" l="1"/>
  <c r="J48" i="6"/>
  <c r="W45" i="6"/>
  <c r="G48" i="6"/>
  <c r="W17" i="6"/>
  <c r="G20" i="6"/>
  <c r="J20" i="6"/>
  <c r="J17" i="6"/>
  <c r="R25" i="6"/>
  <c r="J52" i="6"/>
  <c r="G55" i="6"/>
  <c r="J55" i="6"/>
  <c r="W52" i="6" s="1"/>
  <c r="R54" i="6"/>
  <c r="J3" i="6"/>
  <c r="G6" i="6"/>
  <c r="J6" i="6"/>
  <c r="W3" i="6" s="1"/>
  <c r="J31" i="6"/>
  <c r="G34" i="6"/>
  <c r="J34" i="6"/>
  <c r="W31" i="6" s="1"/>
  <c r="J24" i="6"/>
  <c r="G27" i="6"/>
  <c r="J27" i="6"/>
  <c r="J38" i="6"/>
  <c r="G41" i="6"/>
  <c r="J41" i="6"/>
  <c r="W38" i="6" s="1"/>
  <c r="J10" i="6"/>
  <c r="J13" i="6"/>
  <c r="W10" i="6"/>
  <c r="G13" i="6"/>
  <c r="J52" i="5"/>
  <c r="M52" i="5"/>
  <c r="G55" i="5"/>
  <c r="J45" i="5"/>
  <c r="M46" i="5" s="1" a="1"/>
  <c r="M46" i="5" s="1"/>
  <c r="M45" i="5"/>
  <c r="G48" i="5"/>
  <c r="J17" i="5"/>
  <c r="M18" i="5" s="1" a="1"/>
  <c r="M18" i="5" s="1"/>
  <c r="M17" i="5"/>
  <c r="G20" i="5"/>
  <c r="J24" i="5"/>
  <c r="M25" i="5" s="1" a="1"/>
  <c r="M25" i="5" s="1"/>
  <c r="M24" i="5"/>
  <c r="G27" i="5"/>
  <c r="J38" i="5"/>
  <c r="M38" i="5"/>
  <c r="G41" i="5"/>
  <c r="J31" i="5"/>
  <c r="M32" i="5" s="1" a="1"/>
  <c r="M32" i="5" s="1"/>
  <c r="M31" i="5"/>
  <c r="G34" i="5"/>
  <c r="M3" i="5"/>
  <c r="G6" i="5"/>
  <c r="J3" i="5"/>
  <c r="M4" i="5" s="1" a="1"/>
  <c r="M4" i="5" s="1"/>
  <c r="J10" i="5"/>
  <c r="M11" i="5" s="1" a="1"/>
  <c r="M11" i="5" s="1"/>
  <c r="M10" i="5"/>
  <c r="G13" i="5"/>
  <c r="F21" i="4"/>
  <c r="G21" i="4"/>
  <c r="F10" i="4"/>
  <c r="G10" i="4"/>
  <c r="H55" i="6"/>
  <c r="S54" i="6" s="1"/>
  <c r="I55" i="6"/>
  <c r="T54" i="6" s="1"/>
  <c r="J5" i="6"/>
  <c r="H27" i="6"/>
  <c r="S25" i="6" s="1"/>
  <c r="H34" i="6"/>
  <c r="J32" i="6"/>
  <c r="I34" i="6"/>
  <c r="J33" i="6"/>
  <c r="H13" i="6"/>
  <c r="I20" i="5"/>
  <c r="H41" i="5"/>
  <c r="H27" i="5"/>
  <c r="I27" i="5"/>
  <c r="H13" i="5"/>
  <c r="I55" i="5"/>
  <c r="H55" i="5"/>
  <c r="J19" i="5"/>
  <c r="J18" i="5"/>
  <c r="I41" i="5"/>
  <c r="J26" i="5"/>
  <c r="I6" i="5"/>
  <c r="J11" i="5"/>
  <c r="J32" i="5"/>
  <c r="J25" i="5"/>
  <c r="I13" i="5"/>
  <c r="H6" i="5"/>
  <c r="H15" i="4"/>
  <c r="H6" i="4"/>
  <c r="H3" i="4"/>
  <c r="I13" i="6"/>
  <c r="J47" i="6"/>
  <c r="I48" i="6"/>
  <c r="H41" i="6"/>
  <c r="J12" i="6"/>
  <c r="J53" i="6"/>
  <c r="J18" i="6"/>
  <c r="J11" i="6"/>
  <c r="J19" i="6"/>
  <c r="J5" i="5"/>
  <c r="J4" i="5"/>
  <c r="H20" i="4"/>
  <c r="H19" i="4"/>
  <c r="H5" i="4"/>
  <c r="H4" i="4"/>
  <c r="B10" i="4"/>
  <c r="H48" i="6"/>
  <c r="J40" i="6"/>
  <c r="J39" i="6"/>
  <c r="J26" i="6"/>
  <c r="H20" i="6"/>
  <c r="H6" i="6"/>
  <c r="J4" i="6"/>
  <c r="B21" i="4"/>
  <c r="G14" i="4"/>
  <c r="H14" i="4" s="1"/>
  <c r="R45" i="6" l="1"/>
  <c r="S45" i="6"/>
  <c r="T45" i="6"/>
  <c r="R17" i="6"/>
  <c r="T17" i="6"/>
  <c r="S17" i="6"/>
  <c r="R52" i="6"/>
  <c r="S52" i="6"/>
  <c r="T52" i="6"/>
  <c r="R3" i="6"/>
  <c r="S3" i="6"/>
  <c r="T3" i="6"/>
  <c r="R31" i="6"/>
  <c r="S31" i="6"/>
  <c r="T31" i="6"/>
  <c r="R24" i="6"/>
  <c r="S24" i="6"/>
  <c r="T24" i="6"/>
  <c r="T38" i="6"/>
  <c r="R38" i="6"/>
  <c r="S38" i="6"/>
  <c r="S10" i="6"/>
  <c r="T10" i="6"/>
  <c r="R10" i="6"/>
  <c r="W11" i="6" s="1"/>
  <c r="W12" i="6" s="1"/>
  <c r="R5" i="6"/>
  <c r="S5" i="6"/>
  <c r="T5" i="6"/>
  <c r="T32" i="6"/>
  <c r="S32" i="6"/>
  <c r="R32" i="6"/>
  <c r="R33" i="6"/>
  <c r="S33" i="6"/>
  <c r="T33" i="6"/>
  <c r="R47" i="6"/>
  <c r="T47" i="6"/>
  <c r="S47" i="6"/>
  <c r="T12" i="6"/>
  <c r="S12" i="6"/>
  <c r="R12" i="6"/>
  <c r="T53" i="6"/>
  <c r="S53" i="6"/>
  <c r="R53" i="6"/>
  <c r="T18" i="6"/>
  <c r="S18" i="6"/>
  <c r="R18" i="6"/>
  <c r="R11" i="6"/>
  <c r="T11" i="6"/>
  <c r="S11" i="6"/>
  <c r="T19" i="6"/>
  <c r="S19" i="6"/>
  <c r="R19" i="6"/>
  <c r="T40" i="6"/>
  <c r="S40" i="6"/>
  <c r="R40" i="6"/>
  <c r="T39" i="6"/>
  <c r="S39" i="6"/>
  <c r="R39" i="6"/>
  <c r="T26" i="6"/>
  <c r="S26" i="6"/>
  <c r="R26" i="6"/>
  <c r="T4" i="6"/>
  <c r="S4" i="6"/>
  <c r="R4" i="6"/>
  <c r="M19" i="5"/>
  <c r="M53" i="5" a="1"/>
  <c r="M53" i="5" s="1"/>
  <c r="M54" i="5" s="1"/>
  <c r="M12" i="5"/>
  <c r="H21" i="4"/>
  <c r="H10" i="4"/>
  <c r="M33" i="5"/>
  <c r="M47" i="5"/>
  <c r="M26" i="5"/>
  <c r="M39" i="5" a="1"/>
  <c r="M39" i="5" s="1"/>
  <c r="M40" i="5" s="1"/>
  <c r="M5" i="5"/>
  <c r="R46" i="6"/>
  <c r="S46" i="6"/>
  <c r="T46" i="6"/>
  <c r="T25" i="6"/>
  <c r="W24" i="6"/>
  <c r="W46" i="6" l="1"/>
  <c r="W47" i="6" s="1"/>
  <c r="W32" i="6"/>
  <c r="W33" i="6" s="1"/>
  <c r="W25" i="6"/>
  <c r="W26" i="6" s="1"/>
  <c r="W39" i="6"/>
  <c r="W40" i="6" s="1"/>
  <c r="W53" i="6"/>
  <c r="W54" i="6" s="1"/>
  <c r="W4" i="6"/>
  <c r="W5" i="6" s="1"/>
  <c r="W18" i="6"/>
  <c r="W19" i="6" s="1"/>
</calcChain>
</file>

<file path=xl/sharedStrings.xml><?xml version="1.0" encoding="utf-8"?>
<sst xmlns="http://schemas.openxmlformats.org/spreadsheetml/2006/main" count="760" uniqueCount="208">
  <si>
    <t>Type</t>
  </si>
  <si>
    <t>Element</t>
  </si>
  <si>
    <t>Rater 1</t>
  </si>
  <si>
    <t>Notes</t>
  </si>
  <si>
    <t>State</t>
  </si>
  <si>
    <t>Initial state (→ Scheduled)</t>
  </si>
  <si>
    <t>Scheduled</t>
  </si>
  <si>
    <t>Transition</t>
  </si>
  <si>
    <t>at beginningStopDuration (Scheduled ⇒ Active)</t>
  </si>
  <si>
    <t>Action</t>
  </si>
  <si>
    <t>pOn; setCS;</t>
  </si>
  <si>
    <t>Composite State</t>
  </si>
  <si>
    <t>Active</t>
  </si>
  <si>
    <t>Region</t>
  </si>
  <si>
    <t>TrainControl</t>
  </si>
  <si>
    <t>TrainMovement</t>
  </si>
  <si>
    <t>Initial state (TrainMovement → AtStation)</t>
  </si>
  <si>
    <t>AtStation</t>
  </si>
  <si>
    <t>entry / openDoors()</t>
  </si>
  <si>
    <t>exit / closeDoors()</t>
  </si>
  <si>
    <t>after stopDuration (AtStation ⇒ StopNotRequired)</t>
  </si>
  <si>
    <t>Guard</t>
  </si>
  <si>
    <t>[!isLastStop()]</t>
  </si>
  <si>
    <t>after stopDuration (AtStation ⇒ Arrived)</t>
  </si>
  <si>
    <t>[isLastStop()]</t>
  </si>
  <si>
    <t>pOff;</t>
  </si>
  <si>
    <t>StopNotRequired</t>
  </si>
  <si>
    <t>entry / setSpeed()</t>
  </si>
  <si>
    <t>enteringSegment (StopNotRequired ⇒ StopNotRequired)</t>
  </si>
  <si>
    <t>[isRegularSegment()]</t>
  </si>
  <si>
    <t>enteringSegment (StopNotRequired ⇒ ApproachingRedLight)</t>
  </si>
  <si>
    <t>[isTrafficLightSegment() &amp;&amp; isRed()]</t>
  </si>
  <si>
    <t>[isTrafficLightSegment() &amp;&amp; !isRed()]</t>
  </si>
  <si>
    <t>enteringSegment (StopNotRequired ⇒ ApproachingStation)</t>
  </si>
  <si>
    <t>[isStationSegment() &amp;&amp; stopRequired()]</t>
  </si>
  <si>
    <t>ApproachingRedLight</t>
  </si>
  <si>
    <t>entry / stopAL</t>
  </si>
  <si>
    <t>stopped (ApproachingRedLight ⇒ AtRedTrafficLight)</t>
  </si>
  <si>
    <t>AtRedTrafficLight</t>
  </si>
  <si>
    <t>green (AtRedTrafficLight ⇒ StopNotRequired)</t>
  </si>
  <si>
    <t>ApproachingStation</t>
  </si>
  <si>
    <t>stopped (ApproachingStation ⇒ AtStation)</t>
  </si>
  <si>
    <t>History State</t>
  </si>
  <si>
    <t>History State for TrainMovement</t>
  </si>
  <si>
    <t>Emergency</t>
  </si>
  <si>
    <t>emergency (TrainMovement ⇒ Emergency)</t>
  </si>
  <si>
    <t>eStop;</t>
  </si>
  <si>
    <t>clear (Emergency ⇒ History State)</t>
  </si>
  <si>
    <t>SDS</t>
  </si>
  <si>
    <t>Initial state (SDS → SDSActive)</t>
  </si>
  <si>
    <t>SDSActive</t>
  </si>
  <si>
    <t>after 1 sec (SDSActive ⇒ SDSActive)</t>
  </si>
  <si>
    <t>[hasSegmentChanged()]</t>
  </si>
  <si>
    <t>setCS; enteringSegment()</t>
  </si>
  <si>
    <t>[!hasSegmentChanged()]</t>
  </si>
  <si>
    <t>MDS</t>
  </si>
  <si>
    <t>Initial state (MDS → Stopped)</t>
  </si>
  <si>
    <t>Stopped</t>
  </si>
  <si>
    <t>after 1 sec (Stopped ⇒ Moving)</t>
  </si>
  <si>
    <t>[speed &gt; 0]</t>
  </si>
  <si>
    <t>after 1 sec (Stopped ⇒ Stopped)</t>
  </si>
  <si>
    <t>[speed == 0]</t>
  </si>
  <si>
    <t>stopped()</t>
  </si>
  <si>
    <t>Moving</t>
  </si>
  <si>
    <t>after 1 sec (Moving ⇒ Stopped)</t>
  </si>
  <si>
    <t>after 1 sec (Moving ⇒ Moving)</t>
  </si>
  <si>
    <t>ODS</t>
  </si>
  <si>
    <t>Initial state (ODS → ODSActive)</t>
  </si>
  <si>
    <t>ODSActive</t>
  </si>
  <si>
    <t>after 1 sec (ODSActive ⇒ ODSActive)</t>
  </si>
  <si>
    <t>[obstacleDetected()]</t>
  </si>
  <si>
    <t>emergency()</t>
  </si>
  <si>
    <t>[!obstacleDetected()]</t>
  </si>
  <si>
    <t>Arrived</t>
  </si>
  <si>
    <t>additional elements</t>
  </si>
  <si>
    <t>LLM Grading</t>
  </si>
  <si>
    <t>Student model starts at PoweredOff instead of Scheduled; does not represent the scheduled state before train activation</t>
  </si>
  <si>
    <t>No Scheduled state exists in student submission</t>
  </si>
  <si>
    <t>at_beginningStopDuration (Scheduled ⇒ Active)</t>
  </si>
  <si>
    <t>Transition exists as scheduledDeparture from PoweredOff to PoweredOn but does not capture the scheduled state or the timing semantics of beginningStopDuration</t>
  </si>
  <si>
    <t>Actions pOn() and setCS(firstSegment) are present on the initial transition</t>
  </si>
  <si>
    <t>PoweredOn composite state serves the same purpose as Active</t>
  </si>
  <si>
    <t>TrainControl region exists within PoweredOn</t>
  </si>
  <si>
    <t>No TrainMovement composite state; train control logic is flat within TrainControl region</t>
  </si>
  <si>
    <t>Initial state in TrainControl goes to Idle not AtStation</t>
  </si>
  <si>
    <t>AtStation composite state exists but is not the initial state of train movement</t>
  </si>
  <si>
    <t>Entry Action</t>
  </si>
  <si>
    <t>openDoors()</t>
  </si>
  <si>
    <t>openDoors() action exists but on transition to AtStation rather than as entry action</t>
  </si>
  <si>
    <t>Exit Action</t>
  </si>
  <si>
    <t>closeDoors()</t>
  </si>
  <si>
    <t>No exit action for closeDoors; doors are closed via explicit DoorsClosing state</t>
  </si>
  <si>
    <t>Transition exists from Waiting to DoorsClosing after stopDuration but target is Moving not StopNotRequired</t>
  </si>
  <si>
    <t>Guard [!isFinalStation()] on transition from DoorsClosing to Moving captures this condition</t>
  </si>
  <si>
    <t>Transition from DoorsClosing to PoweredOff with guard [isFinalStation()] represents this but target is PoweredOff not Arrived</t>
  </si>
  <si>
    <t>Guard [isFinalStation()] on transition from DoorsClosing captures this condition</t>
  </si>
  <si>
    <t>pOff() action present on transition from DoorsClosing when at final station</t>
  </si>
  <si>
    <t>No StopNotRequired state; Moving state serves a similar purpose but semantics differ</t>
  </si>
  <si>
    <t>setSpeed()</t>
  </si>
  <si>
    <t>setSpeed() called on transitions but not as entry action of a dedicated state</t>
  </si>
  <si>
    <t>Self-transition on Moving with enteredNewSegment for regular segments exists but source/target state names differ</t>
  </si>
  <si>
    <t>Guard isRegular(segment) present on Moving self-transition</t>
  </si>
  <si>
    <t>Transition from Moving to StoppingAtLight for red traffic light exists but state names differ</t>
  </si>
  <si>
    <t>Guard isTrafficLight(segment) &amp;&amp; lightIsRed(segment) present on transition to StoppingAtLight</t>
  </si>
  <si>
    <t>Self-transition on Moving for green traffic light with appropriate guard exists</t>
  </si>
  <si>
    <t>Guard isTrafficLight(segment) &amp;&amp; lightIsGreen(segment) present on Moving self-transition</t>
  </si>
  <si>
    <t>Transition from Moving to StoppingAtStation exists but state names differ</t>
  </si>
  <si>
    <t>Guard isStation(segment) &amp;&amp; onItinerary(segment) present on transition to StoppingAtStation</t>
  </si>
  <si>
    <t>StoppingAtLight state represents the approaching red light behavior</t>
  </si>
  <si>
    <t>stopAL;</t>
  </si>
  <si>
    <t>stopAL(segment.location) action present on transition to StoppingAtLight</t>
  </si>
  <si>
    <t>Transition trainStopped from StoppingAtLight to WaitingAtLight represents this</t>
  </si>
  <si>
    <t>WaitingAtLight state represents waiting at red traffic light</t>
  </si>
  <si>
    <t>Transition lightTurnsGreen from WaitingAtLight to Moving exists but target state name differs</t>
  </si>
  <si>
    <t>StoppingAtStation state represents approaching station behavior</t>
  </si>
  <si>
    <t>stopAL(segment.location) action present on transition to StoppingAtStation</t>
  </si>
  <si>
    <t>Transition trainStopped from StoppingAtStation to AtStation exists</t>
  </si>
  <si>
    <t>No history state present in student submission</t>
  </si>
  <si>
    <t>EmergencyStopped state represents emergency condition</t>
  </si>
  <si>
    <t>Transitions with obstructionDetected from multiple states to EmergencyStopped capture emergency behavior</t>
  </si>
  <si>
    <t>eStop() action present on transitions to EmergencyStopped</t>
  </si>
  <si>
    <t>Transition cleared from EmergencyStopped to Moving exists but does not use history state</t>
  </si>
  <si>
    <t>SDS region exists within PoweredOn</t>
  </si>
  <si>
    <t>Initial state in SDS region goes to SDSActive</t>
  </si>
  <si>
    <t>SDSActive state exists in SDS region</t>
  </si>
  <si>
    <t>Self-transition with everySecond trigger exists on SDSActive</t>
  </si>
  <si>
    <t>No guard for segment change; checkSegment() action called unconditionally</t>
  </si>
  <si>
    <t>checkSegment() action present but does not explicitly show setCS or enteringSegment event generation</t>
  </si>
  <si>
    <t>Only one self-transition exists; no separate transition for unchanged segment case</t>
  </si>
  <si>
    <t>No guard for unchanged segment condition</t>
  </si>
  <si>
    <t>MDS region exists within PoweredOn</t>
  </si>
  <si>
    <t>Initial state in MDS goes to MDSActive not Stopped</t>
  </si>
  <si>
    <t>No Stopped state in MDS; only MDSActive state exists</t>
  </si>
  <si>
    <t>No such transition; MDS has only self-transition on MDSActive</t>
  </si>
  <si>
    <t>No speed-based guards in MDS region</t>
  </si>
  <si>
    <t>No such transition exists</t>
  </si>
  <si>
    <t>checkMovement() action exists but does not explicitly show stopped() event generation</t>
  </si>
  <si>
    <t>No Moving state in MDS region</t>
  </si>
  <si>
    <t>No stopped() action in MDS region</t>
  </si>
  <si>
    <t>ODS region exists within PoweredOn</t>
  </si>
  <si>
    <t>Initial state in ODS region goes to ODSActive</t>
  </si>
  <si>
    <t>ODSActive state exists in ODS region</t>
  </si>
  <si>
    <t>Self-transition with everySecond trigger exists on ODSActive</t>
  </si>
  <si>
    <t>No guard for obstruction detection; checkObstruction() called unconditionally</t>
  </si>
  <si>
    <t>checkObstruction() action present but does not explicitly show emergency() event generation</t>
  </si>
  <si>
    <t>Only one self-transition exists; no separate transition for no obstruction case</t>
  </si>
  <si>
    <t>No guard for no obstruction condition</t>
  </si>
  <si>
    <t>No Arrived state; PoweredOff used instead</t>
  </si>
  <si>
    <t>DoorsOpening and DoorsClosing states add unnecessary detail not required by system description; Idle state is unnecessary</t>
  </si>
  <si>
    <t>All transitions serve valid purposes in the model</t>
  </si>
  <si>
    <t>All guards are reasonable and support correct behavior</t>
  </si>
  <si>
    <t>doorsOpen and doorsClosed events are unnecessary internal details not in system description</t>
  </si>
  <si>
    <t>AtStation composite state is a reasonable modeling choice</t>
  </si>
  <si>
    <t>No additional regions beyond those expected</t>
  </si>
  <si>
    <t>No additional history states present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</si>
  <si>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</si>
  <si>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</si>
  <si>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</si>
  <si>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</si>
  <si>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</si>
  <si>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</si>
  <si>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</si>
  <si>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</si>
  <si>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</si>
  <si>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LLM Used</t>
  </si>
  <si>
    <t>Claude 4.5 Sonnet</t>
  </si>
  <si>
    <t>Overall Score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</si>
  <si>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</si>
  <si>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</si>
  <si>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</si>
  <si>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</si>
  <si>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</si>
  <si>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</si>
  <si>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</si>
  <si>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</si>
  <si>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</si>
  <si>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</si>
  <si>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</si>
  <si>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</si>
  <si>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</si>
  <si>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</si>
  <si>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</si>
  <si>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</si>
  <si>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</si>
  <si>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</si>
  <si>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</si>
  <si>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</si>
  <si>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</si>
  <si>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</si>
  <si>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</si>
  <si>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</si>
  <si>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</si>
  <si>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</si>
  <si>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</si>
  <si>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</si>
  <si>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</si>
  <si>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</si>
  <si>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</si>
  <si>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</si>
  <si>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</si>
  <si>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</si>
  <si>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</si>
  <si>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</si>
  <si>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</si>
  <si>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Claude Grader LLM</t>
  </si>
  <si>
    <t>Claude Grader Human</t>
  </si>
  <si>
    <t>Human</t>
  </si>
  <si>
    <t>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</si>
</sst>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2" fillId="2" borderId="1" xfId="0" applyFont="1" applyFill="1" applyBorder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/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5" fillId="0" borderId="0" xfId="0" applyFont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4" xfId="0" applyFont="1" applyFill="1" applyBorder="1"/>
    <xf numFmtId="0" fontId="1" fillId="3" borderId="3" xfId="0" applyFont="1" applyFill="1" applyBorder="1" applyAlignment="1">
      <alignment horizontal="center"/>
    </xf>
    <xf numFmtId="0" fontId="2" fillId="3" borderId="3" xfId="0" applyFont="1" applyFill="1" applyBorder="1"/>
    <xf numFmtId="0" fontId="5" fillId="0" borderId="0" xfId="0" applyFont="1" applyAlignment="1">
      <alignment horizontal="right"/>
    </xf>
    <xf numFmtId="0" fontId="5" fillId="0" borderId="0" xfId="0" applyFont="1"/>
    <xf numFmtId="0" fontId="5" fillId="5" borderId="0" xfId="0" applyFont="1" applyFill="1"/>
    <xf numFmtId="0" fontId="6" fillId="5" borderId="7" xfId="0" applyFont="1" applyFill="1" applyBorder="1" applyAlignment="1">
      <alignment horizontal="center"/>
    </xf>
    <xf numFmtId="0" fontId="5" fillId="3" borderId="0" xfId="0" applyFont="1" applyFill="1"/>
    <xf numFmtId="0" fontId="8" fillId="6" borderId="7" xfId="0" applyFont="1" applyFill="1" applyBorder="1" applyAlignment="1">
      <alignment wrapText="1"/>
    </xf>
    <xf numFmtId="0" fontId="5" fillId="0" borderId="7" xfId="0" applyFont="1" applyBorder="1" applyAlignment="1">
      <alignment horizontal="right"/>
    </xf>
    <xf numFmtId="0" fontId="6" fillId="0" borderId="7" xfId="0" applyFont="1" applyBorder="1"/>
    <xf numFmtId="0" fontId="5" fillId="0" borderId="8" xfId="0" applyFont="1" applyBorder="1" applyAlignment="1">
      <alignment horizontal="right"/>
    </xf>
    <xf numFmtId="0" fontId="5" fillId="0" borderId="9" xfId="0" applyFont="1" applyBorder="1" applyAlignment="1">
      <alignment horizontal="right"/>
    </xf>
    <xf numFmtId="0" fontId="4" fillId="0" borderId="10" xfId="0" applyFont="1" applyBorder="1"/>
    <xf numFmtId="0" fontId="6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7" borderId="25" xfId="0" applyFont="1" applyFill="1" applyBorder="1" applyAlignment="1">
      <alignment horizontal="center"/>
    </xf>
    <xf numFmtId="0" fontId="5" fillId="7" borderId="26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5" fillId="7" borderId="28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5" fillId="3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5" fillId="4" borderId="1" xfId="0" applyFont="1" applyFill="1" applyBorder="1"/>
    <xf numFmtId="0" fontId="5" fillId="4" borderId="2" xfId="0" applyFont="1" applyFill="1" applyBorder="1"/>
    <xf numFmtId="0" fontId="5" fillId="3" borderId="3" xfId="0" applyFont="1" applyFill="1" applyBorder="1"/>
    <xf numFmtId="0" fontId="7" fillId="0" borderId="6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11" xfId="0" applyFont="1" applyBorder="1" applyAlignment="1">
      <alignment horizontal="center"/>
    </xf>
    <xf numFmtId="0" fontId="7" fillId="0" borderId="11" xfId="0" applyFont="1" applyBorder="1"/>
    <xf numFmtId="0" fontId="1" fillId="5" borderId="5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Train Automation System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8">
  <tableColumns count="2">
    <tableColumn id="1" xr3:uid="{00000000-0010-0000-0000-000001000000}" name="Type"/>
    <tableColumn id="2" xr3:uid="{00000000-0010-0000-0000-000002000000}" name="Element"/>
  </tableColumns>
  <tableStyleInfo name="Train Automation System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8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Rater 1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78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 Grading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78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78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7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2.8320312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tr">
        <f>'Human Grading'!A2</f>
        <v>State</v>
      </c>
      <c r="B2" s="4" t="str">
        <f>'Human Grading'!B2</f>
        <v>Initial state (→ Scheduled)</v>
      </c>
      <c r="C2" s="5"/>
      <c r="D2" s="5"/>
    </row>
    <row r="3" spans="1:4" ht="12.75" customHeight="1" x14ac:dyDescent="0.15">
      <c r="A3" s="4" t="str">
        <f>'Human Grading'!A3</f>
        <v>State</v>
      </c>
      <c r="B3" s="4" t="str">
        <f>'Human Grading'!B3</f>
        <v>Scheduled</v>
      </c>
      <c r="C3" s="5"/>
      <c r="D3" s="5"/>
    </row>
    <row r="4" spans="1:4" ht="12.75" customHeight="1" x14ac:dyDescent="0.15">
      <c r="A4" s="4" t="str">
        <f>'Human Grading'!A4</f>
        <v>Transition</v>
      </c>
      <c r="B4" s="4" t="str">
        <f>'Human Grading'!B4</f>
        <v>at beginningStopDuration (Scheduled ⇒ Active)</v>
      </c>
      <c r="C4" s="5"/>
      <c r="D4" s="5"/>
    </row>
    <row r="5" spans="1:4" ht="12.75" customHeight="1" x14ac:dyDescent="0.15">
      <c r="A5" s="4" t="str">
        <f>'Human Grading'!A5</f>
        <v>Action</v>
      </c>
      <c r="B5" s="4" t="str">
        <f>'Human Grading'!B5</f>
        <v>pOn; setCS;</v>
      </c>
      <c r="C5" s="5"/>
      <c r="D5" s="5"/>
    </row>
    <row r="6" spans="1:4" ht="12.75" customHeight="1" x14ac:dyDescent="0.15">
      <c r="A6" s="4" t="str">
        <f>'Human Grading'!A6</f>
        <v>Composite State</v>
      </c>
      <c r="B6" s="4" t="str">
        <f>'Human Grading'!B6</f>
        <v>Active</v>
      </c>
      <c r="C6" s="5"/>
      <c r="D6" s="5"/>
    </row>
    <row r="7" spans="1:4" ht="12.75" customHeight="1" x14ac:dyDescent="0.15">
      <c r="A7" s="4" t="str">
        <f>'Human Grading'!A7</f>
        <v>Region</v>
      </c>
      <c r="B7" s="4" t="str">
        <f>'Human Grading'!B7</f>
        <v>TrainControl</v>
      </c>
      <c r="C7" s="5"/>
      <c r="D7" s="5"/>
    </row>
    <row r="8" spans="1:4" ht="12.75" customHeight="1" x14ac:dyDescent="0.15">
      <c r="A8" s="4" t="str">
        <f>'Human Grading'!A8</f>
        <v>Composite State</v>
      </c>
      <c r="B8" s="4" t="str">
        <f>'Human Grading'!B8</f>
        <v>TrainMovement</v>
      </c>
      <c r="C8" s="5"/>
      <c r="D8" s="5"/>
    </row>
    <row r="9" spans="1:4" ht="12.75" customHeight="1" x14ac:dyDescent="0.15">
      <c r="A9" s="4" t="str">
        <f>'Human Grading'!A9</f>
        <v>State</v>
      </c>
      <c r="B9" s="4" t="str">
        <f>'Human Grading'!B9</f>
        <v>Initial state (TrainMovement → AtStation)</v>
      </c>
      <c r="C9" s="5"/>
      <c r="D9" s="5"/>
    </row>
    <row r="10" spans="1:4" ht="12.75" customHeight="1" x14ac:dyDescent="0.15">
      <c r="A10" s="4" t="str">
        <f>'Human Grading'!A10</f>
        <v>State</v>
      </c>
      <c r="B10" s="4" t="str">
        <f>'Human Grading'!B10</f>
        <v>AtStation</v>
      </c>
      <c r="C10" s="5"/>
      <c r="D10" s="5"/>
    </row>
    <row r="11" spans="1:4" ht="12.75" customHeight="1" x14ac:dyDescent="0.15">
      <c r="A11" s="4" t="str">
        <f>'Human Grading'!A11</f>
        <v>Action</v>
      </c>
      <c r="B11" s="4" t="str">
        <f>'Human Grading'!B11</f>
        <v>entry / openDoors()</v>
      </c>
      <c r="C11" s="5"/>
      <c r="D11" s="5"/>
    </row>
    <row r="12" spans="1:4" ht="12.75" customHeight="1" x14ac:dyDescent="0.15">
      <c r="A12" s="4" t="str">
        <f>'Human Grading'!A12</f>
        <v>Action</v>
      </c>
      <c r="B12" s="4" t="str">
        <f>'Human Grading'!B12</f>
        <v>exit / closeDoors()</v>
      </c>
      <c r="C12" s="5"/>
      <c r="D12" s="5"/>
    </row>
    <row r="13" spans="1:4" ht="12.75" customHeight="1" x14ac:dyDescent="0.15">
      <c r="A13" s="4" t="str">
        <f>'Human Grading'!A13</f>
        <v>Transition</v>
      </c>
      <c r="B13" s="4" t="str">
        <f>'Human Grading'!B13</f>
        <v>after stopDuration (AtStation ⇒ StopNotRequired)</v>
      </c>
      <c r="C13" s="5"/>
      <c r="D13" s="5"/>
    </row>
    <row r="14" spans="1:4" ht="12.75" customHeight="1" x14ac:dyDescent="0.15">
      <c r="A14" s="4" t="str">
        <f>'Human Grading'!A14</f>
        <v>Guard</v>
      </c>
      <c r="B14" s="4" t="str">
        <f>'Human Grading'!B14</f>
        <v>[!isLastStop()]</v>
      </c>
      <c r="C14" s="5"/>
      <c r="D14" s="5"/>
    </row>
    <row r="15" spans="1:4" ht="12.75" customHeight="1" x14ac:dyDescent="0.15">
      <c r="A15" s="4" t="str">
        <f>'Human Grading'!A15</f>
        <v>Transition</v>
      </c>
      <c r="B15" s="4" t="str">
        <f>'Human Grading'!B15</f>
        <v>after stopDuration (AtStation ⇒ Arrived)</v>
      </c>
      <c r="C15" s="5"/>
      <c r="D15" s="5"/>
    </row>
    <row r="16" spans="1:4" ht="12.75" customHeight="1" x14ac:dyDescent="0.15">
      <c r="A16" s="4" t="str">
        <f>'Human Grading'!A16</f>
        <v>Guard</v>
      </c>
      <c r="B16" s="4" t="str">
        <f>'Human Grading'!B16</f>
        <v>[isLastStop()]</v>
      </c>
      <c r="C16" s="5"/>
      <c r="D16" s="5"/>
    </row>
    <row r="17" spans="1:22" ht="15" customHeight="1" x14ac:dyDescent="0.15">
      <c r="A17" s="4" t="str">
        <f>'Human Grading'!A17</f>
        <v>Action</v>
      </c>
      <c r="B17" s="4" t="str">
        <f>'Human Grading'!B17</f>
        <v>pOff;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4" t="str">
        <f>'Human Grading'!A18</f>
        <v>State</v>
      </c>
      <c r="B18" s="4" t="str">
        <f>'Human Grading'!B18</f>
        <v>StopNotRequired</v>
      </c>
      <c r="C18" s="5"/>
      <c r="D18" s="5"/>
    </row>
    <row r="19" spans="1:22" ht="12.75" customHeight="1" x14ac:dyDescent="0.15">
      <c r="A19" s="4" t="str">
        <f>'Human Grading'!A19</f>
        <v>Action</v>
      </c>
      <c r="B19" s="4" t="str">
        <f>'Human Grading'!B19</f>
        <v>entry / setSpeed()</v>
      </c>
      <c r="C19" s="5"/>
      <c r="D19" s="5"/>
    </row>
    <row r="20" spans="1:22" ht="12.75" customHeight="1" x14ac:dyDescent="0.15">
      <c r="A20" s="4" t="str">
        <f>'Human Grading'!A20</f>
        <v>Transition</v>
      </c>
      <c r="B20" s="4" t="str">
        <f>'Human Grading'!B20</f>
        <v>enteringSegment (StopNotRequired ⇒ StopNotRequired)</v>
      </c>
      <c r="C20" s="5"/>
      <c r="D20" s="5"/>
    </row>
    <row r="21" spans="1:22" ht="12.75" customHeight="1" x14ac:dyDescent="0.15">
      <c r="A21" s="4" t="str">
        <f>'Human Grading'!A21</f>
        <v>Guard</v>
      </c>
      <c r="B21" s="4" t="str">
        <f>'Human Grading'!B21</f>
        <v>[isRegularSegment()]</v>
      </c>
      <c r="C21" s="5"/>
      <c r="D21" s="5"/>
    </row>
    <row r="22" spans="1:22" ht="12.75" customHeight="1" x14ac:dyDescent="0.15">
      <c r="A22" s="4" t="str">
        <f>'Human Grading'!A22</f>
        <v>Transition</v>
      </c>
      <c r="B22" s="4" t="str">
        <f>'Human Grading'!B22</f>
        <v>enteringSegment (StopNotRequired ⇒ ApproachingRedLight)</v>
      </c>
      <c r="C22" s="5"/>
      <c r="D22" s="5"/>
    </row>
    <row r="23" spans="1:22" ht="12.75" customHeight="1" x14ac:dyDescent="0.15">
      <c r="A23" s="4" t="str">
        <f>'Human Grading'!A23</f>
        <v>Guard</v>
      </c>
      <c r="B23" s="4" t="str">
        <f>'Human Grading'!B23</f>
        <v>[isTrafficLightSegment() &amp;&amp; isRed()]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4" t="str">
        <f>'Human Grading'!A24</f>
        <v>Transition</v>
      </c>
      <c r="B24" s="4" t="str">
        <f>'Human Grading'!B24</f>
        <v>enteringSegment (StopNotRequired ⇒ StopNotRequired)</v>
      </c>
      <c r="C24" s="5"/>
      <c r="D24" s="5"/>
    </row>
    <row r="25" spans="1:22" ht="12.75" customHeight="1" x14ac:dyDescent="0.15">
      <c r="A25" s="4" t="str">
        <f>'Human Grading'!A25</f>
        <v>Guard</v>
      </c>
      <c r="B25" s="4" t="str">
        <f>'Human Grading'!B25</f>
        <v>[isTrafficLightSegment() &amp;&amp; !isRed()]</v>
      </c>
      <c r="C25" s="5"/>
      <c r="D25" s="5"/>
    </row>
    <row r="26" spans="1:22" ht="15" customHeight="1" x14ac:dyDescent="0.15">
      <c r="A26" s="4" t="str">
        <f>'Human Grading'!A26</f>
        <v>Transition</v>
      </c>
      <c r="B26" s="4" t="str">
        <f>'Human Grading'!B26</f>
        <v>enteringSegment (StopNotRequired ⇒ ApproachingStation)</v>
      </c>
      <c r="C26" s="5"/>
      <c r="D26" s="5"/>
    </row>
    <row r="27" spans="1:22" ht="12.75" customHeight="1" x14ac:dyDescent="0.15">
      <c r="A27" s="4" t="str">
        <f>'Human Grading'!A27</f>
        <v>Guard</v>
      </c>
      <c r="B27" s="4" t="str">
        <f>'Human Grading'!B27</f>
        <v>[isStationSegment() &amp;&amp; stopRequired()]</v>
      </c>
      <c r="C27" s="5"/>
      <c r="D27" s="5"/>
    </row>
    <row r="28" spans="1:22" ht="12.75" customHeight="1" x14ac:dyDescent="0.15">
      <c r="A28" s="4" t="str">
        <f>'Human Grading'!A28</f>
        <v>State</v>
      </c>
      <c r="B28" s="4" t="str">
        <f>'Human Grading'!B28</f>
        <v>ApproachingRedLight</v>
      </c>
      <c r="C28" s="5"/>
      <c r="D28" s="5"/>
    </row>
    <row r="29" spans="1:22" ht="12.75" customHeight="1" x14ac:dyDescent="0.15">
      <c r="A29" s="4" t="str">
        <f>'Human Grading'!A29</f>
        <v>Action</v>
      </c>
      <c r="B29" s="4" t="str">
        <f>'Human Grading'!B29</f>
        <v>entry / stopAL</v>
      </c>
      <c r="C29" s="5"/>
      <c r="D29" s="5"/>
    </row>
    <row r="30" spans="1:22" ht="12.75" customHeight="1" x14ac:dyDescent="0.15">
      <c r="A30" s="4" t="str">
        <f>'Human Grading'!A30</f>
        <v>Transition</v>
      </c>
      <c r="B30" s="4" t="str">
        <f>'Human Grading'!B30</f>
        <v>stopped (ApproachingRedLight ⇒ AtRedTrafficLight)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4" t="str">
        <f>'Human Grading'!A31</f>
        <v>State</v>
      </c>
      <c r="B31" s="4" t="str">
        <f>'Human Grading'!B31</f>
        <v>AtRedTrafficLight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4" t="str">
        <f>'Human Grading'!A32</f>
        <v>Transition</v>
      </c>
      <c r="B32" s="4" t="str">
        <f>'Human Grading'!B32</f>
        <v>green (AtRedTrafficLight ⇒ StopNotRequired)</v>
      </c>
      <c r="C32" s="5"/>
      <c r="D32" s="5"/>
    </row>
    <row r="33" spans="1:22" ht="12.75" customHeight="1" x14ac:dyDescent="0.15">
      <c r="A33" s="4" t="str">
        <f>'Human Grading'!A33</f>
        <v>State</v>
      </c>
      <c r="B33" s="4" t="str">
        <f>'Human Grading'!B33</f>
        <v>ApproachingStation</v>
      </c>
      <c r="C33" s="5"/>
      <c r="D33" s="5"/>
    </row>
    <row r="34" spans="1:22" ht="12.75" customHeight="1" x14ac:dyDescent="0.15">
      <c r="A34" s="4" t="str">
        <f>'Human Grading'!A34</f>
        <v>Action</v>
      </c>
      <c r="B34" s="4" t="str">
        <f>'Human Grading'!B34</f>
        <v>entry / stopAL</v>
      </c>
      <c r="C34" s="5"/>
      <c r="D34" s="5"/>
    </row>
    <row r="35" spans="1:22" ht="12.75" customHeight="1" x14ac:dyDescent="0.15">
      <c r="A35" s="4" t="str">
        <f>'Human Grading'!A35</f>
        <v>Transition</v>
      </c>
      <c r="B35" s="4" t="str">
        <f>'Human Grading'!B35</f>
        <v>stopped (ApproachingStation ⇒ AtStation)</v>
      </c>
      <c r="C35" s="5"/>
      <c r="D35" s="5"/>
    </row>
    <row r="36" spans="1:22" ht="12.75" customHeight="1" x14ac:dyDescent="0.15">
      <c r="A36" s="4" t="str">
        <f>'Human Grading'!A36</f>
        <v>History State</v>
      </c>
      <c r="B36" s="4" t="str">
        <f>'Human Grading'!B36</f>
        <v>History State for TrainMovement</v>
      </c>
      <c r="C36" s="5"/>
      <c r="D36" s="5"/>
    </row>
    <row r="37" spans="1:22" ht="12.75" customHeight="1" x14ac:dyDescent="0.15">
      <c r="A37" s="4" t="str">
        <f>'Human Grading'!A37</f>
        <v>State</v>
      </c>
      <c r="B37" s="4" t="str">
        <f>'Human Grading'!B37</f>
        <v>Emergency</v>
      </c>
      <c r="C37" s="5"/>
      <c r="D37" s="5"/>
    </row>
    <row r="38" spans="1:22" ht="15" customHeight="1" x14ac:dyDescent="0.15">
      <c r="A38" s="4" t="str">
        <f>'Human Grading'!A38</f>
        <v>Transition</v>
      </c>
      <c r="B38" s="4" t="str">
        <f>'Human Grading'!B38</f>
        <v>emergency (TrainMovement ⇒ Emergency)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4" t="str">
        <f>'Human Grading'!A39</f>
        <v>Action</v>
      </c>
      <c r="B39" s="4" t="str">
        <f>'Human Grading'!B39</f>
        <v>eStop;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4" t="str">
        <f>'Human Grading'!A40</f>
        <v>Transition</v>
      </c>
      <c r="B40" s="4" t="str">
        <f>'Human Grading'!B40</f>
        <v>clear (Emergency ⇒ History State)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4" t="str">
        <f>'Human Grading'!A41</f>
        <v>Region</v>
      </c>
      <c r="B41" s="4" t="str">
        <f>'Human Grading'!B41</f>
        <v>SDS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4" t="str">
        <f>'Human Grading'!A42</f>
        <v>State</v>
      </c>
      <c r="B42" s="4" t="str">
        <f>'Human Grading'!B42</f>
        <v>Initial state (SDS → SDSActive)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4" t="str">
        <f>'Human Grading'!A43</f>
        <v>State</v>
      </c>
      <c r="B43" s="4" t="str">
        <f>'Human Grading'!B43</f>
        <v>SDSActive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4" t="str">
        <f>'Human Grading'!A44</f>
        <v>Transition</v>
      </c>
      <c r="B44" s="4" t="str">
        <f>'Human Grading'!B44</f>
        <v>after 1 sec (SDSActive ⇒ SDSActive)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4" t="str">
        <f>'Human Grading'!A45</f>
        <v>Guard</v>
      </c>
      <c r="B45" s="4" t="str">
        <f>'Human Grading'!B45</f>
        <v>[hasSegmentChanged()]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4" t="str">
        <f>'Human Grading'!A46</f>
        <v>Action</v>
      </c>
      <c r="B46" s="4" t="str">
        <f>'Human Grading'!B46</f>
        <v>setCS; enteringSegment()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4" t="str">
        <f>'Human Grading'!A47</f>
        <v>Transition</v>
      </c>
      <c r="B47" s="4" t="str">
        <f>'Human Grading'!B47</f>
        <v>after 1 sec (SDSActive ⇒ SDSActive)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2.75" customHeight="1" x14ac:dyDescent="0.15">
      <c r="A48" s="4" t="str">
        <f>'Human Grading'!A48</f>
        <v>Guard</v>
      </c>
      <c r="B48" s="4" t="str">
        <f>'Human Grading'!B48</f>
        <v>[!hasSegmentChanged()]</v>
      </c>
      <c r="C48" s="5"/>
      <c r="D48" s="5"/>
    </row>
    <row r="49" spans="1:4" ht="12.75" customHeight="1" x14ac:dyDescent="0.15">
      <c r="A49" s="4" t="str">
        <f>'Human Grading'!A49</f>
        <v>Region</v>
      </c>
      <c r="B49" s="4" t="str">
        <f>'Human Grading'!B49</f>
        <v>MDS</v>
      </c>
      <c r="C49" s="5"/>
      <c r="D49" s="5"/>
    </row>
    <row r="50" spans="1:4" ht="12.75" customHeight="1" x14ac:dyDescent="0.15">
      <c r="A50" s="4" t="str">
        <f>'Human Grading'!A50</f>
        <v>State</v>
      </c>
      <c r="B50" s="4" t="str">
        <f>'Human Grading'!B50</f>
        <v>Initial state (MDS → Stopped)</v>
      </c>
      <c r="C50" s="5"/>
      <c r="D50" s="5"/>
    </row>
    <row r="51" spans="1:4" ht="12.75" customHeight="1" x14ac:dyDescent="0.15">
      <c r="A51" s="4" t="str">
        <f>'Human Grading'!A51</f>
        <v>State</v>
      </c>
      <c r="B51" s="4" t="str">
        <f>'Human Grading'!B51</f>
        <v>Stopped</v>
      </c>
      <c r="C51" s="5"/>
      <c r="D51" s="5"/>
    </row>
    <row r="52" spans="1:4" ht="12.75" customHeight="1" x14ac:dyDescent="0.15">
      <c r="A52" s="4" t="str">
        <f>'Human Grading'!A52</f>
        <v>Transition</v>
      </c>
      <c r="B52" s="4" t="str">
        <f>'Human Grading'!B52</f>
        <v>after 1 sec (Stopped ⇒ Moving)</v>
      </c>
      <c r="C52" s="5"/>
      <c r="D52" s="5"/>
    </row>
    <row r="53" spans="1:4" ht="12.75" customHeight="1" x14ac:dyDescent="0.15">
      <c r="A53" s="4" t="str">
        <f>'Human Grading'!A53</f>
        <v>Guard</v>
      </c>
      <c r="B53" s="4" t="str">
        <f>'Human Grading'!B53</f>
        <v>[speed &gt; 0]</v>
      </c>
      <c r="C53" s="5"/>
      <c r="D53" s="5"/>
    </row>
    <row r="54" spans="1:4" ht="12.75" customHeight="1" x14ac:dyDescent="0.15">
      <c r="A54" s="4" t="str">
        <f>'Human Grading'!A54</f>
        <v>Transition</v>
      </c>
      <c r="B54" s="4" t="str">
        <f>'Human Grading'!B54</f>
        <v>after 1 sec (Stopped ⇒ Stopped)</v>
      </c>
      <c r="C54" s="5"/>
      <c r="D54" s="5"/>
    </row>
    <row r="55" spans="1:4" ht="12.75" customHeight="1" x14ac:dyDescent="0.15">
      <c r="A55" s="4" t="str">
        <f>'Human Grading'!A55</f>
        <v>Guard</v>
      </c>
      <c r="B55" s="4" t="str">
        <f>'Human Grading'!B55</f>
        <v>[speed == 0]</v>
      </c>
      <c r="C55" s="5"/>
      <c r="D55" s="5"/>
    </row>
    <row r="56" spans="1:4" ht="12.75" customHeight="1" x14ac:dyDescent="0.15">
      <c r="A56" s="4" t="str">
        <f>'Human Grading'!A56</f>
        <v>Action</v>
      </c>
      <c r="B56" s="4" t="str">
        <f>'Human Grading'!B56</f>
        <v>stopped()</v>
      </c>
      <c r="C56" s="5"/>
      <c r="D56" s="5"/>
    </row>
    <row r="57" spans="1:4" ht="12.75" customHeight="1" x14ac:dyDescent="0.15">
      <c r="A57" s="4" t="str">
        <f>'Human Grading'!A57</f>
        <v>State</v>
      </c>
      <c r="B57" s="4" t="str">
        <f>'Human Grading'!B57</f>
        <v>Moving</v>
      </c>
      <c r="C57" s="5"/>
      <c r="D57" s="5"/>
    </row>
    <row r="58" spans="1:4" ht="12.75" customHeight="1" x14ac:dyDescent="0.15">
      <c r="A58" s="4" t="str">
        <f>'Human Grading'!A58</f>
        <v>Transition</v>
      </c>
      <c r="B58" s="4" t="str">
        <f>'Human Grading'!B58</f>
        <v>after 1 sec (Moving ⇒ Stopped)</v>
      </c>
      <c r="C58" s="5"/>
      <c r="D58" s="5"/>
    </row>
    <row r="59" spans="1:4" ht="12.75" customHeight="1" x14ac:dyDescent="0.15">
      <c r="A59" s="4" t="str">
        <f>'Human Grading'!A59</f>
        <v>Guard</v>
      </c>
      <c r="B59" s="4" t="str">
        <f>'Human Grading'!B59</f>
        <v>[speed == 0]</v>
      </c>
      <c r="C59" s="5"/>
      <c r="D59" s="5"/>
    </row>
    <row r="60" spans="1:4" ht="12.75" customHeight="1" x14ac:dyDescent="0.15">
      <c r="A60" s="4" t="str">
        <f>'Human Grading'!A60</f>
        <v>Action</v>
      </c>
      <c r="B60" s="4" t="str">
        <f>'Human Grading'!B60</f>
        <v>stopped()</v>
      </c>
      <c r="C60" s="5"/>
      <c r="D60" s="5"/>
    </row>
    <row r="61" spans="1:4" ht="12.75" customHeight="1" x14ac:dyDescent="0.15">
      <c r="A61" s="4" t="str">
        <f>'Human Grading'!A61</f>
        <v>Transition</v>
      </c>
      <c r="B61" s="4" t="str">
        <f>'Human Grading'!B61</f>
        <v>after 1 sec (Moving ⇒ Moving)</v>
      </c>
      <c r="C61" s="5"/>
      <c r="D61" s="5"/>
    </row>
    <row r="62" spans="1:4" ht="12.75" customHeight="1" x14ac:dyDescent="0.15">
      <c r="A62" s="4" t="str">
        <f>'Human Grading'!A62</f>
        <v>Guard</v>
      </c>
      <c r="B62" s="4" t="str">
        <f>'Human Grading'!B62</f>
        <v>[speed &gt; 0]</v>
      </c>
      <c r="C62" s="5"/>
      <c r="D62" s="5"/>
    </row>
    <row r="63" spans="1:4" ht="12.75" customHeight="1" x14ac:dyDescent="0.15">
      <c r="A63" s="4" t="str">
        <f>'Human Grading'!A63</f>
        <v>Region</v>
      </c>
      <c r="B63" s="4" t="str">
        <f>'Human Grading'!B63</f>
        <v>ODS</v>
      </c>
      <c r="C63" s="5"/>
      <c r="D63" s="5"/>
    </row>
    <row r="64" spans="1:4" ht="12.75" customHeight="1" x14ac:dyDescent="0.15">
      <c r="A64" s="4" t="str">
        <f>'Human Grading'!A64</f>
        <v>State</v>
      </c>
      <c r="B64" s="4" t="str">
        <f>'Human Grading'!B64</f>
        <v>Initial state (ODS → ODSActive)</v>
      </c>
      <c r="C64" s="5"/>
      <c r="D64" s="5"/>
    </row>
    <row r="65" spans="1:4" ht="12.75" customHeight="1" x14ac:dyDescent="0.15">
      <c r="A65" s="4" t="str">
        <f>'Human Grading'!A65</f>
        <v>State</v>
      </c>
      <c r="B65" s="4" t="str">
        <f>'Human Grading'!B65</f>
        <v>ODSActive</v>
      </c>
      <c r="C65" s="5"/>
      <c r="D65" s="5"/>
    </row>
    <row r="66" spans="1:4" ht="12.75" customHeight="1" x14ac:dyDescent="0.15">
      <c r="A66" s="4" t="str">
        <f>'Human Grading'!A66</f>
        <v>Transition</v>
      </c>
      <c r="B66" s="4" t="str">
        <f>'Human Grading'!B66</f>
        <v>after 1 sec (ODSActive ⇒ ODSActive)</v>
      </c>
      <c r="C66" s="5"/>
      <c r="D66" s="5"/>
    </row>
    <row r="67" spans="1:4" ht="12.75" customHeight="1" x14ac:dyDescent="0.15">
      <c r="A67" s="4" t="str">
        <f>'Human Grading'!A67</f>
        <v>Guard</v>
      </c>
      <c r="B67" s="4" t="str">
        <f>'Human Grading'!B67</f>
        <v>[obstacleDetected()]</v>
      </c>
      <c r="C67" s="5"/>
      <c r="D67" s="5"/>
    </row>
    <row r="68" spans="1:4" ht="12.75" customHeight="1" x14ac:dyDescent="0.15">
      <c r="A68" s="4" t="str">
        <f>'Human Grading'!A68</f>
        <v>Action</v>
      </c>
      <c r="B68" s="4" t="str">
        <f>'Human Grading'!B68</f>
        <v>emergency()</v>
      </c>
    </row>
    <row r="69" spans="1:4" ht="12.75" customHeight="1" x14ac:dyDescent="0.15">
      <c r="A69" s="4" t="str">
        <f>'Human Grading'!A69</f>
        <v>Transition</v>
      </c>
      <c r="B69" s="4" t="str">
        <f>'Human Grading'!B69</f>
        <v>after 1 sec (ODSActive ⇒ ODSActive)</v>
      </c>
    </row>
    <row r="70" spans="1:4" ht="12.75" customHeight="1" x14ac:dyDescent="0.15">
      <c r="A70" s="4" t="str">
        <f>'Human Grading'!A70</f>
        <v>Guard</v>
      </c>
      <c r="B70" s="4" t="str">
        <f>'Human Grading'!B70</f>
        <v>[!obstacleDetected()]</v>
      </c>
    </row>
    <row r="71" spans="1:4" ht="12.75" customHeight="1" x14ac:dyDescent="0.15">
      <c r="A71" s="6" t="str">
        <f>'Human Grading'!A71</f>
        <v>State</v>
      </c>
      <c r="B71" s="6" t="str">
        <f>'Human Grading'!B71</f>
        <v>Arrived</v>
      </c>
    </row>
    <row r="72" spans="1:4" ht="12.75" customHeight="1" x14ac:dyDescent="0.15">
      <c r="A72" s="7" t="str">
        <f>'Human Grading'!A72</f>
        <v>State</v>
      </c>
      <c r="B72" s="7" t="str">
        <f>'Human Grading'!B72</f>
        <v>additional elements</v>
      </c>
    </row>
    <row r="73" spans="1:4" ht="12.75" customHeight="1" x14ac:dyDescent="0.15">
      <c r="A73" s="4" t="str">
        <f>'Human Grading'!A73</f>
        <v>Transition</v>
      </c>
      <c r="B73" s="4" t="str">
        <f>'Human Grading'!B73</f>
        <v>additional elements</v>
      </c>
    </row>
    <row r="74" spans="1:4" ht="12.75" customHeight="1" x14ac:dyDescent="0.15">
      <c r="A74" s="4" t="str">
        <f>'Human Grading'!A74</f>
        <v>Guard</v>
      </c>
      <c r="B74" s="4" t="str">
        <f>'Human Grading'!B74</f>
        <v>additional elements</v>
      </c>
    </row>
    <row r="75" spans="1:4" ht="12.75" customHeight="1" x14ac:dyDescent="0.15">
      <c r="A75" s="4" t="str">
        <f>'Human Grading'!A75</f>
        <v>Action</v>
      </c>
      <c r="B75" s="4" t="str">
        <f>'Human Grading'!B75</f>
        <v>additional elements</v>
      </c>
    </row>
    <row r="76" spans="1:4" ht="12.75" customHeight="1" x14ac:dyDescent="0.15">
      <c r="A76" s="4" t="str">
        <f>'Human Grading'!A76</f>
        <v>Composite State</v>
      </c>
      <c r="B76" s="4" t="str">
        <f>'Human Grading'!B76</f>
        <v>additional elements</v>
      </c>
    </row>
    <row r="77" spans="1:4" ht="12.75" customHeight="1" x14ac:dyDescent="0.15">
      <c r="A77" s="4" t="str">
        <f>'Human Grading'!A77</f>
        <v>Region</v>
      </c>
      <c r="B77" s="4" t="str">
        <f>'Human Grading'!B77</f>
        <v>additional elements</v>
      </c>
    </row>
    <row r="78" spans="1:4" ht="12.75" customHeight="1" x14ac:dyDescent="0.15">
      <c r="A78" s="4" t="str">
        <f>'Human Grading'!A78</f>
        <v>History State</v>
      </c>
      <c r="B78" s="4" t="str">
        <f>'Human Grading'!B78</f>
        <v>additional elements</v>
      </c>
    </row>
    <row r="79" spans="1:4" ht="12.75" customHeight="1" x14ac:dyDescent="0.15">
      <c r="A79" s="8"/>
      <c r="B79" s="9"/>
    </row>
    <row r="80" spans="1:4" ht="12.75" customHeight="1" x14ac:dyDescent="0.15">
      <c r="A80" s="8"/>
      <c r="B80" s="9"/>
    </row>
    <row r="81" spans="1:2" ht="12.75" customHeight="1" x14ac:dyDescent="0.15">
      <c r="A81" s="8"/>
      <c r="B81" s="9"/>
    </row>
    <row r="82" spans="1:2" ht="12.75" customHeight="1" x14ac:dyDescent="0.15">
      <c r="A82" s="8"/>
      <c r="B82" s="9"/>
    </row>
    <row r="83" spans="1:2" ht="12.75" customHeight="1" x14ac:dyDescent="0.15">
      <c r="A83" s="8"/>
      <c r="B83" s="9"/>
    </row>
    <row r="84" spans="1:2" ht="12.75" customHeight="1" x14ac:dyDescent="0.15">
      <c r="A84" s="8"/>
      <c r="B84" s="9"/>
    </row>
    <row r="85" spans="1:2" ht="12.75" customHeight="1" x14ac:dyDescent="0.15">
      <c r="A85" s="8"/>
      <c r="B85" s="9"/>
    </row>
    <row r="86" spans="1:2" ht="12.75" customHeight="1" x14ac:dyDescent="0.15">
      <c r="A86" s="8"/>
      <c r="B86" s="9"/>
    </row>
    <row r="87" spans="1:2" ht="12.75" customHeight="1" x14ac:dyDescent="0.15">
      <c r="A87" s="8"/>
      <c r="B87" s="9"/>
    </row>
    <row r="88" spans="1:2" ht="12.75" customHeight="1" x14ac:dyDescent="0.15">
      <c r="A88" s="8"/>
      <c r="B88" s="9"/>
    </row>
    <row r="89" spans="1:2" ht="12.75" customHeight="1" x14ac:dyDescent="0.15">
      <c r="A89" s="8"/>
      <c r="B89" s="9"/>
    </row>
    <row r="90" spans="1:2" ht="12.75" customHeight="1" x14ac:dyDescent="0.15">
      <c r="A90" s="8"/>
      <c r="B90" s="9"/>
    </row>
    <row r="91" spans="1:2" ht="12.75" customHeight="1" x14ac:dyDescent="0.15">
      <c r="A91" s="8"/>
      <c r="B91" s="9"/>
    </row>
    <row r="92" spans="1:2" ht="12.75" customHeight="1" x14ac:dyDescent="0.15">
      <c r="A92" s="8"/>
      <c r="B92" s="9"/>
    </row>
    <row r="93" spans="1:2" ht="12.75" customHeight="1" x14ac:dyDescent="0.15">
      <c r="A93" s="8"/>
      <c r="B93" s="9"/>
    </row>
    <row r="94" spans="1:2" ht="12.75" customHeight="1" x14ac:dyDescent="0.15">
      <c r="A94" s="8"/>
      <c r="B94" s="9"/>
    </row>
    <row r="95" spans="1:2" ht="12.75" customHeight="1" x14ac:dyDescent="0.15">
      <c r="A95" s="8"/>
      <c r="B95" s="9"/>
    </row>
    <row r="96" spans="1:2" ht="12.75" customHeight="1" x14ac:dyDescent="0.15">
      <c r="A96" s="8"/>
      <c r="B96" s="9"/>
    </row>
    <row r="97" spans="1:2" ht="12.75" customHeight="1" x14ac:dyDescent="0.15">
      <c r="A97" s="8"/>
      <c r="B97" s="9"/>
    </row>
    <row r="98" spans="1:2" ht="12.75" customHeight="1" x14ac:dyDescent="0.15">
      <c r="A98" s="8"/>
      <c r="B98" s="9"/>
    </row>
    <row r="99" spans="1:2" ht="12.75" customHeight="1" x14ac:dyDescent="0.15">
      <c r="A99" s="8"/>
      <c r="B99" s="9"/>
    </row>
    <row r="100" spans="1:2" ht="12.75" customHeight="1" x14ac:dyDescent="0.15">
      <c r="A100" s="8"/>
      <c r="B100" s="9"/>
    </row>
    <row r="101" spans="1:2" ht="12.75" customHeight="1" x14ac:dyDescent="0.15">
      <c r="A101" s="8"/>
      <c r="B101" s="9"/>
    </row>
    <row r="102" spans="1:2" ht="12.75" customHeight="1" x14ac:dyDescent="0.15">
      <c r="A102" s="8"/>
      <c r="B102" s="9"/>
    </row>
    <row r="103" spans="1:2" ht="12.75" customHeight="1" x14ac:dyDescent="0.15">
      <c r="A103" s="8"/>
      <c r="B103" s="9"/>
    </row>
    <row r="104" spans="1:2" ht="12.75" customHeight="1" x14ac:dyDescent="0.15">
      <c r="A104" s="8"/>
      <c r="B104" s="9"/>
    </row>
    <row r="105" spans="1:2" ht="12.75" customHeight="1" x14ac:dyDescent="0.15">
      <c r="A105" s="8"/>
      <c r="B105" s="9"/>
    </row>
    <row r="106" spans="1:2" ht="12.75" customHeight="1" x14ac:dyDescent="0.15">
      <c r="A106" s="8"/>
      <c r="B106" s="9"/>
    </row>
    <row r="107" spans="1:2" ht="12.75" customHeight="1" x14ac:dyDescent="0.15">
      <c r="A107" s="8"/>
      <c r="B107" s="9"/>
    </row>
    <row r="108" spans="1:2" ht="12.75" customHeight="1" x14ac:dyDescent="0.15">
      <c r="A108" s="8"/>
      <c r="B108" s="9"/>
    </row>
    <row r="109" spans="1:2" ht="12.75" customHeight="1" x14ac:dyDescent="0.15">
      <c r="A109" s="8"/>
      <c r="B109" s="9"/>
    </row>
    <row r="110" spans="1:2" ht="12.75" customHeight="1" x14ac:dyDescent="0.15">
      <c r="A110" s="8"/>
      <c r="B110" s="9"/>
    </row>
    <row r="111" spans="1:2" ht="12.75" customHeight="1" x14ac:dyDescent="0.15">
      <c r="A111" s="8"/>
      <c r="B111" s="9"/>
    </row>
    <row r="112" spans="1:2" ht="12.75" customHeight="1" x14ac:dyDescent="0.15">
      <c r="A112" s="8"/>
      <c r="B112" s="9"/>
    </row>
    <row r="113" spans="1:2" ht="12.75" customHeight="1" x14ac:dyDescent="0.15">
      <c r="A113" s="8"/>
      <c r="B113" s="9"/>
    </row>
    <row r="114" spans="1:2" ht="12.75" customHeight="1" x14ac:dyDescent="0.15">
      <c r="A114" s="8"/>
      <c r="B114" s="9"/>
    </row>
    <row r="115" spans="1:2" ht="12.75" customHeight="1" x14ac:dyDescent="0.15">
      <c r="A115" s="8"/>
      <c r="B115" s="9"/>
    </row>
    <row r="116" spans="1:2" ht="12.75" customHeight="1" x14ac:dyDescent="0.15">
      <c r="A116" s="8"/>
      <c r="B116" s="9"/>
    </row>
    <row r="117" spans="1:2" ht="12.75" customHeight="1" x14ac:dyDescent="0.15">
      <c r="A117" s="8"/>
      <c r="B117" s="9"/>
    </row>
    <row r="118" spans="1:2" ht="12.75" customHeight="1" x14ac:dyDescent="0.15">
      <c r="A118" s="8"/>
      <c r="B118" s="9"/>
    </row>
    <row r="119" spans="1:2" ht="12.75" customHeight="1" x14ac:dyDescent="0.15">
      <c r="A119" s="8"/>
      <c r="B119" s="9"/>
    </row>
    <row r="120" spans="1:2" ht="12.75" customHeight="1" x14ac:dyDescent="0.15">
      <c r="A120" s="8"/>
      <c r="B120" s="9"/>
    </row>
    <row r="121" spans="1:2" ht="12.75" customHeight="1" x14ac:dyDescent="0.15">
      <c r="A121" s="8"/>
      <c r="B121" s="9"/>
    </row>
    <row r="122" spans="1:2" ht="12.75" customHeight="1" x14ac:dyDescent="0.15">
      <c r="A122" s="8"/>
      <c r="B122" s="9"/>
    </row>
    <row r="123" spans="1:2" ht="12.75" customHeight="1" x14ac:dyDescent="0.15">
      <c r="A123" s="8"/>
      <c r="B123" s="9"/>
    </row>
    <row r="124" spans="1:2" ht="12.75" customHeight="1" x14ac:dyDescent="0.15">
      <c r="A124" s="8"/>
      <c r="B124" s="9"/>
    </row>
    <row r="125" spans="1:2" ht="12.75" customHeight="1" x14ac:dyDescent="0.15">
      <c r="A125" s="8"/>
      <c r="B125" s="9"/>
    </row>
    <row r="126" spans="1:2" ht="12.75" customHeight="1" x14ac:dyDescent="0.15">
      <c r="A126" s="8"/>
      <c r="B126" s="9"/>
    </row>
    <row r="127" spans="1:2" ht="12.75" customHeight="1" x14ac:dyDescent="0.15">
      <c r="A127" s="8"/>
      <c r="B127" s="9"/>
    </row>
    <row r="128" spans="1:2" ht="12.75" customHeight="1" x14ac:dyDescent="0.15">
      <c r="A128" s="8"/>
      <c r="B128" s="9"/>
    </row>
    <row r="129" spans="1:2" ht="12.75" customHeight="1" x14ac:dyDescent="0.15">
      <c r="A129" s="8"/>
      <c r="B129" s="9"/>
    </row>
    <row r="130" spans="1:2" ht="12.75" customHeight="1" x14ac:dyDescent="0.15">
      <c r="A130" s="8"/>
      <c r="B130" s="9"/>
    </row>
    <row r="131" spans="1:2" ht="12.75" customHeight="1" x14ac:dyDescent="0.15">
      <c r="A131" s="8"/>
      <c r="B131" s="9"/>
    </row>
    <row r="132" spans="1:2" ht="12.75" customHeight="1" x14ac:dyDescent="0.15">
      <c r="A132" s="8"/>
      <c r="B132" s="9"/>
    </row>
    <row r="133" spans="1:2" ht="12.75" customHeight="1" x14ac:dyDescent="0.15">
      <c r="A133" s="8"/>
      <c r="B133" s="9"/>
    </row>
    <row r="134" spans="1:2" ht="12.75" customHeight="1" x14ac:dyDescent="0.15">
      <c r="A134" s="8"/>
      <c r="B134" s="9"/>
    </row>
    <row r="135" spans="1:2" ht="12.75" customHeight="1" x14ac:dyDescent="0.15">
      <c r="A135" s="8"/>
      <c r="B135" s="9"/>
    </row>
    <row r="136" spans="1:2" ht="12.75" customHeight="1" x14ac:dyDescent="0.15">
      <c r="A136" s="8"/>
      <c r="B136" s="9"/>
    </row>
    <row r="137" spans="1:2" ht="12.75" customHeight="1" x14ac:dyDescent="0.15">
      <c r="A137" s="8"/>
      <c r="B137" s="9"/>
    </row>
    <row r="138" spans="1:2" ht="12.75" customHeight="1" x14ac:dyDescent="0.15">
      <c r="A138" s="8"/>
      <c r="B138" s="9"/>
    </row>
    <row r="139" spans="1:2" ht="12.75" customHeight="1" x14ac:dyDescent="0.15">
      <c r="A139" s="8"/>
      <c r="B139" s="9"/>
    </row>
    <row r="140" spans="1:2" ht="12.75" customHeight="1" x14ac:dyDescent="0.15">
      <c r="A140" s="8"/>
      <c r="B140" s="9"/>
    </row>
    <row r="141" spans="1:2" ht="12.75" customHeight="1" x14ac:dyDescent="0.15">
      <c r="A141" s="8"/>
      <c r="B141" s="9"/>
    </row>
    <row r="142" spans="1:2" ht="12.75" customHeight="1" x14ac:dyDescent="0.15">
      <c r="A142" s="8"/>
      <c r="B142" s="9"/>
    </row>
    <row r="143" spans="1:2" ht="12.75" customHeight="1" x14ac:dyDescent="0.15">
      <c r="A143" s="8"/>
      <c r="B143" s="9"/>
    </row>
    <row r="144" spans="1:2" ht="12.75" customHeight="1" x14ac:dyDescent="0.15">
      <c r="A144" s="8"/>
      <c r="B144" s="9"/>
    </row>
    <row r="145" spans="1:2" ht="12.75" customHeight="1" x14ac:dyDescent="0.15">
      <c r="A145" s="8"/>
      <c r="B145" s="9"/>
    </row>
    <row r="146" spans="1:2" ht="12.75" customHeight="1" x14ac:dyDescent="0.15">
      <c r="A146" s="8"/>
      <c r="B146" s="9"/>
    </row>
    <row r="147" spans="1:2" ht="12.75" customHeight="1" x14ac:dyDescent="0.15">
      <c r="A147" s="8"/>
      <c r="B147" s="9"/>
    </row>
    <row r="148" spans="1:2" ht="12.75" customHeight="1" x14ac:dyDescent="0.15">
      <c r="A148" s="8"/>
      <c r="B148" s="9"/>
    </row>
    <row r="149" spans="1:2" ht="12.75" customHeight="1" x14ac:dyDescent="0.15">
      <c r="A149" s="8"/>
      <c r="B149" s="9"/>
    </row>
    <row r="150" spans="1:2" ht="12.75" customHeight="1" x14ac:dyDescent="0.15">
      <c r="A150" s="8"/>
      <c r="B150" s="9"/>
    </row>
    <row r="151" spans="1:2" ht="12.75" customHeight="1" x14ac:dyDescent="0.15">
      <c r="A151" s="8"/>
      <c r="B151" s="9"/>
    </row>
    <row r="152" spans="1:2" ht="12.75" customHeight="1" x14ac:dyDescent="0.15">
      <c r="A152" s="8"/>
      <c r="B152" s="9"/>
    </row>
    <row r="153" spans="1:2" ht="12.75" customHeight="1" x14ac:dyDescent="0.15">
      <c r="A153" s="8"/>
      <c r="B153" s="9"/>
    </row>
    <row r="154" spans="1:2" ht="12.75" customHeight="1" x14ac:dyDescent="0.15">
      <c r="A154" s="8"/>
      <c r="B154" s="9"/>
    </row>
    <row r="155" spans="1:2" ht="12.75" customHeight="1" x14ac:dyDescent="0.15">
      <c r="A155" s="8"/>
      <c r="B155" s="9"/>
    </row>
    <row r="156" spans="1:2" ht="12.75" customHeight="1" x14ac:dyDescent="0.15">
      <c r="A156" s="8"/>
      <c r="B156" s="9"/>
    </row>
    <row r="157" spans="1:2" ht="12.75" customHeight="1" x14ac:dyDescent="0.15">
      <c r="A157" s="8"/>
      <c r="B157" s="9"/>
    </row>
    <row r="158" spans="1:2" ht="12.75" customHeight="1" x14ac:dyDescent="0.15">
      <c r="A158" s="8"/>
      <c r="B158" s="9"/>
    </row>
    <row r="159" spans="1:2" ht="12.75" customHeight="1" x14ac:dyDescent="0.15">
      <c r="A159" s="8"/>
      <c r="B159" s="9"/>
    </row>
    <row r="160" spans="1:2" ht="12.75" customHeight="1" x14ac:dyDescent="0.15">
      <c r="A160" s="8"/>
      <c r="B160" s="9"/>
    </row>
    <row r="161" spans="1:2" ht="12.75" customHeight="1" x14ac:dyDescent="0.15">
      <c r="A161" s="8"/>
      <c r="B161" s="9"/>
    </row>
    <row r="162" spans="1:2" ht="12.75" customHeight="1" x14ac:dyDescent="0.15">
      <c r="A162" s="8"/>
      <c r="B162" s="9"/>
    </row>
    <row r="163" spans="1:2" ht="12.75" customHeight="1" x14ac:dyDescent="0.15">
      <c r="A163" s="8"/>
      <c r="B163" s="9"/>
    </row>
    <row r="164" spans="1:2" ht="12.75" customHeight="1" x14ac:dyDescent="0.15">
      <c r="A164" s="8"/>
      <c r="B164" s="9"/>
    </row>
    <row r="165" spans="1:2" ht="12.75" customHeight="1" x14ac:dyDescent="0.15">
      <c r="A165" s="8"/>
      <c r="B165" s="9"/>
    </row>
    <row r="166" spans="1:2" ht="12.75" customHeight="1" x14ac:dyDescent="0.15">
      <c r="A166" s="8"/>
      <c r="B166" s="9"/>
    </row>
    <row r="167" spans="1:2" ht="12.75" customHeight="1" x14ac:dyDescent="0.15">
      <c r="A167" s="8"/>
      <c r="B167" s="9"/>
    </row>
    <row r="168" spans="1:2" ht="12.75" customHeight="1" x14ac:dyDescent="0.15">
      <c r="A168" s="8"/>
      <c r="B168" s="9"/>
    </row>
    <row r="169" spans="1:2" ht="12.75" customHeight="1" x14ac:dyDescent="0.15">
      <c r="A169" s="8"/>
      <c r="B169" s="9"/>
    </row>
    <row r="170" spans="1:2" ht="12.75" customHeight="1" x14ac:dyDescent="0.15">
      <c r="A170" s="8"/>
      <c r="B170" s="9"/>
    </row>
    <row r="171" spans="1:2" ht="12.75" customHeight="1" x14ac:dyDescent="0.15">
      <c r="A171" s="8"/>
      <c r="B171" s="9"/>
    </row>
    <row r="172" spans="1:2" ht="12.75" customHeight="1" x14ac:dyDescent="0.15">
      <c r="A172" s="8"/>
      <c r="B172" s="9"/>
    </row>
    <row r="173" spans="1:2" ht="12.75" customHeight="1" x14ac:dyDescent="0.15">
      <c r="A173" s="8"/>
      <c r="B173" s="9"/>
    </row>
    <row r="174" spans="1:2" ht="12.75" customHeight="1" x14ac:dyDescent="0.15">
      <c r="A174" s="8"/>
      <c r="B174" s="9"/>
    </row>
    <row r="175" spans="1:2" ht="12.75" customHeight="1" x14ac:dyDescent="0.15">
      <c r="A175" s="8"/>
      <c r="B175" s="9"/>
    </row>
    <row r="176" spans="1:2" ht="12.75" customHeight="1" x14ac:dyDescent="0.15">
      <c r="A176" s="8"/>
      <c r="B176" s="9"/>
    </row>
    <row r="177" spans="1:2" ht="12.75" customHeight="1" x14ac:dyDescent="0.15">
      <c r="A177" s="8"/>
      <c r="B177" s="9"/>
    </row>
    <row r="178" spans="1:2" ht="12.75" customHeight="1" x14ac:dyDescent="0.15">
      <c r="A178" s="8"/>
      <c r="B178" s="9"/>
    </row>
    <row r="179" spans="1:2" ht="12.75" customHeight="1" x14ac:dyDescent="0.15">
      <c r="A179" s="8"/>
      <c r="B179" s="9"/>
    </row>
    <row r="180" spans="1:2" ht="12.75" customHeight="1" x14ac:dyDescent="0.15">
      <c r="A180" s="8"/>
      <c r="B180" s="9"/>
    </row>
    <row r="181" spans="1:2" ht="12.75" customHeight="1" x14ac:dyDescent="0.15">
      <c r="A181" s="8"/>
      <c r="B181" s="9"/>
    </row>
    <row r="182" spans="1:2" ht="12.75" customHeight="1" x14ac:dyDescent="0.15">
      <c r="A182" s="8"/>
      <c r="B182" s="9"/>
    </row>
    <row r="183" spans="1:2" ht="12.75" customHeight="1" x14ac:dyDescent="0.15">
      <c r="A183" s="8"/>
      <c r="B183" s="9"/>
    </row>
    <row r="184" spans="1:2" ht="12.75" customHeight="1" x14ac:dyDescent="0.15">
      <c r="A184" s="8"/>
      <c r="B184" s="9"/>
    </row>
    <row r="185" spans="1:2" ht="12.75" customHeight="1" x14ac:dyDescent="0.15">
      <c r="A185" s="8"/>
      <c r="B185" s="9"/>
    </row>
    <row r="186" spans="1:2" ht="12.75" customHeight="1" x14ac:dyDescent="0.15">
      <c r="A186" s="8"/>
      <c r="B186" s="9"/>
    </row>
    <row r="187" spans="1:2" ht="12.75" customHeight="1" x14ac:dyDescent="0.15">
      <c r="A187" s="8"/>
      <c r="B187" s="9"/>
    </row>
    <row r="188" spans="1:2" ht="12.75" customHeight="1" x14ac:dyDescent="0.15">
      <c r="A188" s="8"/>
      <c r="B188" s="9"/>
    </row>
    <row r="189" spans="1:2" ht="12.75" customHeight="1" x14ac:dyDescent="0.15">
      <c r="A189" s="8"/>
      <c r="B189" s="9"/>
    </row>
    <row r="190" spans="1:2" ht="12.75" customHeight="1" x14ac:dyDescent="0.15">
      <c r="A190" s="8"/>
      <c r="B190" s="9"/>
    </row>
    <row r="191" spans="1:2" ht="12.75" customHeight="1" x14ac:dyDescent="0.15">
      <c r="A191" s="8"/>
      <c r="B191" s="9"/>
    </row>
    <row r="192" spans="1:2" ht="12.75" customHeight="1" x14ac:dyDescent="0.15">
      <c r="A192" s="8"/>
      <c r="B192" s="9"/>
    </row>
    <row r="193" spans="1:2" ht="12.75" customHeight="1" x14ac:dyDescent="0.15">
      <c r="A193" s="8"/>
      <c r="B193" s="9"/>
    </row>
    <row r="194" spans="1:2" ht="12.75" customHeight="1" x14ac:dyDescent="0.15">
      <c r="A194" s="8"/>
      <c r="B194" s="9"/>
    </row>
    <row r="195" spans="1:2" ht="12.75" customHeight="1" x14ac:dyDescent="0.15">
      <c r="A195" s="8"/>
      <c r="B195" s="9"/>
    </row>
    <row r="196" spans="1:2" ht="12.75" customHeight="1" x14ac:dyDescent="0.15">
      <c r="A196" s="8"/>
      <c r="B196" s="9"/>
    </row>
    <row r="197" spans="1:2" ht="12.75" customHeight="1" x14ac:dyDescent="0.15">
      <c r="A197" s="8"/>
      <c r="B197" s="9"/>
    </row>
    <row r="198" spans="1:2" ht="12.75" customHeight="1" x14ac:dyDescent="0.15">
      <c r="A198" s="8"/>
      <c r="B198" s="9"/>
    </row>
    <row r="199" spans="1:2" ht="12.75" customHeight="1" x14ac:dyDescent="0.15">
      <c r="A199" s="8"/>
      <c r="B199" s="9"/>
    </row>
    <row r="200" spans="1:2" ht="12.75" customHeight="1" x14ac:dyDescent="0.15">
      <c r="A200" s="8"/>
      <c r="B200" s="9"/>
    </row>
    <row r="201" spans="1:2" ht="12.75" customHeight="1" x14ac:dyDescent="0.15">
      <c r="A201" s="8"/>
      <c r="B201" s="9"/>
    </row>
    <row r="202" spans="1:2" ht="12.75" customHeight="1" x14ac:dyDescent="0.15">
      <c r="A202" s="8"/>
      <c r="B202" s="9"/>
    </row>
    <row r="203" spans="1:2" ht="12.75" customHeight="1" x14ac:dyDescent="0.15">
      <c r="A203" s="8"/>
      <c r="B203" s="9"/>
    </row>
    <row r="204" spans="1:2" ht="12.75" customHeight="1" x14ac:dyDescent="0.15">
      <c r="A204" s="8"/>
      <c r="B204" s="9"/>
    </row>
    <row r="205" spans="1:2" ht="12.75" customHeight="1" x14ac:dyDescent="0.15">
      <c r="A205" s="8"/>
      <c r="B205" s="9"/>
    </row>
    <row r="206" spans="1:2" ht="12.75" customHeight="1" x14ac:dyDescent="0.15">
      <c r="A206" s="8"/>
      <c r="B206" s="9"/>
    </row>
    <row r="207" spans="1:2" ht="12.75" customHeight="1" x14ac:dyDescent="0.15">
      <c r="A207" s="8"/>
      <c r="B207" s="9"/>
    </row>
    <row r="208" spans="1:2" ht="12.75" customHeight="1" x14ac:dyDescent="0.15">
      <c r="A208" s="8"/>
      <c r="B208" s="9"/>
    </row>
    <row r="209" spans="1:2" ht="12.75" customHeight="1" x14ac:dyDescent="0.15">
      <c r="A209" s="8"/>
      <c r="B209" s="9"/>
    </row>
    <row r="210" spans="1:2" ht="12.75" customHeight="1" x14ac:dyDescent="0.15">
      <c r="A210" s="8"/>
      <c r="B210" s="9"/>
    </row>
    <row r="211" spans="1:2" ht="12.75" customHeight="1" x14ac:dyDescent="0.15">
      <c r="A211" s="8"/>
      <c r="B211" s="9"/>
    </row>
    <row r="212" spans="1:2" ht="12.75" customHeight="1" x14ac:dyDescent="0.15">
      <c r="A212" s="8"/>
      <c r="B212" s="9"/>
    </row>
    <row r="213" spans="1:2" ht="12.75" customHeight="1" x14ac:dyDescent="0.15">
      <c r="A213" s="8"/>
      <c r="B213" s="9"/>
    </row>
    <row r="214" spans="1:2" ht="12.75" customHeight="1" x14ac:dyDescent="0.15">
      <c r="A214" s="8"/>
      <c r="B214" s="9"/>
    </row>
    <row r="215" spans="1:2" ht="12.75" customHeight="1" x14ac:dyDescent="0.15">
      <c r="A215" s="8"/>
      <c r="B215" s="9"/>
    </row>
    <row r="216" spans="1:2" ht="12.75" customHeight="1" x14ac:dyDescent="0.15">
      <c r="A216" s="8"/>
      <c r="B216" s="9"/>
    </row>
    <row r="217" spans="1:2" ht="12.75" customHeight="1" x14ac:dyDescent="0.15">
      <c r="A217" s="8"/>
      <c r="B217" s="9"/>
    </row>
    <row r="218" spans="1:2" ht="12.75" customHeight="1" x14ac:dyDescent="0.15">
      <c r="A218" s="8"/>
      <c r="B218" s="9"/>
    </row>
    <row r="219" spans="1:2" ht="12.75" customHeight="1" x14ac:dyDescent="0.15">
      <c r="A219" s="8"/>
      <c r="B219" s="9"/>
    </row>
    <row r="220" spans="1:2" ht="12.75" customHeight="1" x14ac:dyDescent="0.15">
      <c r="A220" s="8"/>
      <c r="B220" s="9"/>
    </row>
    <row r="221" spans="1:2" ht="12.75" customHeight="1" x14ac:dyDescent="0.15">
      <c r="A221" s="8"/>
      <c r="B221" s="9"/>
    </row>
    <row r="222" spans="1:2" ht="12.75" customHeight="1" x14ac:dyDescent="0.15">
      <c r="A222" s="8"/>
      <c r="B222" s="9"/>
    </row>
    <row r="223" spans="1:2" ht="12.75" customHeight="1" x14ac:dyDescent="0.15">
      <c r="A223" s="8"/>
      <c r="B223" s="9"/>
    </row>
    <row r="224" spans="1:2" ht="12.75" customHeight="1" x14ac:dyDescent="0.15">
      <c r="A224" s="8"/>
      <c r="B224" s="9"/>
    </row>
    <row r="225" spans="1:2" ht="12.75" customHeight="1" x14ac:dyDescent="0.15">
      <c r="A225" s="8"/>
      <c r="B225" s="9"/>
    </row>
    <row r="226" spans="1:2" ht="12.75" customHeight="1" x14ac:dyDescent="0.15">
      <c r="A226" s="8"/>
      <c r="B226" s="9"/>
    </row>
    <row r="227" spans="1:2" ht="12.75" customHeight="1" x14ac:dyDescent="0.15">
      <c r="A227" s="8"/>
      <c r="B227" s="9"/>
    </row>
    <row r="228" spans="1:2" ht="12.75" customHeight="1" x14ac:dyDescent="0.15">
      <c r="A228" s="8"/>
      <c r="B228" s="9"/>
    </row>
    <row r="229" spans="1:2" ht="12.75" customHeight="1" x14ac:dyDescent="0.15">
      <c r="A229" s="8"/>
      <c r="B229" s="9"/>
    </row>
    <row r="230" spans="1:2" ht="12.75" customHeight="1" x14ac:dyDescent="0.15">
      <c r="A230" s="8"/>
      <c r="B230" s="9"/>
    </row>
    <row r="231" spans="1:2" ht="12.75" customHeight="1" x14ac:dyDescent="0.15">
      <c r="A231" s="8"/>
      <c r="B231" s="9"/>
    </row>
    <row r="232" spans="1:2" ht="12.75" customHeight="1" x14ac:dyDescent="0.15">
      <c r="A232" s="8"/>
      <c r="B232" s="9"/>
    </row>
    <row r="233" spans="1:2" ht="12.75" customHeight="1" x14ac:dyDescent="0.15">
      <c r="A233" s="8"/>
      <c r="B233" s="9"/>
    </row>
    <row r="234" spans="1:2" ht="12.75" customHeight="1" x14ac:dyDescent="0.15">
      <c r="A234" s="8"/>
      <c r="B234" s="9"/>
    </row>
    <row r="235" spans="1:2" ht="12.75" customHeight="1" x14ac:dyDescent="0.15">
      <c r="A235" s="8"/>
      <c r="B235" s="9"/>
    </row>
    <row r="236" spans="1:2" ht="12.75" customHeight="1" x14ac:dyDescent="0.15">
      <c r="A236" s="8"/>
      <c r="B236" s="9"/>
    </row>
    <row r="237" spans="1:2" ht="12.75" customHeight="1" x14ac:dyDescent="0.15">
      <c r="A237" s="8"/>
      <c r="B237" s="9"/>
    </row>
    <row r="238" spans="1:2" ht="12.75" customHeight="1" x14ac:dyDescent="0.15">
      <c r="A238" s="8"/>
      <c r="B238" s="9"/>
    </row>
    <row r="239" spans="1:2" ht="12.75" customHeight="1" x14ac:dyDescent="0.15">
      <c r="A239" s="8"/>
      <c r="B239" s="9"/>
    </row>
    <row r="240" spans="1:2" ht="12.75" customHeight="1" x14ac:dyDescent="0.15">
      <c r="A240" s="8"/>
      <c r="B240" s="9"/>
    </row>
    <row r="241" spans="1:2" ht="12.75" customHeight="1" x14ac:dyDescent="0.15">
      <c r="A241" s="8"/>
      <c r="B241" s="9"/>
    </row>
    <row r="242" spans="1:2" ht="12.75" customHeight="1" x14ac:dyDescent="0.15">
      <c r="A242" s="8"/>
      <c r="B242" s="9"/>
    </row>
    <row r="243" spans="1:2" ht="12.75" customHeight="1" x14ac:dyDescent="0.15">
      <c r="A243" s="8"/>
      <c r="B243" s="9"/>
    </row>
    <row r="244" spans="1:2" ht="12.75" customHeight="1" x14ac:dyDescent="0.15">
      <c r="A244" s="8"/>
      <c r="B244" s="9"/>
    </row>
    <row r="245" spans="1:2" ht="12.75" customHeight="1" x14ac:dyDescent="0.15">
      <c r="A245" s="8"/>
      <c r="B245" s="9"/>
    </row>
    <row r="246" spans="1:2" ht="12.75" customHeight="1" x14ac:dyDescent="0.15">
      <c r="A246" s="8"/>
      <c r="B246" s="9"/>
    </row>
    <row r="247" spans="1:2" ht="12.75" customHeight="1" x14ac:dyDescent="0.15">
      <c r="A247" s="8"/>
      <c r="B247" s="9"/>
    </row>
    <row r="248" spans="1:2" ht="12.75" customHeight="1" x14ac:dyDescent="0.15">
      <c r="A248" s="8"/>
      <c r="B248" s="9"/>
    </row>
    <row r="249" spans="1:2" ht="12.75" customHeight="1" x14ac:dyDescent="0.15">
      <c r="A249" s="8"/>
      <c r="B249" s="9"/>
    </row>
    <row r="250" spans="1:2" ht="12.75" customHeight="1" x14ac:dyDescent="0.15">
      <c r="A250" s="8"/>
      <c r="B250" s="9"/>
    </row>
    <row r="251" spans="1:2" ht="12.75" customHeight="1" x14ac:dyDescent="0.15">
      <c r="A251" s="8"/>
      <c r="B251" s="9"/>
    </row>
    <row r="252" spans="1:2" ht="12.75" customHeight="1" x14ac:dyDescent="0.15">
      <c r="A252" s="8"/>
      <c r="B252" s="9"/>
    </row>
    <row r="253" spans="1:2" ht="12.75" customHeight="1" x14ac:dyDescent="0.15">
      <c r="A253" s="8"/>
      <c r="B253" s="9"/>
    </row>
    <row r="254" spans="1:2" ht="12.75" customHeight="1" x14ac:dyDescent="0.15">
      <c r="A254" s="8"/>
      <c r="B254" s="9"/>
    </row>
    <row r="255" spans="1:2" ht="12.75" customHeight="1" x14ac:dyDescent="0.15">
      <c r="A255" s="8"/>
      <c r="B255" s="9"/>
    </row>
    <row r="256" spans="1:2" ht="12.75" customHeight="1" x14ac:dyDescent="0.15">
      <c r="A256" s="8"/>
      <c r="B256" s="9"/>
    </row>
    <row r="257" spans="1:2" ht="12.75" customHeight="1" x14ac:dyDescent="0.15">
      <c r="A257" s="8"/>
      <c r="B257" s="9"/>
    </row>
    <row r="258" spans="1:2" ht="12.75" customHeight="1" x14ac:dyDescent="0.15">
      <c r="A258" s="8"/>
      <c r="B258" s="9"/>
    </row>
    <row r="259" spans="1:2" ht="12.75" customHeight="1" x14ac:dyDescent="0.15">
      <c r="A259" s="8"/>
      <c r="B259" s="9"/>
    </row>
    <row r="260" spans="1:2" ht="12.75" customHeight="1" x14ac:dyDescent="0.15">
      <c r="A260" s="8"/>
      <c r="B260" s="9"/>
    </row>
    <row r="261" spans="1:2" ht="12.75" customHeight="1" x14ac:dyDescent="0.15">
      <c r="A261" s="8"/>
      <c r="B261" s="9"/>
    </row>
    <row r="262" spans="1:2" ht="12.75" customHeight="1" x14ac:dyDescent="0.15">
      <c r="A262" s="8"/>
      <c r="B262" s="9"/>
    </row>
    <row r="263" spans="1:2" ht="12.75" customHeight="1" x14ac:dyDescent="0.15">
      <c r="A263" s="8"/>
      <c r="B263" s="9"/>
    </row>
    <row r="264" spans="1:2" ht="12.75" customHeight="1" x14ac:dyDescent="0.15">
      <c r="A264" s="8"/>
      <c r="B264" s="9"/>
    </row>
    <row r="265" spans="1:2" ht="12.75" customHeight="1" x14ac:dyDescent="0.15">
      <c r="A265" s="8"/>
      <c r="B265" s="9"/>
    </row>
    <row r="266" spans="1:2" ht="12.75" customHeight="1" x14ac:dyDescent="0.15">
      <c r="A266" s="8"/>
      <c r="B266" s="9"/>
    </row>
    <row r="267" spans="1:2" ht="12.75" customHeight="1" x14ac:dyDescent="0.15">
      <c r="A267" s="8"/>
      <c r="B267" s="9"/>
    </row>
    <row r="268" spans="1:2" ht="12.75" customHeight="1" x14ac:dyDescent="0.15">
      <c r="A268" s="8"/>
      <c r="B268" s="9"/>
    </row>
    <row r="269" spans="1:2" ht="12.75" customHeight="1" x14ac:dyDescent="0.15">
      <c r="A269" s="8"/>
      <c r="B269" s="9"/>
    </row>
    <row r="270" spans="1:2" ht="12.75" customHeight="1" x14ac:dyDescent="0.15">
      <c r="A270" s="8"/>
      <c r="B270" s="9"/>
    </row>
    <row r="271" spans="1:2" ht="12.75" customHeight="1" x14ac:dyDescent="0.15">
      <c r="A271" s="8"/>
      <c r="B271" s="9"/>
    </row>
    <row r="272" spans="1:2" ht="12.75" customHeight="1" x14ac:dyDescent="0.15">
      <c r="A272" s="8"/>
      <c r="B272" s="9"/>
    </row>
    <row r="273" spans="1:2" ht="12.75" customHeight="1" x14ac:dyDescent="0.15">
      <c r="A273" s="8"/>
      <c r="B273" s="9"/>
    </row>
    <row r="274" spans="1:2" ht="12.75" customHeight="1" x14ac:dyDescent="0.15">
      <c r="A274" s="8"/>
      <c r="B274" s="9"/>
    </row>
    <row r="275" spans="1:2" ht="12.75" customHeight="1" x14ac:dyDescent="0.15">
      <c r="A275" s="8"/>
      <c r="B275" s="9"/>
    </row>
    <row r="276" spans="1:2" ht="12.75" customHeight="1" x14ac:dyDescent="0.15">
      <c r="A276" s="8"/>
      <c r="B276" s="9"/>
    </row>
    <row r="277" spans="1:2" ht="12.75" customHeight="1" x14ac:dyDescent="0.15">
      <c r="A277" s="8"/>
      <c r="B277" s="9"/>
    </row>
    <row r="278" spans="1:2" ht="12.75" customHeight="1" x14ac:dyDescent="0.15">
      <c r="A278" s="8"/>
      <c r="B278" s="9"/>
    </row>
    <row r="279" spans="1:2" ht="12.75" customHeight="1" x14ac:dyDescent="0.15">
      <c r="A279" s="8"/>
      <c r="B279" s="9"/>
    </row>
    <row r="280" spans="1:2" ht="12.75" customHeight="1" x14ac:dyDescent="0.15">
      <c r="A280" s="8"/>
      <c r="B280" s="9"/>
    </row>
    <row r="281" spans="1:2" ht="12.75" customHeight="1" x14ac:dyDescent="0.15">
      <c r="A281" s="8"/>
      <c r="B281" s="9"/>
    </row>
    <row r="282" spans="1:2" ht="12.75" customHeight="1" x14ac:dyDescent="0.15">
      <c r="A282" s="8"/>
      <c r="B282" s="9"/>
    </row>
    <row r="283" spans="1:2" ht="12.75" customHeight="1" x14ac:dyDescent="0.15">
      <c r="A283" s="8"/>
      <c r="B283" s="9"/>
    </row>
    <row r="284" spans="1:2" ht="12.75" customHeight="1" x14ac:dyDescent="0.15">
      <c r="A284" s="8"/>
      <c r="B284" s="9"/>
    </row>
    <row r="285" spans="1:2" ht="12.75" customHeight="1" x14ac:dyDescent="0.15">
      <c r="A285" s="8"/>
      <c r="B285" s="9"/>
    </row>
    <row r="286" spans="1:2" ht="12.75" customHeight="1" x14ac:dyDescent="0.15">
      <c r="A286" s="8"/>
      <c r="B286" s="9"/>
    </row>
    <row r="287" spans="1:2" ht="12.75" customHeight="1" x14ac:dyDescent="0.15">
      <c r="A287" s="8"/>
      <c r="B287" s="9"/>
    </row>
    <row r="288" spans="1:2" ht="12.75" customHeight="1" x14ac:dyDescent="0.15">
      <c r="A288" s="8"/>
      <c r="B288" s="9"/>
    </row>
    <row r="289" spans="1:2" ht="12.75" customHeight="1" x14ac:dyDescent="0.15">
      <c r="A289" s="8"/>
      <c r="B289" s="9"/>
    </row>
    <row r="290" spans="1:2" ht="12.75" customHeight="1" x14ac:dyDescent="0.15">
      <c r="A290" s="8"/>
      <c r="B290" s="9"/>
    </row>
    <row r="291" spans="1:2" ht="12.75" customHeight="1" x14ac:dyDescent="0.15">
      <c r="A291" s="8"/>
      <c r="B291" s="9"/>
    </row>
    <row r="292" spans="1:2" ht="12.75" customHeight="1" x14ac:dyDescent="0.15">
      <c r="A292" s="8"/>
      <c r="B292" s="9"/>
    </row>
    <row r="293" spans="1:2" ht="12.75" customHeight="1" x14ac:dyDescent="0.15">
      <c r="A293" s="8"/>
      <c r="B293" s="9"/>
    </row>
    <row r="294" spans="1:2" ht="12.75" customHeight="1" x14ac:dyDescent="0.15">
      <c r="A294" s="8"/>
      <c r="B294" s="9"/>
    </row>
    <row r="295" spans="1:2" ht="12.75" customHeight="1" x14ac:dyDescent="0.15">
      <c r="A295" s="8"/>
      <c r="B295" s="9"/>
    </row>
    <row r="296" spans="1:2" ht="12.75" customHeight="1" x14ac:dyDescent="0.15">
      <c r="A296" s="8"/>
      <c r="B296" s="9"/>
    </row>
    <row r="297" spans="1:2" ht="12.75" customHeight="1" x14ac:dyDescent="0.15">
      <c r="A297" s="8"/>
      <c r="B297" s="9"/>
    </row>
    <row r="298" spans="1:2" ht="12.75" customHeight="1" x14ac:dyDescent="0.15">
      <c r="A298" s="8"/>
      <c r="B298" s="9"/>
    </row>
    <row r="299" spans="1:2" ht="12.75" customHeight="1" x14ac:dyDescent="0.15">
      <c r="A299" s="8"/>
      <c r="B299" s="9"/>
    </row>
    <row r="300" spans="1:2" ht="12.75" customHeight="1" x14ac:dyDescent="0.15">
      <c r="A300" s="8"/>
      <c r="B300" s="9"/>
    </row>
    <row r="301" spans="1:2" ht="12.75" customHeight="1" x14ac:dyDescent="0.15">
      <c r="A301" s="8"/>
      <c r="B301" s="9"/>
    </row>
    <row r="302" spans="1:2" ht="12.75" customHeight="1" x14ac:dyDescent="0.15">
      <c r="A302" s="8"/>
      <c r="B302" s="9"/>
    </row>
    <row r="303" spans="1:2" ht="12.75" customHeight="1" x14ac:dyDescent="0.15">
      <c r="A303" s="8"/>
      <c r="B303" s="9"/>
    </row>
    <row r="304" spans="1:2" ht="12.75" customHeight="1" x14ac:dyDescent="0.15">
      <c r="A304" s="8"/>
      <c r="B304" s="9"/>
    </row>
    <row r="305" spans="1:2" ht="12.75" customHeight="1" x14ac:dyDescent="0.15">
      <c r="A305" s="8"/>
      <c r="B305" s="9"/>
    </row>
    <row r="306" spans="1:2" ht="12.75" customHeight="1" x14ac:dyDescent="0.15">
      <c r="A306" s="8"/>
      <c r="B306" s="9"/>
    </row>
    <row r="307" spans="1:2" ht="12.75" customHeight="1" x14ac:dyDescent="0.15">
      <c r="A307" s="8"/>
      <c r="B307" s="9"/>
    </row>
    <row r="308" spans="1:2" ht="12.75" customHeight="1" x14ac:dyDescent="0.15">
      <c r="A308" s="8"/>
      <c r="B308" s="9"/>
    </row>
    <row r="309" spans="1:2" ht="12.75" customHeight="1" x14ac:dyDescent="0.15">
      <c r="A309" s="8"/>
      <c r="B309" s="9"/>
    </row>
    <row r="310" spans="1:2" ht="12.75" customHeight="1" x14ac:dyDescent="0.15">
      <c r="A310" s="8"/>
      <c r="B310" s="9"/>
    </row>
    <row r="311" spans="1:2" ht="12.75" customHeight="1" x14ac:dyDescent="0.15">
      <c r="A311" s="8"/>
      <c r="B311" s="9"/>
    </row>
    <row r="312" spans="1:2" ht="12.75" customHeight="1" x14ac:dyDescent="0.15">
      <c r="A312" s="8"/>
      <c r="B312" s="9"/>
    </row>
    <row r="313" spans="1:2" ht="12.75" customHeight="1" x14ac:dyDescent="0.15">
      <c r="A313" s="8"/>
      <c r="B313" s="9"/>
    </row>
    <row r="314" spans="1:2" ht="12.75" customHeight="1" x14ac:dyDescent="0.15">
      <c r="A314" s="8"/>
      <c r="B314" s="9"/>
    </row>
    <row r="315" spans="1:2" ht="12.75" customHeight="1" x14ac:dyDescent="0.15">
      <c r="A315" s="8"/>
      <c r="B315" s="9"/>
    </row>
    <row r="316" spans="1:2" ht="12.75" customHeight="1" x14ac:dyDescent="0.15">
      <c r="A316" s="8"/>
      <c r="B316" s="9"/>
    </row>
    <row r="317" spans="1:2" ht="12.75" customHeight="1" x14ac:dyDescent="0.15">
      <c r="A317" s="8"/>
      <c r="B317" s="9"/>
    </row>
    <row r="318" spans="1:2" ht="12.75" customHeight="1" x14ac:dyDescent="0.15">
      <c r="A318" s="8"/>
      <c r="B318" s="9"/>
    </row>
    <row r="319" spans="1:2" ht="12.75" customHeight="1" x14ac:dyDescent="0.15">
      <c r="A319" s="8"/>
      <c r="B319" s="9"/>
    </row>
    <row r="320" spans="1:2" ht="12.75" customHeight="1" x14ac:dyDescent="0.15">
      <c r="A320" s="8"/>
      <c r="B320" s="9"/>
    </row>
    <row r="321" spans="1:2" ht="12.75" customHeight="1" x14ac:dyDescent="0.15">
      <c r="A321" s="8"/>
      <c r="B321" s="9"/>
    </row>
    <row r="322" spans="1:2" ht="12.75" customHeight="1" x14ac:dyDescent="0.15">
      <c r="A322" s="8"/>
      <c r="B322" s="9"/>
    </row>
    <row r="323" spans="1:2" ht="12.75" customHeight="1" x14ac:dyDescent="0.15">
      <c r="A323" s="8"/>
      <c r="B323" s="9"/>
    </row>
    <row r="324" spans="1:2" ht="12.75" customHeight="1" x14ac:dyDescent="0.15">
      <c r="A324" s="8"/>
      <c r="B324" s="9"/>
    </row>
    <row r="325" spans="1:2" ht="12.75" customHeight="1" x14ac:dyDescent="0.15">
      <c r="A325" s="8"/>
      <c r="B325" s="9"/>
    </row>
    <row r="326" spans="1:2" ht="12.75" customHeight="1" x14ac:dyDescent="0.15">
      <c r="A326" s="8"/>
      <c r="B326" s="9"/>
    </row>
    <row r="327" spans="1:2" ht="12.75" customHeight="1" x14ac:dyDescent="0.15">
      <c r="A327" s="8"/>
      <c r="B327" s="9"/>
    </row>
    <row r="328" spans="1:2" ht="12.75" customHeight="1" x14ac:dyDescent="0.15">
      <c r="A328" s="8"/>
      <c r="B328" s="9"/>
    </row>
    <row r="329" spans="1:2" ht="12.75" customHeight="1" x14ac:dyDescent="0.15">
      <c r="A329" s="8"/>
      <c r="B329" s="9"/>
    </row>
    <row r="330" spans="1:2" ht="12.75" customHeight="1" x14ac:dyDescent="0.15">
      <c r="A330" s="8"/>
      <c r="B330" s="9"/>
    </row>
    <row r="331" spans="1:2" ht="12.75" customHeight="1" x14ac:dyDescent="0.15">
      <c r="A331" s="8"/>
      <c r="B331" s="9"/>
    </row>
    <row r="332" spans="1:2" ht="12.75" customHeight="1" x14ac:dyDescent="0.15">
      <c r="A332" s="8"/>
      <c r="B332" s="9"/>
    </row>
    <row r="333" spans="1:2" ht="12.75" customHeight="1" x14ac:dyDescent="0.15">
      <c r="A333" s="8"/>
      <c r="B333" s="9"/>
    </row>
    <row r="334" spans="1:2" ht="12.75" customHeight="1" x14ac:dyDescent="0.15">
      <c r="A334" s="8"/>
      <c r="B334" s="9"/>
    </row>
    <row r="335" spans="1:2" ht="12.75" customHeight="1" x14ac:dyDescent="0.15">
      <c r="A335" s="8"/>
      <c r="B335" s="9"/>
    </row>
    <row r="336" spans="1:2" ht="12.75" customHeight="1" x14ac:dyDescent="0.15">
      <c r="A336" s="8"/>
      <c r="B336" s="9"/>
    </row>
    <row r="337" spans="1:2" ht="12.75" customHeight="1" x14ac:dyDescent="0.15">
      <c r="A337" s="8"/>
      <c r="B337" s="9"/>
    </row>
    <row r="338" spans="1:2" ht="12.75" customHeight="1" x14ac:dyDescent="0.15">
      <c r="A338" s="8"/>
      <c r="B338" s="9"/>
    </row>
    <row r="339" spans="1:2" ht="12.75" customHeight="1" x14ac:dyDescent="0.15">
      <c r="A339" s="8"/>
      <c r="B339" s="9"/>
    </row>
    <row r="340" spans="1:2" ht="12.75" customHeight="1" x14ac:dyDescent="0.15">
      <c r="A340" s="8"/>
      <c r="B340" s="9"/>
    </row>
    <row r="341" spans="1:2" ht="12.75" customHeight="1" x14ac:dyDescent="0.15">
      <c r="A341" s="8"/>
      <c r="B341" s="9"/>
    </row>
    <row r="342" spans="1:2" ht="12.75" customHeight="1" x14ac:dyDescent="0.15">
      <c r="A342" s="8"/>
      <c r="B342" s="9"/>
    </row>
    <row r="343" spans="1:2" ht="12.75" customHeight="1" x14ac:dyDescent="0.15">
      <c r="A343" s="8"/>
      <c r="B343" s="9"/>
    </row>
    <row r="344" spans="1:2" ht="12.75" customHeight="1" x14ac:dyDescent="0.15">
      <c r="A344" s="8"/>
      <c r="B344" s="9"/>
    </row>
    <row r="345" spans="1:2" ht="12.75" customHeight="1" x14ac:dyDescent="0.15">
      <c r="A345" s="8"/>
      <c r="B345" s="9"/>
    </row>
    <row r="346" spans="1:2" ht="12.75" customHeight="1" x14ac:dyDescent="0.15">
      <c r="A346" s="8"/>
      <c r="B346" s="9"/>
    </row>
    <row r="347" spans="1:2" ht="12.75" customHeight="1" x14ac:dyDescent="0.15">
      <c r="A347" s="8"/>
      <c r="B347" s="9"/>
    </row>
    <row r="348" spans="1:2" ht="12.75" customHeight="1" x14ac:dyDescent="0.15">
      <c r="A348" s="8"/>
      <c r="B348" s="9"/>
    </row>
    <row r="349" spans="1:2" ht="12.75" customHeight="1" x14ac:dyDescent="0.15">
      <c r="A349" s="8"/>
      <c r="B349" s="9"/>
    </row>
    <row r="350" spans="1:2" ht="12.75" customHeight="1" x14ac:dyDescent="0.15">
      <c r="A350" s="8"/>
      <c r="B350" s="9"/>
    </row>
    <row r="351" spans="1:2" ht="12.75" customHeight="1" x14ac:dyDescent="0.15">
      <c r="A351" s="8"/>
      <c r="B351" s="9"/>
    </row>
    <row r="352" spans="1:2" ht="12.75" customHeight="1" x14ac:dyDescent="0.15">
      <c r="A352" s="8"/>
      <c r="B352" s="9"/>
    </row>
    <row r="353" spans="1:2" ht="12.75" customHeight="1" x14ac:dyDescent="0.15">
      <c r="A353" s="8"/>
      <c r="B353" s="9"/>
    </row>
    <row r="354" spans="1:2" ht="12.75" customHeight="1" x14ac:dyDescent="0.15">
      <c r="A354" s="8"/>
      <c r="B354" s="9"/>
    </row>
    <row r="355" spans="1:2" ht="12.75" customHeight="1" x14ac:dyDescent="0.15">
      <c r="A355" s="8"/>
      <c r="B355" s="9"/>
    </row>
    <row r="356" spans="1:2" ht="12.75" customHeight="1" x14ac:dyDescent="0.15">
      <c r="A356" s="8"/>
      <c r="B356" s="9"/>
    </row>
    <row r="357" spans="1:2" ht="12.75" customHeight="1" x14ac:dyDescent="0.15">
      <c r="A357" s="8"/>
      <c r="B357" s="9"/>
    </row>
    <row r="358" spans="1:2" ht="12.75" customHeight="1" x14ac:dyDescent="0.15">
      <c r="A358" s="8"/>
      <c r="B358" s="9"/>
    </row>
    <row r="359" spans="1:2" ht="12.75" customHeight="1" x14ac:dyDescent="0.15">
      <c r="A359" s="8"/>
      <c r="B359" s="9"/>
    </row>
    <row r="360" spans="1:2" ht="12.75" customHeight="1" x14ac:dyDescent="0.15">
      <c r="A360" s="8"/>
      <c r="B360" s="9"/>
    </row>
    <row r="361" spans="1:2" ht="12.75" customHeight="1" x14ac:dyDescent="0.15">
      <c r="A361" s="8"/>
      <c r="B361" s="9"/>
    </row>
    <row r="362" spans="1:2" ht="12.75" customHeight="1" x14ac:dyDescent="0.15">
      <c r="A362" s="8"/>
      <c r="B362" s="9"/>
    </row>
    <row r="363" spans="1:2" ht="12.75" customHeight="1" x14ac:dyDescent="0.15">
      <c r="A363" s="8"/>
      <c r="B363" s="9"/>
    </row>
    <row r="364" spans="1:2" ht="12.75" customHeight="1" x14ac:dyDescent="0.15">
      <c r="A364" s="8"/>
      <c r="B364" s="9"/>
    </row>
    <row r="365" spans="1:2" ht="12.75" customHeight="1" x14ac:dyDescent="0.15">
      <c r="A365" s="8"/>
      <c r="B365" s="9"/>
    </row>
    <row r="366" spans="1:2" ht="12.75" customHeight="1" x14ac:dyDescent="0.15">
      <c r="A366" s="8"/>
      <c r="B366" s="9"/>
    </row>
    <row r="367" spans="1:2" ht="12.75" customHeight="1" x14ac:dyDescent="0.15">
      <c r="A367" s="8"/>
      <c r="B367" s="9"/>
    </row>
    <row r="368" spans="1:2" ht="12.75" customHeight="1" x14ac:dyDescent="0.15">
      <c r="A368" s="8"/>
      <c r="B368" s="9"/>
    </row>
    <row r="369" spans="1:2" ht="12.75" customHeight="1" x14ac:dyDescent="0.15">
      <c r="A369" s="8"/>
      <c r="B369" s="9"/>
    </row>
    <row r="370" spans="1:2" ht="12.75" customHeight="1" x14ac:dyDescent="0.15">
      <c r="A370" s="8"/>
      <c r="B370" s="9"/>
    </row>
    <row r="371" spans="1:2" ht="12.75" customHeight="1" x14ac:dyDescent="0.15">
      <c r="A371" s="8"/>
      <c r="B371" s="9"/>
    </row>
    <row r="372" spans="1:2" ht="12.75" customHeight="1" x14ac:dyDescent="0.15">
      <c r="A372" s="8"/>
      <c r="B372" s="9"/>
    </row>
    <row r="373" spans="1:2" ht="12.75" customHeight="1" x14ac:dyDescent="0.15">
      <c r="A373" s="8"/>
      <c r="B373" s="9"/>
    </row>
    <row r="374" spans="1:2" ht="12.75" customHeight="1" x14ac:dyDescent="0.15">
      <c r="A374" s="8"/>
      <c r="B374" s="9"/>
    </row>
    <row r="375" spans="1:2" ht="12.75" customHeight="1" x14ac:dyDescent="0.15">
      <c r="A375" s="8"/>
      <c r="B375" s="9"/>
    </row>
    <row r="376" spans="1:2" ht="12.75" customHeight="1" x14ac:dyDescent="0.15">
      <c r="A376" s="8"/>
      <c r="B376" s="9"/>
    </row>
    <row r="377" spans="1:2" ht="12.75" customHeight="1" x14ac:dyDescent="0.15">
      <c r="A377" s="8"/>
      <c r="B377" s="9"/>
    </row>
    <row r="378" spans="1:2" ht="12.75" customHeight="1" x14ac:dyDescent="0.15">
      <c r="A378" s="8"/>
      <c r="B378" s="9"/>
    </row>
    <row r="379" spans="1:2" ht="12.75" customHeight="1" x14ac:dyDescent="0.15">
      <c r="A379" s="8"/>
      <c r="B379" s="9"/>
    </row>
    <row r="380" spans="1:2" ht="12.75" customHeight="1" x14ac:dyDescent="0.15">
      <c r="A380" s="8"/>
      <c r="B380" s="9"/>
    </row>
    <row r="381" spans="1:2" ht="12.75" customHeight="1" x14ac:dyDescent="0.15">
      <c r="A381" s="8"/>
      <c r="B381" s="9"/>
    </row>
    <row r="382" spans="1:2" ht="12.75" customHeight="1" x14ac:dyDescent="0.15">
      <c r="A382" s="8"/>
      <c r="B382" s="9"/>
    </row>
    <row r="383" spans="1:2" ht="12.75" customHeight="1" x14ac:dyDescent="0.15">
      <c r="A383" s="8"/>
      <c r="B383" s="9"/>
    </row>
    <row r="384" spans="1:2" ht="12.75" customHeight="1" x14ac:dyDescent="0.15">
      <c r="A384" s="8"/>
      <c r="B384" s="9"/>
    </row>
    <row r="385" spans="1:2" ht="12.75" customHeight="1" x14ac:dyDescent="0.15">
      <c r="A385" s="8"/>
      <c r="B385" s="9"/>
    </row>
    <row r="386" spans="1:2" ht="12.75" customHeight="1" x14ac:dyDescent="0.15">
      <c r="A386" s="8"/>
      <c r="B386" s="9"/>
    </row>
    <row r="387" spans="1:2" ht="12.75" customHeight="1" x14ac:dyDescent="0.15">
      <c r="A387" s="8"/>
      <c r="B387" s="9"/>
    </row>
    <row r="388" spans="1:2" ht="12.75" customHeight="1" x14ac:dyDescent="0.15">
      <c r="A388" s="8"/>
      <c r="B388" s="9"/>
    </row>
    <row r="389" spans="1:2" ht="12.75" customHeight="1" x14ac:dyDescent="0.15">
      <c r="A389" s="8"/>
      <c r="B389" s="9"/>
    </row>
    <row r="390" spans="1:2" ht="12.75" customHeight="1" x14ac:dyDescent="0.15">
      <c r="A390" s="8"/>
      <c r="B390" s="9"/>
    </row>
    <row r="391" spans="1:2" ht="12.75" customHeight="1" x14ac:dyDescent="0.15">
      <c r="A391" s="8"/>
      <c r="B391" s="9"/>
    </row>
    <row r="392" spans="1:2" ht="12.75" customHeight="1" x14ac:dyDescent="0.15">
      <c r="A392" s="8"/>
      <c r="B392" s="9"/>
    </row>
    <row r="393" spans="1:2" ht="12.75" customHeight="1" x14ac:dyDescent="0.15">
      <c r="A393" s="8"/>
      <c r="B393" s="9"/>
    </row>
    <row r="394" spans="1:2" ht="12.75" customHeight="1" x14ac:dyDescent="0.15">
      <c r="A394" s="8"/>
      <c r="B394" s="9"/>
    </row>
    <row r="395" spans="1:2" ht="12.75" customHeight="1" x14ac:dyDescent="0.15">
      <c r="A395" s="8"/>
      <c r="B395" s="9"/>
    </row>
    <row r="396" spans="1:2" ht="12.75" customHeight="1" x14ac:dyDescent="0.15">
      <c r="A396" s="8"/>
      <c r="B396" s="9"/>
    </row>
    <row r="397" spans="1:2" ht="12.75" customHeight="1" x14ac:dyDescent="0.15">
      <c r="A397" s="8"/>
      <c r="B397" s="9"/>
    </row>
    <row r="398" spans="1:2" ht="12.75" customHeight="1" x14ac:dyDescent="0.15">
      <c r="A398" s="8"/>
      <c r="B398" s="9"/>
    </row>
    <row r="399" spans="1:2" ht="12.75" customHeight="1" x14ac:dyDescent="0.15">
      <c r="A399" s="8"/>
      <c r="B399" s="9"/>
    </row>
    <row r="400" spans="1:2" ht="12.75" customHeight="1" x14ac:dyDescent="0.15">
      <c r="A400" s="8"/>
      <c r="B400" s="9"/>
    </row>
    <row r="401" spans="1:2" ht="12.75" customHeight="1" x14ac:dyDescent="0.15">
      <c r="A401" s="8"/>
      <c r="B401" s="9"/>
    </row>
    <row r="402" spans="1:2" ht="12.75" customHeight="1" x14ac:dyDescent="0.15">
      <c r="A402" s="8"/>
      <c r="B402" s="9"/>
    </row>
    <row r="403" spans="1:2" ht="12.75" customHeight="1" x14ac:dyDescent="0.15">
      <c r="A403" s="8"/>
      <c r="B403" s="9"/>
    </row>
    <row r="404" spans="1:2" ht="12.75" customHeight="1" x14ac:dyDescent="0.15">
      <c r="A404" s="8"/>
      <c r="B404" s="9"/>
    </row>
    <row r="405" spans="1:2" ht="12.75" customHeight="1" x14ac:dyDescent="0.15">
      <c r="A405" s="8"/>
      <c r="B405" s="9"/>
    </row>
    <row r="406" spans="1:2" ht="12.75" customHeight="1" x14ac:dyDescent="0.15">
      <c r="A406" s="8"/>
      <c r="B406" s="9"/>
    </row>
    <row r="407" spans="1:2" ht="12.75" customHeight="1" x14ac:dyDescent="0.15">
      <c r="A407" s="8"/>
      <c r="B407" s="9"/>
    </row>
    <row r="408" spans="1:2" ht="12.75" customHeight="1" x14ac:dyDescent="0.15">
      <c r="A408" s="8"/>
      <c r="B408" s="9"/>
    </row>
    <row r="409" spans="1:2" ht="12.75" customHeight="1" x14ac:dyDescent="0.15">
      <c r="A409" s="8"/>
      <c r="B409" s="9"/>
    </row>
    <row r="410" spans="1:2" ht="12.75" customHeight="1" x14ac:dyDescent="0.15">
      <c r="A410" s="8"/>
      <c r="B410" s="9"/>
    </row>
    <row r="411" spans="1:2" ht="12.75" customHeight="1" x14ac:dyDescent="0.15">
      <c r="A411" s="8"/>
      <c r="B411" s="9"/>
    </row>
    <row r="412" spans="1:2" ht="12.75" customHeight="1" x14ac:dyDescent="0.15">
      <c r="A412" s="8"/>
      <c r="B412" s="9"/>
    </row>
    <row r="413" spans="1:2" ht="12.75" customHeight="1" x14ac:dyDescent="0.15">
      <c r="A413" s="8"/>
      <c r="B413" s="9"/>
    </row>
    <row r="414" spans="1:2" ht="12.75" customHeight="1" x14ac:dyDescent="0.15">
      <c r="A414" s="8"/>
      <c r="B414" s="9"/>
    </row>
    <row r="415" spans="1:2" ht="12.75" customHeight="1" x14ac:dyDescent="0.15">
      <c r="A415" s="8"/>
      <c r="B415" s="9"/>
    </row>
    <row r="416" spans="1:2" ht="12.75" customHeight="1" x14ac:dyDescent="0.15">
      <c r="A416" s="8"/>
      <c r="B416" s="9"/>
    </row>
    <row r="417" spans="1:2" ht="12.75" customHeight="1" x14ac:dyDescent="0.15">
      <c r="A417" s="8"/>
      <c r="B417" s="9"/>
    </row>
    <row r="418" spans="1:2" ht="12.75" customHeight="1" x14ac:dyDescent="0.15">
      <c r="A418" s="8"/>
      <c r="B418" s="9"/>
    </row>
    <row r="419" spans="1:2" ht="12.75" customHeight="1" x14ac:dyDescent="0.15">
      <c r="A419" s="8"/>
      <c r="B419" s="9"/>
    </row>
    <row r="420" spans="1:2" ht="12.75" customHeight="1" x14ac:dyDescent="0.15">
      <c r="A420" s="8"/>
      <c r="B420" s="9"/>
    </row>
    <row r="421" spans="1:2" ht="12.75" customHeight="1" x14ac:dyDescent="0.15">
      <c r="A421" s="8"/>
      <c r="B421" s="9"/>
    </row>
    <row r="422" spans="1:2" ht="12.75" customHeight="1" x14ac:dyDescent="0.15">
      <c r="A422" s="8"/>
      <c r="B422" s="9"/>
    </row>
    <row r="423" spans="1:2" ht="12.75" customHeight="1" x14ac:dyDescent="0.15">
      <c r="A423" s="8"/>
      <c r="B423" s="9"/>
    </row>
    <row r="424" spans="1:2" ht="12.75" customHeight="1" x14ac:dyDescent="0.15">
      <c r="A424" s="8"/>
      <c r="B424" s="9"/>
    </row>
    <row r="425" spans="1:2" ht="12.75" customHeight="1" x14ac:dyDescent="0.15">
      <c r="A425" s="8"/>
      <c r="B425" s="9"/>
    </row>
    <row r="426" spans="1:2" ht="12.75" customHeight="1" x14ac:dyDescent="0.15">
      <c r="A426" s="8"/>
      <c r="B426" s="9"/>
    </row>
    <row r="427" spans="1:2" ht="12.75" customHeight="1" x14ac:dyDescent="0.15">
      <c r="A427" s="8"/>
      <c r="B427" s="9"/>
    </row>
    <row r="428" spans="1:2" ht="12.75" customHeight="1" x14ac:dyDescent="0.15">
      <c r="A428" s="8"/>
      <c r="B428" s="9"/>
    </row>
    <row r="429" spans="1:2" ht="12.75" customHeight="1" x14ac:dyDescent="0.15">
      <c r="A429" s="8"/>
      <c r="B429" s="9"/>
    </row>
    <row r="430" spans="1:2" ht="12.75" customHeight="1" x14ac:dyDescent="0.15">
      <c r="A430" s="8"/>
      <c r="B430" s="9"/>
    </row>
    <row r="431" spans="1:2" ht="12.75" customHeight="1" x14ac:dyDescent="0.15">
      <c r="A431" s="8"/>
      <c r="B431" s="9"/>
    </row>
    <row r="432" spans="1:2" ht="12.75" customHeight="1" x14ac:dyDescent="0.15">
      <c r="A432" s="8"/>
      <c r="B432" s="9"/>
    </row>
    <row r="433" spans="1:2" ht="12.75" customHeight="1" x14ac:dyDescent="0.15">
      <c r="A433" s="8"/>
      <c r="B433" s="9"/>
    </row>
    <row r="434" spans="1:2" ht="12.75" customHeight="1" x14ac:dyDescent="0.15">
      <c r="A434" s="8"/>
      <c r="B434" s="9"/>
    </row>
    <row r="435" spans="1:2" ht="12.75" customHeight="1" x14ac:dyDescent="0.15">
      <c r="A435" s="8"/>
      <c r="B435" s="9"/>
    </row>
    <row r="436" spans="1:2" ht="12.75" customHeight="1" x14ac:dyDescent="0.15">
      <c r="A436" s="8"/>
      <c r="B436" s="9"/>
    </row>
    <row r="437" spans="1:2" ht="12.75" customHeight="1" x14ac:dyDescent="0.15">
      <c r="A437" s="8"/>
      <c r="B437" s="9"/>
    </row>
    <row r="438" spans="1:2" ht="12.75" customHeight="1" x14ac:dyDescent="0.15">
      <c r="A438" s="8"/>
      <c r="B438" s="9"/>
    </row>
    <row r="439" spans="1:2" ht="12.75" customHeight="1" x14ac:dyDescent="0.15">
      <c r="A439" s="8"/>
      <c r="B439" s="9"/>
    </row>
    <row r="440" spans="1:2" ht="12.75" customHeight="1" x14ac:dyDescent="0.15">
      <c r="A440" s="8"/>
      <c r="B440" s="9"/>
    </row>
    <row r="441" spans="1:2" ht="12.75" customHeight="1" x14ac:dyDescent="0.15">
      <c r="A441" s="8"/>
      <c r="B441" s="9"/>
    </row>
    <row r="442" spans="1:2" ht="12.75" customHeight="1" x14ac:dyDescent="0.15">
      <c r="A442" s="8"/>
      <c r="B442" s="9"/>
    </row>
    <row r="443" spans="1:2" ht="12.75" customHeight="1" x14ac:dyDescent="0.15">
      <c r="A443" s="8"/>
      <c r="B443" s="9"/>
    </row>
    <row r="444" spans="1:2" ht="12.75" customHeight="1" x14ac:dyDescent="0.15">
      <c r="A444" s="8"/>
      <c r="B444" s="9"/>
    </row>
    <row r="445" spans="1:2" ht="12.75" customHeight="1" x14ac:dyDescent="0.15">
      <c r="A445" s="8"/>
      <c r="B445" s="9"/>
    </row>
    <row r="446" spans="1:2" ht="12.75" customHeight="1" x14ac:dyDescent="0.15">
      <c r="A446" s="8"/>
      <c r="B446" s="9"/>
    </row>
    <row r="447" spans="1:2" ht="12.75" customHeight="1" x14ac:dyDescent="0.15">
      <c r="A447" s="8"/>
      <c r="B447" s="9"/>
    </row>
    <row r="448" spans="1:2" ht="12.75" customHeight="1" x14ac:dyDescent="0.15">
      <c r="A448" s="8"/>
      <c r="B448" s="9"/>
    </row>
    <row r="449" spans="1:2" ht="12.75" customHeight="1" x14ac:dyDescent="0.15">
      <c r="A449" s="8"/>
      <c r="B449" s="9"/>
    </row>
    <row r="450" spans="1:2" ht="12.75" customHeight="1" x14ac:dyDescent="0.15">
      <c r="A450" s="8"/>
      <c r="B450" s="9"/>
    </row>
    <row r="451" spans="1:2" ht="12.75" customHeight="1" x14ac:dyDescent="0.15">
      <c r="A451" s="8"/>
      <c r="B451" s="9"/>
    </row>
    <row r="452" spans="1:2" ht="12.75" customHeight="1" x14ac:dyDescent="0.15">
      <c r="A452" s="8"/>
      <c r="B452" s="9"/>
    </row>
    <row r="453" spans="1:2" ht="12.75" customHeight="1" x14ac:dyDescent="0.15">
      <c r="A453" s="8"/>
      <c r="B453" s="9"/>
    </row>
    <row r="454" spans="1:2" ht="12.75" customHeight="1" x14ac:dyDescent="0.15">
      <c r="A454" s="8"/>
      <c r="B454" s="9"/>
    </row>
    <row r="455" spans="1:2" ht="12.75" customHeight="1" x14ac:dyDescent="0.15">
      <c r="A455" s="8"/>
      <c r="B455" s="9"/>
    </row>
    <row r="456" spans="1:2" ht="12.75" customHeight="1" x14ac:dyDescent="0.15">
      <c r="A456" s="8"/>
      <c r="B456" s="9"/>
    </row>
    <row r="457" spans="1:2" ht="12.75" customHeight="1" x14ac:dyDescent="0.15">
      <c r="A457" s="8"/>
      <c r="B457" s="9"/>
    </row>
    <row r="458" spans="1:2" ht="12.75" customHeight="1" x14ac:dyDescent="0.15">
      <c r="A458" s="8"/>
      <c r="B458" s="9"/>
    </row>
    <row r="459" spans="1:2" ht="12.75" customHeight="1" x14ac:dyDescent="0.15">
      <c r="A459" s="8"/>
      <c r="B459" s="9"/>
    </row>
    <row r="460" spans="1:2" ht="12.75" customHeight="1" x14ac:dyDescent="0.15">
      <c r="A460" s="8"/>
      <c r="B460" s="9"/>
    </row>
    <row r="461" spans="1:2" ht="12.75" customHeight="1" x14ac:dyDescent="0.15">
      <c r="A461" s="8"/>
      <c r="B461" s="9"/>
    </row>
    <row r="462" spans="1:2" ht="12.75" customHeight="1" x14ac:dyDescent="0.15">
      <c r="A462" s="8"/>
      <c r="B462" s="9"/>
    </row>
    <row r="463" spans="1:2" ht="12.75" customHeight="1" x14ac:dyDescent="0.15">
      <c r="A463" s="8"/>
      <c r="B463" s="9"/>
    </row>
    <row r="464" spans="1:2" ht="12.75" customHeight="1" x14ac:dyDescent="0.15">
      <c r="A464" s="8"/>
      <c r="B464" s="9"/>
    </row>
    <row r="465" spans="1:2" ht="12.75" customHeight="1" x14ac:dyDescent="0.15">
      <c r="A465" s="8"/>
      <c r="B465" s="9"/>
    </row>
    <row r="466" spans="1:2" ht="12.75" customHeight="1" x14ac:dyDescent="0.15">
      <c r="A466" s="8"/>
      <c r="B466" s="9"/>
    </row>
    <row r="467" spans="1:2" ht="12.75" customHeight="1" x14ac:dyDescent="0.15">
      <c r="A467" s="8"/>
      <c r="B467" s="9"/>
    </row>
    <row r="468" spans="1:2" ht="12.75" customHeight="1" x14ac:dyDescent="0.15">
      <c r="A468" s="8"/>
      <c r="B468" s="9"/>
    </row>
    <row r="469" spans="1:2" ht="12.75" customHeight="1" x14ac:dyDescent="0.15">
      <c r="A469" s="8"/>
      <c r="B469" s="9"/>
    </row>
    <row r="470" spans="1:2" ht="12.75" customHeight="1" x14ac:dyDescent="0.15">
      <c r="A470" s="8"/>
      <c r="B470" s="9"/>
    </row>
    <row r="471" spans="1:2" ht="12.75" customHeight="1" x14ac:dyDescent="0.15">
      <c r="A471" s="8"/>
      <c r="B471" s="9"/>
    </row>
    <row r="472" spans="1:2" ht="12.75" customHeight="1" x14ac:dyDescent="0.15">
      <c r="A472" s="8"/>
      <c r="B472" s="9"/>
    </row>
    <row r="473" spans="1:2" ht="12.75" customHeight="1" x14ac:dyDescent="0.15">
      <c r="A473" s="8"/>
      <c r="B473" s="9"/>
    </row>
    <row r="474" spans="1:2" ht="12.75" customHeight="1" x14ac:dyDescent="0.15">
      <c r="A474" s="8"/>
      <c r="B474" s="9"/>
    </row>
    <row r="475" spans="1:2" ht="12.75" customHeight="1" x14ac:dyDescent="0.15">
      <c r="A475" s="8"/>
      <c r="B475" s="9"/>
    </row>
    <row r="476" spans="1:2" ht="12.75" customHeight="1" x14ac:dyDescent="0.15">
      <c r="A476" s="8"/>
      <c r="B476" s="9"/>
    </row>
    <row r="477" spans="1:2" ht="12.75" customHeight="1" x14ac:dyDescent="0.15">
      <c r="A477" s="8"/>
      <c r="B477" s="9"/>
    </row>
    <row r="478" spans="1:2" ht="12.75" customHeight="1" x14ac:dyDescent="0.15">
      <c r="A478" s="8"/>
      <c r="B478" s="9"/>
    </row>
    <row r="479" spans="1:2" ht="12.75" customHeight="1" x14ac:dyDescent="0.15">
      <c r="A479" s="8"/>
      <c r="B479" s="9"/>
    </row>
    <row r="480" spans="1:2" ht="12.75" customHeight="1" x14ac:dyDescent="0.15">
      <c r="A480" s="8"/>
      <c r="B480" s="9"/>
    </row>
    <row r="481" spans="1:2" ht="12.75" customHeight="1" x14ac:dyDescent="0.15">
      <c r="A481" s="8"/>
      <c r="B481" s="9"/>
    </row>
    <row r="482" spans="1:2" ht="12.75" customHeight="1" x14ac:dyDescent="0.15">
      <c r="A482" s="8"/>
      <c r="B482" s="9"/>
    </row>
    <row r="483" spans="1:2" ht="12.75" customHeight="1" x14ac:dyDescent="0.15">
      <c r="A483" s="8"/>
      <c r="B483" s="9"/>
    </row>
    <row r="484" spans="1:2" ht="12.75" customHeight="1" x14ac:dyDescent="0.15">
      <c r="A484" s="8"/>
      <c r="B484" s="9"/>
    </row>
    <row r="485" spans="1:2" ht="12.75" customHeight="1" x14ac:dyDescent="0.15">
      <c r="A485" s="8"/>
      <c r="B485" s="9"/>
    </row>
    <row r="486" spans="1:2" ht="12.75" customHeight="1" x14ac:dyDescent="0.15">
      <c r="A486" s="8"/>
      <c r="B486" s="9"/>
    </row>
    <row r="487" spans="1:2" ht="12.75" customHeight="1" x14ac:dyDescent="0.15">
      <c r="A487" s="8"/>
      <c r="B487" s="9"/>
    </row>
    <row r="488" spans="1:2" ht="12.75" customHeight="1" x14ac:dyDescent="0.15">
      <c r="A488" s="8"/>
      <c r="B488" s="9"/>
    </row>
    <row r="489" spans="1:2" ht="12.75" customHeight="1" x14ac:dyDescent="0.15">
      <c r="A489" s="8"/>
      <c r="B489" s="9"/>
    </row>
    <row r="490" spans="1:2" ht="12.75" customHeight="1" x14ac:dyDescent="0.15">
      <c r="A490" s="8"/>
      <c r="B490" s="9"/>
    </row>
    <row r="491" spans="1:2" ht="12.75" customHeight="1" x14ac:dyDescent="0.15">
      <c r="A491" s="8"/>
      <c r="B491" s="9"/>
    </row>
    <row r="492" spans="1:2" ht="12.75" customHeight="1" x14ac:dyDescent="0.15">
      <c r="A492" s="8"/>
      <c r="B492" s="9"/>
    </row>
    <row r="493" spans="1:2" ht="12.75" customHeight="1" x14ac:dyDescent="0.15">
      <c r="A493" s="8"/>
      <c r="B493" s="9"/>
    </row>
    <row r="494" spans="1:2" ht="12.75" customHeight="1" x14ac:dyDescent="0.15">
      <c r="A494" s="8"/>
      <c r="B494" s="9"/>
    </row>
    <row r="495" spans="1:2" ht="12.75" customHeight="1" x14ac:dyDescent="0.15">
      <c r="A495" s="8"/>
      <c r="B495" s="9"/>
    </row>
    <row r="496" spans="1:2" ht="12.75" customHeight="1" x14ac:dyDescent="0.15">
      <c r="A496" s="8"/>
      <c r="B496" s="9"/>
    </row>
    <row r="497" spans="1:2" ht="12.75" customHeight="1" x14ac:dyDescent="0.15">
      <c r="A497" s="8"/>
      <c r="B497" s="9"/>
    </row>
    <row r="498" spans="1:2" ht="12.75" customHeight="1" x14ac:dyDescent="0.15">
      <c r="A498" s="8"/>
      <c r="B498" s="9"/>
    </row>
    <row r="499" spans="1:2" ht="12.75" customHeight="1" x14ac:dyDescent="0.15">
      <c r="A499" s="8"/>
      <c r="B499" s="9"/>
    </row>
    <row r="500" spans="1:2" ht="12.75" customHeight="1" x14ac:dyDescent="0.15">
      <c r="A500" s="8"/>
      <c r="B500" s="9"/>
    </row>
    <row r="501" spans="1:2" ht="12.75" customHeight="1" x14ac:dyDescent="0.15">
      <c r="A501" s="8"/>
      <c r="B501" s="9"/>
    </row>
    <row r="502" spans="1:2" ht="12.75" customHeight="1" x14ac:dyDescent="0.15">
      <c r="A502" s="8"/>
      <c r="B502" s="9"/>
    </row>
    <row r="503" spans="1:2" ht="12.75" customHeight="1" x14ac:dyDescent="0.15">
      <c r="A503" s="8"/>
      <c r="B503" s="9"/>
    </row>
    <row r="504" spans="1:2" ht="12.75" customHeight="1" x14ac:dyDescent="0.15">
      <c r="A504" s="8"/>
      <c r="B504" s="9"/>
    </row>
    <row r="505" spans="1:2" ht="12.75" customHeight="1" x14ac:dyDescent="0.15">
      <c r="A505" s="8"/>
      <c r="B505" s="9"/>
    </row>
    <row r="506" spans="1:2" ht="12.75" customHeight="1" x14ac:dyDescent="0.15">
      <c r="A506" s="8"/>
      <c r="B506" s="9"/>
    </row>
    <row r="507" spans="1:2" ht="12.75" customHeight="1" x14ac:dyDescent="0.15">
      <c r="A507" s="8"/>
      <c r="B507" s="9"/>
    </row>
    <row r="508" spans="1:2" ht="12.75" customHeight="1" x14ac:dyDescent="0.15">
      <c r="A508" s="8"/>
      <c r="B508" s="9"/>
    </row>
    <row r="509" spans="1:2" ht="12.75" customHeight="1" x14ac:dyDescent="0.15">
      <c r="A509" s="8"/>
      <c r="B509" s="9"/>
    </row>
    <row r="510" spans="1:2" ht="12.75" customHeight="1" x14ac:dyDescent="0.15">
      <c r="A510" s="8"/>
      <c r="B510" s="9"/>
    </row>
    <row r="511" spans="1:2" ht="12.75" customHeight="1" x14ac:dyDescent="0.15">
      <c r="A511" s="8"/>
      <c r="B511" s="9"/>
    </row>
    <row r="512" spans="1:2" ht="12.75" customHeight="1" x14ac:dyDescent="0.15">
      <c r="A512" s="8"/>
      <c r="B512" s="9"/>
    </row>
    <row r="513" spans="1:2" ht="12.75" customHeight="1" x14ac:dyDescent="0.15">
      <c r="A513" s="8"/>
      <c r="B513" s="9"/>
    </row>
    <row r="514" spans="1:2" ht="12.75" customHeight="1" x14ac:dyDescent="0.15">
      <c r="A514" s="8"/>
      <c r="B514" s="9"/>
    </row>
    <row r="515" spans="1:2" ht="12.75" customHeight="1" x14ac:dyDescent="0.15">
      <c r="A515" s="8"/>
      <c r="B515" s="9"/>
    </row>
    <row r="516" spans="1:2" ht="12.75" customHeight="1" x14ac:dyDescent="0.15">
      <c r="A516" s="8"/>
      <c r="B516" s="9"/>
    </row>
    <row r="517" spans="1:2" ht="12.75" customHeight="1" x14ac:dyDescent="0.15">
      <c r="A517" s="8"/>
      <c r="B517" s="9"/>
    </row>
    <row r="518" spans="1:2" ht="12.75" customHeight="1" x14ac:dyDescent="0.15">
      <c r="A518" s="8"/>
      <c r="B518" s="9"/>
    </row>
    <row r="519" spans="1:2" ht="12.75" customHeight="1" x14ac:dyDescent="0.15">
      <c r="A519" s="8"/>
      <c r="B519" s="9"/>
    </row>
    <row r="520" spans="1:2" ht="12.75" customHeight="1" x14ac:dyDescent="0.15">
      <c r="A520" s="8"/>
      <c r="B520" s="9"/>
    </row>
    <row r="521" spans="1:2" ht="12.75" customHeight="1" x14ac:dyDescent="0.15">
      <c r="A521" s="8"/>
      <c r="B521" s="9"/>
    </row>
    <row r="522" spans="1:2" ht="12.75" customHeight="1" x14ac:dyDescent="0.15">
      <c r="A522" s="8"/>
      <c r="B522" s="9"/>
    </row>
    <row r="523" spans="1:2" ht="12.75" customHeight="1" x14ac:dyDescent="0.15">
      <c r="A523" s="8"/>
      <c r="B523" s="9"/>
    </row>
    <row r="524" spans="1:2" ht="12.75" customHeight="1" x14ac:dyDescent="0.15">
      <c r="A524" s="8"/>
      <c r="B524" s="9"/>
    </row>
    <row r="525" spans="1:2" ht="12.75" customHeight="1" x14ac:dyDescent="0.15">
      <c r="A525" s="8"/>
      <c r="B525" s="9"/>
    </row>
    <row r="526" spans="1:2" ht="12.75" customHeight="1" x14ac:dyDescent="0.15">
      <c r="A526" s="8"/>
      <c r="B526" s="9"/>
    </row>
    <row r="527" spans="1:2" ht="12.75" customHeight="1" x14ac:dyDescent="0.15">
      <c r="A527" s="8"/>
      <c r="B527" s="9"/>
    </row>
    <row r="528" spans="1:2" ht="12.75" customHeight="1" x14ac:dyDescent="0.15">
      <c r="A528" s="8"/>
      <c r="B528" s="9"/>
    </row>
    <row r="529" spans="1:2" ht="12.75" customHeight="1" x14ac:dyDescent="0.15">
      <c r="A529" s="8"/>
      <c r="B529" s="9"/>
    </row>
    <row r="530" spans="1:2" ht="12.75" customHeight="1" x14ac:dyDescent="0.15">
      <c r="A530" s="8"/>
      <c r="B530" s="9"/>
    </row>
    <row r="531" spans="1:2" ht="12.75" customHeight="1" x14ac:dyDescent="0.15">
      <c r="A531" s="8"/>
      <c r="B531" s="9"/>
    </row>
    <row r="532" spans="1:2" ht="12.75" customHeight="1" x14ac:dyDescent="0.15">
      <c r="A532" s="8"/>
      <c r="B532" s="9"/>
    </row>
    <row r="533" spans="1:2" ht="12.75" customHeight="1" x14ac:dyDescent="0.15">
      <c r="A533" s="8"/>
      <c r="B533" s="9"/>
    </row>
    <row r="534" spans="1:2" ht="12.75" customHeight="1" x14ac:dyDescent="0.15">
      <c r="A534" s="8"/>
      <c r="B534" s="9"/>
    </row>
    <row r="535" spans="1:2" ht="12.75" customHeight="1" x14ac:dyDescent="0.15">
      <c r="A535" s="8"/>
      <c r="B535" s="9"/>
    </row>
    <row r="536" spans="1:2" ht="12.75" customHeight="1" x14ac:dyDescent="0.15">
      <c r="A536" s="8"/>
      <c r="B536" s="9"/>
    </row>
    <row r="537" spans="1:2" ht="12.75" customHeight="1" x14ac:dyDescent="0.15">
      <c r="A537" s="8"/>
      <c r="B537" s="9"/>
    </row>
    <row r="538" spans="1:2" ht="12.75" customHeight="1" x14ac:dyDescent="0.15">
      <c r="A538" s="8"/>
      <c r="B538" s="9"/>
    </row>
    <row r="539" spans="1:2" ht="12.75" customHeight="1" x14ac:dyDescent="0.15">
      <c r="A539" s="8"/>
      <c r="B539" s="9"/>
    </row>
    <row r="540" spans="1:2" ht="12.75" customHeight="1" x14ac:dyDescent="0.15">
      <c r="A540" s="8"/>
      <c r="B540" s="9"/>
    </row>
    <row r="541" spans="1:2" ht="12.75" customHeight="1" x14ac:dyDescent="0.15">
      <c r="A541" s="8"/>
      <c r="B541" s="9"/>
    </row>
    <row r="542" spans="1:2" ht="12.75" customHeight="1" x14ac:dyDescent="0.15">
      <c r="A542" s="8"/>
      <c r="B542" s="9"/>
    </row>
    <row r="543" spans="1:2" ht="12.75" customHeight="1" x14ac:dyDescent="0.15">
      <c r="A543" s="8"/>
      <c r="B543" s="9"/>
    </row>
    <row r="544" spans="1:2" ht="12.75" customHeight="1" x14ac:dyDescent="0.15">
      <c r="A544" s="8"/>
      <c r="B544" s="9"/>
    </row>
    <row r="545" spans="1:2" ht="12.75" customHeight="1" x14ac:dyDescent="0.15">
      <c r="A545" s="8"/>
      <c r="B545" s="9"/>
    </row>
    <row r="546" spans="1:2" ht="12.75" customHeight="1" x14ac:dyDescent="0.15">
      <c r="A546" s="8"/>
      <c r="B546" s="9"/>
    </row>
    <row r="547" spans="1:2" ht="12.75" customHeight="1" x14ac:dyDescent="0.15">
      <c r="A547" s="8"/>
      <c r="B547" s="9"/>
    </row>
    <row r="548" spans="1:2" ht="12.75" customHeight="1" x14ac:dyDescent="0.15">
      <c r="A548" s="8"/>
      <c r="B548" s="9"/>
    </row>
    <row r="549" spans="1:2" ht="12.75" customHeight="1" x14ac:dyDescent="0.15">
      <c r="A549" s="8"/>
      <c r="B549" s="9"/>
    </row>
    <row r="550" spans="1:2" ht="12.75" customHeight="1" x14ac:dyDescent="0.15">
      <c r="A550" s="8"/>
      <c r="B550" s="9"/>
    </row>
    <row r="551" spans="1:2" ht="12.75" customHeight="1" x14ac:dyDescent="0.15">
      <c r="A551" s="8"/>
      <c r="B551" s="9"/>
    </row>
    <row r="552" spans="1:2" ht="12.75" customHeight="1" x14ac:dyDescent="0.15">
      <c r="A552" s="8"/>
      <c r="B552" s="9"/>
    </row>
    <row r="553" spans="1:2" ht="12.75" customHeight="1" x14ac:dyDescent="0.15">
      <c r="A553" s="8"/>
      <c r="B553" s="9"/>
    </row>
    <row r="554" spans="1:2" ht="12.75" customHeight="1" x14ac:dyDescent="0.15">
      <c r="A554" s="8"/>
      <c r="B554" s="9"/>
    </row>
    <row r="555" spans="1:2" ht="12.75" customHeight="1" x14ac:dyDescent="0.15">
      <c r="A555" s="8"/>
      <c r="B555" s="9"/>
    </row>
    <row r="556" spans="1:2" ht="12.75" customHeight="1" x14ac:dyDescent="0.15">
      <c r="A556" s="8"/>
      <c r="B556" s="9"/>
    </row>
    <row r="557" spans="1:2" ht="12.75" customHeight="1" x14ac:dyDescent="0.15">
      <c r="A557" s="8"/>
      <c r="B557" s="9"/>
    </row>
    <row r="558" spans="1:2" ht="12.75" customHeight="1" x14ac:dyDescent="0.15">
      <c r="A558" s="8"/>
      <c r="B558" s="9"/>
    </row>
    <row r="559" spans="1:2" ht="12.75" customHeight="1" x14ac:dyDescent="0.15">
      <c r="A559" s="8"/>
      <c r="B559" s="9"/>
    </row>
    <row r="560" spans="1:2" ht="12.75" customHeight="1" x14ac:dyDescent="0.15">
      <c r="A560" s="8"/>
      <c r="B560" s="9"/>
    </row>
    <row r="561" spans="1:2" ht="12.75" customHeight="1" x14ac:dyDescent="0.15">
      <c r="A561" s="8"/>
      <c r="B561" s="9"/>
    </row>
    <row r="562" spans="1:2" ht="12.75" customHeight="1" x14ac:dyDescent="0.15">
      <c r="A562" s="8"/>
      <c r="B562" s="9"/>
    </row>
    <row r="563" spans="1:2" ht="12.75" customHeight="1" x14ac:dyDescent="0.15">
      <c r="A563" s="8"/>
      <c r="B563" s="9"/>
    </row>
    <row r="564" spans="1:2" ht="12.75" customHeight="1" x14ac:dyDescent="0.15">
      <c r="A564" s="8"/>
      <c r="B564" s="9"/>
    </row>
    <row r="565" spans="1:2" ht="12.75" customHeight="1" x14ac:dyDescent="0.15">
      <c r="A565" s="8"/>
      <c r="B565" s="9"/>
    </row>
    <row r="566" spans="1:2" ht="12.75" customHeight="1" x14ac:dyDescent="0.15">
      <c r="A566" s="8"/>
      <c r="B566" s="9"/>
    </row>
    <row r="567" spans="1:2" ht="12.75" customHeight="1" x14ac:dyDescent="0.15">
      <c r="A567" s="8"/>
      <c r="B567" s="9"/>
    </row>
    <row r="568" spans="1:2" ht="12.75" customHeight="1" x14ac:dyDescent="0.15">
      <c r="A568" s="8"/>
      <c r="B568" s="9"/>
    </row>
    <row r="569" spans="1:2" ht="12.75" customHeight="1" x14ac:dyDescent="0.15">
      <c r="A569" s="8"/>
      <c r="B569" s="9"/>
    </row>
    <row r="570" spans="1:2" ht="12.75" customHeight="1" x14ac:dyDescent="0.15">
      <c r="A570" s="8"/>
      <c r="B570" s="9"/>
    </row>
    <row r="571" spans="1:2" ht="12.75" customHeight="1" x14ac:dyDescent="0.15">
      <c r="A571" s="8"/>
      <c r="B571" s="9"/>
    </row>
    <row r="572" spans="1:2" ht="12.75" customHeight="1" x14ac:dyDescent="0.15">
      <c r="A572" s="8"/>
      <c r="B572" s="9"/>
    </row>
    <row r="573" spans="1:2" ht="12.75" customHeight="1" x14ac:dyDescent="0.15">
      <c r="A573" s="8"/>
      <c r="B573" s="9"/>
    </row>
    <row r="574" spans="1:2" ht="12.75" customHeight="1" x14ac:dyDescent="0.15">
      <c r="A574" s="8"/>
      <c r="B574" s="9"/>
    </row>
    <row r="575" spans="1:2" ht="12.75" customHeight="1" x14ac:dyDescent="0.15">
      <c r="A575" s="8"/>
      <c r="B575" s="9"/>
    </row>
    <row r="576" spans="1:2" ht="12.75" customHeight="1" x14ac:dyDescent="0.15">
      <c r="A576" s="8"/>
      <c r="B576" s="9"/>
    </row>
    <row r="577" spans="1:2" ht="12.75" customHeight="1" x14ac:dyDescent="0.15">
      <c r="A577" s="8"/>
      <c r="B577" s="9"/>
    </row>
    <row r="578" spans="1:2" ht="12.75" customHeight="1" x14ac:dyDescent="0.15">
      <c r="A578" s="8"/>
      <c r="B578" s="9"/>
    </row>
    <row r="579" spans="1:2" ht="12.75" customHeight="1" x14ac:dyDescent="0.15">
      <c r="A579" s="8"/>
      <c r="B579" s="9"/>
    </row>
    <row r="580" spans="1:2" ht="12.75" customHeight="1" x14ac:dyDescent="0.15">
      <c r="A580" s="8"/>
      <c r="B580" s="9"/>
    </row>
    <row r="581" spans="1:2" ht="12.75" customHeight="1" x14ac:dyDescent="0.15">
      <c r="A581" s="8"/>
      <c r="B581" s="9"/>
    </row>
    <row r="582" spans="1:2" ht="12.75" customHeight="1" x14ac:dyDescent="0.15">
      <c r="A582" s="8"/>
      <c r="B582" s="9"/>
    </row>
    <row r="583" spans="1:2" ht="12.75" customHeight="1" x14ac:dyDescent="0.15">
      <c r="A583" s="8"/>
      <c r="B583" s="9"/>
    </row>
    <row r="584" spans="1:2" ht="12.75" customHeight="1" x14ac:dyDescent="0.15">
      <c r="A584" s="8"/>
      <c r="B584" s="9"/>
    </row>
    <row r="585" spans="1:2" ht="12.75" customHeight="1" x14ac:dyDescent="0.15">
      <c r="A585" s="8"/>
      <c r="B585" s="9"/>
    </row>
    <row r="586" spans="1:2" ht="12.75" customHeight="1" x14ac:dyDescent="0.15">
      <c r="A586" s="8"/>
      <c r="B586" s="9"/>
    </row>
    <row r="587" spans="1:2" ht="12.75" customHeight="1" x14ac:dyDescent="0.15">
      <c r="A587" s="8"/>
      <c r="B587" s="9"/>
    </row>
    <row r="588" spans="1:2" ht="12.75" customHeight="1" x14ac:dyDescent="0.15">
      <c r="A588" s="8"/>
      <c r="B588" s="9"/>
    </row>
    <row r="589" spans="1:2" ht="12.75" customHeight="1" x14ac:dyDescent="0.15">
      <c r="A589" s="8"/>
      <c r="B589" s="9"/>
    </row>
    <row r="590" spans="1:2" ht="12.75" customHeight="1" x14ac:dyDescent="0.15">
      <c r="A590" s="8"/>
      <c r="B590" s="9"/>
    </row>
    <row r="591" spans="1:2" ht="12.75" customHeight="1" x14ac:dyDescent="0.15">
      <c r="A591" s="8"/>
      <c r="B591" s="9"/>
    </row>
    <row r="592" spans="1:2" ht="12.75" customHeight="1" x14ac:dyDescent="0.15">
      <c r="A592" s="8"/>
      <c r="B592" s="9"/>
    </row>
    <row r="593" spans="1:2" ht="12.75" customHeight="1" x14ac:dyDescent="0.15">
      <c r="A593" s="8"/>
      <c r="B593" s="9"/>
    </row>
    <row r="594" spans="1:2" ht="12.75" customHeight="1" x14ac:dyDescent="0.15">
      <c r="A594" s="8"/>
      <c r="B594" s="9"/>
    </row>
    <row r="595" spans="1:2" ht="12.75" customHeight="1" x14ac:dyDescent="0.15">
      <c r="A595" s="8"/>
      <c r="B595" s="9"/>
    </row>
    <row r="596" spans="1:2" ht="12.75" customHeight="1" x14ac:dyDescent="0.15">
      <c r="A596" s="8"/>
      <c r="B596" s="9"/>
    </row>
    <row r="597" spans="1:2" ht="12.75" customHeight="1" x14ac:dyDescent="0.15">
      <c r="A597" s="8"/>
      <c r="B597" s="9"/>
    </row>
    <row r="598" spans="1:2" ht="12.75" customHeight="1" x14ac:dyDescent="0.15">
      <c r="A598" s="8"/>
      <c r="B598" s="9"/>
    </row>
    <row r="599" spans="1:2" ht="12.75" customHeight="1" x14ac:dyDescent="0.15">
      <c r="A599" s="8"/>
      <c r="B599" s="9"/>
    </row>
    <row r="600" spans="1:2" ht="12.75" customHeight="1" x14ac:dyDescent="0.15">
      <c r="A600" s="8"/>
      <c r="B600" s="9"/>
    </row>
    <row r="601" spans="1:2" ht="12.75" customHeight="1" x14ac:dyDescent="0.15">
      <c r="A601" s="8"/>
      <c r="B601" s="9"/>
    </row>
    <row r="602" spans="1:2" ht="12.75" customHeight="1" x14ac:dyDescent="0.15">
      <c r="A602" s="8"/>
      <c r="B602" s="9"/>
    </row>
    <row r="603" spans="1:2" ht="12.75" customHeight="1" x14ac:dyDescent="0.15">
      <c r="A603" s="8"/>
      <c r="B603" s="9"/>
    </row>
    <row r="604" spans="1:2" ht="12.75" customHeight="1" x14ac:dyDescent="0.15">
      <c r="A604" s="8"/>
      <c r="B604" s="9"/>
    </row>
    <row r="605" spans="1:2" ht="12.75" customHeight="1" x14ac:dyDescent="0.15">
      <c r="A605" s="8"/>
      <c r="B605" s="9"/>
    </row>
    <row r="606" spans="1:2" ht="12.75" customHeight="1" x14ac:dyDescent="0.15">
      <c r="A606" s="8"/>
      <c r="B606" s="9"/>
    </row>
    <row r="607" spans="1:2" ht="12.75" customHeight="1" x14ac:dyDescent="0.15">
      <c r="A607" s="8"/>
      <c r="B607" s="9"/>
    </row>
    <row r="608" spans="1:2" ht="12.75" customHeight="1" x14ac:dyDescent="0.15">
      <c r="A608" s="8"/>
      <c r="B608" s="9"/>
    </row>
    <row r="609" spans="1:2" ht="12.75" customHeight="1" x14ac:dyDescent="0.15">
      <c r="A609" s="8"/>
      <c r="B609" s="9"/>
    </row>
    <row r="610" spans="1:2" ht="12.75" customHeight="1" x14ac:dyDescent="0.15">
      <c r="A610" s="8"/>
      <c r="B610" s="9"/>
    </row>
    <row r="611" spans="1:2" ht="12.75" customHeight="1" x14ac:dyDescent="0.15">
      <c r="A611" s="8"/>
      <c r="B611" s="9"/>
    </row>
    <row r="612" spans="1:2" ht="12.75" customHeight="1" x14ac:dyDescent="0.15">
      <c r="A612" s="8"/>
      <c r="B612" s="9"/>
    </row>
    <row r="613" spans="1:2" ht="12.75" customHeight="1" x14ac:dyDescent="0.15">
      <c r="A613" s="8"/>
      <c r="B613" s="9"/>
    </row>
    <row r="614" spans="1:2" ht="12.75" customHeight="1" x14ac:dyDescent="0.15">
      <c r="A614" s="8"/>
      <c r="B614" s="9"/>
    </row>
    <row r="615" spans="1:2" ht="12.75" customHeight="1" x14ac:dyDescent="0.15">
      <c r="A615" s="8"/>
      <c r="B615" s="9"/>
    </row>
    <row r="616" spans="1:2" ht="12.75" customHeight="1" x14ac:dyDescent="0.15">
      <c r="A616" s="8"/>
      <c r="B616" s="9"/>
    </row>
    <row r="617" spans="1:2" ht="12.75" customHeight="1" x14ac:dyDescent="0.15">
      <c r="A617" s="8"/>
      <c r="B617" s="9"/>
    </row>
    <row r="618" spans="1:2" ht="12.75" customHeight="1" x14ac:dyDescent="0.15">
      <c r="A618" s="8"/>
      <c r="B618" s="9"/>
    </row>
    <row r="619" spans="1:2" ht="12.75" customHeight="1" x14ac:dyDescent="0.15">
      <c r="A619" s="8"/>
      <c r="B619" s="9"/>
    </row>
    <row r="620" spans="1:2" ht="12.75" customHeight="1" x14ac:dyDescent="0.15">
      <c r="A620" s="8"/>
      <c r="B620" s="9"/>
    </row>
    <row r="621" spans="1:2" ht="12.75" customHeight="1" x14ac:dyDescent="0.15">
      <c r="A621" s="8"/>
      <c r="B621" s="9"/>
    </row>
    <row r="622" spans="1:2" ht="12.75" customHeight="1" x14ac:dyDescent="0.15">
      <c r="A622" s="8"/>
      <c r="B622" s="9"/>
    </row>
    <row r="623" spans="1:2" ht="12.75" customHeight="1" x14ac:dyDescent="0.15">
      <c r="A623" s="8"/>
      <c r="B623" s="9"/>
    </row>
    <row r="624" spans="1:2" ht="12.75" customHeight="1" x14ac:dyDescent="0.15">
      <c r="A624" s="8"/>
      <c r="B624" s="9"/>
    </row>
    <row r="625" spans="1:2" ht="12.75" customHeight="1" x14ac:dyDescent="0.15">
      <c r="A625" s="8"/>
      <c r="B625" s="9"/>
    </row>
    <row r="626" spans="1:2" ht="12.75" customHeight="1" x14ac:dyDescent="0.15">
      <c r="A626" s="8"/>
      <c r="B626" s="9"/>
    </row>
    <row r="627" spans="1:2" ht="12.75" customHeight="1" x14ac:dyDescent="0.15">
      <c r="A627" s="8"/>
      <c r="B627" s="9"/>
    </row>
    <row r="628" spans="1:2" ht="12.75" customHeight="1" x14ac:dyDescent="0.15">
      <c r="A628" s="8"/>
      <c r="B628" s="9"/>
    </row>
    <row r="629" spans="1:2" ht="12.75" customHeight="1" x14ac:dyDescent="0.15">
      <c r="A629" s="8"/>
      <c r="B629" s="9"/>
    </row>
    <row r="630" spans="1:2" ht="12.75" customHeight="1" x14ac:dyDescent="0.15">
      <c r="A630" s="8"/>
      <c r="B630" s="9"/>
    </row>
    <row r="631" spans="1:2" ht="12.75" customHeight="1" x14ac:dyDescent="0.15">
      <c r="A631" s="8"/>
      <c r="B631" s="9"/>
    </row>
    <row r="632" spans="1:2" ht="12.75" customHeight="1" x14ac:dyDescent="0.15">
      <c r="A632" s="8"/>
      <c r="B632" s="9"/>
    </row>
    <row r="633" spans="1:2" ht="12.75" customHeight="1" x14ac:dyDescent="0.15">
      <c r="A633" s="8"/>
      <c r="B633" s="9"/>
    </row>
    <row r="634" spans="1:2" ht="12.75" customHeight="1" x14ac:dyDescent="0.15">
      <c r="A634" s="8"/>
      <c r="B634" s="9"/>
    </row>
    <row r="635" spans="1:2" ht="12.75" customHeight="1" x14ac:dyDescent="0.15">
      <c r="A635" s="8"/>
      <c r="B635" s="9"/>
    </row>
    <row r="636" spans="1:2" ht="12.75" customHeight="1" x14ac:dyDescent="0.15">
      <c r="A636" s="8"/>
      <c r="B636" s="9"/>
    </row>
    <row r="637" spans="1:2" ht="12.75" customHeight="1" x14ac:dyDescent="0.15">
      <c r="A637" s="8"/>
      <c r="B637" s="9"/>
    </row>
    <row r="638" spans="1:2" ht="12.75" customHeight="1" x14ac:dyDescent="0.15">
      <c r="A638" s="8"/>
      <c r="B638" s="9"/>
    </row>
    <row r="639" spans="1:2" ht="12.75" customHeight="1" x14ac:dyDescent="0.15">
      <c r="A639" s="8"/>
      <c r="B639" s="9"/>
    </row>
    <row r="640" spans="1:2" ht="12.75" customHeight="1" x14ac:dyDescent="0.15">
      <c r="A640" s="8"/>
      <c r="B640" s="9"/>
    </row>
    <row r="641" spans="1:2" ht="12.75" customHeight="1" x14ac:dyDescent="0.15">
      <c r="A641" s="8"/>
      <c r="B641" s="9"/>
    </row>
    <row r="642" spans="1:2" ht="12.75" customHeight="1" x14ac:dyDescent="0.15">
      <c r="A642" s="8"/>
      <c r="B642" s="9"/>
    </row>
    <row r="643" spans="1:2" ht="12.75" customHeight="1" x14ac:dyDescent="0.15">
      <c r="A643" s="8"/>
      <c r="B643" s="9"/>
    </row>
    <row r="644" spans="1:2" ht="12.75" customHeight="1" x14ac:dyDescent="0.15">
      <c r="A644" s="8"/>
      <c r="B644" s="9"/>
    </row>
    <row r="645" spans="1:2" ht="12.75" customHeight="1" x14ac:dyDescent="0.15">
      <c r="A645" s="8"/>
      <c r="B645" s="9"/>
    </row>
    <row r="646" spans="1:2" ht="12.75" customHeight="1" x14ac:dyDescent="0.15">
      <c r="A646" s="8"/>
      <c r="B646" s="9"/>
    </row>
    <row r="647" spans="1:2" ht="12.75" customHeight="1" x14ac:dyDescent="0.15">
      <c r="A647" s="8"/>
      <c r="B647" s="9"/>
    </row>
    <row r="648" spans="1:2" ht="12.75" customHeight="1" x14ac:dyDescent="0.15">
      <c r="A648" s="8"/>
      <c r="B648" s="9"/>
    </row>
    <row r="649" spans="1:2" ht="12.75" customHeight="1" x14ac:dyDescent="0.15">
      <c r="A649" s="8"/>
      <c r="B649" s="9"/>
    </row>
    <row r="650" spans="1:2" ht="12.75" customHeight="1" x14ac:dyDescent="0.15">
      <c r="A650" s="8"/>
      <c r="B650" s="9"/>
    </row>
    <row r="651" spans="1:2" ht="12.75" customHeight="1" x14ac:dyDescent="0.15">
      <c r="A651" s="8"/>
      <c r="B651" s="9"/>
    </row>
    <row r="652" spans="1:2" ht="12.75" customHeight="1" x14ac:dyDescent="0.15">
      <c r="A652" s="8"/>
      <c r="B652" s="9"/>
    </row>
    <row r="653" spans="1:2" ht="12.75" customHeight="1" x14ac:dyDescent="0.15">
      <c r="A653" s="8"/>
      <c r="B653" s="9"/>
    </row>
    <row r="654" spans="1:2" ht="12.75" customHeight="1" x14ac:dyDescent="0.15">
      <c r="A654" s="8"/>
      <c r="B654" s="9"/>
    </row>
    <row r="655" spans="1:2" ht="12.75" customHeight="1" x14ac:dyDescent="0.15">
      <c r="A655" s="8"/>
      <c r="B655" s="9"/>
    </row>
    <row r="656" spans="1:2" ht="12.75" customHeight="1" x14ac:dyDescent="0.15">
      <c r="A656" s="8"/>
      <c r="B656" s="9"/>
    </row>
    <row r="657" spans="1:2" ht="12.75" customHeight="1" x14ac:dyDescent="0.15">
      <c r="A657" s="8"/>
      <c r="B657" s="9"/>
    </row>
    <row r="658" spans="1:2" ht="12.75" customHeight="1" x14ac:dyDescent="0.15">
      <c r="A658" s="8"/>
      <c r="B658" s="9"/>
    </row>
    <row r="659" spans="1:2" ht="12.75" customHeight="1" x14ac:dyDescent="0.15">
      <c r="A659" s="8"/>
      <c r="B659" s="9"/>
    </row>
    <row r="660" spans="1:2" ht="12.75" customHeight="1" x14ac:dyDescent="0.15">
      <c r="A660" s="8"/>
      <c r="B660" s="9"/>
    </row>
    <row r="661" spans="1:2" ht="12.75" customHeight="1" x14ac:dyDescent="0.15">
      <c r="A661" s="8"/>
      <c r="B661" s="9"/>
    </row>
    <row r="662" spans="1:2" ht="12.75" customHeight="1" x14ac:dyDescent="0.15">
      <c r="A662" s="8"/>
      <c r="B662" s="9"/>
    </row>
    <row r="663" spans="1:2" ht="12.75" customHeight="1" x14ac:dyDescent="0.15">
      <c r="A663" s="8"/>
      <c r="B663" s="9"/>
    </row>
    <row r="664" spans="1:2" ht="12.75" customHeight="1" x14ac:dyDescent="0.15">
      <c r="A664" s="8"/>
      <c r="B664" s="9"/>
    </row>
    <row r="665" spans="1:2" ht="12.75" customHeight="1" x14ac:dyDescent="0.15">
      <c r="A665" s="8"/>
      <c r="B665" s="9"/>
    </row>
    <row r="666" spans="1:2" ht="12.75" customHeight="1" x14ac:dyDescent="0.15">
      <c r="A666" s="8"/>
      <c r="B666" s="9"/>
    </row>
    <row r="667" spans="1:2" ht="12.75" customHeight="1" x14ac:dyDescent="0.15">
      <c r="A667" s="8"/>
      <c r="B667" s="9"/>
    </row>
    <row r="668" spans="1:2" ht="12.75" customHeight="1" x14ac:dyDescent="0.15">
      <c r="A668" s="8"/>
      <c r="B668" s="9"/>
    </row>
    <row r="669" spans="1:2" ht="12.75" customHeight="1" x14ac:dyDescent="0.15">
      <c r="A669" s="8"/>
      <c r="B669" s="9"/>
    </row>
    <row r="670" spans="1:2" ht="12.75" customHeight="1" x14ac:dyDescent="0.15">
      <c r="A670" s="8"/>
      <c r="B670" s="9"/>
    </row>
    <row r="671" spans="1:2" ht="12.75" customHeight="1" x14ac:dyDescent="0.15">
      <c r="A671" s="8"/>
      <c r="B671" s="9"/>
    </row>
    <row r="672" spans="1:2" ht="12.75" customHeight="1" x14ac:dyDescent="0.15">
      <c r="A672" s="8"/>
      <c r="B672" s="9"/>
    </row>
    <row r="673" spans="1:2" ht="12.75" customHeight="1" x14ac:dyDescent="0.15">
      <c r="A673" s="8"/>
      <c r="B673" s="9"/>
    </row>
    <row r="674" spans="1:2" ht="12.75" customHeight="1" x14ac:dyDescent="0.15">
      <c r="A674" s="8"/>
      <c r="B674" s="9"/>
    </row>
    <row r="675" spans="1:2" ht="12.75" customHeight="1" x14ac:dyDescent="0.15">
      <c r="A675" s="8"/>
      <c r="B675" s="9"/>
    </row>
    <row r="676" spans="1:2" ht="12.75" customHeight="1" x14ac:dyDescent="0.15">
      <c r="A676" s="8"/>
      <c r="B676" s="9"/>
    </row>
    <row r="677" spans="1:2" ht="12.75" customHeight="1" x14ac:dyDescent="0.15">
      <c r="A677" s="8"/>
      <c r="B677" s="9"/>
    </row>
    <row r="678" spans="1:2" ht="12.75" customHeight="1" x14ac:dyDescent="0.15">
      <c r="A678" s="8"/>
      <c r="B678" s="9"/>
    </row>
    <row r="679" spans="1:2" ht="12.75" customHeight="1" x14ac:dyDescent="0.15">
      <c r="A679" s="8"/>
      <c r="B679" s="9"/>
    </row>
    <row r="680" spans="1:2" ht="12.75" customHeight="1" x14ac:dyDescent="0.15">
      <c r="A680" s="8"/>
      <c r="B680" s="9"/>
    </row>
    <row r="681" spans="1:2" ht="12.75" customHeight="1" x14ac:dyDescent="0.15">
      <c r="A681" s="8"/>
      <c r="B681" s="9"/>
    </row>
    <row r="682" spans="1:2" ht="12.75" customHeight="1" x14ac:dyDescent="0.15">
      <c r="A682" s="8"/>
      <c r="B682" s="9"/>
    </row>
    <row r="683" spans="1:2" ht="12.75" customHeight="1" x14ac:dyDescent="0.15">
      <c r="A683" s="8"/>
      <c r="B683" s="9"/>
    </row>
    <row r="684" spans="1:2" ht="12.75" customHeight="1" x14ac:dyDescent="0.15">
      <c r="A684" s="8"/>
      <c r="B684" s="9"/>
    </row>
    <row r="685" spans="1:2" ht="12.75" customHeight="1" x14ac:dyDescent="0.15">
      <c r="A685" s="8"/>
      <c r="B685" s="9"/>
    </row>
    <row r="686" spans="1:2" ht="12.75" customHeight="1" x14ac:dyDescent="0.15">
      <c r="A686" s="8"/>
      <c r="B686" s="9"/>
    </row>
    <row r="687" spans="1:2" ht="12.75" customHeight="1" x14ac:dyDescent="0.15">
      <c r="A687" s="8"/>
      <c r="B687" s="9"/>
    </row>
    <row r="688" spans="1:2" ht="12.75" customHeight="1" x14ac:dyDescent="0.15">
      <c r="A688" s="8"/>
      <c r="B688" s="9"/>
    </row>
    <row r="689" spans="1:2" ht="12.75" customHeight="1" x14ac:dyDescent="0.15">
      <c r="A689" s="8"/>
      <c r="B689" s="9"/>
    </row>
    <row r="690" spans="1:2" ht="12.75" customHeight="1" x14ac:dyDescent="0.15">
      <c r="A690" s="8"/>
      <c r="B690" s="9"/>
    </row>
    <row r="691" spans="1:2" ht="12.75" customHeight="1" x14ac:dyDescent="0.15">
      <c r="A691" s="8"/>
      <c r="B691" s="9"/>
    </row>
    <row r="692" spans="1:2" ht="12.75" customHeight="1" x14ac:dyDescent="0.15">
      <c r="A692" s="8"/>
      <c r="B692" s="9"/>
    </row>
    <row r="693" spans="1:2" ht="12.75" customHeight="1" x14ac:dyDescent="0.15">
      <c r="A693" s="8"/>
      <c r="B693" s="9"/>
    </row>
    <row r="694" spans="1:2" ht="12.75" customHeight="1" x14ac:dyDescent="0.15">
      <c r="A694" s="8"/>
      <c r="B694" s="9"/>
    </row>
    <row r="695" spans="1:2" ht="12.75" customHeight="1" x14ac:dyDescent="0.15">
      <c r="A695" s="8"/>
      <c r="B695" s="9"/>
    </row>
    <row r="696" spans="1:2" ht="12.75" customHeight="1" x14ac:dyDescent="0.15">
      <c r="A696" s="8"/>
      <c r="B696" s="9"/>
    </row>
    <row r="697" spans="1:2" ht="12.75" customHeight="1" x14ac:dyDescent="0.15">
      <c r="A697" s="8"/>
      <c r="B697" s="9"/>
    </row>
    <row r="698" spans="1:2" ht="12.75" customHeight="1" x14ac:dyDescent="0.15">
      <c r="A698" s="8"/>
      <c r="B698" s="9"/>
    </row>
    <row r="699" spans="1:2" ht="12.75" customHeight="1" x14ac:dyDescent="0.15">
      <c r="A699" s="8"/>
      <c r="B699" s="9"/>
    </row>
    <row r="700" spans="1:2" ht="12.75" customHeight="1" x14ac:dyDescent="0.15">
      <c r="A700" s="8"/>
      <c r="B700" s="9"/>
    </row>
    <row r="701" spans="1:2" ht="12.75" customHeight="1" x14ac:dyDescent="0.15">
      <c r="A701" s="8"/>
      <c r="B701" s="9"/>
    </row>
    <row r="702" spans="1:2" ht="12.75" customHeight="1" x14ac:dyDescent="0.15">
      <c r="A702" s="8"/>
      <c r="B702" s="9"/>
    </row>
    <row r="703" spans="1:2" ht="12.75" customHeight="1" x14ac:dyDescent="0.15">
      <c r="A703" s="8"/>
      <c r="B703" s="9"/>
    </row>
    <row r="704" spans="1:2" ht="12.75" customHeight="1" x14ac:dyDescent="0.15">
      <c r="A704" s="8"/>
      <c r="B704" s="9"/>
    </row>
    <row r="705" spans="1:2" ht="12.75" customHeight="1" x14ac:dyDescent="0.15">
      <c r="A705" s="8"/>
      <c r="B705" s="9"/>
    </row>
    <row r="706" spans="1:2" ht="12.75" customHeight="1" x14ac:dyDescent="0.15">
      <c r="A706" s="8"/>
      <c r="B706" s="9"/>
    </row>
    <row r="707" spans="1:2" ht="12.75" customHeight="1" x14ac:dyDescent="0.15">
      <c r="A707" s="8"/>
      <c r="B707" s="9"/>
    </row>
    <row r="708" spans="1:2" ht="12.75" customHeight="1" x14ac:dyDescent="0.15">
      <c r="A708" s="8"/>
      <c r="B708" s="9"/>
    </row>
    <row r="709" spans="1:2" ht="12.75" customHeight="1" x14ac:dyDescent="0.15">
      <c r="A709" s="8"/>
      <c r="B709" s="9"/>
    </row>
    <row r="710" spans="1:2" ht="12.75" customHeight="1" x14ac:dyDescent="0.15">
      <c r="A710" s="8"/>
      <c r="B710" s="9"/>
    </row>
    <row r="711" spans="1:2" ht="12.75" customHeight="1" x14ac:dyDescent="0.15">
      <c r="A711" s="8"/>
      <c r="B711" s="9"/>
    </row>
    <row r="712" spans="1:2" ht="12.75" customHeight="1" x14ac:dyDescent="0.15">
      <c r="A712" s="8"/>
      <c r="B712" s="9"/>
    </row>
    <row r="713" spans="1:2" ht="12.75" customHeight="1" x14ac:dyDescent="0.15">
      <c r="A713" s="8"/>
      <c r="B713" s="9"/>
    </row>
    <row r="714" spans="1:2" ht="12.75" customHeight="1" x14ac:dyDescent="0.15">
      <c r="A714" s="8"/>
      <c r="B714" s="9"/>
    </row>
    <row r="715" spans="1:2" ht="12.75" customHeight="1" x14ac:dyDescent="0.15">
      <c r="A715" s="8"/>
      <c r="B715" s="9"/>
    </row>
    <row r="716" spans="1:2" ht="12.75" customHeight="1" x14ac:dyDescent="0.15">
      <c r="A716" s="8"/>
      <c r="B716" s="9"/>
    </row>
    <row r="717" spans="1:2" ht="12.75" customHeight="1" x14ac:dyDescent="0.15">
      <c r="A717" s="8"/>
      <c r="B717" s="9"/>
    </row>
    <row r="718" spans="1:2" ht="12.75" customHeight="1" x14ac:dyDescent="0.15">
      <c r="A718" s="8"/>
      <c r="B718" s="9"/>
    </row>
    <row r="719" spans="1:2" ht="12.75" customHeight="1" x14ac:dyDescent="0.15">
      <c r="A719" s="8"/>
      <c r="B719" s="9"/>
    </row>
    <row r="720" spans="1:2" ht="12.75" customHeight="1" x14ac:dyDescent="0.15">
      <c r="A720" s="8"/>
      <c r="B720" s="9"/>
    </row>
    <row r="721" spans="1:2" ht="12.75" customHeight="1" x14ac:dyDescent="0.15">
      <c r="A721" s="8"/>
      <c r="B721" s="9"/>
    </row>
    <row r="722" spans="1:2" ht="12.75" customHeight="1" x14ac:dyDescent="0.15">
      <c r="A722" s="8"/>
      <c r="B722" s="9"/>
    </row>
    <row r="723" spans="1:2" ht="12.75" customHeight="1" x14ac:dyDescent="0.15">
      <c r="A723" s="8"/>
      <c r="B723" s="9"/>
    </row>
    <row r="724" spans="1:2" ht="12.75" customHeight="1" x14ac:dyDescent="0.15">
      <c r="A724" s="8"/>
      <c r="B724" s="9"/>
    </row>
    <row r="725" spans="1:2" ht="12.75" customHeight="1" x14ac:dyDescent="0.15">
      <c r="A725" s="8"/>
      <c r="B725" s="9"/>
    </row>
    <row r="726" spans="1:2" ht="12.75" customHeight="1" x14ac:dyDescent="0.15">
      <c r="A726" s="8"/>
      <c r="B726" s="9"/>
    </row>
    <row r="727" spans="1:2" ht="12.75" customHeight="1" x14ac:dyDescent="0.15">
      <c r="A727" s="8"/>
      <c r="B727" s="9"/>
    </row>
    <row r="728" spans="1:2" ht="12.75" customHeight="1" x14ac:dyDescent="0.15">
      <c r="A728" s="8"/>
      <c r="B728" s="9"/>
    </row>
    <row r="729" spans="1:2" ht="12.75" customHeight="1" x14ac:dyDescent="0.15">
      <c r="A729" s="8"/>
      <c r="B729" s="9"/>
    </row>
    <row r="730" spans="1:2" ht="12.75" customHeight="1" x14ac:dyDescent="0.15">
      <c r="A730" s="8"/>
      <c r="B730" s="9"/>
    </row>
    <row r="731" spans="1:2" ht="12.75" customHeight="1" x14ac:dyDescent="0.15">
      <c r="A731" s="8"/>
      <c r="B731" s="9"/>
    </row>
    <row r="732" spans="1:2" ht="12.75" customHeight="1" x14ac:dyDescent="0.15">
      <c r="A732" s="8"/>
      <c r="B732" s="9"/>
    </row>
    <row r="733" spans="1:2" ht="12.75" customHeight="1" x14ac:dyDescent="0.15">
      <c r="A733" s="8"/>
      <c r="B733" s="9"/>
    </row>
    <row r="734" spans="1:2" ht="12.75" customHeight="1" x14ac:dyDescent="0.15">
      <c r="A734" s="8"/>
      <c r="B734" s="9"/>
    </row>
    <row r="735" spans="1:2" ht="12.75" customHeight="1" x14ac:dyDescent="0.15">
      <c r="A735" s="8"/>
      <c r="B735" s="9"/>
    </row>
    <row r="736" spans="1:2" ht="12.75" customHeight="1" x14ac:dyDescent="0.15">
      <c r="A736" s="8"/>
      <c r="B736" s="9"/>
    </row>
    <row r="737" spans="1:2" ht="12.75" customHeight="1" x14ac:dyDescent="0.15">
      <c r="A737" s="8"/>
      <c r="B737" s="9"/>
    </row>
    <row r="738" spans="1:2" ht="12.75" customHeight="1" x14ac:dyDescent="0.15">
      <c r="A738" s="8"/>
      <c r="B738" s="9"/>
    </row>
    <row r="739" spans="1:2" ht="12.75" customHeight="1" x14ac:dyDescent="0.15">
      <c r="A739" s="8"/>
      <c r="B739" s="9"/>
    </row>
    <row r="740" spans="1:2" ht="12.75" customHeight="1" x14ac:dyDescent="0.15">
      <c r="A740" s="8"/>
      <c r="B740" s="9"/>
    </row>
    <row r="741" spans="1:2" ht="12.75" customHeight="1" x14ac:dyDescent="0.15">
      <c r="A741" s="8"/>
      <c r="B741" s="9"/>
    </row>
    <row r="742" spans="1:2" ht="12.75" customHeight="1" x14ac:dyDescent="0.15">
      <c r="A742" s="8"/>
      <c r="B742" s="9"/>
    </row>
    <row r="743" spans="1:2" ht="12.75" customHeight="1" x14ac:dyDescent="0.15">
      <c r="A743" s="8"/>
      <c r="B743" s="9"/>
    </row>
    <row r="744" spans="1:2" ht="12.75" customHeight="1" x14ac:dyDescent="0.15">
      <c r="A744" s="8"/>
      <c r="B744" s="9"/>
    </row>
    <row r="745" spans="1:2" ht="12.75" customHeight="1" x14ac:dyDescent="0.15">
      <c r="A745" s="8"/>
      <c r="B745" s="9"/>
    </row>
    <row r="746" spans="1:2" ht="12.75" customHeight="1" x14ac:dyDescent="0.15">
      <c r="A746" s="8"/>
      <c r="B746" s="9"/>
    </row>
    <row r="747" spans="1:2" ht="12.75" customHeight="1" x14ac:dyDescent="0.15">
      <c r="A747" s="8"/>
      <c r="B747" s="9"/>
    </row>
    <row r="748" spans="1:2" ht="12.75" customHeight="1" x14ac:dyDescent="0.15">
      <c r="A748" s="8"/>
      <c r="B748" s="9"/>
    </row>
    <row r="749" spans="1:2" ht="12.75" customHeight="1" x14ac:dyDescent="0.15">
      <c r="A749" s="8"/>
      <c r="B749" s="9"/>
    </row>
    <row r="750" spans="1:2" ht="12.75" customHeight="1" x14ac:dyDescent="0.15">
      <c r="A750" s="8"/>
      <c r="B750" s="9"/>
    </row>
    <row r="751" spans="1:2" ht="12.75" customHeight="1" x14ac:dyDescent="0.15">
      <c r="A751" s="8"/>
      <c r="B751" s="9"/>
    </row>
    <row r="752" spans="1:2" ht="12.75" customHeight="1" x14ac:dyDescent="0.15">
      <c r="A752" s="8"/>
      <c r="B752" s="9"/>
    </row>
    <row r="753" spans="1:2" ht="12.75" customHeight="1" x14ac:dyDescent="0.15">
      <c r="A753" s="8"/>
      <c r="B753" s="9"/>
    </row>
    <row r="754" spans="1:2" ht="12.75" customHeight="1" x14ac:dyDescent="0.15">
      <c r="A754" s="8"/>
      <c r="B754" s="9"/>
    </row>
    <row r="755" spans="1:2" ht="12.75" customHeight="1" x14ac:dyDescent="0.15">
      <c r="A755" s="8"/>
      <c r="B755" s="9"/>
    </row>
    <row r="756" spans="1:2" ht="12.75" customHeight="1" x14ac:dyDescent="0.15">
      <c r="A756" s="8"/>
      <c r="B756" s="9"/>
    </row>
    <row r="757" spans="1:2" ht="12.75" customHeight="1" x14ac:dyDescent="0.15">
      <c r="A757" s="8"/>
      <c r="B757" s="9"/>
    </row>
    <row r="758" spans="1:2" ht="12.75" customHeight="1" x14ac:dyDescent="0.15">
      <c r="A758" s="8"/>
      <c r="B758" s="9"/>
    </row>
    <row r="759" spans="1:2" ht="12.75" customHeight="1" x14ac:dyDescent="0.15">
      <c r="A759" s="8"/>
      <c r="B759" s="9"/>
    </row>
    <row r="760" spans="1:2" ht="12.75" customHeight="1" x14ac:dyDescent="0.15">
      <c r="A760" s="8"/>
      <c r="B760" s="9"/>
    </row>
    <row r="761" spans="1:2" ht="12.75" customHeight="1" x14ac:dyDescent="0.15">
      <c r="A761" s="8"/>
      <c r="B761" s="9"/>
    </row>
    <row r="762" spans="1:2" ht="12.75" customHeight="1" x14ac:dyDescent="0.15">
      <c r="A762" s="8"/>
      <c r="B762" s="9"/>
    </row>
    <row r="763" spans="1:2" ht="12.75" customHeight="1" x14ac:dyDescent="0.15">
      <c r="A763" s="8"/>
      <c r="B763" s="9"/>
    </row>
    <row r="764" spans="1:2" ht="12.75" customHeight="1" x14ac:dyDescent="0.15">
      <c r="A764" s="8"/>
      <c r="B764" s="9"/>
    </row>
    <row r="765" spans="1:2" ht="12.75" customHeight="1" x14ac:dyDescent="0.15">
      <c r="A765" s="8"/>
      <c r="B765" s="9"/>
    </row>
    <row r="766" spans="1:2" ht="12.75" customHeight="1" x14ac:dyDescent="0.15">
      <c r="A766" s="8"/>
      <c r="B766" s="9"/>
    </row>
    <row r="767" spans="1:2" ht="12.75" customHeight="1" x14ac:dyDescent="0.15">
      <c r="A767" s="8"/>
      <c r="B767" s="9"/>
    </row>
    <row r="768" spans="1:2" ht="12.75" customHeight="1" x14ac:dyDescent="0.15">
      <c r="A768" s="8"/>
      <c r="B768" s="9"/>
    </row>
    <row r="769" spans="1:2" ht="12.75" customHeight="1" x14ac:dyDescent="0.15">
      <c r="A769" s="8"/>
      <c r="B769" s="9"/>
    </row>
    <row r="770" spans="1:2" ht="12.75" customHeight="1" x14ac:dyDescent="0.15">
      <c r="A770" s="8"/>
      <c r="B770" s="9"/>
    </row>
    <row r="771" spans="1:2" ht="12.75" customHeight="1" x14ac:dyDescent="0.15">
      <c r="A771" s="8"/>
      <c r="B771" s="9"/>
    </row>
    <row r="772" spans="1:2" ht="12.75" customHeight="1" x14ac:dyDescent="0.15">
      <c r="A772" s="8"/>
      <c r="B772" s="9"/>
    </row>
    <row r="773" spans="1:2" ht="12.75" customHeight="1" x14ac:dyDescent="0.15">
      <c r="A773" s="8"/>
      <c r="B773" s="9"/>
    </row>
    <row r="774" spans="1:2" ht="12.75" customHeight="1" x14ac:dyDescent="0.15">
      <c r="A774" s="8"/>
      <c r="B774" s="9"/>
    </row>
    <row r="775" spans="1:2" ht="12.75" customHeight="1" x14ac:dyDescent="0.15">
      <c r="A775" s="8"/>
      <c r="B775" s="9"/>
    </row>
    <row r="776" spans="1:2" ht="12.75" customHeight="1" x14ac:dyDescent="0.15">
      <c r="A776" s="8"/>
      <c r="B776" s="9"/>
    </row>
    <row r="777" spans="1:2" ht="12.75" customHeight="1" x14ac:dyDescent="0.15">
      <c r="A777" s="8"/>
      <c r="B777" s="9"/>
    </row>
    <row r="778" spans="1:2" ht="12.75" customHeight="1" x14ac:dyDescent="0.15">
      <c r="A778" s="8"/>
      <c r="B778" s="9"/>
    </row>
    <row r="779" spans="1:2" ht="12.75" customHeight="1" x14ac:dyDescent="0.15">
      <c r="A779" s="8"/>
      <c r="B779" s="9"/>
    </row>
    <row r="780" spans="1:2" ht="12.75" customHeight="1" x14ac:dyDescent="0.15">
      <c r="A780" s="8"/>
      <c r="B780" s="9"/>
    </row>
    <row r="781" spans="1:2" ht="12.75" customHeight="1" x14ac:dyDescent="0.15">
      <c r="A781" s="8"/>
      <c r="B781" s="9"/>
    </row>
    <row r="782" spans="1:2" ht="12.75" customHeight="1" x14ac:dyDescent="0.15">
      <c r="A782" s="8"/>
      <c r="B782" s="9"/>
    </row>
    <row r="783" spans="1:2" ht="12.75" customHeight="1" x14ac:dyDescent="0.15">
      <c r="A783" s="8"/>
      <c r="B783" s="9"/>
    </row>
    <row r="784" spans="1:2" ht="12.75" customHeight="1" x14ac:dyDescent="0.15">
      <c r="A784" s="8"/>
      <c r="B784" s="9"/>
    </row>
    <row r="785" spans="1:2" ht="12.75" customHeight="1" x14ac:dyDescent="0.15">
      <c r="A785" s="8"/>
      <c r="B785" s="9"/>
    </row>
    <row r="786" spans="1:2" ht="12.75" customHeight="1" x14ac:dyDescent="0.15">
      <c r="A786" s="8"/>
      <c r="B786" s="9"/>
    </row>
    <row r="787" spans="1:2" ht="12.75" customHeight="1" x14ac:dyDescent="0.15">
      <c r="A787" s="8"/>
      <c r="B787" s="9"/>
    </row>
    <row r="788" spans="1:2" ht="12.75" customHeight="1" x14ac:dyDescent="0.15">
      <c r="A788" s="8"/>
      <c r="B788" s="9"/>
    </row>
    <row r="789" spans="1:2" ht="12.75" customHeight="1" x14ac:dyDescent="0.15">
      <c r="A789" s="8"/>
      <c r="B789" s="9"/>
    </row>
    <row r="790" spans="1:2" ht="12.75" customHeight="1" x14ac:dyDescent="0.15">
      <c r="A790" s="8"/>
      <c r="B790" s="9"/>
    </row>
    <row r="791" spans="1:2" ht="12.75" customHeight="1" x14ac:dyDescent="0.15">
      <c r="A791" s="8"/>
      <c r="B791" s="9"/>
    </row>
    <row r="792" spans="1:2" ht="12.75" customHeight="1" x14ac:dyDescent="0.15">
      <c r="A792" s="8"/>
      <c r="B792" s="9"/>
    </row>
    <row r="793" spans="1:2" ht="12.75" customHeight="1" x14ac:dyDescent="0.15">
      <c r="A793" s="8"/>
      <c r="B793" s="9"/>
    </row>
    <row r="794" spans="1:2" ht="12.75" customHeight="1" x14ac:dyDescent="0.15">
      <c r="A794" s="8"/>
      <c r="B794" s="9"/>
    </row>
    <row r="795" spans="1:2" ht="12.75" customHeight="1" x14ac:dyDescent="0.15">
      <c r="A795" s="8"/>
      <c r="B795" s="9"/>
    </row>
    <row r="796" spans="1:2" ht="12.75" customHeight="1" x14ac:dyDescent="0.15">
      <c r="A796" s="8"/>
      <c r="B796" s="9"/>
    </row>
    <row r="797" spans="1:2" ht="12.75" customHeight="1" x14ac:dyDescent="0.15">
      <c r="A797" s="8"/>
      <c r="B797" s="9"/>
    </row>
    <row r="798" spans="1:2" ht="12.75" customHeight="1" x14ac:dyDescent="0.15">
      <c r="A798" s="8"/>
      <c r="B798" s="9"/>
    </row>
    <row r="799" spans="1:2" ht="12.75" customHeight="1" x14ac:dyDescent="0.15">
      <c r="A799" s="8"/>
      <c r="B799" s="9"/>
    </row>
    <row r="800" spans="1:2" ht="12.75" customHeight="1" x14ac:dyDescent="0.15">
      <c r="A800" s="8"/>
      <c r="B800" s="9"/>
    </row>
    <row r="801" spans="1:2" ht="12.75" customHeight="1" x14ac:dyDescent="0.15">
      <c r="A801" s="8"/>
      <c r="B801" s="9"/>
    </row>
    <row r="802" spans="1:2" ht="12.75" customHeight="1" x14ac:dyDescent="0.15">
      <c r="A802" s="8"/>
      <c r="B802" s="9"/>
    </row>
    <row r="803" spans="1:2" ht="12.75" customHeight="1" x14ac:dyDescent="0.15">
      <c r="A803" s="8"/>
      <c r="B803" s="9"/>
    </row>
    <row r="804" spans="1:2" ht="12.75" customHeight="1" x14ac:dyDescent="0.15">
      <c r="A804" s="8"/>
      <c r="B804" s="9"/>
    </row>
    <row r="805" spans="1:2" ht="12.75" customHeight="1" x14ac:dyDescent="0.15">
      <c r="A805" s="8"/>
      <c r="B805" s="9"/>
    </row>
    <row r="806" spans="1:2" ht="12.75" customHeight="1" x14ac:dyDescent="0.15">
      <c r="A806" s="8"/>
      <c r="B806" s="9"/>
    </row>
    <row r="807" spans="1:2" ht="12.75" customHeight="1" x14ac:dyDescent="0.15">
      <c r="A807" s="8"/>
      <c r="B807" s="9"/>
    </row>
    <row r="808" spans="1:2" ht="12.75" customHeight="1" x14ac:dyDescent="0.15">
      <c r="A808" s="8"/>
      <c r="B808" s="9"/>
    </row>
    <row r="809" spans="1:2" ht="12.75" customHeight="1" x14ac:dyDescent="0.15">
      <c r="A809" s="8"/>
      <c r="B809" s="9"/>
    </row>
    <row r="810" spans="1:2" ht="12.75" customHeight="1" x14ac:dyDescent="0.15">
      <c r="A810" s="8"/>
      <c r="B810" s="9"/>
    </row>
    <row r="811" spans="1:2" ht="12.75" customHeight="1" x14ac:dyDescent="0.15">
      <c r="A811" s="8"/>
      <c r="B811" s="9"/>
    </row>
    <row r="812" spans="1:2" ht="12.75" customHeight="1" x14ac:dyDescent="0.15">
      <c r="A812" s="8"/>
      <c r="B812" s="9"/>
    </row>
    <row r="813" spans="1:2" ht="12.75" customHeight="1" x14ac:dyDescent="0.15">
      <c r="A813" s="8"/>
      <c r="B813" s="9"/>
    </row>
    <row r="814" spans="1:2" ht="12.75" customHeight="1" x14ac:dyDescent="0.15">
      <c r="A814" s="8"/>
      <c r="B814" s="9"/>
    </row>
    <row r="815" spans="1:2" ht="12.75" customHeight="1" x14ac:dyDescent="0.15">
      <c r="A815" s="8"/>
      <c r="B815" s="9"/>
    </row>
    <row r="816" spans="1:2" ht="12.75" customHeight="1" x14ac:dyDescent="0.15">
      <c r="A816" s="8"/>
      <c r="B816" s="9"/>
    </row>
    <row r="817" spans="1:2" ht="12.75" customHeight="1" x14ac:dyDescent="0.15">
      <c r="A817" s="8"/>
      <c r="B817" s="9"/>
    </row>
    <row r="818" spans="1:2" ht="12.75" customHeight="1" x14ac:dyDescent="0.15">
      <c r="A818" s="8"/>
      <c r="B818" s="9"/>
    </row>
    <row r="819" spans="1:2" ht="12.75" customHeight="1" x14ac:dyDescent="0.15">
      <c r="A819" s="8"/>
      <c r="B819" s="9"/>
    </row>
    <row r="820" spans="1:2" ht="12.75" customHeight="1" x14ac:dyDescent="0.15">
      <c r="A820" s="8"/>
      <c r="B820" s="9"/>
    </row>
    <row r="821" spans="1:2" ht="12.75" customHeight="1" x14ac:dyDescent="0.15">
      <c r="A821" s="8"/>
      <c r="B821" s="9"/>
    </row>
    <row r="822" spans="1:2" ht="12.75" customHeight="1" x14ac:dyDescent="0.15">
      <c r="A822" s="8"/>
      <c r="B822" s="9"/>
    </row>
    <row r="823" spans="1:2" ht="12.75" customHeight="1" x14ac:dyDescent="0.15">
      <c r="A823" s="8"/>
      <c r="B823" s="9"/>
    </row>
    <row r="824" spans="1:2" ht="12.75" customHeight="1" x14ac:dyDescent="0.15">
      <c r="A824" s="8"/>
      <c r="B824" s="9"/>
    </row>
    <row r="825" spans="1:2" ht="12.75" customHeight="1" x14ac:dyDescent="0.15">
      <c r="A825" s="8"/>
      <c r="B825" s="9"/>
    </row>
    <row r="826" spans="1:2" ht="12.75" customHeight="1" x14ac:dyDescent="0.15">
      <c r="A826" s="8"/>
      <c r="B826" s="9"/>
    </row>
    <row r="827" spans="1:2" ht="12.75" customHeight="1" x14ac:dyDescent="0.15">
      <c r="A827" s="8"/>
      <c r="B827" s="9"/>
    </row>
    <row r="828" spans="1:2" ht="12.75" customHeight="1" x14ac:dyDescent="0.15">
      <c r="A828" s="8"/>
      <c r="B828" s="9"/>
    </row>
    <row r="829" spans="1:2" ht="12.75" customHeight="1" x14ac:dyDescent="0.15">
      <c r="A829" s="8"/>
      <c r="B829" s="9"/>
    </row>
    <row r="830" spans="1:2" ht="12.75" customHeight="1" x14ac:dyDescent="0.15">
      <c r="A830" s="8"/>
      <c r="B830" s="9"/>
    </row>
    <row r="831" spans="1:2" ht="12.75" customHeight="1" x14ac:dyDescent="0.15">
      <c r="A831" s="8"/>
      <c r="B831" s="9"/>
    </row>
    <row r="832" spans="1:2" ht="12.75" customHeight="1" x14ac:dyDescent="0.15">
      <c r="A832" s="8"/>
      <c r="B832" s="9"/>
    </row>
    <row r="833" spans="1:2" ht="12.75" customHeight="1" x14ac:dyDescent="0.15">
      <c r="A833" s="8"/>
      <c r="B833" s="9"/>
    </row>
    <row r="834" spans="1:2" ht="12.75" customHeight="1" x14ac:dyDescent="0.15">
      <c r="A834" s="8"/>
      <c r="B834" s="9"/>
    </row>
    <row r="835" spans="1:2" ht="12.75" customHeight="1" x14ac:dyDescent="0.15">
      <c r="A835" s="8"/>
      <c r="B835" s="9"/>
    </row>
    <row r="836" spans="1:2" ht="12.75" customHeight="1" x14ac:dyDescent="0.15">
      <c r="A836" s="8"/>
      <c r="B836" s="9"/>
    </row>
    <row r="837" spans="1:2" ht="12.75" customHeight="1" x14ac:dyDescent="0.15">
      <c r="A837" s="8"/>
      <c r="B837" s="9"/>
    </row>
    <row r="838" spans="1:2" ht="12.75" customHeight="1" x14ac:dyDescent="0.15">
      <c r="A838" s="8"/>
      <c r="B838" s="9"/>
    </row>
    <row r="839" spans="1:2" ht="12.75" customHeight="1" x14ac:dyDescent="0.15">
      <c r="A839" s="8"/>
      <c r="B839" s="9"/>
    </row>
    <row r="840" spans="1:2" ht="12.75" customHeight="1" x14ac:dyDescent="0.15">
      <c r="A840" s="8"/>
      <c r="B840" s="9"/>
    </row>
    <row r="841" spans="1:2" ht="12.75" customHeight="1" x14ac:dyDescent="0.15">
      <c r="A841" s="8"/>
      <c r="B841" s="9"/>
    </row>
    <row r="842" spans="1:2" ht="12.75" customHeight="1" x14ac:dyDescent="0.15">
      <c r="A842" s="8"/>
      <c r="B842" s="9"/>
    </row>
    <row r="843" spans="1:2" ht="12.75" customHeight="1" x14ac:dyDescent="0.15">
      <c r="A843" s="8"/>
      <c r="B843" s="9"/>
    </row>
    <row r="844" spans="1:2" ht="12.75" customHeight="1" x14ac:dyDescent="0.15">
      <c r="A844" s="8"/>
      <c r="B844" s="9"/>
    </row>
    <row r="845" spans="1:2" ht="12.75" customHeight="1" x14ac:dyDescent="0.15">
      <c r="A845" s="8"/>
      <c r="B845" s="9"/>
    </row>
    <row r="846" spans="1:2" ht="12.75" customHeight="1" x14ac:dyDescent="0.15">
      <c r="A846" s="8"/>
      <c r="B846" s="9"/>
    </row>
    <row r="847" spans="1:2" ht="12.75" customHeight="1" x14ac:dyDescent="0.15">
      <c r="A847" s="8"/>
      <c r="B847" s="9"/>
    </row>
    <row r="848" spans="1:2" ht="12.75" customHeight="1" x14ac:dyDescent="0.15">
      <c r="A848" s="8"/>
      <c r="B848" s="9"/>
    </row>
    <row r="849" spans="1:2" ht="12.75" customHeight="1" x14ac:dyDescent="0.15">
      <c r="A849" s="8"/>
      <c r="B849" s="9"/>
    </row>
    <row r="850" spans="1:2" ht="12.75" customHeight="1" x14ac:dyDescent="0.15">
      <c r="A850" s="8"/>
      <c r="B850" s="9"/>
    </row>
    <row r="851" spans="1:2" ht="12.75" customHeight="1" x14ac:dyDescent="0.15">
      <c r="A851" s="8"/>
      <c r="B851" s="9"/>
    </row>
    <row r="852" spans="1:2" ht="12.75" customHeight="1" x14ac:dyDescent="0.15">
      <c r="A852" s="8"/>
      <c r="B852" s="9"/>
    </row>
    <row r="853" spans="1:2" ht="12.75" customHeight="1" x14ac:dyDescent="0.15">
      <c r="A853" s="8"/>
      <c r="B853" s="9"/>
    </row>
    <row r="854" spans="1:2" ht="12.75" customHeight="1" x14ac:dyDescent="0.15">
      <c r="A854" s="8"/>
      <c r="B854" s="9"/>
    </row>
    <row r="855" spans="1:2" ht="12.75" customHeight="1" x14ac:dyDescent="0.15">
      <c r="A855" s="8"/>
      <c r="B855" s="9"/>
    </row>
    <row r="856" spans="1:2" ht="12.75" customHeight="1" x14ac:dyDescent="0.15">
      <c r="A856" s="8"/>
      <c r="B856" s="9"/>
    </row>
    <row r="857" spans="1:2" ht="12.75" customHeight="1" x14ac:dyDescent="0.15">
      <c r="A857" s="8"/>
      <c r="B857" s="9"/>
    </row>
    <row r="858" spans="1:2" ht="12.75" customHeight="1" x14ac:dyDescent="0.15">
      <c r="A858" s="8"/>
      <c r="B858" s="9"/>
    </row>
    <row r="859" spans="1:2" ht="12.75" customHeight="1" x14ac:dyDescent="0.15">
      <c r="A859" s="8"/>
      <c r="B859" s="9"/>
    </row>
    <row r="860" spans="1:2" ht="12.75" customHeight="1" x14ac:dyDescent="0.15">
      <c r="A860" s="8"/>
      <c r="B860" s="9"/>
    </row>
    <row r="861" spans="1:2" ht="12.75" customHeight="1" x14ac:dyDescent="0.15">
      <c r="A861" s="8"/>
      <c r="B861" s="9"/>
    </row>
    <row r="862" spans="1:2" ht="12.75" customHeight="1" x14ac:dyDescent="0.15">
      <c r="A862" s="8"/>
      <c r="B862" s="9"/>
    </row>
    <row r="863" spans="1:2" ht="12.75" customHeight="1" x14ac:dyDescent="0.15">
      <c r="A863" s="8"/>
      <c r="B863" s="9"/>
    </row>
    <row r="864" spans="1:2" ht="12.75" customHeight="1" x14ac:dyDescent="0.15">
      <c r="A864" s="8"/>
      <c r="B864" s="9"/>
    </row>
    <row r="865" spans="1:2" ht="12.75" customHeight="1" x14ac:dyDescent="0.15">
      <c r="A865" s="8"/>
      <c r="B865" s="9"/>
    </row>
    <row r="866" spans="1:2" ht="12.75" customHeight="1" x14ac:dyDescent="0.15">
      <c r="A866" s="8"/>
      <c r="B866" s="9"/>
    </row>
    <row r="867" spans="1:2" ht="12.75" customHeight="1" x14ac:dyDescent="0.15">
      <c r="A867" s="8"/>
      <c r="B867" s="9"/>
    </row>
    <row r="868" spans="1:2" ht="12.75" customHeight="1" x14ac:dyDescent="0.15">
      <c r="A868" s="8"/>
      <c r="B868" s="9"/>
    </row>
    <row r="869" spans="1:2" ht="12.75" customHeight="1" x14ac:dyDescent="0.15">
      <c r="A869" s="8"/>
      <c r="B869" s="9"/>
    </row>
    <row r="870" spans="1:2" ht="12.75" customHeight="1" x14ac:dyDescent="0.15">
      <c r="A870" s="8"/>
      <c r="B870" s="9"/>
    </row>
    <row r="871" spans="1:2" ht="12.75" customHeight="1" x14ac:dyDescent="0.15">
      <c r="A871" s="8"/>
      <c r="B871" s="9"/>
    </row>
    <row r="872" spans="1:2" ht="12.75" customHeight="1" x14ac:dyDescent="0.15">
      <c r="A872" s="8"/>
      <c r="B872" s="9"/>
    </row>
    <row r="873" spans="1:2" ht="12.75" customHeight="1" x14ac:dyDescent="0.15">
      <c r="A873" s="8"/>
      <c r="B873" s="9"/>
    </row>
    <row r="874" spans="1:2" ht="12.75" customHeight="1" x14ac:dyDescent="0.15">
      <c r="A874" s="8"/>
      <c r="B874" s="9"/>
    </row>
    <row r="875" spans="1:2" ht="12.75" customHeight="1" x14ac:dyDescent="0.15">
      <c r="A875" s="8"/>
      <c r="B875" s="9"/>
    </row>
    <row r="876" spans="1:2" ht="12.75" customHeight="1" x14ac:dyDescent="0.15">
      <c r="A876" s="8"/>
      <c r="B876" s="9"/>
    </row>
    <row r="877" spans="1:2" ht="12.75" customHeight="1" x14ac:dyDescent="0.15">
      <c r="A877" s="8"/>
      <c r="B877" s="9"/>
    </row>
    <row r="878" spans="1:2" ht="12.75" customHeight="1" x14ac:dyDescent="0.15">
      <c r="A878" s="8"/>
      <c r="B878" s="9"/>
    </row>
    <row r="879" spans="1:2" ht="12.75" customHeight="1" x14ac:dyDescent="0.15">
      <c r="A879" s="8"/>
      <c r="B879" s="9"/>
    </row>
    <row r="880" spans="1:2" ht="12.75" customHeight="1" x14ac:dyDescent="0.15">
      <c r="A880" s="8"/>
      <c r="B880" s="9"/>
    </row>
    <row r="881" spans="1:2" ht="12.75" customHeight="1" x14ac:dyDescent="0.15">
      <c r="A881" s="8"/>
      <c r="B881" s="9"/>
    </row>
    <row r="882" spans="1:2" ht="12.75" customHeight="1" x14ac:dyDescent="0.15">
      <c r="A882" s="8"/>
      <c r="B882" s="9"/>
    </row>
    <row r="883" spans="1:2" ht="12.75" customHeight="1" x14ac:dyDescent="0.15">
      <c r="A883" s="8"/>
      <c r="B883" s="9"/>
    </row>
    <row r="884" spans="1:2" ht="12.75" customHeight="1" x14ac:dyDescent="0.15">
      <c r="A884" s="8"/>
      <c r="B884" s="9"/>
    </row>
    <row r="885" spans="1:2" ht="12.75" customHeight="1" x14ac:dyDescent="0.15">
      <c r="A885" s="8"/>
      <c r="B885" s="9"/>
    </row>
    <row r="886" spans="1:2" ht="12.75" customHeight="1" x14ac:dyDescent="0.15">
      <c r="A886" s="8"/>
      <c r="B886" s="9"/>
    </row>
    <row r="887" spans="1:2" ht="12.75" customHeight="1" x14ac:dyDescent="0.15">
      <c r="A887" s="8"/>
      <c r="B887" s="9"/>
    </row>
    <row r="888" spans="1:2" ht="12.75" customHeight="1" x14ac:dyDescent="0.15">
      <c r="A888" s="8"/>
      <c r="B888" s="9"/>
    </row>
    <row r="889" spans="1:2" ht="12.75" customHeight="1" x14ac:dyDescent="0.15">
      <c r="A889" s="8"/>
      <c r="B889" s="9"/>
    </row>
    <row r="890" spans="1:2" ht="12.75" customHeight="1" x14ac:dyDescent="0.15">
      <c r="A890" s="8"/>
      <c r="B890" s="9"/>
    </row>
    <row r="891" spans="1:2" ht="12.75" customHeight="1" x14ac:dyDescent="0.15">
      <c r="A891" s="8"/>
      <c r="B891" s="9"/>
    </row>
    <row r="892" spans="1:2" ht="12.75" customHeight="1" x14ac:dyDescent="0.15">
      <c r="A892" s="8"/>
      <c r="B892" s="9"/>
    </row>
    <row r="893" spans="1:2" ht="12.75" customHeight="1" x14ac:dyDescent="0.15">
      <c r="A893" s="8"/>
      <c r="B893" s="9"/>
    </row>
    <row r="894" spans="1:2" ht="12.75" customHeight="1" x14ac:dyDescent="0.15">
      <c r="A894" s="8"/>
      <c r="B894" s="9"/>
    </row>
    <row r="895" spans="1:2" ht="12.75" customHeight="1" x14ac:dyDescent="0.15">
      <c r="A895" s="8"/>
      <c r="B895" s="9"/>
    </row>
    <row r="896" spans="1:2" ht="12.75" customHeight="1" x14ac:dyDescent="0.15">
      <c r="A896" s="8"/>
      <c r="B896" s="9"/>
    </row>
    <row r="897" spans="1:2" ht="12.75" customHeight="1" x14ac:dyDescent="0.15">
      <c r="A897" s="8"/>
      <c r="B897" s="9"/>
    </row>
    <row r="898" spans="1:2" ht="12.75" customHeight="1" x14ac:dyDescent="0.15">
      <c r="A898" s="8"/>
      <c r="B898" s="9"/>
    </row>
    <row r="899" spans="1:2" ht="12.75" customHeight="1" x14ac:dyDescent="0.15">
      <c r="A899" s="8"/>
      <c r="B899" s="9"/>
    </row>
    <row r="900" spans="1:2" ht="12.75" customHeight="1" x14ac:dyDescent="0.15">
      <c r="A900" s="8"/>
      <c r="B900" s="9"/>
    </row>
    <row r="901" spans="1:2" ht="12.75" customHeight="1" x14ac:dyDescent="0.15">
      <c r="A901" s="8"/>
      <c r="B901" s="9"/>
    </row>
    <row r="902" spans="1:2" ht="12.75" customHeight="1" x14ac:dyDescent="0.15">
      <c r="A902" s="8"/>
      <c r="B902" s="9"/>
    </row>
    <row r="903" spans="1:2" ht="12.75" customHeight="1" x14ac:dyDescent="0.15">
      <c r="A903" s="8"/>
      <c r="B903" s="9"/>
    </row>
    <row r="904" spans="1:2" ht="12.75" customHeight="1" x14ac:dyDescent="0.15">
      <c r="A904" s="8"/>
      <c r="B904" s="9"/>
    </row>
    <row r="905" spans="1:2" ht="12.75" customHeight="1" x14ac:dyDescent="0.15">
      <c r="A905" s="8"/>
      <c r="B905" s="9"/>
    </row>
    <row r="906" spans="1:2" ht="12.75" customHeight="1" x14ac:dyDescent="0.15">
      <c r="A906" s="8"/>
      <c r="B906" s="9"/>
    </row>
    <row r="907" spans="1:2" ht="12.75" customHeight="1" x14ac:dyDescent="0.15">
      <c r="A907" s="8"/>
      <c r="B907" s="9"/>
    </row>
    <row r="908" spans="1:2" ht="12.75" customHeight="1" x14ac:dyDescent="0.15">
      <c r="A908" s="8"/>
      <c r="B908" s="9"/>
    </row>
    <row r="909" spans="1:2" ht="12.75" customHeight="1" x14ac:dyDescent="0.15">
      <c r="A909" s="8"/>
      <c r="B909" s="9"/>
    </row>
    <row r="910" spans="1:2" ht="12.75" customHeight="1" x14ac:dyDescent="0.15">
      <c r="A910" s="8"/>
      <c r="B910" s="9"/>
    </row>
    <row r="911" spans="1:2" ht="12.75" customHeight="1" x14ac:dyDescent="0.15">
      <c r="A911" s="8"/>
      <c r="B911" s="9"/>
    </row>
    <row r="912" spans="1:2" ht="12.75" customHeight="1" x14ac:dyDescent="0.15">
      <c r="A912" s="8"/>
      <c r="B912" s="9"/>
    </row>
    <row r="913" spans="1:2" ht="12.75" customHeight="1" x14ac:dyDescent="0.15">
      <c r="A913" s="8"/>
      <c r="B913" s="9"/>
    </row>
    <row r="914" spans="1:2" ht="12.75" customHeight="1" x14ac:dyDescent="0.15">
      <c r="A914" s="8"/>
      <c r="B914" s="9"/>
    </row>
    <row r="915" spans="1:2" ht="12.75" customHeight="1" x14ac:dyDescent="0.15">
      <c r="A915" s="8"/>
      <c r="B915" s="9"/>
    </row>
    <row r="916" spans="1:2" ht="12.75" customHeight="1" x14ac:dyDescent="0.15">
      <c r="A916" s="8"/>
      <c r="B916" s="9"/>
    </row>
    <row r="917" spans="1:2" ht="12.75" customHeight="1" x14ac:dyDescent="0.15">
      <c r="A917" s="8"/>
      <c r="B917" s="9"/>
    </row>
    <row r="918" spans="1:2" ht="12.75" customHeight="1" x14ac:dyDescent="0.15">
      <c r="A918" s="8"/>
      <c r="B918" s="9"/>
    </row>
    <row r="919" spans="1:2" ht="12.75" customHeight="1" x14ac:dyDescent="0.15">
      <c r="A919" s="8"/>
      <c r="B919" s="9"/>
    </row>
    <row r="920" spans="1:2" ht="12.75" customHeight="1" x14ac:dyDescent="0.15">
      <c r="A920" s="8"/>
      <c r="B920" s="9"/>
    </row>
    <row r="921" spans="1:2" ht="12.75" customHeight="1" x14ac:dyDescent="0.15">
      <c r="A921" s="8"/>
      <c r="B921" s="9"/>
    </row>
    <row r="922" spans="1:2" ht="12.75" customHeight="1" x14ac:dyDescent="0.15">
      <c r="A922" s="8"/>
      <c r="B922" s="9"/>
    </row>
    <row r="923" spans="1:2" ht="12.75" customHeight="1" x14ac:dyDescent="0.15">
      <c r="A923" s="8"/>
      <c r="B923" s="9"/>
    </row>
    <row r="924" spans="1:2" ht="12.75" customHeight="1" x14ac:dyDescent="0.15">
      <c r="A924" s="8"/>
      <c r="B924" s="9"/>
    </row>
    <row r="925" spans="1:2" ht="12.75" customHeight="1" x14ac:dyDescent="0.15">
      <c r="A925" s="8"/>
      <c r="B925" s="9"/>
    </row>
    <row r="926" spans="1:2" ht="12.75" customHeight="1" x14ac:dyDescent="0.15">
      <c r="A926" s="8"/>
      <c r="B926" s="9"/>
    </row>
    <row r="927" spans="1:2" ht="12.75" customHeight="1" x14ac:dyDescent="0.15">
      <c r="A927" s="8"/>
      <c r="B927" s="9"/>
    </row>
    <row r="928" spans="1:2" ht="12.75" customHeight="1" x14ac:dyDescent="0.15">
      <c r="A928" s="8"/>
      <c r="B928" s="9"/>
    </row>
    <row r="929" spans="1:2" ht="12.75" customHeight="1" x14ac:dyDescent="0.15">
      <c r="A929" s="8"/>
      <c r="B929" s="9"/>
    </row>
    <row r="930" spans="1:2" ht="12.75" customHeight="1" x14ac:dyDescent="0.15">
      <c r="A930" s="8"/>
      <c r="B930" s="9"/>
    </row>
    <row r="931" spans="1:2" ht="12.75" customHeight="1" x14ac:dyDescent="0.15">
      <c r="A931" s="8"/>
      <c r="B931" s="9"/>
    </row>
    <row r="932" spans="1:2" ht="12.75" customHeight="1" x14ac:dyDescent="0.15">
      <c r="A932" s="8"/>
      <c r="B932" s="9"/>
    </row>
    <row r="933" spans="1:2" ht="12.75" customHeight="1" x14ac:dyDescent="0.15">
      <c r="A933" s="8"/>
      <c r="B933" s="9"/>
    </row>
    <row r="934" spans="1:2" ht="12.75" customHeight="1" x14ac:dyDescent="0.15">
      <c r="A934" s="8"/>
      <c r="B934" s="9"/>
    </row>
    <row r="935" spans="1:2" ht="12.75" customHeight="1" x14ac:dyDescent="0.15">
      <c r="A935" s="8"/>
      <c r="B935" s="9"/>
    </row>
    <row r="936" spans="1:2" ht="12.75" customHeight="1" x14ac:dyDescent="0.15">
      <c r="A936" s="8"/>
      <c r="B936" s="9"/>
    </row>
    <row r="937" spans="1:2" ht="12.75" customHeight="1" x14ac:dyDescent="0.15">
      <c r="A937" s="8"/>
      <c r="B937" s="9"/>
    </row>
    <row r="938" spans="1:2" ht="12.75" customHeight="1" x14ac:dyDescent="0.15">
      <c r="A938" s="8"/>
      <c r="B938" s="9"/>
    </row>
    <row r="939" spans="1:2" ht="12.75" customHeight="1" x14ac:dyDescent="0.15">
      <c r="A939" s="8"/>
      <c r="B939" s="9"/>
    </row>
    <row r="940" spans="1:2" ht="12.75" customHeight="1" x14ac:dyDescent="0.15">
      <c r="A940" s="8"/>
      <c r="B940" s="9"/>
    </row>
    <row r="941" spans="1:2" ht="12.75" customHeight="1" x14ac:dyDescent="0.15">
      <c r="A941" s="8"/>
      <c r="B941" s="9"/>
    </row>
    <row r="942" spans="1:2" ht="12.75" customHeight="1" x14ac:dyDescent="0.15">
      <c r="A942" s="8"/>
      <c r="B942" s="9"/>
    </row>
    <row r="943" spans="1:2" ht="12.75" customHeight="1" x14ac:dyDescent="0.15">
      <c r="A943" s="8"/>
      <c r="B943" s="9"/>
    </row>
    <row r="944" spans="1:2" ht="12.75" customHeight="1" x14ac:dyDescent="0.15">
      <c r="A944" s="8"/>
      <c r="B944" s="9"/>
    </row>
    <row r="945" spans="1:2" ht="12.75" customHeight="1" x14ac:dyDescent="0.15">
      <c r="A945" s="8"/>
      <c r="B945" s="9"/>
    </row>
    <row r="946" spans="1:2" ht="12.75" customHeight="1" x14ac:dyDescent="0.15">
      <c r="A946" s="8"/>
      <c r="B946" s="9"/>
    </row>
    <row r="947" spans="1:2" ht="12.75" customHeight="1" x14ac:dyDescent="0.15">
      <c r="A947" s="8"/>
      <c r="B947" s="9"/>
    </row>
    <row r="948" spans="1:2" ht="12.75" customHeight="1" x14ac:dyDescent="0.15">
      <c r="A948" s="8"/>
      <c r="B948" s="9"/>
    </row>
    <row r="949" spans="1:2" ht="12.75" customHeight="1" x14ac:dyDescent="0.15">
      <c r="A949" s="8"/>
      <c r="B949" s="9"/>
    </row>
    <row r="950" spans="1:2" ht="12.75" customHeight="1" x14ac:dyDescent="0.15">
      <c r="A950" s="8"/>
      <c r="B950" s="9"/>
    </row>
    <row r="951" spans="1:2" ht="12.75" customHeight="1" x14ac:dyDescent="0.15">
      <c r="A951" s="8"/>
      <c r="B951" s="9"/>
    </row>
    <row r="952" spans="1:2" ht="12.75" customHeight="1" x14ac:dyDescent="0.15">
      <c r="A952" s="8"/>
      <c r="B952" s="9"/>
    </row>
    <row r="953" spans="1:2" ht="12.75" customHeight="1" x14ac:dyDescent="0.15">
      <c r="A953" s="8"/>
      <c r="B953" s="9"/>
    </row>
    <row r="954" spans="1:2" ht="12.75" customHeight="1" x14ac:dyDescent="0.15">
      <c r="A954" s="8"/>
      <c r="B954" s="9"/>
    </row>
    <row r="955" spans="1:2" ht="12.75" customHeight="1" x14ac:dyDescent="0.15">
      <c r="A955" s="8"/>
      <c r="B955" s="9"/>
    </row>
    <row r="956" spans="1:2" ht="12.75" customHeight="1" x14ac:dyDescent="0.15">
      <c r="A956" s="8"/>
      <c r="B956" s="9"/>
    </row>
    <row r="957" spans="1:2" ht="12.75" customHeight="1" x14ac:dyDescent="0.15">
      <c r="A957" s="8"/>
      <c r="B957" s="9"/>
    </row>
    <row r="958" spans="1:2" ht="12.75" customHeight="1" x14ac:dyDescent="0.15">
      <c r="A958" s="8"/>
      <c r="B958" s="9"/>
    </row>
    <row r="959" spans="1:2" ht="12.75" customHeight="1" x14ac:dyDescent="0.15">
      <c r="A959" s="8"/>
      <c r="B959" s="9"/>
    </row>
    <row r="960" spans="1:2" ht="12.75" customHeight="1" x14ac:dyDescent="0.15">
      <c r="A960" s="8"/>
      <c r="B960" s="9"/>
    </row>
    <row r="961" spans="1:2" ht="12.75" customHeight="1" x14ac:dyDescent="0.15">
      <c r="A961" s="8"/>
      <c r="B961" s="9"/>
    </row>
    <row r="962" spans="1:2" ht="12.75" customHeight="1" x14ac:dyDescent="0.15">
      <c r="A962" s="8"/>
      <c r="B962" s="9"/>
    </row>
    <row r="963" spans="1:2" ht="12.75" customHeight="1" x14ac:dyDescent="0.15">
      <c r="A963" s="8"/>
      <c r="B963" s="9"/>
    </row>
    <row r="964" spans="1:2" ht="12.75" customHeight="1" x14ac:dyDescent="0.15">
      <c r="A964" s="8"/>
      <c r="B964" s="9"/>
    </row>
    <row r="965" spans="1:2" ht="12.75" customHeight="1" x14ac:dyDescent="0.15">
      <c r="A965" s="8"/>
      <c r="B965" s="9"/>
    </row>
    <row r="966" spans="1:2" ht="12.75" customHeight="1" x14ac:dyDescent="0.15">
      <c r="A966" s="8"/>
      <c r="B966" s="9"/>
    </row>
    <row r="967" spans="1:2" ht="12.75" customHeight="1" x14ac:dyDescent="0.15">
      <c r="A967" s="8"/>
      <c r="B967" s="9"/>
    </row>
    <row r="968" spans="1:2" ht="12.75" customHeight="1" x14ac:dyDescent="0.15">
      <c r="A968" s="8"/>
      <c r="B968" s="9"/>
    </row>
    <row r="969" spans="1:2" ht="12.75" customHeight="1" x14ac:dyDescent="0.15">
      <c r="A969" s="8"/>
      <c r="B969" s="9"/>
    </row>
    <row r="970" spans="1:2" ht="12.75" customHeight="1" x14ac:dyDescent="0.15">
      <c r="A970" s="8"/>
      <c r="B970" s="9"/>
    </row>
    <row r="971" spans="1:2" ht="12.75" customHeight="1" x14ac:dyDescent="0.15">
      <c r="A971" s="8"/>
      <c r="B971" s="9"/>
    </row>
    <row r="972" spans="1:2" ht="12.75" customHeight="1" x14ac:dyDescent="0.15">
      <c r="A972" s="8"/>
      <c r="B972" s="9"/>
    </row>
    <row r="973" spans="1:2" ht="12.75" customHeight="1" x14ac:dyDescent="0.15">
      <c r="A973" s="8"/>
      <c r="B973" s="9"/>
    </row>
    <row r="974" spans="1:2" ht="12.75" customHeight="1" x14ac:dyDescent="0.15">
      <c r="A974" s="8"/>
      <c r="B974" s="9"/>
    </row>
    <row r="975" spans="1:2" ht="12.75" customHeight="1" x14ac:dyDescent="0.15">
      <c r="A975" s="8"/>
      <c r="B975" s="9"/>
    </row>
    <row r="976" spans="1:2" ht="12.75" customHeight="1" x14ac:dyDescent="0.15">
      <c r="A976" s="8"/>
      <c r="B976" s="9"/>
    </row>
    <row r="977" spans="1:2" ht="12.75" customHeight="1" x14ac:dyDescent="0.15">
      <c r="A977" s="8"/>
      <c r="B977" s="9"/>
    </row>
    <row r="978" spans="1:2" ht="12.75" customHeight="1" x14ac:dyDescent="0.15">
      <c r="A978" s="8"/>
      <c r="B978" s="9"/>
    </row>
    <row r="979" spans="1:2" ht="12.75" customHeight="1" x14ac:dyDescent="0.15">
      <c r="A979" s="8"/>
      <c r="B979" s="9"/>
    </row>
    <row r="980" spans="1:2" ht="12.75" customHeight="1" x14ac:dyDescent="0.15">
      <c r="A980" s="8"/>
      <c r="B980" s="9"/>
    </row>
    <row r="981" spans="1:2" ht="12.75" customHeight="1" x14ac:dyDescent="0.15">
      <c r="A981" s="8"/>
      <c r="B981" s="9"/>
    </row>
    <row r="982" spans="1:2" ht="12.75" customHeight="1" x14ac:dyDescent="0.15">
      <c r="A982" s="8"/>
      <c r="B982" s="9"/>
    </row>
    <row r="983" spans="1:2" ht="12.75" customHeight="1" x14ac:dyDescent="0.15">
      <c r="A983" s="8"/>
      <c r="B983" s="9"/>
    </row>
    <row r="984" spans="1:2" ht="12.75" customHeight="1" x14ac:dyDescent="0.15">
      <c r="A984" s="8"/>
      <c r="B984" s="9"/>
    </row>
    <row r="985" spans="1:2" ht="12.75" customHeight="1" x14ac:dyDescent="0.15">
      <c r="A985" s="8"/>
      <c r="B985" s="9"/>
    </row>
    <row r="986" spans="1:2" ht="12.75" customHeight="1" x14ac:dyDescent="0.15">
      <c r="A986" s="8"/>
      <c r="B986" s="9"/>
    </row>
    <row r="987" spans="1:2" ht="12.75" customHeight="1" x14ac:dyDescent="0.15">
      <c r="A987" s="8"/>
      <c r="B987" s="9"/>
    </row>
    <row r="988" spans="1:2" ht="12.75" customHeight="1" x14ac:dyDescent="0.15">
      <c r="A988" s="8"/>
      <c r="B988" s="9"/>
    </row>
    <row r="989" spans="1:2" ht="12.75" customHeight="1" x14ac:dyDescent="0.15">
      <c r="A989" s="8"/>
      <c r="B989" s="9"/>
    </row>
    <row r="990" spans="1:2" ht="12.75" customHeight="1" x14ac:dyDescent="0.15">
      <c r="A990" s="8"/>
      <c r="B990" s="9"/>
    </row>
    <row r="991" spans="1:2" ht="12.75" customHeight="1" x14ac:dyDescent="0.15">
      <c r="A991" s="8"/>
      <c r="B991" s="9"/>
    </row>
    <row r="992" spans="1:2" ht="12.75" customHeight="1" x14ac:dyDescent="0.15">
      <c r="A992" s="8"/>
      <c r="B992" s="9"/>
    </row>
    <row r="993" spans="1:2" ht="12.75" customHeight="1" x14ac:dyDescent="0.15">
      <c r="A993" s="8"/>
      <c r="B993" s="9"/>
    </row>
    <row r="994" spans="1:2" ht="12.75" customHeight="1" x14ac:dyDescent="0.15">
      <c r="A994" s="8"/>
      <c r="B994" s="9"/>
    </row>
    <row r="995" spans="1:2" ht="12.75" customHeight="1" x14ac:dyDescent="0.15">
      <c r="A995" s="8"/>
      <c r="B995" s="9"/>
    </row>
    <row r="996" spans="1:2" ht="12.75" customHeight="1" x14ac:dyDescent="0.15">
      <c r="A996" s="8"/>
      <c r="B996" s="9"/>
    </row>
    <row r="997" spans="1:2" ht="12.75" customHeight="1" x14ac:dyDescent="0.15">
      <c r="A997" s="8"/>
      <c r="B997" s="9"/>
    </row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  <row r="1007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14"/>
  <sheetViews>
    <sheetView workbookViewId="0"/>
  </sheetViews>
  <sheetFormatPr baseColWidth="10" defaultColWidth="12.6640625" defaultRowHeight="15" customHeight="1" x14ac:dyDescent="0.15"/>
  <cols>
    <col min="1" max="1" width="25.6640625" customWidth="1"/>
    <col min="2" max="2" width="46.16406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2</v>
      </c>
      <c r="D1" s="10" t="s">
        <v>3</v>
      </c>
    </row>
    <row r="2" spans="1:4" ht="12.75" customHeight="1" x14ac:dyDescent="0.15">
      <c r="A2" s="11" t="s">
        <v>4</v>
      </c>
      <c r="B2" s="4" t="s">
        <v>5</v>
      </c>
      <c r="C2" s="4">
        <v>0</v>
      </c>
      <c r="D2" s="12"/>
    </row>
    <row r="3" spans="1:4" ht="12.75" customHeight="1" x14ac:dyDescent="0.15">
      <c r="A3" s="13" t="s">
        <v>4</v>
      </c>
      <c r="B3" s="14" t="s">
        <v>6</v>
      </c>
      <c r="C3" s="14">
        <v>0</v>
      </c>
      <c r="D3" s="15"/>
    </row>
    <row r="4" spans="1:4" ht="12.75" customHeight="1" x14ac:dyDescent="0.15">
      <c r="A4" s="11" t="s">
        <v>7</v>
      </c>
      <c r="B4" s="4" t="s">
        <v>8</v>
      </c>
      <c r="C4" s="4">
        <v>1</v>
      </c>
      <c r="D4" s="12"/>
    </row>
    <row r="5" spans="1:4" ht="12.75" customHeight="1" x14ac:dyDescent="0.15">
      <c r="A5" s="13" t="s">
        <v>9</v>
      </c>
      <c r="B5" s="14" t="s">
        <v>10</v>
      </c>
      <c r="C5" s="14">
        <v>1</v>
      </c>
      <c r="D5" s="15"/>
    </row>
    <row r="6" spans="1:4" ht="12.75" customHeight="1" x14ac:dyDescent="0.15">
      <c r="A6" s="11" t="s">
        <v>11</v>
      </c>
      <c r="B6" s="4" t="s">
        <v>12</v>
      </c>
      <c r="C6" s="4">
        <v>1</v>
      </c>
      <c r="D6" s="12"/>
    </row>
    <row r="7" spans="1:4" ht="12.75" customHeight="1" x14ac:dyDescent="0.15">
      <c r="A7" s="13" t="s">
        <v>13</v>
      </c>
      <c r="B7" s="14" t="s">
        <v>14</v>
      </c>
      <c r="C7" s="14">
        <v>1</v>
      </c>
      <c r="D7" s="15"/>
    </row>
    <row r="8" spans="1:4" ht="12.75" customHeight="1" x14ac:dyDescent="0.15">
      <c r="A8" s="11" t="s">
        <v>11</v>
      </c>
      <c r="B8" s="4" t="s">
        <v>15</v>
      </c>
      <c r="C8" s="4">
        <v>1</v>
      </c>
      <c r="D8" s="12"/>
    </row>
    <row r="9" spans="1:4" ht="12.75" customHeight="1" x14ac:dyDescent="0.15">
      <c r="A9" s="13" t="s">
        <v>4</v>
      </c>
      <c r="B9" s="14" t="s">
        <v>16</v>
      </c>
      <c r="C9" s="14">
        <v>1</v>
      </c>
      <c r="D9" s="15"/>
    </row>
    <row r="10" spans="1:4" ht="12.75" customHeight="1" x14ac:dyDescent="0.15">
      <c r="A10" s="11" t="s">
        <v>4</v>
      </c>
      <c r="B10" s="4" t="s">
        <v>17</v>
      </c>
      <c r="C10" s="4">
        <v>1</v>
      </c>
      <c r="D10" s="12"/>
    </row>
    <row r="11" spans="1:4" ht="12.75" customHeight="1" x14ac:dyDescent="0.15">
      <c r="A11" s="13" t="s">
        <v>9</v>
      </c>
      <c r="B11" s="14" t="s">
        <v>18</v>
      </c>
      <c r="C11" s="14">
        <v>1</v>
      </c>
      <c r="D11" s="15"/>
    </row>
    <row r="12" spans="1:4" ht="12.75" customHeight="1" x14ac:dyDescent="0.15">
      <c r="A12" s="11" t="s">
        <v>9</v>
      </c>
      <c r="B12" s="4" t="s">
        <v>19</v>
      </c>
      <c r="C12" s="4">
        <v>1</v>
      </c>
      <c r="D12" s="12"/>
    </row>
    <row r="13" spans="1:4" ht="12.75" customHeight="1" x14ac:dyDescent="0.15">
      <c r="A13" s="13" t="s">
        <v>7</v>
      </c>
      <c r="B13" s="14" t="s">
        <v>20</v>
      </c>
      <c r="C13" s="14">
        <v>0</v>
      </c>
      <c r="D13" s="15"/>
    </row>
    <row r="14" spans="1:4" ht="12.75" customHeight="1" x14ac:dyDescent="0.15">
      <c r="A14" s="11" t="s">
        <v>21</v>
      </c>
      <c r="B14" s="4" t="s">
        <v>22</v>
      </c>
      <c r="C14" s="4">
        <v>0.5</v>
      </c>
      <c r="D14" s="12"/>
    </row>
    <row r="15" spans="1:4" ht="12.75" customHeight="1" x14ac:dyDescent="0.15">
      <c r="A15" s="13" t="s">
        <v>7</v>
      </c>
      <c r="B15" s="14" t="s">
        <v>23</v>
      </c>
      <c r="C15" s="14">
        <v>0</v>
      </c>
      <c r="D15" s="15"/>
    </row>
    <row r="16" spans="1:4" ht="12.75" customHeight="1" x14ac:dyDescent="0.15">
      <c r="A16" s="11" t="s">
        <v>21</v>
      </c>
      <c r="B16" s="4" t="s">
        <v>24</v>
      </c>
      <c r="C16" s="4">
        <v>0.5</v>
      </c>
      <c r="D16" s="12"/>
    </row>
    <row r="17" spans="1:22" ht="15" customHeight="1" x14ac:dyDescent="0.15">
      <c r="A17" s="13" t="s">
        <v>9</v>
      </c>
      <c r="B17" s="14" t="s">
        <v>25</v>
      </c>
      <c r="C17" s="14">
        <v>1</v>
      </c>
      <c r="D17" s="1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11" t="s">
        <v>4</v>
      </c>
      <c r="B18" s="4" t="s">
        <v>26</v>
      </c>
      <c r="C18" s="4">
        <v>0</v>
      </c>
      <c r="D18" s="12"/>
    </row>
    <row r="19" spans="1:22" ht="12.75" customHeight="1" x14ac:dyDescent="0.15">
      <c r="A19" s="13" t="s">
        <v>9</v>
      </c>
      <c r="B19" s="14" t="s">
        <v>27</v>
      </c>
      <c r="C19" s="14">
        <v>1</v>
      </c>
      <c r="D19" s="15"/>
    </row>
    <row r="20" spans="1:22" ht="12.75" customHeight="1" x14ac:dyDescent="0.15">
      <c r="A20" s="11" t="s">
        <v>7</v>
      </c>
      <c r="B20" s="4" t="s">
        <v>28</v>
      </c>
      <c r="C20" s="4">
        <v>0.5</v>
      </c>
      <c r="D20" s="12"/>
    </row>
    <row r="21" spans="1:22" ht="12.75" customHeight="1" x14ac:dyDescent="0.15">
      <c r="A21" s="13" t="s">
        <v>21</v>
      </c>
      <c r="B21" s="14" t="s">
        <v>29</v>
      </c>
      <c r="C21" s="14">
        <v>0</v>
      </c>
      <c r="D21" s="15"/>
    </row>
    <row r="22" spans="1:22" ht="12.75" customHeight="1" x14ac:dyDescent="0.15">
      <c r="A22" s="11" t="s">
        <v>7</v>
      </c>
      <c r="B22" s="4" t="s">
        <v>30</v>
      </c>
      <c r="C22" s="4">
        <v>0</v>
      </c>
      <c r="D22" s="12"/>
    </row>
    <row r="23" spans="1:22" ht="12.75" customHeight="1" x14ac:dyDescent="0.15">
      <c r="A23" s="13" t="s">
        <v>21</v>
      </c>
      <c r="B23" s="14" t="s">
        <v>31</v>
      </c>
      <c r="C23" s="14">
        <v>1</v>
      </c>
      <c r="D23" s="1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11" t="s">
        <v>7</v>
      </c>
      <c r="B24" s="4" t="s">
        <v>28</v>
      </c>
      <c r="C24" s="4">
        <v>0.5</v>
      </c>
      <c r="D24" s="12"/>
    </row>
    <row r="25" spans="1:22" ht="12.75" customHeight="1" x14ac:dyDescent="0.15">
      <c r="A25" s="13" t="s">
        <v>21</v>
      </c>
      <c r="B25" s="14" t="s">
        <v>32</v>
      </c>
      <c r="C25" s="14">
        <v>1</v>
      </c>
      <c r="D25" s="15"/>
    </row>
    <row r="26" spans="1:22" ht="15" customHeight="1" x14ac:dyDescent="0.15">
      <c r="A26" s="11" t="s">
        <v>7</v>
      </c>
      <c r="B26" s="4" t="s">
        <v>33</v>
      </c>
      <c r="C26" s="4">
        <v>1</v>
      </c>
      <c r="D26" s="12"/>
    </row>
    <row r="27" spans="1:22" ht="12.75" customHeight="1" x14ac:dyDescent="0.15">
      <c r="A27" s="13" t="s">
        <v>21</v>
      </c>
      <c r="B27" s="14" t="s">
        <v>34</v>
      </c>
      <c r="C27" s="14">
        <v>0.5</v>
      </c>
      <c r="D27" s="15"/>
    </row>
    <row r="28" spans="1:22" ht="12.75" customHeight="1" x14ac:dyDescent="0.15">
      <c r="A28" s="11" t="s">
        <v>4</v>
      </c>
      <c r="B28" s="4" t="s">
        <v>35</v>
      </c>
      <c r="C28" s="4">
        <v>0.5</v>
      </c>
      <c r="D28" s="12"/>
    </row>
    <row r="29" spans="1:22" ht="12.75" customHeight="1" x14ac:dyDescent="0.15">
      <c r="A29" s="13" t="s">
        <v>9</v>
      </c>
      <c r="B29" s="14" t="s">
        <v>36</v>
      </c>
      <c r="C29" s="14">
        <v>1</v>
      </c>
      <c r="D29" s="15"/>
    </row>
    <row r="30" spans="1:22" ht="12.75" customHeight="1" x14ac:dyDescent="0.15">
      <c r="A30" s="11" t="s">
        <v>7</v>
      </c>
      <c r="B30" s="4" t="s">
        <v>37</v>
      </c>
      <c r="C30" s="4">
        <v>0.5</v>
      </c>
      <c r="D30" s="12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13" t="s">
        <v>4</v>
      </c>
      <c r="B31" s="14" t="s">
        <v>38</v>
      </c>
      <c r="C31" s="14">
        <v>1</v>
      </c>
      <c r="D31" s="1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11" t="s">
        <v>7</v>
      </c>
      <c r="B32" s="4" t="s">
        <v>39</v>
      </c>
      <c r="C32" s="4">
        <v>0.5</v>
      </c>
      <c r="D32" s="12"/>
    </row>
    <row r="33" spans="1:22" ht="12.75" customHeight="1" x14ac:dyDescent="0.15">
      <c r="A33" s="13" t="s">
        <v>4</v>
      </c>
      <c r="B33" s="14" t="s">
        <v>40</v>
      </c>
      <c r="C33" s="14">
        <v>0.5</v>
      </c>
      <c r="D33" s="15"/>
    </row>
    <row r="34" spans="1:22" ht="12.75" customHeight="1" x14ac:dyDescent="0.15">
      <c r="A34" s="11" t="s">
        <v>9</v>
      </c>
      <c r="B34" s="4" t="s">
        <v>36</v>
      </c>
      <c r="C34" s="4">
        <v>1</v>
      </c>
      <c r="D34" s="12"/>
    </row>
    <row r="35" spans="1:22" ht="12.75" customHeight="1" x14ac:dyDescent="0.15">
      <c r="A35" s="13" t="s">
        <v>7</v>
      </c>
      <c r="B35" s="14" t="s">
        <v>41</v>
      </c>
      <c r="C35" s="14">
        <v>0</v>
      </c>
      <c r="D35" s="15"/>
    </row>
    <row r="36" spans="1:22" ht="12.75" customHeight="1" x14ac:dyDescent="0.15">
      <c r="A36" s="11" t="s">
        <v>42</v>
      </c>
      <c r="B36" s="4" t="s">
        <v>43</v>
      </c>
      <c r="C36" s="4">
        <v>0</v>
      </c>
      <c r="D36" s="12"/>
    </row>
    <row r="37" spans="1:22" ht="12.75" customHeight="1" x14ac:dyDescent="0.15">
      <c r="A37" s="11" t="s">
        <v>4</v>
      </c>
      <c r="B37" s="4" t="s">
        <v>44</v>
      </c>
      <c r="C37" s="4">
        <v>0</v>
      </c>
      <c r="D37" s="12"/>
    </row>
    <row r="38" spans="1:22" ht="15" customHeight="1" x14ac:dyDescent="0.15">
      <c r="A38" s="13" t="s">
        <v>7</v>
      </c>
      <c r="B38" s="14" t="s">
        <v>45</v>
      </c>
      <c r="C38" s="14">
        <v>0</v>
      </c>
      <c r="D38" s="1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11" t="s">
        <v>9</v>
      </c>
      <c r="B39" s="4" t="s">
        <v>46</v>
      </c>
      <c r="C39" s="4">
        <v>1</v>
      </c>
      <c r="D39" s="12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13" t="s">
        <v>7</v>
      </c>
      <c r="B40" s="14" t="s">
        <v>47</v>
      </c>
      <c r="C40" s="14">
        <v>0</v>
      </c>
      <c r="D40" s="1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11" t="s">
        <v>13</v>
      </c>
      <c r="B41" s="4" t="s">
        <v>48</v>
      </c>
      <c r="C41" s="4">
        <v>1</v>
      </c>
      <c r="D41" s="12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13" t="s">
        <v>4</v>
      </c>
      <c r="B42" s="14" t="s">
        <v>49</v>
      </c>
      <c r="C42" s="14">
        <v>1</v>
      </c>
      <c r="D42" s="1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11" t="s">
        <v>4</v>
      </c>
      <c r="B43" s="4" t="s">
        <v>50</v>
      </c>
      <c r="C43" s="4">
        <v>1</v>
      </c>
      <c r="D43" s="12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3" t="s">
        <v>7</v>
      </c>
      <c r="B44" s="14" t="s">
        <v>51</v>
      </c>
      <c r="C44" s="14">
        <v>1</v>
      </c>
      <c r="D44" s="1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11" t="s">
        <v>21</v>
      </c>
      <c r="B45" s="4" t="s">
        <v>52</v>
      </c>
      <c r="C45" s="4">
        <v>1</v>
      </c>
      <c r="D45" s="12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13" t="s">
        <v>9</v>
      </c>
      <c r="B46" s="14" t="s">
        <v>53</v>
      </c>
      <c r="C46" s="14">
        <v>0.5</v>
      </c>
      <c r="D46" s="1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11" t="s">
        <v>7</v>
      </c>
      <c r="B47" s="4" t="s">
        <v>51</v>
      </c>
      <c r="C47" s="4">
        <v>1</v>
      </c>
      <c r="D47" s="12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2.75" customHeight="1" x14ac:dyDescent="0.15">
      <c r="A48" s="13" t="s">
        <v>21</v>
      </c>
      <c r="B48" s="14" t="s">
        <v>54</v>
      </c>
      <c r="C48" s="14">
        <v>1</v>
      </c>
      <c r="D48" s="15"/>
    </row>
    <row r="49" spans="1:4" ht="12.75" customHeight="1" x14ac:dyDescent="0.15">
      <c r="A49" s="11" t="s">
        <v>13</v>
      </c>
      <c r="B49" s="4" t="s">
        <v>55</v>
      </c>
      <c r="C49" s="4">
        <v>1</v>
      </c>
      <c r="D49" s="12"/>
    </row>
    <row r="50" spans="1:4" ht="12.75" customHeight="1" x14ac:dyDescent="0.15">
      <c r="A50" s="13" t="s">
        <v>4</v>
      </c>
      <c r="B50" s="14" t="s">
        <v>56</v>
      </c>
      <c r="C50" s="14">
        <v>0.5</v>
      </c>
      <c r="D50" s="15"/>
    </row>
    <row r="51" spans="1:4" ht="12.75" customHeight="1" x14ac:dyDescent="0.15">
      <c r="A51" s="11" t="s">
        <v>4</v>
      </c>
      <c r="B51" s="4" t="s">
        <v>57</v>
      </c>
      <c r="C51" s="4">
        <v>1</v>
      </c>
      <c r="D51" s="12"/>
    </row>
    <row r="52" spans="1:4" ht="12.75" customHeight="1" x14ac:dyDescent="0.15">
      <c r="A52" s="13" t="s">
        <v>7</v>
      </c>
      <c r="B52" s="14" t="s">
        <v>58</v>
      </c>
      <c r="C52" s="14">
        <v>0.5</v>
      </c>
      <c r="D52" s="15"/>
    </row>
    <row r="53" spans="1:4" ht="12.75" customHeight="1" x14ac:dyDescent="0.15">
      <c r="A53" s="11" t="s">
        <v>21</v>
      </c>
      <c r="B53" s="4" t="s">
        <v>59</v>
      </c>
      <c r="C53" s="16">
        <v>0</v>
      </c>
      <c r="D53" s="12"/>
    </row>
    <row r="54" spans="1:4" ht="12.75" customHeight="1" x14ac:dyDescent="0.15">
      <c r="A54" s="13" t="s">
        <v>7</v>
      </c>
      <c r="B54" s="14" t="s">
        <v>60</v>
      </c>
      <c r="C54" s="14">
        <v>0.5</v>
      </c>
      <c r="D54" s="15"/>
    </row>
    <row r="55" spans="1:4" ht="12.75" customHeight="1" x14ac:dyDescent="0.15">
      <c r="A55" s="11" t="s">
        <v>21</v>
      </c>
      <c r="B55" s="4" t="s">
        <v>61</v>
      </c>
      <c r="C55" s="4">
        <v>0</v>
      </c>
      <c r="D55" s="12"/>
    </row>
    <row r="56" spans="1:4" ht="12.75" customHeight="1" x14ac:dyDescent="0.15">
      <c r="A56" s="13" t="s">
        <v>9</v>
      </c>
      <c r="B56" s="14" t="s">
        <v>62</v>
      </c>
      <c r="C56" s="14">
        <v>0</v>
      </c>
      <c r="D56" s="15"/>
    </row>
    <row r="57" spans="1:4" ht="12.75" customHeight="1" x14ac:dyDescent="0.15">
      <c r="A57" s="13" t="s">
        <v>4</v>
      </c>
      <c r="B57" s="14" t="s">
        <v>63</v>
      </c>
      <c r="C57" s="4">
        <v>0.5</v>
      </c>
      <c r="D57" s="12"/>
    </row>
    <row r="58" spans="1:4" ht="12.75" customHeight="1" x14ac:dyDescent="0.15">
      <c r="A58" s="13" t="s">
        <v>7</v>
      </c>
      <c r="B58" s="14" t="s">
        <v>64</v>
      </c>
      <c r="C58" s="14">
        <v>0.5</v>
      </c>
      <c r="D58" s="15"/>
    </row>
    <row r="59" spans="1:4" ht="12.75" customHeight="1" x14ac:dyDescent="0.15">
      <c r="A59" s="13" t="s">
        <v>21</v>
      </c>
      <c r="B59" s="14" t="s">
        <v>61</v>
      </c>
      <c r="C59" s="4">
        <v>0</v>
      </c>
      <c r="D59" s="12"/>
    </row>
    <row r="60" spans="1:4" ht="12.75" customHeight="1" x14ac:dyDescent="0.15">
      <c r="A60" s="13" t="s">
        <v>9</v>
      </c>
      <c r="B60" s="14" t="s">
        <v>62</v>
      </c>
      <c r="C60" s="14">
        <v>0</v>
      </c>
      <c r="D60" s="15"/>
    </row>
    <row r="61" spans="1:4" ht="12.75" customHeight="1" x14ac:dyDescent="0.15">
      <c r="A61" s="17" t="s">
        <v>7</v>
      </c>
      <c r="B61" s="18" t="s">
        <v>65</v>
      </c>
      <c r="C61" s="18">
        <v>0.5</v>
      </c>
      <c r="D61" s="19"/>
    </row>
    <row r="62" spans="1:4" ht="12.75" customHeight="1" x14ac:dyDescent="0.15">
      <c r="A62" s="17" t="s">
        <v>21</v>
      </c>
      <c r="B62" s="18" t="s">
        <v>59</v>
      </c>
      <c r="C62" s="18">
        <v>0</v>
      </c>
      <c r="D62" s="19"/>
    </row>
    <row r="63" spans="1:4" ht="12.75" customHeight="1" x14ac:dyDescent="0.15">
      <c r="A63" s="17" t="s">
        <v>13</v>
      </c>
      <c r="B63" s="18" t="s">
        <v>66</v>
      </c>
      <c r="C63" s="18">
        <v>1</v>
      </c>
      <c r="D63" s="19"/>
    </row>
    <row r="64" spans="1:4" ht="12.75" customHeight="1" x14ac:dyDescent="0.15">
      <c r="A64" s="17" t="s">
        <v>4</v>
      </c>
      <c r="B64" s="18" t="s">
        <v>67</v>
      </c>
      <c r="C64" s="18">
        <v>1</v>
      </c>
      <c r="D64" s="19"/>
    </row>
    <row r="65" spans="1:4" ht="12.75" customHeight="1" x14ac:dyDescent="0.15">
      <c r="A65" s="17" t="s">
        <v>4</v>
      </c>
      <c r="B65" s="18" t="s">
        <v>68</v>
      </c>
      <c r="C65" s="18">
        <v>1</v>
      </c>
      <c r="D65" s="19"/>
    </row>
    <row r="66" spans="1:4" ht="12.75" customHeight="1" x14ac:dyDescent="0.15">
      <c r="A66" s="17" t="s">
        <v>7</v>
      </c>
      <c r="B66" s="18" t="s">
        <v>69</v>
      </c>
      <c r="C66" s="18">
        <v>1</v>
      </c>
      <c r="D66" s="19"/>
    </row>
    <row r="67" spans="1:4" ht="12.75" customHeight="1" x14ac:dyDescent="0.15">
      <c r="A67" s="17" t="s">
        <v>21</v>
      </c>
      <c r="B67" s="18" t="s">
        <v>70</v>
      </c>
      <c r="C67" s="18">
        <v>1</v>
      </c>
      <c r="D67" s="19"/>
    </row>
    <row r="68" spans="1:4" ht="12.75" customHeight="1" x14ac:dyDescent="0.15">
      <c r="A68" s="17" t="s">
        <v>9</v>
      </c>
      <c r="B68" s="18" t="s">
        <v>71</v>
      </c>
      <c r="C68" s="18">
        <v>0</v>
      </c>
      <c r="D68" s="19"/>
    </row>
    <row r="69" spans="1:4" ht="12.75" customHeight="1" x14ac:dyDescent="0.15">
      <c r="A69" s="17" t="s">
        <v>7</v>
      </c>
      <c r="B69" s="18" t="s">
        <v>69</v>
      </c>
      <c r="C69" s="18">
        <v>1</v>
      </c>
      <c r="D69" s="19"/>
    </row>
    <row r="70" spans="1:4" ht="12.75" customHeight="1" x14ac:dyDescent="0.15">
      <c r="A70" s="17" t="s">
        <v>21</v>
      </c>
      <c r="B70" s="18" t="s">
        <v>72</v>
      </c>
      <c r="C70" s="18">
        <v>1</v>
      </c>
      <c r="D70" s="19"/>
    </row>
    <row r="71" spans="1:4" ht="12.75" customHeight="1" x14ac:dyDescent="0.15">
      <c r="A71" s="17" t="s">
        <v>4</v>
      </c>
      <c r="B71" s="18" t="s">
        <v>73</v>
      </c>
      <c r="C71" s="18">
        <v>0</v>
      </c>
      <c r="D71" s="19"/>
    </row>
    <row r="72" spans="1:4" ht="12.75" customHeight="1" x14ac:dyDescent="0.15">
      <c r="A72" s="20" t="s">
        <v>4</v>
      </c>
      <c r="B72" s="7" t="s">
        <v>74</v>
      </c>
      <c r="C72" s="7">
        <v>0</v>
      </c>
      <c r="D72" s="21"/>
    </row>
    <row r="73" spans="1:4" ht="12.75" customHeight="1" x14ac:dyDescent="0.15">
      <c r="A73" s="13" t="s">
        <v>7</v>
      </c>
      <c r="B73" s="14" t="s">
        <v>74</v>
      </c>
      <c r="C73" s="14">
        <v>0</v>
      </c>
      <c r="D73" s="15"/>
    </row>
    <row r="74" spans="1:4" ht="12.75" customHeight="1" x14ac:dyDescent="0.15">
      <c r="A74" s="11" t="s">
        <v>21</v>
      </c>
      <c r="B74" s="4" t="s">
        <v>74</v>
      </c>
      <c r="C74" s="4">
        <v>0</v>
      </c>
      <c r="D74" s="12"/>
    </row>
    <row r="75" spans="1:4" ht="12.75" customHeight="1" x14ac:dyDescent="0.15">
      <c r="A75" s="13" t="s">
        <v>9</v>
      </c>
      <c r="B75" s="14" t="s">
        <v>74</v>
      </c>
      <c r="C75" s="4">
        <v>0</v>
      </c>
      <c r="D75" s="12"/>
    </row>
    <row r="76" spans="1:4" ht="12.75" customHeight="1" x14ac:dyDescent="0.15">
      <c r="A76" s="11" t="s">
        <v>11</v>
      </c>
      <c r="B76" s="4" t="s">
        <v>74</v>
      </c>
      <c r="C76" s="4">
        <v>0</v>
      </c>
      <c r="D76" s="12"/>
    </row>
    <row r="77" spans="1:4" ht="12.75" customHeight="1" x14ac:dyDescent="0.15">
      <c r="A77" s="13" t="s">
        <v>13</v>
      </c>
      <c r="B77" s="14" t="s">
        <v>74</v>
      </c>
      <c r="C77" s="4">
        <v>0</v>
      </c>
      <c r="D77" s="12"/>
    </row>
    <row r="78" spans="1:4" ht="12.75" customHeight="1" x14ac:dyDescent="0.15">
      <c r="A78" s="11" t="s">
        <v>42</v>
      </c>
      <c r="B78" s="4" t="s">
        <v>74</v>
      </c>
      <c r="C78" s="4">
        <v>0</v>
      </c>
      <c r="D78" s="12"/>
    </row>
    <row r="79" spans="1:4" ht="12.75" customHeight="1" x14ac:dyDescent="0.15">
      <c r="A79" s="8"/>
      <c r="B79" s="9"/>
      <c r="C79" s="16"/>
    </row>
    <row r="80" spans="1:4" ht="12.75" customHeight="1" x14ac:dyDescent="0.15">
      <c r="A80" s="8"/>
      <c r="B80" s="9"/>
      <c r="C80" s="16"/>
    </row>
    <row r="81" spans="1:3" ht="12.75" customHeight="1" x14ac:dyDescent="0.15">
      <c r="A81" s="8"/>
      <c r="B81" s="9"/>
      <c r="C81" s="16"/>
    </row>
    <row r="82" spans="1:3" ht="12.75" customHeight="1" x14ac:dyDescent="0.15">
      <c r="A82" s="8"/>
      <c r="B82" s="9"/>
      <c r="C82" s="16"/>
    </row>
    <row r="83" spans="1:3" ht="12.75" customHeight="1" x14ac:dyDescent="0.15">
      <c r="A83" s="8"/>
      <c r="B83" s="9"/>
      <c r="C83" s="16"/>
    </row>
    <row r="84" spans="1:3" ht="12.75" customHeight="1" x14ac:dyDescent="0.15">
      <c r="A84" s="8"/>
      <c r="B84" s="9"/>
      <c r="C84" s="16"/>
    </row>
    <row r="85" spans="1:3" ht="12.75" customHeight="1" x14ac:dyDescent="0.15">
      <c r="A85" s="8"/>
      <c r="B85" s="9"/>
      <c r="C85" s="16"/>
    </row>
    <row r="86" spans="1:3" ht="12.75" customHeight="1" x14ac:dyDescent="0.15">
      <c r="A86" s="8"/>
      <c r="B86" s="9"/>
      <c r="C86" s="16"/>
    </row>
    <row r="87" spans="1:3" ht="12.75" customHeight="1" x14ac:dyDescent="0.15">
      <c r="A87" s="8"/>
      <c r="B87" s="9"/>
      <c r="C87" s="16"/>
    </row>
    <row r="88" spans="1:3" ht="12.75" customHeight="1" x14ac:dyDescent="0.15">
      <c r="A88" s="8"/>
      <c r="B88" s="9"/>
      <c r="C88" s="16"/>
    </row>
    <row r="89" spans="1:3" ht="12.75" customHeight="1" x14ac:dyDescent="0.15">
      <c r="A89" s="8"/>
      <c r="B89" s="9"/>
      <c r="C89" s="16"/>
    </row>
    <row r="90" spans="1:3" ht="12.75" customHeight="1" x14ac:dyDescent="0.15">
      <c r="A90" s="8"/>
      <c r="B90" s="9"/>
      <c r="C90" s="16"/>
    </row>
    <row r="91" spans="1:3" ht="12.75" customHeight="1" x14ac:dyDescent="0.15">
      <c r="A91" s="8"/>
      <c r="B91" s="9"/>
      <c r="C91" s="16"/>
    </row>
    <row r="92" spans="1:3" ht="12.75" customHeight="1" x14ac:dyDescent="0.15">
      <c r="A92" s="8"/>
      <c r="B92" s="9"/>
      <c r="C92" s="16"/>
    </row>
    <row r="93" spans="1:3" ht="12.75" customHeight="1" x14ac:dyDescent="0.15">
      <c r="A93" s="8"/>
      <c r="B93" s="9"/>
      <c r="C93" s="16"/>
    </row>
    <row r="94" spans="1:3" ht="12.75" customHeight="1" x14ac:dyDescent="0.15">
      <c r="A94" s="8"/>
      <c r="B94" s="9"/>
      <c r="C94" s="16"/>
    </row>
    <row r="95" spans="1:3" ht="12.75" customHeight="1" x14ac:dyDescent="0.15">
      <c r="A95" s="8"/>
      <c r="B95" s="9"/>
      <c r="C95" s="16"/>
    </row>
    <row r="96" spans="1:3" ht="12.75" customHeight="1" x14ac:dyDescent="0.15">
      <c r="A96" s="8"/>
      <c r="B96" s="9"/>
      <c r="C96" s="16"/>
    </row>
    <row r="97" spans="1:3" ht="12.75" customHeight="1" x14ac:dyDescent="0.15">
      <c r="A97" s="8"/>
      <c r="B97" s="9"/>
      <c r="C97" s="16"/>
    </row>
    <row r="98" spans="1:3" ht="12.75" customHeight="1" x14ac:dyDescent="0.15">
      <c r="A98" s="8"/>
      <c r="B98" s="9"/>
      <c r="C98" s="16"/>
    </row>
    <row r="99" spans="1:3" ht="12.75" customHeight="1" x14ac:dyDescent="0.15">
      <c r="A99" s="8"/>
      <c r="B99" s="9"/>
      <c r="C99" s="16"/>
    </row>
    <row r="100" spans="1:3" ht="12.75" customHeight="1" x14ac:dyDescent="0.15">
      <c r="A100" s="8"/>
      <c r="B100" s="9"/>
      <c r="C100" s="16"/>
    </row>
    <row r="101" spans="1:3" ht="12.75" customHeight="1" x14ac:dyDescent="0.15">
      <c r="A101" s="8"/>
      <c r="B101" s="9"/>
      <c r="C101" s="16"/>
    </row>
    <row r="102" spans="1:3" ht="12.75" customHeight="1" x14ac:dyDescent="0.15">
      <c r="A102" s="8"/>
      <c r="B102" s="9"/>
      <c r="C102" s="16"/>
    </row>
    <row r="103" spans="1:3" ht="12.75" customHeight="1" x14ac:dyDescent="0.15">
      <c r="A103" s="8"/>
      <c r="B103" s="9"/>
      <c r="C103" s="16"/>
    </row>
    <row r="104" spans="1:3" ht="12.75" customHeight="1" x14ac:dyDescent="0.15">
      <c r="A104" s="8"/>
      <c r="B104" s="9"/>
      <c r="C104" s="16"/>
    </row>
    <row r="105" spans="1:3" ht="12.75" customHeight="1" x14ac:dyDescent="0.15">
      <c r="A105" s="8"/>
      <c r="B105" s="9"/>
      <c r="C105" s="16"/>
    </row>
    <row r="106" spans="1:3" ht="12.75" customHeight="1" x14ac:dyDescent="0.15">
      <c r="A106" s="8"/>
      <c r="B106" s="9"/>
      <c r="C106" s="16"/>
    </row>
    <row r="107" spans="1:3" ht="12.75" customHeight="1" x14ac:dyDescent="0.15">
      <c r="A107" s="8"/>
      <c r="B107" s="9"/>
      <c r="C107" s="16"/>
    </row>
    <row r="108" spans="1:3" ht="12.75" customHeight="1" x14ac:dyDescent="0.15">
      <c r="A108" s="8"/>
      <c r="B108" s="9"/>
      <c r="C108" s="16"/>
    </row>
    <row r="109" spans="1:3" ht="12.75" customHeight="1" x14ac:dyDescent="0.15">
      <c r="A109" s="8"/>
      <c r="B109" s="9"/>
      <c r="C109" s="16"/>
    </row>
    <row r="110" spans="1:3" ht="12.75" customHeight="1" x14ac:dyDescent="0.15">
      <c r="A110" s="8"/>
      <c r="B110" s="9"/>
      <c r="C110" s="16"/>
    </row>
    <row r="111" spans="1:3" ht="12.75" customHeight="1" x14ac:dyDescent="0.15">
      <c r="A111" s="8"/>
      <c r="B111" s="9"/>
      <c r="C111" s="16"/>
    </row>
    <row r="112" spans="1:3" ht="12.75" customHeight="1" x14ac:dyDescent="0.15">
      <c r="A112" s="8"/>
      <c r="B112" s="9"/>
      <c r="C112" s="16"/>
    </row>
    <row r="113" spans="1:3" ht="12.75" customHeight="1" x14ac:dyDescent="0.15">
      <c r="A113" s="8"/>
      <c r="B113" s="9"/>
      <c r="C113" s="16"/>
    </row>
    <row r="114" spans="1:3" ht="12.75" customHeight="1" x14ac:dyDescent="0.15">
      <c r="A114" s="8"/>
      <c r="B114" s="9"/>
      <c r="C114" s="16"/>
    </row>
    <row r="115" spans="1:3" ht="12.75" customHeight="1" x14ac:dyDescent="0.15">
      <c r="A115" s="8"/>
      <c r="B115" s="9"/>
      <c r="C115" s="16"/>
    </row>
    <row r="116" spans="1:3" ht="12.75" customHeight="1" x14ac:dyDescent="0.15">
      <c r="A116" s="8"/>
      <c r="B116" s="9"/>
      <c r="C116" s="16"/>
    </row>
    <row r="117" spans="1:3" ht="12.75" customHeight="1" x14ac:dyDescent="0.15">
      <c r="A117" s="8"/>
      <c r="B117" s="9"/>
      <c r="C117" s="16"/>
    </row>
    <row r="118" spans="1:3" ht="12.75" customHeight="1" x14ac:dyDescent="0.15">
      <c r="A118" s="8"/>
      <c r="B118" s="9"/>
      <c r="C118" s="16"/>
    </row>
    <row r="119" spans="1:3" ht="12.75" customHeight="1" x14ac:dyDescent="0.15">
      <c r="A119" s="8"/>
      <c r="B119" s="9"/>
      <c r="C119" s="16"/>
    </row>
    <row r="120" spans="1:3" ht="12.75" customHeight="1" x14ac:dyDescent="0.15">
      <c r="A120" s="8"/>
      <c r="B120" s="9"/>
      <c r="C120" s="16"/>
    </row>
    <row r="121" spans="1:3" ht="12.75" customHeight="1" x14ac:dyDescent="0.15">
      <c r="A121" s="8"/>
      <c r="B121" s="9"/>
      <c r="C121" s="16"/>
    </row>
    <row r="122" spans="1:3" ht="12.75" customHeight="1" x14ac:dyDescent="0.15">
      <c r="A122" s="8"/>
      <c r="B122" s="9"/>
      <c r="C122" s="16"/>
    </row>
    <row r="123" spans="1:3" ht="12.75" customHeight="1" x14ac:dyDescent="0.15">
      <c r="A123" s="8"/>
      <c r="B123" s="9"/>
      <c r="C123" s="16"/>
    </row>
    <row r="124" spans="1:3" ht="12.75" customHeight="1" x14ac:dyDescent="0.15">
      <c r="A124" s="8"/>
      <c r="B124" s="9"/>
      <c r="C124" s="16"/>
    </row>
    <row r="125" spans="1:3" ht="12.75" customHeight="1" x14ac:dyDescent="0.15">
      <c r="A125" s="8"/>
      <c r="B125" s="9"/>
      <c r="C125" s="16"/>
    </row>
    <row r="126" spans="1:3" ht="12.75" customHeight="1" x14ac:dyDescent="0.15">
      <c r="A126" s="8"/>
      <c r="B126" s="9"/>
      <c r="C126" s="16"/>
    </row>
    <row r="127" spans="1:3" ht="12.75" customHeight="1" x14ac:dyDescent="0.15">
      <c r="A127" s="8"/>
      <c r="B127" s="9"/>
      <c r="C127" s="16"/>
    </row>
    <row r="128" spans="1:3" ht="12.75" customHeight="1" x14ac:dyDescent="0.15">
      <c r="A128" s="8"/>
      <c r="B128" s="9"/>
      <c r="C128" s="16"/>
    </row>
    <row r="129" spans="1:3" ht="12.75" customHeight="1" x14ac:dyDescent="0.15">
      <c r="A129" s="8"/>
      <c r="B129" s="9"/>
      <c r="C129" s="16"/>
    </row>
    <row r="130" spans="1:3" ht="12.75" customHeight="1" x14ac:dyDescent="0.15">
      <c r="A130" s="8"/>
      <c r="B130" s="9"/>
      <c r="C130" s="16"/>
    </row>
    <row r="131" spans="1:3" ht="12.75" customHeight="1" x14ac:dyDescent="0.15">
      <c r="A131" s="8"/>
      <c r="B131" s="9"/>
      <c r="C131" s="16"/>
    </row>
    <row r="132" spans="1:3" ht="12.75" customHeight="1" x14ac:dyDescent="0.15">
      <c r="A132" s="8"/>
      <c r="B132" s="9"/>
      <c r="C132" s="16"/>
    </row>
    <row r="133" spans="1:3" ht="12.75" customHeight="1" x14ac:dyDescent="0.15">
      <c r="A133" s="8"/>
      <c r="B133" s="9"/>
      <c r="C133" s="16"/>
    </row>
    <row r="134" spans="1:3" ht="12.75" customHeight="1" x14ac:dyDescent="0.15">
      <c r="A134" s="8"/>
      <c r="B134" s="9"/>
      <c r="C134" s="16"/>
    </row>
    <row r="135" spans="1:3" ht="12.75" customHeight="1" x14ac:dyDescent="0.15">
      <c r="A135" s="8"/>
      <c r="B135" s="9"/>
      <c r="C135" s="16"/>
    </row>
    <row r="136" spans="1:3" ht="12.75" customHeight="1" x14ac:dyDescent="0.15">
      <c r="A136" s="8"/>
      <c r="B136" s="9"/>
      <c r="C136" s="16"/>
    </row>
    <row r="137" spans="1:3" ht="12.75" customHeight="1" x14ac:dyDescent="0.15">
      <c r="A137" s="8"/>
      <c r="B137" s="9"/>
      <c r="C137" s="16"/>
    </row>
    <row r="138" spans="1:3" ht="12.75" customHeight="1" x14ac:dyDescent="0.15">
      <c r="A138" s="8"/>
      <c r="B138" s="9"/>
      <c r="C138" s="16"/>
    </row>
    <row r="139" spans="1:3" ht="12.75" customHeight="1" x14ac:dyDescent="0.15">
      <c r="A139" s="8"/>
      <c r="B139" s="9"/>
      <c r="C139" s="16"/>
    </row>
    <row r="140" spans="1:3" ht="12.75" customHeight="1" x14ac:dyDescent="0.15">
      <c r="A140" s="8"/>
      <c r="B140" s="9"/>
      <c r="C140" s="16"/>
    </row>
    <row r="141" spans="1:3" ht="12.75" customHeight="1" x14ac:dyDescent="0.15">
      <c r="A141" s="8"/>
      <c r="B141" s="9"/>
      <c r="C141" s="16"/>
    </row>
    <row r="142" spans="1:3" ht="12.75" customHeight="1" x14ac:dyDescent="0.15">
      <c r="A142" s="8"/>
      <c r="B142" s="9"/>
      <c r="C142" s="16"/>
    </row>
    <row r="143" spans="1:3" ht="12.75" customHeight="1" x14ac:dyDescent="0.15">
      <c r="A143" s="8"/>
      <c r="B143" s="9"/>
      <c r="C143" s="16"/>
    </row>
    <row r="144" spans="1:3" ht="12.75" customHeight="1" x14ac:dyDescent="0.15">
      <c r="A144" s="8"/>
      <c r="B144" s="9"/>
      <c r="C144" s="16"/>
    </row>
    <row r="145" spans="1:3" ht="12.75" customHeight="1" x14ac:dyDescent="0.15">
      <c r="A145" s="8"/>
      <c r="B145" s="9"/>
      <c r="C145" s="16"/>
    </row>
    <row r="146" spans="1:3" ht="12.75" customHeight="1" x14ac:dyDescent="0.15">
      <c r="A146" s="8"/>
      <c r="B146" s="9"/>
      <c r="C146" s="16"/>
    </row>
    <row r="147" spans="1:3" ht="12.75" customHeight="1" x14ac:dyDescent="0.15">
      <c r="A147" s="8"/>
      <c r="B147" s="9"/>
      <c r="C147" s="16"/>
    </row>
    <row r="148" spans="1:3" ht="12.75" customHeight="1" x14ac:dyDescent="0.15">
      <c r="A148" s="8"/>
      <c r="B148" s="9"/>
      <c r="C148" s="16"/>
    </row>
    <row r="149" spans="1:3" ht="12.75" customHeight="1" x14ac:dyDescent="0.15">
      <c r="A149" s="8"/>
      <c r="B149" s="9"/>
      <c r="C149" s="16"/>
    </row>
    <row r="150" spans="1:3" ht="12.75" customHeight="1" x14ac:dyDescent="0.15">
      <c r="A150" s="8"/>
      <c r="B150" s="9"/>
      <c r="C150" s="16"/>
    </row>
    <row r="151" spans="1:3" ht="12.75" customHeight="1" x14ac:dyDescent="0.15">
      <c r="A151" s="8"/>
      <c r="B151" s="9"/>
      <c r="C151" s="16"/>
    </row>
    <row r="152" spans="1:3" ht="12.75" customHeight="1" x14ac:dyDescent="0.15">
      <c r="A152" s="8"/>
      <c r="B152" s="9"/>
      <c r="C152" s="16"/>
    </row>
    <row r="153" spans="1:3" ht="12.75" customHeight="1" x14ac:dyDescent="0.15">
      <c r="A153" s="8"/>
      <c r="B153" s="9"/>
      <c r="C153" s="16"/>
    </row>
    <row r="154" spans="1:3" ht="12.75" customHeight="1" x14ac:dyDescent="0.15">
      <c r="A154" s="8"/>
      <c r="B154" s="9"/>
      <c r="C154" s="16"/>
    </row>
    <row r="155" spans="1:3" ht="12.75" customHeight="1" x14ac:dyDescent="0.15">
      <c r="A155" s="8"/>
      <c r="B155" s="9"/>
      <c r="C155" s="16"/>
    </row>
    <row r="156" spans="1:3" ht="12.75" customHeight="1" x14ac:dyDescent="0.15">
      <c r="A156" s="8"/>
      <c r="B156" s="9"/>
      <c r="C156" s="16"/>
    </row>
    <row r="157" spans="1:3" ht="12.75" customHeight="1" x14ac:dyDescent="0.15">
      <c r="A157" s="8"/>
      <c r="B157" s="9"/>
      <c r="C157" s="16"/>
    </row>
    <row r="158" spans="1:3" ht="12.75" customHeight="1" x14ac:dyDescent="0.15">
      <c r="A158" s="8"/>
      <c r="B158" s="9"/>
      <c r="C158" s="16"/>
    </row>
    <row r="159" spans="1:3" ht="12.75" customHeight="1" x14ac:dyDescent="0.15">
      <c r="A159" s="8"/>
      <c r="B159" s="9"/>
      <c r="C159" s="16"/>
    </row>
    <row r="160" spans="1:3" ht="12.75" customHeight="1" x14ac:dyDescent="0.15">
      <c r="A160" s="8"/>
      <c r="B160" s="9"/>
      <c r="C160" s="16"/>
    </row>
    <row r="161" spans="1:3" ht="12.75" customHeight="1" x14ac:dyDescent="0.15">
      <c r="A161" s="8"/>
      <c r="B161" s="9"/>
      <c r="C161" s="16"/>
    </row>
    <row r="162" spans="1:3" ht="12.75" customHeight="1" x14ac:dyDescent="0.15">
      <c r="A162" s="8"/>
      <c r="B162" s="9"/>
      <c r="C162" s="16"/>
    </row>
    <row r="163" spans="1:3" ht="12.75" customHeight="1" x14ac:dyDescent="0.15">
      <c r="A163" s="8"/>
      <c r="B163" s="9"/>
      <c r="C163" s="16"/>
    </row>
    <row r="164" spans="1:3" ht="12.75" customHeight="1" x14ac:dyDescent="0.15">
      <c r="A164" s="8"/>
      <c r="B164" s="9"/>
      <c r="C164" s="16"/>
    </row>
    <row r="165" spans="1:3" ht="12.75" customHeight="1" x14ac:dyDescent="0.15">
      <c r="A165" s="8"/>
      <c r="B165" s="9"/>
      <c r="C165" s="16"/>
    </row>
    <row r="166" spans="1:3" ht="12.75" customHeight="1" x14ac:dyDescent="0.15">
      <c r="A166" s="8"/>
      <c r="B166" s="9"/>
      <c r="C166" s="16"/>
    </row>
    <row r="167" spans="1:3" ht="12.75" customHeight="1" x14ac:dyDescent="0.15">
      <c r="A167" s="8"/>
      <c r="B167" s="9"/>
      <c r="C167" s="16"/>
    </row>
    <row r="168" spans="1:3" ht="12.75" customHeight="1" x14ac:dyDescent="0.15">
      <c r="A168" s="8"/>
      <c r="B168" s="9"/>
      <c r="C168" s="16"/>
    </row>
    <row r="169" spans="1:3" ht="12.75" customHeight="1" x14ac:dyDescent="0.15">
      <c r="A169" s="8"/>
      <c r="B169" s="9"/>
      <c r="C169" s="16"/>
    </row>
    <row r="170" spans="1:3" ht="12.75" customHeight="1" x14ac:dyDescent="0.15">
      <c r="A170" s="8"/>
      <c r="B170" s="9"/>
      <c r="C170" s="16"/>
    </row>
    <row r="171" spans="1:3" ht="12.75" customHeight="1" x14ac:dyDescent="0.15">
      <c r="A171" s="8"/>
      <c r="B171" s="9"/>
      <c r="C171" s="16"/>
    </row>
    <row r="172" spans="1:3" ht="12.75" customHeight="1" x14ac:dyDescent="0.15">
      <c r="A172" s="8"/>
      <c r="B172" s="9"/>
      <c r="C172" s="16"/>
    </row>
    <row r="173" spans="1:3" ht="12.75" customHeight="1" x14ac:dyDescent="0.15">
      <c r="A173" s="8"/>
      <c r="B173" s="9"/>
      <c r="C173" s="16"/>
    </row>
    <row r="174" spans="1:3" ht="12.75" customHeight="1" x14ac:dyDescent="0.15">
      <c r="A174" s="8"/>
      <c r="B174" s="9"/>
      <c r="C174" s="16"/>
    </row>
    <row r="175" spans="1:3" ht="12.75" customHeight="1" x14ac:dyDescent="0.15">
      <c r="A175" s="8"/>
      <c r="B175" s="9"/>
      <c r="C175" s="16"/>
    </row>
    <row r="176" spans="1:3" ht="12.75" customHeight="1" x14ac:dyDescent="0.15">
      <c r="A176" s="8"/>
      <c r="B176" s="9"/>
      <c r="C176" s="16"/>
    </row>
    <row r="177" spans="1:3" ht="12.75" customHeight="1" x14ac:dyDescent="0.15">
      <c r="A177" s="8"/>
      <c r="B177" s="9"/>
      <c r="C177" s="16"/>
    </row>
    <row r="178" spans="1:3" ht="12.75" customHeight="1" x14ac:dyDescent="0.15">
      <c r="A178" s="8"/>
      <c r="B178" s="9"/>
      <c r="C178" s="16"/>
    </row>
    <row r="179" spans="1:3" ht="12.75" customHeight="1" x14ac:dyDescent="0.15">
      <c r="A179" s="8"/>
      <c r="B179" s="9"/>
      <c r="C179" s="16"/>
    </row>
    <row r="180" spans="1:3" ht="12.75" customHeight="1" x14ac:dyDescent="0.15">
      <c r="A180" s="8"/>
      <c r="B180" s="9"/>
      <c r="C180" s="16"/>
    </row>
    <row r="181" spans="1:3" ht="12.75" customHeight="1" x14ac:dyDescent="0.15">
      <c r="A181" s="8"/>
      <c r="B181" s="9"/>
      <c r="C181" s="16"/>
    </row>
    <row r="182" spans="1:3" ht="12.75" customHeight="1" x14ac:dyDescent="0.15">
      <c r="A182" s="8"/>
      <c r="B182" s="9"/>
      <c r="C182" s="16"/>
    </row>
    <row r="183" spans="1:3" ht="12.75" customHeight="1" x14ac:dyDescent="0.15">
      <c r="A183" s="8"/>
      <c r="B183" s="9"/>
      <c r="C183" s="16"/>
    </row>
    <row r="184" spans="1:3" ht="12.75" customHeight="1" x14ac:dyDescent="0.15">
      <c r="A184" s="8"/>
      <c r="B184" s="9"/>
      <c r="C184" s="16"/>
    </row>
    <row r="185" spans="1:3" ht="12.75" customHeight="1" x14ac:dyDescent="0.15">
      <c r="A185" s="8"/>
      <c r="B185" s="9"/>
      <c r="C185" s="16"/>
    </row>
    <row r="186" spans="1:3" ht="12.75" customHeight="1" x14ac:dyDescent="0.15">
      <c r="A186" s="8"/>
      <c r="B186" s="9"/>
      <c r="C186" s="16"/>
    </row>
    <row r="187" spans="1:3" ht="12.75" customHeight="1" x14ac:dyDescent="0.15">
      <c r="A187" s="8"/>
      <c r="B187" s="9"/>
      <c r="C187" s="16"/>
    </row>
    <row r="188" spans="1:3" ht="12.75" customHeight="1" x14ac:dyDescent="0.15">
      <c r="A188" s="8"/>
      <c r="B188" s="9"/>
      <c r="C188" s="16"/>
    </row>
    <row r="189" spans="1:3" ht="12.75" customHeight="1" x14ac:dyDescent="0.15">
      <c r="A189" s="8"/>
      <c r="B189" s="9"/>
      <c r="C189" s="16"/>
    </row>
    <row r="190" spans="1:3" ht="12.75" customHeight="1" x14ac:dyDescent="0.15">
      <c r="A190" s="8"/>
      <c r="B190" s="9"/>
      <c r="C190" s="16"/>
    </row>
    <row r="191" spans="1:3" ht="12.75" customHeight="1" x14ac:dyDescent="0.15">
      <c r="A191" s="8"/>
      <c r="B191" s="9"/>
      <c r="C191" s="16"/>
    </row>
    <row r="192" spans="1:3" ht="12.75" customHeight="1" x14ac:dyDescent="0.15">
      <c r="A192" s="8"/>
      <c r="B192" s="9"/>
      <c r="C192" s="16"/>
    </row>
    <row r="193" spans="1:3" ht="12.75" customHeight="1" x14ac:dyDescent="0.15">
      <c r="A193" s="8"/>
      <c r="B193" s="9"/>
      <c r="C193" s="16"/>
    </row>
    <row r="194" spans="1:3" ht="12.75" customHeight="1" x14ac:dyDescent="0.15">
      <c r="A194" s="8"/>
      <c r="B194" s="9"/>
      <c r="C194" s="16"/>
    </row>
    <row r="195" spans="1:3" ht="12.75" customHeight="1" x14ac:dyDescent="0.15">
      <c r="A195" s="8"/>
      <c r="B195" s="9"/>
      <c r="C195" s="16"/>
    </row>
    <row r="196" spans="1:3" ht="12.75" customHeight="1" x14ac:dyDescent="0.15">
      <c r="A196" s="8"/>
      <c r="B196" s="9"/>
      <c r="C196" s="16"/>
    </row>
    <row r="197" spans="1:3" ht="12.75" customHeight="1" x14ac:dyDescent="0.15">
      <c r="A197" s="8"/>
      <c r="B197" s="9"/>
      <c r="C197" s="16"/>
    </row>
    <row r="198" spans="1:3" ht="12.75" customHeight="1" x14ac:dyDescent="0.15">
      <c r="A198" s="8"/>
      <c r="B198" s="9"/>
      <c r="C198" s="16"/>
    </row>
    <row r="199" spans="1:3" ht="12.75" customHeight="1" x14ac:dyDescent="0.15">
      <c r="A199" s="8"/>
      <c r="B199" s="9"/>
      <c r="C199" s="16"/>
    </row>
    <row r="200" spans="1:3" ht="12.75" customHeight="1" x14ac:dyDescent="0.15">
      <c r="A200" s="8"/>
      <c r="B200" s="9"/>
      <c r="C200" s="16"/>
    </row>
    <row r="201" spans="1:3" ht="12.75" customHeight="1" x14ac:dyDescent="0.15">
      <c r="A201" s="8"/>
      <c r="B201" s="9"/>
      <c r="C201" s="16"/>
    </row>
    <row r="202" spans="1:3" ht="12.75" customHeight="1" x14ac:dyDescent="0.15">
      <c r="A202" s="8"/>
      <c r="B202" s="9"/>
      <c r="C202" s="16"/>
    </row>
    <row r="203" spans="1:3" ht="12.75" customHeight="1" x14ac:dyDescent="0.15">
      <c r="A203" s="8"/>
      <c r="B203" s="9"/>
      <c r="C203" s="16"/>
    </row>
    <row r="204" spans="1:3" ht="12.75" customHeight="1" x14ac:dyDescent="0.15">
      <c r="A204" s="8"/>
      <c r="B204" s="9"/>
      <c r="C204" s="16"/>
    </row>
    <row r="205" spans="1:3" ht="12.75" customHeight="1" x14ac:dyDescent="0.15">
      <c r="A205" s="8"/>
      <c r="B205" s="9"/>
      <c r="C205" s="16"/>
    </row>
    <row r="206" spans="1:3" ht="12.75" customHeight="1" x14ac:dyDescent="0.15">
      <c r="A206" s="8"/>
      <c r="B206" s="9"/>
      <c r="C206" s="16"/>
    </row>
    <row r="207" spans="1:3" ht="12.75" customHeight="1" x14ac:dyDescent="0.15">
      <c r="A207" s="8"/>
      <c r="B207" s="9"/>
      <c r="C207" s="16"/>
    </row>
    <row r="208" spans="1:3" ht="12.75" customHeight="1" x14ac:dyDescent="0.15">
      <c r="A208" s="8"/>
      <c r="B208" s="9"/>
      <c r="C208" s="16"/>
    </row>
    <row r="209" spans="1:3" ht="12.75" customHeight="1" x14ac:dyDescent="0.15">
      <c r="A209" s="8"/>
      <c r="B209" s="9"/>
      <c r="C209" s="16"/>
    </row>
    <row r="210" spans="1:3" ht="12.75" customHeight="1" x14ac:dyDescent="0.15">
      <c r="A210" s="8"/>
      <c r="B210" s="9"/>
      <c r="C210" s="16"/>
    </row>
    <row r="211" spans="1:3" ht="12.75" customHeight="1" x14ac:dyDescent="0.15">
      <c r="A211" s="8"/>
      <c r="B211" s="9"/>
      <c r="C211" s="16"/>
    </row>
    <row r="212" spans="1:3" ht="12.75" customHeight="1" x14ac:dyDescent="0.15">
      <c r="A212" s="8"/>
      <c r="B212" s="9"/>
      <c r="C212" s="16"/>
    </row>
    <row r="213" spans="1:3" ht="12.75" customHeight="1" x14ac:dyDescent="0.15">
      <c r="A213" s="8"/>
      <c r="B213" s="9"/>
      <c r="C213" s="16"/>
    </row>
    <row r="214" spans="1:3" ht="12.75" customHeight="1" x14ac:dyDescent="0.15">
      <c r="A214" s="8"/>
      <c r="B214" s="9"/>
      <c r="C214" s="16"/>
    </row>
    <row r="215" spans="1:3" ht="12.75" customHeight="1" x14ac:dyDescent="0.15">
      <c r="A215" s="8"/>
      <c r="B215" s="9"/>
      <c r="C215" s="16"/>
    </row>
    <row r="216" spans="1:3" ht="12.75" customHeight="1" x14ac:dyDescent="0.15">
      <c r="A216" s="8"/>
      <c r="B216" s="9"/>
      <c r="C216" s="16"/>
    </row>
    <row r="217" spans="1:3" ht="12.75" customHeight="1" x14ac:dyDescent="0.15">
      <c r="A217" s="8"/>
      <c r="B217" s="9"/>
      <c r="C217" s="16"/>
    </row>
    <row r="218" spans="1:3" ht="12.75" customHeight="1" x14ac:dyDescent="0.15">
      <c r="A218" s="8"/>
      <c r="B218" s="9"/>
      <c r="C218" s="16"/>
    </row>
    <row r="219" spans="1:3" ht="12.75" customHeight="1" x14ac:dyDescent="0.15">
      <c r="A219" s="8"/>
      <c r="B219" s="9"/>
      <c r="C219" s="16"/>
    </row>
    <row r="220" spans="1:3" ht="12.75" customHeight="1" x14ac:dyDescent="0.15">
      <c r="A220" s="8"/>
      <c r="B220" s="9"/>
      <c r="C220" s="16"/>
    </row>
    <row r="221" spans="1:3" ht="12.75" customHeight="1" x14ac:dyDescent="0.15">
      <c r="A221" s="8"/>
      <c r="B221" s="9"/>
      <c r="C221" s="16"/>
    </row>
    <row r="222" spans="1:3" ht="12.75" customHeight="1" x14ac:dyDescent="0.15">
      <c r="A222" s="8"/>
      <c r="B222" s="9"/>
      <c r="C222" s="16"/>
    </row>
    <row r="223" spans="1:3" ht="12.75" customHeight="1" x14ac:dyDescent="0.15">
      <c r="A223" s="8"/>
      <c r="B223" s="9"/>
      <c r="C223" s="16"/>
    </row>
    <row r="224" spans="1:3" ht="12.75" customHeight="1" x14ac:dyDescent="0.15">
      <c r="A224" s="8"/>
      <c r="B224" s="9"/>
      <c r="C224" s="16"/>
    </row>
    <row r="225" spans="1:3" ht="12.75" customHeight="1" x14ac:dyDescent="0.15">
      <c r="A225" s="8"/>
      <c r="B225" s="9"/>
      <c r="C225" s="16"/>
    </row>
    <row r="226" spans="1:3" ht="12.75" customHeight="1" x14ac:dyDescent="0.15">
      <c r="A226" s="8"/>
      <c r="B226" s="9"/>
      <c r="C226" s="16"/>
    </row>
    <row r="227" spans="1:3" ht="12.75" customHeight="1" x14ac:dyDescent="0.15">
      <c r="A227" s="8"/>
      <c r="B227" s="9"/>
      <c r="C227" s="16"/>
    </row>
    <row r="228" spans="1:3" ht="12.75" customHeight="1" x14ac:dyDescent="0.15">
      <c r="A228" s="8"/>
      <c r="B228" s="9"/>
      <c r="C228" s="16"/>
    </row>
    <row r="229" spans="1:3" ht="12.75" customHeight="1" x14ac:dyDescent="0.15">
      <c r="A229" s="8"/>
      <c r="B229" s="9"/>
      <c r="C229" s="16"/>
    </row>
    <row r="230" spans="1:3" ht="12.75" customHeight="1" x14ac:dyDescent="0.15">
      <c r="A230" s="8"/>
      <c r="B230" s="9"/>
      <c r="C230" s="16"/>
    </row>
    <row r="231" spans="1:3" ht="12.75" customHeight="1" x14ac:dyDescent="0.15">
      <c r="A231" s="8"/>
      <c r="B231" s="9"/>
      <c r="C231" s="16"/>
    </row>
    <row r="232" spans="1:3" ht="12.75" customHeight="1" x14ac:dyDescent="0.15">
      <c r="A232" s="8"/>
      <c r="B232" s="9"/>
      <c r="C232" s="16"/>
    </row>
    <row r="233" spans="1:3" ht="12.75" customHeight="1" x14ac:dyDescent="0.15">
      <c r="A233" s="8"/>
      <c r="B233" s="9"/>
      <c r="C233" s="16"/>
    </row>
    <row r="234" spans="1:3" ht="12.75" customHeight="1" x14ac:dyDescent="0.15">
      <c r="A234" s="8"/>
      <c r="B234" s="9"/>
      <c r="C234" s="16"/>
    </row>
    <row r="235" spans="1:3" ht="12.75" customHeight="1" x14ac:dyDescent="0.15">
      <c r="A235" s="8"/>
      <c r="B235" s="9"/>
      <c r="C235" s="16"/>
    </row>
    <row r="236" spans="1:3" ht="12.75" customHeight="1" x14ac:dyDescent="0.15">
      <c r="A236" s="8"/>
      <c r="B236" s="9"/>
      <c r="C236" s="16"/>
    </row>
    <row r="237" spans="1:3" ht="12.75" customHeight="1" x14ac:dyDescent="0.15">
      <c r="A237" s="8"/>
      <c r="B237" s="9"/>
      <c r="C237" s="16"/>
    </row>
    <row r="238" spans="1:3" ht="12.75" customHeight="1" x14ac:dyDescent="0.15">
      <c r="A238" s="8"/>
      <c r="B238" s="9"/>
      <c r="C238" s="16"/>
    </row>
    <row r="239" spans="1:3" ht="12.75" customHeight="1" x14ac:dyDescent="0.15">
      <c r="A239" s="8"/>
      <c r="B239" s="9"/>
      <c r="C239" s="16"/>
    </row>
    <row r="240" spans="1:3" ht="12.75" customHeight="1" x14ac:dyDescent="0.15">
      <c r="A240" s="8"/>
      <c r="B240" s="9"/>
      <c r="C240" s="16"/>
    </row>
    <row r="241" spans="1:3" ht="12.75" customHeight="1" x14ac:dyDescent="0.15">
      <c r="A241" s="8"/>
      <c r="B241" s="9"/>
      <c r="C241" s="16"/>
    </row>
    <row r="242" spans="1:3" ht="12.75" customHeight="1" x14ac:dyDescent="0.15">
      <c r="A242" s="8"/>
      <c r="B242" s="9"/>
      <c r="C242" s="16"/>
    </row>
    <row r="243" spans="1:3" ht="12.75" customHeight="1" x14ac:dyDescent="0.15">
      <c r="A243" s="8"/>
      <c r="B243" s="9"/>
      <c r="C243" s="16"/>
    </row>
    <row r="244" spans="1:3" ht="12.75" customHeight="1" x14ac:dyDescent="0.15">
      <c r="A244" s="8"/>
      <c r="B244" s="9"/>
      <c r="C244" s="16"/>
    </row>
    <row r="245" spans="1:3" ht="12.75" customHeight="1" x14ac:dyDescent="0.15">
      <c r="A245" s="8"/>
      <c r="B245" s="9"/>
      <c r="C245" s="16"/>
    </row>
    <row r="246" spans="1:3" ht="12.75" customHeight="1" x14ac:dyDescent="0.15">
      <c r="A246" s="8"/>
      <c r="B246" s="9"/>
      <c r="C246" s="16"/>
    </row>
    <row r="247" spans="1:3" ht="12.75" customHeight="1" x14ac:dyDescent="0.15">
      <c r="A247" s="8"/>
      <c r="B247" s="9"/>
      <c r="C247" s="16"/>
    </row>
    <row r="248" spans="1:3" ht="12.75" customHeight="1" x14ac:dyDescent="0.15">
      <c r="A248" s="8"/>
      <c r="B248" s="9"/>
      <c r="C248" s="16"/>
    </row>
    <row r="249" spans="1:3" ht="12.75" customHeight="1" x14ac:dyDescent="0.15">
      <c r="A249" s="8"/>
      <c r="B249" s="9"/>
      <c r="C249" s="16"/>
    </row>
    <row r="250" spans="1:3" ht="12.75" customHeight="1" x14ac:dyDescent="0.15">
      <c r="A250" s="8"/>
      <c r="B250" s="9"/>
      <c r="C250" s="16"/>
    </row>
    <row r="251" spans="1:3" ht="12.75" customHeight="1" x14ac:dyDescent="0.15">
      <c r="A251" s="8"/>
      <c r="B251" s="9"/>
      <c r="C251" s="16"/>
    </row>
    <row r="252" spans="1:3" ht="12.75" customHeight="1" x14ac:dyDescent="0.15">
      <c r="A252" s="8"/>
      <c r="B252" s="9"/>
      <c r="C252" s="16"/>
    </row>
    <row r="253" spans="1:3" ht="12.75" customHeight="1" x14ac:dyDescent="0.15">
      <c r="A253" s="8"/>
      <c r="B253" s="9"/>
      <c r="C253" s="16"/>
    </row>
    <row r="254" spans="1:3" ht="12.75" customHeight="1" x14ac:dyDescent="0.15">
      <c r="A254" s="8"/>
      <c r="B254" s="9"/>
      <c r="C254" s="16"/>
    </row>
    <row r="255" spans="1:3" ht="12.75" customHeight="1" x14ac:dyDescent="0.15">
      <c r="A255" s="8"/>
      <c r="B255" s="9"/>
      <c r="C255" s="16"/>
    </row>
    <row r="256" spans="1:3" ht="12.75" customHeight="1" x14ac:dyDescent="0.15">
      <c r="A256" s="8"/>
      <c r="B256" s="9"/>
      <c r="C256" s="16"/>
    </row>
    <row r="257" spans="1:3" ht="12.75" customHeight="1" x14ac:dyDescent="0.15">
      <c r="A257" s="8"/>
      <c r="B257" s="9"/>
      <c r="C257" s="16"/>
    </row>
    <row r="258" spans="1:3" ht="12.75" customHeight="1" x14ac:dyDescent="0.15">
      <c r="A258" s="8"/>
      <c r="B258" s="9"/>
      <c r="C258" s="16"/>
    </row>
    <row r="259" spans="1:3" ht="12.75" customHeight="1" x14ac:dyDescent="0.15">
      <c r="A259" s="8"/>
      <c r="B259" s="9"/>
      <c r="C259" s="16"/>
    </row>
    <row r="260" spans="1:3" ht="12.75" customHeight="1" x14ac:dyDescent="0.15">
      <c r="A260" s="8"/>
      <c r="B260" s="9"/>
      <c r="C260" s="16"/>
    </row>
    <row r="261" spans="1:3" ht="12.75" customHeight="1" x14ac:dyDescent="0.15">
      <c r="A261" s="8"/>
      <c r="B261" s="9"/>
      <c r="C261" s="16"/>
    </row>
    <row r="262" spans="1:3" ht="12.75" customHeight="1" x14ac:dyDescent="0.15">
      <c r="A262" s="8"/>
      <c r="B262" s="9"/>
      <c r="C262" s="16"/>
    </row>
    <row r="263" spans="1:3" ht="12.75" customHeight="1" x14ac:dyDescent="0.15">
      <c r="A263" s="8"/>
      <c r="B263" s="9"/>
      <c r="C263" s="16"/>
    </row>
    <row r="264" spans="1:3" ht="12.75" customHeight="1" x14ac:dyDescent="0.15">
      <c r="A264" s="8"/>
      <c r="B264" s="9"/>
      <c r="C264" s="16"/>
    </row>
    <row r="265" spans="1:3" ht="12.75" customHeight="1" x14ac:dyDescent="0.15">
      <c r="A265" s="8"/>
      <c r="B265" s="9"/>
      <c r="C265" s="16"/>
    </row>
    <row r="266" spans="1:3" ht="12.75" customHeight="1" x14ac:dyDescent="0.15">
      <c r="A266" s="8"/>
      <c r="B266" s="9"/>
      <c r="C266" s="16"/>
    </row>
    <row r="267" spans="1:3" ht="12.75" customHeight="1" x14ac:dyDescent="0.15">
      <c r="A267" s="8"/>
      <c r="B267" s="9"/>
      <c r="C267" s="16"/>
    </row>
    <row r="268" spans="1:3" ht="12.75" customHeight="1" x14ac:dyDescent="0.15">
      <c r="A268" s="8"/>
      <c r="B268" s="9"/>
      <c r="C268" s="16"/>
    </row>
    <row r="269" spans="1:3" ht="12.75" customHeight="1" x14ac:dyDescent="0.15">
      <c r="A269" s="8"/>
      <c r="B269" s="9"/>
      <c r="C269" s="16"/>
    </row>
    <row r="270" spans="1:3" ht="12.75" customHeight="1" x14ac:dyDescent="0.15">
      <c r="A270" s="8"/>
      <c r="B270" s="9"/>
      <c r="C270" s="16"/>
    </row>
    <row r="271" spans="1:3" ht="12.75" customHeight="1" x14ac:dyDescent="0.15">
      <c r="A271" s="8"/>
      <c r="B271" s="9"/>
      <c r="C271" s="16"/>
    </row>
    <row r="272" spans="1:3" ht="12.75" customHeight="1" x14ac:dyDescent="0.15">
      <c r="A272" s="8"/>
      <c r="B272" s="9"/>
      <c r="C272" s="16"/>
    </row>
    <row r="273" spans="1:3" ht="12.75" customHeight="1" x14ac:dyDescent="0.15">
      <c r="A273" s="8"/>
      <c r="B273" s="9"/>
      <c r="C273" s="16"/>
    </row>
    <row r="274" spans="1:3" ht="12.75" customHeight="1" x14ac:dyDescent="0.15">
      <c r="A274" s="8"/>
      <c r="B274" s="9"/>
      <c r="C274" s="16"/>
    </row>
    <row r="275" spans="1:3" ht="12.75" customHeight="1" x14ac:dyDescent="0.15">
      <c r="A275" s="8"/>
      <c r="B275" s="9"/>
      <c r="C275" s="16"/>
    </row>
    <row r="276" spans="1:3" ht="12.75" customHeight="1" x14ac:dyDescent="0.15">
      <c r="A276" s="8"/>
      <c r="B276" s="9"/>
      <c r="C276" s="16"/>
    </row>
    <row r="277" spans="1:3" ht="12.75" customHeight="1" x14ac:dyDescent="0.15">
      <c r="A277" s="8"/>
      <c r="B277" s="9"/>
      <c r="C277" s="16"/>
    </row>
    <row r="278" spans="1:3" ht="12.75" customHeight="1" x14ac:dyDescent="0.15">
      <c r="A278" s="8"/>
      <c r="B278" s="9"/>
      <c r="C278" s="16"/>
    </row>
    <row r="279" spans="1:3" ht="12.75" customHeight="1" x14ac:dyDescent="0.15">
      <c r="A279" s="8"/>
      <c r="B279" s="9"/>
      <c r="C279" s="16"/>
    </row>
    <row r="280" spans="1:3" ht="12.75" customHeight="1" x14ac:dyDescent="0.15">
      <c r="A280" s="8"/>
      <c r="B280" s="9"/>
      <c r="C280" s="16"/>
    </row>
    <row r="281" spans="1:3" ht="12.75" customHeight="1" x14ac:dyDescent="0.15">
      <c r="A281" s="8"/>
      <c r="B281" s="9"/>
      <c r="C281" s="16"/>
    </row>
    <row r="282" spans="1:3" ht="12.75" customHeight="1" x14ac:dyDescent="0.15">
      <c r="A282" s="8"/>
      <c r="B282" s="9"/>
      <c r="C282" s="16"/>
    </row>
    <row r="283" spans="1:3" ht="12.75" customHeight="1" x14ac:dyDescent="0.15">
      <c r="A283" s="8"/>
      <c r="B283" s="9"/>
      <c r="C283" s="16"/>
    </row>
    <row r="284" spans="1:3" ht="12.75" customHeight="1" x14ac:dyDescent="0.15">
      <c r="A284" s="8"/>
      <c r="B284" s="9"/>
      <c r="C284" s="16"/>
    </row>
    <row r="285" spans="1:3" ht="12.75" customHeight="1" x14ac:dyDescent="0.15">
      <c r="A285" s="8"/>
      <c r="B285" s="9"/>
      <c r="C285" s="16"/>
    </row>
    <row r="286" spans="1:3" ht="12.75" customHeight="1" x14ac:dyDescent="0.15">
      <c r="A286" s="8"/>
      <c r="B286" s="9"/>
      <c r="C286" s="16"/>
    </row>
    <row r="287" spans="1:3" ht="12.75" customHeight="1" x14ac:dyDescent="0.15">
      <c r="A287" s="8"/>
      <c r="B287" s="9"/>
      <c r="C287" s="16"/>
    </row>
    <row r="288" spans="1:3" ht="12.75" customHeight="1" x14ac:dyDescent="0.15">
      <c r="A288" s="8"/>
      <c r="B288" s="9"/>
      <c r="C288" s="16"/>
    </row>
    <row r="289" spans="1:3" ht="12.75" customHeight="1" x14ac:dyDescent="0.15">
      <c r="A289" s="8"/>
      <c r="B289" s="9"/>
      <c r="C289" s="16"/>
    </row>
    <row r="290" spans="1:3" ht="12.75" customHeight="1" x14ac:dyDescent="0.15">
      <c r="A290" s="8"/>
      <c r="B290" s="9"/>
      <c r="C290" s="16"/>
    </row>
    <row r="291" spans="1:3" ht="12.75" customHeight="1" x14ac:dyDescent="0.15">
      <c r="A291" s="8"/>
      <c r="B291" s="9"/>
      <c r="C291" s="16"/>
    </row>
    <row r="292" spans="1:3" ht="12.75" customHeight="1" x14ac:dyDescent="0.15">
      <c r="A292" s="8"/>
      <c r="B292" s="9"/>
      <c r="C292" s="16"/>
    </row>
    <row r="293" spans="1:3" ht="12.75" customHeight="1" x14ac:dyDescent="0.15">
      <c r="A293" s="8"/>
      <c r="B293" s="9"/>
      <c r="C293" s="16"/>
    </row>
    <row r="294" spans="1:3" ht="12.75" customHeight="1" x14ac:dyDescent="0.15">
      <c r="A294" s="8"/>
      <c r="B294" s="9"/>
      <c r="C294" s="16"/>
    </row>
    <row r="295" spans="1:3" ht="12.75" customHeight="1" x14ac:dyDescent="0.15">
      <c r="A295" s="8"/>
      <c r="B295" s="9"/>
      <c r="C295" s="16"/>
    </row>
    <row r="296" spans="1:3" ht="12.75" customHeight="1" x14ac:dyDescent="0.15">
      <c r="A296" s="8"/>
      <c r="B296" s="9"/>
      <c r="C296" s="16"/>
    </row>
    <row r="297" spans="1:3" ht="12.75" customHeight="1" x14ac:dyDescent="0.15">
      <c r="A297" s="8"/>
      <c r="B297" s="9"/>
      <c r="C297" s="16"/>
    </row>
    <row r="298" spans="1:3" ht="12.75" customHeight="1" x14ac:dyDescent="0.15">
      <c r="A298" s="8"/>
      <c r="B298" s="9"/>
      <c r="C298" s="16"/>
    </row>
    <row r="299" spans="1:3" ht="12.75" customHeight="1" x14ac:dyDescent="0.15">
      <c r="A299" s="8"/>
      <c r="B299" s="9"/>
      <c r="C299" s="16"/>
    </row>
    <row r="300" spans="1:3" ht="12.75" customHeight="1" x14ac:dyDescent="0.15">
      <c r="A300" s="8"/>
      <c r="B300" s="9"/>
      <c r="C300" s="16"/>
    </row>
    <row r="301" spans="1:3" ht="12.75" customHeight="1" x14ac:dyDescent="0.15">
      <c r="A301" s="8"/>
      <c r="B301" s="9"/>
      <c r="C301" s="16"/>
    </row>
    <row r="302" spans="1:3" ht="12.75" customHeight="1" x14ac:dyDescent="0.15">
      <c r="A302" s="8"/>
      <c r="B302" s="9"/>
      <c r="C302" s="16"/>
    </row>
    <row r="303" spans="1:3" ht="12.75" customHeight="1" x14ac:dyDescent="0.15">
      <c r="A303" s="8"/>
      <c r="B303" s="9"/>
      <c r="C303" s="16"/>
    </row>
    <row r="304" spans="1:3" ht="12.75" customHeight="1" x14ac:dyDescent="0.15">
      <c r="A304" s="8"/>
      <c r="B304" s="9"/>
      <c r="C304" s="16"/>
    </row>
    <row r="305" spans="1:3" ht="12.75" customHeight="1" x14ac:dyDescent="0.15">
      <c r="A305" s="8"/>
      <c r="B305" s="9"/>
      <c r="C305" s="16"/>
    </row>
    <row r="306" spans="1:3" ht="12.75" customHeight="1" x14ac:dyDescent="0.15">
      <c r="A306" s="8"/>
      <c r="B306" s="9"/>
      <c r="C306" s="16"/>
    </row>
    <row r="307" spans="1:3" ht="12.75" customHeight="1" x14ac:dyDescent="0.15">
      <c r="A307" s="8"/>
      <c r="B307" s="9"/>
      <c r="C307" s="16"/>
    </row>
    <row r="308" spans="1:3" ht="12.75" customHeight="1" x14ac:dyDescent="0.15">
      <c r="A308" s="8"/>
      <c r="B308" s="9"/>
      <c r="C308" s="16"/>
    </row>
    <row r="309" spans="1:3" ht="12.75" customHeight="1" x14ac:dyDescent="0.15">
      <c r="A309" s="8"/>
      <c r="B309" s="9"/>
      <c r="C309" s="16"/>
    </row>
    <row r="310" spans="1:3" ht="12.75" customHeight="1" x14ac:dyDescent="0.15">
      <c r="A310" s="8"/>
      <c r="B310" s="9"/>
      <c r="C310" s="16"/>
    </row>
    <row r="311" spans="1:3" ht="12.75" customHeight="1" x14ac:dyDescent="0.15">
      <c r="A311" s="8"/>
      <c r="B311" s="9"/>
      <c r="C311" s="16"/>
    </row>
    <row r="312" spans="1:3" ht="12.75" customHeight="1" x14ac:dyDescent="0.15">
      <c r="A312" s="8"/>
      <c r="B312" s="9"/>
      <c r="C312" s="16"/>
    </row>
    <row r="313" spans="1:3" ht="12.75" customHeight="1" x14ac:dyDescent="0.15">
      <c r="A313" s="8"/>
      <c r="B313" s="9"/>
      <c r="C313" s="16"/>
    </row>
    <row r="314" spans="1:3" ht="12.75" customHeight="1" x14ac:dyDescent="0.15">
      <c r="A314" s="8"/>
      <c r="B314" s="9"/>
      <c r="C314" s="16"/>
    </row>
    <row r="315" spans="1:3" ht="12.75" customHeight="1" x14ac:dyDescent="0.15">
      <c r="A315" s="8"/>
      <c r="B315" s="9"/>
      <c r="C315" s="16"/>
    </row>
    <row r="316" spans="1:3" ht="12.75" customHeight="1" x14ac:dyDescent="0.15">
      <c r="A316" s="8"/>
      <c r="B316" s="9"/>
      <c r="C316" s="16"/>
    </row>
    <row r="317" spans="1:3" ht="12.75" customHeight="1" x14ac:dyDescent="0.15">
      <c r="A317" s="8"/>
      <c r="B317" s="9"/>
      <c r="C317" s="16"/>
    </row>
    <row r="318" spans="1:3" ht="12.75" customHeight="1" x14ac:dyDescent="0.15">
      <c r="A318" s="8"/>
      <c r="B318" s="9"/>
      <c r="C318" s="16"/>
    </row>
    <row r="319" spans="1:3" ht="12.75" customHeight="1" x14ac:dyDescent="0.15">
      <c r="A319" s="8"/>
      <c r="B319" s="9"/>
      <c r="C319" s="16"/>
    </row>
    <row r="320" spans="1:3" ht="12.75" customHeight="1" x14ac:dyDescent="0.15">
      <c r="A320" s="8"/>
      <c r="B320" s="9"/>
      <c r="C320" s="16"/>
    </row>
    <row r="321" spans="1:3" ht="12.75" customHeight="1" x14ac:dyDescent="0.15">
      <c r="A321" s="8"/>
      <c r="B321" s="9"/>
      <c r="C321" s="16"/>
    </row>
    <row r="322" spans="1:3" ht="12.75" customHeight="1" x14ac:dyDescent="0.15">
      <c r="A322" s="8"/>
      <c r="B322" s="9"/>
      <c r="C322" s="16"/>
    </row>
    <row r="323" spans="1:3" ht="12.75" customHeight="1" x14ac:dyDescent="0.15">
      <c r="A323" s="8"/>
      <c r="B323" s="9"/>
      <c r="C323" s="16"/>
    </row>
    <row r="324" spans="1:3" ht="12.75" customHeight="1" x14ac:dyDescent="0.15">
      <c r="A324" s="8"/>
      <c r="B324" s="9"/>
      <c r="C324" s="16"/>
    </row>
    <row r="325" spans="1:3" ht="12.75" customHeight="1" x14ac:dyDescent="0.15">
      <c r="A325" s="8"/>
      <c r="B325" s="9"/>
      <c r="C325" s="16"/>
    </row>
    <row r="326" spans="1:3" ht="12.75" customHeight="1" x14ac:dyDescent="0.15">
      <c r="A326" s="8"/>
      <c r="B326" s="9"/>
      <c r="C326" s="16"/>
    </row>
    <row r="327" spans="1:3" ht="12.75" customHeight="1" x14ac:dyDescent="0.15">
      <c r="A327" s="8"/>
      <c r="B327" s="9"/>
      <c r="C327" s="16"/>
    </row>
    <row r="328" spans="1:3" ht="12.75" customHeight="1" x14ac:dyDescent="0.15">
      <c r="A328" s="8"/>
      <c r="B328" s="9"/>
      <c r="C328" s="16"/>
    </row>
    <row r="329" spans="1:3" ht="12.75" customHeight="1" x14ac:dyDescent="0.15">
      <c r="A329" s="8"/>
      <c r="B329" s="9"/>
      <c r="C329" s="16"/>
    </row>
    <row r="330" spans="1:3" ht="12.75" customHeight="1" x14ac:dyDescent="0.15">
      <c r="A330" s="8"/>
      <c r="B330" s="9"/>
      <c r="C330" s="16"/>
    </row>
    <row r="331" spans="1:3" ht="12.75" customHeight="1" x14ac:dyDescent="0.15">
      <c r="A331" s="8"/>
      <c r="B331" s="9"/>
      <c r="C331" s="16"/>
    </row>
    <row r="332" spans="1:3" ht="12.75" customHeight="1" x14ac:dyDescent="0.15">
      <c r="A332" s="8"/>
      <c r="B332" s="9"/>
      <c r="C332" s="16"/>
    </row>
    <row r="333" spans="1:3" ht="12.75" customHeight="1" x14ac:dyDescent="0.15">
      <c r="A333" s="8"/>
      <c r="B333" s="9"/>
      <c r="C333" s="16"/>
    </row>
    <row r="334" spans="1:3" ht="12.75" customHeight="1" x14ac:dyDescent="0.15">
      <c r="A334" s="8"/>
      <c r="B334" s="9"/>
      <c r="C334" s="16"/>
    </row>
    <row r="335" spans="1:3" ht="12.75" customHeight="1" x14ac:dyDescent="0.15">
      <c r="A335" s="8"/>
      <c r="B335" s="9"/>
      <c r="C335" s="16"/>
    </row>
    <row r="336" spans="1:3" ht="12.75" customHeight="1" x14ac:dyDescent="0.15">
      <c r="A336" s="8"/>
      <c r="B336" s="9"/>
      <c r="C336" s="16"/>
    </row>
    <row r="337" spans="1:3" ht="12.75" customHeight="1" x14ac:dyDescent="0.15">
      <c r="A337" s="8"/>
      <c r="B337" s="9"/>
      <c r="C337" s="16"/>
    </row>
    <row r="338" spans="1:3" ht="12.75" customHeight="1" x14ac:dyDescent="0.15">
      <c r="A338" s="8"/>
      <c r="B338" s="9"/>
      <c r="C338" s="16"/>
    </row>
    <row r="339" spans="1:3" ht="12.75" customHeight="1" x14ac:dyDescent="0.15">
      <c r="A339" s="8"/>
      <c r="B339" s="9"/>
      <c r="C339" s="16"/>
    </row>
    <row r="340" spans="1:3" ht="12.75" customHeight="1" x14ac:dyDescent="0.15">
      <c r="A340" s="8"/>
      <c r="B340" s="9"/>
      <c r="C340" s="16"/>
    </row>
    <row r="341" spans="1:3" ht="12.75" customHeight="1" x14ac:dyDescent="0.15">
      <c r="A341" s="8"/>
      <c r="B341" s="9"/>
      <c r="C341" s="16"/>
    </row>
    <row r="342" spans="1:3" ht="12.75" customHeight="1" x14ac:dyDescent="0.15">
      <c r="A342" s="8"/>
      <c r="B342" s="9"/>
      <c r="C342" s="16"/>
    </row>
    <row r="343" spans="1:3" ht="12.75" customHeight="1" x14ac:dyDescent="0.15">
      <c r="A343" s="8"/>
      <c r="B343" s="9"/>
      <c r="C343" s="16"/>
    </row>
    <row r="344" spans="1:3" ht="12.75" customHeight="1" x14ac:dyDescent="0.15">
      <c r="A344" s="8"/>
      <c r="B344" s="9"/>
      <c r="C344" s="16"/>
    </row>
    <row r="345" spans="1:3" ht="12.75" customHeight="1" x14ac:dyDescent="0.15">
      <c r="A345" s="8"/>
      <c r="B345" s="9"/>
      <c r="C345" s="16"/>
    </row>
    <row r="346" spans="1:3" ht="12.75" customHeight="1" x14ac:dyDescent="0.15">
      <c r="A346" s="8"/>
      <c r="B346" s="9"/>
      <c r="C346" s="16"/>
    </row>
    <row r="347" spans="1:3" ht="12.75" customHeight="1" x14ac:dyDescent="0.15">
      <c r="A347" s="8"/>
      <c r="B347" s="9"/>
      <c r="C347" s="16"/>
    </row>
    <row r="348" spans="1:3" ht="12.75" customHeight="1" x14ac:dyDescent="0.15">
      <c r="A348" s="8"/>
      <c r="B348" s="9"/>
      <c r="C348" s="16"/>
    </row>
    <row r="349" spans="1:3" ht="12.75" customHeight="1" x14ac:dyDescent="0.15">
      <c r="A349" s="8"/>
      <c r="B349" s="9"/>
      <c r="C349" s="16"/>
    </row>
    <row r="350" spans="1:3" ht="12.75" customHeight="1" x14ac:dyDescent="0.15">
      <c r="A350" s="8"/>
      <c r="B350" s="9"/>
      <c r="C350" s="16"/>
    </row>
    <row r="351" spans="1:3" ht="12.75" customHeight="1" x14ac:dyDescent="0.15">
      <c r="A351" s="8"/>
      <c r="B351" s="9"/>
      <c r="C351" s="16"/>
    </row>
    <row r="352" spans="1:3" ht="12.75" customHeight="1" x14ac:dyDescent="0.15">
      <c r="A352" s="8"/>
      <c r="B352" s="9"/>
      <c r="C352" s="16"/>
    </row>
    <row r="353" spans="1:3" ht="12.75" customHeight="1" x14ac:dyDescent="0.15">
      <c r="A353" s="8"/>
      <c r="B353" s="9"/>
      <c r="C353" s="16"/>
    </row>
    <row r="354" spans="1:3" ht="12.75" customHeight="1" x14ac:dyDescent="0.15">
      <c r="A354" s="8"/>
      <c r="B354" s="9"/>
      <c r="C354" s="16"/>
    </row>
    <row r="355" spans="1:3" ht="12.75" customHeight="1" x14ac:dyDescent="0.15">
      <c r="A355" s="8"/>
      <c r="B355" s="9"/>
      <c r="C355" s="16"/>
    </row>
    <row r="356" spans="1:3" ht="12.75" customHeight="1" x14ac:dyDescent="0.15">
      <c r="A356" s="8"/>
      <c r="B356" s="9"/>
      <c r="C356" s="16"/>
    </row>
    <row r="357" spans="1:3" ht="12.75" customHeight="1" x14ac:dyDescent="0.15">
      <c r="A357" s="8"/>
      <c r="B357" s="9"/>
      <c r="C357" s="16"/>
    </row>
    <row r="358" spans="1:3" ht="12.75" customHeight="1" x14ac:dyDescent="0.15">
      <c r="A358" s="8"/>
      <c r="B358" s="9"/>
      <c r="C358" s="16"/>
    </row>
    <row r="359" spans="1:3" ht="12.75" customHeight="1" x14ac:dyDescent="0.15">
      <c r="A359" s="8"/>
      <c r="B359" s="9"/>
      <c r="C359" s="16"/>
    </row>
    <row r="360" spans="1:3" ht="12.75" customHeight="1" x14ac:dyDescent="0.15">
      <c r="A360" s="8"/>
      <c r="B360" s="9"/>
      <c r="C360" s="16"/>
    </row>
    <row r="361" spans="1:3" ht="12.75" customHeight="1" x14ac:dyDescent="0.15">
      <c r="A361" s="8"/>
      <c r="B361" s="9"/>
      <c r="C361" s="16"/>
    </row>
    <row r="362" spans="1:3" ht="12.75" customHeight="1" x14ac:dyDescent="0.15">
      <c r="A362" s="8"/>
      <c r="B362" s="9"/>
      <c r="C362" s="16"/>
    </row>
    <row r="363" spans="1:3" ht="12.75" customHeight="1" x14ac:dyDescent="0.15">
      <c r="A363" s="8"/>
      <c r="B363" s="9"/>
      <c r="C363" s="16"/>
    </row>
    <row r="364" spans="1:3" ht="12.75" customHeight="1" x14ac:dyDescent="0.15">
      <c r="A364" s="8"/>
      <c r="B364" s="9"/>
      <c r="C364" s="16"/>
    </row>
    <row r="365" spans="1:3" ht="12.75" customHeight="1" x14ac:dyDescent="0.15">
      <c r="A365" s="8"/>
      <c r="B365" s="9"/>
      <c r="C365" s="16"/>
    </row>
    <row r="366" spans="1:3" ht="12.75" customHeight="1" x14ac:dyDescent="0.15">
      <c r="A366" s="8"/>
      <c r="B366" s="9"/>
      <c r="C366" s="16"/>
    </row>
    <row r="367" spans="1:3" ht="12.75" customHeight="1" x14ac:dyDescent="0.15">
      <c r="A367" s="8"/>
      <c r="B367" s="9"/>
      <c r="C367" s="16"/>
    </row>
    <row r="368" spans="1:3" ht="12.75" customHeight="1" x14ac:dyDescent="0.15">
      <c r="A368" s="8"/>
      <c r="B368" s="9"/>
      <c r="C368" s="16"/>
    </row>
    <row r="369" spans="1:3" ht="12.75" customHeight="1" x14ac:dyDescent="0.15">
      <c r="A369" s="8"/>
      <c r="B369" s="9"/>
      <c r="C369" s="16"/>
    </row>
    <row r="370" spans="1:3" ht="12.75" customHeight="1" x14ac:dyDescent="0.15">
      <c r="A370" s="8"/>
      <c r="B370" s="9"/>
      <c r="C370" s="16"/>
    </row>
    <row r="371" spans="1:3" ht="12.75" customHeight="1" x14ac:dyDescent="0.15">
      <c r="A371" s="8"/>
      <c r="B371" s="9"/>
      <c r="C371" s="16"/>
    </row>
    <row r="372" spans="1:3" ht="12.75" customHeight="1" x14ac:dyDescent="0.15">
      <c r="A372" s="8"/>
      <c r="B372" s="9"/>
      <c r="C372" s="16"/>
    </row>
    <row r="373" spans="1:3" ht="12.75" customHeight="1" x14ac:dyDescent="0.15">
      <c r="A373" s="8"/>
      <c r="B373" s="9"/>
      <c r="C373" s="16"/>
    </row>
    <row r="374" spans="1:3" ht="12.75" customHeight="1" x14ac:dyDescent="0.15">
      <c r="A374" s="8"/>
      <c r="B374" s="9"/>
      <c r="C374" s="16"/>
    </row>
    <row r="375" spans="1:3" ht="12.75" customHeight="1" x14ac:dyDescent="0.15">
      <c r="A375" s="8"/>
      <c r="B375" s="9"/>
      <c r="C375" s="16"/>
    </row>
    <row r="376" spans="1:3" ht="12.75" customHeight="1" x14ac:dyDescent="0.15">
      <c r="A376" s="8"/>
      <c r="B376" s="9"/>
      <c r="C376" s="16"/>
    </row>
    <row r="377" spans="1:3" ht="12.75" customHeight="1" x14ac:dyDescent="0.15">
      <c r="A377" s="8"/>
      <c r="B377" s="9"/>
      <c r="C377" s="16"/>
    </row>
    <row r="378" spans="1:3" ht="12.75" customHeight="1" x14ac:dyDescent="0.15">
      <c r="A378" s="8"/>
      <c r="B378" s="9"/>
      <c r="C378" s="16"/>
    </row>
    <row r="379" spans="1:3" ht="12.75" customHeight="1" x14ac:dyDescent="0.15">
      <c r="A379" s="8"/>
      <c r="B379" s="9"/>
      <c r="C379" s="16"/>
    </row>
    <row r="380" spans="1:3" ht="12.75" customHeight="1" x14ac:dyDescent="0.15">
      <c r="A380" s="8"/>
      <c r="B380" s="9"/>
      <c r="C380" s="16"/>
    </row>
    <row r="381" spans="1:3" ht="12.75" customHeight="1" x14ac:dyDescent="0.15">
      <c r="A381" s="8"/>
      <c r="B381" s="9"/>
      <c r="C381" s="16"/>
    </row>
    <row r="382" spans="1:3" ht="12.75" customHeight="1" x14ac:dyDescent="0.15">
      <c r="A382" s="8"/>
      <c r="B382" s="9"/>
      <c r="C382" s="16"/>
    </row>
    <row r="383" spans="1:3" ht="12.75" customHeight="1" x14ac:dyDescent="0.15">
      <c r="A383" s="8"/>
      <c r="B383" s="9"/>
      <c r="C383" s="16"/>
    </row>
    <row r="384" spans="1:3" ht="12.75" customHeight="1" x14ac:dyDescent="0.15">
      <c r="A384" s="8"/>
      <c r="B384" s="9"/>
      <c r="C384" s="16"/>
    </row>
    <row r="385" spans="1:3" ht="12.75" customHeight="1" x14ac:dyDescent="0.15">
      <c r="A385" s="8"/>
      <c r="B385" s="9"/>
      <c r="C385" s="16"/>
    </row>
    <row r="386" spans="1:3" ht="12.75" customHeight="1" x14ac:dyDescent="0.15">
      <c r="A386" s="8"/>
      <c r="B386" s="9"/>
      <c r="C386" s="16"/>
    </row>
    <row r="387" spans="1:3" ht="12.75" customHeight="1" x14ac:dyDescent="0.15">
      <c r="A387" s="8"/>
      <c r="B387" s="9"/>
      <c r="C387" s="16"/>
    </row>
    <row r="388" spans="1:3" ht="12.75" customHeight="1" x14ac:dyDescent="0.15">
      <c r="A388" s="8"/>
      <c r="B388" s="9"/>
      <c r="C388" s="16"/>
    </row>
    <row r="389" spans="1:3" ht="12.75" customHeight="1" x14ac:dyDescent="0.15">
      <c r="A389" s="8"/>
      <c r="B389" s="9"/>
      <c r="C389" s="16"/>
    </row>
    <row r="390" spans="1:3" ht="12.75" customHeight="1" x14ac:dyDescent="0.15">
      <c r="A390" s="8"/>
      <c r="B390" s="9"/>
      <c r="C390" s="16"/>
    </row>
    <row r="391" spans="1:3" ht="12.75" customHeight="1" x14ac:dyDescent="0.15">
      <c r="A391" s="8"/>
      <c r="B391" s="9"/>
      <c r="C391" s="16"/>
    </row>
    <row r="392" spans="1:3" ht="12.75" customHeight="1" x14ac:dyDescent="0.15">
      <c r="A392" s="8"/>
      <c r="B392" s="9"/>
      <c r="C392" s="16"/>
    </row>
    <row r="393" spans="1:3" ht="12.75" customHeight="1" x14ac:dyDescent="0.15">
      <c r="A393" s="8"/>
      <c r="B393" s="9"/>
      <c r="C393" s="16"/>
    </row>
    <row r="394" spans="1:3" ht="12.75" customHeight="1" x14ac:dyDescent="0.15">
      <c r="A394" s="8"/>
      <c r="B394" s="9"/>
      <c r="C394" s="16"/>
    </row>
    <row r="395" spans="1:3" ht="12.75" customHeight="1" x14ac:dyDescent="0.15">
      <c r="A395" s="8"/>
      <c r="B395" s="9"/>
      <c r="C395" s="16"/>
    </row>
    <row r="396" spans="1:3" ht="12.75" customHeight="1" x14ac:dyDescent="0.15">
      <c r="A396" s="8"/>
      <c r="B396" s="9"/>
      <c r="C396" s="16"/>
    </row>
    <row r="397" spans="1:3" ht="12.75" customHeight="1" x14ac:dyDescent="0.15">
      <c r="A397" s="8"/>
      <c r="B397" s="9"/>
      <c r="C397" s="16"/>
    </row>
    <row r="398" spans="1:3" ht="12.75" customHeight="1" x14ac:dyDescent="0.15">
      <c r="A398" s="8"/>
      <c r="B398" s="9"/>
      <c r="C398" s="16"/>
    </row>
    <row r="399" spans="1:3" ht="12.75" customHeight="1" x14ac:dyDescent="0.15">
      <c r="A399" s="8"/>
      <c r="B399" s="9"/>
      <c r="C399" s="16"/>
    </row>
    <row r="400" spans="1:3" ht="12.75" customHeight="1" x14ac:dyDescent="0.15">
      <c r="A400" s="8"/>
      <c r="B400" s="9"/>
      <c r="C400" s="16"/>
    </row>
    <row r="401" spans="1:3" ht="12.75" customHeight="1" x14ac:dyDescent="0.15">
      <c r="A401" s="8"/>
      <c r="B401" s="9"/>
      <c r="C401" s="16"/>
    </row>
    <row r="402" spans="1:3" ht="12.75" customHeight="1" x14ac:dyDescent="0.15">
      <c r="A402" s="8"/>
      <c r="B402" s="9"/>
      <c r="C402" s="16"/>
    </row>
    <row r="403" spans="1:3" ht="12.75" customHeight="1" x14ac:dyDescent="0.15">
      <c r="A403" s="8"/>
      <c r="B403" s="9"/>
      <c r="C403" s="16"/>
    </row>
    <row r="404" spans="1:3" ht="12.75" customHeight="1" x14ac:dyDescent="0.15">
      <c r="A404" s="8"/>
      <c r="B404" s="9"/>
      <c r="C404" s="16"/>
    </row>
    <row r="405" spans="1:3" ht="12.75" customHeight="1" x14ac:dyDescent="0.15">
      <c r="A405" s="8"/>
      <c r="B405" s="9"/>
      <c r="C405" s="16"/>
    </row>
    <row r="406" spans="1:3" ht="12.75" customHeight="1" x14ac:dyDescent="0.15">
      <c r="A406" s="8"/>
      <c r="B406" s="9"/>
      <c r="C406" s="16"/>
    </row>
    <row r="407" spans="1:3" ht="12.75" customHeight="1" x14ac:dyDescent="0.15">
      <c r="A407" s="8"/>
      <c r="B407" s="9"/>
      <c r="C407" s="16"/>
    </row>
    <row r="408" spans="1:3" ht="12.75" customHeight="1" x14ac:dyDescent="0.15">
      <c r="A408" s="8"/>
      <c r="B408" s="9"/>
      <c r="C408" s="16"/>
    </row>
    <row r="409" spans="1:3" ht="12.75" customHeight="1" x14ac:dyDescent="0.15">
      <c r="A409" s="8"/>
      <c r="B409" s="9"/>
      <c r="C409" s="16"/>
    </row>
    <row r="410" spans="1:3" ht="12.75" customHeight="1" x14ac:dyDescent="0.15">
      <c r="A410" s="8"/>
      <c r="B410" s="9"/>
      <c r="C410" s="16"/>
    </row>
    <row r="411" spans="1:3" ht="12.75" customHeight="1" x14ac:dyDescent="0.15">
      <c r="A411" s="8"/>
      <c r="B411" s="9"/>
      <c r="C411" s="16"/>
    </row>
    <row r="412" spans="1:3" ht="12.75" customHeight="1" x14ac:dyDescent="0.15">
      <c r="A412" s="8"/>
      <c r="B412" s="9"/>
      <c r="C412" s="16"/>
    </row>
    <row r="413" spans="1:3" ht="12.75" customHeight="1" x14ac:dyDescent="0.15">
      <c r="A413" s="8"/>
      <c r="B413" s="9"/>
      <c r="C413" s="16"/>
    </row>
    <row r="414" spans="1:3" ht="12.75" customHeight="1" x14ac:dyDescent="0.15">
      <c r="A414" s="8"/>
      <c r="B414" s="9"/>
      <c r="C414" s="16"/>
    </row>
    <row r="415" spans="1:3" ht="12.75" customHeight="1" x14ac:dyDescent="0.15">
      <c r="A415" s="8"/>
      <c r="B415" s="9"/>
      <c r="C415" s="16"/>
    </row>
    <row r="416" spans="1:3" ht="12.75" customHeight="1" x14ac:dyDescent="0.15">
      <c r="A416" s="8"/>
      <c r="B416" s="9"/>
      <c r="C416" s="16"/>
    </row>
    <row r="417" spans="1:3" ht="12.75" customHeight="1" x14ac:dyDescent="0.15">
      <c r="A417" s="8"/>
      <c r="B417" s="9"/>
      <c r="C417" s="16"/>
    </row>
    <row r="418" spans="1:3" ht="12.75" customHeight="1" x14ac:dyDescent="0.15">
      <c r="A418" s="8"/>
      <c r="B418" s="9"/>
      <c r="C418" s="16"/>
    </row>
    <row r="419" spans="1:3" ht="12.75" customHeight="1" x14ac:dyDescent="0.15">
      <c r="A419" s="8"/>
      <c r="B419" s="9"/>
      <c r="C419" s="16"/>
    </row>
    <row r="420" spans="1:3" ht="12.75" customHeight="1" x14ac:dyDescent="0.15">
      <c r="A420" s="8"/>
      <c r="B420" s="9"/>
      <c r="C420" s="16"/>
    </row>
    <row r="421" spans="1:3" ht="12.75" customHeight="1" x14ac:dyDescent="0.15">
      <c r="A421" s="8"/>
      <c r="B421" s="9"/>
      <c r="C421" s="16"/>
    </row>
    <row r="422" spans="1:3" ht="12.75" customHeight="1" x14ac:dyDescent="0.15">
      <c r="A422" s="8"/>
      <c r="B422" s="9"/>
      <c r="C422" s="16"/>
    </row>
    <row r="423" spans="1:3" ht="12.75" customHeight="1" x14ac:dyDescent="0.15">
      <c r="A423" s="8"/>
      <c r="B423" s="9"/>
      <c r="C423" s="16"/>
    </row>
    <row r="424" spans="1:3" ht="12.75" customHeight="1" x14ac:dyDescent="0.15">
      <c r="A424" s="8"/>
      <c r="B424" s="9"/>
      <c r="C424" s="16"/>
    </row>
    <row r="425" spans="1:3" ht="12.75" customHeight="1" x14ac:dyDescent="0.15">
      <c r="A425" s="8"/>
      <c r="B425" s="9"/>
      <c r="C425" s="16"/>
    </row>
    <row r="426" spans="1:3" ht="12.75" customHeight="1" x14ac:dyDescent="0.15">
      <c r="A426" s="8"/>
      <c r="B426" s="9"/>
      <c r="C426" s="16"/>
    </row>
    <row r="427" spans="1:3" ht="12.75" customHeight="1" x14ac:dyDescent="0.15">
      <c r="A427" s="8"/>
      <c r="B427" s="9"/>
      <c r="C427" s="16"/>
    </row>
    <row r="428" spans="1:3" ht="12.75" customHeight="1" x14ac:dyDescent="0.15">
      <c r="A428" s="8"/>
      <c r="B428" s="9"/>
      <c r="C428" s="16"/>
    </row>
    <row r="429" spans="1:3" ht="12.75" customHeight="1" x14ac:dyDescent="0.15">
      <c r="A429" s="8"/>
      <c r="B429" s="9"/>
      <c r="C429" s="16"/>
    </row>
    <row r="430" spans="1:3" ht="12.75" customHeight="1" x14ac:dyDescent="0.15">
      <c r="A430" s="8"/>
      <c r="B430" s="9"/>
      <c r="C430" s="16"/>
    </row>
    <row r="431" spans="1:3" ht="12.75" customHeight="1" x14ac:dyDescent="0.15">
      <c r="A431" s="8"/>
      <c r="B431" s="9"/>
      <c r="C431" s="16"/>
    </row>
    <row r="432" spans="1:3" ht="12.75" customHeight="1" x14ac:dyDescent="0.15">
      <c r="A432" s="8"/>
      <c r="B432" s="9"/>
      <c r="C432" s="16"/>
    </row>
    <row r="433" spans="1:3" ht="12.75" customHeight="1" x14ac:dyDescent="0.15">
      <c r="A433" s="8"/>
      <c r="B433" s="9"/>
      <c r="C433" s="16"/>
    </row>
    <row r="434" spans="1:3" ht="12.75" customHeight="1" x14ac:dyDescent="0.15">
      <c r="A434" s="8"/>
      <c r="B434" s="9"/>
      <c r="C434" s="16"/>
    </row>
    <row r="435" spans="1:3" ht="12.75" customHeight="1" x14ac:dyDescent="0.15">
      <c r="A435" s="8"/>
      <c r="B435" s="9"/>
      <c r="C435" s="16"/>
    </row>
    <row r="436" spans="1:3" ht="12.75" customHeight="1" x14ac:dyDescent="0.15">
      <c r="A436" s="8"/>
      <c r="B436" s="9"/>
      <c r="C436" s="16"/>
    </row>
    <row r="437" spans="1:3" ht="12.75" customHeight="1" x14ac:dyDescent="0.15">
      <c r="A437" s="8"/>
      <c r="B437" s="9"/>
      <c r="C437" s="16"/>
    </row>
    <row r="438" spans="1:3" ht="12.75" customHeight="1" x14ac:dyDescent="0.15">
      <c r="A438" s="8"/>
      <c r="B438" s="9"/>
      <c r="C438" s="16"/>
    </row>
    <row r="439" spans="1:3" ht="12.75" customHeight="1" x14ac:dyDescent="0.15">
      <c r="A439" s="8"/>
      <c r="B439" s="9"/>
      <c r="C439" s="16"/>
    </row>
    <row r="440" spans="1:3" ht="12.75" customHeight="1" x14ac:dyDescent="0.15">
      <c r="A440" s="8"/>
      <c r="B440" s="9"/>
      <c r="C440" s="16"/>
    </row>
    <row r="441" spans="1:3" ht="12.75" customHeight="1" x14ac:dyDescent="0.15">
      <c r="A441" s="8"/>
      <c r="B441" s="9"/>
      <c r="C441" s="16"/>
    </row>
    <row r="442" spans="1:3" ht="12.75" customHeight="1" x14ac:dyDescent="0.15">
      <c r="A442" s="8"/>
      <c r="B442" s="9"/>
      <c r="C442" s="16"/>
    </row>
    <row r="443" spans="1:3" ht="12.75" customHeight="1" x14ac:dyDescent="0.15">
      <c r="A443" s="8"/>
      <c r="B443" s="9"/>
      <c r="C443" s="16"/>
    </row>
    <row r="444" spans="1:3" ht="12.75" customHeight="1" x14ac:dyDescent="0.15">
      <c r="A444" s="8"/>
      <c r="B444" s="9"/>
      <c r="C444" s="16"/>
    </row>
    <row r="445" spans="1:3" ht="12.75" customHeight="1" x14ac:dyDescent="0.15">
      <c r="A445" s="8"/>
      <c r="B445" s="9"/>
      <c r="C445" s="16"/>
    </row>
    <row r="446" spans="1:3" ht="12.75" customHeight="1" x14ac:dyDescent="0.15">
      <c r="A446" s="8"/>
      <c r="B446" s="9"/>
      <c r="C446" s="16"/>
    </row>
    <row r="447" spans="1:3" ht="12.75" customHeight="1" x14ac:dyDescent="0.15">
      <c r="A447" s="8"/>
      <c r="B447" s="9"/>
      <c r="C447" s="16"/>
    </row>
    <row r="448" spans="1:3" ht="12.75" customHeight="1" x14ac:dyDescent="0.15">
      <c r="A448" s="8"/>
      <c r="B448" s="9"/>
      <c r="C448" s="16"/>
    </row>
    <row r="449" spans="1:3" ht="12.75" customHeight="1" x14ac:dyDescent="0.15">
      <c r="A449" s="8"/>
      <c r="B449" s="9"/>
      <c r="C449" s="16"/>
    </row>
    <row r="450" spans="1:3" ht="12.75" customHeight="1" x14ac:dyDescent="0.15">
      <c r="A450" s="8"/>
      <c r="B450" s="9"/>
      <c r="C450" s="16"/>
    </row>
    <row r="451" spans="1:3" ht="12.75" customHeight="1" x14ac:dyDescent="0.15">
      <c r="A451" s="8"/>
      <c r="B451" s="9"/>
      <c r="C451" s="16"/>
    </row>
    <row r="452" spans="1:3" ht="12.75" customHeight="1" x14ac:dyDescent="0.15">
      <c r="A452" s="8"/>
      <c r="B452" s="9"/>
      <c r="C452" s="16"/>
    </row>
    <row r="453" spans="1:3" ht="12.75" customHeight="1" x14ac:dyDescent="0.15">
      <c r="A453" s="8"/>
      <c r="B453" s="9"/>
      <c r="C453" s="16"/>
    </row>
    <row r="454" spans="1:3" ht="12.75" customHeight="1" x14ac:dyDescent="0.15">
      <c r="A454" s="8"/>
      <c r="B454" s="9"/>
      <c r="C454" s="16"/>
    </row>
    <row r="455" spans="1:3" ht="12.75" customHeight="1" x14ac:dyDescent="0.15">
      <c r="A455" s="8"/>
      <c r="B455" s="9"/>
      <c r="C455" s="16"/>
    </row>
    <row r="456" spans="1:3" ht="12.75" customHeight="1" x14ac:dyDescent="0.15">
      <c r="A456" s="8"/>
      <c r="B456" s="9"/>
      <c r="C456" s="16"/>
    </row>
    <row r="457" spans="1:3" ht="12.75" customHeight="1" x14ac:dyDescent="0.15">
      <c r="A457" s="8"/>
      <c r="B457" s="9"/>
      <c r="C457" s="16"/>
    </row>
    <row r="458" spans="1:3" ht="12.75" customHeight="1" x14ac:dyDescent="0.15">
      <c r="A458" s="8"/>
      <c r="B458" s="9"/>
      <c r="C458" s="16"/>
    </row>
    <row r="459" spans="1:3" ht="12.75" customHeight="1" x14ac:dyDescent="0.15">
      <c r="A459" s="8"/>
      <c r="B459" s="9"/>
      <c r="C459" s="16"/>
    </row>
    <row r="460" spans="1:3" ht="12.75" customHeight="1" x14ac:dyDescent="0.15">
      <c r="A460" s="8"/>
      <c r="B460" s="9"/>
      <c r="C460" s="16"/>
    </row>
    <row r="461" spans="1:3" ht="12.75" customHeight="1" x14ac:dyDescent="0.15">
      <c r="A461" s="8"/>
      <c r="B461" s="9"/>
      <c r="C461" s="16"/>
    </row>
    <row r="462" spans="1:3" ht="12.75" customHeight="1" x14ac:dyDescent="0.15">
      <c r="A462" s="8"/>
      <c r="B462" s="9"/>
      <c r="C462" s="16"/>
    </row>
    <row r="463" spans="1:3" ht="12.75" customHeight="1" x14ac:dyDescent="0.15">
      <c r="A463" s="8"/>
      <c r="B463" s="9"/>
      <c r="C463" s="16"/>
    </row>
    <row r="464" spans="1:3" ht="12.75" customHeight="1" x14ac:dyDescent="0.15">
      <c r="A464" s="8"/>
      <c r="B464" s="9"/>
      <c r="C464" s="16"/>
    </row>
    <row r="465" spans="1:3" ht="12.75" customHeight="1" x14ac:dyDescent="0.15">
      <c r="A465" s="8"/>
      <c r="B465" s="9"/>
      <c r="C465" s="16"/>
    </row>
    <row r="466" spans="1:3" ht="12.75" customHeight="1" x14ac:dyDescent="0.15">
      <c r="A466" s="8"/>
      <c r="B466" s="9"/>
      <c r="C466" s="16"/>
    </row>
    <row r="467" spans="1:3" ht="12.75" customHeight="1" x14ac:dyDescent="0.15">
      <c r="A467" s="8"/>
      <c r="B467" s="9"/>
      <c r="C467" s="16"/>
    </row>
    <row r="468" spans="1:3" ht="12.75" customHeight="1" x14ac:dyDescent="0.15">
      <c r="A468" s="8"/>
      <c r="B468" s="9"/>
      <c r="C468" s="16"/>
    </row>
    <row r="469" spans="1:3" ht="12.75" customHeight="1" x14ac:dyDescent="0.15">
      <c r="A469" s="8"/>
      <c r="B469" s="9"/>
      <c r="C469" s="16"/>
    </row>
    <row r="470" spans="1:3" ht="12.75" customHeight="1" x14ac:dyDescent="0.15">
      <c r="A470" s="8"/>
      <c r="B470" s="9"/>
      <c r="C470" s="16"/>
    </row>
    <row r="471" spans="1:3" ht="12.75" customHeight="1" x14ac:dyDescent="0.15">
      <c r="A471" s="8"/>
      <c r="B471" s="9"/>
      <c r="C471" s="16"/>
    </row>
    <row r="472" spans="1:3" ht="12.75" customHeight="1" x14ac:dyDescent="0.15">
      <c r="A472" s="8"/>
      <c r="B472" s="9"/>
      <c r="C472" s="16"/>
    </row>
    <row r="473" spans="1:3" ht="12.75" customHeight="1" x14ac:dyDescent="0.15">
      <c r="A473" s="8"/>
      <c r="B473" s="9"/>
      <c r="C473" s="16"/>
    </row>
    <row r="474" spans="1:3" ht="12.75" customHeight="1" x14ac:dyDescent="0.15">
      <c r="A474" s="8"/>
      <c r="B474" s="9"/>
      <c r="C474" s="16"/>
    </row>
    <row r="475" spans="1:3" ht="12.75" customHeight="1" x14ac:dyDescent="0.15">
      <c r="A475" s="8"/>
      <c r="B475" s="9"/>
      <c r="C475" s="16"/>
    </row>
    <row r="476" spans="1:3" ht="12.75" customHeight="1" x14ac:dyDescent="0.15">
      <c r="A476" s="8"/>
      <c r="B476" s="9"/>
      <c r="C476" s="16"/>
    </row>
    <row r="477" spans="1:3" ht="12.75" customHeight="1" x14ac:dyDescent="0.15">
      <c r="A477" s="8"/>
      <c r="B477" s="9"/>
      <c r="C477" s="16"/>
    </row>
    <row r="478" spans="1:3" ht="12.75" customHeight="1" x14ac:dyDescent="0.15">
      <c r="A478" s="8"/>
      <c r="B478" s="9"/>
      <c r="C478" s="16"/>
    </row>
    <row r="479" spans="1:3" ht="12.75" customHeight="1" x14ac:dyDescent="0.15">
      <c r="A479" s="8"/>
      <c r="B479" s="9"/>
      <c r="C479" s="16"/>
    </row>
    <row r="480" spans="1:3" ht="12.75" customHeight="1" x14ac:dyDescent="0.15">
      <c r="A480" s="8"/>
      <c r="B480" s="9"/>
      <c r="C480" s="16"/>
    </row>
    <row r="481" spans="1:3" ht="12.75" customHeight="1" x14ac:dyDescent="0.15">
      <c r="A481" s="8"/>
      <c r="B481" s="9"/>
      <c r="C481" s="16"/>
    </row>
    <row r="482" spans="1:3" ht="12.75" customHeight="1" x14ac:dyDescent="0.15">
      <c r="A482" s="8"/>
      <c r="B482" s="9"/>
      <c r="C482" s="16"/>
    </row>
    <row r="483" spans="1:3" ht="12.75" customHeight="1" x14ac:dyDescent="0.15">
      <c r="A483" s="8"/>
      <c r="B483" s="9"/>
      <c r="C483" s="16"/>
    </row>
    <row r="484" spans="1:3" ht="12.75" customHeight="1" x14ac:dyDescent="0.15">
      <c r="A484" s="8"/>
      <c r="B484" s="9"/>
      <c r="C484" s="16"/>
    </row>
    <row r="485" spans="1:3" ht="12.75" customHeight="1" x14ac:dyDescent="0.15">
      <c r="A485" s="8"/>
      <c r="B485" s="9"/>
      <c r="C485" s="16"/>
    </row>
    <row r="486" spans="1:3" ht="12.75" customHeight="1" x14ac:dyDescent="0.15">
      <c r="A486" s="8"/>
      <c r="B486" s="9"/>
      <c r="C486" s="16"/>
    </row>
    <row r="487" spans="1:3" ht="12.75" customHeight="1" x14ac:dyDescent="0.15">
      <c r="A487" s="8"/>
      <c r="B487" s="9"/>
      <c r="C487" s="16"/>
    </row>
    <row r="488" spans="1:3" ht="12.75" customHeight="1" x14ac:dyDescent="0.15">
      <c r="A488" s="8"/>
      <c r="B488" s="9"/>
      <c r="C488" s="16"/>
    </row>
    <row r="489" spans="1:3" ht="12.75" customHeight="1" x14ac:dyDescent="0.15">
      <c r="A489" s="8"/>
      <c r="B489" s="9"/>
      <c r="C489" s="16"/>
    </row>
    <row r="490" spans="1:3" ht="12.75" customHeight="1" x14ac:dyDescent="0.15">
      <c r="A490" s="8"/>
      <c r="B490" s="9"/>
      <c r="C490" s="16"/>
    </row>
    <row r="491" spans="1:3" ht="12.75" customHeight="1" x14ac:dyDescent="0.15">
      <c r="A491" s="8"/>
      <c r="B491" s="9"/>
      <c r="C491" s="16"/>
    </row>
    <row r="492" spans="1:3" ht="12.75" customHeight="1" x14ac:dyDescent="0.15">
      <c r="A492" s="8"/>
      <c r="B492" s="9"/>
      <c r="C492" s="16"/>
    </row>
    <row r="493" spans="1:3" ht="12.75" customHeight="1" x14ac:dyDescent="0.15">
      <c r="A493" s="8"/>
      <c r="B493" s="9"/>
      <c r="C493" s="16"/>
    </row>
    <row r="494" spans="1:3" ht="12.75" customHeight="1" x14ac:dyDescent="0.15">
      <c r="A494" s="8"/>
      <c r="B494" s="9"/>
      <c r="C494" s="16"/>
    </row>
    <row r="495" spans="1:3" ht="12.75" customHeight="1" x14ac:dyDescent="0.15">
      <c r="A495" s="8"/>
      <c r="B495" s="9"/>
      <c r="C495" s="16"/>
    </row>
    <row r="496" spans="1:3" ht="12.75" customHeight="1" x14ac:dyDescent="0.15">
      <c r="A496" s="8"/>
      <c r="B496" s="9"/>
      <c r="C496" s="16"/>
    </row>
    <row r="497" spans="1:3" ht="12.75" customHeight="1" x14ac:dyDescent="0.15">
      <c r="A497" s="8"/>
      <c r="B497" s="9"/>
      <c r="C497" s="16"/>
    </row>
    <row r="498" spans="1:3" ht="12.75" customHeight="1" x14ac:dyDescent="0.15">
      <c r="A498" s="8"/>
      <c r="B498" s="9"/>
      <c r="C498" s="16"/>
    </row>
    <row r="499" spans="1:3" ht="12.75" customHeight="1" x14ac:dyDescent="0.15">
      <c r="A499" s="8"/>
      <c r="B499" s="9"/>
      <c r="C499" s="16"/>
    </row>
    <row r="500" spans="1:3" ht="12.75" customHeight="1" x14ac:dyDescent="0.15">
      <c r="A500" s="8"/>
      <c r="B500" s="9"/>
      <c r="C500" s="16"/>
    </row>
    <row r="501" spans="1:3" ht="12.75" customHeight="1" x14ac:dyDescent="0.15">
      <c r="A501" s="8"/>
      <c r="B501" s="9"/>
      <c r="C501" s="16"/>
    </row>
    <row r="502" spans="1:3" ht="12.75" customHeight="1" x14ac:dyDescent="0.15">
      <c r="A502" s="8"/>
      <c r="B502" s="9"/>
      <c r="C502" s="16"/>
    </row>
    <row r="503" spans="1:3" ht="12.75" customHeight="1" x14ac:dyDescent="0.15">
      <c r="A503" s="8"/>
      <c r="B503" s="9"/>
      <c r="C503" s="16"/>
    </row>
    <row r="504" spans="1:3" ht="12.75" customHeight="1" x14ac:dyDescent="0.15">
      <c r="A504" s="8"/>
      <c r="B504" s="9"/>
      <c r="C504" s="16"/>
    </row>
    <row r="505" spans="1:3" ht="12.75" customHeight="1" x14ac:dyDescent="0.15">
      <c r="A505" s="8"/>
      <c r="B505" s="9"/>
      <c r="C505" s="16"/>
    </row>
    <row r="506" spans="1:3" ht="12.75" customHeight="1" x14ac:dyDescent="0.15">
      <c r="A506" s="8"/>
      <c r="B506" s="9"/>
      <c r="C506" s="16"/>
    </row>
    <row r="507" spans="1:3" ht="12.75" customHeight="1" x14ac:dyDescent="0.15">
      <c r="A507" s="8"/>
      <c r="B507" s="9"/>
      <c r="C507" s="16"/>
    </row>
    <row r="508" spans="1:3" ht="12.75" customHeight="1" x14ac:dyDescent="0.15">
      <c r="A508" s="8"/>
      <c r="B508" s="9"/>
      <c r="C508" s="16"/>
    </row>
    <row r="509" spans="1:3" ht="12.75" customHeight="1" x14ac:dyDescent="0.15">
      <c r="A509" s="8"/>
      <c r="B509" s="9"/>
      <c r="C509" s="16"/>
    </row>
    <row r="510" spans="1:3" ht="12.75" customHeight="1" x14ac:dyDescent="0.15">
      <c r="A510" s="8"/>
      <c r="B510" s="9"/>
      <c r="C510" s="16"/>
    </row>
    <row r="511" spans="1:3" ht="12.75" customHeight="1" x14ac:dyDescent="0.15">
      <c r="A511" s="8"/>
      <c r="B511" s="9"/>
      <c r="C511" s="16"/>
    </row>
    <row r="512" spans="1:3" ht="12.75" customHeight="1" x14ac:dyDescent="0.15">
      <c r="A512" s="8"/>
      <c r="B512" s="9"/>
      <c r="C512" s="16"/>
    </row>
    <row r="513" spans="1:3" ht="12.75" customHeight="1" x14ac:dyDescent="0.15">
      <c r="A513" s="8"/>
      <c r="B513" s="9"/>
      <c r="C513" s="16"/>
    </row>
    <row r="514" spans="1:3" ht="12.75" customHeight="1" x14ac:dyDescent="0.15">
      <c r="A514" s="8"/>
      <c r="B514" s="9"/>
      <c r="C514" s="16"/>
    </row>
    <row r="515" spans="1:3" ht="12.75" customHeight="1" x14ac:dyDescent="0.15">
      <c r="A515" s="8"/>
      <c r="B515" s="9"/>
      <c r="C515" s="16"/>
    </row>
    <row r="516" spans="1:3" ht="12.75" customHeight="1" x14ac:dyDescent="0.15">
      <c r="A516" s="8"/>
      <c r="B516" s="9"/>
      <c r="C516" s="16"/>
    </row>
    <row r="517" spans="1:3" ht="12.75" customHeight="1" x14ac:dyDescent="0.15">
      <c r="A517" s="8"/>
      <c r="B517" s="9"/>
      <c r="C517" s="16"/>
    </row>
    <row r="518" spans="1:3" ht="12.75" customHeight="1" x14ac:dyDescent="0.15">
      <c r="A518" s="8"/>
      <c r="B518" s="9"/>
      <c r="C518" s="16"/>
    </row>
    <row r="519" spans="1:3" ht="12.75" customHeight="1" x14ac:dyDescent="0.15">
      <c r="A519" s="8"/>
      <c r="B519" s="9"/>
      <c r="C519" s="16"/>
    </row>
    <row r="520" spans="1:3" ht="12.75" customHeight="1" x14ac:dyDescent="0.15">
      <c r="A520" s="8"/>
      <c r="B520" s="9"/>
      <c r="C520" s="16"/>
    </row>
    <row r="521" spans="1:3" ht="12.75" customHeight="1" x14ac:dyDescent="0.15">
      <c r="A521" s="8"/>
      <c r="B521" s="9"/>
      <c r="C521" s="16"/>
    </row>
    <row r="522" spans="1:3" ht="12.75" customHeight="1" x14ac:dyDescent="0.15">
      <c r="A522" s="8"/>
      <c r="B522" s="9"/>
      <c r="C522" s="16"/>
    </row>
    <row r="523" spans="1:3" ht="12.75" customHeight="1" x14ac:dyDescent="0.15">
      <c r="A523" s="8"/>
      <c r="B523" s="9"/>
      <c r="C523" s="16"/>
    </row>
    <row r="524" spans="1:3" ht="12.75" customHeight="1" x14ac:dyDescent="0.15">
      <c r="A524" s="8"/>
      <c r="B524" s="9"/>
      <c r="C524" s="16"/>
    </row>
    <row r="525" spans="1:3" ht="12.75" customHeight="1" x14ac:dyDescent="0.15">
      <c r="A525" s="8"/>
      <c r="B525" s="9"/>
      <c r="C525" s="16"/>
    </row>
    <row r="526" spans="1:3" ht="12.75" customHeight="1" x14ac:dyDescent="0.15">
      <c r="A526" s="8"/>
      <c r="B526" s="9"/>
      <c r="C526" s="16"/>
    </row>
    <row r="527" spans="1:3" ht="12.75" customHeight="1" x14ac:dyDescent="0.15">
      <c r="A527" s="8"/>
      <c r="B527" s="9"/>
      <c r="C527" s="16"/>
    </row>
    <row r="528" spans="1:3" ht="12.75" customHeight="1" x14ac:dyDescent="0.15">
      <c r="A528" s="8"/>
      <c r="B528" s="9"/>
      <c r="C528" s="16"/>
    </row>
    <row r="529" spans="1:3" ht="12.75" customHeight="1" x14ac:dyDescent="0.15">
      <c r="A529" s="8"/>
      <c r="B529" s="9"/>
      <c r="C529" s="16"/>
    </row>
    <row r="530" spans="1:3" ht="12.75" customHeight="1" x14ac:dyDescent="0.15">
      <c r="A530" s="8"/>
      <c r="B530" s="9"/>
      <c r="C530" s="16"/>
    </row>
    <row r="531" spans="1:3" ht="12.75" customHeight="1" x14ac:dyDescent="0.15">
      <c r="A531" s="8"/>
      <c r="B531" s="9"/>
      <c r="C531" s="16"/>
    </row>
    <row r="532" spans="1:3" ht="12.75" customHeight="1" x14ac:dyDescent="0.15">
      <c r="A532" s="8"/>
      <c r="B532" s="9"/>
      <c r="C532" s="16"/>
    </row>
    <row r="533" spans="1:3" ht="12.75" customHeight="1" x14ac:dyDescent="0.15">
      <c r="A533" s="8"/>
      <c r="B533" s="9"/>
      <c r="C533" s="16"/>
    </row>
    <row r="534" spans="1:3" ht="12.75" customHeight="1" x14ac:dyDescent="0.15">
      <c r="A534" s="8"/>
      <c r="B534" s="9"/>
      <c r="C534" s="16"/>
    </row>
    <row r="535" spans="1:3" ht="12.75" customHeight="1" x14ac:dyDescent="0.15">
      <c r="A535" s="8"/>
      <c r="B535" s="9"/>
      <c r="C535" s="16"/>
    </row>
    <row r="536" spans="1:3" ht="12.75" customHeight="1" x14ac:dyDescent="0.15">
      <c r="A536" s="8"/>
      <c r="B536" s="9"/>
      <c r="C536" s="16"/>
    </row>
    <row r="537" spans="1:3" ht="12.75" customHeight="1" x14ac:dyDescent="0.15">
      <c r="A537" s="8"/>
      <c r="B537" s="9"/>
      <c r="C537" s="16"/>
    </row>
    <row r="538" spans="1:3" ht="12.75" customHeight="1" x14ac:dyDescent="0.15">
      <c r="A538" s="8"/>
      <c r="B538" s="9"/>
      <c r="C538" s="16"/>
    </row>
    <row r="539" spans="1:3" ht="12.75" customHeight="1" x14ac:dyDescent="0.15">
      <c r="A539" s="8"/>
      <c r="B539" s="9"/>
      <c r="C539" s="16"/>
    </row>
    <row r="540" spans="1:3" ht="12.75" customHeight="1" x14ac:dyDescent="0.15">
      <c r="A540" s="8"/>
      <c r="B540" s="9"/>
      <c r="C540" s="16"/>
    </row>
    <row r="541" spans="1:3" ht="12.75" customHeight="1" x14ac:dyDescent="0.15">
      <c r="A541" s="8"/>
      <c r="B541" s="9"/>
      <c r="C541" s="16"/>
    </row>
    <row r="542" spans="1:3" ht="12.75" customHeight="1" x14ac:dyDescent="0.15">
      <c r="A542" s="8"/>
      <c r="B542" s="9"/>
      <c r="C542" s="16"/>
    </row>
    <row r="543" spans="1:3" ht="12.75" customHeight="1" x14ac:dyDescent="0.15">
      <c r="A543" s="8"/>
      <c r="B543" s="9"/>
      <c r="C543" s="16"/>
    </row>
    <row r="544" spans="1:3" ht="12.75" customHeight="1" x14ac:dyDescent="0.15">
      <c r="A544" s="8"/>
      <c r="B544" s="9"/>
      <c r="C544" s="16"/>
    </row>
    <row r="545" spans="1:3" ht="12.75" customHeight="1" x14ac:dyDescent="0.15">
      <c r="A545" s="8"/>
      <c r="B545" s="9"/>
      <c r="C545" s="16"/>
    </row>
    <row r="546" spans="1:3" ht="12.75" customHeight="1" x14ac:dyDescent="0.15">
      <c r="A546" s="8"/>
      <c r="B546" s="9"/>
      <c r="C546" s="16"/>
    </row>
    <row r="547" spans="1:3" ht="12.75" customHeight="1" x14ac:dyDescent="0.15">
      <c r="A547" s="8"/>
      <c r="B547" s="9"/>
      <c r="C547" s="16"/>
    </row>
    <row r="548" spans="1:3" ht="12.75" customHeight="1" x14ac:dyDescent="0.15">
      <c r="A548" s="8"/>
      <c r="B548" s="9"/>
      <c r="C548" s="16"/>
    </row>
    <row r="549" spans="1:3" ht="12.75" customHeight="1" x14ac:dyDescent="0.15">
      <c r="A549" s="8"/>
      <c r="B549" s="9"/>
      <c r="C549" s="16"/>
    </row>
    <row r="550" spans="1:3" ht="12.75" customHeight="1" x14ac:dyDescent="0.15">
      <c r="A550" s="8"/>
      <c r="B550" s="9"/>
      <c r="C550" s="16"/>
    </row>
    <row r="551" spans="1:3" ht="12.75" customHeight="1" x14ac:dyDescent="0.15">
      <c r="A551" s="8"/>
      <c r="B551" s="9"/>
      <c r="C551" s="16"/>
    </row>
    <row r="552" spans="1:3" ht="12.75" customHeight="1" x14ac:dyDescent="0.15">
      <c r="A552" s="8"/>
      <c r="B552" s="9"/>
      <c r="C552" s="16"/>
    </row>
    <row r="553" spans="1:3" ht="12.75" customHeight="1" x14ac:dyDescent="0.15">
      <c r="A553" s="8"/>
      <c r="B553" s="9"/>
      <c r="C553" s="16"/>
    </row>
    <row r="554" spans="1:3" ht="12.75" customHeight="1" x14ac:dyDescent="0.15">
      <c r="A554" s="8"/>
      <c r="B554" s="9"/>
      <c r="C554" s="16"/>
    </row>
    <row r="555" spans="1:3" ht="12.75" customHeight="1" x14ac:dyDescent="0.15">
      <c r="A555" s="8"/>
      <c r="B555" s="9"/>
      <c r="C555" s="16"/>
    </row>
    <row r="556" spans="1:3" ht="12.75" customHeight="1" x14ac:dyDescent="0.15">
      <c r="A556" s="8"/>
      <c r="B556" s="9"/>
      <c r="C556" s="16"/>
    </row>
    <row r="557" spans="1:3" ht="12.75" customHeight="1" x14ac:dyDescent="0.15">
      <c r="A557" s="8"/>
      <c r="B557" s="9"/>
      <c r="C557" s="16"/>
    </row>
    <row r="558" spans="1:3" ht="12.75" customHeight="1" x14ac:dyDescent="0.15">
      <c r="A558" s="8"/>
      <c r="B558" s="9"/>
      <c r="C558" s="16"/>
    </row>
    <row r="559" spans="1:3" ht="12.75" customHeight="1" x14ac:dyDescent="0.15">
      <c r="A559" s="8"/>
      <c r="B559" s="9"/>
      <c r="C559" s="16"/>
    </row>
    <row r="560" spans="1:3" ht="12.75" customHeight="1" x14ac:dyDescent="0.15">
      <c r="A560" s="8"/>
      <c r="B560" s="9"/>
      <c r="C560" s="16"/>
    </row>
    <row r="561" spans="1:3" ht="12.75" customHeight="1" x14ac:dyDescent="0.15">
      <c r="A561" s="8"/>
      <c r="B561" s="9"/>
      <c r="C561" s="16"/>
    </row>
    <row r="562" spans="1:3" ht="12.75" customHeight="1" x14ac:dyDescent="0.15">
      <c r="A562" s="8"/>
      <c r="B562" s="9"/>
      <c r="C562" s="16"/>
    </row>
    <row r="563" spans="1:3" ht="12.75" customHeight="1" x14ac:dyDescent="0.15">
      <c r="A563" s="8"/>
      <c r="B563" s="9"/>
      <c r="C563" s="16"/>
    </row>
    <row r="564" spans="1:3" ht="12.75" customHeight="1" x14ac:dyDescent="0.15">
      <c r="A564" s="8"/>
      <c r="B564" s="9"/>
      <c r="C564" s="16"/>
    </row>
    <row r="565" spans="1:3" ht="12.75" customHeight="1" x14ac:dyDescent="0.15">
      <c r="A565" s="8"/>
      <c r="B565" s="9"/>
      <c r="C565" s="16"/>
    </row>
    <row r="566" spans="1:3" ht="12.75" customHeight="1" x14ac:dyDescent="0.15">
      <c r="A566" s="8"/>
      <c r="B566" s="9"/>
      <c r="C566" s="16"/>
    </row>
    <row r="567" spans="1:3" ht="12.75" customHeight="1" x14ac:dyDescent="0.15">
      <c r="A567" s="8"/>
      <c r="B567" s="9"/>
      <c r="C567" s="16"/>
    </row>
    <row r="568" spans="1:3" ht="12.75" customHeight="1" x14ac:dyDescent="0.15">
      <c r="A568" s="8"/>
      <c r="B568" s="9"/>
      <c r="C568" s="16"/>
    </row>
    <row r="569" spans="1:3" ht="12.75" customHeight="1" x14ac:dyDescent="0.15">
      <c r="A569" s="8"/>
      <c r="B569" s="9"/>
      <c r="C569" s="16"/>
    </row>
    <row r="570" spans="1:3" ht="12.75" customHeight="1" x14ac:dyDescent="0.15">
      <c r="A570" s="8"/>
      <c r="B570" s="9"/>
      <c r="C570" s="16"/>
    </row>
    <row r="571" spans="1:3" ht="12.75" customHeight="1" x14ac:dyDescent="0.15">
      <c r="A571" s="8"/>
      <c r="B571" s="9"/>
      <c r="C571" s="16"/>
    </row>
    <row r="572" spans="1:3" ht="12.75" customHeight="1" x14ac:dyDescent="0.15">
      <c r="A572" s="8"/>
      <c r="B572" s="9"/>
      <c r="C572" s="16"/>
    </row>
    <row r="573" spans="1:3" ht="12.75" customHeight="1" x14ac:dyDescent="0.15">
      <c r="A573" s="8"/>
      <c r="B573" s="9"/>
      <c r="C573" s="16"/>
    </row>
    <row r="574" spans="1:3" ht="12.75" customHeight="1" x14ac:dyDescent="0.15">
      <c r="A574" s="8"/>
      <c r="B574" s="9"/>
      <c r="C574" s="16"/>
    </row>
    <row r="575" spans="1:3" ht="12.75" customHeight="1" x14ac:dyDescent="0.15">
      <c r="A575" s="8"/>
      <c r="B575" s="9"/>
      <c r="C575" s="16"/>
    </row>
    <row r="576" spans="1:3" ht="12.75" customHeight="1" x14ac:dyDescent="0.15">
      <c r="A576" s="8"/>
      <c r="B576" s="9"/>
      <c r="C576" s="16"/>
    </row>
    <row r="577" spans="1:3" ht="12.75" customHeight="1" x14ac:dyDescent="0.15">
      <c r="A577" s="8"/>
      <c r="B577" s="9"/>
      <c r="C577" s="16"/>
    </row>
    <row r="578" spans="1:3" ht="12.75" customHeight="1" x14ac:dyDescent="0.15">
      <c r="A578" s="8"/>
      <c r="B578" s="9"/>
      <c r="C578" s="16"/>
    </row>
    <row r="579" spans="1:3" ht="12.75" customHeight="1" x14ac:dyDescent="0.15">
      <c r="A579" s="8"/>
      <c r="B579" s="9"/>
      <c r="C579" s="16"/>
    </row>
    <row r="580" spans="1:3" ht="12.75" customHeight="1" x14ac:dyDescent="0.15">
      <c r="A580" s="8"/>
      <c r="B580" s="9"/>
      <c r="C580" s="16"/>
    </row>
    <row r="581" spans="1:3" ht="12.75" customHeight="1" x14ac:dyDescent="0.15">
      <c r="A581" s="8"/>
      <c r="B581" s="9"/>
      <c r="C581" s="16"/>
    </row>
    <row r="582" spans="1:3" ht="12.75" customHeight="1" x14ac:dyDescent="0.15">
      <c r="A582" s="8"/>
      <c r="B582" s="9"/>
      <c r="C582" s="16"/>
    </row>
    <row r="583" spans="1:3" ht="12.75" customHeight="1" x14ac:dyDescent="0.15">
      <c r="A583" s="8"/>
      <c r="B583" s="9"/>
      <c r="C583" s="16"/>
    </row>
    <row r="584" spans="1:3" ht="12.75" customHeight="1" x14ac:dyDescent="0.15">
      <c r="A584" s="8"/>
      <c r="B584" s="9"/>
      <c r="C584" s="16"/>
    </row>
    <row r="585" spans="1:3" ht="12.75" customHeight="1" x14ac:dyDescent="0.15">
      <c r="A585" s="8"/>
      <c r="B585" s="9"/>
      <c r="C585" s="16"/>
    </row>
    <row r="586" spans="1:3" ht="12.75" customHeight="1" x14ac:dyDescent="0.15">
      <c r="A586" s="8"/>
      <c r="B586" s="9"/>
      <c r="C586" s="16"/>
    </row>
    <row r="587" spans="1:3" ht="12.75" customHeight="1" x14ac:dyDescent="0.15">
      <c r="A587" s="8"/>
      <c r="B587" s="9"/>
      <c r="C587" s="16"/>
    </row>
    <row r="588" spans="1:3" ht="12.75" customHeight="1" x14ac:dyDescent="0.15">
      <c r="A588" s="8"/>
      <c r="B588" s="9"/>
      <c r="C588" s="16"/>
    </row>
    <row r="589" spans="1:3" ht="12.75" customHeight="1" x14ac:dyDescent="0.15">
      <c r="A589" s="8"/>
      <c r="B589" s="9"/>
      <c r="C589" s="16"/>
    </row>
    <row r="590" spans="1:3" ht="12.75" customHeight="1" x14ac:dyDescent="0.15">
      <c r="A590" s="8"/>
      <c r="B590" s="9"/>
      <c r="C590" s="16"/>
    </row>
    <row r="591" spans="1:3" ht="12.75" customHeight="1" x14ac:dyDescent="0.15">
      <c r="A591" s="8"/>
      <c r="B591" s="9"/>
      <c r="C591" s="16"/>
    </row>
    <row r="592" spans="1:3" ht="12.75" customHeight="1" x14ac:dyDescent="0.15">
      <c r="A592" s="8"/>
      <c r="B592" s="9"/>
      <c r="C592" s="16"/>
    </row>
    <row r="593" spans="1:3" ht="12.75" customHeight="1" x14ac:dyDescent="0.15">
      <c r="A593" s="8"/>
      <c r="B593" s="9"/>
      <c r="C593" s="16"/>
    </row>
    <row r="594" spans="1:3" ht="12.75" customHeight="1" x14ac:dyDescent="0.15">
      <c r="A594" s="8"/>
      <c r="B594" s="9"/>
      <c r="C594" s="16"/>
    </row>
    <row r="595" spans="1:3" ht="12.75" customHeight="1" x14ac:dyDescent="0.15">
      <c r="A595" s="8"/>
      <c r="B595" s="9"/>
      <c r="C595" s="16"/>
    </row>
    <row r="596" spans="1:3" ht="12.75" customHeight="1" x14ac:dyDescent="0.15">
      <c r="A596" s="8"/>
      <c r="B596" s="9"/>
      <c r="C596" s="16"/>
    </row>
    <row r="597" spans="1:3" ht="12.75" customHeight="1" x14ac:dyDescent="0.15">
      <c r="A597" s="8"/>
      <c r="B597" s="9"/>
      <c r="C597" s="16"/>
    </row>
    <row r="598" spans="1:3" ht="12.75" customHeight="1" x14ac:dyDescent="0.15">
      <c r="A598" s="8"/>
      <c r="B598" s="9"/>
      <c r="C598" s="16"/>
    </row>
    <row r="599" spans="1:3" ht="12.75" customHeight="1" x14ac:dyDescent="0.15">
      <c r="A599" s="8"/>
      <c r="B599" s="9"/>
      <c r="C599" s="16"/>
    </row>
    <row r="600" spans="1:3" ht="12.75" customHeight="1" x14ac:dyDescent="0.15">
      <c r="A600" s="8"/>
      <c r="B600" s="9"/>
      <c r="C600" s="16"/>
    </row>
    <row r="601" spans="1:3" ht="12.75" customHeight="1" x14ac:dyDescent="0.15">
      <c r="A601" s="8"/>
      <c r="B601" s="9"/>
      <c r="C601" s="16"/>
    </row>
    <row r="602" spans="1:3" ht="12.75" customHeight="1" x14ac:dyDescent="0.15">
      <c r="A602" s="8"/>
      <c r="B602" s="9"/>
      <c r="C602" s="16"/>
    </row>
    <row r="603" spans="1:3" ht="12.75" customHeight="1" x14ac:dyDescent="0.15">
      <c r="A603" s="8"/>
      <c r="B603" s="9"/>
      <c r="C603" s="16"/>
    </row>
    <row r="604" spans="1:3" ht="12.75" customHeight="1" x14ac:dyDescent="0.15">
      <c r="A604" s="8"/>
      <c r="B604" s="9"/>
      <c r="C604" s="16"/>
    </row>
    <row r="605" spans="1:3" ht="12.75" customHeight="1" x14ac:dyDescent="0.15">
      <c r="A605" s="8"/>
      <c r="B605" s="9"/>
      <c r="C605" s="16"/>
    </row>
    <row r="606" spans="1:3" ht="12.75" customHeight="1" x14ac:dyDescent="0.15">
      <c r="A606" s="8"/>
      <c r="B606" s="9"/>
      <c r="C606" s="16"/>
    </row>
    <row r="607" spans="1:3" ht="12.75" customHeight="1" x14ac:dyDescent="0.15">
      <c r="A607" s="8"/>
      <c r="B607" s="9"/>
      <c r="C607" s="16"/>
    </row>
    <row r="608" spans="1:3" ht="12.75" customHeight="1" x14ac:dyDescent="0.15">
      <c r="A608" s="8"/>
      <c r="B608" s="9"/>
      <c r="C608" s="16"/>
    </row>
    <row r="609" spans="1:3" ht="12.75" customHeight="1" x14ac:dyDescent="0.15">
      <c r="A609" s="8"/>
      <c r="B609" s="9"/>
      <c r="C609" s="16"/>
    </row>
    <row r="610" spans="1:3" ht="12.75" customHeight="1" x14ac:dyDescent="0.15">
      <c r="A610" s="8"/>
      <c r="B610" s="9"/>
      <c r="C610" s="16"/>
    </row>
    <row r="611" spans="1:3" ht="12.75" customHeight="1" x14ac:dyDescent="0.15">
      <c r="A611" s="8"/>
      <c r="B611" s="9"/>
      <c r="C611" s="16"/>
    </row>
    <row r="612" spans="1:3" ht="12.75" customHeight="1" x14ac:dyDescent="0.15">
      <c r="A612" s="8"/>
      <c r="B612" s="9"/>
      <c r="C612" s="16"/>
    </row>
    <row r="613" spans="1:3" ht="12.75" customHeight="1" x14ac:dyDescent="0.15">
      <c r="A613" s="8"/>
      <c r="B613" s="9"/>
      <c r="C613" s="16"/>
    </row>
    <row r="614" spans="1:3" ht="12.75" customHeight="1" x14ac:dyDescent="0.15">
      <c r="A614" s="8"/>
      <c r="B614" s="9"/>
      <c r="C614" s="16"/>
    </row>
    <row r="615" spans="1:3" ht="12.75" customHeight="1" x14ac:dyDescent="0.15">
      <c r="A615" s="8"/>
      <c r="B615" s="9"/>
      <c r="C615" s="16"/>
    </row>
    <row r="616" spans="1:3" ht="12.75" customHeight="1" x14ac:dyDescent="0.15">
      <c r="A616" s="8"/>
      <c r="B616" s="9"/>
      <c r="C616" s="16"/>
    </row>
    <row r="617" spans="1:3" ht="12.75" customHeight="1" x14ac:dyDescent="0.15">
      <c r="A617" s="8"/>
      <c r="B617" s="9"/>
      <c r="C617" s="16"/>
    </row>
    <row r="618" spans="1:3" ht="12.75" customHeight="1" x14ac:dyDescent="0.15">
      <c r="A618" s="8"/>
      <c r="B618" s="9"/>
      <c r="C618" s="16"/>
    </row>
    <row r="619" spans="1:3" ht="12.75" customHeight="1" x14ac:dyDescent="0.15">
      <c r="A619" s="8"/>
      <c r="B619" s="9"/>
      <c r="C619" s="16"/>
    </row>
    <row r="620" spans="1:3" ht="12.75" customHeight="1" x14ac:dyDescent="0.15">
      <c r="A620" s="8"/>
      <c r="B620" s="9"/>
      <c r="C620" s="16"/>
    </row>
    <row r="621" spans="1:3" ht="12.75" customHeight="1" x14ac:dyDescent="0.15">
      <c r="A621" s="8"/>
      <c r="B621" s="9"/>
      <c r="C621" s="16"/>
    </row>
    <row r="622" spans="1:3" ht="12.75" customHeight="1" x14ac:dyDescent="0.15">
      <c r="A622" s="8"/>
      <c r="B622" s="9"/>
      <c r="C622" s="16"/>
    </row>
    <row r="623" spans="1:3" ht="12.75" customHeight="1" x14ac:dyDescent="0.15">
      <c r="A623" s="8"/>
      <c r="B623" s="9"/>
      <c r="C623" s="16"/>
    </row>
    <row r="624" spans="1:3" ht="12.75" customHeight="1" x14ac:dyDescent="0.15">
      <c r="A624" s="8"/>
      <c r="B624" s="9"/>
      <c r="C624" s="16"/>
    </row>
    <row r="625" spans="1:3" ht="12.75" customHeight="1" x14ac:dyDescent="0.15">
      <c r="A625" s="8"/>
      <c r="B625" s="9"/>
      <c r="C625" s="16"/>
    </row>
    <row r="626" spans="1:3" ht="12.75" customHeight="1" x14ac:dyDescent="0.15">
      <c r="A626" s="8"/>
      <c r="B626" s="9"/>
      <c r="C626" s="16"/>
    </row>
    <row r="627" spans="1:3" ht="12.75" customHeight="1" x14ac:dyDescent="0.15">
      <c r="A627" s="8"/>
      <c r="B627" s="9"/>
      <c r="C627" s="16"/>
    </row>
    <row r="628" spans="1:3" ht="12.75" customHeight="1" x14ac:dyDescent="0.15">
      <c r="A628" s="8"/>
      <c r="B628" s="9"/>
      <c r="C628" s="16"/>
    </row>
    <row r="629" spans="1:3" ht="12.75" customHeight="1" x14ac:dyDescent="0.15">
      <c r="A629" s="8"/>
      <c r="B629" s="9"/>
      <c r="C629" s="16"/>
    </row>
    <row r="630" spans="1:3" ht="12.75" customHeight="1" x14ac:dyDescent="0.15">
      <c r="A630" s="8"/>
      <c r="B630" s="9"/>
      <c r="C630" s="16"/>
    </row>
    <row r="631" spans="1:3" ht="12.75" customHeight="1" x14ac:dyDescent="0.15">
      <c r="A631" s="8"/>
      <c r="B631" s="9"/>
      <c r="C631" s="16"/>
    </row>
    <row r="632" spans="1:3" ht="12.75" customHeight="1" x14ac:dyDescent="0.15">
      <c r="A632" s="8"/>
      <c r="B632" s="9"/>
      <c r="C632" s="16"/>
    </row>
    <row r="633" spans="1:3" ht="12.75" customHeight="1" x14ac:dyDescent="0.15">
      <c r="A633" s="8"/>
      <c r="B633" s="9"/>
      <c r="C633" s="16"/>
    </row>
    <row r="634" spans="1:3" ht="12.75" customHeight="1" x14ac:dyDescent="0.15">
      <c r="A634" s="8"/>
      <c r="B634" s="9"/>
      <c r="C634" s="16"/>
    </row>
    <row r="635" spans="1:3" ht="12.75" customHeight="1" x14ac:dyDescent="0.15">
      <c r="A635" s="8"/>
      <c r="B635" s="9"/>
      <c r="C635" s="16"/>
    </row>
    <row r="636" spans="1:3" ht="12.75" customHeight="1" x14ac:dyDescent="0.15">
      <c r="A636" s="8"/>
      <c r="B636" s="9"/>
      <c r="C636" s="16"/>
    </row>
    <row r="637" spans="1:3" ht="12.75" customHeight="1" x14ac:dyDescent="0.15">
      <c r="A637" s="8"/>
      <c r="B637" s="9"/>
      <c r="C637" s="16"/>
    </row>
    <row r="638" spans="1:3" ht="12.75" customHeight="1" x14ac:dyDescent="0.15">
      <c r="A638" s="8"/>
      <c r="B638" s="9"/>
      <c r="C638" s="16"/>
    </row>
    <row r="639" spans="1:3" ht="12.75" customHeight="1" x14ac:dyDescent="0.15">
      <c r="A639" s="8"/>
      <c r="B639" s="9"/>
      <c r="C639" s="16"/>
    </row>
    <row r="640" spans="1:3" ht="12.75" customHeight="1" x14ac:dyDescent="0.15">
      <c r="A640" s="8"/>
      <c r="B640" s="9"/>
      <c r="C640" s="16"/>
    </row>
    <row r="641" spans="1:3" ht="12.75" customHeight="1" x14ac:dyDescent="0.15">
      <c r="A641" s="8"/>
      <c r="B641" s="9"/>
      <c r="C641" s="16"/>
    </row>
    <row r="642" spans="1:3" ht="12.75" customHeight="1" x14ac:dyDescent="0.15">
      <c r="A642" s="8"/>
      <c r="B642" s="9"/>
      <c r="C642" s="16"/>
    </row>
    <row r="643" spans="1:3" ht="12.75" customHeight="1" x14ac:dyDescent="0.15">
      <c r="A643" s="8"/>
      <c r="B643" s="9"/>
      <c r="C643" s="16"/>
    </row>
    <row r="644" spans="1:3" ht="12.75" customHeight="1" x14ac:dyDescent="0.15">
      <c r="A644" s="8"/>
      <c r="B644" s="9"/>
      <c r="C644" s="16"/>
    </row>
    <row r="645" spans="1:3" ht="12.75" customHeight="1" x14ac:dyDescent="0.15">
      <c r="A645" s="8"/>
      <c r="B645" s="9"/>
      <c r="C645" s="16"/>
    </row>
    <row r="646" spans="1:3" ht="12.75" customHeight="1" x14ac:dyDescent="0.15">
      <c r="A646" s="8"/>
      <c r="B646" s="9"/>
      <c r="C646" s="16"/>
    </row>
    <row r="647" spans="1:3" ht="12.75" customHeight="1" x14ac:dyDescent="0.15">
      <c r="A647" s="8"/>
      <c r="B647" s="9"/>
      <c r="C647" s="16"/>
    </row>
    <row r="648" spans="1:3" ht="12.75" customHeight="1" x14ac:dyDescent="0.15">
      <c r="A648" s="8"/>
      <c r="B648" s="9"/>
      <c r="C648" s="16"/>
    </row>
    <row r="649" spans="1:3" ht="12.75" customHeight="1" x14ac:dyDescent="0.15">
      <c r="A649" s="8"/>
      <c r="B649" s="9"/>
      <c r="C649" s="16"/>
    </row>
    <row r="650" spans="1:3" ht="12.75" customHeight="1" x14ac:dyDescent="0.15">
      <c r="A650" s="8"/>
      <c r="B650" s="9"/>
      <c r="C650" s="16"/>
    </row>
    <row r="651" spans="1:3" ht="12.75" customHeight="1" x14ac:dyDescent="0.15">
      <c r="A651" s="8"/>
      <c r="B651" s="9"/>
      <c r="C651" s="16"/>
    </row>
    <row r="652" spans="1:3" ht="12.75" customHeight="1" x14ac:dyDescent="0.15">
      <c r="A652" s="8"/>
      <c r="B652" s="9"/>
      <c r="C652" s="16"/>
    </row>
    <row r="653" spans="1:3" ht="12.75" customHeight="1" x14ac:dyDescent="0.15">
      <c r="A653" s="8"/>
      <c r="B653" s="9"/>
      <c r="C653" s="16"/>
    </row>
    <row r="654" spans="1:3" ht="12.75" customHeight="1" x14ac:dyDescent="0.15">
      <c r="A654" s="8"/>
      <c r="B654" s="9"/>
      <c r="C654" s="16"/>
    </row>
    <row r="655" spans="1:3" ht="12.75" customHeight="1" x14ac:dyDescent="0.15">
      <c r="A655" s="8"/>
      <c r="B655" s="9"/>
      <c r="C655" s="16"/>
    </row>
    <row r="656" spans="1:3" ht="12.75" customHeight="1" x14ac:dyDescent="0.15">
      <c r="A656" s="8"/>
      <c r="B656" s="9"/>
      <c r="C656" s="16"/>
    </row>
    <row r="657" spans="1:3" ht="12.75" customHeight="1" x14ac:dyDescent="0.15">
      <c r="A657" s="8"/>
      <c r="B657" s="9"/>
      <c r="C657" s="16"/>
    </row>
    <row r="658" spans="1:3" ht="12.75" customHeight="1" x14ac:dyDescent="0.15">
      <c r="A658" s="8"/>
      <c r="B658" s="9"/>
      <c r="C658" s="16"/>
    </row>
    <row r="659" spans="1:3" ht="12.75" customHeight="1" x14ac:dyDescent="0.15">
      <c r="A659" s="8"/>
      <c r="B659" s="9"/>
      <c r="C659" s="16"/>
    </row>
    <row r="660" spans="1:3" ht="12.75" customHeight="1" x14ac:dyDescent="0.15">
      <c r="A660" s="8"/>
      <c r="B660" s="9"/>
      <c r="C660" s="16"/>
    </row>
    <row r="661" spans="1:3" ht="12.75" customHeight="1" x14ac:dyDescent="0.15">
      <c r="A661" s="8"/>
      <c r="B661" s="9"/>
      <c r="C661" s="16"/>
    </row>
    <row r="662" spans="1:3" ht="12.75" customHeight="1" x14ac:dyDescent="0.15">
      <c r="A662" s="8"/>
      <c r="B662" s="9"/>
      <c r="C662" s="16"/>
    </row>
    <row r="663" spans="1:3" ht="12.75" customHeight="1" x14ac:dyDescent="0.15">
      <c r="A663" s="8"/>
      <c r="B663" s="9"/>
      <c r="C663" s="16"/>
    </row>
    <row r="664" spans="1:3" ht="12.75" customHeight="1" x14ac:dyDescent="0.15">
      <c r="A664" s="8"/>
      <c r="B664" s="9"/>
      <c r="C664" s="16"/>
    </row>
    <row r="665" spans="1:3" ht="12.75" customHeight="1" x14ac:dyDescent="0.15">
      <c r="A665" s="8"/>
      <c r="B665" s="9"/>
      <c r="C665" s="16"/>
    </row>
    <row r="666" spans="1:3" ht="12.75" customHeight="1" x14ac:dyDescent="0.15">
      <c r="A666" s="8"/>
      <c r="B666" s="9"/>
      <c r="C666" s="16"/>
    </row>
    <row r="667" spans="1:3" ht="12.75" customHeight="1" x14ac:dyDescent="0.15">
      <c r="A667" s="8"/>
      <c r="B667" s="9"/>
      <c r="C667" s="16"/>
    </row>
    <row r="668" spans="1:3" ht="12.75" customHeight="1" x14ac:dyDescent="0.15">
      <c r="A668" s="8"/>
      <c r="B668" s="9"/>
      <c r="C668" s="16"/>
    </row>
    <row r="669" spans="1:3" ht="12.75" customHeight="1" x14ac:dyDescent="0.15">
      <c r="A669" s="8"/>
      <c r="B669" s="9"/>
      <c r="C669" s="16"/>
    </row>
    <row r="670" spans="1:3" ht="12.75" customHeight="1" x14ac:dyDescent="0.15">
      <c r="A670" s="8"/>
      <c r="B670" s="9"/>
      <c r="C670" s="16"/>
    </row>
    <row r="671" spans="1:3" ht="12.75" customHeight="1" x14ac:dyDescent="0.15">
      <c r="A671" s="8"/>
      <c r="B671" s="9"/>
      <c r="C671" s="16"/>
    </row>
    <row r="672" spans="1:3" ht="12.75" customHeight="1" x14ac:dyDescent="0.15">
      <c r="A672" s="8"/>
      <c r="B672" s="9"/>
      <c r="C672" s="16"/>
    </row>
    <row r="673" spans="1:3" ht="12.75" customHeight="1" x14ac:dyDescent="0.15">
      <c r="A673" s="8"/>
      <c r="B673" s="9"/>
      <c r="C673" s="16"/>
    </row>
    <row r="674" spans="1:3" ht="12.75" customHeight="1" x14ac:dyDescent="0.15">
      <c r="A674" s="8"/>
      <c r="B674" s="9"/>
      <c r="C674" s="16"/>
    </row>
    <row r="675" spans="1:3" ht="12.75" customHeight="1" x14ac:dyDescent="0.15">
      <c r="A675" s="8"/>
      <c r="B675" s="9"/>
      <c r="C675" s="16"/>
    </row>
    <row r="676" spans="1:3" ht="12.75" customHeight="1" x14ac:dyDescent="0.15">
      <c r="A676" s="8"/>
      <c r="B676" s="9"/>
      <c r="C676" s="16"/>
    </row>
    <row r="677" spans="1:3" ht="12.75" customHeight="1" x14ac:dyDescent="0.15">
      <c r="A677" s="8"/>
      <c r="B677" s="9"/>
      <c r="C677" s="16"/>
    </row>
    <row r="678" spans="1:3" ht="12.75" customHeight="1" x14ac:dyDescent="0.15">
      <c r="A678" s="8"/>
      <c r="B678" s="9"/>
      <c r="C678" s="16"/>
    </row>
    <row r="679" spans="1:3" ht="12.75" customHeight="1" x14ac:dyDescent="0.15">
      <c r="A679" s="8"/>
      <c r="B679" s="9"/>
      <c r="C679" s="16"/>
    </row>
    <row r="680" spans="1:3" ht="12.75" customHeight="1" x14ac:dyDescent="0.15">
      <c r="A680" s="8"/>
      <c r="B680" s="9"/>
      <c r="C680" s="16"/>
    </row>
    <row r="681" spans="1:3" ht="12.75" customHeight="1" x14ac:dyDescent="0.15">
      <c r="A681" s="8"/>
      <c r="B681" s="9"/>
      <c r="C681" s="16"/>
    </row>
    <row r="682" spans="1:3" ht="12.75" customHeight="1" x14ac:dyDescent="0.15">
      <c r="A682" s="8"/>
      <c r="B682" s="9"/>
      <c r="C682" s="16"/>
    </row>
    <row r="683" spans="1:3" ht="12.75" customHeight="1" x14ac:dyDescent="0.15">
      <c r="A683" s="8"/>
      <c r="B683" s="9"/>
      <c r="C683" s="16"/>
    </row>
    <row r="684" spans="1:3" ht="12.75" customHeight="1" x14ac:dyDescent="0.15">
      <c r="A684" s="8"/>
      <c r="B684" s="9"/>
      <c r="C684" s="16"/>
    </row>
    <row r="685" spans="1:3" ht="12.75" customHeight="1" x14ac:dyDescent="0.15">
      <c r="A685" s="8"/>
      <c r="B685" s="9"/>
      <c r="C685" s="16"/>
    </row>
    <row r="686" spans="1:3" ht="12.75" customHeight="1" x14ac:dyDescent="0.15">
      <c r="A686" s="8"/>
      <c r="B686" s="9"/>
      <c r="C686" s="16"/>
    </row>
    <row r="687" spans="1:3" ht="12.75" customHeight="1" x14ac:dyDescent="0.15">
      <c r="A687" s="8"/>
      <c r="B687" s="9"/>
      <c r="C687" s="16"/>
    </row>
    <row r="688" spans="1:3" ht="12.75" customHeight="1" x14ac:dyDescent="0.15">
      <c r="A688" s="8"/>
      <c r="B688" s="9"/>
      <c r="C688" s="16"/>
    </row>
    <row r="689" spans="1:3" ht="12.75" customHeight="1" x14ac:dyDescent="0.15">
      <c r="A689" s="8"/>
      <c r="B689" s="9"/>
      <c r="C689" s="16"/>
    </row>
    <row r="690" spans="1:3" ht="12.75" customHeight="1" x14ac:dyDescent="0.15">
      <c r="A690" s="8"/>
      <c r="B690" s="9"/>
      <c r="C690" s="16"/>
    </row>
    <row r="691" spans="1:3" ht="12.75" customHeight="1" x14ac:dyDescent="0.15">
      <c r="A691" s="8"/>
      <c r="B691" s="9"/>
      <c r="C691" s="16"/>
    </row>
    <row r="692" spans="1:3" ht="12.75" customHeight="1" x14ac:dyDescent="0.15">
      <c r="A692" s="8"/>
      <c r="B692" s="9"/>
      <c r="C692" s="16"/>
    </row>
    <row r="693" spans="1:3" ht="12.75" customHeight="1" x14ac:dyDescent="0.15">
      <c r="A693" s="8"/>
      <c r="B693" s="9"/>
      <c r="C693" s="16"/>
    </row>
    <row r="694" spans="1:3" ht="12.75" customHeight="1" x14ac:dyDescent="0.15">
      <c r="A694" s="8"/>
      <c r="B694" s="9"/>
      <c r="C694" s="16"/>
    </row>
    <row r="695" spans="1:3" ht="12.75" customHeight="1" x14ac:dyDescent="0.15">
      <c r="A695" s="8"/>
      <c r="B695" s="9"/>
      <c r="C695" s="16"/>
    </row>
    <row r="696" spans="1:3" ht="12.75" customHeight="1" x14ac:dyDescent="0.15">
      <c r="A696" s="8"/>
      <c r="B696" s="9"/>
      <c r="C696" s="16"/>
    </row>
    <row r="697" spans="1:3" ht="12.75" customHeight="1" x14ac:dyDescent="0.15">
      <c r="A697" s="8"/>
      <c r="B697" s="9"/>
      <c r="C697" s="16"/>
    </row>
    <row r="698" spans="1:3" ht="12.75" customHeight="1" x14ac:dyDescent="0.15">
      <c r="A698" s="8"/>
      <c r="B698" s="9"/>
      <c r="C698" s="16"/>
    </row>
    <row r="699" spans="1:3" ht="12.75" customHeight="1" x14ac:dyDescent="0.15">
      <c r="A699" s="8"/>
      <c r="B699" s="9"/>
      <c r="C699" s="16"/>
    </row>
    <row r="700" spans="1:3" ht="12.75" customHeight="1" x14ac:dyDescent="0.15">
      <c r="A700" s="8"/>
      <c r="B700" s="9"/>
      <c r="C700" s="16"/>
    </row>
    <row r="701" spans="1:3" ht="12.75" customHeight="1" x14ac:dyDescent="0.15">
      <c r="A701" s="8"/>
      <c r="B701" s="9"/>
      <c r="C701" s="16"/>
    </row>
    <row r="702" spans="1:3" ht="12.75" customHeight="1" x14ac:dyDescent="0.15">
      <c r="A702" s="8"/>
      <c r="B702" s="9"/>
      <c r="C702" s="16"/>
    </row>
    <row r="703" spans="1:3" ht="12.75" customHeight="1" x14ac:dyDescent="0.15">
      <c r="A703" s="8"/>
      <c r="B703" s="9"/>
      <c r="C703" s="16"/>
    </row>
    <row r="704" spans="1:3" ht="12.75" customHeight="1" x14ac:dyDescent="0.15">
      <c r="A704" s="8"/>
      <c r="B704" s="9"/>
      <c r="C704" s="16"/>
    </row>
    <row r="705" spans="1:3" ht="12.75" customHeight="1" x14ac:dyDescent="0.15">
      <c r="A705" s="8"/>
      <c r="B705" s="9"/>
      <c r="C705" s="16"/>
    </row>
    <row r="706" spans="1:3" ht="12.75" customHeight="1" x14ac:dyDescent="0.15">
      <c r="A706" s="8"/>
      <c r="B706" s="9"/>
      <c r="C706" s="16"/>
    </row>
    <row r="707" spans="1:3" ht="12.75" customHeight="1" x14ac:dyDescent="0.15">
      <c r="A707" s="8"/>
      <c r="B707" s="9"/>
      <c r="C707" s="16"/>
    </row>
    <row r="708" spans="1:3" ht="12.75" customHeight="1" x14ac:dyDescent="0.15">
      <c r="A708" s="8"/>
      <c r="B708" s="9"/>
      <c r="C708" s="16"/>
    </row>
    <row r="709" spans="1:3" ht="12.75" customHeight="1" x14ac:dyDescent="0.15">
      <c r="A709" s="8"/>
      <c r="B709" s="9"/>
      <c r="C709" s="16"/>
    </row>
    <row r="710" spans="1:3" ht="12.75" customHeight="1" x14ac:dyDescent="0.15">
      <c r="A710" s="8"/>
      <c r="B710" s="9"/>
      <c r="C710" s="16"/>
    </row>
    <row r="711" spans="1:3" ht="12.75" customHeight="1" x14ac:dyDescent="0.15">
      <c r="A711" s="8"/>
      <c r="B711" s="9"/>
      <c r="C711" s="16"/>
    </row>
    <row r="712" spans="1:3" ht="12.75" customHeight="1" x14ac:dyDescent="0.15">
      <c r="A712" s="8"/>
      <c r="B712" s="9"/>
      <c r="C712" s="16"/>
    </row>
    <row r="713" spans="1:3" ht="12.75" customHeight="1" x14ac:dyDescent="0.15">
      <c r="A713" s="8"/>
      <c r="B713" s="9"/>
      <c r="C713" s="16"/>
    </row>
    <row r="714" spans="1:3" ht="12.75" customHeight="1" x14ac:dyDescent="0.15">
      <c r="A714" s="8"/>
      <c r="B714" s="9"/>
      <c r="C714" s="16"/>
    </row>
    <row r="715" spans="1:3" ht="12.75" customHeight="1" x14ac:dyDescent="0.15">
      <c r="A715" s="8"/>
      <c r="B715" s="9"/>
      <c r="C715" s="16"/>
    </row>
    <row r="716" spans="1:3" ht="12.75" customHeight="1" x14ac:dyDescent="0.15">
      <c r="A716" s="8"/>
      <c r="B716" s="9"/>
      <c r="C716" s="16"/>
    </row>
    <row r="717" spans="1:3" ht="12.75" customHeight="1" x14ac:dyDescent="0.15">
      <c r="A717" s="8"/>
      <c r="B717" s="9"/>
      <c r="C717" s="16"/>
    </row>
    <row r="718" spans="1:3" ht="12.75" customHeight="1" x14ac:dyDescent="0.15">
      <c r="A718" s="8"/>
      <c r="B718" s="9"/>
      <c r="C718" s="16"/>
    </row>
    <row r="719" spans="1:3" ht="12.75" customHeight="1" x14ac:dyDescent="0.15">
      <c r="A719" s="8"/>
      <c r="B719" s="9"/>
      <c r="C719" s="16"/>
    </row>
    <row r="720" spans="1:3" ht="12.75" customHeight="1" x14ac:dyDescent="0.15">
      <c r="A720" s="8"/>
      <c r="B720" s="9"/>
      <c r="C720" s="16"/>
    </row>
    <row r="721" spans="1:3" ht="12.75" customHeight="1" x14ac:dyDescent="0.15">
      <c r="A721" s="8"/>
      <c r="B721" s="9"/>
      <c r="C721" s="16"/>
    </row>
    <row r="722" spans="1:3" ht="12.75" customHeight="1" x14ac:dyDescent="0.15">
      <c r="A722" s="8"/>
      <c r="B722" s="9"/>
      <c r="C722" s="16"/>
    </row>
    <row r="723" spans="1:3" ht="12.75" customHeight="1" x14ac:dyDescent="0.15">
      <c r="A723" s="8"/>
      <c r="B723" s="9"/>
      <c r="C723" s="16"/>
    </row>
    <row r="724" spans="1:3" ht="12.75" customHeight="1" x14ac:dyDescent="0.15">
      <c r="A724" s="8"/>
      <c r="B724" s="9"/>
      <c r="C724" s="16"/>
    </row>
    <row r="725" spans="1:3" ht="12.75" customHeight="1" x14ac:dyDescent="0.15">
      <c r="A725" s="8"/>
      <c r="B725" s="9"/>
      <c r="C725" s="16"/>
    </row>
    <row r="726" spans="1:3" ht="12.75" customHeight="1" x14ac:dyDescent="0.15">
      <c r="A726" s="8"/>
      <c r="B726" s="9"/>
      <c r="C726" s="16"/>
    </row>
    <row r="727" spans="1:3" ht="12.75" customHeight="1" x14ac:dyDescent="0.15">
      <c r="A727" s="8"/>
      <c r="B727" s="9"/>
      <c r="C727" s="16"/>
    </row>
    <row r="728" spans="1:3" ht="12.75" customHeight="1" x14ac:dyDescent="0.15">
      <c r="A728" s="8"/>
      <c r="B728" s="9"/>
      <c r="C728" s="16"/>
    </row>
    <row r="729" spans="1:3" ht="12.75" customHeight="1" x14ac:dyDescent="0.15">
      <c r="A729" s="8"/>
      <c r="B729" s="9"/>
      <c r="C729" s="16"/>
    </row>
    <row r="730" spans="1:3" ht="12.75" customHeight="1" x14ac:dyDescent="0.15">
      <c r="A730" s="8"/>
      <c r="B730" s="9"/>
      <c r="C730" s="16"/>
    </row>
    <row r="731" spans="1:3" ht="12.75" customHeight="1" x14ac:dyDescent="0.15">
      <c r="A731" s="8"/>
      <c r="B731" s="9"/>
      <c r="C731" s="16"/>
    </row>
    <row r="732" spans="1:3" ht="12.75" customHeight="1" x14ac:dyDescent="0.15">
      <c r="A732" s="8"/>
      <c r="B732" s="9"/>
      <c r="C732" s="16"/>
    </row>
    <row r="733" spans="1:3" ht="12.75" customHeight="1" x14ac:dyDescent="0.15">
      <c r="A733" s="8"/>
      <c r="B733" s="9"/>
      <c r="C733" s="16"/>
    </row>
    <row r="734" spans="1:3" ht="12.75" customHeight="1" x14ac:dyDescent="0.15">
      <c r="A734" s="8"/>
      <c r="B734" s="9"/>
      <c r="C734" s="16"/>
    </row>
    <row r="735" spans="1:3" ht="12.75" customHeight="1" x14ac:dyDescent="0.15">
      <c r="A735" s="8"/>
      <c r="B735" s="9"/>
      <c r="C735" s="16"/>
    </row>
    <row r="736" spans="1:3" ht="12.75" customHeight="1" x14ac:dyDescent="0.15">
      <c r="A736" s="8"/>
      <c r="B736" s="9"/>
      <c r="C736" s="16"/>
    </row>
    <row r="737" spans="1:3" ht="12.75" customHeight="1" x14ac:dyDescent="0.15">
      <c r="A737" s="8"/>
      <c r="B737" s="9"/>
      <c r="C737" s="16"/>
    </row>
    <row r="738" spans="1:3" ht="12.75" customHeight="1" x14ac:dyDescent="0.15">
      <c r="A738" s="8"/>
      <c r="B738" s="9"/>
      <c r="C738" s="16"/>
    </row>
    <row r="739" spans="1:3" ht="12.75" customHeight="1" x14ac:dyDescent="0.15">
      <c r="A739" s="8"/>
      <c r="B739" s="9"/>
      <c r="C739" s="16"/>
    </row>
    <row r="740" spans="1:3" ht="12.75" customHeight="1" x14ac:dyDescent="0.15">
      <c r="A740" s="8"/>
      <c r="B740" s="9"/>
      <c r="C740" s="16"/>
    </row>
    <row r="741" spans="1:3" ht="12.75" customHeight="1" x14ac:dyDescent="0.15">
      <c r="A741" s="8"/>
      <c r="B741" s="9"/>
      <c r="C741" s="16"/>
    </row>
    <row r="742" spans="1:3" ht="12.75" customHeight="1" x14ac:dyDescent="0.15">
      <c r="A742" s="8"/>
      <c r="B742" s="9"/>
      <c r="C742" s="16"/>
    </row>
    <row r="743" spans="1:3" ht="12.75" customHeight="1" x14ac:dyDescent="0.15">
      <c r="A743" s="8"/>
      <c r="B743" s="9"/>
      <c r="C743" s="16"/>
    </row>
    <row r="744" spans="1:3" ht="12.75" customHeight="1" x14ac:dyDescent="0.15">
      <c r="A744" s="8"/>
      <c r="B744" s="9"/>
      <c r="C744" s="16"/>
    </row>
    <row r="745" spans="1:3" ht="12.75" customHeight="1" x14ac:dyDescent="0.15">
      <c r="A745" s="8"/>
      <c r="B745" s="9"/>
      <c r="C745" s="16"/>
    </row>
    <row r="746" spans="1:3" ht="12.75" customHeight="1" x14ac:dyDescent="0.15">
      <c r="A746" s="8"/>
      <c r="B746" s="9"/>
      <c r="C746" s="16"/>
    </row>
    <row r="747" spans="1:3" ht="12.75" customHeight="1" x14ac:dyDescent="0.15">
      <c r="A747" s="8"/>
      <c r="B747" s="9"/>
      <c r="C747" s="16"/>
    </row>
    <row r="748" spans="1:3" ht="12.75" customHeight="1" x14ac:dyDescent="0.15">
      <c r="A748" s="8"/>
      <c r="B748" s="9"/>
      <c r="C748" s="16"/>
    </row>
    <row r="749" spans="1:3" ht="12.75" customHeight="1" x14ac:dyDescent="0.15">
      <c r="A749" s="8"/>
      <c r="B749" s="9"/>
      <c r="C749" s="16"/>
    </row>
    <row r="750" spans="1:3" ht="12.75" customHeight="1" x14ac:dyDescent="0.15">
      <c r="A750" s="8"/>
      <c r="B750" s="9"/>
      <c r="C750" s="16"/>
    </row>
    <row r="751" spans="1:3" ht="12.75" customHeight="1" x14ac:dyDescent="0.15">
      <c r="A751" s="8"/>
      <c r="B751" s="9"/>
      <c r="C751" s="16"/>
    </row>
    <row r="752" spans="1:3" ht="12.75" customHeight="1" x14ac:dyDescent="0.15">
      <c r="A752" s="8"/>
      <c r="B752" s="9"/>
      <c r="C752" s="16"/>
    </row>
    <row r="753" spans="1:3" ht="12.75" customHeight="1" x14ac:dyDescent="0.15">
      <c r="A753" s="8"/>
      <c r="B753" s="9"/>
      <c r="C753" s="16"/>
    </row>
    <row r="754" spans="1:3" ht="12.75" customHeight="1" x14ac:dyDescent="0.15">
      <c r="A754" s="8"/>
      <c r="B754" s="9"/>
      <c r="C754" s="16"/>
    </row>
    <row r="755" spans="1:3" ht="12.75" customHeight="1" x14ac:dyDescent="0.15">
      <c r="A755" s="8"/>
      <c r="B755" s="9"/>
      <c r="C755" s="16"/>
    </row>
    <row r="756" spans="1:3" ht="12.75" customHeight="1" x14ac:dyDescent="0.15">
      <c r="A756" s="8"/>
      <c r="B756" s="9"/>
      <c r="C756" s="16"/>
    </row>
    <row r="757" spans="1:3" ht="12.75" customHeight="1" x14ac:dyDescent="0.15">
      <c r="A757" s="8"/>
      <c r="B757" s="9"/>
      <c r="C757" s="16"/>
    </row>
    <row r="758" spans="1:3" ht="12.75" customHeight="1" x14ac:dyDescent="0.15">
      <c r="A758" s="8"/>
      <c r="B758" s="9"/>
      <c r="C758" s="16"/>
    </row>
    <row r="759" spans="1:3" ht="12.75" customHeight="1" x14ac:dyDescent="0.15">
      <c r="A759" s="8"/>
      <c r="B759" s="9"/>
      <c r="C759" s="16"/>
    </row>
    <row r="760" spans="1:3" ht="12.75" customHeight="1" x14ac:dyDescent="0.15">
      <c r="A760" s="8"/>
      <c r="B760" s="9"/>
      <c r="C760" s="16"/>
    </row>
    <row r="761" spans="1:3" ht="12.75" customHeight="1" x14ac:dyDescent="0.15">
      <c r="A761" s="8"/>
      <c r="B761" s="9"/>
      <c r="C761" s="16"/>
    </row>
    <row r="762" spans="1:3" ht="12.75" customHeight="1" x14ac:dyDescent="0.15">
      <c r="A762" s="8"/>
      <c r="B762" s="9"/>
      <c r="C762" s="16"/>
    </row>
    <row r="763" spans="1:3" ht="12.75" customHeight="1" x14ac:dyDescent="0.15">
      <c r="A763" s="8"/>
      <c r="B763" s="9"/>
      <c r="C763" s="16"/>
    </row>
    <row r="764" spans="1:3" ht="12.75" customHeight="1" x14ac:dyDescent="0.15">
      <c r="A764" s="8"/>
      <c r="B764" s="9"/>
      <c r="C764" s="16"/>
    </row>
    <row r="765" spans="1:3" ht="12.75" customHeight="1" x14ac:dyDescent="0.15">
      <c r="A765" s="8"/>
      <c r="B765" s="9"/>
      <c r="C765" s="16"/>
    </row>
    <row r="766" spans="1:3" ht="12.75" customHeight="1" x14ac:dyDescent="0.15">
      <c r="A766" s="8"/>
      <c r="B766" s="9"/>
      <c r="C766" s="16"/>
    </row>
    <row r="767" spans="1:3" ht="12.75" customHeight="1" x14ac:dyDescent="0.15">
      <c r="A767" s="8"/>
      <c r="B767" s="9"/>
      <c r="C767" s="16"/>
    </row>
    <row r="768" spans="1:3" ht="12.75" customHeight="1" x14ac:dyDescent="0.15">
      <c r="A768" s="8"/>
      <c r="B768" s="9"/>
      <c r="C768" s="16"/>
    </row>
    <row r="769" spans="1:3" ht="12.75" customHeight="1" x14ac:dyDescent="0.15">
      <c r="A769" s="8"/>
      <c r="B769" s="9"/>
      <c r="C769" s="16"/>
    </row>
    <row r="770" spans="1:3" ht="12.75" customHeight="1" x14ac:dyDescent="0.15">
      <c r="A770" s="8"/>
      <c r="B770" s="9"/>
      <c r="C770" s="16"/>
    </row>
    <row r="771" spans="1:3" ht="12.75" customHeight="1" x14ac:dyDescent="0.15">
      <c r="A771" s="8"/>
      <c r="B771" s="9"/>
      <c r="C771" s="16"/>
    </row>
    <row r="772" spans="1:3" ht="12.75" customHeight="1" x14ac:dyDescent="0.15">
      <c r="A772" s="8"/>
      <c r="B772" s="9"/>
      <c r="C772" s="16"/>
    </row>
    <row r="773" spans="1:3" ht="12.75" customHeight="1" x14ac:dyDescent="0.15">
      <c r="A773" s="8"/>
      <c r="B773" s="9"/>
      <c r="C773" s="16"/>
    </row>
    <row r="774" spans="1:3" ht="12.75" customHeight="1" x14ac:dyDescent="0.15">
      <c r="A774" s="8"/>
      <c r="B774" s="9"/>
      <c r="C774" s="16"/>
    </row>
    <row r="775" spans="1:3" ht="12.75" customHeight="1" x14ac:dyDescent="0.15">
      <c r="A775" s="8"/>
      <c r="B775" s="9"/>
      <c r="C775" s="16"/>
    </row>
    <row r="776" spans="1:3" ht="12.75" customHeight="1" x14ac:dyDescent="0.15">
      <c r="A776" s="8"/>
      <c r="B776" s="9"/>
      <c r="C776" s="16"/>
    </row>
    <row r="777" spans="1:3" ht="12.75" customHeight="1" x14ac:dyDescent="0.15">
      <c r="A777" s="8"/>
      <c r="B777" s="9"/>
      <c r="C777" s="16"/>
    </row>
    <row r="778" spans="1:3" ht="12.75" customHeight="1" x14ac:dyDescent="0.15">
      <c r="A778" s="8"/>
      <c r="B778" s="9"/>
      <c r="C778" s="16"/>
    </row>
    <row r="779" spans="1:3" ht="12.75" customHeight="1" x14ac:dyDescent="0.15">
      <c r="A779" s="8"/>
      <c r="B779" s="9"/>
      <c r="C779" s="16"/>
    </row>
    <row r="780" spans="1:3" ht="12.75" customHeight="1" x14ac:dyDescent="0.15">
      <c r="A780" s="8"/>
      <c r="B780" s="9"/>
      <c r="C780" s="16"/>
    </row>
    <row r="781" spans="1:3" ht="12.75" customHeight="1" x14ac:dyDescent="0.15">
      <c r="A781" s="8"/>
      <c r="B781" s="9"/>
      <c r="C781" s="16"/>
    </row>
    <row r="782" spans="1:3" ht="12.75" customHeight="1" x14ac:dyDescent="0.15">
      <c r="A782" s="8"/>
      <c r="B782" s="9"/>
      <c r="C782" s="16"/>
    </row>
    <row r="783" spans="1:3" ht="12.75" customHeight="1" x14ac:dyDescent="0.15">
      <c r="A783" s="8"/>
      <c r="B783" s="9"/>
      <c r="C783" s="16"/>
    </row>
    <row r="784" spans="1:3" ht="12.75" customHeight="1" x14ac:dyDescent="0.15">
      <c r="A784" s="8"/>
      <c r="B784" s="9"/>
      <c r="C784" s="16"/>
    </row>
    <row r="785" spans="1:3" ht="12.75" customHeight="1" x14ac:dyDescent="0.15">
      <c r="A785" s="8"/>
      <c r="B785" s="9"/>
      <c r="C785" s="16"/>
    </row>
    <row r="786" spans="1:3" ht="12.75" customHeight="1" x14ac:dyDescent="0.15">
      <c r="A786" s="8"/>
      <c r="B786" s="9"/>
      <c r="C786" s="16"/>
    </row>
    <row r="787" spans="1:3" ht="12.75" customHeight="1" x14ac:dyDescent="0.15">
      <c r="A787" s="8"/>
      <c r="B787" s="9"/>
      <c r="C787" s="16"/>
    </row>
    <row r="788" spans="1:3" ht="12.75" customHeight="1" x14ac:dyDescent="0.15">
      <c r="A788" s="8"/>
      <c r="B788" s="9"/>
      <c r="C788" s="16"/>
    </row>
    <row r="789" spans="1:3" ht="12.75" customHeight="1" x14ac:dyDescent="0.15">
      <c r="A789" s="8"/>
      <c r="B789" s="9"/>
      <c r="C789" s="16"/>
    </row>
    <row r="790" spans="1:3" ht="12.75" customHeight="1" x14ac:dyDescent="0.15">
      <c r="A790" s="8"/>
      <c r="B790" s="9"/>
      <c r="C790" s="16"/>
    </row>
    <row r="791" spans="1:3" ht="12.75" customHeight="1" x14ac:dyDescent="0.15">
      <c r="A791" s="8"/>
      <c r="B791" s="9"/>
      <c r="C791" s="16"/>
    </row>
    <row r="792" spans="1:3" ht="12.75" customHeight="1" x14ac:dyDescent="0.15">
      <c r="A792" s="8"/>
      <c r="B792" s="9"/>
      <c r="C792" s="16"/>
    </row>
    <row r="793" spans="1:3" ht="12.75" customHeight="1" x14ac:dyDescent="0.15">
      <c r="A793" s="8"/>
      <c r="B793" s="9"/>
      <c r="C793" s="16"/>
    </row>
    <row r="794" spans="1:3" ht="12.75" customHeight="1" x14ac:dyDescent="0.15">
      <c r="A794" s="8"/>
      <c r="B794" s="9"/>
      <c r="C794" s="16"/>
    </row>
    <row r="795" spans="1:3" ht="12.75" customHeight="1" x14ac:dyDescent="0.15">
      <c r="A795" s="8"/>
      <c r="B795" s="9"/>
      <c r="C795" s="16"/>
    </row>
    <row r="796" spans="1:3" ht="12.75" customHeight="1" x14ac:dyDescent="0.15">
      <c r="A796" s="8"/>
      <c r="B796" s="9"/>
      <c r="C796" s="16"/>
    </row>
    <row r="797" spans="1:3" ht="12.75" customHeight="1" x14ac:dyDescent="0.15">
      <c r="A797" s="8"/>
      <c r="B797" s="9"/>
      <c r="C797" s="16"/>
    </row>
    <row r="798" spans="1:3" ht="12.75" customHeight="1" x14ac:dyDescent="0.15">
      <c r="A798" s="8"/>
      <c r="B798" s="9"/>
      <c r="C798" s="16"/>
    </row>
    <row r="799" spans="1:3" ht="12.75" customHeight="1" x14ac:dyDescent="0.15">
      <c r="A799" s="8"/>
      <c r="B799" s="9"/>
      <c r="C799" s="16"/>
    </row>
    <row r="800" spans="1:3" ht="12.75" customHeight="1" x14ac:dyDescent="0.15">
      <c r="A800" s="8"/>
      <c r="B800" s="9"/>
      <c r="C800" s="16"/>
    </row>
    <row r="801" spans="1:3" ht="12.75" customHeight="1" x14ac:dyDescent="0.15">
      <c r="A801" s="8"/>
      <c r="B801" s="9"/>
      <c r="C801" s="16"/>
    </row>
    <row r="802" spans="1:3" ht="12.75" customHeight="1" x14ac:dyDescent="0.15">
      <c r="A802" s="8"/>
      <c r="B802" s="9"/>
      <c r="C802" s="16"/>
    </row>
    <row r="803" spans="1:3" ht="12.75" customHeight="1" x14ac:dyDescent="0.15">
      <c r="A803" s="8"/>
      <c r="B803" s="9"/>
      <c r="C803" s="16"/>
    </row>
    <row r="804" spans="1:3" ht="12.75" customHeight="1" x14ac:dyDescent="0.15">
      <c r="A804" s="8"/>
      <c r="B804" s="9"/>
      <c r="C804" s="16"/>
    </row>
    <row r="805" spans="1:3" ht="12.75" customHeight="1" x14ac:dyDescent="0.15">
      <c r="A805" s="8"/>
      <c r="B805" s="9"/>
      <c r="C805" s="16"/>
    </row>
    <row r="806" spans="1:3" ht="12.75" customHeight="1" x14ac:dyDescent="0.15">
      <c r="A806" s="8"/>
      <c r="B806" s="9"/>
      <c r="C806" s="16"/>
    </row>
    <row r="807" spans="1:3" ht="12.75" customHeight="1" x14ac:dyDescent="0.15">
      <c r="A807" s="8"/>
      <c r="B807" s="9"/>
      <c r="C807" s="16"/>
    </row>
    <row r="808" spans="1:3" ht="12.75" customHeight="1" x14ac:dyDescent="0.15">
      <c r="A808" s="8"/>
      <c r="B808" s="9"/>
      <c r="C808" s="16"/>
    </row>
    <row r="809" spans="1:3" ht="12.75" customHeight="1" x14ac:dyDescent="0.15">
      <c r="A809" s="8"/>
      <c r="B809" s="9"/>
      <c r="C809" s="16"/>
    </row>
    <row r="810" spans="1:3" ht="12.75" customHeight="1" x14ac:dyDescent="0.15">
      <c r="A810" s="8"/>
      <c r="B810" s="9"/>
      <c r="C810" s="16"/>
    </row>
    <row r="811" spans="1:3" ht="12.75" customHeight="1" x14ac:dyDescent="0.15">
      <c r="A811" s="8"/>
      <c r="B811" s="9"/>
      <c r="C811" s="16"/>
    </row>
    <row r="812" spans="1:3" ht="12.75" customHeight="1" x14ac:dyDescent="0.15">
      <c r="A812" s="8"/>
      <c r="B812" s="9"/>
      <c r="C812" s="16"/>
    </row>
    <row r="813" spans="1:3" ht="12.75" customHeight="1" x14ac:dyDescent="0.15">
      <c r="A813" s="8"/>
      <c r="B813" s="9"/>
      <c r="C813" s="16"/>
    </row>
    <row r="814" spans="1:3" ht="12.75" customHeight="1" x14ac:dyDescent="0.15">
      <c r="A814" s="8"/>
      <c r="B814" s="9"/>
      <c r="C814" s="16"/>
    </row>
    <row r="815" spans="1:3" ht="12.75" customHeight="1" x14ac:dyDescent="0.15">
      <c r="A815" s="8"/>
      <c r="B815" s="9"/>
      <c r="C815" s="16"/>
    </row>
    <row r="816" spans="1:3" ht="12.75" customHeight="1" x14ac:dyDescent="0.15">
      <c r="A816" s="8"/>
      <c r="B816" s="9"/>
      <c r="C816" s="16"/>
    </row>
    <row r="817" spans="1:3" ht="12.75" customHeight="1" x14ac:dyDescent="0.15">
      <c r="A817" s="8"/>
      <c r="B817" s="9"/>
      <c r="C817" s="16"/>
    </row>
    <row r="818" spans="1:3" ht="12.75" customHeight="1" x14ac:dyDescent="0.15">
      <c r="A818" s="8"/>
      <c r="B818" s="9"/>
      <c r="C818" s="16"/>
    </row>
    <row r="819" spans="1:3" ht="12.75" customHeight="1" x14ac:dyDescent="0.15">
      <c r="A819" s="8"/>
      <c r="B819" s="9"/>
      <c r="C819" s="16"/>
    </row>
    <row r="820" spans="1:3" ht="12.75" customHeight="1" x14ac:dyDescent="0.15">
      <c r="A820" s="8"/>
      <c r="B820" s="9"/>
      <c r="C820" s="16"/>
    </row>
    <row r="821" spans="1:3" ht="12.75" customHeight="1" x14ac:dyDescent="0.15">
      <c r="A821" s="8"/>
      <c r="B821" s="9"/>
      <c r="C821" s="16"/>
    </row>
    <row r="822" spans="1:3" ht="12.75" customHeight="1" x14ac:dyDescent="0.15">
      <c r="A822" s="8"/>
      <c r="B822" s="9"/>
      <c r="C822" s="16"/>
    </row>
    <row r="823" spans="1:3" ht="12.75" customHeight="1" x14ac:dyDescent="0.15">
      <c r="A823" s="8"/>
      <c r="B823" s="9"/>
      <c r="C823" s="16"/>
    </row>
    <row r="824" spans="1:3" ht="12.75" customHeight="1" x14ac:dyDescent="0.15">
      <c r="A824" s="8"/>
      <c r="B824" s="9"/>
      <c r="C824" s="16"/>
    </row>
    <row r="825" spans="1:3" ht="12.75" customHeight="1" x14ac:dyDescent="0.15">
      <c r="A825" s="8"/>
      <c r="B825" s="9"/>
      <c r="C825" s="16"/>
    </row>
    <row r="826" spans="1:3" ht="12.75" customHeight="1" x14ac:dyDescent="0.15">
      <c r="A826" s="8"/>
      <c r="B826" s="9"/>
      <c r="C826" s="16"/>
    </row>
    <row r="827" spans="1:3" ht="12.75" customHeight="1" x14ac:dyDescent="0.15">
      <c r="A827" s="8"/>
      <c r="B827" s="9"/>
      <c r="C827" s="16"/>
    </row>
    <row r="828" spans="1:3" ht="12.75" customHeight="1" x14ac:dyDescent="0.15">
      <c r="A828" s="8"/>
      <c r="B828" s="9"/>
      <c r="C828" s="16"/>
    </row>
    <row r="829" spans="1:3" ht="12.75" customHeight="1" x14ac:dyDescent="0.15">
      <c r="A829" s="8"/>
      <c r="B829" s="9"/>
      <c r="C829" s="16"/>
    </row>
    <row r="830" spans="1:3" ht="12.75" customHeight="1" x14ac:dyDescent="0.15">
      <c r="A830" s="8"/>
      <c r="B830" s="9"/>
      <c r="C830" s="16"/>
    </row>
    <row r="831" spans="1:3" ht="12.75" customHeight="1" x14ac:dyDescent="0.15">
      <c r="A831" s="8"/>
      <c r="B831" s="9"/>
      <c r="C831" s="16"/>
    </row>
    <row r="832" spans="1:3" ht="12.75" customHeight="1" x14ac:dyDescent="0.15">
      <c r="A832" s="8"/>
      <c r="B832" s="9"/>
      <c r="C832" s="16"/>
    </row>
    <row r="833" spans="1:3" ht="12.75" customHeight="1" x14ac:dyDescent="0.15">
      <c r="A833" s="8"/>
      <c r="B833" s="9"/>
      <c r="C833" s="16"/>
    </row>
    <row r="834" spans="1:3" ht="12.75" customHeight="1" x14ac:dyDescent="0.15">
      <c r="A834" s="8"/>
      <c r="B834" s="9"/>
      <c r="C834" s="16"/>
    </row>
    <row r="835" spans="1:3" ht="12.75" customHeight="1" x14ac:dyDescent="0.15">
      <c r="A835" s="8"/>
      <c r="B835" s="9"/>
      <c r="C835" s="16"/>
    </row>
    <row r="836" spans="1:3" ht="12.75" customHeight="1" x14ac:dyDescent="0.15">
      <c r="A836" s="8"/>
      <c r="B836" s="9"/>
      <c r="C836" s="16"/>
    </row>
    <row r="837" spans="1:3" ht="12.75" customHeight="1" x14ac:dyDescent="0.15">
      <c r="A837" s="8"/>
      <c r="B837" s="9"/>
      <c r="C837" s="16"/>
    </row>
    <row r="838" spans="1:3" ht="12.75" customHeight="1" x14ac:dyDescent="0.15">
      <c r="A838" s="8"/>
      <c r="B838" s="9"/>
      <c r="C838" s="16"/>
    </row>
    <row r="839" spans="1:3" ht="12.75" customHeight="1" x14ac:dyDescent="0.15">
      <c r="A839" s="8"/>
      <c r="B839" s="9"/>
      <c r="C839" s="16"/>
    </row>
    <row r="840" spans="1:3" ht="12.75" customHeight="1" x14ac:dyDescent="0.15">
      <c r="A840" s="8"/>
      <c r="B840" s="9"/>
      <c r="C840" s="16"/>
    </row>
    <row r="841" spans="1:3" ht="12.75" customHeight="1" x14ac:dyDescent="0.15">
      <c r="A841" s="8"/>
      <c r="B841" s="9"/>
      <c r="C841" s="16"/>
    </row>
    <row r="842" spans="1:3" ht="12.75" customHeight="1" x14ac:dyDescent="0.15">
      <c r="A842" s="8"/>
      <c r="B842" s="9"/>
      <c r="C842" s="16"/>
    </row>
    <row r="843" spans="1:3" ht="12.75" customHeight="1" x14ac:dyDescent="0.15">
      <c r="A843" s="8"/>
      <c r="B843" s="9"/>
      <c r="C843" s="16"/>
    </row>
    <row r="844" spans="1:3" ht="12.75" customHeight="1" x14ac:dyDescent="0.15">
      <c r="A844" s="8"/>
      <c r="B844" s="9"/>
      <c r="C844" s="16"/>
    </row>
    <row r="845" spans="1:3" ht="12.75" customHeight="1" x14ac:dyDescent="0.15">
      <c r="A845" s="8"/>
      <c r="B845" s="9"/>
      <c r="C845" s="16"/>
    </row>
    <row r="846" spans="1:3" ht="12.75" customHeight="1" x14ac:dyDescent="0.15">
      <c r="A846" s="8"/>
      <c r="B846" s="9"/>
      <c r="C846" s="16"/>
    </row>
    <row r="847" spans="1:3" ht="12.75" customHeight="1" x14ac:dyDescent="0.15">
      <c r="A847" s="8"/>
      <c r="B847" s="9"/>
      <c r="C847" s="16"/>
    </row>
    <row r="848" spans="1:3" ht="12.75" customHeight="1" x14ac:dyDescent="0.15">
      <c r="A848" s="8"/>
      <c r="B848" s="9"/>
      <c r="C848" s="16"/>
    </row>
    <row r="849" spans="1:3" ht="12.75" customHeight="1" x14ac:dyDescent="0.15">
      <c r="A849" s="8"/>
      <c r="B849" s="9"/>
      <c r="C849" s="16"/>
    </row>
    <row r="850" spans="1:3" ht="12.75" customHeight="1" x14ac:dyDescent="0.15">
      <c r="A850" s="8"/>
      <c r="B850" s="9"/>
      <c r="C850" s="16"/>
    </row>
    <row r="851" spans="1:3" ht="12.75" customHeight="1" x14ac:dyDescent="0.15">
      <c r="A851" s="8"/>
      <c r="B851" s="9"/>
      <c r="C851" s="16"/>
    </row>
    <row r="852" spans="1:3" ht="12.75" customHeight="1" x14ac:dyDescent="0.15">
      <c r="A852" s="8"/>
      <c r="B852" s="9"/>
      <c r="C852" s="16"/>
    </row>
    <row r="853" spans="1:3" ht="12.75" customHeight="1" x14ac:dyDescent="0.15">
      <c r="A853" s="8"/>
      <c r="B853" s="9"/>
      <c r="C853" s="16"/>
    </row>
    <row r="854" spans="1:3" ht="12.75" customHeight="1" x14ac:dyDescent="0.15">
      <c r="A854" s="8"/>
      <c r="B854" s="9"/>
      <c r="C854" s="16"/>
    </row>
    <row r="855" spans="1:3" ht="12.75" customHeight="1" x14ac:dyDescent="0.15">
      <c r="A855" s="8"/>
      <c r="B855" s="9"/>
      <c r="C855" s="16"/>
    </row>
    <row r="856" spans="1:3" ht="12.75" customHeight="1" x14ac:dyDescent="0.15">
      <c r="A856" s="8"/>
      <c r="B856" s="9"/>
      <c r="C856" s="16"/>
    </row>
    <row r="857" spans="1:3" ht="12.75" customHeight="1" x14ac:dyDescent="0.15">
      <c r="A857" s="8"/>
      <c r="B857" s="9"/>
      <c r="C857" s="16"/>
    </row>
    <row r="858" spans="1:3" ht="12.75" customHeight="1" x14ac:dyDescent="0.15">
      <c r="A858" s="8"/>
      <c r="B858" s="9"/>
      <c r="C858" s="16"/>
    </row>
    <row r="859" spans="1:3" ht="12.75" customHeight="1" x14ac:dyDescent="0.15">
      <c r="A859" s="8"/>
      <c r="B859" s="9"/>
      <c r="C859" s="16"/>
    </row>
    <row r="860" spans="1:3" ht="12.75" customHeight="1" x14ac:dyDescent="0.15">
      <c r="A860" s="8"/>
      <c r="B860" s="9"/>
      <c r="C860" s="16"/>
    </row>
    <row r="861" spans="1:3" ht="12.75" customHeight="1" x14ac:dyDescent="0.15">
      <c r="A861" s="8"/>
      <c r="B861" s="9"/>
      <c r="C861" s="16"/>
    </row>
    <row r="862" spans="1:3" ht="12.75" customHeight="1" x14ac:dyDescent="0.15">
      <c r="A862" s="8"/>
      <c r="B862" s="9"/>
      <c r="C862" s="16"/>
    </row>
    <row r="863" spans="1:3" ht="12.75" customHeight="1" x14ac:dyDescent="0.15">
      <c r="A863" s="8"/>
      <c r="B863" s="9"/>
      <c r="C863" s="16"/>
    </row>
    <row r="864" spans="1:3" ht="12.75" customHeight="1" x14ac:dyDescent="0.15">
      <c r="A864" s="8"/>
      <c r="B864" s="9"/>
      <c r="C864" s="16"/>
    </row>
    <row r="865" spans="1:3" ht="12.75" customHeight="1" x14ac:dyDescent="0.15">
      <c r="A865" s="8"/>
      <c r="B865" s="9"/>
      <c r="C865" s="16"/>
    </row>
    <row r="866" spans="1:3" ht="12.75" customHeight="1" x14ac:dyDescent="0.15">
      <c r="A866" s="8"/>
      <c r="B866" s="9"/>
      <c r="C866" s="16"/>
    </row>
    <row r="867" spans="1:3" ht="12.75" customHeight="1" x14ac:dyDescent="0.15">
      <c r="A867" s="8"/>
      <c r="B867" s="9"/>
      <c r="C867" s="16"/>
    </row>
    <row r="868" spans="1:3" ht="12.75" customHeight="1" x14ac:dyDescent="0.15">
      <c r="A868" s="8"/>
      <c r="B868" s="9"/>
      <c r="C868" s="16"/>
    </row>
    <row r="869" spans="1:3" ht="12.75" customHeight="1" x14ac:dyDescent="0.15">
      <c r="A869" s="8"/>
      <c r="B869" s="9"/>
      <c r="C869" s="16"/>
    </row>
    <row r="870" spans="1:3" ht="12.75" customHeight="1" x14ac:dyDescent="0.15">
      <c r="A870" s="8"/>
      <c r="B870" s="9"/>
      <c r="C870" s="16"/>
    </row>
    <row r="871" spans="1:3" ht="12.75" customHeight="1" x14ac:dyDescent="0.15">
      <c r="A871" s="8"/>
      <c r="B871" s="9"/>
      <c r="C871" s="16"/>
    </row>
    <row r="872" spans="1:3" ht="12.75" customHeight="1" x14ac:dyDescent="0.15">
      <c r="A872" s="8"/>
      <c r="B872" s="9"/>
      <c r="C872" s="16"/>
    </row>
    <row r="873" spans="1:3" ht="12.75" customHeight="1" x14ac:dyDescent="0.15">
      <c r="A873" s="8"/>
      <c r="B873" s="9"/>
      <c r="C873" s="16"/>
    </row>
    <row r="874" spans="1:3" ht="12.75" customHeight="1" x14ac:dyDescent="0.15">
      <c r="A874" s="8"/>
      <c r="B874" s="9"/>
      <c r="C874" s="16"/>
    </row>
    <row r="875" spans="1:3" ht="12.75" customHeight="1" x14ac:dyDescent="0.15">
      <c r="A875" s="8"/>
      <c r="B875" s="9"/>
      <c r="C875" s="16"/>
    </row>
    <row r="876" spans="1:3" ht="12.75" customHeight="1" x14ac:dyDescent="0.15">
      <c r="A876" s="8"/>
      <c r="B876" s="9"/>
      <c r="C876" s="16"/>
    </row>
    <row r="877" spans="1:3" ht="12.75" customHeight="1" x14ac:dyDescent="0.15">
      <c r="A877" s="8"/>
      <c r="B877" s="9"/>
      <c r="C877" s="16"/>
    </row>
    <row r="878" spans="1:3" ht="12.75" customHeight="1" x14ac:dyDescent="0.15">
      <c r="A878" s="8"/>
      <c r="B878" s="9"/>
      <c r="C878" s="16"/>
    </row>
    <row r="879" spans="1:3" ht="12.75" customHeight="1" x14ac:dyDescent="0.15">
      <c r="A879" s="8"/>
      <c r="B879" s="9"/>
      <c r="C879" s="16"/>
    </row>
    <row r="880" spans="1:3" ht="12.75" customHeight="1" x14ac:dyDescent="0.15">
      <c r="A880" s="8"/>
      <c r="B880" s="9"/>
      <c r="C880" s="16"/>
    </row>
    <row r="881" spans="1:3" ht="12.75" customHeight="1" x14ac:dyDescent="0.15">
      <c r="A881" s="8"/>
      <c r="B881" s="9"/>
      <c r="C881" s="16"/>
    </row>
    <row r="882" spans="1:3" ht="12.75" customHeight="1" x14ac:dyDescent="0.15">
      <c r="A882" s="8"/>
      <c r="B882" s="9"/>
      <c r="C882" s="16"/>
    </row>
    <row r="883" spans="1:3" ht="12.75" customHeight="1" x14ac:dyDescent="0.15">
      <c r="A883" s="8"/>
      <c r="B883" s="9"/>
      <c r="C883" s="16"/>
    </row>
    <row r="884" spans="1:3" ht="12.75" customHeight="1" x14ac:dyDescent="0.15">
      <c r="A884" s="8"/>
      <c r="B884" s="9"/>
      <c r="C884" s="16"/>
    </row>
    <row r="885" spans="1:3" ht="12.75" customHeight="1" x14ac:dyDescent="0.15">
      <c r="A885" s="8"/>
      <c r="B885" s="9"/>
      <c r="C885" s="16"/>
    </row>
    <row r="886" spans="1:3" ht="12.75" customHeight="1" x14ac:dyDescent="0.15">
      <c r="A886" s="8"/>
      <c r="B886" s="9"/>
      <c r="C886" s="16"/>
    </row>
    <row r="887" spans="1:3" ht="12.75" customHeight="1" x14ac:dyDescent="0.15">
      <c r="A887" s="8"/>
      <c r="B887" s="9"/>
      <c r="C887" s="16"/>
    </row>
    <row r="888" spans="1:3" ht="12.75" customHeight="1" x14ac:dyDescent="0.15">
      <c r="A888" s="8"/>
      <c r="B888" s="9"/>
      <c r="C888" s="16"/>
    </row>
    <row r="889" spans="1:3" ht="12.75" customHeight="1" x14ac:dyDescent="0.15">
      <c r="A889" s="8"/>
      <c r="B889" s="9"/>
      <c r="C889" s="16"/>
    </row>
    <row r="890" spans="1:3" ht="12.75" customHeight="1" x14ac:dyDescent="0.15">
      <c r="A890" s="8"/>
      <c r="B890" s="9"/>
      <c r="C890" s="16"/>
    </row>
    <row r="891" spans="1:3" ht="12.75" customHeight="1" x14ac:dyDescent="0.15">
      <c r="A891" s="8"/>
      <c r="B891" s="9"/>
      <c r="C891" s="16"/>
    </row>
    <row r="892" spans="1:3" ht="12.75" customHeight="1" x14ac:dyDescent="0.15">
      <c r="A892" s="8"/>
      <c r="B892" s="9"/>
      <c r="C892" s="16"/>
    </row>
    <row r="893" spans="1:3" ht="12.75" customHeight="1" x14ac:dyDescent="0.15">
      <c r="A893" s="8"/>
      <c r="B893" s="9"/>
      <c r="C893" s="16"/>
    </row>
    <row r="894" spans="1:3" ht="12.75" customHeight="1" x14ac:dyDescent="0.15">
      <c r="A894" s="8"/>
      <c r="B894" s="9"/>
      <c r="C894" s="16"/>
    </row>
    <row r="895" spans="1:3" ht="12.75" customHeight="1" x14ac:dyDescent="0.15">
      <c r="A895" s="8"/>
      <c r="B895" s="9"/>
      <c r="C895" s="16"/>
    </row>
    <row r="896" spans="1:3" ht="12.75" customHeight="1" x14ac:dyDescent="0.15">
      <c r="A896" s="8"/>
      <c r="B896" s="9"/>
      <c r="C896" s="16"/>
    </row>
    <row r="897" spans="1:3" ht="12.75" customHeight="1" x14ac:dyDescent="0.15">
      <c r="A897" s="8"/>
      <c r="B897" s="9"/>
      <c r="C897" s="16"/>
    </row>
    <row r="898" spans="1:3" ht="12.75" customHeight="1" x14ac:dyDescent="0.15">
      <c r="A898" s="8"/>
      <c r="B898" s="9"/>
      <c r="C898" s="16"/>
    </row>
    <row r="899" spans="1:3" ht="12.75" customHeight="1" x14ac:dyDescent="0.15">
      <c r="A899" s="8"/>
      <c r="B899" s="9"/>
      <c r="C899" s="16"/>
    </row>
    <row r="900" spans="1:3" ht="12.75" customHeight="1" x14ac:dyDescent="0.15">
      <c r="A900" s="8"/>
      <c r="B900" s="9"/>
      <c r="C900" s="16"/>
    </row>
    <row r="901" spans="1:3" ht="12.75" customHeight="1" x14ac:dyDescent="0.15">
      <c r="A901" s="8"/>
      <c r="B901" s="9"/>
      <c r="C901" s="16"/>
    </row>
    <row r="902" spans="1:3" ht="12.75" customHeight="1" x14ac:dyDescent="0.15">
      <c r="A902" s="8"/>
      <c r="B902" s="9"/>
      <c r="C902" s="16"/>
    </row>
    <row r="903" spans="1:3" ht="12.75" customHeight="1" x14ac:dyDescent="0.15">
      <c r="A903" s="8"/>
      <c r="B903" s="9"/>
      <c r="C903" s="16"/>
    </row>
    <row r="904" spans="1:3" ht="12.75" customHeight="1" x14ac:dyDescent="0.15">
      <c r="A904" s="8"/>
      <c r="B904" s="9"/>
      <c r="C904" s="16"/>
    </row>
    <row r="905" spans="1:3" ht="12.75" customHeight="1" x14ac:dyDescent="0.15">
      <c r="A905" s="8"/>
      <c r="B905" s="9"/>
      <c r="C905" s="16"/>
    </row>
    <row r="906" spans="1:3" ht="12.75" customHeight="1" x14ac:dyDescent="0.15">
      <c r="A906" s="8"/>
      <c r="B906" s="9"/>
      <c r="C906" s="16"/>
    </row>
    <row r="907" spans="1:3" ht="12.75" customHeight="1" x14ac:dyDescent="0.15">
      <c r="A907" s="8"/>
      <c r="B907" s="9"/>
      <c r="C907" s="16"/>
    </row>
    <row r="908" spans="1:3" ht="12.75" customHeight="1" x14ac:dyDescent="0.15">
      <c r="A908" s="8"/>
      <c r="B908" s="9"/>
      <c r="C908" s="16"/>
    </row>
    <row r="909" spans="1:3" ht="12.75" customHeight="1" x14ac:dyDescent="0.15">
      <c r="A909" s="8"/>
      <c r="B909" s="9"/>
      <c r="C909" s="16"/>
    </row>
    <row r="910" spans="1:3" ht="12.75" customHeight="1" x14ac:dyDescent="0.15">
      <c r="A910" s="8"/>
      <c r="B910" s="9"/>
      <c r="C910" s="16"/>
    </row>
    <row r="911" spans="1:3" ht="12.75" customHeight="1" x14ac:dyDescent="0.15">
      <c r="A911" s="8"/>
      <c r="B911" s="9"/>
      <c r="C911" s="16"/>
    </row>
    <row r="912" spans="1:3" ht="12.75" customHeight="1" x14ac:dyDescent="0.15">
      <c r="A912" s="8"/>
      <c r="B912" s="9"/>
      <c r="C912" s="16"/>
    </row>
    <row r="913" spans="1:3" ht="12.75" customHeight="1" x14ac:dyDescent="0.15">
      <c r="A913" s="8"/>
      <c r="B913" s="9"/>
      <c r="C913" s="16"/>
    </row>
    <row r="914" spans="1:3" ht="12.75" customHeight="1" x14ac:dyDescent="0.15">
      <c r="A914" s="8"/>
      <c r="B914" s="9"/>
      <c r="C914" s="16"/>
    </row>
    <row r="915" spans="1:3" ht="12.75" customHeight="1" x14ac:dyDescent="0.15">
      <c r="A915" s="8"/>
      <c r="B915" s="9"/>
      <c r="C915" s="16"/>
    </row>
    <row r="916" spans="1:3" ht="12.75" customHeight="1" x14ac:dyDescent="0.15">
      <c r="A916" s="8"/>
      <c r="B916" s="9"/>
      <c r="C916" s="16"/>
    </row>
    <row r="917" spans="1:3" ht="12.75" customHeight="1" x14ac:dyDescent="0.15">
      <c r="A917" s="8"/>
      <c r="B917" s="9"/>
      <c r="C917" s="16"/>
    </row>
    <row r="918" spans="1:3" ht="12.75" customHeight="1" x14ac:dyDescent="0.15">
      <c r="A918" s="8"/>
      <c r="B918" s="9"/>
      <c r="C918" s="16"/>
    </row>
    <row r="919" spans="1:3" ht="12.75" customHeight="1" x14ac:dyDescent="0.15">
      <c r="A919" s="8"/>
      <c r="B919" s="9"/>
      <c r="C919" s="16"/>
    </row>
    <row r="920" spans="1:3" ht="12.75" customHeight="1" x14ac:dyDescent="0.15">
      <c r="A920" s="8"/>
      <c r="B920" s="9"/>
      <c r="C920" s="16"/>
    </row>
    <row r="921" spans="1:3" ht="12.75" customHeight="1" x14ac:dyDescent="0.15">
      <c r="A921" s="8"/>
      <c r="B921" s="9"/>
      <c r="C921" s="16"/>
    </row>
    <row r="922" spans="1:3" ht="12.75" customHeight="1" x14ac:dyDescent="0.15">
      <c r="A922" s="8"/>
      <c r="B922" s="9"/>
      <c r="C922" s="16"/>
    </row>
    <row r="923" spans="1:3" ht="12.75" customHeight="1" x14ac:dyDescent="0.15">
      <c r="A923" s="8"/>
      <c r="B923" s="9"/>
      <c r="C923" s="16"/>
    </row>
    <row r="924" spans="1:3" ht="12.75" customHeight="1" x14ac:dyDescent="0.15">
      <c r="A924" s="8"/>
      <c r="B924" s="9"/>
      <c r="C924" s="16"/>
    </row>
    <row r="925" spans="1:3" ht="12.75" customHeight="1" x14ac:dyDescent="0.15">
      <c r="A925" s="8"/>
      <c r="B925" s="9"/>
      <c r="C925" s="16"/>
    </row>
    <row r="926" spans="1:3" ht="12.75" customHeight="1" x14ac:dyDescent="0.15">
      <c r="A926" s="8"/>
      <c r="B926" s="9"/>
      <c r="C926" s="16"/>
    </row>
    <row r="927" spans="1:3" ht="12.75" customHeight="1" x14ac:dyDescent="0.15">
      <c r="A927" s="8"/>
      <c r="B927" s="9"/>
      <c r="C927" s="16"/>
    </row>
    <row r="928" spans="1:3" ht="12.75" customHeight="1" x14ac:dyDescent="0.15">
      <c r="A928" s="8"/>
      <c r="B928" s="9"/>
      <c r="C928" s="16"/>
    </row>
    <row r="929" spans="1:3" ht="12.75" customHeight="1" x14ac:dyDescent="0.15">
      <c r="A929" s="8"/>
      <c r="B929" s="9"/>
      <c r="C929" s="16"/>
    </row>
    <row r="930" spans="1:3" ht="12.75" customHeight="1" x14ac:dyDescent="0.15">
      <c r="A930" s="8"/>
      <c r="B930" s="9"/>
      <c r="C930" s="16"/>
    </row>
    <row r="931" spans="1:3" ht="12.75" customHeight="1" x14ac:dyDescent="0.15">
      <c r="A931" s="8"/>
      <c r="B931" s="9"/>
      <c r="C931" s="16"/>
    </row>
    <row r="932" spans="1:3" ht="12.75" customHeight="1" x14ac:dyDescent="0.15">
      <c r="A932" s="8"/>
      <c r="B932" s="9"/>
      <c r="C932" s="16"/>
    </row>
    <row r="933" spans="1:3" ht="12.75" customHeight="1" x14ac:dyDescent="0.15">
      <c r="A933" s="8"/>
      <c r="B933" s="9"/>
      <c r="C933" s="16"/>
    </row>
    <row r="934" spans="1:3" ht="12.75" customHeight="1" x14ac:dyDescent="0.15">
      <c r="A934" s="8"/>
      <c r="B934" s="9"/>
      <c r="C934" s="16"/>
    </row>
    <row r="935" spans="1:3" ht="12.75" customHeight="1" x14ac:dyDescent="0.15">
      <c r="A935" s="8"/>
      <c r="B935" s="9"/>
      <c r="C935" s="16"/>
    </row>
    <row r="936" spans="1:3" ht="12.75" customHeight="1" x14ac:dyDescent="0.15">
      <c r="A936" s="8"/>
      <c r="B936" s="9"/>
      <c r="C936" s="16"/>
    </row>
    <row r="937" spans="1:3" ht="12.75" customHeight="1" x14ac:dyDescent="0.15">
      <c r="A937" s="8"/>
      <c r="B937" s="9"/>
      <c r="C937" s="16"/>
    </row>
    <row r="938" spans="1:3" ht="12.75" customHeight="1" x14ac:dyDescent="0.15">
      <c r="A938" s="8"/>
      <c r="B938" s="9"/>
      <c r="C938" s="16"/>
    </row>
    <row r="939" spans="1:3" ht="12.75" customHeight="1" x14ac:dyDescent="0.15">
      <c r="A939" s="8"/>
      <c r="B939" s="9"/>
      <c r="C939" s="16"/>
    </row>
    <row r="940" spans="1:3" ht="12.75" customHeight="1" x14ac:dyDescent="0.15">
      <c r="A940" s="8"/>
      <c r="B940" s="9"/>
      <c r="C940" s="16"/>
    </row>
    <row r="941" spans="1:3" ht="12.75" customHeight="1" x14ac:dyDescent="0.15">
      <c r="A941" s="8"/>
      <c r="B941" s="9"/>
      <c r="C941" s="16"/>
    </row>
    <row r="942" spans="1:3" ht="12.75" customHeight="1" x14ac:dyDescent="0.15">
      <c r="A942" s="8"/>
      <c r="B942" s="9"/>
      <c r="C942" s="16"/>
    </row>
    <row r="943" spans="1:3" ht="12.75" customHeight="1" x14ac:dyDescent="0.15">
      <c r="A943" s="8"/>
      <c r="B943" s="9"/>
      <c r="C943" s="16"/>
    </row>
    <row r="944" spans="1:3" ht="12.75" customHeight="1" x14ac:dyDescent="0.15">
      <c r="A944" s="8"/>
      <c r="B944" s="9"/>
      <c r="C944" s="16"/>
    </row>
    <row r="945" spans="1:3" ht="12.75" customHeight="1" x14ac:dyDescent="0.15">
      <c r="A945" s="8"/>
      <c r="B945" s="9"/>
      <c r="C945" s="16"/>
    </row>
    <row r="946" spans="1:3" ht="12.75" customHeight="1" x14ac:dyDescent="0.15">
      <c r="A946" s="8"/>
      <c r="B946" s="9"/>
      <c r="C946" s="16"/>
    </row>
    <row r="947" spans="1:3" ht="12.75" customHeight="1" x14ac:dyDescent="0.15">
      <c r="A947" s="8"/>
      <c r="B947" s="9"/>
      <c r="C947" s="16"/>
    </row>
    <row r="948" spans="1:3" ht="12.75" customHeight="1" x14ac:dyDescent="0.15">
      <c r="A948" s="8"/>
      <c r="B948" s="9"/>
      <c r="C948" s="16"/>
    </row>
    <row r="949" spans="1:3" ht="12.75" customHeight="1" x14ac:dyDescent="0.15">
      <c r="A949" s="8"/>
      <c r="B949" s="9"/>
      <c r="C949" s="16"/>
    </row>
    <row r="950" spans="1:3" ht="12.75" customHeight="1" x14ac:dyDescent="0.15">
      <c r="A950" s="8"/>
      <c r="B950" s="9"/>
      <c r="C950" s="16"/>
    </row>
    <row r="951" spans="1:3" ht="12.75" customHeight="1" x14ac:dyDescent="0.15">
      <c r="A951" s="8"/>
      <c r="B951" s="9"/>
      <c r="C951" s="16"/>
    </row>
    <row r="952" spans="1:3" ht="12.75" customHeight="1" x14ac:dyDescent="0.15">
      <c r="A952" s="8"/>
      <c r="B952" s="9"/>
      <c r="C952" s="16"/>
    </row>
    <row r="953" spans="1:3" ht="12.75" customHeight="1" x14ac:dyDescent="0.15">
      <c r="A953" s="8"/>
      <c r="B953" s="9"/>
      <c r="C953" s="16"/>
    </row>
    <row r="954" spans="1:3" ht="12.75" customHeight="1" x14ac:dyDescent="0.15">
      <c r="A954" s="8"/>
      <c r="B954" s="9"/>
      <c r="C954" s="16"/>
    </row>
    <row r="955" spans="1:3" ht="12.75" customHeight="1" x14ac:dyDescent="0.15">
      <c r="A955" s="8"/>
      <c r="B955" s="9"/>
      <c r="C955" s="16"/>
    </row>
    <row r="956" spans="1:3" ht="12.75" customHeight="1" x14ac:dyDescent="0.15">
      <c r="A956" s="8"/>
      <c r="B956" s="9"/>
      <c r="C956" s="16"/>
    </row>
    <row r="957" spans="1:3" ht="12.75" customHeight="1" x14ac:dyDescent="0.15">
      <c r="A957" s="8"/>
      <c r="B957" s="9"/>
      <c r="C957" s="16"/>
    </row>
    <row r="958" spans="1:3" ht="12.75" customHeight="1" x14ac:dyDescent="0.15">
      <c r="A958" s="8"/>
      <c r="B958" s="9"/>
      <c r="C958" s="16"/>
    </row>
    <row r="959" spans="1:3" ht="12.75" customHeight="1" x14ac:dyDescent="0.15">
      <c r="A959" s="8"/>
      <c r="B959" s="9"/>
      <c r="C959" s="16"/>
    </row>
    <row r="960" spans="1:3" ht="12.75" customHeight="1" x14ac:dyDescent="0.15">
      <c r="A960" s="8"/>
      <c r="B960" s="9"/>
      <c r="C960" s="16"/>
    </row>
    <row r="961" spans="1:3" ht="12.75" customHeight="1" x14ac:dyDescent="0.15">
      <c r="A961" s="8"/>
      <c r="B961" s="9"/>
      <c r="C961" s="16"/>
    </row>
    <row r="962" spans="1:3" ht="12.75" customHeight="1" x14ac:dyDescent="0.15">
      <c r="A962" s="8"/>
      <c r="B962" s="9"/>
      <c r="C962" s="16"/>
    </row>
    <row r="963" spans="1:3" ht="12.75" customHeight="1" x14ac:dyDescent="0.15">
      <c r="A963" s="8"/>
      <c r="B963" s="9"/>
      <c r="C963" s="16"/>
    </row>
    <row r="964" spans="1:3" ht="12.75" customHeight="1" x14ac:dyDescent="0.15">
      <c r="A964" s="8"/>
      <c r="B964" s="9"/>
      <c r="C964" s="16"/>
    </row>
    <row r="965" spans="1:3" ht="12.75" customHeight="1" x14ac:dyDescent="0.15">
      <c r="A965" s="8"/>
      <c r="B965" s="9"/>
      <c r="C965" s="16"/>
    </row>
    <row r="966" spans="1:3" ht="12.75" customHeight="1" x14ac:dyDescent="0.15">
      <c r="A966" s="8"/>
      <c r="B966" s="9"/>
      <c r="C966" s="16"/>
    </row>
    <row r="967" spans="1:3" ht="12.75" customHeight="1" x14ac:dyDescent="0.15">
      <c r="A967" s="8"/>
      <c r="B967" s="9"/>
      <c r="C967" s="16"/>
    </row>
    <row r="968" spans="1:3" ht="12.75" customHeight="1" x14ac:dyDescent="0.15">
      <c r="A968" s="8"/>
      <c r="B968" s="9"/>
      <c r="C968" s="16"/>
    </row>
    <row r="969" spans="1:3" ht="12.75" customHeight="1" x14ac:dyDescent="0.15">
      <c r="A969" s="8"/>
      <c r="B969" s="9"/>
      <c r="C969" s="16"/>
    </row>
    <row r="970" spans="1:3" ht="12.75" customHeight="1" x14ac:dyDescent="0.15">
      <c r="A970" s="8"/>
      <c r="B970" s="9"/>
      <c r="C970" s="16"/>
    </row>
    <row r="971" spans="1:3" ht="12.75" customHeight="1" x14ac:dyDescent="0.15">
      <c r="A971" s="8"/>
      <c r="B971" s="9"/>
      <c r="C971" s="16"/>
    </row>
    <row r="972" spans="1:3" ht="12.75" customHeight="1" x14ac:dyDescent="0.15">
      <c r="A972" s="8"/>
      <c r="B972" s="9"/>
      <c r="C972" s="16"/>
    </row>
    <row r="973" spans="1:3" ht="12.75" customHeight="1" x14ac:dyDescent="0.15">
      <c r="A973" s="8"/>
      <c r="B973" s="9"/>
      <c r="C973" s="16"/>
    </row>
    <row r="974" spans="1:3" ht="12.75" customHeight="1" x14ac:dyDescent="0.15">
      <c r="A974" s="8"/>
      <c r="B974" s="9"/>
      <c r="C974" s="16"/>
    </row>
    <row r="975" spans="1:3" ht="12.75" customHeight="1" x14ac:dyDescent="0.15">
      <c r="A975" s="8"/>
      <c r="B975" s="9"/>
      <c r="C975" s="16"/>
    </row>
    <row r="976" spans="1:3" ht="12.75" customHeight="1" x14ac:dyDescent="0.15">
      <c r="A976" s="8"/>
      <c r="B976" s="9"/>
      <c r="C976" s="16"/>
    </row>
    <row r="977" spans="1:3" ht="12.75" customHeight="1" x14ac:dyDescent="0.15">
      <c r="A977" s="8"/>
      <c r="B977" s="9"/>
      <c r="C977" s="16"/>
    </row>
    <row r="978" spans="1:3" ht="12.75" customHeight="1" x14ac:dyDescent="0.15">
      <c r="A978" s="8"/>
      <c r="B978" s="9"/>
      <c r="C978" s="16"/>
    </row>
    <row r="979" spans="1:3" ht="12.75" customHeight="1" x14ac:dyDescent="0.15">
      <c r="A979" s="8"/>
      <c r="B979" s="9"/>
      <c r="C979" s="16"/>
    </row>
    <row r="980" spans="1:3" ht="12.75" customHeight="1" x14ac:dyDescent="0.15">
      <c r="A980" s="8"/>
      <c r="B980" s="9"/>
      <c r="C980" s="16"/>
    </row>
    <row r="981" spans="1:3" ht="12.75" customHeight="1" x14ac:dyDescent="0.15">
      <c r="A981" s="8"/>
      <c r="B981" s="9"/>
      <c r="C981" s="16"/>
    </row>
    <row r="982" spans="1:3" ht="12.75" customHeight="1" x14ac:dyDescent="0.15">
      <c r="A982" s="8"/>
      <c r="B982" s="9"/>
      <c r="C982" s="16"/>
    </row>
    <row r="983" spans="1:3" ht="12.75" customHeight="1" x14ac:dyDescent="0.15">
      <c r="A983" s="8"/>
      <c r="B983" s="9"/>
      <c r="C983" s="16"/>
    </row>
    <row r="984" spans="1:3" ht="12.75" customHeight="1" x14ac:dyDescent="0.15">
      <c r="A984" s="8"/>
      <c r="B984" s="9"/>
      <c r="C984" s="16"/>
    </row>
    <row r="985" spans="1:3" ht="12.75" customHeight="1" x14ac:dyDescent="0.15">
      <c r="A985" s="8"/>
      <c r="B985" s="9"/>
      <c r="C985" s="16"/>
    </row>
    <row r="986" spans="1:3" ht="12.75" customHeight="1" x14ac:dyDescent="0.15">
      <c r="A986" s="8"/>
      <c r="B986" s="9"/>
      <c r="C986" s="16"/>
    </row>
    <row r="987" spans="1:3" ht="12.75" customHeight="1" x14ac:dyDescent="0.15">
      <c r="A987" s="8"/>
      <c r="B987" s="9"/>
      <c r="C987" s="16"/>
    </row>
    <row r="988" spans="1:3" ht="12.75" customHeight="1" x14ac:dyDescent="0.15">
      <c r="A988" s="8"/>
      <c r="B988" s="9"/>
      <c r="C988" s="16"/>
    </row>
    <row r="989" spans="1:3" ht="12.75" customHeight="1" x14ac:dyDescent="0.15">
      <c r="A989" s="8"/>
      <c r="B989" s="9"/>
      <c r="C989" s="16"/>
    </row>
    <row r="990" spans="1:3" ht="12.75" customHeight="1" x14ac:dyDescent="0.15">
      <c r="A990" s="8"/>
      <c r="B990" s="9"/>
      <c r="C990" s="16"/>
    </row>
    <row r="991" spans="1:3" ht="12.75" customHeight="1" x14ac:dyDescent="0.15">
      <c r="A991" s="8"/>
      <c r="B991" s="9"/>
      <c r="C991" s="16"/>
    </row>
    <row r="992" spans="1:3" ht="12.75" customHeight="1" x14ac:dyDescent="0.15">
      <c r="A992" s="8"/>
      <c r="B992" s="9"/>
      <c r="C992" s="16"/>
    </row>
    <row r="993" spans="1:3" ht="12.75" customHeight="1" x14ac:dyDescent="0.15">
      <c r="A993" s="8"/>
      <c r="B993" s="9"/>
      <c r="C993" s="16"/>
    </row>
    <row r="994" spans="1:3" ht="12.75" customHeight="1" x14ac:dyDescent="0.15">
      <c r="A994" s="8"/>
      <c r="B994" s="9"/>
      <c r="C994" s="16"/>
    </row>
    <row r="995" spans="1:3" ht="12.75" customHeight="1" x14ac:dyDescent="0.15">
      <c r="A995" s="8"/>
      <c r="B995" s="9"/>
      <c r="C995" s="16"/>
    </row>
    <row r="996" spans="1:3" ht="12.75" customHeight="1" x14ac:dyDescent="0.15">
      <c r="A996" s="8"/>
      <c r="B996" s="9"/>
      <c r="C996" s="16"/>
    </row>
    <row r="997" spans="1:3" ht="12.75" customHeight="1" x14ac:dyDescent="0.15">
      <c r="A997" s="8"/>
      <c r="B997" s="9"/>
      <c r="C997" s="16"/>
    </row>
    <row r="998" spans="1:3" ht="12.75" customHeight="1" x14ac:dyDescent="0.15">
      <c r="A998" s="8"/>
      <c r="B998" s="9"/>
      <c r="C998" s="16"/>
    </row>
    <row r="999" spans="1:3" ht="12.75" customHeight="1" x14ac:dyDescent="0.15">
      <c r="A999" s="8"/>
      <c r="B999" s="9"/>
      <c r="C999" s="16"/>
    </row>
    <row r="1000" spans="1:3" ht="12.75" customHeight="1" x14ac:dyDescent="0.15">
      <c r="A1000" s="8"/>
      <c r="B1000" s="9"/>
      <c r="C1000" s="16"/>
    </row>
    <row r="1001" spans="1:3" ht="12.75" customHeight="1" x14ac:dyDescent="0.15">
      <c r="A1001" s="8"/>
      <c r="B1001" s="9"/>
      <c r="C1001" s="16"/>
    </row>
    <row r="1002" spans="1:3" ht="12.75" customHeight="1" x14ac:dyDescent="0.15">
      <c r="A1002" s="8"/>
      <c r="B1002" s="9"/>
      <c r="C1002" s="16"/>
    </row>
    <row r="1003" spans="1:3" ht="12.75" customHeight="1" x14ac:dyDescent="0.15">
      <c r="A1003" s="8"/>
      <c r="B1003" s="9"/>
      <c r="C1003" s="16"/>
    </row>
    <row r="1004" spans="1:3" ht="12.75" customHeight="1" x14ac:dyDescent="0.15">
      <c r="A1004" s="8"/>
      <c r="B1004" s="9"/>
      <c r="C1004" s="16"/>
    </row>
    <row r="1005" spans="1:3" ht="12.75" customHeight="1" x14ac:dyDescent="0.15">
      <c r="C1005" s="16"/>
    </row>
    <row r="1006" spans="1:3" ht="12.75" customHeight="1" x14ac:dyDescent="0.15">
      <c r="C1006" s="16"/>
    </row>
    <row r="1007" spans="1:3" ht="12.75" customHeight="1" x14ac:dyDescent="0.15">
      <c r="C1007" s="16"/>
    </row>
    <row r="1008" spans="1:3" ht="12.75" customHeight="1" x14ac:dyDescent="0.15">
      <c r="C1008" s="16"/>
    </row>
    <row r="1009" spans="3:3" ht="12.75" customHeight="1" x14ac:dyDescent="0.15">
      <c r="C1009" s="16"/>
    </row>
    <row r="1010" spans="3:3" ht="12.75" customHeight="1" x14ac:dyDescent="0.15">
      <c r="C1010" s="16"/>
    </row>
    <row r="1011" spans="3:3" ht="12.75" customHeight="1" x14ac:dyDescent="0.15">
      <c r="C1011" s="16"/>
    </row>
    <row r="1012" spans="3:3" ht="12.75" customHeight="1" x14ac:dyDescent="0.15">
      <c r="C1012" s="16"/>
    </row>
    <row r="1013" spans="3:3" ht="12.75" customHeight="1" x14ac:dyDescent="0.15">
      <c r="C1013" s="16"/>
    </row>
    <row r="1014" spans="3:3" ht="12.75" customHeight="1" x14ac:dyDescent="0.15">
      <c r="C1014" s="16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14"/>
  <sheetViews>
    <sheetView workbookViewId="0"/>
  </sheetViews>
  <sheetFormatPr baseColWidth="10" defaultColWidth="12.6640625" defaultRowHeight="15" customHeight="1" x14ac:dyDescent="0.15"/>
  <cols>
    <col min="1" max="1" width="25.6640625" customWidth="1"/>
    <col min="2" max="2" width="46.1640625" customWidth="1"/>
    <col min="3" max="3" width="19.6640625" customWidth="1"/>
    <col min="4" max="4" width="98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2" t="s">
        <v>75</v>
      </c>
      <c r="D1" s="10" t="s">
        <v>3</v>
      </c>
    </row>
    <row r="2" spans="1:4" ht="12.75" customHeight="1" x14ac:dyDescent="0.15">
      <c r="A2" s="11" t="s">
        <v>4</v>
      </c>
      <c r="B2" s="4" t="s">
        <v>5</v>
      </c>
      <c r="C2" s="22">
        <v>0</v>
      </c>
      <c r="D2" s="23" t="s">
        <v>76</v>
      </c>
    </row>
    <row r="3" spans="1:4" ht="12.75" customHeight="1" x14ac:dyDescent="0.15">
      <c r="A3" s="13" t="s">
        <v>4</v>
      </c>
      <c r="B3" s="14" t="s">
        <v>6</v>
      </c>
      <c r="C3" s="22">
        <v>0</v>
      </c>
      <c r="D3" s="23" t="s">
        <v>77</v>
      </c>
    </row>
    <row r="4" spans="1:4" ht="12.75" customHeight="1" x14ac:dyDescent="0.15">
      <c r="A4" s="11" t="s">
        <v>7</v>
      </c>
      <c r="B4" s="4" t="s">
        <v>78</v>
      </c>
      <c r="C4" s="22">
        <v>0.5</v>
      </c>
      <c r="D4" s="23" t="s">
        <v>79</v>
      </c>
    </row>
    <row r="5" spans="1:4" ht="12.75" customHeight="1" x14ac:dyDescent="0.15">
      <c r="A5" s="13" t="s">
        <v>9</v>
      </c>
      <c r="B5" s="14" t="s">
        <v>10</v>
      </c>
      <c r="C5" s="22">
        <v>1</v>
      </c>
      <c r="D5" s="23" t="s">
        <v>80</v>
      </c>
    </row>
    <row r="6" spans="1:4" ht="12.75" customHeight="1" x14ac:dyDescent="0.15">
      <c r="A6" s="11" t="s">
        <v>11</v>
      </c>
      <c r="B6" s="4" t="s">
        <v>12</v>
      </c>
      <c r="C6" s="22">
        <v>1</v>
      </c>
      <c r="D6" s="23" t="s">
        <v>81</v>
      </c>
    </row>
    <row r="7" spans="1:4" ht="12.75" customHeight="1" x14ac:dyDescent="0.15">
      <c r="A7" s="13" t="s">
        <v>13</v>
      </c>
      <c r="B7" s="14" t="s">
        <v>14</v>
      </c>
      <c r="C7" s="22">
        <v>1</v>
      </c>
      <c r="D7" s="23" t="s">
        <v>82</v>
      </c>
    </row>
    <row r="8" spans="1:4" ht="12.75" customHeight="1" x14ac:dyDescent="0.15">
      <c r="A8" s="11" t="s">
        <v>11</v>
      </c>
      <c r="B8" s="4" t="s">
        <v>15</v>
      </c>
      <c r="C8" s="22">
        <v>0</v>
      </c>
      <c r="D8" s="23" t="s">
        <v>83</v>
      </c>
    </row>
    <row r="9" spans="1:4" ht="12.75" customHeight="1" x14ac:dyDescent="0.15">
      <c r="A9" s="13" t="s">
        <v>4</v>
      </c>
      <c r="B9" s="14" t="s">
        <v>16</v>
      </c>
      <c r="C9" s="22">
        <v>0</v>
      </c>
      <c r="D9" s="23" t="s">
        <v>84</v>
      </c>
    </row>
    <row r="10" spans="1:4" ht="12.75" customHeight="1" x14ac:dyDescent="0.15">
      <c r="A10" s="11" t="s">
        <v>4</v>
      </c>
      <c r="B10" s="4" t="s">
        <v>17</v>
      </c>
      <c r="C10" s="22">
        <v>0.5</v>
      </c>
      <c r="D10" s="23" t="s">
        <v>85</v>
      </c>
    </row>
    <row r="11" spans="1:4" ht="12.75" customHeight="1" x14ac:dyDescent="0.15">
      <c r="A11" s="13" t="s">
        <v>86</v>
      </c>
      <c r="B11" s="14" t="s">
        <v>87</v>
      </c>
      <c r="C11" s="22">
        <v>0.5</v>
      </c>
      <c r="D11" s="23" t="s">
        <v>88</v>
      </c>
    </row>
    <row r="12" spans="1:4" ht="12.75" customHeight="1" x14ac:dyDescent="0.15">
      <c r="A12" s="11" t="s">
        <v>89</v>
      </c>
      <c r="B12" s="4" t="s">
        <v>90</v>
      </c>
      <c r="C12" s="22">
        <v>0</v>
      </c>
      <c r="D12" s="23" t="s">
        <v>91</v>
      </c>
    </row>
    <row r="13" spans="1:4" ht="12.75" customHeight="1" x14ac:dyDescent="0.15">
      <c r="A13" s="13" t="s">
        <v>7</v>
      </c>
      <c r="B13" s="14" t="s">
        <v>20</v>
      </c>
      <c r="C13" s="22">
        <v>0.5</v>
      </c>
      <c r="D13" s="23" t="s">
        <v>92</v>
      </c>
    </row>
    <row r="14" spans="1:4" ht="12.75" customHeight="1" x14ac:dyDescent="0.15">
      <c r="A14" s="11" t="s">
        <v>21</v>
      </c>
      <c r="B14" s="4" t="s">
        <v>22</v>
      </c>
      <c r="C14" s="22">
        <v>1</v>
      </c>
      <c r="D14" s="23" t="s">
        <v>93</v>
      </c>
    </row>
    <row r="15" spans="1:4" ht="12.75" customHeight="1" x14ac:dyDescent="0.15">
      <c r="A15" s="13" t="s">
        <v>7</v>
      </c>
      <c r="B15" s="14" t="s">
        <v>23</v>
      </c>
      <c r="C15" s="22">
        <v>0.5</v>
      </c>
      <c r="D15" s="23" t="s">
        <v>94</v>
      </c>
    </row>
    <row r="16" spans="1:4" ht="12.75" customHeight="1" x14ac:dyDescent="0.15">
      <c r="A16" s="11" t="s">
        <v>21</v>
      </c>
      <c r="B16" s="4" t="s">
        <v>24</v>
      </c>
      <c r="C16" s="22">
        <v>1</v>
      </c>
      <c r="D16" s="23" t="s">
        <v>95</v>
      </c>
    </row>
    <row r="17" spans="1:22" ht="15" customHeight="1" x14ac:dyDescent="0.15">
      <c r="A17" s="13" t="s">
        <v>9</v>
      </c>
      <c r="B17" s="14" t="s">
        <v>25</v>
      </c>
      <c r="C17" s="22">
        <v>1</v>
      </c>
      <c r="D17" s="23" t="s">
        <v>96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11" t="s">
        <v>4</v>
      </c>
      <c r="B18" s="4" t="s">
        <v>26</v>
      </c>
      <c r="C18" s="22">
        <v>0</v>
      </c>
      <c r="D18" s="23" t="s">
        <v>97</v>
      </c>
    </row>
    <row r="19" spans="1:22" ht="12.75" customHeight="1" x14ac:dyDescent="0.15">
      <c r="A19" s="13" t="s">
        <v>86</v>
      </c>
      <c r="B19" s="14" t="s">
        <v>98</v>
      </c>
      <c r="C19" s="22">
        <v>0.5</v>
      </c>
      <c r="D19" s="23" t="s">
        <v>99</v>
      </c>
    </row>
    <row r="20" spans="1:22" ht="12.75" customHeight="1" x14ac:dyDescent="0.15">
      <c r="A20" s="11" t="s">
        <v>7</v>
      </c>
      <c r="B20" s="4" t="s">
        <v>28</v>
      </c>
      <c r="C20" s="22">
        <v>0.5</v>
      </c>
      <c r="D20" s="23" t="s">
        <v>100</v>
      </c>
    </row>
    <row r="21" spans="1:22" ht="12.75" customHeight="1" x14ac:dyDescent="0.15">
      <c r="A21" s="13" t="s">
        <v>21</v>
      </c>
      <c r="B21" s="14" t="s">
        <v>29</v>
      </c>
      <c r="C21" s="22">
        <v>1</v>
      </c>
      <c r="D21" s="23" t="s">
        <v>101</v>
      </c>
    </row>
    <row r="22" spans="1:22" ht="12.75" customHeight="1" x14ac:dyDescent="0.15">
      <c r="A22" s="11" t="s">
        <v>7</v>
      </c>
      <c r="B22" s="4" t="s">
        <v>30</v>
      </c>
      <c r="C22" s="22">
        <v>0.5</v>
      </c>
      <c r="D22" s="23" t="s">
        <v>102</v>
      </c>
    </row>
    <row r="23" spans="1:22" ht="12.75" customHeight="1" x14ac:dyDescent="0.15">
      <c r="A23" s="13" t="s">
        <v>21</v>
      </c>
      <c r="B23" s="14" t="s">
        <v>31</v>
      </c>
      <c r="C23" s="22">
        <v>1</v>
      </c>
      <c r="D23" s="23" t="s">
        <v>103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11" t="s">
        <v>7</v>
      </c>
      <c r="B24" s="4" t="s">
        <v>28</v>
      </c>
      <c r="C24" s="22">
        <v>1</v>
      </c>
      <c r="D24" s="23" t="s">
        <v>104</v>
      </c>
    </row>
    <row r="25" spans="1:22" ht="12.75" customHeight="1" x14ac:dyDescent="0.15">
      <c r="A25" s="13" t="s">
        <v>21</v>
      </c>
      <c r="B25" s="14" t="s">
        <v>32</v>
      </c>
      <c r="C25" s="22">
        <v>1</v>
      </c>
      <c r="D25" s="23" t="s">
        <v>105</v>
      </c>
    </row>
    <row r="26" spans="1:22" ht="15" customHeight="1" x14ac:dyDescent="0.15">
      <c r="A26" s="11" t="s">
        <v>7</v>
      </c>
      <c r="B26" s="4" t="s">
        <v>33</v>
      </c>
      <c r="C26" s="22">
        <v>0.5</v>
      </c>
      <c r="D26" s="23" t="s">
        <v>106</v>
      </c>
    </row>
    <row r="27" spans="1:22" ht="12.75" customHeight="1" x14ac:dyDescent="0.15">
      <c r="A27" s="13" t="s">
        <v>21</v>
      </c>
      <c r="B27" s="14" t="s">
        <v>34</v>
      </c>
      <c r="C27" s="22">
        <v>1</v>
      </c>
      <c r="D27" s="23" t="s">
        <v>107</v>
      </c>
    </row>
    <row r="28" spans="1:22" ht="12.75" customHeight="1" x14ac:dyDescent="0.15">
      <c r="A28" s="11" t="s">
        <v>4</v>
      </c>
      <c r="B28" s="4" t="s">
        <v>35</v>
      </c>
      <c r="C28" s="22">
        <v>1</v>
      </c>
      <c r="D28" s="23" t="s">
        <v>108</v>
      </c>
    </row>
    <row r="29" spans="1:22" ht="12.75" customHeight="1" x14ac:dyDescent="0.15">
      <c r="A29" s="13" t="s">
        <v>86</v>
      </c>
      <c r="B29" s="14" t="s">
        <v>109</v>
      </c>
      <c r="C29" s="22">
        <v>1</v>
      </c>
      <c r="D29" s="23" t="s">
        <v>110</v>
      </c>
    </row>
    <row r="30" spans="1:22" ht="12.75" customHeight="1" x14ac:dyDescent="0.15">
      <c r="A30" s="11" t="s">
        <v>7</v>
      </c>
      <c r="B30" s="4" t="s">
        <v>37</v>
      </c>
      <c r="C30" s="22">
        <v>1</v>
      </c>
      <c r="D30" s="23" t="s">
        <v>111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13" t="s">
        <v>4</v>
      </c>
      <c r="B31" s="14" t="s">
        <v>38</v>
      </c>
      <c r="C31" s="22">
        <v>1</v>
      </c>
      <c r="D31" s="23" t="s">
        <v>112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11" t="s">
        <v>7</v>
      </c>
      <c r="B32" s="4" t="s">
        <v>39</v>
      </c>
      <c r="C32" s="22">
        <v>0.5</v>
      </c>
      <c r="D32" s="23" t="s">
        <v>113</v>
      </c>
    </row>
    <row r="33" spans="1:22" ht="12.75" customHeight="1" x14ac:dyDescent="0.15">
      <c r="A33" s="13" t="s">
        <v>4</v>
      </c>
      <c r="B33" s="14" t="s">
        <v>40</v>
      </c>
      <c r="C33" s="22">
        <v>1</v>
      </c>
      <c r="D33" s="23" t="s">
        <v>114</v>
      </c>
    </row>
    <row r="34" spans="1:22" ht="12.75" customHeight="1" x14ac:dyDescent="0.15">
      <c r="A34" s="11" t="s">
        <v>86</v>
      </c>
      <c r="B34" s="4" t="s">
        <v>109</v>
      </c>
      <c r="C34" s="22">
        <v>1</v>
      </c>
      <c r="D34" s="23" t="s">
        <v>115</v>
      </c>
    </row>
    <row r="35" spans="1:22" ht="12.75" customHeight="1" x14ac:dyDescent="0.15">
      <c r="A35" s="13" t="s">
        <v>7</v>
      </c>
      <c r="B35" s="14" t="s">
        <v>41</v>
      </c>
      <c r="C35" s="22">
        <v>1</v>
      </c>
      <c r="D35" s="23" t="s">
        <v>116</v>
      </c>
    </row>
    <row r="36" spans="1:22" ht="12.75" customHeight="1" x14ac:dyDescent="0.15">
      <c r="A36" s="11" t="s">
        <v>42</v>
      </c>
      <c r="B36" s="4" t="s">
        <v>43</v>
      </c>
      <c r="C36" s="22">
        <v>0</v>
      </c>
      <c r="D36" s="23" t="s">
        <v>117</v>
      </c>
    </row>
    <row r="37" spans="1:22" ht="12.75" customHeight="1" x14ac:dyDescent="0.15">
      <c r="A37" s="11" t="s">
        <v>4</v>
      </c>
      <c r="B37" s="4" t="s">
        <v>44</v>
      </c>
      <c r="C37" s="22">
        <v>1</v>
      </c>
      <c r="D37" s="23" t="s">
        <v>118</v>
      </c>
    </row>
    <row r="38" spans="1:22" ht="15" customHeight="1" x14ac:dyDescent="0.15">
      <c r="A38" s="13" t="s">
        <v>7</v>
      </c>
      <c r="B38" s="14" t="s">
        <v>45</v>
      </c>
      <c r="C38" s="22">
        <v>1</v>
      </c>
      <c r="D38" s="23" t="s">
        <v>119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11" t="s">
        <v>9</v>
      </c>
      <c r="B39" s="4" t="s">
        <v>46</v>
      </c>
      <c r="C39" s="22">
        <v>1</v>
      </c>
      <c r="D39" s="23" t="s">
        <v>120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13" t="s">
        <v>7</v>
      </c>
      <c r="B40" s="14" t="s">
        <v>47</v>
      </c>
      <c r="C40" s="22">
        <v>0.5</v>
      </c>
      <c r="D40" s="23" t="s">
        <v>121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11" t="s">
        <v>13</v>
      </c>
      <c r="B41" s="4" t="s">
        <v>48</v>
      </c>
      <c r="C41" s="22">
        <v>1</v>
      </c>
      <c r="D41" s="23" t="s">
        <v>122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13" t="s">
        <v>4</v>
      </c>
      <c r="B42" s="14" t="s">
        <v>49</v>
      </c>
      <c r="C42" s="22">
        <v>1</v>
      </c>
      <c r="D42" s="23" t="s">
        <v>123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11" t="s">
        <v>4</v>
      </c>
      <c r="B43" s="4" t="s">
        <v>50</v>
      </c>
      <c r="C43" s="22">
        <v>1</v>
      </c>
      <c r="D43" s="23" t="s">
        <v>124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3" t="s">
        <v>7</v>
      </c>
      <c r="B44" s="14" t="s">
        <v>51</v>
      </c>
      <c r="C44" s="22">
        <v>1</v>
      </c>
      <c r="D44" s="23" t="s">
        <v>125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11" t="s">
        <v>21</v>
      </c>
      <c r="B45" s="4" t="s">
        <v>52</v>
      </c>
      <c r="C45" s="22">
        <v>0</v>
      </c>
      <c r="D45" s="23" t="s">
        <v>126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13" t="s">
        <v>9</v>
      </c>
      <c r="B46" s="14" t="s">
        <v>53</v>
      </c>
      <c r="C46" s="22">
        <v>0</v>
      </c>
      <c r="D46" s="23" t="s">
        <v>127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11" t="s">
        <v>7</v>
      </c>
      <c r="B47" s="4" t="s">
        <v>51</v>
      </c>
      <c r="C47" s="22">
        <v>0</v>
      </c>
      <c r="D47" s="23" t="s">
        <v>128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2.75" customHeight="1" x14ac:dyDescent="0.15">
      <c r="A48" s="13" t="s">
        <v>21</v>
      </c>
      <c r="B48" s="14" t="s">
        <v>54</v>
      </c>
      <c r="C48" s="22">
        <v>0</v>
      </c>
      <c r="D48" s="23" t="s">
        <v>129</v>
      </c>
    </row>
    <row r="49" spans="1:4" ht="12.75" customHeight="1" x14ac:dyDescent="0.15">
      <c r="A49" s="11" t="s">
        <v>13</v>
      </c>
      <c r="B49" s="4" t="s">
        <v>55</v>
      </c>
      <c r="C49" s="22">
        <v>1</v>
      </c>
      <c r="D49" s="23" t="s">
        <v>130</v>
      </c>
    </row>
    <row r="50" spans="1:4" ht="12.75" customHeight="1" x14ac:dyDescent="0.15">
      <c r="A50" s="13" t="s">
        <v>4</v>
      </c>
      <c r="B50" s="14" t="s">
        <v>56</v>
      </c>
      <c r="C50" s="22">
        <v>0</v>
      </c>
      <c r="D50" s="23" t="s">
        <v>131</v>
      </c>
    </row>
    <row r="51" spans="1:4" ht="12.75" customHeight="1" x14ac:dyDescent="0.15">
      <c r="A51" s="11" t="s">
        <v>4</v>
      </c>
      <c r="B51" s="4" t="s">
        <v>57</v>
      </c>
      <c r="C51" s="22">
        <v>0</v>
      </c>
      <c r="D51" s="23" t="s">
        <v>132</v>
      </c>
    </row>
    <row r="52" spans="1:4" ht="12.75" customHeight="1" x14ac:dyDescent="0.15">
      <c r="A52" s="13" t="s">
        <v>7</v>
      </c>
      <c r="B52" s="14" t="s">
        <v>58</v>
      </c>
      <c r="C52" s="22">
        <v>0</v>
      </c>
      <c r="D52" s="23" t="s">
        <v>133</v>
      </c>
    </row>
    <row r="53" spans="1:4" ht="12.75" customHeight="1" x14ac:dyDescent="0.15">
      <c r="A53" s="11" t="s">
        <v>21</v>
      </c>
      <c r="B53" s="4" t="s">
        <v>59</v>
      </c>
      <c r="C53" s="22">
        <v>0</v>
      </c>
      <c r="D53" s="23" t="s">
        <v>134</v>
      </c>
    </row>
    <row r="54" spans="1:4" ht="12.75" customHeight="1" x14ac:dyDescent="0.15">
      <c r="A54" s="13" t="s">
        <v>7</v>
      </c>
      <c r="B54" s="14" t="s">
        <v>60</v>
      </c>
      <c r="C54" s="22">
        <v>0</v>
      </c>
      <c r="D54" s="23" t="s">
        <v>135</v>
      </c>
    </row>
    <row r="55" spans="1:4" ht="12.75" customHeight="1" x14ac:dyDescent="0.15">
      <c r="A55" s="11" t="s">
        <v>21</v>
      </c>
      <c r="B55" s="4" t="s">
        <v>61</v>
      </c>
      <c r="C55" s="22">
        <v>0</v>
      </c>
      <c r="D55" s="23" t="s">
        <v>134</v>
      </c>
    </row>
    <row r="56" spans="1:4" ht="12.75" customHeight="1" x14ac:dyDescent="0.15">
      <c r="A56" s="13" t="s">
        <v>9</v>
      </c>
      <c r="B56" s="14" t="s">
        <v>62</v>
      </c>
      <c r="C56" s="22">
        <v>0</v>
      </c>
      <c r="D56" s="23" t="s">
        <v>136</v>
      </c>
    </row>
    <row r="57" spans="1:4" ht="12.75" customHeight="1" x14ac:dyDescent="0.15">
      <c r="A57" s="13" t="s">
        <v>4</v>
      </c>
      <c r="B57" s="14" t="s">
        <v>63</v>
      </c>
      <c r="C57" s="22">
        <v>0</v>
      </c>
      <c r="D57" s="23" t="s">
        <v>137</v>
      </c>
    </row>
    <row r="58" spans="1:4" ht="12.75" customHeight="1" x14ac:dyDescent="0.15">
      <c r="A58" s="13" t="s">
        <v>7</v>
      </c>
      <c r="B58" s="14" t="s">
        <v>64</v>
      </c>
      <c r="C58" s="22">
        <v>0</v>
      </c>
      <c r="D58" s="23" t="s">
        <v>135</v>
      </c>
    </row>
    <row r="59" spans="1:4" ht="12.75" customHeight="1" x14ac:dyDescent="0.15">
      <c r="A59" s="13" t="s">
        <v>21</v>
      </c>
      <c r="B59" s="14" t="s">
        <v>61</v>
      </c>
      <c r="C59" s="22">
        <v>0</v>
      </c>
      <c r="D59" s="23" t="s">
        <v>134</v>
      </c>
    </row>
    <row r="60" spans="1:4" ht="12.75" customHeight="1" x14ac:dyDescent="0.15">
      <c r="A60" s="13" t="s">
        <v>9</v>
      </c>
      <c r="B60" s="14" t="s">
        <v>62</v>
      </c>
      <c r="C60" s="22">
        <v>0</v>
      </c>
      <c r="D60" s="23" t="s">
        <v>138</v>
      </c>
    </row>
    <row r="61" spans="1:4" ht="12.75" customHeight="1" x14ac:dyDescent="0.15">
      <c r="A61" s="17" t="s">
        <v>7</v>
      </c>
      <c r="B61" s="18" t="s">
        <v>65</v>
      </c>
      <c r="C61" s="22">
        <v>0</v>
      </c>
      <c r="D61" s="23" t="s">
        <v>135</v>
      </c>
    </row>
    <row r="62" spans="1:4" ht="12.75" customHeight="1" x14ac:dyDescent="0.15">
      <c r="A62" s="17" t="s">
        <v>21</v>
      </c>
      <c r="B62" s="18" t="s">
        <v>59</v>
      </c>
      <c r="C62" s="22">
        <v>0</v>
      </c>
      <c r="D62" s="23" t="s">
        <v>134</v>
      </c>
    </row>
    <row r="63" spans="1:4" ht="12.75" customHeight="1" x14ac:dyDescent="0.15">
      <c r="A63" s="17" t="s">
        <v>13</v>
      </c>
      <c r="B63" s="18" t="s">
        <v>66</v>
      </c>
      <c r="C63" s="22">
        <v>1</v>
      </c>
      <c r="D63" s="23" t="s">
        <v>139</v>
      </c>
    </row>
    <row r="64" spans="1:4" ht="12.75" customHeight="1" x14ac:dyDescent="0.15">
      <c r="A64" s="17" t="s">
        <v>4</v>
      </c>
      <c r="B64" s="18" t="s">
        <v>67</v>
      </c>
      <c r="C64" s="22">
        <v>1</v>
      </c>
      <c r="D64" s="23" t="s">
        <v>140</v>
      </c>
    </row>
    <row r="65" spans="1:4" ht="12.75" customHeight="1" x14ac:dyDescent="0.15">
      <c r="A65" s="17" t="s">
        <v>4</v>
      </c>
      <c r="B65" s="18" t="s">
        <v>68</v>
      </c>
      <c r="C65" s="22">
        <v>1</v>
      </c>
      <c r="D65" s="23" t="s">
        <v>141</v>
      </c>
    </row>
    <row r="66" spans="1:4" ht="12.75" customHeight="1" x14ac:dyDescent="0.15">
      <c r="A66" s="17" t="s">
        <v>7</v>
      </c>
      <c r="B66" s="18" t="s">
        <v>69</v>
      </c>
      <c r="C66" s="22">
        <v>1</v>
      </c>
      <c r="D66" s="23" t="s">
        <v>142</v>
      </c>
    </row>
    <row r="67" spans="1:4" ht="12.75" customHeight="1" x14ac:dyDescent="0.15">
      <c r="A67" s="17" t="s">
        <v>21</v>
      </c>
      <c r="B67" s="18" t="s">
        <v>70</v>
      </c>
      <c r="C67" s="22">
        <v>0</v>
      </c>
      <c r="D67" s="23" t="s">
        <v>143</v>
      </c>
    </row>
    <row r="68" spans="1:4" ht="12.75" customHeight="1" x14ac:dyDescent="0.15">
      <c r="A68" s="17" t="s">
        <v>9</v>
      </c>
      <c r="B68" s="18" t="s">
        <v>71</v>
      </c>
      <c r="C68" s="22">
        <v>0</v>
      </c>
      <c r="D68" s="23" t="s">
        <v>144</v>
      </c>
    </row>
    <row r="69" spans="1:4" ht="12.75" customHeight="1" x14ac:dyDescent="0.15">
      <c r="A69" s="17" t="s">
        <v>7</v>
      </c>
      <c r="B69" s="18" t="s">
        <v>69</v>
      </c>
      <c r="C69" s="22">
        <v>0</v>
      </c>
      <c r="D69" s="23" t="s">
        <v>145</v>
      </c>
    </row>
    <row r="70" spans="1:4" ht="12.75" customHeight="1" x14ac:dyDescent="0.15">
      <c r="A70" s="17" t="s">
        <v>21</v>
      </c>
      <c r="B70" s="18" t="s">
        <v>72</v>
      </c>
      <c r="C70" s="22">
        <v>0</v>
      </c>
      <c r="D70" s="23" t="s">
        <v>146</v>
      </c>
    </row>
    <row r="71" spans="1:4" ht="12.75" customHeight="1" x14ac:dyDescent="0.15">
      <c r="A71" s="17" t="s">
        <v>4</v>
      </c>
      <c r="B71" s="18" t="s">
        <v>73</v>
      </c>
      <c r="C71" s="22">
        <v>0</v>
      </c>
      <c r="D71" s="23" t="s">
        <v>147</v>
      </c>
    </row>
    <row r="72" spans="1:4" ht="12.75" customHeight="1" x14ac:dyDescent="0.15">
      <c r="A72" s="20" t="s">
        <v>4</v>
      </c>
      <c r="B72" s="7" t="s">
        <v>74</v>
      </c>
      <c r="C72" s="22">
        <v>2</v>
      </c>
      <c r="D72" s="23" t="s">
        <v>148</v>
      </c>
    </row>
    <row r="73" spans="1:4" ht="12.75" customHeight="1" x14ac:dyDescent="0.15">
      <c r="A73" s="13" t="s">
        <v>7</v>
      </c>
      <c r="B73" s="14" t="s">
        <v>74</v>
      </c>
      <c r="C73" s="22">
        <v>0</v>
      </c>
      <c r="D73" s="23" t="s">
        <v>149</v>
      </c>
    </row>
    <row r="74" spans="1:4" ht="12.75" customHeight="1" x14ac:dyDescent="0.15">
      <c r="A74" s="11" t="s">
        <v>21</v>
      </c>
      <c r="B74" s="4" t="s">
        <v>74</v>
      </c>
      <c r="C74" s="22">
        <v>0</v>
      </c>
      <c r="D74" s="23" t="s">
        <v>150</v>
      </c>
    </row>
    <row r="75" spans="1:4" ht="12.75" customHeight="1" x14ac:dyDescent="0.15">
      <c r="A75" s="13" t="s">
        <v>9</v>
      </c>
      <c r="B75" s="14" t="s">
        <v>74</v>
      </c>
      <c r="C75" s="22">
        <v>1</v>
      </c>
      <c r="D75" s="23" t="s">
        <v>151</v>
      </c>
    </row>
    <row r="76" spans="1:4" ht="12.75" customHeight="1" x14ac:dyDescent="0.15">
      <c r="A76" s="11" t="s">
        <v>11</v>
      </c>
      <c r="B76" s="4" t="s">
        <v>74</v>
      </c>
      <c r="C76" s="22">
        <v>0</v>
      </c>
      <c r="D76" s="23" t="s">
        <v>152</v>
      </c>
    </row>
    <row r="77" spans="1:4" ht="12.75" customHeight="1" x14ac:dyDescent="0.15">
      <c r="A77" s="13" t="s">
        <v>13</v>
      </c>
      <c r="B77" s="14" t="s">
        <v>74</v>
      </c>
      <c r="C77" s="22">
        <v>0</v>
      </c>
      <c r="D77" s="23" t="s">
        <v>153</v>
      </c>
    </row>
    <row r="78" spans="1:4" ht="12.75" customHeight="1" x14ac:dyDescent="0.15">
      <c r="A78" s="11" t="s">
        <v>42</v>
      </c>
      <c r="B78" s="4" t="s">
        <v>74</v>
      </c>
      <c r="C78" s="22">
        <v>0</v>
      </c>
      <c r="D78" s="23" t="s">
        <v>154</v>
      </c>
    </row>
    <row r="79" spans="1:4" ht="12.75" customHeight="1" x14ac:dyDescent="0.15">
      <c r="A79" s="8"/>
      <c r="B79" s="9"/>
      <c r="C79" s="16"/>
    </row>
    <row r="80" spans="1:4" ht="12.75" customHeight="1" x14ac:dyDescent="0.15">
      <c r="A80" s="8"/>
      <c r="B80" s="9"/>
      <c r="C80" s="16"/>
    </row>
    <row r="81" spans="1:3" ht="12.75" customHeight="1" x14ac:dyDescent="0.15">
      <c r="A81" s="8"/>
      <c r="B81" s="9"/>
      <c r="C81" s="16"/>
    </row>
    <row r="82" spans="1:3" ht="12.75" customHeight="1" x14ac:dyDescent="0.15">
      <c r="A82" s="8"/>
      <c r="B82" s="9"/>
      <c r="C82" s="16"/>
    </row>
    <row r="83" spans="1:3" ht="12.75" customHeight="1" x14ac:dyDescent="0.15">
      <c r="A83" s="8"/>
      <c r="B83" s="9"/>
      <c r="C83" s="16"/>
    </row>
    <row r="84" spans="1:3" ht="12.75" customHeight="1" x14ac:dyDescent="0.15">
      <c r="A84" s="8"/>
      <c r="B84" s="9"/>
      <c r="C84" s="16"/>
    </row>
    <row r="85" spans="1:3" ht="12.75" customHeight="1" x14ac:dyDescent="0.15">
      <c r="A85" s="8"/>
      <c r="B85" s="9"/>
      <c r="C85" s="16"/>
    </row>
    <row r="86" spans="1:3" ht="12.75" customHeight="1" x14ac:dyDescent="0.15">
      <c r="A86" s="8"/>
      <c r="B86" s="9"/>
      <c r="C86" s="16"/>
    </row>
    <row r="87" spans="1:3" ht="12.75" customHeight="1" x14ac:dyDescent="0.15">
      <c r="A87" s="8"/>
      <c r="B87" s="9"/>
      <c r="C87" s="16"/>
    </row>
    <row r="88" spans="1:3" ht="12.75" customHeight="1" x14ac:dyDescent="0.15">
      <c r="A88" s="8"/>
      <c r="B88" s="9"/>
      <c r="C88" s="16"/>
    </row>
    <row r="89" spans="1:3" ht="12.75" customHeight="1" x14ac:dyDescent="0.15">
      <c r="A89" s="8"/>
      <c r="B89" s="9"/>
      <c r="C89" s="16"/>
    </row>
    <row r="90" spans="1:3" ht="12.75" customHeight="1" x14ac:dyDescent="0.15">
      <c r="A90" s="8"/>
      <c r="B90" s="9"/>
      <c r="C90" s="16"/>
    </row>
    <row r="91" spans="1:3" ht="12.75" customHeight="1" x14ac:dyDescent="0.15">
      <c r="A91" s="8"/>
      <c r="B91" s="9"/>
      <c r="C91" s="16"/>
    </row>
    <row r="92" spans="1:3" ht="12.75" customHeight="1" x14ac:dyDescent="0.15">
      <c r="A92" s="8"/>
      <c r="B92" s="9"/>
      <c r="C92" s="16"/>
    </row>
    <row r="93" spans="1:3" ht="12.75" customHeight="1" x14ac:dyDescent="0.15">
      <c r="A93" s="8"/>
      <c r="B93" s="9"/>
      <c r="C93" s="16"/>
    </row>
    <row r="94" spans="1:3" ht="12.75" customHeight="1" x14ac:dyDescent="0.15">
      <c r="A94" s="8"/>
      <c r="B94" s="9"/>
      <c r="C94" s="16"/>
    </row>
    <row r="95" spans="1:3" ht="12.75" customHeight="1" x14ac:dyDescent="0.15">
      <c r="A95" s="8"/>
      <c r="B95" s="9"/>
      <c r="C95" s="16"/>
    </row>
    <row r="96" spans="1:3" ht="12.75" customHeight="1" x14ac:dyDescent="0.15">
      <c r="A96" s="8"/>
      <c r="B96" s="9"/>
      <c r="C96" s="16"/>
    </row>
    <row r="97" spans="1:3" ht="12.75" customHeight="1" x14ac:dyDescent="0.15">
      <c r="A97" s="8"/>
      <c r="B97" s="9"/>
      <c r="C97" s="16"/>
    </row>
    <row r="98" spans="1:3" ht="12.75" customHeight="1" x14ac:dyDescent="0.15">
      <c r="A98" s="8"/>
      <c r="B98" s="9"/>
      <c r="C98" s="16"/>
    </row>
    <row r="99" spans="1:3" ht="12.75" customHeight="1" x14ac:dyDescent="0.15">
      <c r="A99" s="8"/>
      <c r="B99" s="9"/>
      <c r="C99" s="16"/>
    </row>
    <row r="100" spans="1:3" ht="12.75" customHeight="1" x14ac:dyDescent="0.15">
      <c r="A100" s="8"/>
      <c r="B100" s="9"/>
      <c r="C100" s="16"/>
    </row>
    <row r="101" spans="1:3" ht="12.75" customHeight="1" x14ac:dyDescent="0.15">
      <c r="A101" s="8"/>
      <c r="B101" s="9"/>
      <c r="C101" s="16"/>
    </row>
    <row r="102" spans="1:3" ht="12.75" customHeight="1" x14ac:dyDescent="0.15">
      <c r="A102" s="8"/>
      <c r="B102" s="9"/>
      <c r="C102" s="16"/>
    </row>
    <row r="103" spans="1:3" ht="12.75" customHeight="1" x14ac:dyDescent="0.15">
      <c r="A103" s="8"/>
      <c r="B103" s="9"/>
      <c r="C103" s="16"/>
    </row>
    <row r="104" spans="1:3" ht="12.75" customHeight="1" x14ac:dyDescent="0.15">
      <c r="A104" s="8"/>
      <c r="B104" s="9"/>
      <c r="C104" s="16"/>
    </row>
    <row r="105" spans="1:3" ht="12.75" customHeight="1" x14ac:dyDescent="0.15">
      <c r="A105" s="8"/>
      <c r="B105" s="9"/>
      <c r="C105" s="16"/>
    </row>
    <row r="106" spans="1:3" ht="12.75" customHeight="1" x14ac:dyDescent="0.15">
      <c r="A106" s="8"/>
      <c r="B106" s="9"/>
      <c r="C106" s="16"/>
    </row>
    <row r="107" spans="1:3" ht="12.75" customHeight="1" x14ac:dyDescent="0.15">
      <c r="A107" s="8"/>
      <c r="B107" s="9"/>
      <c r="C107" s="16"/>
    </row>
    <row r="108" spans="1:3" ht="12.75" customHeight="1" x14ac:dyDescent="0.15">
      <c r="A108" s="8"/>
      <c r="B108" s="9"/>
      <c r="C108" s="16"/>
    </row>
    <row r="109" spans="1:3" ht="12.75" customHeight="1" x14ac:dyDescent="0.15">
      <c r="A109" s="8"/>
      <c r="B109" s="9"/>
      <c r="C109" s="16"/>
    </row>
    <row r="110" spans="1:3" ht="12.75" customHeight="1" x14ac:dyDescent="0.15">
      <c r="A110" s="8"/>
      <c r="B110" s="9"/>
      <c r="C110" s="16"/>
    </row>
    <row r="111" spans="1:3" ht="12.75" customHeight="1" x14ac:dyDescent="0.15">
      <c r="A111" s="8"/>
      <c r="B111" s="9"/>
      <c r="C111" s="16"/>
    </row>
    <row r="112" spans="1:3" ht="12.75" customHeight="1" x14ac:dyDescent="0.15">
      <c r="A112" s="8"/>
      <c r="B112" s="9"/>
      <c r="C112" s="16"/>
    </row>
    <row r="113" spans="1:3" ht="12.75" customHeight="1" x14ac:dyDescent="0.15">
      <c r="A113" s="8"/>
      <c r="B113" s="9"/>
      <c r="C113" s="16"/>
    </row>
    <row r="114" spans="1:3" ht="12.75" customHeight="1" x14ac:dyDescent="0.15">
      <c r="A114" s="8"/>
      <c r="B114" s="9"/>
      <c r="C114" s="16"/>
    </row>
    <row r="115" spans="1:3" ht="12.75" customHeight="1" x14ac:dyDescent="0.15">
      <c r="A115" s="8"/>
      <c r="B115" s="9"/>
      <c r="C115" s="16"/>
    </row>
    <row r="116" spans="1:3" ht="12.75" customHeight="1" x14ac:dyDescent="0.15">
      <c r="A116" s="8"/>
      <c r="B116" s="9"/>
      <c r="C116" s="16"/>
    </row>
    <row r="117" spans="1:3" ht="12.75" customHeight="1" x14ac:dyDescent="0.15">
      <c r="A117" s="8"/>
      <c r="B117" s="9"/>
      <c r="C117" s="16"/>
    </row>
    <row r="118" spans="1:3" ht="12.75" customHeight="1" x14ac:dyDescent="0.15">
      <c r="A118" s="8"/>
      <c r="B118" s="9"/>
      <c r="C118" s="16"/>
    </row>
    <row r="119" spans="1:3" ht="12.75" customHeight="1" x14ac:dyDescent="0.15">
      <c r="A119" s="8"/>
      <c r="B119" s="9"/>
      <c r="C119" s="16"/>
    </row>
    <row r="120" spans="1:3" ht="12.75" customHeight="1" x14ac:dyDescent="0.15">
      <c r="A120" s="8"/>
      <c r="B120" s="9"/>
      <c r="C120" s="16"/>
    </row>
    <row r="121" spans="1:3" ht="12.75" customHeight="1" x14ac:dyDescent="0.15">
      <c r="A121" s="8"/>
      <c r="B121" s="9"/>
      <c r="C121" s="16"/>
    </row>
    <row r="122" spans="1:3" ht="12.75" customHeight="1" x14ac:dyDescent="0.15">
      <c r="A122" s="8"/>
      <c r="B122" s="9"/>
      <c r="C122" s="16"/>
    </row>
    <row r="123" spans="1:3" ht="12.75" customHeight="1" x14ac:dyDescent="0.15">
      <c r="A123" s="8"/>
      <c r="B123" s="9"/>
      <c r="C123" s="16"/>
    </row>
    <row r="124" spans="1:3" ht="12.75" customHeight="1" x14ac:dyDescent="0.15">
      <c r="A124" s="8"/>
      <c r="B124" s="9"/>
      <c r="C124" s="16"/>
    </row>
    <row r="125" spans="1:3" ht="12.75" customHeight="1" x14ac:dyDescent="0.15">
      <c r="A125" s="8"/>
      <c r="B125" s="9"/>
      <c r="C125" s="16"/>
    </row>
    <row r="126" spans="1:3" ht="12.75" customHeight="1" x14ac:dyDescent="0.15">
      <c r="A126" s="8"/>
      <c r="B126" s="9"/>
      <c r="C126" s="16"/>
    </row>
    <row r="127" spans="1:3" ht="12.75" customHeight="1" x14ac:dyDescent="0.15">
      <c r="A127" s="8"/>
      <c r="B127" s="9"/>
      <c r="C127" s="16"/>
    </row>
    <row r="128" spans="1:3" ht="12.75" customHeight="1" x14ac:dyDescent="0.15">
      <c r="A128" s="8"/>
      <c r="B128" s="9"/>
      <c r="C128" s="16"/>
    </row>
    <row r="129" spans="1:3" ht="12.75" customHeight="1" x14ac:dyDescent="0.15">
      <c r="A129" s="8"/>
      <c r="B129" s="9"/>
      <c r="C129" s="16"/>
    </row>
    <row r="130" spans="1:3" ht="12.75" customHeight="1" x14ac:dyDescent="0.15">
      <c r="A130" s="8"/>
      <c r="B130" s="9"/>
      <c r="C130" s="16"/>
    </row>
    <row r="131" spans="1:3" ht="12.75" customHeight="1" x14ac:dyDescent="0.15">
      <c r="A131" s="8"/>
      <c r="B131" s="9"/>
      <c r="C131" s="16"/>
    </row>
    <row r="132" spans="1:3" ht="12.75" customHeight="1" x14ac:dyDescent="0.15">
      <c r="A132" s="8"/>
      <c r="B132" s="9"/>
      <c r="C132" s="16"/>
    </row>
    <row r="133" spans="1:3" ht="12.75" customHeight="1" x14ac:dyDescent="0.15">
      <c r="A133" s="8"/>
      <c r="B133" s="9"/>
      <c r="C133" s="16"/>
    </row>
    <row r="134" spans="1:3" ht="12.75" customHeight="1" x14ac:dyDescent="0.15">
      <c r="A134" s="8"/>
      <c r="B134" s="9"/>
      <c r="C134" s="16"/>
    </row>
    <row r="135" spans="1:3" ht="12.75" customHeight="1" x14ac:dyDescent="0.15">
      <c r="A135" s="8"/>
      <c r="B135" s="9"/>
      <c r="C135" s="16"/>
    </row>
    <row r="136" spans="1:3" ht="12.75" customHeight="1" x14ac:dyDescent="0.15">
      <c r="A136" s="8"/>
      <c r="B136" s="9"/>
      <c r="C136" s="16"/>
    </row>
    <row r="137" spans="1:3" ht="12.75" customHeight="1" x14ac:dyDescent="0.15">
      <c r="A137" s="8"/>
      <c r="B137" s="9"/>
      <c r="C137" s="16"/>
    </row>
    <row r="138" spans="1:3" ht="12.75" customHeight="1" x14ac:dyDescent="0.15">
      <c r="A138" s="8"/>
      <c r="B138" s="9"/>
      <c r="C138" s="16"/>
    </row>
    <row r="139" spans="1:3" ht="12.75" customHeight="1" x14ac:dyDescent="0.15">
      <c r="A139" s="8"/>
      <c r="B139" s="9"/>
      <c r="C139" s="16"/>
    </row>
    <row r="140" spans="1:3" ht="12.75" customHeight="1" x14ac:dyDescent="0.15">
      <c r="A140" s="8"/>
      <c r="B140" s="9"/>
      <c r="C140" s="16"/>
    </row>
    <row r="141" spans="1:3" ht="12.75" customHeight="1" x14ac:dyDescent="0.15">
      <c r="A141" s="8"/>
      <c r="B141" s="9"/>
      <c r="C141" s="16"/>
    </row>
    <row r="142" spans="1:3" ht="12.75" customHeight="1" x14ac:dyDescent="0.15">
      <c r="A142" s="8"/>
      <c r="B142" s="9"/>
      <c r="C142" s="16"/>
    </row>
    <row r="143" spans="1:3" ht="12.75" customHeight="1" x14ac:dyDescent="0.15">
      <c r="A143" s="8"/>
      <c r="B143" s="9"/>
      <c r="C143" s="16"/>
    </row>
    <row r="144" spans="1:3" ht="12.75" customHeight="1" x14ac:dyDescent="0.15">
      <c r="A144" s="8"/>
      <c r="B144" s="9"/>
      <c r="C144" s="16"/>
    </row>
    <row r="145" spans="1:3" ht="12.75" customHeight="1" x14ac:dyDescent="0.15">
      <c r="A145" s="8"/>
      <c r="B145" s="9"/>
      <c r="C145" s="16"/>
    </row>
    <row r="146" spans="1:3" ht="12.75" customHeight="1" x14ac:dyDescent="0.15">
      <c r="A146" s="8"/>
      <c r="B146" s="9"/>
      <c r="C146" s="16"/>
    </row>
    <row r="147" spans="1:3" ht="12.75" customHeight="1" x14ac:dyDescent="0.15">
      <c r="A147" s="8"/>
      <c r="B147" s="9"/>
      <c r="C147" s="16"/>
    </row>
    <row r="148" spans="1:3" ht="12.75" customHeight="1" x14ac:dyDescent="0.15">
      <c r="A148" s="8"/>
      <c r="B148" s="9"/>
      <c r="C148" s="16"/>
    </row>
    <row r="149" spans="1:3" ht="12.75" customHeight="1" x14ac:dyDescent="0.15">
      <c r="A149" s="8"/>
      <c r="B149" s="9"/>
      <c r="C149" s="16"/>
    </row>
    <row r="150" spans="1:3" ht="12.75" customHeight="1" x14ac:dyDescent="0.15">
      <c r="A150" s="8"/>
      <c r="B150" s="9"/>
      <c r="C150" s="16"/>
    </row>
    <row r="151" spans="1:3" ht="12.75" customHeight="1" x14ac:dyDescent="0.15">
      <c r="A151" s="8"/>
      <c r="B151" s="9"/>
      <c r="C151" s="16"/>
    </row>
    <row r="152" spans="1:3" ht="12.75" customHeight="1" x14ac:dyDescent="0.15">
      <c r="A152" s="8"/>
      <c r="B152" s="9"/>
      <c r="C152" s="16"/>
    </row>
    <row r="153" spans="1:3" ht="12.75" customHeight="1" x14ac:dyDescent="0.15">
      <c r="A153" s="8"/>
      <c r="B153" s="9"/>
      <c r="C153" s="16"/>
    </row>
    <row r="154" spans="1:3" ht="12.75" customHeight="1" x14ac:dyDescent="0.15">
      <c r="A154" s="8"/>
      <c r="B154" s="9"/>
      <c r="C154" s="16"/>
    </row>
    <row r="155" spans="1:3" ht="12.75" customHeight="1" x14ac:dyDescent="0.15">
      <c r="A155" s="8"/>
      <c r="B155" s="9"/>
      <c r="C155" s="16"/>
    </row>
    <row r="156" spans="1:3" ht="12.75" customHeight="1" x14ac:dyDescent="0.15">
      <c r="A156" s="8"/>
      <c r="B156" s="9"/>
      <c r="C156" s="16"/>
    </row>
    <row r="157" spans="1:3" ht="12.75" customHeight="1" x14ac:dyDescent="0.15">
      <c r="A157" s="8"/>
      <c r="B157" s="9"/>
      <c r="C157" s="16"/>
    </row>
    <row r="158" spans="1:3" ht="12.75" customHeight="1" x14ac:dyDescent="0.15">
      <c r="A158" s="8"/>
      <c r="B158" s="9"/>
      <c r="C158" s="16"/>
    </row>
    <row r="159" spans="1:3" ht="12.75" customHeight="1" x14ac:dyDescent="0.15">
      <c r="A159" s="8"/>
      <c r="B159" s="9"/>
      <c r="C159" s="16"/>
    </row>
    <row r="160" spans="1:3" ht="12.75" customHeight="1" x14ac:dyDescent="0.15">
      <c r="A160" s="8"/>
      <c r="B160" s="9"/>
      <c r="C160" s="16"/>
    </row>
    <row r="161" spans="1:3" ht="12.75" customHeight="1" x14ac:dyDescent="0.15">
      <c r="A161" s="8"/>
      <c r="B161" s="9"/>
      <c r="C161" s="16"/>
    </row>
    <row r="162" spans="1:3" ht="12.75" customHeight="1" x14ac:dyDescent="0.15">
      <c r="A162" s="8"/>
      <c r="B162" s="9"/>
      <c r="C162" s="16"/>
    </row>
    <row r="163" spans="1:3" ht="12.75" customHeight="1" x14ac:dyDescent="0.15">
      <c r="A163" s="8"/>
      <c r="B163" s="9"/>
      <c r="C163" s="16"/>
    </row>
    <row r="164" spans="1:3" ht="12.75" customHeight="1" x14ac:dyDescent="0.15">
      <c r="A164" s="8"/>
      <c r="B164" s="9"/>
      <c r="C164" s="16"/>
    </row>
    <row r="165" spans="1:3" ht="12.75" customHeight="1" x14ac:dyDescent="0.15">
      <c r="A165" s="8"/>
      <c r="B165" s="9"/>
      <c r="C165" s="16"/>
    </row>
    <row r="166" spans="1:3" ht="12.75" customHeight="1" x14ac:dyDescent="0.15">
      <c r="A166" s="8"/>
      <c r="B166" s="9"/>
      <c r="C166" s="16"/>
    </row>
    <row r="167" spans="1:3" ht="12.75" customHeight="1" x14ac:dyDescent="0.15">
      <c r="A167" s="8"/>
      <c r="B167" s="9"/>
      <c r="C167" s="16"/>
    </row>
    <row r="168" spans="1:3" ht="12.75" customHeight="1" x14ac:dyDescent="0.15">
      <c r="A168" s="8"/>
      <c r="B168" s="9"/>
      <c r="C168" s="16"/>
    </row>
    <row r="169" spans="1:3" ht="12.75" customHeight="1" x14ac:dyDescent="0.15">
      <c r="A169" s="8"/>
      <c r="B169" s="9"/>
      <c r="C169" s="16"/>
    </row>
    <row r="170" spans="1:3" ht="12.75" customHeight="1" x14ac:dyDescent="0.15">
      <c r="A170" s="8"/>
      <c r="B170" s="9"/>
      <c r="C170" s="16"/>
    </row>
    <row r="171" spans="1:3" ht="12.75" customHeight="1" x14ac:dyDescent="0.15">
      <c r="A171" s="8"/>
      <c r="B171" s="9"/>
      <c r="C171" s="16"/>
    </row>
    <row r="172" spans="1:3" ht="12.75" customHeight="1" x14ac:dyDescent="0.15">
      <c r="A172" s="8"/>
      <c r="B172" s="9"/>
      <c r="C172" s="16"/>
    </row>
    <row r="173" spans="1:3" ht="12.75" customHeight="1" x14ac:dyDescent="0.15">
      <c r="A173" s="8"/>
      <c r="B173" s="9"/>
      <c r="C173" s="16"/>
    </row>
    <row r="174" spans="1:3" ht="12.75" customHeight="1" x14ac:dyDescent="0.15">
      <c r="A174" s="8"/>
      <c r="B174" s="9"/>
      <c r="C174" s="16"/>
    </row>
    <row r="175" spans="1:3" ht="12.75" customHeight="1" x14ac:dyDescent="0.15">
      <c r="A175" s="8"/>
      <c r="B175" s="9"/>
      <c r="C175" s="16"/>
    </row>
    <row r="176" spans="1:3" ht="12.75" customHeight="1" x14ac:dyDescent="0.15">
      <c r="A176" s="8"/>
      <c r="B176" s="9"/>
      <c r="C176" s="16"/>
    </row>
    <row r="177" spans="1:3" ht="12.75" customHeight="1" x14ac:dyDescent="0.15">
      <c r="A177" s="8"/>
      <c r="B177" s="9"/>
      <c r="C177" s="16"/>
    </row>
    <row r="178" spans="1:3" ht="12.75" customHeight="1" x14ac:dyDescent="0.15">
      <c r="A178" s="8"/>
      <c r="B178" s="9"/>
      <c r="C178" s="16"/>
    </row>
    <row r="179" spans="1:3" ht="12.75" customHeight="1" x14ac:dyDescent="0.15">
      <c r="A179" s="8"/>
      <c r="B179" s="9"/>
      <c r="C179" s="16"/>
    </row>
    <row r="180" spans="1:3" ht="12.75" customHeight="1" x14ac:dyDescent="0.15">
      <c r="A180" s="8"/>
      <c r="B180" s="9"/>
      <c r="C180" s="16"/>
    </row>
    <row r="181" spans="1:3" ht="12.75" customHeight="1" x14ac:dyDescent="0.15">
      <c r="A181" s="8"/>
      <c r="B181" s="9"/>
      <c r="C181" s="16"/>
    </row>
    <row r="182" spans="1:3" ht="12.75" customHeight="1" x14ac:dyDescent="0.15">
      <c r="A182" s="8"/>
      <c r="B182" s="9"/>
      <c r="C182" s="16"/>
    </row>
    <row r="183" spans="1:3" ht="12.75" customHeight="1" x14ac:dyDescent="0.15">
      <c r="A183" s="8"/>
      <c r="B183" s="9"/>
      <c r="C183" s="16"/>
    </row>
    <row r="184" spans="1:3" ht="12.75" customHeight="1" x14ac:dyDescent="0.15">
      <c r="A184" s="8"/>
      <c r="B184" s="9"/>
      <c r="C184" s="16"/>
    </row>
    <row r="185" spans="1:3" ht="12.75" customHeight="1" x14ac:dyDescent="0.15">
      <c r="A185" s="8"/>
      <c r="B185" s="9"/>
      <c r="C185" s="16"/>
    </row>
    <row r="186" spans="1:3" ht="12.75" customHeight="1" x14ac:dyDescent="0.15">
      <c r="A186" s="8"/>
      <c r="B186" s="9"/>
      <c r="C186" s="16"/>
    </row>
    <row r="187" spans="1:3" ht="12.75" customHeight="1" x14ac:dyDescent="0.15">
      <c r="A187" s="8"/>
      <c r="B187" s="9"/>
      <c r="C187" s="16"/>
    </row>
    <row r="188" spans="1:3" ht="12.75" customHeight="1" x14ac:dyDescent="0.15">
      <c r="A188" s="8"/>
      <c r="B188" s="9"/>
      <c r="C188" s="16"/>
    </row>
    <row r="189" spans="1:3" ht="12.75" customHeight="1" x14ac:dyDescent="0.15">
      <c r="A189" s="8"/>
      <c r="B189" s="9"/>
      <c r="C189" s="16"/>
    </row>
    <row r="190" spans="1:3" ht="12.75" customHeight="1" x14ac:dyDescent="0.15">
      <c r="A190" s="8"/>
      <c r="B190" s="9"/>
      <c r="C190" s="16"/>
    </row>
    <row r="191" spans="1:3" ht="12.75" customHeight="1" x14ac:dyDescent="0.15">
      <c r="A191" s="8"/>
      <c r="B191" s="9"/>
      <c r="C191" s="16"/>
    </row>
    <row r="192" spans="1:3" ht="12.75" customHeight="1" x14ac:dyDescent="0.15">
      <c r="A192" s="8"/>
      <c r="B192" s="9"/>
      <c r="C192" s="16"/>
    </row>
    <row r="193" spans="1:3" ht="12.75" customHeight="1" x14ac:dyDescent="0.15">
      <c r="A193" s="8"/>
      <c r="B193" s="9"/>
      <c r="C193" s="16"/>
    </row>
    <row r="194" spans="1:3" ht="12.75" customHeight="1" x14ac:dyDescent="0.15">
      <c r="A194" s="8"/>
      <c r="B194" s="9"/>
      <c r="C194" s="16"/>
    </row>
    <row r="195" spans="1:3" ht="12.75" customHeight="1" x14ac:dyDescent="0.15">
      <c r="A195" s="8"/>
      <c r="B195" s="9"/>
      <c r="C195" s="16"/>
    </row>
    <row r="196" spans="1:3" ht="12.75" customHeight="1" x14ac:dyDescent="0.15">
      <c r="A196" s="8"/>
      <c r="B196" s="9"/>
      <c r="C196" s="16"/>
    </row>
    <row r="197" spans="1:3" ht="12.75" customHeight="1" x14ac:dyDescent="0.15">
      <c r="A197" s="8"/>
      <c r="B197" s="9"/>
      <c r="C197" s="16"/>
    </row>
    <row r="198" spans="1:3" ht="12.75" customHeight="1" x14ac:dyDescent="0.15">
      <c r="A198" s="8"/>
      <c r="B198" s="9"/>
      <c r="C198" s="16"/>
    </row>
    <row r="199" spans="1:3" ht="12.75" customHeight="1" x14ac:dyDescent="0.15">
      <c r="A199" s="8"/>
      <c r="B199" s="9"/>
      <c r="C199" s="16"/>
    </row>
    <row r="200" spans="1:3" ht="12.75" customHeight="1" x14ac:dyDescent="0.15">
      <c r="A200" s="8"/>
      <c r="B200" s="9"/>
      <c r="C200" s="16"/>
    </row>
    <row r="201" spans="1:3" ht="12.75" customHeight="1" x14ac:dyDescent="0.15">
      <c r="A201" s="8"/>
      <c r="B201" s="9"/>
      <c r="C201" s="16"/>
    </row>
    <row r="202" spans="1:3" ht="12.75" customHeight="1" x14ac:dyDescent="0.15">
      <c r="A202" s="8"/>
      <c r="B202" s="9"/>
      <c r="C202" s="16"/>
    </row>
    <row r="203" spans="1:3" ht="12.75" customHeight="1" x14ac:dyDescent="0.15">
      <c r="A203" s="8"/>
      <c r="B203" s="9"/>
      <c r="C203" s="16"/>
    </row>
    <row r="204" spans="1:3" ht="12.75" customHeight="1" x14ac:dyDescent="0.15">
      <c r="A204" s="8"/>
      <c r="B204" s="9"/>
      <c r="C204" s="16"/>
    </row>
    <row r="205" spans="1:3" ht="12.75" customHeight="1" x14ac:dyDescent="0.15">
      <c r="A205" s="8"/>
      <c r="B205" s="9"/>
      <c r="C205" s="16"/>
    </row>
    <row r="206" spans="1:3" ht="12.75" customHeight="1" x14ac:dyDescent="0.15">
      <c r="A206" s="8"/>
      <c r="B206" s="9"/>
      <c r="C206" s="16"/>
    </row>
    <row r="207" spans="1:3" ht="12.75" customHeight="1" x14ac:dyDescent="0.15">
      <c r="A207" s="8"/>
      <c r="B207" s="9"/>
      <c r="C207" s="16"/>
    </row>
    <row r="208" spans="1:3" ht="12.75" customHeight="1" x14ac:dyDescent="0.15">
      <c r="A208" s="8"/>
      <c r="B208" s="9"/>
      <c r="C208" s="16"/>
    </row>
    <row r="209" spans="1:3" ht="12.75" customHeight="1" x14ac:dyDescent="0.15">
      <c r="A209" s="8"/>
      <c r="B209" s="9"/>
      <c r="C209" s="16"/>
    </row>
    <row r="210" spans="1:3" ht="12.75" customHeight="1" x14ac:dyDescent="0.15">
      <c r="A210" s="8"/>
      <c r="B210" s="9"/>
      <c r="C210" s="16"/>
    </row>
    <row r="211" spans="1:3" ht="12.75" customHeight="1" x14ac:dyDescent="0.15">
      <c r="A211" s="8"/>
      <c r="B211" s="9"/>
      <c r="C211" s="16"/>
    </row>
    <row r="212" spans="1:3" ht="12.75" customHeight="1" x14ac:dyDescent="0.15">
      <c r="A212" s="8"/>
      <c r="B212" s="9"/>
      <c r="C212" s="16"/>
    </row>
    <row r="213" spans="1:3" ht="12.75" customHeight="1" x14ac:dyDescent="0.15">
      <c r="A213" s="8"/>
      <c r="B213" s="9"/>
      <c r="C213" s="16"/>
    </row>
    <row r="214" spans="1:3" ht="12.75" customHeight="1" x14ac:dyDescent="0.15">
      <c r="A214" s="8"/>
      <c r="B214" s="9"/>
      <c r="C214" s="16"/>
    </row>
    <row r="215" spans="1:3" ht="12.75" customHeight="1" x14ac:dyDescent="0.15">
      <c r="A215" s="8"/>
      <c r="B215" s="9"/>
      <c r="C215" s="16"/>
    </row>
    <row r="216" spans="1:3" ht="12.75" customHeight="1" x14ac:dyDescent="0.15">
      <c r="A216" s="8"/>
      <c r="B216" s="9"/>
      <c r="C216" s="16"/>
    </row>
    <row r="217" spans="1:3" ht="12.75" customHeight="1" x14ac:dyDescent="0.15">
      <c r="A217" s="8"/>
      <c r="B217" s="9"/>
      <c r="C217" s="16"/>
    </row>
    <row r="218" spans="1:3" ht="12.75" customHeight="1" x14ac:dyDescent="0.15">
      <c r="A218" s="8"/>
      <c r="B218" s="9"/>
      <c r="C218" s="16"/>
    </row>
    <row r="219" spans="1:3" ht="12.75" customHeight="1" x14ac:dyDescent="0.15">
      <c r="A219" s="8"/>
      <c r="B219" s="9"/>
      <c r="C219" s="16"/>
    </row>
    <row r="220" spans="1:3" ht="12.75" customHeight="1" x14ac:dyDescent="0.15">
      <c r="A220" s="8"/>
      <c r="B220" s="9"/>
      <c r="C220" s="16"/>
    </row>
    <row r="221" spans="1:3" ht="12.75" customHeight="1" x14ac:dyDescent="0.15">
      <c r="A221" s="8"/>
      <c r="B221" s="9"/>
      <c r="C221" s="16"/>
    </row>
    <row r="222" spans="1:3" ht="12.75" customHeight="1" x14ac:dyDescent="0.15">
      <c r="A222" s="8"/>
      <c r="B222" s="9"/>
      <c r="C222" s="16"/>
    </row>
    <row r="223" spans="1:3" ht="12.75" customHeight="1" x14ac:dyDescent="0.15">
      <c r="A223" s="8"/>
      <c r="B223" s="9"/>
      <c r="C223" s="16"/>
    </row>
    <row r="224" spans="1:3" ht="12.75" customHeight="1" x14ac:dyDescent="0.15">
      <c r="A224" s="8"/>
      <c r="B224" s="9"/>
      <c r="C224" s="16"/>
    </row>
    <row r="225" spans="1:3" ht="12.75" customHeight="1" x14ac:dyDescent="0.15">
      <c r="A225" s="8"/>
      <c r="B225" s="9"/>
      <c r="C225" s="16"/>
    </row>
    <row r="226" spans="1:3" ht="12.75" customHeight="1" x14ac:dyDescent="0.15">
      <c r="A226" s="8"/>
      <c r="B226" s="9"/>
      <c r="C226" s="16"/>
    </row>
    <row r="227" spans="1:3" ht="12.75" customHeight="1" x14ac:dyDescent="0.15">
      <c r="A227" s="8"/>
      <c r="B227" s="9"/>
      <c r="C227" s="16"/>
    </row>
    <row r="228" spans="1:3" ht="12.75" customHeight="1" x14ac:dyDescent="0.15">
      <c r="A228" s="8"/>
      <c r="B228" s="9"/>
      <c r="C228" s="16"/>
    </row>
    <row r="229" spans="1:3" ht="12.75" customHeight="1" x14ac:dyDescent="0.15">
      <c r="A229" s="8"/>
      <c r="B229" s="9"/>
      <c r="C229" s="16"/>
    </row>
    <row r="230" spans="1:3" ht="12.75" customHeight="1" x14ac:dyDescent="0.15">
      <c r="A230" s="8"/>
      <c r="B230" s="9"/>
      <c r="C230" s="16"/>
    </row>
    <row r="231" spans="1:3" ht="12.75" customHeight="1" x14ac:dyDescent="0.15">
      <c r="A231" s="8"/>
      <c r="B231" s="9"/>
      <c r="C231" s="16"/>
    </row>
    <row r="232" spans="1:3" ht="12.75" customHeight="1" x14ac:dyDescent="0.15">
      <c r="A232" s="8"/>
      <c r="B232" s="9"/>
      <c r="C232" s="16"/>
    </row>
    <row r="233" spans="1:3" ht="12.75" customHeight="1" x14ac:dyDescent="0.15">
      <c r="A233" s="8"/>
      <c r="B233" s="9"/>
      <c r="C233" s="16"/>
    </row>
    <row r="234" spans="1:3" ht="12.75" customHeight="1" x14ac:dyDescent="0.15">
      <c r="A234" s="8"/>
      <c r="B234" s="9"/>
      <c r="C234" s="16"/>
    </row>
    <row r="235" spans="1:3" ht="12.75" customHeight="1" x14ac:dyDescent="0.15">
      <c r="A235" s="8"/>
      <c r="B235" s="9"/>
      <c r="C235" s="16"/>
    </row>
    <row r="236" spans="1:3" ht="12.75" customHeight="1" x14ac:dyDescent="0.15">
      <c r="A236" s="8"/>
      <c r="B236" s="9"/>
      <c r="C236" s="16"/>
    </row>
    <row r="237" spans="1:3" ht="12.75" customHeight="1" x14ac:dyDescent="0.15">
      <c r="A237" s="8"/>
      <c r="B237" s="9"/>
      <c r="C237" s="16"/>
    </row>
    <row r="238" spans="1:3" ht="12.75" customHeight="1" x14ac:dyDescent="0.15">
      <c r="A238" s="8"/>
      <c r="B238" s="9"/>
      <c r="C238" s="16"/>
    </row>
    <row r="239" spans="1:3" ht="12.75" customHeight="1" x14ac:dyDescent="0.15">
      <c r="A239" s="8"/>
      <c r="B239" s="9"/>
      <c r="C239" s="16"/>
    </row>
    <row r="240" spans="1:3" ht="12.75" customHeight="1" x14ac:dyDescent="0.15">
      <c r="A240" s="8"/>
      <c r="B240" s="9"/>
      <c r="C240" s="16"/>
    </row>
    <row r="241" spans="1:3" ht="12.75" customHeight="1" x14ac:dyDescent="0.15">
      <c r="A241" s="8"/>
      <c r="B241" s="9"/>
      <c r="C241" s="16"/>
    </row>
    <row r="242" spans="1:3" ht="12.75" customHeight="1" x14ac:dyDescent="0.15">
      <c r="A242" s="8"/>
      <c r="B242" s="9"/>
      <c r="C242" s="16"/>
    </row>
    <row r="243" spans="1:3" ht="12.75" customHeight="1" x14ac:dyDescent="0.15">
      <c r="A243" s="8"/>
      <c r="B243" s="9"/>
      <c r="C243" s="16"/>
    </row>
    <row r="244" spans="1:3" ht="12.75" customHeight="1" x14ac:dyDescent="0.15">
      <c r="A244" s="8"/>
      <c r="B244" s="9"/>
      <c r="C244" s="16"/>
    </row>
    <row r="245" spans="1:3" ht="12.75" customHeight="1" x14ac:dyDescent="0.15">
      <c r="A245" s="8"/>
      <c r="B245" s="9"/>
      <c r="C245" s="16"/>
    </row>
    <row r="246" spans="1:3" ht="12.75" customHeight="1" x14ac:dyDescent="0.15">
      <c r="A246" s="8"/>
      <c r="B246" s="9"/>
      <c r="C246" s="16"/>
    </row>
    <row r="247" spans="1:3" ht="12.75" customHeight="1" x14ac:dyDescent="0.15">
      <c r="A247" s="8"/>
      <c r="B247" s="9"/>
      <c r="C247" s="16"/>
    </row>
    <row r="248" spans="1:3" ht="12.75" customHeight="1" x14ac:dyDescent="0.15">
      <c r="A248" s="8"/>
      <c r="B248" s="9"/>
      <c r="C248" s="16"/>
    </row>
    <row r="249" spans="1:3" ht="12.75" customHeight="1" x14ac:dyDescent="0.15">
      <c r="A249" s="8"/>
      <c r="B249" s="9"/>
      <c r="C249" s="16"/>
    </row>
    <row r="250" spans="1:3" ht="12.75" customHeight="1" x14ac:dyDescent="0.15">
      <c r="A250" s="8"/>
      <c r="B250" s="9"/>
      <c r="C250" s="16"/>
    </row>
    <row r="251" spans="1:3" ht="12.75" customHeight="1" x14ac:dyDescent="0.15">
      <c r="A251" s="8"/>
      <c r="B251" s="9"/>
      <c r="C251" s="16"/>
    </row>
    <row r="252" spans="1:3" ht="12.75" customHeight="1" x14ac:dyDescent="0.15">
      <c r="A252" s="8"/>
      <c r="B252" s="9"/>
      <c r="C252" s="16"/>
    </row>
    <row r="253" spans="1:3" ht="12.75" customHeight="1" x14ac:dyDescent="0.15">
      <c r="A253" s="8"/>
      <c r="B253" s="9"/>
      <c r="C253" s="16"/>
    </row>
    <row r="254" spans="1:3" ht="12.75" customHeight="1" x14ac:dyDescent="0.15">
      <c r="A254" s="8"/>
      <c r="B254" s="9"/>
      <c r="C254" s="16"/>
    </row>
    <row r="255" spans="1:3" ht="12.75" customHeight="1" x14ac:dyDescent="0.15">
      <c r="A255" s="8"/>
      <c r="B255" s="9"/>
      <c r="C255" s="16"/>
    </row>
    <row r="256" spans="1:3" ht="12.75" customHeight="1" x14ac:dyDescent="0.15">
      <c r="A256" s="8"/>
      <c r="B256" s="9"/>
      <c r="C256" s="16"/>
    </row>
    <row r="257" spans="1:3" ht="12.75" customHeight="1" x14ac:dyDescent="0.15">
      <c r="A257" s="8"/>
      <c r="B257" s="9"/>
      <c r="C257" s="16"/>
    </row>
    <row r="258" spans="1:3" ht="12.75" customHeight="1" x14ac:dyDescent="0.15">
      <c r="A258" s="8"/>
      <c r="B258" s="9"/>
      <c r="C258" s="16"/>
    </row>
    <row r="259" spans="1:3" ht="12.75" customHeight="1" x14ac:dyDescent="0.15">
      <c r="A259" s="8"/>
      <c r="B259" s="9"/>
      <c r="C259" s="16"/>
    </row>
    <row r="260" spans="1:3" ht="12.75" customHeight="1" x14ac:dyDescent="0.15">
      <c r="A260" s="8"/>
      <c r="B260" s="9"/>
      <c r="C260" s="16"/>
    </row>
    <row r="261" spans="1:3" ht="12.75" customHeight="1" x14ac:dyDescent="0.15">
      <c r="A261" s="8"/>
      <c r="B261" s="9"/>
      <c r="C261" s="16"/>
    </row>
    <row r="262" spans="1:3" ht="12.75" customHeight="1" x14ac:dyDescent="0.15">
      <c r="A262" s="8"/>
      <c r="B262" s="9"/>
      <c r="C262" s="16"/>
    </row>
    <row r="263" spans="1:3" ht="12.75" customHeight="1" x14ac:dyDescent="0.15">
      <c r="A263" s="8"/>
      <c r="B263" s="9"/>
      <c r="C263" s="16"/>
    </row>
    <row r="264" spans="1:3" ht="12.75" customHeight="1" x14ac:dyDescent="0.15">
      <c r="A264" s="8"/>
      <c r="B264" s="9"/>
      <c r="C264" s="16"/>
    </row>
    <row r="265" spans="1:3" ht="12.75" customHeight="1" x14ac:dyDescent="0.15">
      <c r="A265" s="8"/>
      <c r="B265" s="9"/>
      <c r="C265" s="16"/>
    </row>
    <row r="266" spans="1:3" ht="12.75" customHeight="1" x14ac:dyDescent="0.15">
      <c r="A266" s="8"/>
      <c r="B266" s="9"/>
      <c r="C266" s="16"/>
    </row>
    <row r="267" spans="1:3" ht="12.75" customHeight="1" x14ac:dyDescent="0.15">
      <c r="A267" s="8"/>
      <c r="B267" s="9"/>
      <c r="C267" s="16"/>
    </row>
    <row r="268" spans="1:3" ht="12.75" customHeight="1" x14ac:dyDescent="0.15">
      <c r="A268" s="8"/>
      <c r="B268" s="9"/>
      <c r="C268" s="16"/>
    </row>
    <row r="269" spans="1:3" ht="12.75" customHeight="1" x14ac:dyDescent="0.15">
      <c r="A269" s="8"/>
      <c r="B269" s="9"/>
      <c r="C269" s="16"/>
    </row>
    <row r="270" spans="1:3" ht="12.75" customHeight="1" x14ac:dyDescent="0.15">
      <c r="A270" s="8"/>
      <c r="B270" s="9"/>
      <c r="C270" s="16"/>
    </row>
    <row r="271" spans="1:3" ht="12.75" customHeight="1" x14ac:dyDescent="0.15">
      <c r="A271" s="8"/>
      <c r="B271" s="9"/>
      <c r="C271" s="16"/>
    </row>
    <row r="272" spans="1:3" ht="12.75" customHeight="1" x14ac:dyDescent="0.15">
      <c r="A272" s="8"/>
      <c r="B272" s="9"/>
      <c r="C272" s="16"/>
    </row>
    <row r="273" spans="1:3" ht="12.75" customHeight="1" x14ac:dyDescent="0.15">
      <c r="A273" s="8"/>
      <c r="B273" s="9"/>
      <c r="C273" s="16"/>
    </row>
    <row r="274" spans="1:3" ht="12.75" customHeight="1" x14ac:dyDescent="0.15">
      <c r="A274" s="8"/>
      <c r="B274" s="9"/>
      <c r="C274" s="16"/>
    </row>
    <row r="275" spans="1:3" ht="12.75" customHeight="1" x14ac:dyDescent="0.15">
      <c r="A275" s="8"/>
      <c r="B275" s="9"/>
      <c r="C275" s="16"/>
    </row>
    <row r="276" spans="1:3" ht="12.75" customHeight="1" x14ac:dyDescent="0.15">
      <c r="A276" s="8"/>
      <c r="B276" s="9"/>
      <c r="C276" s="16"/>
    </row>
    <row r="277" spans="1:3" ht="12.75" customHeight="1" x14ac:dyDescent="0.15">
      <c r="A277" s="8"/>
      <c r="B277" s="9"/>
      <c r="C277" s="16"/>
    </row>
    <row r="278" spans="1:3" ht="12.75" customHeight="1" x14ac:dyDescent="0.15">
      <c r="A278" s="8"/>
      <c r="B278" s="9"/>
      <c r="C278" s="16"/>
    </row>
    <row r="279" spans="1:3" ht="12.75" customHeight="1" x14ac:dyDescent="0.15">
      <c r="A279" s="8"/>
      <c r="B279" s="9"/>
      <c r="C279" s="16"/>
    </row>
    <row r="280" spans="1:3" ht="12.75" customHeight="1" x14ac:dyDescent="0.15">
      <c r="A280" s="8"/>
      <c r="B280" s="9"/>
      <c r="C280" s="16"/>
    </row>
    <row r="281" spans="1:3" ht="12.75" customHeight="1" x14ac:dyDescent="0.15">
      <c r="A281" s="8"/>
      <c r="B281" s="9"/>
      <c r="C281" s="16"/>
    </row>
    <row r="282" spans="1:3" ht="12.75" customHeight="1" x14ac:dyDescent="0.15">
      <c r="A282" s="8"/>
      <c r="B282" s="9"/>
      <c r="C282" s="16"/>
    </row>
    <row r="283" spans="1:3" ht="12.75" customHeight="1" x14ac:dyDescent="0.15">
      <c r="A283" s="8"/>
      <c r="B283" s="9"/>
      <c r="C283" s="16"/>
    </row>
    <row r="284" spans="1:3" ht="12.75" customHeight="1" x14ac:dyDescent="0.15">
      <c r="A284" s="8"/>
      <c r="B284" s="9"/>
      <c r="C284" s="16"/>
    </row>
    <row r="285" spans="1:3" ht="12.75" customHeight="1" x14ac:dyDescent="0.15">
      <c r="A285" s="8"/>
      <c r="B285" s="9"/>
      <c r="C285" s="16"/>
    </row>
    <row r="286" spans="1:3" ht="12.75" customHeight="1" x14ac:dyDescent="0.15">
      <c r="A286" s="8"/>
      <c r="B286" s="9"/>
      <c r="C286" s="16"/>
    </row>
    <row r="287" spans="1:3" ht="12.75" customHeight="1" x14ac:dyDescent="0.15">
      <c r="A287" s="8"/>
      <c r="B287" s="9"/>
      <c r="C287" s="16"/>
    </row>
    <row r="288" spans="1:3" ht="12.75" customHeight="1" x14ac:dyDescent="0.15">
      <c r="A288" s="8"/>
      <c r="B288" s="9"/>
      <c r="C288" s="16"/>
    </row>
    <row r="289" spans="1:3" ht="12.75" customHeight="1" x14ac:dyDescent="0.15">
      <c r="A289" s="8"/>
      <c r="B289" s="9"/>
      <c r="C289" s="16"/>
    </row>
    <row r="290" spans="1:3" ht="12.75" customHeight="1" x14ac:dyDescent="0.15">
      <c r="A290" s="8"/>
      <c r="B290" s="9"/>
      <c r="C290" s="16"/>
    </row>
    <row r="291" spans="1:3" ht="12.75" customHeight="1" x14ac:dyDescent="0.15">
      <c r="A291" s="8"/>
      <c r="B291" s="9"/>
      <c r="C291" s="16"/>
    </row>
    <row r="292" spans="1:3" ht="12.75" customHeight="1" x14ac:dyDescent="0.15">
      <c r="A292" s="8"/>
      <c r="B292" s="9"/>
      <c r="C292" s="16"/>
    </row>
    <row r="293" spans="1:3" ht="12.75" customHeight="1" x14ac:dyDescent="0.15">
      <c r="A293" s="8"/>
      <c r="B293" s="9"/>
      <c r="C293" s="16"/>
    </row>
    <row r="294" spans="1:3" ht="12.75" customHeight="1" x14ac:dyDescent="0.15">
      <c r="A294" s="8"/>
      <c r="B294" s="9"/>
      <c r="C294" s="16"/>
    </row>
    <row r="295" spans="1:3" ht="12.75" customHeight="1" x14ac:dyDescent="0.15">
      <c r="A295" s="8"/>
      <c r="B295" s="9"/>
      <c r="C295" s="16"/>
    </row>
    <row r="296" spans="1:3" ht="12.75" customHeight="1" x14ac:dyDescent="0.15">
      <c r="A296" s="8"/>
      <c r="B296" s="9"/>
      <c r="C296" s="16"/>
    </row>
    <row r="297" spans="1:3" ht="12.75" customHeight="1" x14ac:dyDescent="0.15">
      <c r="A297" s="8"/>
      <c r="B297" s="9"/>
      <c r="C297" s="16"/>
    </row>
    <row r="298" spans="1:3" ht="12.75" customHeight="1" x14ac:dyDescent="0.15">
      <c r="A298" s="8"/>
      <c r="B298" s="9"/>
      <c r="C298" s="16"/>
    </row>
    <row r="299" spans="1:3" ht="12.75" customHeight="1" x14ac:dyDescent="0.15">
      <c r="A299" s="8"/>
      <c r="B299" s="9"/>
      <c r="C299" s="16"/>
    </row>
    <row r="300" spans="1:3" ht="12.75" customHeight="1" x14ac:dyDescent="0.15">
      <c r="A300" s="8"/>
      <c r="B300" s="9"/>
      <c r="C300" s="16"/>
    </row>
    <row r="301" spans="1:3" ht="12.75" customHeight="1" x14ac:dyDescent="0.15">
      <c r="A301" s="8"/>
      <c r="B301" s="9"/>
      <c r="C301" s="16"/>
    </row>
    <row r="302" spans="1:3" ht="12.75" customHeight="1" x14ac:dyDescent="0.15">
      <c r="A302" s="8"/>
      <c r="B302" s="9"/>
      <c r="C302" s="16"/>
    </row>
    <row r="303" spans="1:3" ht="12.75" customHeight="1" x14ac:dyDescent="0.15">
      <c r="A303" s="8"/>
      <c r="B303" s="9"/>
      <c r="C303" s="16"/>
    </row>
    <row r="304" spans="1:3" ht="12.75" customHeight="1" x14ac:dyDescent="0.15">
      <c r="A304" s="8"/>
      <c r="B304" s="9"/>
      <c r="C304" s="16"/>
    </row>
    <row r="305" spans="1:3" ht="12.75" customHeight="1" x14ac:dyDescent="0.15">
      <c r="A305" s="8"/>
      <c r="B305" s="9"/>
      <c r="C305" s="16"/>
    </row>
    <row r="306" spans="1:3" ht="12.75" customHeight="1" x14ac:dyDescent="0.15">
      <c r="A306" s="8"/>
      <c r="B306" s="9"/>
      <c r="C306" s="16"/>
    </row>
    <row r="307" spans="1:3" ht="12.75" customHeight="1" x14ac:dyDescent="0.15">
      <c r="A307" s="8"/>
      <c r="B307" s="9"/>
      <c r="C307" s="16"/>
    </row>
    <row r="308" spans="1:3" ht="12.75" customHeight="1" x14ac:dyDescent="0.15">
      <c r="A308" s="8"/>
      <c r="B308" s="9"/>
      <c r="C308" s="16"/>
    </row>
    <row r="309" spans="1:3" ht="12.75" customHeight="1" x14ac:dyDescent="0.15">
      <c r="A309" s="8"/>
      <c r="B309" s="9"/>
      <c r="C309" s="16"/>
    </row>
    <row r="310" spans="1:3" ht="12.75" customHeight="1" x14ac:dyDescent="0.15">
      <c r="A310" s="8"/>
      <c r="B310" s="9"/>
      <c r="C310" s="16"/>
    </row>
    <row r="311" spans="1:3" ht="12.75" customHeight="1" x14ac:dyDescent="0.15">
      <c r="A311" s="8"/>
      <c r="B311" s="9"/>
      <c r="C311" s="16"/>
    </row>
    <row r="312" spans="1:3" ht="12.75" customHeight="1" x14ac:dyDescent="0.15">
      <c r="A312" s="8"/>
      <c r="B312" s="9"/>
      <c r="C312" s="16"/>
    </row>
    <row r="313" spans="1:3" ht="12.75" customHeight="1" x14ac:dyDescent="0.15">
      <c r="A313" s="8"/>
      <c r="B313" s="9"/>
      <c r="C313" s="16"/>
    </row>
    <row r="314" spans="1:3" ht="12.75" customHeight="1" x14ac:dyDescent="0.15">
      <c r="A314" s="8"/>
      <c r="B314" s="9"/>
      <c r="C314" s="16"/>
    </row>
    <row r="315" spans="1:3" ht="12.75" customHeight="1" x14ac:dyDescent="0.15">
      <c r="A315" s="8"/>
      <c r="B315" s="9"/>
      <c r="C315" s="16"/>
    </row>
    <row r="316" spans="1:3" ht="12.75" customHeight="1" x14ac:dyDescent="0.15">
      <c r="A316" s="8"/>
      <c r="B316" s="9"/>
      <c r="C316" s="16"/>
    </row>
    <row r="317" spans="1:3" ht="12.75" customHeight="1" x14ac:dyDescent="0.15">
      <c r="A317" s="8"/>
      <c r="B317" s="9"/>
      <c r="C317" s="16"/>
    </row>
    <row r="318" spans="1:3" ht="12.75" customHeight="1" x14ac:dyDescent="0.15">
      <c r="A318" s="8"/>
      <c r="B318" s="9"/>
      <c r="C318" s="16"/>
    </row>
    <row r="319" spans="1:3" ht="12.75" customHeight="1" x14ac:dyDescent="0.15">
      <c r="A319" s="8"/>
      <c r="B319" s="9"/>
      <c r="C319" s="16"/>
    </row>
    <row r="320" spans="1:3" ht="12.75" customHeight="1" x14ac:dyDescent="0.15">
      <c r="A320" s="8"/>
      <c r="B320" s="9"/>
      <c r="C320" s="16"/>
    </row>
    <row r="321" spans="1:3" ht="12.75" customHeight="1" x14ac:dyDescent="0.15">
      <c r="A321" s="8"/>
      <c r="B321" s="9"/>
      <c r="C321" s="16"/>
    </row>
    <row r="322" spans="1:3" ht="12.75" customHeight="1" x14ac:dyDescent="0.15">
      <c r="A322" s="8"/>
      <c r="B322" s="9"/>
      <c r="C322" s="16"/>
    </row>
    <row r="323" spans="1:3" ht="12.75" customHeight="1" x14ac:dyDescent="0.15">
      <c r="A323" s="8"/>
      <c r="B323" s="9"/>
      <c r="C323" s="16"/>
    </row>
    <row r="324" spans="1:3" ht="12.75" customHeight="1" x14ac:dyDescent="0.15">
      <c r="A324" s="8"/>
      <c r="B324" s="9"/>
      <c r="C324" s="16"/>
    </row>
    <row r="325" spans="1:3" ht="12.75" customHeight="1" x14ac:dyDescent="0.15">
      <c r="A325" s="8"/>
      <c r="B325" s="9"/>
      <c r="C325" s="16"/>
    </row>
    <row r="326" spans="1:3" ht="12.75" customHeight="1" x14ac:dyDescent="0.15">
      <c r="A326" s="8"/>
      <c r="B326" s="9"/>
      <c r="C326" s="16"/>
    </row>
    <row r="327" spans="1:3" ht="12.75" customHeight="1" x14ac:dyDescent="0.15">
      <c r="A327" s="8"/>
      <c r="B327" s="9"/>
      <c r="C327" s="16"/>
    </row>
    <row r="328" spans="1:3" ht="12.75" customHeight="1" x14ac:dyDescent="0.15">
      <c r="A328" s="8"/>
      <c r="B328" s="9"/>
      <c r="C328" s="16"/>
    </row>
    <row r="329" spans="1:3" ht="12.75" customHeight="1" x14ac:dyDescent="0.15">
      <c r="A329" s="8"/>
      <c r="B329" s="9"/>
      <c r="C329" s="16"/>
    </row>
    <row r="330" spans="1:3" ht="12.75" customHeight="1" x14ac:dyDescent="0.15">
      <c r="A330" s="8"/>
      <c r="B330" s="9"/>
      <c r="C330" s="16"/>
    </row>
    <row r="331" spans="1:3" ht="12.75" customHeight="1" x14ac:dyDescent="0.15">
      <c r="A331" s="8"/>
      <c r="B331" s="9"/>
      <c r="C331" s="16"/>
    </row>
    <row r="332" spans="1:3" ht="12.75" customHeight="1" x14ac:dyDescent="0.15">
      <c r="A332" s="8"/>
      <c r="B332" s="9"/>
      <c r="C332" s="16"/>
    </row>
    <row r="333" spans="1:3" ht="12.75" customHeight="1" x14ac:dyDescent="0.15">
      <c r="A333" s="8"/>
      <c r="B333" s="9"/>
      <c r="C333" s="16"/>
    </row>
    <row r="334" spans="1:3" ht="12.75" customHeight="1" x14ac:dyDescent="0.15">
      <c r="A334" s="8"/>
      <c r="B334" s="9"/>
      <c r="C334" s="16"/>
    </row>
    <row r="335" spans="1:3" ht="12.75" customHeight="1" x14ac:dyDescent="0.15">
      <c r="A335" s="8"/>
      <c r="B335" s="9"/>
      <c r="C335" s="16"/>
    </row>
    <row r="336" spans="1:3" ht="12.75" customHeight="1" x14ac:dyDescent="0.15">
      <c r="A336" s="8"/>
      <c r="B336" s="9"/>
      <c r="C336" s="16"/>
    </row>
    <row r="337" spans="1:3" ht="12.75" customHeight="1" x14ac:dyDescent="0.15">
      <c r="A337" s="8"/>
      <c r="B337" s="9"/>
      <c r="C337" s="16"/>
    </row>
    <row r="338" spans="1:3" ht="12.75" customHeight="1" x14ac:dyDescent="0.15">
      <c r="A338" s="8"/>
      <c r="B338" s="9"/>
      <c r="C338" s="16"/>
    </row>
    <row r="339" spans="1:3" ht="12.75" customHeight="1" x14ac:dyDescent="0.15">
      <c r="A339" s="8"/>
      <c r="B339" s="9"/>
      <c r="C339" s="16"/>
    </row>
    <row r="340" spans="1:3" ht="12.75" customHeight="1" x14ac:dyDescent="0.15">
      <c r="A340" s="8"/>
      <c r="B340" s="9"/>
      <c r="C340" s="16"/>
    </row>
    <row r="341" spans="1:3" ht="12.75" customHeight="1" x14ac:dyDescent="0.15">
      <c r="A341" s="8"/>
      <c r="B341" s="9"/>
      <c r="C341" s="16"/>
    </row>
    <row r="342" spans="1:3" ht="12.75" customHeight="1" x14ac:dyDescent="0.15">
      <c r="A342" s="8"/>
      <c r="B342" s="9"/>
      <c r="C342" s="16"/>
    </row>
    <row r="343" spans="1:3" ht="12.75" customHeight="1" x14ac:dyDescent="0.15">
      <c r="A343" s="8"/>
      <c r="B343" s="9"/>
      <c r="C343" s="16"/>
    </row>
    <row r="344" spans="1:3" ht="12.75" customHeight="1" x14ac:dyDescent="0.15">
      <c r="A344" s="8"/>
      <c r="B344" s="9"/>
      <c r="C344" s="16"/>
    </row>
    <row r="345" spans="1:3" ht="12.75" customHeight="1" x14ac:dyDescent="0.15">
      <c r="A345" s="8"/>
      <c r="B345" s="9"/>
      <c r="C345" s="16"/>
    </row>
    <row r="346" spans="1:3" ht="12.75" customHeight="1" x14ac:dyDescent="0.15">
      <c r="A346" s="8"/>
      <c r="B346" s="9"/>
      <c r="C346" s="16"/>
    </row>
    <row r="347" spans="1:3" ht="12.75" customHeight="1" x14ac:dyDescent="0.15">
      <c r="A347" s="8"/>
      <c r="B347" s="9"/>
      <c r="C347" s="16"/>
    </row>
    <row r="348" spans="1:3" ht="12.75" customHeight="1" x14ac:dyDescent="0.15">
      <c r="A348" s="8"/>
      <c r="B348" s="9"/>
      <c r="C348" s="16"/>
    </row>
    <row r="349" spans="1:3" ht="12.75" customHeight="1" x14ac:dyDescent="0.15">
      <c r="A349" s="8"/>
      <c r="B349" s="9"/>
      <c r="C349" s="16"/>
    </row>
    <row r="350" spans="1:3" ht="12.75" customHeight="1" x14ac:dyDescent="0.15">
      <c r="A350" s="8"/>
      <c r="B350" s="9"/>
      <c r="C350" s="16"/>
    </row>
    <row r="351" spans="1:3" ht="12.75" customHeight="1" x14ac:dyDescent="0.15">
      <c r="A351" s="8"/>
      <c r="B351" s="9"/>
      <c r="C351" s="16"/>
    </row>
    <row r="352" spans="1:3" ht="12.75" customHeight="1" x14ac:dyDescent="0.15">
      <c r="A352" s="8"/>
      <c r="B352" s="9"/>
      <c r="C352" s="16"/>
    </row>
    <row r="353" spans="1:3" ht="12.75" customHeight="1" x14ac:dyDescent="0.15">
      <c r="A353" s="8"/>
      <c r="B353" s="9"/>
      <c r="C353" s="16"/>
    </row>
    <row r="354" spans="1:3" ht="12.75" customHeight="1" x14ac:dyDescent="0.15">
      <c r="A354" s="8"/>
      <c r="B354" s="9"/>
      <c r="C354" s="16"/>
    </row>
    <row r="355" spans="1:3" ht="12.75" customHeight="1" x14ac:dyDescent="0.15">
      <c r="A355" s="8"/>
      <c r="B355" s="9"/>
      <c r="C355" s="16"/>
    </row>
    <row r="356" spans="1:3" ht="12.75" customHeight="1" x14ac:dyDescent="0.15">
      <c r="A356" s="8"/>
      <c r="B356" s="9"/>
      <c r="C356" s="16"/>
    </row>
    <row r="357" spans="1:3" ht="12.75" customHeight="1" x14ac:dyDescent="0.15">
      <c r="A357" s="8"/>
      <c r="B357" s="9"/>
      <c r="C357" s="16"/>
    </row>
    <row r="358" spans="1:3" ht="12.75" customHeight="1" x14ac:dyDescent="0.15">
      <c r="A358" s="8"/>
      <c r="B358" s="9"/>
      <c r="C358" s="16"/>
    </row>
    <row r="359" spans="1:3" ht="12.75" customHeight="1" x14ac:dyDescent="0.15">
      <c r="A359" s="8"/>
      <c r="B359" s="9"/>
      <c r="C359" s="16"/>
    </row>
    <row r="360" spans="1:3" ht="12.75" customHeight="1" x14ac:dyDescent="0.15">
      <c r="A360" s="8"/>
      <c r="B360" s="9"/>
      <c r="C360" s="16"/>
    </row>
    <row r="361" spans="1:3" ht="12.75" customHeight="1" x14ac:dyDescent="0.15">
      <c r="A361" s="8"/>
      <c r="B361" s="9"/>
      <c r="C361" s="16"/>
    </row>
    <row r="362" spans="1:3" ht="12.75" customHeight="1" x14ac:dyDescent="0.15">
      <c r="A362" s="8"/>
      <c r="B362" s="9"/>
      <c r="C362" s="16"/>
    </row>
    <row r="363" spans="1:3" ht="12.75" customHeight="1" x14ac:dyDescent="0.15">
      <c r="A363" s="8"/>
      <c r="B363" s="9"/>
      <c r="C363" s="16"/>
    </row>
    <row r="364" spans="1:3" ht="12.75" customHeight="1" x14ac:dyDescent="0.15">
      <c r="A364" s="8"/>
      <c r="B364" s="9"/>
      <c r="C364" s="16"/>
    </row>
    <row r="365" spans="1:3" ht="12.75" customHeight="1" x14ac:dyDescent="0.15">
      <c r="A365" s="8"/>
      <c r="B365" s="9"/>
      <c r="C365" s="16"/>
    </row>
    <row r="366" spans="1:3" ht="12.75" customHeight="1" x14ac:dyDescent="0.15">
      <c r="A366" s="8"/>
      <c r="B366" s="9"/>
      <c r="C366" s="16"/>
    </row>
    <row r="367" spans="1:3" ht="12.75" customHeight="1" x14ac:dyDescent="0.15">
      <c r="A367" s="8"/>
      <c r="B367" s="9"/>
      <c r="C367" s="16"/>
    </row>
    <row r="368" spans="1:3" ht="12.75" customHeight="1" x14ac:dyDescent="0.15">
      <c r="A368" s="8"/>
      <c r="B368" s="9"/>
      <c r="C368" s="16"/>
    </row>
    <row r="369" spans="1:3" ht="12.75" customHeight="1" x14ac:dyDescent="0.15">
      <c r="A369" s="8"/>
      <c r="B369" s="9"/>
      <c r="C369" s="16"/>
    </row>
    <row r="370" spans="1:3" ht="12.75" customHeight="1" x14ac:dyDescent="0.15">
      <c r="A370" s="8"/>
      <c r="B370" s="9"/>
      <c r="C370" s="16"/>
    </row>
    <row r="371" spans="1:3" ht="12.75" customHeight="1" x14ac:dyDescent="0.15">
      <c r="A371" s="8"/>
      <c r="B371" s="9"/>
      <c r="C371" s="16"/>
    </row>
    <row r="372" spans="1:3" ht="12.75" customHeight="1" x14ac:dyDescent="0.15">
      <c r="A372" s="8"/>
      <c r="B372" s="9"/>
      <c r="C372" s="16"/>
    </row>
    <row r="373" spans="1:3" ht="12.75" customHeight="1" x14ac:dyDescent="0.15">
      <c r="A373" s="8"/>
      <c r="B373" s="9"/>
      <c r="C373" s="16"/>
    </row>
    <row r="374" spans="1:3" ht="12.75" customHeight="1" x14ac:dyDescent="0.15">
      <c r="A374" s="8"/>
      <c r="B374" s="9"/>
      <c r="C374" s="16"/>
    </row>
    <row r="375" spans="1:3" ht="12.75" customHeight="1" x14ac:dyDescent="0.15">
      <c r="A375" s="8"/>
      <c r="B375" s="9"/>
      <c r="C375" s="16"/>
    </row>
    <row r="376" spans="1:3" ht="12.75" customHeight="1" x14ac:dyDescent="0.15">
      <c r="A376" s="8"/>
      <c r="B376" s="9"/>
      <c r="C376" s="16"/>
    </row>
    <row r="377" spans="1:3" ht="12.75" customHeight="1" x14ac:dyDescent="0.15">
      <c r="A377" s="8"/>
      <c r="B377" s="9"/>
      <c r="C377" s="16"/>
    </row>
    <row r="378" spans="1:3" ht="12.75" customHeight="1" x14ac:dyDescent="0.15">
      <c r="A378" s="8"/>
      <c r="B378" s="9"/>
      <c r="C378" s="16"/>
    </row>
    <row r="379" spans="1:3" ht="12.75" customHeight="1" x14ac:dyDescent="0.15">
      <c r="A379" s="8"/>
      <c r="B379" s="9"/>
      <c r="C379" s="16"/>
    </row>
    <row r="380" spans="1:3" ht="12.75" customHeight="1" x14ac:dyDescent="0.15">
      <c r="A380" s="8"/>
      <c r="B380" s="9"/>
      <c r="C380" s="16"/>
    </row>
    <row r="381" spans="1:3" ht="12.75" customHeight="1" x14ac:dyDescent="0.15">
      <c r="A381" s="8"/>
      <c r="B381" s="9"/>
      <c r="C381" s="16"/>
    </row>
    <row r="382" spans="1:3" ht="12.75" customHeight="1" x14ac:dyDescent="0.15">
      <c r="A382" s="8"/>
      <c r="B382" s="9"/>
      <c r="C382" s="16"/>
    </row>
    <row r="383" spans="1:3" ht="12.75" customHeight="1" x14ac:dyDescent="0.15">
      <c r="A383" s="8"/>
      <c r="B383" s="9"/>
      <c r="C383" s="16"/>
    </row>
    <row r="384" spans="1:3" ht="12.75" customHeight="1" x14ac:dyDescent="0.15">
      <c r="A384" s="8"/>
      <c r="B384" s="9"/>
      <c r="C384" s="16"/>
    </row>
    <row r="385" spans="1:3" ht="12.75" customHeight="1" x14ac:dyDescent="0.15">
      <c r="A385" s="8"/>
      <c r="B385" s="9"/>
      <c r="C385" s="16"/>
    </row>
    <row r="386" spans="1:3" ht="12.75" customHeight="1" x14ac:dyDescent="0.15">
      <c r="A386" s="8"/>
      <c r="B386" s="9"/>
      <c r="C386" s="16"/>
    </row>
    <row r="387" spans="1:3" ht="12.75" customHeight="1" x14ac:dyDescent="0.15">
      <c r="A387" s="8"/>
      <c r="B387" s="9"/>
      <c r="C387" s="16"/>
    </row>
    <row r="388" spans="1:3" ht="12.75" customHeight="1" x14ac:dyDescent="0.15">
      <c r="A388" s="8"/>
      <c r="B388" s="9"/>
      <c r="C388" s="16"/>
    </row>
    <row r="389" spans="1:3" ht="12.75" customHeight="1" x14ac:dyDescent="0.15">
      <c r="A389" s="8"/>
      <c r="B389" s="9"/>
      <c r="C389" s="16"/>
    </row>
    <row r="390" spans="1:3" ht="12.75" customHeight="1" x14ac:dyDescent="0.15">
      <c r="A390" s="8"/>
      <c r="B390" s="9"/>
      <c r="C390" s="16"/>
    </row>
    <row r="391" spans="1:3" ht="12.75" customHeight="1" x14ac:dyDescent="0.15">
      <c r="A391" s="8"/>
      <c r="B391" s="9"/>
      <c r="C391" s="16"/>
    </row>
    <row r="392" spans="1:3" ht="12.75" customHeight="1" x14ac:dyDescent="0.15">
      <c r="A392" s="8"/>
      <c r="B392" s="9"/>
      <c r="C392" s="16"/>
    </row>
    <row r="393" spans="1:3" ht="12.75" customHeight="1" x14ac:dyDescent="0.15">
      <c r="A393" s="8"/>
      <c r="B393" s="9"/>
      <c r="C393" s="16"/>
    </row>
    <row r="394" spans="1:3" ht="12.75" customHeight="1" x14ac:dyDescent="0.15">
      <c r="A394" s="8"/>
      <c r="B394" s="9"/>
      <c r="C394" s="16"/>
    </row>
    <row r="395" spans="1:3" ht="12.75" customHeight="1" x14ac:dyDescent="0.15">
      <c r="A395" s="8"/>
      <c r="B395" s="9"/>
      <c r="C395" s="16"/>
    </row>
    <row r="396" spans="1:3" ht="12.75" customHeight="1" x14ac:dyDescent="0.15">
      <c r="A396" s="8"/>
      <c r="B396" s="9"/>
      <c r="C396" s="16"/>
    </row>
    <row r="397" spans="1:3" ht="12.75" customHeight="1" x14ac:dyDescent="0.15">
      <c r="A397" s="8"/>
      <c r="B397" s="9"/>
      <c r="C397" s="16"/>
    </row>
    <row r="398" spans="1:3" ht="12.75" customHeight="1" x14ac:dyDescent="0.15">
      <c r="A398" s="8"/>
      <c r="B398" s="9"/>
      <c r="C398" s="16"/>
    </row>
    <row r="399" spans="1:3" ht="12.75" customHeight="1" x14ac:dyDescent="0.15">
      <c r="A399" s="8"/>
      <c r="B399" s="9"/>
      <c r="C399" s="16"/>
    </row>
    <row r="400" spans="1:3" ht="12.75" customHeight="1" x14ac:dyDescent="0.15">
      <c r="A400" s="8"/>
      <c r="B400" s="9"/>
      <c r="C400" s="16"/>
    </row>
    <row r="401" spans="1:3" ht="12.75" customHeight="1" x14ac:dyDescent="0.15">
      <c r="A401" s="8"/>
      <c r="B401" s="9"/>
      <c r="C401" s="16"/>
    </row>
    <row r="402" spans="1:3" ht="12.75" customHeight="1" x14ac:dyDescent="0.15">
      <c r="A402" s="8"/>
      <c r="B402" s="9"/>
      <c r="C402" s="16"/>
    </row>
    <row r="403" spans="1:3" ht="12.75" customHeight="1" x14ac:dyDescent="0.15">
      <c r="A403" s="8"/>
      <c r="B403" s="9"/>
      <c r="C403" s="16"/>
    </row>
    <row r="404" spans="1:3" ht="12.75" customHeight="1" x14ac:dyDescent="0.15">
      <c r="A404" s="8"/>
      <c r="B404" s="9"/>
      <c r="C404" s="16"/>
    </row>
    <row r="405" spans="1:3" ht="12.75" customHeight="1" x14ac:dyDescent="0.15">
      <c r="A405" s="8"/>
      <c r="B405" s="9"/>
      <c r="C405" s="16"/>
    </row>
    <row r="406" spans="1:3" ht="12.75" customHeight="1" x14ac:dyDescent="0.15">
      <c r="A406" s="8"/>
      <c r="B406" s="9"/>
      <c r="C406" s="16"/>
    </row>
    <row r="407" spans="1:3" ht="12.75" customHeight="1" x14ac:dyDescent="0.15">
      <c r="A407" s="8"/>
      <c r="B407" s="9"/>
      <c r="C407" s="16"/>
    </row>
    <row r="408" spans="1:3" ht="12.75" customHeight="1" x14ac:dyDescent="0.15">
      <c r="A408" s="8"/>
      <c r="B408" s="9"/>
      <c r="C408" s="16"/>
    </row>
    <row r="409" spans="1:3" ht="12.75" customHeight="1" x14ac:dyDescent="0.15">
      <c r="A409" s="8"/>
      <c r="B409" s="9"/>
      <c r="C409" s="16"/>
    </row>
    <row r="410" spans="1:3" ht="12.75" customHeight="1" x14ac:dyDescent="0.15">
      <c r="A410" s="8"/>
      <c r="B410" s="9"/>
      <c r="C410" s="16"/>
    </row>
    <row r="411" spans="1:3" ht="12.75" customHeight="1" x14ac:dyDescent="0.15">
      <c r="A411" s="8"/>
      <c r="B411" s="9"/>
      <c r="C411" s="16"/>
    </row>
    <row r="412" spans="1:3" ht="12.75" customHeight="1" x14ac:dyDescent="0.15">
      <c r="A412" s="8"/>
      <c r="B412" s="9"/>
      <c r="C412" s="16"/>
    </row>
    <row r="413" spans="1:3" ht="12.75" customHeight="1" x14ac:dyDescent="0.15">
      <c r="A413" s="8"/>
      <c r="B413" s="9"/>
      <c r="C413" s="16"/>
    </row>
    <row r="414" spans="1:3" ht="12.75" customHeight="1" x14ac:dyDescent="0.15">
      <c r="A414" s="8"/>
      <c r="B414" s="9"/>
      <c r="C414" s="16"/>
    </row>
    <row r="415" spans="1:3" ht="12.75" customHeight="1" x14ac:dyDescent="0.15">
      <c r="A415" s="8"/>
      <c r="B415" s="9"/>
      <c r="C415" s="16"/>
    </row>
    <row r="416" spans="1:3" ht="12.75" customHeight="1" x14ac:dyDescent="0.15">
      <c r="A416" s="8"/>
      <c r="B416" s="9"/>
      <c r="C416" s="16"/>
    </row>
    <row r="417" spans="1:3" ht="12.75" customHeight="1" x14ac:dyDescent="0.15">
      <c r="A417" s="8"/>
      <c r="B417" s="9"/>
      <c r="C417" s="16"/>
    </row>
    <row r="418" spans="1:3" ht="12.75" customHeight="1" x14ac:dyDescent="0.15">
      <c r="A418" s="8"/>
      <c r="B418" s="9"/>
      <c r="C418" s="16"/>
    </row>
    <row r="419" spans="1:3" ht="12.75" customHeight="1" x14ac:dyDescent="0.15">
      <c r="A419" s="8"/>
      <c r="B419" s="9"/>
      <c r="C419" s="16"/>
    </row>
    <row r="420" spans="1:3" ht="12.75" customHeight="1" x14ac:dyDescent="0.15">
      <c r="A420" s="8"/>
      <c r="B420" s="9"/>
      <c r="C420" s="16"/>
    </row>
    <row r="421" spans="1:3" ht="12.75" customHeight="1" x14ac:dyDescent="0.15">
      <c r="A421" s="8"/>
      <c r="B421" s="9"/>
      <c r="C421" s="16"/>
    </row>
    <row r="422" spans="1:3" ht="12.75" customHeight="1" x14ac:dyDescent="0.15">
      <c r="A422" s="8"/>
      <c r="B422" s="9"/>
      <c r="C422" s="16"/>
    </row>
    <row r="423" spans="1:3" ht="12.75" customHeight="1" x14ac:dyDescent="0.15">
      <c r="A423" s="8"/>
      <c r="B423" s="9"/>
      <c r="C423" s="16"/>
    </row>
    <row r="424" spans="1:3" ht="12.75" customHeight="1" x14ac:dyDescent="0.15">
      <c r="A424" s="8"/>
      <c r="B424" s="9"/>
      <c r="C424" s="16"/>
    </row>
    <row r="425" spans="1:3" ht="12.75" customHeight="1" x14ac:dyDescent="0.15">
      <c r="A425" s="8"/>
      <c r="B425" s="9"/>
      <c r="C425" s="16"/>
    </row>
    <row r="426" spans="1:3" ht="12.75" customHeight="1" x14ac:dyDescent="0.15">
      <c r="A426" s="8"/>
      <c r="B426" s="9"/>
      <c r="C426" s="16"/>
    </row>
    <row r="427" spans="1:3" ht="12.75" customHeight="1" x14ac:dyDescent="0.15">
      <c r="A427" s="8"/>
      <c r="B427" s="9"/>
      <c r="C427" s="16"/>
    </row>
    <row r="428" spans="1:3" ht="12.75" customHeight="1" x14ac:dyDescent="0.15">
      <c r="A428" s="8"/>
      <c r="B428" s="9"/>
      <c r="C428" s="16"/>
    </row>
    <row r="429" spans="1:3" ht="12.75" customHeight="1" x14ac:dyDescent="0.15">
      <c r="A429" s="8"/>
      <c r="B429" s="9"/>
      <c r="C429" s="16"/>
    </row>
    <row r="430" spans="1:3" ht="12.75" customHeight="1" x14ac:dyDescent="0.15">
      <c r="A430" s="8"/>
      <c r="B430" s="9"/>
      <c r="C430" s="16"/>
    </row>
    <row r="431" spans="1:3" ht="12.75" customHeight="1" x14ac:dyDescent="0.15">
      <c r="A431" s="8"/>
      <c r="B431" s="9"/>
      <c r="C431" s="16"/>
    </row>
    <row r="432" spans="1:3" ht="12.75" customHeight="1" x14ac:dyDescent="0.15">
      <c r="A432" s="8"/>
      <c r="B432" s="9"/>
      <c r="C432" s="16"/>
    </row>
    <row r="433" spans="1:3" ht="12.75" customHeight="1" x14ac:dyDescent="0.15">
      <c r="A433" s="8"/>
      <c r="B433" s="9"/>
      <c r="C433" s="16"/>
    </row>
    <row r="434" spans="1:3" ht="12.75" customHeight="1" x14ac:dyDescent="0.15">
      <c r="A434" s="8"/>
      <c r="B434" s="9"/>
      <c r="C434" s="16"/>
    </row>
    <row r="435" spans="1:3" ht="12.75" customHeight="1" x14ac:dyDescent="0.15">
      <c r="A435" s="8"/>
      <c r="B435" s="9"/>
      <c r="C435" s="16"/>
    </row>
    <row r="436" spans="1:3" ht="12.75" customHeight="1" x14ac:dyDescent="0.15">
      <c r="A436" s="8"/>
      <c r="B436" s="9"/>
      <c r="C436" s="16"/>
    </row>
    <row r="437" spans="1:3" ht="12.75" customHeight="1" x14ac:dyDescent="0.15">
      <c r="A437" s="8"/>
      <c r="B437" s="9"/>
      <c r="C437" s="16"/>
    </row>
    <row r="438" spans="1:3" ht="12.75" customHeight="1" x14ac:dyDescent="0.15">
      <c r="A438" s="8"/>
      <c r="B438" s="9"/>
      <c r="C438" s="16"/>
    </row>
    <row r="439" spans="1:3" ht="12.75" customHeight="1" x14ac:dyDescent="0.15">
      <c r="A439" s="8"/>
      <c r="B439" s="9"/>
      <c r="C439" s="16"/>
    </row>
    <row r="440" spans="1:3" ht="12.75" customHeight="1" x14ac:dyDescent="0.15">
      <c r="A440" s="8"/>
      <c r="B440" s="9"/>
      <c r="C440" s="16"/>
    </row>
    <row r="441" spans="1:3" ht="12.75" customHeight="1" x14ac:dyDescent="0.15">
      <c r="A441" s="8"/>
      <c r="B441" s="9"/>
      <c r="C441" s="16"/>
    </row>
    <row r="442" spans="1:3" ht="12.75" customHeight="1" x14ac:dyDescent="0.15">
      <c r="A442" s="8"/>
      <c r="B442" s="9"/>
      <c r="C442" s="16"/>
    </row>
    <row r="443" spans="1:3" ht="12.75" customHeight="1" x14ac:dyDescent="0.15">
      <c r="A443" s="8"/>
      <c r="B443" s="9"/>
      <c r="C443" s="16"/>
    </row>
    <row r="444" spans="1:3" ht="12.75" customHeight="1" x14ac:dyDescent="0.15">
      <c r="A444" s="8"/>
      <c r="B444" s="9"/>
      <c r="C444" s="16"/>
    </row>
    <row r="445" spans="1:3" ht="12.75" customHeight="1" x14ac:dyDescent="0.15">
      <c r="A445" s="8"/>
      <c r="B445" s="9"/>
      <c r="C445" s="16"/>
    </row>
    <row r="446" spans="1:3" ht="12.75" customHeight="1" x14ac:dyDescent="0.15">
      <c r="A446" s="8"/>
      <c r="B446" s="9"/>
      <c r="C446" s="16"/>
    </row>
    <row r="447" spans="1:3" ht="12.75" customHeight="1" x14ac:dyDescent="0.15">
      <c r="A447" s="8"/>
      <c r="B447" s="9"/>
      <c r="C447" s="16"/>
    </row>
    <row r="448" spans="1:3" ht="12.75" customHeight="1" x14ac:dyDescent="0.15">
      <c r="A448" s="8"/>
      <c r="B448" s="9"/>
      <c r="C448" s="16"/>
    </row>
    <row r="449" spans="1:3" ht="12.75" customHeight="1" x14ac:dyDescent="0.15">
      <c r="A449" s="8"/>
      <c r="B449" s="9"/>
      <c r="C449" s="16"/>
    </row>
    <row r="450" spans="1:3" ht="12.75" customHeight="1" x14ac:dyDescent="0.15">
      <c r="A450" s="8"/>
      <c r="B450" s="9"/>
      <c r="C450" s="16"/>
    </row>
    <row r="451" spans="1:3" ht="12.75" customHeight="1" x14ac:dyDescent="0.15">
      <c r="A451" s="8"/>
      <c r="B451" s="9"/>
      <c r="C451" s="16"/>
    </row>
    <row r="452" spans="1:3" ht="12.75" customHeight="1" x14ac:dyDescent="0.15">
      <c r="A452" s="8"/>
      <c r="B452" s="9"/>
      <c r="C452" s="16"/>
    </row>
    <row r="453" spans="1:3" ht="12.75" customHeight="1" x14ac:dyDescent="0.15">
      <c r="A453" s="8"/>
      <c r="B453" s="9"/>
      <c r="C453" s="16"/>
    </row>
    <row r="454" spans="1:3" ht="12.75" customHeight="1" x14ac:dyDescent="0.15">
      <c r="A454" s="8"/>
      <c r="B454" s="9"/>
      <c r="C454" s="16"/>
    </row>
    <row r="455" spans="1:3" ht="12.75" customHeight="1" x14ac:dyDescent="0.15">
      <c r="A455" s="8"/>
      <c r="B455" s="9"/>
      <c r="C455" s="16"/>
    </row>
    <row r="456" spans="1:3" ht="12.75" customHeight="1" x14ac:dyDescent="0.15">
      <c r="A456" s="8"/>
      <c r="B456" s="9"/>
      <c r="C456" s="16"/>
    </row>
    <row r="457" spans="1:3" ht="12.75" customHeight="1" x14ac:dyDescent="0.15">
      <c r="A457" s="8"/>
      <c r="B457" s="9"/>
      <c r="C457" s="16"/>
    </row>
    <row r="458" spans="1:3" ht="12.75" customHeight="1" x14ac:dyDescent="0.15">
      <c r="A458" s="8"/>
      <c r="B458" s="9"/>
      <c r="C458" s="16"/>
    </row>
    <row r="459" spans="1:3" ht="12.75" customHeight="1" x14ac:dyDescent="0.15">
      <c r="A459" s="8"/>
      <c r="B459" s="9"/>
      <c r="C459" s="16"/>
    </row>
    <row r="460" spans="1:3" ht="12.75" customHeight="1" x14ac:dyDescent="0.15">
      <c r="A460" s="8"/>
      <c r="B460" s="9"/>
      <c r="C460" s="16"/>
    </row>
    <row r="461" spans="1:3" ht="12.75" customHeight="1" x14ac:dyDescent="0.15">
      <c r="A461" s="8"/>
      <c r="B461" s="9"/>
      <c r="C461" s="16"/>
    </row>
    <row r="462" spans="1:3" ht="12.75" customHeight="1" x14ac:dyDescent="0.15">
      <c r="A462" s="8"/>
      <c r="B462" s="9"/>
      <c r="C462" s="16"/>
    </row>
    <row r="463" spans="1:3" ht="12.75" customHeight="1" x14ac:dyDescent="0.15">
      <c r="A463" s="8"/>
      <c r="B463" s="9"/>
      <c r="C463" s="16"/>
    </row>
    <row r="464" spans="1:3" ht="12.75" customHeight="1" x14ac:dyDescent="0.15">
      <c r="A464" s="8"/>
      <c r="B464" s="9"/>
      <c r="C464" s="16"/>
    </row>
    <row r="465" spans="1:3" ht="12.75" customHeight="1" x14ac:dyDescent="0.15">
      <c r="A465" s="8"/>
      <c r="B465" s="9"/>
      <c r="C465" s="16"/>
    </row>
    <row r="466" spans="1:3" ht="12.75" customHeight="1" x14ac:dyDescent="0.15">
      <c r="A466" s="8"/>
      <c r="B466" s="9"/>
      <c r="C466" s="16"/>
    </row>
    <row r="467" spans="1:3" ht="12.75" customHeight="1" x14ac:dyDescent="0.15">
      <c r="A467" s="8"/>
      <c r="B467" s="9"/>
      <c r="C467" s="16"/>
    </row>
    <row r="468" spans="1:3" ht="12.75" customHeight="1" x14ac:dyDescent="0.15">
      <c r="A468" s="8"/>
      <c r="B468" s="9"/>
      <c r="C468" s="16"/>
    </row>
    <row r="469" spans="1:3" ht="12.75" customHeight="1" x14ac:dyDescent="0.15">
      <c r="A469" s="8"/>
      <c r="B469" s="9"/>
      <c r="C469" s="16"/>
    </row>
    <row r="470" spans="1:3" ht="12.75" customHeight="1" x14ac:dyDescent="0.15">
      <c r="A470" s="8"/>
      <c r="B470" s="9"/>
      <c r="C470" s="16"/>
    </row>
    <row r="471" spans="1:3" ht="12.75" customHeight="1" x14ac:dyDescent="0.15">
      <c r="A471" s="8"/>
      <c r="B471" s="9"/>
      <c r="C471" s="16"/>
    </row>
    <row r="472" spans="1:3" ht="12.75" customHeight="1" x14ac:dyDescent="0.15">
      <c r="A472" s="8"/>
      <c r="B472" s="9"/>
      <c r="C472" s="16"/>
    </row>
    <row r="473" spans="1:3" ht="12.75" customHeight="1" x14ac:dyDescent="0.15">
      <c r="A473" s="8"/>
      <c r="B473" s="9"/>
      <c r="C473" s="16"/>
    </row>
    <row r="474" spans="1:3" ht="12.75" customHeight="1" x14ac:dyDescent="0.15">
      <c r="A474" s="8"/>
      <c r="B474" s="9"/>
      <c r="C474" s="16"/>
    </row>
    <row r="475" spans="1:3" ht="12.75" customHeight="1" x14ac:dyDescent="0.15">
      <c r="A475" s="8"/>
      <c r="B475" s="9"/>
      <c r="C475" s="16"/>
    </row>
    <row r="476" spans="1:3" ht="12.75" customHeight="1" x14ac:dyDescent="0.15">
      <c r="A476" s="8"/>
      <c r="B476" s="9"/>
      <c r="C476" s="16"/>
    </row>
    <row r="477" spans="1:3" ht="12.75" customHeight="1" x14ac:dyDescent="0.15">
      <c r="A477" s="8"/>
      <c r="B477" s="9"/>
      <c r="C477" s="16"/>
    </row>
    <row r="478" spans="1:3" ht="12.75" customHeight="1" x14ac:dyDescent="0.15">
      <c r="A478" s="8"/>
      <c r="B478" s="9"/>
      <c r="C478" s="16"/>
    </row>
    <row r="479" spans="1:3" ht="12.75" customHeight="1" x14ac:dyDescent="0.15">
      <c r="A479" s="8"/>
      <c r="B479" s="9"/>
      <c r="C479" s="16"/>
    </row>
    <row r="480" spans="1:3" ht="12.75" customHeight="1" x14ac:dyDescent="0.15">
      <c r="A480" s="8"/>
      <c r="B480" s="9"/>
      <c r="C480" s="16"/>
    </row>
    <row r="481" spans="1:3" ht="12.75" customHeight="1" x14ac:dyDescent="0.15">
      <c r="A481" s="8"/>
      <c r="B481" s="9"/>
      <c r="C481" s="16"/>
    </row>
    <row r="482" spans="1:3" ht="12.75" customHeight="1" x14ac:dyDescent="0.15">
      <c r="A482" s="8"/>
      <c r="B482" s="9"/>
      <c r="C482" s="16"/>
    </row>
    <row r="483" spans="1:3" ht="12.75" customHeight="1" x14ac:dyDescent="0.15">
      <c r="A483" s="8"/>
      <c r="B483" s="9"/>
      <c r="C483" s="16"/>
    </row>
    <row r="484" spans="1:3" ht="12.75" customHeight="1" x14ac:dyDescent="0.15">
      <c r="A484" s="8"/>
      <c r="B484" s="9"/>
      <c r="C484" s="16"/>
    </row>
    <row r="485" spans="1:3" ht="12.75" customHeight="1" x14ac:dyDescent="0.15">
      <c r="A485" s="8"/>
      <c r="B485" s="9"/>
      <c r="C485" s="16"/>
    </row>
    <row r="486" spans="1:3" ht="12.75" customHeight="1" x14ac:dyDescent="0.15">
      <c r="A486" s="8"/>
      <c r="B486" s="9"/>
      <c r="C486" s="16"/>
    </row>
    <row r="487" spans="1:3" ht="12.75" customHeight="1" x14ac:dyDescent="0.15">
      <c r="A487" s="8"/>
      <c r="B487" s="9"/>
      <c r="C487" s="16"/>
    </row>
    <row r="488" spans="1:3" ht="12.75" customHeight="1" x14ac:dyDescent="0.15">
      <c r="A488" s="8"/>
      <c r="B488" s="9"/>
      <c r="C488" s="16"/>
    </row>
    <row r="489" spans="1:3" ht="12.75" customHeight="1" x14ac:dyDescent="0.15">
      <c r="A489" s="8"/>
      <c r="B489" s="9"/>
      <c r="C489" s="16"/>
    </row>
    <row r="490" spans="1:3" ht="12.75" customHeight="1" x14ac:dyDescent="0.15">
      <c r="A490" s="8"/>
      <c r="B490" s="9"/>
      <c r="C490" s="16"/>
    </row>
    <row r="491" spans="1:3" ht="12.75" customHeight="1" x14ac:dyDescent="0.15">
      <c r="A491" s="8"/>
      <c r="B491" s="9"/>
      <c r="C491" s="16"/>
    </row>
    <row r="492" spans="1:3" ht="12.75" customHeight="1" x14ac:dyDescent="0.15">
      <c r="A492" s="8"/>
      <c r="B492" s="9"/>
      <c r="C492" s="16"/>
    </row>
    <row r="493" spans="1:3" ht="12.75" customHeight="1" x14ac:dyDescent="0.15">
      <c r="A493" s="8"/>
      <c r="B493" s="9"/>
      <c r="C493" s="16"/>
    </row>
    <row r="494" spans="1:3" ht="12.75" customHeight="1" x14ac:dyDescent="0.15">
      <c r="A494" s="8"/>
      <c r="B494" s="9"/>
      <c r="C494" s="16"/>
    </row>
    <row r="495" spans="1:3" ht="12.75" customHeight="1" x14ac:dyDescent="0.15">
      <c r="A495" s="8"/>
      <c r="B495" s="9"/>
      <c r="C495" s="16"/>
    </row>
    <row r="496" spans="1:3" ht="12.75" customHeight="1" x14ac:dyDescent="0.15">
      <c r="A496" s="8"/>
      <c r="B496" s="9"/>
      <c r="C496" s="16"/>
    </row>
    <row r="497" spans="1:3" ht="12.75" customHeight="1" x14ac:dyDescent="0.15">
      <c r="A497" s="8"/>
      <c r="B497" s="9"/>
      <c r="C497" s="16"/>
    </row>
    <row r="498" spans="1:3" ht="12.75" customHeight="1" x14ac:dyDescent="0.15">
      <c r="A498" s="8"/>
      <c r="B498" s="9"/>
      <c r="C498" s="16"/>
    </row>
    <row r="499" spans="1:3" ht="12.75" customHeight="1" x14ac:dyDescent="0.15">
      <c r="A499" s="8"/>
      <c r="B499" s="9"/>
      <c r="C499" s="16"/>
    </row>
    <row r="500" spans="1:3" ht="12.75" customHeight="1" x14ac:dyDescent="0.15">
      <c r="A500" s="8"/>
      <c r="B500" s="9"/>
      <c r="C500" s="16"/>
    </row>
    <row r="501" spans="1:3" ht="12.75" customHeight="1" x14ac:dyDescent="0.15">
      <c r="A501" s="8"/>
      <c r="B501" s="9"/>
      <c r="C501" s="16"/>
    </row>
    <row r="502" spans="1:3" ht="12.75" customHeight="1" x14ac:dyDescent="0.15">
      <c r="A502" s="8"/>
      <c r="B502" s="9"/>
      <c r="C502" s="16"/>
    </row>
    <row r="503" spans="1:3" ht="12.75" customHeight="1" x14ac:dyDescent="0.15">
      <c r="A503" s="8"/>
      <c r="B503" s="9"/>
      <c r="C503" s="16"/>
    </row>
    <row r="504" spans="1:3" ht="12.75" customHeight="1" x14ac:dyDescent="0.15">
      <c r="A504" s="8"/>
      <c r="B504" s="9"/>
      <c r="C504" s="16"/>
    </row>
    <row r="505" spans="1:3" ht="12.75" customHeight="1" x14ac:dyDescent="0.15">
      <c r="A505" s="8"/>
      <c r="B505" s="9"/>
      <c r="C505" s="16"/>
    </row>
    <row r="506" spans="1:3" ht="12.75" customHeight="1" x14ac:dyDescent="0.15">
      <c r="A506" s="8"/>
      <c r="B506" s="9"/>
      <c r="C506" s="16"/>
    </row>
    <row r="507" spans="1:3" ht="12.75" customHeight="1" x14ac:dyDescent="0.15">
      <c r="A507" s="8"/>
      <c r="B507" s="9"/>
      <c r="C507" s="16"/>
    </row>
    <row r="508" spans="1:3" ht="12.75" customHeight="1" x14ac:dyDescent="0.15">
      <c r="A508" s="8"/>
      <c r="B508" s="9"/>
      <c r="C508" s="16"/>
    </row>
    <row r="509" spans="1:3" ht="12.75" customHeight="1" x14ac:dyDescent="0.15">
      <c r="A509" s="8"/>
      <c r="B509" s="9"/>
      <c r="C509" s="16"/>
    </row>
    <row r="510" spans="1:3" ht="12.75" customHeight="1" x14ac:dyDescent="0.15">
      <c r="A510" s="8"/>
      <c r="B510" s="9"/>
      <c r="C510" s="16"/>
    </row>
    <row r="511" spans="1:3" ht="12.75" customHeight="1" x14ac:dyDescent="0.15">
      <c r="A511" s="8"/>
      <c r="B511" s="9"/>
      <c r="C511" s="16"/>
    </row>
    <row r="512" spans="1:3" ht="12.75" customHeight="1" x14ac:dyDescent="0.15">
      <c r="A512" s="8"/>
      <c r="B512" s="9"/>
      <c r="C512" s="16"/>
    </row>
    <row r="513" spans="1:3" ht="12.75" customHeight="1" x14ac:dyDescent="0.15">
      <c r="A513" s="8"/>
      <c r="B513" s="9"/>
      <c r="C513" s="16"/>
    </row>
    <row r="514" spans="1:3" ht="12.75" customHeight="1" x14ac:dyDescent="0.15">
      <c r="A514" s="8"/>
      <c r="B514" s="9"/>
      <c r="C514" s="16"/>
    </row>
    <row r="515" spans="1:3" ht="12.75" customHeight="1" x14ac:dyDescent="0.15">
      <c r="A515" s="8"/>
      <c r="B515" s="9"/>
      <c r="C515" s="16"/>
    </row>
    <row r="516" spans="1:3" ht="12.75" customHeight="1" x14ac:dyDescent="0.15">
      <c r="A516" s="8"/>
      <c r="B516" s="9"/>
      <c r="C516" s="16"/>
    </row>
    <row r="517" spans="1:3" ht="12.75" customHeight="1" x14ac:dyDescent="0.15">
      <c r="A517" s="8"/>
      <c r="B517" s="9"/>
      <c r="C517" s="16"/>
    </row>
    <row r="518" spans="1:3" ht="12.75" customHeight="1" x14ac:dyDescent="0.15">
      <c r="A518" s="8"/>
      <c r="B518" s="9"/>
      <c r="C518" s="16"/>
    </row>
    <row r="519" spans="1:3" ht="12.75" customHeight="1" x14ac:dyDescent="0.15">
      <c r="A519" s="8"/>
      <c r="B519" s="9"/>
      <c r="C519" s="16"/>
    </row>
    <row r="520" spans="1:3" ht="12.75" customHeight="1" x14ac:dyDescent="0.15">
      <c r="A520" s="8"/>
      <c r="B520" s="9"/>
      <c r="C520" s="16"/>
    </row>
    <row r="521" spans="1:3" ht="12.75" customHeight="1" x14ac:dyDescent="0.15">
      <c r="A521" s="8"/>
      <c r="B521" s="9"/>
      <c r="C521" s="16"/>
    </row>
    <row r="522" spans="1:3" ht="12.75" customHeight="1" x14ac:dyDescent="0.15">
      <c r="A522" s="8"/>
      <c r="B522" s="9"/>
      <c r="C522" s="16"/>
    </row>
    <row r="523" spans="1:3" ht="12.75" customHeight="1" x14ac:dyDescent="0.15">
      <c r="A523" s="8"/>
      <c r="B523" s="9"/>
      <c r="C523" s="16"/>
    </row>
    <row r="524" spans="1:3" ht="12.75" customHeight="1" x14ac:dyDescent="0.15">
      <c r="A524" s="8"/>
      <c r="B524" s="9"/>
      <c r="C524" s="16"/>
    </row>
    <row r="525" spans="1:3" ht="12.75" customHeight="1" x14ac:dyDescent="0.15">
      <c r="A525" s="8"/>
      <c r="B525" s="9"/>
      <c r="C525" s="16"/>
    </row>
    <row r="526" spans="1:3" ht="12.75" customHeight="1" x14ac:dyDescent="0.15">
      <c r="A526" s="8"/>
      <c r="B526" s="9"/>
      <c r="C526" s="16"/>
    </row>
    <row r="527" spans="1:3" ht="12.75" customHeight="1" x14ac:dyDescent="0.15">
      <c r="A527" s="8"/>
      <c r="B527" s="9"/>
      <c r="C527" s="16"/>
    </row>
    <row r="528" spans="1:3" ht="12.75" customHeight="1" x14ac:dyDescent="0.15">
      <c r="A528" s="8"/>
      <c r="B528" s="9"/>
      <c r="C528" s="16"/>
    </row>
    <row r="529" spans="1:3" ht="12.75" customHeight="1" x14ac:dyDescent="0.15">
      <c r="A529" s="8"/>
      <c r="B529" s="9"/>
      <c r="C529" s="16"/>
    </row>
    <row r="530" spans="1:3" ht="12.75" customHeight="1" x14ac:dyDescent="0.15">
      <c r="A530" s="8"/>
      <c r="B530" s="9"/>
      <c r="C530" s="16"/>
    </row>
    <row r="531" spans="1:3" ht="12.75" customHeight="1" x14ac:dyDescent="0.15">
      <c r="A531" s="8"/>
      <c r="B531" s="9"/>
      <c r="C531" s="16"/>
    </row>
    <row r="532" spans="1:3" ht="12.75" customHeight="1" x14ac:dyDescent="0.15">
      <c r="A532" s="8"/>
      <c r="B532" s="9"/>
      <c r="C532" s="16"/>
    </row>
    <row r="533" spans="1:3" ht="12.75" customHeight="1" x14ac:dyDescent="0.15">
      <c r="A533" s="8"/>
      <c r="B533" s="9"/>
      <c r="C533" s="16"/>
    </row>
    <row r="534" spans="1:3" ht="12.75" customHeight="1" x14ac:dyDescent="0.15">
      <c r="A534" s="8"/>
      <c r="B534" s="9"/>
      <c r="C534" s="16"/>
    </row>
    <row r="535" spans="1:3" ht="12.75" customHeight="1" x14ac:dyDescent="0.15">
      <c r="A535" s="8"/>
      <c r="B535" s="9"/>
      <c r="C535" s="16"/>
    </row>
    <row r="536" spans="1:3" ht="12.75" customHeight="1" x14ac:dyDescent="0.15">
      <c r="A536" s="8"/>
      <c r="B536" s="9"/>
      <c r="C536" s="16"/>
    </row>
    <row r="537" spans="1:3" ht="12.75" customHeight="1" x14ac:dyDescent="0.15">
      <c r="A537" s="8"/>
      <c r="B537" s="9"/>
      <c r="C537" s="16"/>
    </row>
    <row r="538" spans="1:3" ht="12.75" customHeight="1" x14ac:dyDescent="0.15">
      <c r="A538" s="8"/>
      <c r="B538" s="9"/>
      <c r="C538" s="16"/>
    </row>
    <row r="539" spans="1:3" ht="12.75" customHeight="1" x14ac:dyDescent="0.15">
      <c r="A539" s="8"/>
      <c r="B539" s="9"/>
      <c r="C539" s="16"/>
    </row>
    <row r="540" spans="1:3" ht="12.75" customHeight="1" x14ac:dyDescent="0.15">
      <c r="A540" s="8"/>
      <c r="B540" s="9"/>
      <c r="C540" s="16"/>
    </row>
    <row r="541" spans="1:3" ht="12.75" customHeight="1" x14ac:dyDescent="0.15">
      <c r="A541" s="8"/>
      <c r="B541" s="9"/>
      <c r="C541" s="16"/>
    </row>
    <row r="542" spans="1:3" ht="12.75" customHeight="1" x14ac:dyDescent="0.15">
      <c r="A542" s="8"/>
      <c r="B542" s="9"/>
      <c r="C542" s="16"/>
    </row>
    <row r="543" spans="1:3" ht="12.75" customHeight="1" x14ac:dyDescent="0.15">
      <c r="A543" s="8"/>
      <c r="B543" s="9"/>
      <c r="C543" s="16"/>
    </row>
    <row r="544" spans="1:3" ht="12.75" customHeight="1" x14ac:dyDescent="0.15">
      <c r="A544" s="8"/>
      <c r="B544" s="9"/>
      <c r="C544" s="16"/>
    </row>
    <row r="545" spans="1:3" ht="12.75" customHeight="1" x14ac:dyDescent="0.15">
      <c r="A545" s="8"/>
      <c r="B545" s="9"/>
      <c r="C545" s="16"/>
    </row>
    <row r="546" spans="1:3" ht="12.75" customHeight="1" x14ac:dyDescent="0.15">
      <c r="A546" s="8"/>
      <c r="B546" s="9"/>
      <c r="C546" s="16"/>
    </row>
    <row r="547" spans="1:3" ht="12.75" customHeight="1" x14ac:dyDescent="0.15">
      <c r="A547" s="8"/>
      <c r="B547" s="9"/>
      <c r="C547" s="16"/>
    </row>
    <row r="548" spans="1:3" ht="12.75" customHeight="1" x14ac:dyDescent="0.15">
      <c r="A548" s="8"/>
      <c r="B548" s="9"/>
      <c r="C548" s="16"/>
    </row>
    <row r="549" spans="1:3" ht="12.75" customHeight="1" x14ac:dyDescent="0.15">
      <c r="A549" s="8"/>
      <c r="B549" s="9"/>
      <c r="C549" s="16"/>
    </row>
    <row r="550" spans="1:3" ht="12.75" customHeight="1" x14ac:dyDescent="0.15">
      <c r="A550" s="8"/>
      <c r="B550" s="9"/>
      <c r="C550" s="16"/>
    </row>
    <row r="551" spans="1:3" ht="12.75" customHeight="1" x14ac:dyDescent="0.15">
      <c r="A551" s="8"/>
      <c r="B551" s="9"/>
      <c r="C551" s="16"/>
    </row>
    <row r="552" spans="1:3" ht="12.75" customHeight="1" x14ac:dyDescent="0.15">
      <c r="A552" s="8"/>
      <c r="B552" s="9"/>
      <c r="C552" s="16"/>
    </row>
    <row r="553" spans="1:3" ht="12.75" customHeight="1" x14ac:dyDescent="0.15">
      <c r="A553" s="8"/>
      <c r="B553" s="9"/>
      <c r="C553" s="16"/>
    </row>
    <row r="554" spans="1:3" ht="12.75" customHeight="1" x14ac:dyDescent="0.15">
      <c r="A554" s="8"/>
      <c r="B554" s="9"/>
      <c r="C554" s="16"/>
    </row>
    <row r="555" spans="1:3" ht="12.75" customHeight="1" x14ac:dyDescent="0.15">
      <c r="A555" s="8"/>
      <c r="B555" s="9"/>
      <c r="C555" s="16"/>
    </row>
    <row r="556" spans="1:3" ht="12.75" customHeight="1" x14ac:dyDescent="0.15">
      <c r="A556" s="8"/>
      <c r="B556" s="9"/>
      <c r="C556" s="16"/>
    </row>
    <row r="557" spans="1:3" ht="12.75" customHeight="1" x14ac:dyDescent="0.15">
      <c r="A557" s="8"/>
      <c r="B557" s="9"/>
      <c r="C557" s="16"/>
    </row>
    <row r="558" spans="1:3" ht="12.75" customHeight="1" x14ac:dyDescent="0.15">
      <c r="A558" s="8"/>
      <c r="B558" s="9"/>
      <c r="C558" s="16"/>
    </row>
    <row r="559" spans="1:3" ht="12.75" customHeight="1" x14ac:dyDescent="0.15">
      <c r="A559" s="8"/>
      <c r="B559" s="9"/>
      <c r="C559" s="16"/>
    </row>
    <row r="560" spans="1:3" ht="12.75" customHeight="1" x14ac:dyDescent="0.15">
      <c r="A560" s="8"/>
      <c r="B560" s="9"/>
      <c r="C560" s="16"/>
    </row>
    <row r="561" spans="1:3" ht="12.75" customHeight="1" x14ac:dyDescent="0.15">
      <c r="A561" s="8"/>
      <c r="B561" s="9"/>
      <c r="C561" s="16"/>
    </row>
    <row r="562" spans="1:3" ht="12.75" customHeight="1" x14ac:dyDescent="0.15">
      <c r="A562" s="8"/>
      <c r="B562" s="9"/>
      <c r="C562" s="16"/>
    </row>
    <row r="563" spans="1:3" ht="12.75" customHeight="1" x14ac:dyDescent="0.15">
      <c r="A563" s="8"/>
      <c r="B563" s="9"/>
      <c r="C563" s="16"/>
    </row>
    <row r="564" spans="1:3" ht="12.75" customHeight="1" x14ac:dyDescent="0.15">
      <c r="A564" s="8"/>
      <c r="B564" s="9"/>
      <c r="C564" s="16"/>
    </row>
    <row r="565" spans="1:3" ht="12.75" customHeight="1" x14ac:dyDescent="0.15">
      <c r="A565" s="8"/>
      <c r="B565" s="9"/>
      <c r="C565" s="16"/>
    </row>
    <row r="566" spans="1:3" ht="12.75" customHeight="1" x14ac:dyDescent="0.15">
      <c r="A566" s="8"/>
      <c r="B566" s="9"/>
      <c r="C566" s="16"/>
    </row>
    <row r="567" spans="1:3" ht="12.75" customHeight="1" x14ac:dyDescent="0.15">
      <c r="A567" s="8"/>
      <c r="B567" s="9"/>
      <c r="C567" s="16"/>
    </row>
    <row r="568" spans="1:3" ht="12.75" customHeight="1" x14ac:dyDescent="0.15">
      <c r="A568" s="8"/>
      <c r="B568" s="9"/>
      <c r="C568" s="16"/>
    </row>
    <row r="569" spans="1:3" ht="12.75" customHeight="1" x14ac:dyDescent="0.15">
      <c r="A569" s="8"/>
      <c r="B569" s="9"/>
      <c r="C569" s="16"/>
    </row>
    <row r="570" spans="1:3" ht="12.75" customHeight="1" x14ac:dyDescent="0.15">
      <c r="A570" s="8"/>
      <c r="B570" s="9"/>
      <c r="C570" s="16"/>
    </row>
    <row r="571" spans="1:3" ht="12.75" customHeight="1" x14ac:dyDescent="0.15">
      <c r="A571" s="8"/>
      <c r="B571" s="9"/>
      <c r="C571" s="16"/>
    </row>
    <row r="572" spans="1:3" ht="12.75" customHeight="1" x14ac:dyDescent="0.15">
      <c r="A572" s="8"/>
      <c r="B572" s="9"/>
      <c r="C572" s="16"/>
    </row>
    <row r="573" spans="1:3" ht="12.75" customHeight="1" x14ac:dyDescent="0.15">
      <c r="A573" s="8"/>
      <c r="B573" s="9"/>
      <c r="C573" s="16"/>
    </row>
    <row r="574" spans="1:3" ht="12.75" customHeight="1" x14ac:dyDescent="0.15">
      <c r="A574" s="8"/>
      <c r="B574" s="9"/>
      <c r="C574" s="16"/>
    </row>
    <row r="575" spans="1:3" ht="12.75" customHeight="1" x14ac:dyDescent="0.15">
      <c r="A575" s="8"/>
      <c r="B575" s="9"/>
      <c r="C575" s="16"/>
    </row>
    <row r="576" spans="1:3" ht="12.75" customHeight="1" x14ac:dyDescent="0.15">
      <c r="A576" s="8"/>
      <c r="B576" s="9"/>
      <c r="C576" s="16"/>
    </row>
    <row r="577" spans="1:3" ht="12.75" customHeight="1" x14ac:dyDescent="0.15">
      <c r="A577" s="8"/>
      <c r="B577" s="9"/>
      <c r="C577" s="16"/>
    </row>
    <row r="578" spans="1:3" ht="12.75" customHeight="1" x14ac:dyDescent="0.15">
      <c r="A578" s="8"/>
      <c r="B578" s="9"/>
      <c r="C578" s="16"/>
    </row>
    <row r="579" spans="1:3" ht="12.75" customHeight="1" x14ac:dyDescent="0.15">
      <c r="A579" s="8"/>
      <c r="B579" s="9"/>
      <c r="C579" s="16"/>
    </row>
    <row r="580" spans="1:3" ht="12.75" customHeight="1" x14ac:dyDescent="0.15">
      <c r="A580" s="8"/>
      <c r="B580" s="9"/>
      <c r="C580" s="16"/>
    </row>
    <row r="581" spans="1:3" ht="12.75" customHeight="1" x14ac:dyDescent="0.15">
      <c r="A581" s="8"/>
      <c r="B581" s="9"/>
      <c r="C581" s="16"/>
    </row>
    <row r="582" spans="1:3" ht="12.75" customHeight="1" x14ac:dyDescent="0.15">
      <c r="A582" s="8"/>
      <c r="B582" s="9"/>
      <c r="C582" s="16"/>
    </row>
    <row r="583" spans="1:3" ht="12.75" customHeight="1" x14ac:dyDescent="0.15">
      <c r="A583" s="8"/>
      <c r="B583" s="9"/>
      <c r="C583" s="16"/>
    </row>
    <row r="584" spans="1:3" ht="12.75" customHeight="1" x14ac:dyDescent="0.15">
      <c r="A584" s="8"/>
      <c r="B584" s="9"/>
      <c r="C584" s="16"/>
    </row>
    <row r="585" spans="1:3" ht="12.75" customHeight="1" x14ac:dyDescent="0.15">
      <c r="A585" s="8"/>
      <c r="B585" s="9"/>
      <c r="C585" s="16"/>
    </row>
    <row r="586" spans="1:3" ht="12.75" customHeight="1" x14ac:dyDescent="0.15">
      <c r="A586" s="8"/>
      <c r="B586" s="9"/>
      <c r="C586" s="16"/>
    </row>
    <row r="587" spans="1:3" ht="12.75" customHeight="1" x14ac:dyDescent="0.15">
      <c r="A587" s="8"/>
      <c r="B587" s="9"/>
      <c r="C587" s="16"/>
    </row>
    <row r="588" spans="1:3" ht="12.75" customHeight="1" x14ac:dyDescent="0.15">
      <c r="A588" s="8"/>
      <c r="B588" s="9"/>
      <c r="C588" s="16"/>
    </row>
    <row r="589" spans="1:3" ht="12.75" customHeight="1" x14ac:dyDescent="0.15">
      <c r="A589" s="8"/>
      <c r="B589" s="9"/>
      <c r="C589" s="16"/>
    </row>
    <row r="590" spans="1:3" ht="12.75" customHeight="1" x14ac:dyDescent="0.15">
      <c r="A590" s="8"/>
      <c r="B590" s="9"/>
      <c r="C590" s="16"/>
    </row>
    <row r="591" spans="1:3" ht="12.75" customHeight="1" x14ac:dyDescent="0.15">
      <c r="A591" s="8"/>
      <c r="B591" s="9"/>
      <c r="C591" s="16"/>
    </row>
    <row r="592" spans="1:3" ht="12.75" customHeight="1" x14ac:dyDescent="0.15">
      <c r="A592" s="8"/>
      <c r="B592" s="9"/>
      <c r="C592" s="16"/>
    </row>
    <row r="593" spans="1:3" ht="12.75" customHeight="1" x14ac:dyDescent="0.15">
      <c r="A593" s="8"/>
      <c r="B593" s="9"/>
      <c r="C593" s="16"/>
    </row>
    <row r="594" spans="1:3" ht="12.75" customHeight="1" x14ac:dyDescent="0.15">
      <c r="A594" s="8"/>
      <c r="B594" s="9"/>
      <c r="C594" s="16"/>
    </row>
    <row r="595" spans="1:3" ht="12.75" customHeight="1" x14ac:dyDescent="0.15">
      <c r="A595" s="8"/>
      <c r="B595" s="9"/>
      <c r="C595" s="16"/>
    </row>
    <row r="596" spans="1:3" ht="12.75" customHeight="1" x14ac:dyDescent="0.15">
      <c r="A596" s="8"/>
      <c r="B596" s="9"/>
      <c r="C596" s="16"/>
    </row>
    <row r="597" spans="1:3" ht="12.75" customHeight="1" x14ac:dyDescent="0.15">
      <c r="A597" s="8"/>
      <c r="B597" s="9"/>
      <c r="C597" s="16"/>
    </row>
    <row r="598" spans="1:3" ht="12.75" customHeight="1" x14ac:dyDescent="0.15">
      <c r="A598" s="8"/>
      <c r="B598" s="9"/>
      <c r="C598" s="16"/>
    </row>
    <row r="599" spans="1:3" ht="12.75" customHeight="1" x14ac:dyDescent="0.15">
      <c r="A599" s="8"/>
      <c r="B599" s="9"/>
      <c r="C599" s="16"/>
    </row>
    <row r="600" spans="1:3" ht="12.75" customHeight="1" x14ac:dyDescent="0.15">
      <c r="A600" s="8"/>
      <c r="B600" s="9"/>
      <c r="C600" s="16"/>
    </row>
    <row r="601" spans="1:3" ht="12.75" customHeight="1" x14ac:dyDescent="0.15">
      <c r="A601" s="8"/>
      <c r="B601" s="9"/>
      <c r="C601" s="16"/>
    </row>
    <row r="602" spans="1:3" ht="12.75" customHeight="1" x14ac:dyDescent="0.15">
      <c r="A602" s="8"/>
      <c r="B602" s="9"/>
      <c r="C602" s="16"/>
    </row>
    <row r="603" spans="1:3" ht="12.75" customHeight="1" x14ac:dyDescent="0.15">
      <c r="A603" s="8"/>
      <c r="B603" s="9"/>
      <c r="C603" s="16"/>
    </row>
    <row r="604" spans="1:3" ht="12.75" customHeight="1" x14ac:dyDescent="0.15">
      <c r="A604" s="8"/>
      <c r="B604" s="9"/>
      <c r="C604" s="16"/>
    </row>
    <row r="605" spans="1:3" ht="12.75" customHeight="1" x14ac:dyDescent="0.15">
      <c r="A605" s="8"/>
      <c r="B605" s="9"/>
      <c r="C605" s="16"/>
    </row>
    <row r="606" spans="1:3" ht="12.75" customHeight="1" x14ac:dyDescent="0.15">
      <c r="A606" s="8"/>
      <c r="B606" s="9"/>
      <c r="C606" s="16"/>
    </row>
    <row r="607" spans="1:3" ht="12.75" customHeight="1" x14ac:dyDescent="0.15">
      <c r="A607" s="8"/>
      <c r="B607" s="9"/>
      <c r="C607" s="16"/>
    </row>
    <row r="608" spans="1:3" ht="12.75" customHeight="1" x14ac:dyDescent="0.15">
      <c r="A608" s="8"/>
      <c r="B608" s="9"/>
      <c r="C608" s="16"/>
    </row>
    <row r="609" spans="1:3" ht="12.75" customHeight="1" x14ac:dyDescent="0.15">
      <c r="A609" s="8"/>
      <c r="B609" s="9"/>
      <c r="C609" s="16"/>
    </row>
    <row r="610" spans="1:3" ht="12.75" customHeight="1" x14ac:dyDescent="0.15">
      <c r="A610" s="8"/>
      <c r="B610" s="9"/>
      <c r="C610" s="16"/>
    </row>
    <row r="611" spans="1:3" ht="12.75" customHeight="1" x14ac:dyDescent="0.15">
      <c r="A611" s="8"/>
      <c r="B611" s="9"/>
      <c r="C611" s="16"/>
    </row>
    <row r="612" spans="1:3" ht="12.75" customHeight="1" x14ac:dyDescent="0.15">
      <c r="A612" s="8"/>
      <c r="B612" s="9"/>
      <c r="C612" s="16"/>
    </row>
    <row r="613" spans="1:3" ht="12.75" customHeight="1" x14ac:dyDescent="0.15">
      <c r="A613" s="8"/>
      <c r="B613" s="9"/>
      <c r="C613" s="16"/>
    </row>
    <row r="614" spans="1:3" ht="12.75" customHeight="1" x14ac:dyDescent="0.15">
      <c r="A614" s="8"/>
      <c r="B614" s="9"/>
      <c r="C614" s="16"/>
    </row>
    <row r="615" spans="1:3" ht="12.75" customHeight="1" x14ac:dyDescent="0.15">
      <c r="A615" s="8"/>
      <c r="B615" s="9"/>
      <c r="C615" s="16"/>
    </row>
    <row r="616" spans="1:3" ht="12.75" customHeight="1" x14ac:dyDescent="0.15">
      <c r="A616" s="8"/>
      <c r="B616" s="9"/>
      <c r="C616" s="16"/>
    </row>
    <row r="617" spans="1:3" ht="12.75" customHeight="1" x14ac:dyDescent="0.15">
      <c r="A617" s="8"/>
      <c r="B617" s="9"/>
      <c r="C617" s="16"/>
    </row>
    <row r="618" spans="1:3" ht="12.75" customHeight="1" x14ac:dyDescent="0.15">
      <c r="A618" s="8"/>
      <c r="B618" s="9"/>
      <c r="C618" s="16"/>
    </row>
    <row r="619" spans="1:3" ht="12.75" customHeight="1" x14ac:dyDescent="0.15">
      <c r="A619" s="8"/>
      <c r="B619" s="9"/>
      <c r="C619" s="16"/>
    </row>
    <row r="620" spans="1:3" ht="12.75" customHeight="1" x14ac:dyDescent="0.15">
      <c r="A620" s="8"/>
      <c r="B620" s="9"/>
      <c r="C620" s="16"/>
    </row>
    <row r="621" spans="1:3" ht="12.75" customHeight="1" x14ac:dyDescent="0.15">
      <c r="A621" s="8"/>
      <c r="B621" s="9"/>
      <c r="C621" s="16"/>
    </row>
    <row r="622" spans="1:3" ht="12.75" customHeight="1" x14ac:dyDescent="0.15">
      <c r="A622" s="8"/>
      <c r="B622" s="9"/>
      <c r="C622" s="16"/>
    </row>
    <row r="623" spans="1:3" ht="12.75" customHeight="1" x14ac:dyDescent="0.15">
      <c r="A623" s="8"/>
      <c r="B623" s="9"/>
      <c r="C623" s="16"/>
    </row>
    <row r="624" spans="1:3" ht="12.75" customHeight="1" x14ac:dyDescent="0.15">
      <c r="A624" s="8"/>
      <c r="B624" s="9"/>
      <c r="C624" s="16"/>
    </row>
    <row r="625" spans="1:3" ht="12.75" customHeight="1" x14ac:dyDescent="0.15">
      <c r="A625" s="8"/>
      <c r="B625" s="9"/>
      <c r="C625" s="16"/>
    </row>
    <row r="626" spans="1:3" ht="12.75" customHeight="1" x14ac:dyDescent="0.15">
      <c r="A626" s="8"/>
      <c r="B626" s="9"/>
      <c r="C626" s="16"/>
    </row>
    <row r="627" spans="1:3" ht="12.75" customHeight="1" x14ac:dyDescent="0.15">
      <c r="A627" s="8"/>
      <c r="B627" s="9"/>
      <c r="C627" s="16"/>
    </row>
    <row r="628" spans="1:3" ht="12.75" customHeight="1" x14ac:dyDescent="0.15">
      <c r="A628" s="8"/>
      <c r="B628" s="9"/>
      <c r="C628" s="16"/>
    </row>
    <row r="629" spans="1:3" ht="12.75" customHeight="1" x14ac:dyDescent="0.15">
      <c r="A629" s="8"/>
      <c r="B629" s="9"/>
      <c r="C629" s="16"/>
    </row>
    <row r="630" spans="1:3" ht="12.75" customHeight="1" x14ac:dyDescent="0.15">
      <c r="A630" s="8"/>
      <c r="B630" s="9"/>
      <c r="C630" s="16"/>
    </row>
    <row r="631" spans="1:3" ht="12.75" customHeight="1" x14ac:dyDescent="0.15">
      <c r="A631" s="8"/>
      <c r="B631" s="9"/>
      <c r="C631" s="16"/>
    </row>
    <row r="632" spans="1:3" ht="12.75" customHeight="1" x14ac:dyDescent="0.15">
      <c r="A632" s="8"/>
      <c r="B632" s="9"/>
      <c r="C632" s="16"/>
    </row>
    <row r="633" spans="1:3" ht="12.75" customHeight="1" x14ac:dyDescent="0.15">
      <c r="A633" s="8"/>
      <c r="B633" s="9"/>
      <c r="C633" s="16"/>
    </row>
    <row r="634" spans="1:3" ht="12.75" customHeight="1" x14ac:dyDescent="0.15">
      <c r="A634" s="8"/>
      <c r="B634" s="9"/>
      <c r="C634" s="16"/>
    </row>
    <row r="635" spans="1:3" ht="12.75" customHeight="1" x14ac:dyDescent="0.15">
      <c r="A635" s="8"/>
      <c r="B635" s="9"/>
      <c r="C635" s="16"/>
    </row>
    <row r="636" spans="1:3" ht="12.75" customHeight="1" x14ac:dyDescent="0.15">
      <c r="A636" s="8"/>
      <c r="B636" s="9"/>
      <c r="C636" s="16"/>
    </row>
    <row r="637" spans="1:3" ht="12.75" customHeight="1" x14ac:dyDescent="0.15">
      <c r="A637" s="8"/>
      <c r="B637" s="9"/>
      <c r="C637" s="16"/>
    </row>
    <row r="638" spans="1:3" ht="12.75" customHeight="1" x14ac:dyDescent="0.15">
      <c r="A638" s="8"/>
      <c r="B638" s="9"/>
      <c r="C638" s="16"/>
    </row>
    <row r="639" spans="1:3" ht="12.75" customHeight="1" x14ac:dyDescent="0.15">
      <c r="A639" s="8"/>
      <c r="B639" s="9"/>
      <c r="C639" s="16"/>
    </row>
    <row r="640" spans="1:3" ht="12.75" customHeight="1" x14ac:dyDescent="0.15">
      <c r="A640" s="8"/>
      <c r="B640" s="9"/>
      <c r="C640" s="16"/>
    </row>
    <row r="641" spans="1:3" ht="12.75" customHeight="1" x14ac:dyDescent="0.15">
      <c r="A641" s="8"/>
      <c r="B641" s="9"/>
      <c r="C641" s="16"/>
    </row>
    <row r="642" spans="1:3" ht="12.75" customHeight="1" x14ac:dyDescent="0.15">
      <c r="A642" s="8"/>
      <c r="B642" s="9"/>
      <c r="C642" s="16"/>
    </row>
    <row r="643" spans="1:3" ht="12.75" customHeight="1" x14ac:dyDescent="0.15">
      <c r="A643" s="8"/>
      <c r="B643" s="9"/>
      <c r="C643" s="16"/>
    </row>
    <row r="644" spans="1:3" ht="12.75" customHeight="1" x14ac:dyDescent="0.15">
      <c r="A644" s="8"/>
      <c r="B644" s="9"/>
      <c r="C644" s="16"/>
    </row>
    <row r="645" spans="1:3" ht="12.75" customHeight="1" x14ac:dyDescent="0.15">
      <c r="A645" s="8"/>
      <c r="B645" s="9"/>
      <c r="C645" s="16"/>
    </row>
    <row r="646" spans="1:3" ht="12.75" customHeight="1" x14ac:dyDescent="0.15">
      <c r="A646" s="8"/>
      <c r="B646" s="9"/>
      <c r="C646" s="16"/>
    </row>
    <row r="647" spans="1:3" ht="12.75" customHeight="1" x14ac:dyDescent="0.15">
      <c r="A647" s="8"/>
      <c r="B647" s="9"/>
      <c r="C647" s="16"/>
    </row>
    <row r="648" spans="1:3" ht="12.75" customHeight="1" x14ac:dyDescent="0.15">
      <c r="A648" s="8"/>
      <c r="B648" s="9"/>
      <c r="C648" s="16"/>
    </row>
    <row r="649" spans="1:3" ht="12.75" customHeight="1" x14ac:dyDescent="0.15">
      <c r="A649" s="8"/>
      <c r="B649" s="9"/>
      <c r="C649" s="16"/>
    </row>
    <row r="650" spans="1:3" ht="12.75" customHeight="1" x14ac:dyDescent="0.15">
      <c r="A650" s="8"/>
      <c r="B650" s="9"/>
      <c r="C650" s="16"/>
    </row>
    <row r="651" spans="1:3" ht="12.75" customHeight="1" x14ac:dyDescent="0.15">
      <c r="A651" s="8"/>
      <c r="B651" s="9"/>
      <c r="C651" s="16"/>
    </row>
    <row r="652" spans="1:3" ht="12.75" customHeight="1" x14ac:dyDescent="0.15">
      <c r="A652" s="8"/>
      <c r="B652" s="9"/>
      <c r="C652" s="16"/>
    </row>
    <row r="653" spans="1:3" ht="12.75" customHeight="1" x14ac:dyDescent="0.15">
      <c r="A653" s="8"/>
      <c r="B653" s="9"/>
      <c r="C653" s="16"/>
    </row>
    <row r="654" spans="1:3" ht="12.75" customHeight="1" x14ac:dyDescent="0.15">
      <c r="A654" s="8"/>
      <c r="B654" s="9"/>
      <c r="C654" s="16"/>
    </row>
    <row r="655" spans="1:3" ht="12.75" customHeight="1" x14ac:dyDescent="0.15">
      <c r="A655" s="8"/>
      <c r="B655" s="9"/>
      <c r="C655" s="16"/>
    </row>
    <row r="656" spans="1:3" ht="12.75" customHeight="1" x14ac:dyDescent="0.15">
      <c r="A656" s="8"/>
      <c r="B656" s="9"/>
      <c r="C656" s="16"/>
    </row>
    <row r="657" spans="1:3" ht="12.75" customHeight="1" x14ac:dyDescent="0.15">
      <c r="A657" s="8"/>
      <c r="B657" s="9"/>
      <c r="C657" s="16"/>
    </row>
    <row r="658" spans="1:3" ht="12.75" customHeight="1" x14ac:dyDescent="0.15">
      <c r="A658" s="8"/>
      <c r="B658" s="9"/>
      <c r="C658" s="16"/>
    </row>
    <row r="659" spans="1:3" ht="12.75" customHeight="1" x14ac:dyDescent="0.15">
      <c r="A659" s="8"/>
      <c r="B659" s="9"/>
      <c r="C659" s="16"/>
    </row>
    <row r="660" spans="1:3" ht="12.75" customHeight="1" x14ac:dyDescent="0.15">
      <c r="A660" s="8"/>
      <c r="B660" s="9"/>
      <c r="C660" s="16"/>
    </row>
    <row r="661" spans="1:3" ht="12.75" customHeight="1" x14ac:dyDescent="0.15">
      <c r="A661" s="8"/>
      <c r="B661" s="9"/>
      <c r="C661" s="16"/>
    </row>
    <row r="662" spans="1:3" ht="12.75" customHeight="1" x14ac:dyDescent="0.15">
      <c r="A662" s="8"/>
      <c r="B662" s="9"/>
      <c r="C662" s="16"/>
    </row>
    <row r="663" spans="1:3" ht="12.75" customHeight="1" x14ac:dyDescent="0.15">
      <c r="A663" s="8"/>
      <c r="B663" s="9"/>
      <c r="C663" s="16"/>
    </row>
    <row r="664" spans="1:3" ht="12.75" customHeight="1" x14ac:dyDescent="0.15">
      <c r="A664" s="8"/>
      <c r="B664" s="9"/>
      <c r="C664" s="16"/>
    </row>
    <row r="665" spans="1:3" ht="12.75" customHeight="1" x14ac:dyDescent="0.15">
      <c r="A665" s="8"/>
      <c r="B665" s="9"/>
      <c r="C665" s="16"/>
    </row>
    <row r="666" spans="1:3" ht="12.75" customHeight="1" x14ac:dyDescent="0.15">
      <c r="A666" s="8"/>
      <c r="B666" s="9"/>
      <c r="C666" s="16"/>
    </row>
    <row r="667" spans="1:3" ht="12.75" customHeight="1" x14ac:dyDescent="0.15">
      <c r="A667" s="8"/>
      <c r="B667" s="9"/>
      <c r="C667" s="16"/>
    </row>
    <row r="668" spans="1:3" ht="12.75" customHeight="1" x14ac:dyDescent="0.15">
      <c r="A668" s="8"/>
      <c r="B668" s="9"/>
      <c r="C668" s="16"/>
    </row>
    <row r="669" spans="1:3" ht="12.75" customHeight="1" x14ac:dyDescent="0.15">
      <c r="A669" s="8"/>
      <c r="B669" s="9"/>
      <c r="C669" s="16"/>
    </row>
    <row r="670" spans="1:3" ht="12.75" customHeight="1" x14ac:dyDescent="0.15">
      <c r="A670" s="8"/>
      <c r="B670" s="9"/>
      <c r="C670" s="16"/>
    </row>
    <row r="671" spans="1:3" ht="12.75" customHeight="1" x14ac:dyDescent="0.15">
      <c r="A671" s="8"/>
      <c r="B671" s="9"/>
      <c r="C671" s="16"/>
    </row>
    <row r="672" spans="1:3" ht="12.75" customHeight="1" x14ac:dyDescent="0.15">
      <c r="A672" s="8"/>
      <c r="B672" s="9"/>
      <c r="C672" s="16"/>
    </row>
    <row r="673" spans="1:3" ht="12.75" customHeight="1" x14ac:dyDescent="0.15">
      <c r="A673" s="8"/>
      <c r="B673" s="9"/>
      <c r="C673" s="16"/>
    </row>
    <row r="674" spans="1:3" ht="12.75" customHeight="1" x14ac:dyDescent="0.15">
      <c r="A674" s="8"/>
      <c r="B674" s="9"/>
      <c r="C674" s="16"/>
    </row>
    <row r="675" spans="1:3" ht="12.75" customHeight="1" x14ac:dyDescent="0.15">
      <c r="A675" s="8"/>
      <c r="B675" s="9"/>
      <c r="C675" s="16"/>
    </row>
    <row r="676" spans="1:3" ht="12.75" customHeight="1" x14ac:dyDescent="0.15">
      <c r="A676" s="8"/>
      <c r="B676" s="9"/>
      <c r="C676" s="16"/>
    </row>
    <row r="677" spans="1:3" ht="12.75" customHeight="1" x14ac:dyDescent="0.15">
      <c r="A677" s="8"/>
      <c r="B677" s="9"/>
      <c r="C677" s="16"/>
    </row>
    <row r="678" spans="1:3" ht="12.75" customHeight="1" x14ac:dyDescent="0.15">
      <c r="A678" s="8"/>
      <c r="B678" s="9"/>
      <c r="C678" s="16"/>
    </row>
    <row r="679" spans="1:3" ht="12.75" customHeight="1" x14ac:dyDescent="0.15">
      <c r="A679" s="8"/>
      <c r="B679" s="9"/>
      <c r="C679" s="16"/>
    </row>
    <row r="680" spans="1:3" ht="12.75" customHeight="1" x14ac:dyDescent="0.15">
      <c r="A680" s="8"/>
      <c r="B680" s="9"/>
      <c r="C680" s="16"/>
    </row>
    <row r="681" spans="1:3" ht="12.75" customHeight="1" x14ac:dyDescent="0.15">
      <c r="A681" s="8"/>
      <c r="B681" s="9"/>
      <c r="C681" s="16"/>
    </row>
    <row r="682" spans="1:3" ht="12.75" customHeight="1" x14ac:dyDescent="0.15">
      <c r="A682" s="8"/>
      <c r="B682" s="9"/>
      <c r="C682" s="16"/>
    </row>
    <row r="683" spans="1:3" ht="12.75" customHeight="1" x14ac:dyDescent="0.15">
      <c r="A683" s="8"/>
      <c r="B683" s="9"/>
      <c r="C683" s="16"/>
    </row>
    <row r="684" spans="1:3" ht="12.75" customHeight="1" x14ac:dyDescent="0.15">
      <c r="A684" s="8"/>
      <c r="B684" s="9"/>
      <c r="C684" s="16"/>
    </row>
    <row r="685" spans="1:3" ht="12.75" customHeight="1" x14ac:dyDescent="0.15">
      <c r="A685" s="8"/>
      <c r="B685" s="9"/>
      <c r="C685" s="16"/>
    </row>
    <row r="686" spans="1:3" ht="12.75" customHeight="1" x14ac:dyDescent="0.15">
      <c r="A686" s="8"/>
      <c r="B686" s="9"/>
      <c r="C686" s="16"/>
    </row>
    <row r="687" spans="1:3" ht="12.75" customHeight="1" x14ac:dyDescent="0.15">
      <c r="A687" s="8"/>
      <c r="B687" s="9"/>
      <c r="C687" s="16"/>
    </row>
    <row r="688" spans="1:3" ht="12.75" customHeight="1" x14ac:dyDescent="0.15">
      <c r="A688" s="8"/>
      <c r="B688" s="9"/>
      <c r="C688" s="16"/>
    </row>
    <row r="689" spans="1:3" ht="12.75" customHeight="1" x14ac:dyDescent="0.15">
      <c r="A689" s="8"/>
      <c r="B689" s="9"/>
      <c r="C689" s="16"/>
    </row>
    <row r="690" spans="1:3" ht="12.75" customHeight="1" x14ac:dyDescent="0.15">
      <c r="A690" s="8"/>
      <c r="B690" s="9"/>
      <c r="C690" s="16"/>
    </row>
    <row r="691" spans="1:3" ht="12.75" customHeight="1" x14ac:dyDescent="0.15">
      <c r="A691" s="8"/>
      <c r="B691" s="9"/>
      <c r="C691" s="16"/>
    </row>
    <row r="692" spans="1:3" ht="12.75" customHeight="1" x14ac:dyDescent="0.15">
      <c r="A692" s="8"/>
      <c r="B692" s="9"/>
      <c r="C692" s="16"/>
    </row>
    <row r="693" spans="1:3" ht="12.75" customHeight="1" x14ac:dyDescent="0.15">
      <c r="A693" s="8"/>
      <c r="B693" s="9"/>
      <c r="C693" s="16"/>
    </row>
    <row r="694" spans="1:3" ht="12.75" customHeight="1" x14ac:dyDescent="0.15">
      <c r="A694" s="8"/>
      <c r="B694" s="9"/>
      <c r="C694" s="16"/>
    </row>
    <row r="695" spans="1:3" ht="12.75" customHeight="1" x14ac:dyDescent="0.15">
      <c r="A695" s="8"/>
      <c r="B695" s="9"/>
      <c r="C695" s="16"/>
    </row>
    <row r="696" spans="1:3" ht="12.75" customHeight="1" x14ac:dyDescent="0.15">
      <c r="A696" s="8"/>
      <c r="B696" s="9"/>
      <c r="C696" s="16"/>
    </row>
    <row r="697" spans="1:3" ht="12.75" customHeight="1" x14ac:dyDescent="0.15">
      <c r="A697" s="8"/>
      <c r="B697" s="9"/>
      <c r="C697" s="16"/>
    </row>
    <row r="698" spans="1:3" ht="12.75" customHeight="1" x14ac:dyDescent="0.15">
      <c r="A698" s="8"/>
      <c r="B698" s="9"/>
      <c r="C698" s="16"/>
    </row>
    <row r="699" spans="1:3" ht="12.75" customHeight="1" x14ac:dyDescent="0.15">
      <c r="A699" s="8"/>
      <c r="B699" s="9"/>
      <c r="C699" s="16"/>
    </row>
    <row r="700" spans="1:3" ht="12.75" customHeight="1" x14ac:dyDescent="0.15">
      <c r="A700" s="8"/>
      <c r="B700" s="9"/>
      <c r="C700" s="16"/>
    </row>
    <row r="701" spans="1:3" ht="12.75" customHeight="1" x14ac:dyDescent="0.15">
      <c r="A701" s="8"/>
      <c r="B701" s="9"/>
      <c r="C701" s="16"/>
    </row>
    <row r="702" spans="1:3" ht="12.75" customHeight="1" x14ac:dyDescent="0.15">
      <c r="A702" s="8"/>
      <c r="B702" s="9"/>
      <c r="C702" s="16"/>
    </row>
    <row r="703" spans="1:3" ht="12.75" customHeight="1" x14ac:dyDescent="0.15">
      <c r="A703" s="8"/>
      <c r="B703" s="9"/>
      <c r="C703" s="16"/>
    </row>
    <row r="704" spans="1:3" ht="12.75" customHeight="1" x14ac:dyDescent="0.15">
      <c r="A704" s="8"/>
      <c r="B704" s="9"/>
      <c r="C704" s="16"/>
    </row>
    <row r="705" spans="1:3" ht="12.75" customHeight="1" x14ac:dyDescent="0.15">
      <c r="A705" s="8"/>
      <c r="B705" s="9"/>
      <c r="C705" s="16"/>
    </row>
    <row r="706" spans="1:3" ht="12.75" customHeight="1" x14ac:dyDescent="0.15">
      <c r="A706" s="8"/>
      <c r="B706" s="9"/>
      <c r="C706" s="16"/>
    </row>
    <row r="707" spans="1:3" ht="12.75" customHeight="1" x14ac:dyDescent="0.15">
      <c r="A707" s="8"/>
      <c r="B707" s="9"/>
      <c r="C707" s="16"/>
    </row>
    <row r="708" spans="1:3" ht="12.75" customHeight="1" x14ac:dyDescent="0.15">
      <c r="A708" s="8"/>
      <c r="B708" s="9"/>
      <c r="C708" s="16"/>
    </row>
    <row r="709" spans="1:3" ht="12.75" customHeight="1" x14ac:dyDescent="0.15">
      <c r="A709" s="8"/>
      <c r="B709" s="9"/>
      <c r="C709" s="16"/>
    </row>
    <row r="710" spans="1:3" ht="12.75" customHeight="1" x14ac:dyDescent="0.15">
      <c r="A710" s="8"/>
      <c r="B710" s="9"/>
      <c r="C710" s="16"/>
    </row>
    <row r="711" spans="1:3" ht="12.75" customHeight="1" x14ac:dyDescent="0.15">
      <c r="A711" s="8"/>
      <c r="B711" s="9"/>
      <c r="C711" s="16"/>
    </row>
    <row r="712" spans="1:3" ht="12.75" customHeight="1" x14ac:dyDescent="0.15">
      <c r="A712" s="8"/>
      <c r="B712" s="9"/>
      <c r="C712" s="16"/>
    </row>
    <row r="713" spans="1:3" ht="12.75" customHeight="1" x14ac:dyDescent="0.15">
      <c r="A713" s="8"/>
      <c r="B713" s="9"/>
      <c r="C713" s="16"/>
    </row>
    <row r="714" spans="1:3" ht="12.75" customHeight="1" x14ac:dyDescent="0.15">
      <c r="A714" s="8"/>
      <c r="B714" s="9"/>
      <c r="C714" s="16"/>
    </row>
    <row r="715" spans="1:3" ht="12.75" customHeight="1" x14ac:dyDescent="0.15">
      <c r="A715" s="8"/>
      <c r="B715" s="9"/>
      <c r="C715" s="16"/>
    </row>
    <row r="716" spans="1:3" ht="12.75" customHeight="1" x14ac:dyDescent="0.15">
      <c r="A716" s="8"/>
      <c r="B716" s="9"/>
      <c r="C716" s="16"/>
    </row>
    <row r="717" spans="1:3" ht="12.75" customHeight="1" x14ac:dyDescent="0.15">
      <c r="A717" s="8"/>
      <c r="B717" s="9"/>
      <c r="C717" s="16"/>
    </row>
    <row r="718" spans="1:3" ht="12.75" customHeight="1" x14ac:dyDescent="0.15">
      <c r="A718" s="8"/>
      <c r="B718" s="9"/>
      <c r="C718" s="16"/>
    </row>
    <row r="719" spans="1:3" ht="12.75" customHeight="1" x14ac:dyDescent="0.15">
      <c r="A719" s="8"/>
      <c r="B719" s="9"/>
      <c r="C719" s="16"/>
    </row>
    <row r="720" spans="1:3" ht="12.75" customHeight="1" x14ac:dyDescent="0.15">
      <c r="A720" s="8"/>
      <c r="B720" s="9"/>
      <c r="C720" s="16"/>
    </row>
    <row r="721" spans="1:3" ht="12.75" customHeight="1" x14ac:dyDescent="0.15">
      <c r="A721" s="8"/>
      <c r="B721" s="9"/>
      <c r="C721" s="16"/>
    </row>
    <row r="722" spans="1:3" ht="12.75" customHeight="1" x14ac:dyDescent="0.15">
      <c r="A722" s="8"/>
      <c r="B722" s="9"/>
      <c r="C722" s="16"/>
    </row>
    <row r="723" spans="1:3" ht="12.75" customHeight="1" x14ac:dyDescent="0.15">
      <c r="A723" s="8"/>
      <c r="B723" s="9"/>
      <c r="C723" s="16"/>
    </row>
    <row r="724" spans="1:3" ht="12.75" customHeight="1" x14ac:dyDescent="0.15">
      <c r="A724" s="8"/>
      <c r="B724" s="9"/>
      <c r="C724" s="16"/>
    </row>
    <row r="725" spans="1:3" ht="12.75" customHeight="1" x14ac:dyDescent="0.15">
      <c r="A725" s="8"/>
      <c r="B725" s="9"/>
      <c r="C725" s="16"/>
    </row>
    <row r="726" spans="1:3" ht="12.75" customHeight="1" x14ac:dyDescent="0.15">
      <c r="A726" s="8"/>
      <c r="B726" s="9"/>
      <c r="C726" s="16"/>
    </row>
    <row r="727" spans="1:3" ht="12.75" customHeight="1" x14ac:dyDescent="0.15">
      <c r="A727" s="8"/>
      <c r="B727" s="9"/>
      <c r="C727" s="16"/>
    </row>
    <row r="728" spans="1:3" ht="12.75" customHeight="1" x14ac:dyDescent="0.15">
      <c r="A728" s="8"/>
      <c r="B728" s="9"/>
      <c r="C728" s="16"/>
    </row>
    <row r="729" spans="1:3" ht="12.75" customHeight="1" x14ac:dyDescent="0.15">
      <c r="A729" s="8"/>
      <c r="B729" s="9"/>
      <c r="C729" s="16"/>
    </row>
    <row r="730" spans="1:3" ht="12.75" customHeight="1" x14ac:dyDescent="0.15">
      <c r="A730" s="8"/>
      <c r="B730" s="9"/>
      <c r="C730" s="16"/>
    </row>
    <row r="731" spans="1:3" ht="12.75" customHeight="1" x14ac:dyDescent="0.15">
      <c r="A731" s="8"/>
      <c r="B731" s="9"/>
      <c r="C731" s="16"/>
    </row>
    <row r="732" spans="1:3" ht="12.75" customHeight="1" x14ac:dyDescent="0.15">
      <c r="A732" s="8"/>
      <c r="B732" s="9"/>
      <c r="C732" s="16"/>
    </row>
    <row r="733" spans="1:3" ht="12.75" customHeight="1" x14ac:dyDescent="0.15">
      <c r="A733" s="8"/>
      <c r="B733" s="9"/>
      <c r="C733" s="16"/>
    </row>
    <row r="734" spans="1:3" ht="12.75" customHeight="1" x14ac:dyDescent="0.15">
      <c r="A734" s="8"/>
      <c r="B734" s="9"/>
      <c r="C734" s="16"/>
    </row>
    <row r="735" spans="1:3" ht="12.75" customHeight="1" x14ac:dyDescent="0.15">
      <c r="A735" s="8"/>
      <c r="B735" s="9"/>
      <c r="C735" s="16"/>
    </row>
    <row r="736" spans="1:3" ht="12.75" customHeight="1" x14ac:dyDescent="0.15">
      <c r="A736" s="8"/>
      <c r="B736" s="9"/>
      <c r="C736" s="16"/>
    </row>
    <row r="737" spans="1:3" ht="12.75" customHeight="1" x14ac:dyDescent="0.15">
      <c r="A737" s="8"/>
      <c r="B737" s="9"/>
      <c r="C737" s="16"/>
    </row>
    <row r="738" spans="1:3" ht="12.75" customHeight="1" x14ac:dyDescent="0.15">
      <c r="A738" s="8"/>
      <c r="B738" s="9"/>
      <c r="C738" s="16"/>
    </row>
    <row r="739" spans="1:3" ht="12.75" customHeight="1" x14ac:dyDescent="0.15">
      <c r="A739" s="8"/>
      <c r="B739" s="9"/>
      <c r="C739" s="16"/>
    </row>
    <row r="740" spans="1:3" ht="12.75" customHeight="1" x14ac:dyDescent="0.15">
      <c r="A740" s="8"/>
      <c r="B740" s="9"/>
      <c r="C740" s="16"/>
    </row>
    <row r="741" spans="1:3" ht="12.75" customHeight="1" x14ac:dyDescent="0.15">
      <c r="A741" s="8"/>
      <c r="B741" s="9"/>
      <c r="C741" s="16"/>
    </row>
    <row r="742" spans="1:3" ht="12.75" customHeight="1" x14ac:dyDescent="0.15">
      <c r="A742" s="8"/>
      <c r="B742" s="9"/>
      <c r="C742" s="16"/>
    </row>
    <row r="743" spans="1:3" ht="12.75" customHeight="1" x14ac:dyDescent="0.15">
      <c r="A743" s="8"/>
      <c r="B743" s="9"/>
      <c r="C743" s="16"/>
    </row>
    <row r="744" spans="1:3" ht="12.75" customHeight="1" x14ac:dyDescent="0.15">
      <c r="A744" s="8"/>
      <c r="B744" s="9"/>
      <c r="C744" s="16"/>
    </row>
    <row r="745" spans="1:3" ht="12.75" customHeight="1" x14ac:dyDescent="0.15">
      <c r="A745" s="8"/>
      <c r="B745" s="9"/>
      <c r="C745" s="16"/>
    </row>
    <row r="746" spans="1:3" ht="12.75" customHeight="1" x14ac:dyDescent="0.15">
      <c r="A746" s="8"/>
      <c r="B746" s="9"/>
      <c r="C746" s="16"/>
    </row>
    <row r="747" spans="1:3" ht="12.75" customHeight="1" x14ac:dyDescent="0.15">
      <c r="A747" s="8"/>
      <c r="B747" s="9"/>
      <c r="C747" s="16"/>
    </row>
    <row r="748" spans="1:3" ht="12.75" customHeight="1" x14ac:dyDescent="0.15">
      <c r="A748" s="8"/>
      <c r="B748" s="9"/>
      <c r="C748" s="16"/>
    </row>
    <row r="749" spans="1:3" ht="12.75" customHeight="1" x14ac:dyDescent="0.15">
      <c r="A749" s="8"/>
      <c r="B749" s="9"/>
      <c r="C749" s="16"/>
    </row>
    <row r="750" spans="1:3" ht="12.75" customHeight="1" x14ac:dyDescent="0.15">
      <c r="A750" s="8"/>
      <c r="B750" s="9"/>
      <c r="C750" s="16"/>
    </row>
    <row r="751" spans="1:3" ht="12.75" customHeight="1" x14ac:dyDescent="0.15">
      <c r="A751" s="8"/>
      <c r="B751" s="9"/>
      <c r="C751" s="16"/>
    </row>
    <row r="752" spans="1:3" ht="12.75" customHeight="1" x14ac:dyDescent="0.15">
      <c r="A752" s="8"/>
      <c r="B752" s="9"/>
      <c r="C752" s="16"/>
    </row>
    <row r="753" spans="1:3" ht="12.75" customHeight="1" x14ac:dyDescent="0.15">
      <c r="A753" s="8"/>
      <c r="B753" s="9"/>
      <c r="C753" s="16"/>
    </row>
    <row r="754" spans="1:3" ht="12.75" customHeight="1" x14ac:dyDescent="0.15">
      <c r="A754" s="8"/>
      <c r="B754" s="9"/>
      <c r="C754" s="16"/>
    </row>
    <row r="755" spans="1:3" ht="12.75" customHeight="1" x14ac:dyDescent="0.15">
      <c r="A755" s="8"/>
      <c r="B755" s="9"/>
      <c r="C755" s="16"/>
    </row>
    <row r="756" spans="1:3" ht="12.75" customHeight="1" x14ac:dyDescent="0.15">
      <c r="A756" s="8"/>
      <c r="B756" s="9"/>
      <c r="C756" s="16"/>
    </row>
    <row r="757" spans="1:3" ht="12.75" customHeight="1" x14ac:dyDescent="0.15">
      <c r="A757" s="8"/>
      <c r="B757" s="9"/>
      <c r="C757" s="16"/>
    </row>
    <row r="758" spans="1:3" ht="12.75" customHeight="1" x14ac:dyDescent="0.15">
      <c r="A758" s="8"/>
      <c r="B758" s="9"/>
      <c r="C758" s="16"/>
    </row>
    <row r="759" spans="1:3" ht="12.75" customHeight="1" x14ac:dyDescent="0.15">
      <c r="A759" s="8"/>
      <c r="B759" s="9"/>
      <c r="C759" s="16"/>
    </row>
    <row r="760" spans="1:3" ht="12.75" customHeight="1" x14ac:dyDescent="0.15">
      <c r="A760" s="8"/>
      <c r="B760" s="9"/>
      <c r="C760" s="16"/>
    </row>
    <row r="761" spans="1:3" ht="12.75" customHeight="1" x14ac:dyDescent="0.15">
      <c r="A761" s="8"/>
      <c r="B761" s="9"/>
      <c r="C761" s="16"/>
    </row>
    <row r="762" spans="1:3" ht="12.75" customHeight="1" x14ac:dyDescent="0.15">
      <c r="A762" s="8"/>
      <c r="B762" s="9"/>
      <c r="C762" s="16"/>
    </row>
    <row r="763" spans="1:3" ht="12.75" customHeight="1" x14ac:dyDescent="0.15">
      <c r="A763" s="8"/>
      <c r="B763" s="9"/>
      <c r="C763" s="16"/>
    </row>
    <row r="764" spans="1:3" ht="12.75" customHeight="1" x14ac:dyDescent="0.15">
      <c r="A764" s="8"/>
      <c r="B764" s="9"/>
      <c r="C764" s="16"/>
    </row>
    <row r="765" spans="1:3" ht="12.75" customHeight="1" x14ac:dyDescent="0.15">
      <c r="A765" s="8"/>
      <c r="B765" s="9"/>
      <c r="C765" s="16"/>
    </row>
    <row r="766" spans="1:3" ht="12.75" customHeight="1" x14ac:dyDescent="0.15">
      <c r="A766" s="8"/>
      <c r="B766" s="9"/>
      <c r="C766" s="16"/>
    </row>
    <row r="767" spans="1:3" ht="12.75" customHeight="1" x14ac:dyDescent="0.15">
      <c r="A767" s="8"/>
      <c r="B767" s="9"/>
      <c r="C767" s="16"/>
    </row>
    <row r="768" spans="1:3" ht="12.75" customHeight="1" x14ac:dyDescent="0.15">
      <c r="A768" s="8"/>
      <c r="B768" s="9"/>
      <c r="C768" s="16"/>
    </row>
    <row r="769" spans="1:3" ht="12.75" customHeight="1" x14ac:dyDescent="0.15">
      <c r="A769" s="8"/>
      <c r="B769" s="9"/>
      <c r="C769" s="16"/>
    </row>
    <row r="770" spans="1:3" ht="12.75" customHeight="1" x14ac:dyDescent="0.15">
      <c r="A770" s="8"/>
      <c r="B770" s="9"/>
      <c r="C770" s="16"/>
    </row>
    <row r="771" spans="1:3" ht="12.75" customHeight="1" x14ac:dyDescent="0.15">
      <c r="A771" s="8"/>
      <c r="B771" s="9"/>
      <c r="C771" s="16"/>
    </row>
    <row r="772" spans="1:3" ht="12.75" customHeight="1" x14ac:dyDescent="0.15">
      <c r="A772" s="8"/>
      <c r="B772" s="9"/>
      <c r="C772" s="16"/>
    </row>
    <row r="773" spans="1:3" ht="12.75" customHeight="1" x14ac:dyDescent="0.15">
      <c r="A773" s="8"/>
      <c r="B773" s="9"/>
      <c r="C773" s="16"/>
    </row>
    <row r="774" spans="1:3" ht="12.75" customHeight="1" x14ac:dyDescent="0.15">
      <c r="A774" s="8"/>
      <c r="B774" s="9"/>
      <c r="C774" s="16"/>
    </row>
    <row r="775" spans="1:3" ht="12.75" customHeight="1" x14ac:dyDescent="0.15">
      <c r="A775" s="8"/>
      <c r="B775" s="9"/>
      <c r="C775" s="16"/>
    </row>
    <row r="776" spans="1:3" ht="12.75" customHeight="1" x14ac:dyDescent="0.15">
      <c r="A776" s="8"/>
      <c r="B776" s="9"/>
      <c r="C776" s="16"/>
    </row>
    <row r="777" spans="1:3" ht="12.75" customHeight="1" x14ac:dyDescent="0.15">
      <c r="A777" s="8"/>
      <c r="B777" s="9"/>
      <c r="C777" s="16"/>
    </row>
    <row r="778" spans="1:3" ht="12.75" customHeight="1" x14ac:dyDescent="0.15">
      <c r="A778" s="8"/>
      <c r="B778" s="9"/>
      <c r="C778" s="16"/>
    </row>
    <row r="779" spans="1:3" ht="12.75" customHeight="1" x14ac:dyDescent="0.15">
      <c r="A779" s="8"/>
      <c r="B779" s="9"/>
      <c r="C779" s="16"/>
    </row>
    <row r="780" spans="1:3" ht="12.75" customHeight="1" x14ac:dyDescent="0.15">
      <c r="A780" s="8"/>
      <c r="B780" s="9"/>
      <c r="C780" s="16"/>
    </row>
    <row r="781" spans="1:3" ht="12.75" customHeight="1" x14ac:dyDescent="0.15">
      <c r="A781" s="8"/>
      <c r="B781" s="9"/>
      <c r="C781" s="16"/>
    </row>
    <row r="782" spans="1:3" ht="12.75" customHeight="1" x14ac:dyDescent="0.15">
      <c r="A782" s="8"/>
      <c r="B782" s="9"/>
      <c r="C782" s="16"/>
    </row>
    <row r="783" spans="1:3" ht="12.75" customHeight="1" x14ac:dyDescent="0.15">
      <c r="A783" s="8"/>
      <c r="B783" s="9"/>
      <c r="C783" s="16"/>
    </row>
    <row r="784" spans="1:3" ht="12.75" customHeight="1" x14ac:dyDescent="0.15">
      <c r="A784" s="8"/>
      <c r="B784" s="9"/>
      <c r="C784" s="16"/>
    </row>
    <row r="785" spans="1:3" ht="12.75" customHeight="1" x14ac:dyDescent="0.15">
      <c r="A785" s="8"/>
      <c r="B785" s="9"/>
      <c r="C785" s="16"/>
    </row>
    <row r="786" spans="1:3" ht="12.75" customHeight="1" x14ac:dyDescent="0.15">
      <c r="A786" s="8"/>
      <c r="B786" s="9"/>
      <c r="C786" s="16"/>
    </row>
    <row r="787" spans="1:3" ht="12.75" customHeight="1" x14ac:dyDescent="0.15">
      <c r="A787" s="8"/>
      <c r="B787" s="9"/>
      <c r="C787" s="16"/>
    </row>
    <row r="788" spans="1:3" ht="12.75" customHeight="1" x14ac:dyDescent="0.15">
      <c r="A788" s="8"/>
      <c r="B788" s="9"/>
      <c r="C788" s="16"/>
    </row>
    <row r="789" spans="1:3" ht="12.75" customHeight="1" x14ac:dyDescent="0.15">
      <c r="A789" s="8"/>
      <c r="B789" s="9"/>
      <c r="C789" s="16"/>
    </row>
    <row r="790" spans="1:3" ht="12.75" customHeight="1" x14ac:dyDescent="0.15">
      <c r="A790" s="8"/>
      <c r="B790" s="9"/>
      <c r="C790" s="16"/>
    </row>
    <row r="791" spans="1:3" ht="12.75" customHeight="1" x14ac:dyDescent="0.15">
      <c r="A791" s="8"/>
      <c r="B791" s="9"/>
      <c r="C791" s="16"/>
    </row>
    <row r="792" spans="1:3" ht="12.75" customHeight="1" x14ac:dyDescent="0.15">
      <c r="A792" s="8"/>
      <c r="B792" s="9"/>
      <c r="C792" s="16"/>
    </row>
    <row r="793" spans="1:3" ht="12.75" customHeight="1" x14ac:dyDescent="0.15">
      <c r="A793" s="8"/>
      <c r="B793" s="9"/>
      <c r="C793" s="16"/>
    </row>
    <row r="794" spans="1:3" ht="12.75" customHeight="1" x14ac:dyDescent="0.15">
      <c r="A794" s="8"/>
      <c r="B794" s="9"/>
      <c r="C794" s="16"/>
    </row>
    <row r="795" spans="1:3" ht="12.75" customHeight="1" x14ac:dyDescent="0.15">
      <c r="A795" s="8"/>
      <c r="B795" s="9"/>
      <c r="C795" s="16"/>
    </row>
    <row r="796" spans="1:3" ht="12.75" customHeight="1" x14ac:dyDescent="0.15">
      <c r="A796" s="8"/>
      <c r="B796" s="9"/>
      <c r="C796" s="16"/>
    </row>
    <row r="797" spans="1:3" ht="12.75" customHeight="1" x14ac:dyDescent="0.15">
      <c r="A797" s="8"/>
      <c r="B797" s="9"/>
      <c r="C797" s="16"/>
    </row>
    <row r="798" spans="1:3" ht="12.75" customHeight="1" x14ac:dyDescent="0.15">
      <c r="A798" s="8"/>
      <c r="B798" s="9"/>
      <c r="C798" s="16"/>
    </row>
    <row r="799" spans="1:3" ht="12.75" customHeight="1" x14ac:dyDescent="0.15">
      <c r="A799" s="8"/>
      <c r="B799" s="9"/>
      <c r="C799" s="16"/>
    </row>
    <row r="800" spans="1:3" ht="12.75" customHeight="1" x14ac:dyDescent="0.15">
      <c r="A800" s="8"/>
      <c r="B800" s="9"/>
      <c r="C800" s="16"/>
    </row>
    <row r="801" spans="1:3" ht="12.75" customHeight="1" x14ac:dyDescent="0.15">
      <c r="A801" s="8"/>
      <c r="B801" s="9"/>
      <c r="C801" s="16"/>
    </row>
    <row r="802" spans="1:3" ht="12.75" customHeight="1" x14ac:dyDescent="0.15">
      <c r="A802" s="8"/>
      <c r="B802" s="9"/>
      <c r="C802" s="16"/>
    </row>
    <row r="803" spans="1:3" ht="12.75" customHeight="1" x14ac:dyDescent="0.15">
      <c r="A803" s="8"/>
      <c r="B803" s="9"/>
      <c r="C803" s="16"/>
    </row>
    <row r="804" spans="1:3" ht="12.75" customHeight="1" x14ac:dyDescent="0.15">
      <c r="A804" s="8"/>
      <c r="B804" s="9"/>
      <c r="C804" s="16"/>
    </row>
    <row r="805" spans="1:3" ht="12.75" customHeight="1" x14ac:dyDescent="0.15">
      <c r="A805" s="8"/>
      <c r="B805" s="9"/>
      <c r="C805" s="16"/>
    </row>
    <row r="806" spans="1:3" ht="12.75" customHeight="1" x14ac:dyDescent="0.15">
      <c r="A806" s="8"/>
      <c r="B806" s="9"/>
      <c r="C806" s="16"/>
    </row>
    <row r="807" spans="1:3" ht="12.75" customHeight="1" x14ac:dyDescent="0.15">
      <c r="A807" s="8"/>
      <c r="B807" s="9"/>
      <c r="C807" s="16"/>
    </row>
    <row r="808" spans="1:3" ht="12.75" customHeight="1" x14ac:dyDescent="0.15">
      <c r="A808" s="8"/>
      <c r="B808" s="9"/>
      <c r="C808" s="16"/>
    </row>
    <row r="809" spans="1:3" ht="12.75" customHeight="1" x14ac:dyDescent="0.15">
      <c r="A809" s="8"/>
      <c r="B809" s="9"/>
      <c r="C809" s="16"/>
    </row>
    <row r="810" spans="1:3" ht="12.75" customHeight="1" x14ac:dyDescent="0.15">
      <c r="A810" s="8"/>
      <c r="B810" s="9"/>
      <c r="C810" s="16"/>
    </row>
    <row r="811" spans="1:3" ht="12.75" customHeight="1" x14ac:dyDescent="0.15">
      <c r="A811" s="8"/>
      <c r="B811" s="9"/>
      <c r="C811" s="16"/>
    </row>
    <row r="812" spans="1:3" ht="12.75" customHeight="1" x14ac:dyDescent="0.15">
      <c r="A812" s="8"/>
      <c r="B812" s="9"/>
      <c r="C812" s="16"/>
    </row>
    <row r="813" spans="1:3" ht="12.75" customHeight="1" x14ac:dyDescent="0.15">
      <c r="A813" s="8"/>
      <c r="B813" s="9"/>
      <c r="C813" s="16"/>
    </row>
    <row r="814" spans="1:3" ht="12.75" customHeight="1" x14ac:dyDescent="0.15">
      <c r="A814" s="8"/>
      <c r="B814" s="9"/>
      <c r="C814" s="16"/>
    </row>
    <row r="815" spans="1:3" ht="12.75" customHeight="1" x14ac:dyDescent="0.15">
      <c r="A815" s="8"/>
      <c r="B815" s="9"/>
      <c r="C815" s="16"/>
    </row>
    <row r="816" spans="1:3" ht="12.75" customHeight="1" x14ac:dyDescent="0.15">
      <c r="A816" s="8"/>
      <c r="B816" s="9"/>
      <c r="C816" s="16"/>
    </row>
    <row r="817" spans="1:3" ht="12.75" customHeight="1" x14ac:dyDescent="0.15">
      <c r="A817" s="8"/>
      <c r="B817" s="9"/>
      <c r="C817" s="16"/>
    </row>
    <row r="818" spans="1:3" ht="12.75" customHeight="1" x14ac:dyDescent="0.15">
      <c r="A818" s="8"/>
      <c r="B818" s="9"/>
      <c r="C818" s="16"/>
    </row>
    <row r="819" spans="1:3" ht="12.75" customHeight="1" x14ac:dyDescent="0.15">
      <c r="A819" s="8"/>
      <c r="B819" s="9"/>
      <c r="C819" s="16"/>
    </row>
    <row r="820" spans="1:3" ht="12.75" customHeight="1" x14ac:dyDescent="0.15">
      <c r="A820" s="8"/>
      <c r="B820" s="9"/>
      <c r="C820" s="16"/>
    </row>
    <row r="821" spans="1:3" ht="12.75" customHeight="1" x14ac:dyDescent="0.15">
      <c r="A821" s="8"/>
      <c r="B821" s="9"/>
      <c r="C821" s="16"/>
    </row>
    <row r="822" spans="1:3" ht="12.75" customHeight="1" x14ac:dyDescent="0.15">
      <c r="A822" s="8"/>
      <c r="B822" s="9"/>
      <c r="C822" s="16"/>
    </row>
    <row r="823" spans="1:3" ht="12.75" customHeight="1" x14ac:dyDescent="0.15">
      <c r="A823" s="8"/>
      <c r="B823" s="9"/>
      <c r="C823" s="16"/>
    </row>
    <row r="824" spans="1:3" ht="12.75" customHeight="1" x14ac:dyDescent="0.15">
      <c r="A824" s="8"/>
      <c r="B824" s="9"/>
      <c r="C824" s="16"/>
    </row>
    <row r="825" spans="1:3" ht="12.75" customHeight="1" x14ac:dyDescent="0.15">
      <c r="A825" s="8"/>
      <c r="B825" s="9"/>
      <c r="C825" s="16"/>
    </row>
    <row r="826" spans="1:3" ht="12.75" customHeight="1" x14ac:dyDescent="0.15">
      <c r="A826" s="8"/>
      <c r="B826" s="9"/>
      <c r="C826" s="16"/>
    </row>
    <row r="827" spans="1:3" ht="12.75" customHeight="1" x14ac:dyDescent="0.15">
      <c r="A827" s="8"/>
      <c r="B827" s="9"/>
      <c r="C827" s="16"/>
    </row>
    <row r="828" spans="1:3" ht="12.75" customHeight="1" x14ac:dyDescent="0.15">
      <c r="A828" s="8"/>
      <c r="B828" s="9"/>
      <c r="C828" s="16"/>
    </row>
    <row r="829" spans="1:3" ht="12.75" customHeight="1" x14ac:dyDescent="0.15">
      <c r="A829" s="8"/>
      <c r="B829" s="9"/>
      <c r="C829" s="16"/>
    </row>
    <row r="830" spans="1:3" ht="12.75" customHeight="1" x14ac:dyDescent="0.15">
      <c r="A830" s="8"/>
      <c r="B830" s="9"/>
      <c r="C830" s="16"/>
    </row>
    <row r="831" spans="1:3" ht="12.75" customHeight="1" x14ac:dyDescent="0.15">
      <c r="A831" s="8"/>
      <c r="B831" s="9"/>
      <c r="C831" s="16"/>
    </row>
    <row r="832" spans="1:3" ht="12.75" customHeight="1" x14ac:dyDescent="0.15">
      <c r="A832" s="8"/>
      <c r="B832" s="9"/>
      <c r="C832" s="16"/>
    </row>
    <row r="833" spans="1:3" ht="12.75" customHeight="1" x14ac:dyDescent="0.15">
      <c r="A833" s="8"/>
      <c r="B833" s="9"/>
      <c r="C833" s="16"/>
    </row>
    <row r="834" spans="1:3" ht="12.75" customHeight="1" x14ac:dyDescent="0.15">
      <c r="A834" s="8"/>
      <c r="B834" s="9"/>
      <c r="C834" s="16"/>
    </row>
    <row r="835" spans="1:3" ht="12.75" customHeight="1" x14ac:dyDescent="0.15">
      <c r="A835" s="8"/>
      <c r="B835" s="9"/>
      <c r="C835" s="16"/>
    </row>
    <row r="836" spans="1:3" ht="12.75" customHeight="1" x14ac:dyDescent="0.15">
      <c r="A836" s="8"/>
      <c r="B836" s="9"/>
      <c r="C836" s="16"/>
    </row>
    <row r="837" spans="1:3" ht="12.75" customHeight="1" x14ac:dyDescent="0.15">
      <c r="A837" s="8"/>
      <c r="B837" s="9"/>
      <c r="C837" s="16"/>
    </row>
    <row r="838" spans="1:3" ht="12.75" customHeight="1" x14ac:dyDescent="0.15">
      <c r="A838" s="8"/>
      <c r="B838" s="9"/>
      <c r="C838" s="16"/>
    </row>
    <row r="839" spans="1:3" ht="12.75" customHeight="1" x14ac:dyDescent="0.15">
      <c r="A839" s="8"/>
      <c r="B839" s="9"/>
      <c r="C839" s="16"/>
    </row>
    <row r="840" spans="1:3" ht="12.75" customHeight="1" x14ac:dyDescent="0.15">
      <c r="A840" s="8"/>
      <c r="B840" s="9"/>
      <c r="C840" s="16"/>
    </row>
    <row r="841" spans="1:3" ht="12.75" customHeight="1" x14ac:dyDescent="0.15">
      <c r="A841" s="8"/>
      <c r="B841" s="9"/>
      <c r="C841" s="16"/>
    </row>
    <row r="842" spans="1:3" ht="12.75" customHeight="1" x14ac:dyDescent="0.15">
      <c r="A842" s="8"/>
      <c r="B842" s="9"/>
      <c r="C842" s="16"/>
    </row>
    <row r="843" spans="1:3" ht="12.75" customHeight="1" x14ac:dyDescent="0.15">
      <c r="A843" s="8"/>
      <c r="B843" s="9"/>
      <c r="C843" s="16"/>
    </row>
    <row r="844" spans="1:3" ht="12.75" customHeight="1" x14ac:dyDescent="0.15">
      <c r="A844" s="8"/>
      <c r="B844" s="9"/>
      <c r="C844" s="16"/>
    </row>
    <row r="845" spans="1:3" ht="12.75" customHeight="1" x14ac:dyDescent="0.15">
      <c r="A845" s="8"/>
      <c r="B845" s="9"/>
      <c r="C845" s="16"/>
    </row>
    <row r="846" spans="1:3" ht="12.75" customHeight="1" x14ac:dyDescent="0.15">
      <c r="A846" s="8"/>
      <c r="B846" s="9"/>
      <c r="C846" s="16"/>
    </row>
    <row r="847" spans="1:3" ht="12.75" customHeight="1" x14ac:dyDescent="0.15">
      <c r="A847" s="8"/>
      <c r="B847" s="9"/>
      <c r="C847" s="16"/>
    </row>
    <row r="848" spans="1:3" ht="12.75" customHeight="1" x14ac:dyDescent="0.15">
      <c r="A848" s="8"/>
      <c r="B848" s="9"/>
      <c r="C848" s="16"/>
    </row>
    <row r="849" spans="1:3" ht="12.75" customHeight="1" x14ac:dyDescent="0.15">
      <c r="A849" s="8"/>
      <c r="B849" s="9"/>
      <c r="C849" s="16"/>
    </row>
    <row r="850" spans="1:3" ht="12.75" customHeight="1" x14ac:dyDescent="0.15">
      <c r="A850" s="8"/>
      <c r="B850" s="9"/>
      <c r="C850" s="16"/>
    </row>
    <row r="851" spans="1:3" ht="12.75" customHeight="1" x14ac:dyDescent="0.15">
      <c r="A851" s="8"/>
      <c r="B851" s="9"/>
      <c r="C851" s="16"/>
    </row>
    <row r="852" spans="1:3" ht="12.75" customHeight="1" x14ac:dyDescent="0.15">
      <c r="A852" s="8"/>
      <c r="B852" s="9"/>
      <c r="C852" s="16"/>
    </row>
    <row r="853" spans="1:3" ht="12.75" customHeight="1" x14ac:dyDescent="0.15">
      <c r="A853" s="8"/>
      <c r="B853" s="9"/>
      <c r="C853" s="16"/>
    </row>
    <row r="854" spans="1:3" ht="12.75" customHeight="1" x14ac:dyDescent="0.15">
      <c r="A854" s="8"/>
      <c r="B854" s="9"/>
      <c r="C854" s="16"/>
    </row>
    <row r="855" spans="1:3" ht="12.75" customHeight="1" x14ac:dyDescent="0.15">
      <c r="A855" s="8"/>
      <c r="B855" s="9"/>
      <c r="C855" s="16"/>
    </row>
    <row r="856" spans="1:3" ht="12.75" customHeight="1" x14ac:dyDescent="0.15">
      <c r="A856" s="8"/>
      <c r="B856" s="9"/>
      <c r="C856" s="16"/>
    </row>
    <row r="857" spans="1:3" ht="12.75" customHeight="1" x14ac:dyDescent="0.15">
      <c r="A857" s="8"/>
      <c r="B857" s="9"/>
      <c r="C857" s="16"/>
    </row>
    <row r="858" spans="1:3" ht="12.75" customHeight="1" x14ac:dyDescent="0.15">
      <c r="A858" s="8"/>
      <c r="B858" s="9"/>
      <c r="C858" s="16"/>
    </row>
    <row r="859" spans="1:3" ht="12.75" customHeight="1" x14ac:dyDescent="0.15">
      <c r="A859" s="8"/>
      <c r="B859" s="9"/>
      <c r="C859" s="16"/>
    </row>
    <row r="860" spans="1:3" ht="12.75" customHeight="1" x14ac:dyDescent="0.15">
      <c r="A860" s="8"/>
      <c r="B860" s="9"/>
      <c r="C860" s="16"/>
    </row>
    <row r="861" spans="1:3" ht="12.75" customHeight="1" x14ac:dyDescent="0.15">
      <c r="A861" s="8"/>
      <c r="B861" s="9"/>
      <c r="C861" s="16"/>
    </row>
    <row r="862" spans="1:3" ht="12.75" customHeight="1" x14ac:dyDescent="0.15">
      <c r="A862" s="8"/>
      <c r="B862" s="9"/>
      <c r="C862" s="16"/>
    </row>
    <row r="863" spans="1:3" ht="12.75" customHeight="1" x14ac:dyDescent="0.15">
      <c r="A863" s="8"/>
      <c r="B863" s="9"/>
      <c r="C863" s="16"/>
    </row>
    <row r="864" spans="1:3" ht="12.75" customHeight="1" x14ac:dyDescent="0.15">
      <c r="A864" s="8"/>
      <c r="B864" s="9"/>
      <c r="C864" s="16"/>
    </row>
    <row r="865" spans="1:3" ht="12.75" customHeight="1" x14ac:dyDescent="0.15">
      <c r="A865" s="8"/>
      <c r="B865" s="9"/>
      <c r="C865" s="16"/>
    </row>
    <row r="866" spans="1:3" ht="12.75" customHeight="1" x14ac:dyDescent="0.15">
      <c r="A866" s="8"/>
      <c r="B866" s="9"/>
      <c r="C866" s="16"/>
    </row>
    <row r="867" spans="1:3" ht="12.75" customHeight="1" x14ac:dyDescent="0.15">
      <c r="A867" s="8"/>
      <c r="B867" s="9"/>
      <c r="C867" s="16"/>
    </row>
    <row r="868" spans="1:3" ht="12.75" customHeight="1" x14ac:dyDescent="0.15">
      <c r="A868" s="8"/>
      <c r="B868" s="9"/>
      <c r="C868" s="16"/>
    </row>
    <row r="869" spans="1:3" ht="12.75" customHeight="1" x14ac:dyDescent="0.15">
      <c r="A869" s="8"/>
      <c r="B869" s="9"/>
      <c r="C869" s="16"/>
    </row>
    <row r="870" spans="1:3" ht="12.75" customHeight="1" x14ac:dyDescent="0.15">
      <c r="A870" s="8"/>
      <c r="B870" s="9"/>
      <c r="C870" s="16"/>
    </row>
    <row r="871" spans="1:3" ht="12.75" customHeight="1" x14ac:dyDescent="0.15">
      <c r="A871" s="8"/>
      <c r="B871" s="9"/>
      <c r="C871" s="16"/>
    </row>
    <row r="872" spans="1:3" ht="12.75" customHeight="1" x14ac:dyDescent="0.15">
      <c r="A872" s="8"/>
      <c r="B872" s="9"/>
      <c r="C872" s="16"/>
    </row>
    <row r="873" spans="1:3" ht="12.75" customHeight="1" x14ac:dyDescent="0.15">
      <c r="A873" s="8"/>
      <c r="B873" s="9"/>
      <c r="C873" s="16"/>
    </row>
    <row r="874" spans="1:3" ht="12.75" customHeight="1" x14ac:dyDescent="0.15">
      <c r="A874" s="8"/>
      <c r="B874" s="9"/>
      <c r="C874" s="16"/>
    </row>
    <row r="875" spans="1:3" ht="12.75" customHeight="1" x14ac:dyDescent="0.15">
      <c r="A875" s="8"/>
      <c r="B875" s="9"/>
      <c r="C875" s="16"/>
    </row>
    <row r="876" spans="1:3" ht="12.75" customHeight="1" x14ac:dyDescent="0.15">
      <c r="A876" s="8"/>
      <c r="B876" s="9"/>
      <c r="C876" s="16"/>
    </row>
    <row r="877" spans="1:3" ht="12.75" customHeight="1" x14ac:dyDescent="0.15">
      <c r="A877" s="8"/>
      <c r="B877" s="9"/>
      <c r="C877" s="16"/>
    </row>
    <row r="878" spans="1:3" ht="12.75" customHeight="1" x14ac:dyDescent="0.15">
      <c r="A878" s="8"/>
      <c r="B878" s="9"/>
      <c r="C878" s="16"/>
    </row>
    <row r="879" spans="1:3" ht="12.75" customHeight="1" x14ac:dyDescent="0.15">
      <c r="A879" s="8"/>
      <c r="B879" s="9"/>
      <c r="C879" s="16"/>
    </row>
    <row r="880" spans="1:3" ht="12.75" customHeight="1" x14ac:dyDescent="0.15">
      <c r="A880" s="8"/>
      <c r="B880" s="9"/>
      <c r="C880" s="16"/>
    </row>
    <row r="881" spans="1:3" ht="12.75" customHeight="1" x14ac:dyDescent="0.15">
      <c r="A881" s="8"/>
      <c r="B881" s="9"/>
      <c r="C881" s="16"/>
    </row>
    <row r="882" spans="1:3" ht="12.75" customHeight="1" x14ac:dyDescent="0.15">
      <c r="A882" s="8"/>
      <c r="B882" s="9"/>
      <c r="C882" s="16"/>
    </row>
    <row r="883" spans="1:3" ht="12.75" customHeight="1" x14ac:dyDescent="0.15">
      <c r="A883" s="8"/>
      <c r="B883" s="9"/>
      <c r="C883" s="16"/>
    </row>
    <row r="884" spans="1:3" ht="12.75" customHeight="1" x14ac:dyDescent="0.15">
      <c r="A884" s="8"/>
      <c r="B884" s="9"/>
      <c r="C884" s="16"/>
    </row>
    <row r="885" spans="1:3" ht="12.75" customHeight="1" x14ac:dyDescent="0.15">
      <c r="A885" s="8"/>
      <c r="B885" s="9"/>
      <c r="C885" s="16"/>
    </row>
    <row r="886" spans="1:3" ht="12.75" customHeight="1" x14ac:dyDescent="0.15">
      <c r="A886" s="8"/>
      <c r="B886" s="9"/>
      <c r="C886" s="16"/>
    </row>
    <row r="887" spans="1:3" ht="12.75" customHeight="1" x14ac:dyDescent="0.15">
      <c r="A887" s="8"/>
      <c r="B887" s="9"/>
      <c r="C887" s="16"/>
    </row>
    <row r="888" spans="1:3" ht="12.75" customHeight="1" x14ac:dyDescent="0.15">
      <c r="A888" s="8"/>
      <c r="B888" s="9"/>
      <c r="C888" s="16"/>
    </row>
    <row r="889" spans="1:3" ht="12.75" customHeight="1" x14ac:dyDescent="0.15">
      <c r="A889" s="8"/>
      <c r="B889" s="9"/>
      <c r="C889" s="16"/>
    </row>
    <row r="890" spans="1:3" ht="12.75" customHeight="1" x14ac:dyDescent="0.15">
      <c r="A890" s="8"/>
      <c r="B890" s="9"/>
      <c r="C890" s="16"/>
    </row>
    <row r="891" spans="1:3" ht="12.75" customHeight="1" x14ac:dyDescent="0.15">
      <c r="A891" s="8"/>
      <c r="B891" s="9"/>
      <c r="C891" s="16"/>
    </row>
    <row r="892" spans="1:3" ht="12.75" customHeight="1" x14ac:dyDescent="0.15">
      <c r="A892" s="8"/>
      <c r="B892" s="9"/>
      <c r="C892" s="16"/>
    </row>
    <row r="893" spans="1:3" ht="12.75" customHeight="1" x14ac:dyDescent="0.15">
      <c r="A893" s="8"/>
      <c r="B893" s="9"/>
      <c r="C893" s="16"/>
    </row>
    <row r="894" spans="1:3" ht="12.75" customHeight="1" x14ac:dyDescent="0.15">
      <c r="A894" s="8"/>
      <c r="B894" s="9"/>
      <c r="C894" s="16"/>
    </row>
    <row r="895" spans="1:3" ht="12.75" customHeight="1" x14ac:dyDescent="0.15">
      <c r="A895" s="8"/>
      <c r="B895" s="9"/>
      <c r="C895" s="16"/>
    </row>
    <row r="896" spans="1:3" ht="12.75" customHeight="1" x14ac:dyDescent="0.15">
      <c r="A896" s="8"/>
      <c r="B896" s="9"/>
      <c r="C896" s="16"/>
    </row>
    <row r="897" spans="1:3" ht="12.75" customHeight="1" x14ac:dyDescent="0.15">
      <c r="A897" s="8"/>
      <c r="B897" s="9"/>
      <c r="C897" s="16"/>
    </row>
    <row r="898" spans="1:3" ht="12.75" customHeight="1" x14ac:dyDescent="0.15">
      <c r="A898" s="8"/>
      <c r="B898" s="9"/>
      <c r="C898" s="16"/>
    </row>
    <row r="899" spans="1:3" ht="12.75" customHeight="1" x14ac:dyDescent="0.15">
      <c r="A899" s="8"/>
      <c r="B899" s="9"/>
      <c r="C899" s="16"/>
    </row>
    <row r="900" spans="1:3" ht="12.75" customHeight="1" x14ac:dyDescent="0.15">
      <c r="A900" s="8"/>
      <c r="B900" s="9"/>
      <c r="C900" s="16"/>
    </row>
    <row r="901" spans="1:3" ht="12.75" customHeight="1" x14ac:dyDescent="0.15">
      <c r="A901" s="8"/>
      <c r="B901" s="9"/>
      <c r="C901" s="16"/>
    </row>
    <row r="902" spans="1:3" ht="12.75" customHeight="1" x14ac:dyDescent="0.15">
      <c r="A902" s="8"/>
      <c r="B902" s="9"/>
      <c r="C902" s="16"/>
    </row>
    <row r="903" spans="1:3" ht="12.75" customHeight="1" x14ac:dyDescent="0.15">
      <c r="A903" s="8"/>
      <c r="B903" s="9"/>
      <c r="C903" s="16"/>
    </row>
    <row r="904" spans="1:3" ht="12.75" customHeight="1" x14ac:dyDescent="0.15">
      <c r="A904" s="8"/>
      <c r="B904" s="9"/>
      <c r="C904" s="16"/>
    </row>
    <row r="905" spans="1:3" ht="12.75" customHeight="1" x14ac:dyDescent="0.15">
      <c r="A905" s="8"/>
      <c r="B905" s="9"/>
      <c r="C905" s="16"/>
    </row>
    <row r="906" spans="1:3" ht="12.75" customHeight="1" x14ac:dyDescent="0.15">
      <c r="A906" s="8"/>
      <c r="B906" s="9"/>
      <c r="C906" s="16"/>
    </row>
    <row r="907" spans="1:3" ht="12.75" customHeight="1" x14ac:dyDescent="0.15">
      <c r="A907" s="8"/>
      <c r="B907" s="9"/>
      <c r="C907" s="16"/>
    </row>
    <row r="908" spans="1:3" ht="12.75" customHeight="1" x14ac:dyDescent="0.15">
      <c r="A908" s="8"/>
      <c r="B908" s="9"/>
      <c r="C908" s="16"/>
    </row>
    <row r="909" spans="1:3" ht="12.75" customHeight="1" x14ac:dyDescent="0.15">
      <c r="A909" s="8"/>
      <c r="B909" s="9"/>
      <c r="C909" s="16"/>
    </row>
    <row r="910" spans="1:3" ht="12.75" customHeight="1" x14ac:dyDescent="0.15">
      <c r="A910" s="8"/>
      <c r="B910" s="9"/>
      <c r="C910" s="16"/>
    </row>
    <row r="911" spans="1:3" ht="12.75" customHeight="1" x14ac:dyDescent="0.15">
      <c r="A911" s="8"/>
      <c r="B911" s="9"/>
      <c r="C911" s="16"/>
    </row>
    <row r="912" spans="1:3" ht="12.75" customHeight="1" x14ac:dyDescent="0.15">
      <c r="A912" s="8"/>
      <c r="B912" s="9"/>
      <c r="C912" s="16"/>
    </row>
    <row r="913" spans="1:3" ht="12.75" customHeight="1" x14ac:dyDescent="0.15">
      <c r="A913" s="8"/>
      <c r="B913" s="9"/>
      <c r="C913" s="16"/>
    </row>
    <row r="914" spans="1:3" ht="12.75" customHeight="1" x14ac:dyDescent="0.15">
      <c r="A914" s="8"/>
      <c r="B914" s="9"/>
      <c r="C914" s="16"/>
    </row>
    <row r="915" spans="1:3" ht="12.75" customHeight="1" x14ac:dyDescent="0.15">
      <c r="A915" s="8"/>
      <c r="B915" s="9"/>
      <c r="C915" s="16"/>
    </row>
    <row r="916" spans="1:3" ht="12.75" customHeight="1" x14ac:dyDescent="0.15">
      <c r="A916" s="8"/>
      <c r="B916" s="9"/>
      <c r="C916" s="16"/>
    </row>
    <row r="917" spans="1:3" ht="12.75" customHeight="1" x14ac:dyDescent="0.15">
      <c r="A917" s="8"/>
      <c r="B917" s="9"/>
      <c r="C917" s="16"/>
    </row>
    <row r="918" spans="1:3" ht="12.75" customHeight="1" x14ac:dyDescent="0.15">
      <c r="A918" s="8"/>
      <c r="B918" s="9"/>
      <c r="C918" s="16"/>
    </row>
    <row r="919" spans="1:3" ht="12.75" customHeight="1" x14ac:dyDescent="0.15">
      <c r="A919" s="8"/>
      <c r="B919" s="9"/>
      <c r="C919" s="16"/>
    </row>
    <row r="920" spans="1:3" ht="12.75" customHeight="1" x14ac:dyDescent="0.15">
      <c r="A920" s="8"/>
      <c r="B920" s="9"/>
      <c r="C920" s="16"/>
    </row>
    <row r="921" spans="1:3" ht="12.75" customHeight="1" x14ac:dyDescent="0.15">
      <c r="A921" s="8"/>
      <c r="B921" s="9"/>
      <c r="C921" s="16"/>
    </row>
    <row r="922" spans="1:3" ht="12.75" customHeight="1" x14ac:dyDescent="0.15">
      <c r="A922" s="8"/>
      <c r="B922" s="9"/>
      <c r="C922" s="16"/>
    </row>
    <row r="923" spans="1:3" ht="12.75" customHeight="1" x14ac:dyDescent="0.15">
      <c r="A923" s="8"/>
      <c r="B923" s="9"/>
      <c r="C923" s="16"/>
    </row>
    <row r="924" spans="1:3" ht="12.75" customHeight="1" x14ac:dyDescent="0.15">
      <c r="A924" s="8"/>
      <c r="B924" s="9"/>
      <c r="C924" s="16"/>
    </row>
    <row r="925" spans="1:3" ht="12.75" customHeight="1" x14ac:dyDescent="0.15">
      <c r="A925" s="8"/>
      <c r="B925" s="9"/>
      <c r="C925" s="16"/>
    </row>
    <row r="926" spans="1:3" ht="12.75" customHeight="1" x14ac:dyDescent="0.15">
      <c r="A926" s="8"/>
      <c r="B926" s="9"/>
      <c r="C926" s="16"/>
    </row>
    <row r="927" spans="1:3" ht="12.75" customHeight="1" x14ac:dyDescent="0.15">
      <c r="A927" s="8"/>
      <c r="B927" s="9"/>
      <c r="C927" s="16"/>
    </row>
    <row r="928" spans="1:3" ht="12.75" customHeight="1" x14ac:dyDescent="0.15">
      <c r="A928" s="8"/>
      <c r="B928" s="9"/>
      <c r="C928" s="16"/>
    </row>
    <row r="929" spans="1:3" ht="12.75" customHeight="1" x14ac:dyDescent="0.15">
      <c r="A929" s="8"/>
      <c r="B929" s="9"/>
      <c r="C929" s="16"/>
    </row>
    <row r="930" spans="1:3" ht="12.75" customHeight="1" x14ac:dyDescent="0.15">
      <c r="A930" s="8"/>
      <c r="B930" s="9"/>
      <c r="C930" s="16"/>
    </row>
    <row r="931" spans="1:3" ht="12.75" customHeight="1" x14ac:dyDescent="0.15">
      <c r="A931" s="8"/>
      <c r="B931" s="9"/>
      <c r="C931" s="16"/>
    </row>
    <row r="932" spans="1:3" ht="12.75" customHeight="1" x14ac:dyDescent="0.15">
      <c r="A932" s="8"/>
      <c r="B932" s="9"/>
      <c r="C932" s="16"/>
    </row>
    <row r="933" spans="1:3" ht="12.75" customHeight="1" x14ac:dyDescent="0.15">
      <c r="A933" s="8"/>
      <c r="B933" s="9"/>
      <c r="C933" s="16"/>
    </row>
    <row r="934" spans="1:3" ht="12.75" customHeight="1" x14ac:dyDescent="0.15">
      <c r="A934" s="8"/>
      <c r="B934" s="9"/>
      <c r="C934" s="16"/>
    </row>
    <row r="935" spans="1:3" ht="12.75" customHeight="1" x14ac:dyDescent="0.15">
      <c r="A935" s="8"/>
      <c r="B935" s="9"/>
      <c r="C935" s="16"/>
    </row>
    <row r="936" spans="1:3" ht="12.75" customHeight="1" x14ac:dyDescent="0.15">
      <c r="A936" s="8"/>
      <c r="B936" s="9"/>
      <c r="C936" s="16"/>
    </row>
    <row r="937" spans="1:3" ht="12.75" customHeight="1" x14ac:dyDescent="0.15">
      <c r="A937" s="8"/>
      <c r="B937" s="9"/>
      <c r="C937" s="16"/>
    </row>
    <row r="938" spans="1:3" ht="12.75" customHeight="1" x14ac:dyDescent="0.15">
      <c r="A938" s="8"/>
      <c r="B938" s="9"/>
      <c r="C938" s="16"/>
    </row>
    <row r="939" spans="1:3" ht="12.75" customHeight="1" x14ac:dyDescent="0.15">
      <c r="A939" s="8"/>
      <c r="B939" s="9"/>
      <c r="C939" s="16"/>
    </row>
    <row r="940" spans="1:3" ht="12.75" customHeight="1" x14ac:dyDescent="0.15">
      <c r="A940" s="8"/>
      <c r="B940" s="9"/>
      <c r="C940" s="16"/>
    </row>
    <row r="941" spans="1:3" ht="12.75" customHeight="1" x14ac:dyDescent="0.15">
      <c r="A941" s="8"/>
      <c r="B941" s="9"/>
      <c r="C941" s="16"/>
    </row>
    <row r="942" spans="1:3" ht="12.75" customHeight="1" x14ac:dyDescent="0.15">
      <c r="A942" s="8"/>
      <c r="B942" s="9"/>
      <c r="C942" s="16"/>
    </row>
    <row r="943" spans="1:3" ht="12.75" customHeight="1" x14ac:dyDescent="0.15">
      <c r="A943" s="8"/>
      <c r="B943" s="9"/>
      <c r="C943" s="16"/>
    </row>
    <row r="944" spans="1:3" ht="12.75" customHeight="1" x14ac:dyDescent="0.15">
      <c r="A944" s="8"/>
      <c r="B944" s="9"/>
      <c r="C944" s="16"/>
    </row>
    <row r="945" spans="1:3" ht="12.75" customHeight="1" x14ac:dyDescent="0.15">
      <c r="A945" s="8"/>
      <c r="B945" s="9"/>
      <c r="C945" s="16"/>
    </row>
    <row r="946" spans="1:3" ht="12.75" customHeight="1" x14ac:dyDescent="0.15">
      <c r="A946" s="8"/>
      <c r="B946" s="9"/>
      <c r="C946" s="16"/>
    </row>
    <row r="947" spans="1:3" ht="12.75" customHeight="1" x14ac:dyDescent="0.15">
      <c r="A947" s="8"/>
      <c r="B947" s="9"/>
      <c r="C947" s="16"/>
    </row>
    <row r="948" spans="1:3" ht="12.75" customHeight="1" x14ac:dyDescent="0.15">
      <c r="A948" s="8"/>
      <c r="B948" s="9"/>
      <c r="C948" s="16"/>
    </row>
    <row r="949" spans="1:3" ht="12.75" customHeight="1" x14ac:dyDescent="0.15">
      <c r="A949" s="8"/>
      <c r="B949" s="9"/>
      <c r="C949" s="16"/>
    </row>
    <row r="950" spans="1:3" ht="12.75" customHeight="1" x14ac:dyDescent="0.15">
      <c r="A950" s="8"/>
      <c r="B950" s="9"/>
      <c r="C950" s="16"/>
    </row>
    <row r="951" spans="1:3" ht="12.75" customHeight="1" x14ac:dyDescent="0.15">
      <c r="A951" s="8"/>
      <c r="B951" s="9"/>
      <c r="C951" s="16"/>
    </row>
    <row r="952" spans="1:3" ht="12.75" customHeight="1" x14ac:dyDescent="0.15">
      <c r="A952" s="8"/>
      <c r="B952" s="9"/>
      <c r="C952" s="16"/>
    </row>
    <row r="953" spans="1:3" ht="12.75" customHeight="1" x14ac:dyDescent="0.15">
      <c r="A953" s="8"/>
      <c r="B953" s="9"/>
      <c r="C953" s="16"/>
    </row>
    <row r="954" spans="1:3" ht="12.75" customHeight="1" x14ac:dyDescent="0.15">
      <c r="A954" s="8"/>
      <c r="B954" s="9"/>
      <c r="C954" s="16"/>
    </row>
    <row r="955" spans="1:3" ht="12.75" customHeight="1" x14ac:dyDescent="0.15">
      <c r="A955" s="8"/>
      <c r="B955" s="9"/>
      <c r="C955" s="16"/>
    </row>
    <row r="956" spans="1:3" ht="12.75" customHeight="1" x14ac:dyDescent="0.15">
      <c r="A956" s="8"/>
      <c r="B956" s="9"/>
      <c r="C956" s="16"/>
    </row>
    <row r="957" spans="1:3" ht="12.75" customHeight="1" x14ac:dyDescent="0.15">
      <c r="A957" s="8"/>
      <c r="B957" s="9"/>
      <c r="C957" s="16"/>
    </row>
    <row r="958" spans="1:3" ht="12.75" customHeight="1" x14ac:dyDescent="0.15">
      <c r="A958" s="8"/>
      <c r="B958" s="9"/>
      <c r="C958" s="16"/>
    </row>
    <row r="959" spans="1:3" ht="12.75" customHeight="1" x14ac:dyDescent="0.15">
      <c r="A959" s="8"/>
      <c r="B959" s="9"/>
      <c r="C959" s="16"/>
    </row>
    <row r="960" spans="1:3" ht="12.75" customHeight="1" x14ac:dyDescent="0.15">
      <c r="A960" s="8"/>
      <c r="B960" s="9"/>
      <c r="C960" s="16"/>
    </row>
    <row r="961" spans="1:3" ht="12.75" customHeight="1" x14ac:dyDescent="0.15">
      <c r="A961" s="8"/>
      <c r="B961" s="9"/>
      <c r="C961" s="16"/>
    </row>
    <row r="962" spans="1:3" ht="12.75" customHeight="1" x14ac:dyDescent="0.15">
      <c r="A962" s="8"/>
      <c r="B962" s="9"/>
      <c r="C962" s="16"/>
    </row>
    <row r="963" spans="1:3" ht="12.75" customHeight="1" x14ac:dyDescent="0.15">
      <c r="A963" s="8"/>
      <c r="B963" s="9"/>
      <c r="C963" s="16"/>
    </row>
    <row r="964" spans="1:3" ht="12.75" customHeight="1" x14ac:dyDescent="0.15">
      <c r="A964" s="8"/>
      <c r="B964" s="9"/>
      <c r="C964" s="16"/>
    </row>
    <row r="965" spans="1:3" ht="12.75" customHeight="1" x14ac:dyDescent="0.15">
      <c r="A965" s="8"/>
      <c r="B965" s="9"/>
      <c r="C965" s="16"/>
    </row>
    <row r="966" spans="1:3" ht="12.75" customHeight="1" x14ac:dyDescent="0.15">
      <c r="A966" s="8"/>
      <c r="B966" s="9"/>
      <c r="C966" s="16"/>
    </row>
    <row r="967" spans="1:3" ht="12.75" customHeight="1" x14ac:dyDescent="0.15">
      <c r="A967" s="8"/>
      <c r="B967" s="9"/>
      <c r="C967" s="16"/>
    </row>
    <row r="968" spans="1:3" ht="12.75" customHeight="1" x14ac:dyDescent="0.15">
      <c r="A968" s="8"/>
      <c r="B968" s="9"/>
      <c r="C968" s="16"/>
    </row>
    <row r="969" spans="1:3" ht="12.75" customHeight="1" x14ac:dyDescent="0.15">
      <c r="A969" s="8"/>
      <c r="B969" s="9"/>
      <c r="C969" s="16"/>
    </row>
    <row r="970" spans="1:3" ht="12.75" customHeight="1" x14ac:dyDescent="0.15">
      <c r="A970" s="8"/>
      <c r="B970" s="9"/>
      <c r="C970" s="16"/>
    </row>
    <row r="971" spans="1:3" ht="12.75" customHeight="1" x14ac:dyDescent="0.15">
      <c r="A971" s="8"/>
      <c r="B971" s="9"/>
      <c r="C971" s="16"/>
    </row>
    <row r="972" spans="1:3" ht="12.75" customHeight="1" x14ac:dyDescent="0.15">
      <c r="A972" s="8"/>
      <c r="B972" s="9"/>
      <c r="C972" s="16"/>
    </row>
    <row r="973" spans="1:3" ht="12.75" customHeight="1" x14ac:dyDescent="0.15">
      <c r="A973" s="8"/>
      <c r="B973" s="9"/>
      <c r="C973" s="16"/>
    </row>
    <row r="974" spans="1:3" ht="12.75" customHeight="1" x14ac:dyDescent="0.15">
      <c r="A974" s="8"/>
      <c r="B974" s="9"/>
      <c r="C974" s="16"/>
    </row>
    <row r="975" spans="1:3" ht="12.75" customHeight="1" x14ac:dyDescent="0.15">
      <c r="A975" s="8"/>
      <c r="B975" s="9"/>
      <c r="C975" s="16"/>
    </row>
    <row r="976" spans="1:3" ht="12.75" customHeight="1" x14ac:dyDescent="0.15">
      <c r="A976" s="8"/>
      <c r="B976" s="9"/>
      <c r="C976" s="16"/>
    </row>
    <row r="977" spans="1:3" ht="12.75" customHeight="1" x14ac:dyDescent="0.15">
      <c r="A977" s="8"/>
      <c r="B977" s="9"/>
      <c r="C977" s="16"/>
    </row>
    <row r="978" spans="1:3" ht="12.75" customHeight="1" x14ac:dyDescent="0.15">
      <c r="A978" s="8"/>
      <c r="B978" s="9"/>
      <c r="C978" s="16"/>
    </row>
    <row r="979" spans="1:3" ht="12.75" customHeight="1" x14ac:dyDescent="0.15">
      <c r="A979" s="8"/>
      <c r="B979" s="9"/>
      <c r="C979" s="16"/>
    </row>
    <row r="980" spans="1:3" ht="12.75" customHeight="1" x14ac:dyDescent="0.15">
      <c r="A980" s="8"/>
      <c r="B980" s="9"/>
      <c r="C980" s="16"/>
    </row>
    <row r="981" spans="1:3" ht="12.75" customHeight="1" x14ac:dyDescent="0.15">
      <c r="A981" s="8"/>
      <c r="B981" s="9"/>
      <c r="C981" s="16"/>
    </row>
    <row r="982" spans="1:3" ht="12.75" customHeight="1" x14ac:dyDescent="0.15">
      <c r="A982" s="8"/>
      <c r="B982" s="9"/>
      <c r="C982" s="16"/>
    </row>
    <row r="983" spans="1:3" ht="12.75" customHeight="1" x14ac:dyDescent="0.15">
      <c r="A983" s="8"/>
      <c r="B983" s="9"/>
      <c r="C983" s="16"/>
    </row>
    <row r="984" spans="1:3" ht="12.75" customHeight="1" x14ac:dyDescent="0.15">
      <c r="A984" s="8"/>
      <c r="B984" s="9"/>
      <c r="C984" s="16"/>
    </row>
    <row r="985" spans="1:3" ht="12.75" customHeight="1" x14ac:dyDescent="0.15">
      <c r="A985" s="8"/>
      <c r="B985" s="9"/>
      <c r="C985" s="16"/>
    </row>
    <row r="986" spans="1:3" ht="12.75" customHeight="1" x14ac:dyDescent="0.15">
      <c r="A986" s="8"/>
      <c r="B986" s="9"/>
      <c r="C986" s="16"/>
    </row>
    <row r="987" spans="1:3" ht="12.75" customHeight="1" x14ac:dyDescent="0.15">
      <c r="A987" s="8"/>
      <c r="B987" s="9"/>
      <c r="C987" s="16"/>
    </row>
    <row r="988" spans="1:3" ht="12.75" customHeight="1" x14ac:dyDescent="0.15">
      <c r="A988" s="8"/>
      <c r="B988" s="9"/>
      <c r="C988" s="16"/>
    </row>
    <row r="989" spans="1:3" ht="12.75" customHeight="1" x14ac:dyDescent="0.15">
      <c r="A989" s="8"/>
      <c r="B989" s="9"/>
      <c r="C989" s="16"/>
    </row>
    <row r="990" spans="1:3" ht="12.75" customHeight="1" x14ac:dyDescent="0.15">
      <c r="A990" s="8"/>
      <c r="B990" s="9"/>
      <c r="C990" s="16"/>
    </row>
    <row r="991" spans="1:3" ht="12.75" customHeight="1" x14ac:dyDescent="0.15">
      <c r="A991" s="8"/>
      <c r="B991" s="9"/>
      <c r="C991" s="16"/>
    </row>
    <row r="992" spans="1:3" ht="12.75" customHeight="1" x14ac:dyDescent="0.15">
      <c r="A992" s="8"/>
      <c r="B992" s="9"/>
      <c r="C992" s="16"/>
    </row>
    <row r="993" spans="1:3" ht="12.75" customHeight="1" x14ac:dyDescent="0.15">
      <c r="A993" s="8"/>
      <c r="B993" s="9"/>
      <c r="C993" s="16"/>
    </row>
    <row r="994" spans="1:3" ht="12.75" customHeight="1" x14ac:dyDescent="0.15">
      <c r="A994" s="8"/>
      <c r="B994" s="9"/>
      <c r="C994" s="16"/>
    </row>
    <row r="995" spans="1:3" ht="12.75" customHeight="1" x14ac:dyDescent="0.15">
      <c r="A995" s="8"/>
      <c r="B995" s="9"/>
      <c r="C995" s="16"/>
    </row>
    <row r="996" spans="1:3" ht="12.75" customHeight="1" x14ac:dyDescent="0.15">
      <c r="A996" s="8"/>
      <c r="B996" s="9"/>
      <c r="C996" s="16"/>
    </row>
    <row r="997" spans="1:3" ht="12.75" customHeight="1" x14ac:dyDescent="0.15">
      <c r="A997" s="8"/>
      <c r="B997" s="9"/>
      <c r="C997" s="16"/>
    </row>
    <row r="998" spans="1:3" ht="12.75" customHeight="1" x14ac:dyDescent="0.15">
      <c r="A998" s="8"/>
      <c r="B998" s="9"/>
      <c r="C998" s="16"/>
    </row>
    <row r="999" spans="1:3" ht="12.75" customHeight="1" x14ac:dyDescent="0.15">
      <c r="A999" s="8"/>
      <c r="B999" s="9"/>
      <c r="C999" s="16"/>
    </row>
    <row r="1000" spans="1:3" ht="12.75" customHeight="1" x14ac:dyDescent="0.15">
      <c r="A1000" s="8"/>
      <c r="B1000" s="9"/>
      <c r="C1000" s="16"/>
    </row>
    <row r="1001" spans="1:3" ht="12.75" customHeight="1" x14ac:dyDescent="0.15">
      <c r="A1001" s="8"/>
      <c r="B1001" s="9"/>
      <c r="C1001" s="16"/>
    </row>
    <row r="1002" spans="1:3" ht="12.75" customHeight="1" x14ac:dyDescent="0.15">
      <c r="A1002" s="8"/>
      <c r="B1002" s="9"/>
      <c r="C1002" s="16"/>
    </row>
    <row r="1003" spans="1:3" ht="12.75" customHeight="1" x14ac:dyDescent="0.15">
      <c r="A1003" s="8"/>
      <c r="B1003" s="9"/>
      <c r="C1003" s="16"/>
    </row>
    <row r="1004" spans="1:3" ht="12.75" customHeight="1" x14ac:dyDescent="0.15">
      <c r="A1004" s="8"/>
      <c r="B1004" s="9"/>
      <c r="C1004" s="16"/>
    </row>
    <row r="1005" spans="1:3" ht="12.75" customHeight="1" x14ac:dyDescent="0.15">
      <c r="C1005" s="16"/>
    </row>
    <row r="1006" spans="1:3" ht="12.75" customHeight="1" x14ac:dyDescent="0.15">
      <c r="C1006" s="16"/>
    </row>
    <row r="1007" spans="1:3" ht="12.75" customHeight="1" x14ac:dyDescent="0.15">
      <c r="C1007" s="16"/>
    </row>
    <row r="1008" spans="1:3" ht="12.75" customHeight="1" x14ac:dyDescent="0.15">
      <c r="C1008" s="16"/>
    </row>
    <row r="1009" spans="3:3" ht="12.75" customHeight="1" x14ac:dyDescent="0.15">
      <c r="C1009" s="16"/>
    </row>
    <row r="1010" spans="3:3" ht="12.75" customHeight="1" x14ac:dyDescent="0.15">
      <c r="C1010" s="16"/>
    </row>
    <row r="1011" spans="3:3" ht="12.75" customHeight="1" x14ac:dyDescent="0.15">
      <c r="C1011" s="16"/>
    </row>
    <row r="1012" spans="3:3" ht="12.75" customHeight="1" x14ac:dyDescent="0.15">
      <c r="C1012" s="16"/>
    </row>
    <row r="1013" spans="3:3" ht="12.75" customHeight="1" x14ac:dyDescent="0.15">
      <c r="C1013" s="16"/>
    </row>
    <row r="1014" spans="3:3" ht="12.75" customHeight="1" x14ac:dyDescent="0.15">
      <c r="C1014" s="16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>
      <selection sqref="A1:H1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71" t="s">
        <v>205</v>
      </c>
      <c r="B1" s="66"/>
      <c r="C1" s="66"/>
      <c r="D1" s="66"/>
      <c r="E1" s="66"/>
      <c r="F1" s="66"/>
      <c r="G1" s="66"/>
      <c r="H1" s="66"/>
      <c r="J1" s="24" t="s">
        <v>155</v>
      </c>
    </row>
    <row r="2" spans="1:10" ht="15.75" customHeight="1" x14ac:dyDescent="0.15">
      <c r="A2" s="25" t="s">
        <v>0</v>
      </c>
      <c r="B2" s="25" t="s">
        <v>156</v>
      </c>
      <c r="C2" s="25" t="s">
        <v>157</v>
      </c>
      <c r="D2" s="25" t="s">
        <v>158</v>
      </c>
      <c r="E2" s="25" t="s">
        <v>159</v>
      </c>
      <c r="F2" s="25" t="s">
        <v>160</v>
      </c>
      <c r="G2" s="25" t="s">
        <v>161</v>
      </c>
      <c r="H2" s="25" t="s">
        <v>162</v>
      </c>
      <c r="J2" s="26" t="s">
        <v>163</v>
      </c>
    </row>
    <row r="3" spans="1:10" ht="15.75" customHeight="1" x14ac:dyDescent="0.2">
      <c r="A3" s="27" t="s">
        <v>11</v>
      </c>
      <c r="B3" s="28">
        <f>COUNTIF('Train Automation System'!$A$2:$A$71, A3)</f>
        <v>2</v>
      </c>
      <c r="C3" s="28">
        <f>SUMIF('Human Grading'!$A$2:$A$71, $A3, 'Human Grading'!$C$2:$C$71)</f>
        <v>2</v>
      </c>
      <c r="D3" s="28">
        <f>SUMIF('Human Grading'!$A$72:$A$78, $A3, 'Human Grading'!$C$72:$C$78)</f>
        <v>0</v>
      </c>
      <c r="E3" s="28">
        <f>COUNTIFS('Human Grading'!$A$2:$A$71, $A3, 'Human Grading'!$C$2:$C$71,0)</f>
        <v>0</v>
      </c>
      <c r="F3" s="28">
        <f t="shared" ref="F3:F10" si="0">IFERROR(C3 / (C3 + D3), "Not Available")</f>
        <v>1</v>
      </c>
      <c r="G3" s="28">
        <f t="shared" ref="G3:G10" si="1">IFERROR(C3 / B3, "Not Available")</f>
        <v>1</v>
      </c>
      <c r="H3" s="28">
        <f t="shared" ref="H3:H10" si="2">IFERROR(2*((F3*G3)/(F3+G3)),"Not Available")</f>
        <v>1</v>
      </c>
      <c r="J3" s="23"/>
    </row>
    <row r="4" spans="1:10" ht="15.75" customHeight="1" x14ac:dyDescent="0.15">
      <c r="A4" s="29" t="s">
        <v>4</v>
      </c>
      <c r="B4" s="28">
        <f>COUNTIF('Train Automation System'!$A$2:$A$71, A4)</f>
        <v>17</v>
      </c>
      <c r="C4" s="28">
        <f>SUMIF('Human Grading'!$A$2:$A$71, $A4, 'Human Grading'!$C$2:$C$71)</f>
        <v>10</v>
      </c>
      <c r="D4" s="28">
        <f>SUMIF('Human Grading'!$A$72:$A$78, $A4, 'Human Grading'!$C$72:$C$78)</f>
        <v>0</v>
      </c>
      <c r="E4" s="28">
        <f>COUNTIFS('Human Grading'!$A$2:$A$71, $A4, 'Human Grading'!$C$2:$C$71,0)</f>
        <v>5</v>
      </c>
      <c r="F4" s="28">
        <f t="shared" si="0"/>
        <v>1</v>
      </c>
      <c r="G4" s="28">
        <f t="shared" si="1"/>
        <v>0.58823529411764708</v>
      </c>
      <c r="H4" s="28">
        <f t="shared" si="2"/>
        <v>0.7407407407407407</v>
      </c>
      <c r="J4" s="24" t="s">
        <v>164</v>
      </c>
    </row>
    <row r="5" spans="1:10" ht="15.75" customHeight="1" x14ac:dyDescent="0.15">
      <c r="A5" s="29" t="s">
        <v>7</v>
      </c>
      <c r="B5" s="28">
        <f>COUNTIF('Train Automation System'!$A$2:$A$71, A5)</f>
        <v>20</v>
      </c>
      <c r="C5" s="28">
        <f>SUMIF('Human Grading'!$A$2:$A$71, $A5, 'Human Grading'!$C$2:$C$71)</f>
        <v>10</v>
      </c>
      <c r="D5" s="28">
        <f>SUMIF('Human Grading'!$A$72:$A$78, $A5, 'Human Grading'!$C$72:$C$78)</f>
        <v>0</v>
      </c>
      <c r="E5" s="28">
        <f>COUNTIFS('Human Grading'!$A$2:$A$71, $A5, 'Human Grading'!$C$2:$C$71,0)</f>
        <v>6</v>
      </c>
      <c r="F5" s="28">
        <f t="shared" si="0"/>
        <v>1</v>
      </c>
      <c r="G5" s="28">
        <f t="shared" si="1"/>
        <v>0.5</v>
      </c>
      <c r="H5" s="28">
        <f t="shared" si="2"/>
        <v>0.66666666666666663</v>
      </c>
      <c r="J5" s="26" t="s">
        <v>165</v>
      </c>
    </row>
    <row r="6" spans="1:10" ht="15.75" customHeight="1" x14ac:dyDescent="0.15">
      <c r="A6" s="29" t="s">
        <v>9</v>
      </c>
      <c r="B6" s="28">
        <f>COUNTIF('Train Automation System'!$A$2:$A$71, A6)</f>
        <v>12</v>
      </c>
      <c r="C6" s="28">
        <f>SUMIF('Human Grading'!$A$2:$A$71, $A6, 'Human Grading'!$C$2:$C$71)</f>
        <v>8.5</v>
      </c>
      <c r="D6" s="28">
        <f>SUMIF('Human Grading'!$A$72:$A$78, $A6, 'Human Grading'!$C$72:$C$78)</f>
        <v>0</v>
      </c>
      <c r="E6" s="28">
        <f>COUNTIFS('Human Grading'!$A$2:$A$71, $A6, 'Human Grading'!$C$2:$C$71,0)</f>
        <v>3</v>
      </c>
      <c r="F6" s="28">
        <f t="shared" si="0"/>
        <v>1</v>
      </c>
      <c r="G6" s="28">
        <f t="shared" si="1"/>
        <v>0.70833333333333337</v>
      </c>
      <c r="H6" s="28">
        <f t="shared" si="2"/>
        <v>0.82926829268292679</v>
      </c>
    </row>
    <row r="7" spans="1:10" ht="15.75" customHeight="1" x14ac:dyDescent="0.15">
      <c r="A7" s="29" t="s">
        <v>13</v>
      </c>
      <c r="B7" s="28">
        <f>COUNTIF('Train Automation System'!$A$2:$A$71, A7)</f>
        <v>4</v>
      </c>
      <c r="C7" s="28">
        <f>SUMIF('Human Grading'!$A$2:$A$71, $A7, 'Human Grading'!$C$2:$C$71)</f>
        <v>4</v>
      </c>
      <c r="D7" s="28">
        <f>SUMIF('Human Grading'!$A$72:$A$78, $A7, 'Human Grading'!$C$72:$C$78)</f>
        <v>0</v>
      </c>
      <c r="E7" s="28">
        <f>COUNTIFS('Human Grading'!$A$2:$A$71, $A7, 'Human Grading'!$C$2:$C$71,0)</f>
        <v>0</v>
      </c>
      <c r="F7" s="28">
        <f t="shared" si="0"/>
        <v>1</v>
      </c>
      <c r="G7" s="28">
        <f t="shared" si="1"/>
        <v>1</v>
      </c>
      <c r="H7" s="28">
        <f t="shared" si="2"/>
        <v>1</v>
      </c>
    </row>
    <row r="8" spans="1:10" ht="15.75" customHeight="1" x14ac:dyDescent="0.15">
      <c r="A8" s="29" t="s">
        <v>42</v>
      </c>
      <c r="B8" s="28">
        <f>COUNTIF('Train Automation System'!$A$2:$A$71, A8)</f>
        <v>1</v>
      </c>
      <c r="C8" s="28">
        <f>SUMIF('Human Grading'!$A$2:$A$71, $A8, 'Human Grading'!$C$2:$C$71)</f>
        <v>0</v>
      </c>
      <c r="D8" s="28">
        <f>SUMIF('Human Grading'!$A$72:$A$78, $A8, 'Human Grading'!$C$72:$C$78)</f>
        <v>0</v>
      </c>
      <c r="E8" s="28">
        <f>COUNTIFS('Human Grading'!$A$2:$A$71, $A8, 'Human Grading'!$C$2:$C$71,0)</f>
        <v>1</v>
      </c>
      <c r="F8" s="28" t="str">
        <f t="shared" si="0"/>
        <v>Not Available</v>
      </c>
      <c r="G8" s="28">
        <f t="shared" si="1"/>
        <v>0</v>
      </c>
      <c r="H8" s="28" t="str">
        <f t="shared" si="2"/>
        <v>Not Available</v>
      </c>
    </row>
    <row r="9" spans="1:10" ht="15.75" customHeight="1" x14ac:dyDescent="0.15">
      <c r="A9" s="29" t="s">
        <v>21</v>
      </c>
      <c r="B9" s="28">
        <f>COUNTIF('Train Automation System'!$A$2:$A$71, A9)</f>
        <v>14</v>
      </c>
      <c r="C9" s="28">
        <f>SUMIF('Human Grading'!$A$2:$A$71, $A9, 'Human Grading'!$C$2:$C$71)</f>
        <v>7.5</v>
      </c>
      <c r="D9" s="28">
        <f>SUMIF('Human Grading'!$A$72:$A$78, $A9, 'Human Grading'!$C$72:$C$78)</f>
        <v>0</v>
      </c>
      <c r="E9" s="28">
        <f>COUNTIFS('Human Grading'!$A$2:$A$71, $A9, 'Human Grading'!$C$2:$C$71,0)</f>
        <v>5</v>
      </c>
      <c r="F9" s="28">
        <f t="shared" si="0"/>
        <v>1</v>
      </c>
      <c r="G9" s="28">
        <f t="shared" si="1"/>
        <v>0.5357142857142857</v>
      </c>
      <c r="H9" s="28">
        <f t="shared" si="2"/>
        <v>0.69767441860465118</v>
      </c>
    </row>
    <row r="10" spans="1:10" ht="15.75" customHeight="1" x14ac:dyDescent="0.15">
      <c r="A10" s="29" t="s">
        <v>166</v>
      </c>
      <c r="B10" s="28">
        <f t="shared" ref="B10:E10" si="3">SUM(B3:B9)</f>
        <v>70</v>
      </c>
      <c r="C10" s="28">
        <f t="shared" si="3"/>
        <v>42</v>
      </c>
      <c r="D10" s="28">
        <f t="shared" si="3"/>
        <v>0</v>
      </c>
      <c r="E10" s="28">
        <f t="shared" si="3"/>
        <v>20</v>
      </c>
      <c r="F10" s="28">
        <f t="shared" si="0"/>
        <v>1</v>
      </c>
      <c r="G10" s="28">
        <f t="shared" si="1"/>
        <v>0.6</v>
      </c>
      <c r="H10" s="28">
        <f t="shared" si="2"/>
        <v>0.74999999999999989</v>
      </c>
    </row>
    <row r="11" spans="1:10" ht="15.75" customHeight="1" x14ac:dyDescent="0.15">
      <c r="A11" s="23"/>
      <c r="B11" s="23"/>
      <c r="C11" s="23"/>
      <c r="D11" s="23"/>
      <c r="E11" s="23"/>
      <c r="F11" s="23"/>
      <c r="G11" s="23"/>
      <c r="H11" s="23"/>
    </row>
    <row r="12" spans="1:10" ht="15.75" customHeight="1" x14ac:dyDescent="0.15">
      <c r="A12" s="71" t="s">
        <v>204</v>
      </c>
      <c r="B12" s="66"/>
      <c r="C12" s="66"/>
      <c r="D12" s="66"/>
      <c r="E12" s="66"/>
      <c r="F12" s="66"/>
      <c r="G12" s="66"/>
      <c r="H12" s="66"/>
    </row>
    <row r="13" spans="1:10" ht="15.75" customHeight="1" x14ac:dyDescent="0.15">
      <c r="A13" s="25" t="s">
        <v>0</v>
      </c>
      <c r="B13" s="25" t="s">
        <v>156</v>
      </c>
      <c r="C13" s="25" t="s">
        <v>157</v>
      </c>
      <c r="D13" s="25" t="s">
        <v>158</v>
      </c>
      <c r="E13" s="25" t="s">
        <v>159</v>
      </c>
      <c r="F13" s="25" t="s">
        <v>160</v>
      </c>
      <c r="G13" s="25" t="s">
        <v>161</v>
      </c>
      <c r="H13" s="25" t="s">
        <v>162</v>
      </c>
    </row>
    <row r="14" spans="1:10" ht="15.75" customHeight="1" x14ac:dyDescent="0.2">
      <c r="A14" s="27" t="s">
        <v>167</v>
      </c>
      <c r="B14" s="28">
        <f>COUNTIF('Train Automation System'!$A$2:$A$71, A14)</f>
        <v>2</v>
      </c>
      <c r="C14" s="28">
        <f>SUMIF('LLM Grading'!$A$2:$A$71, $A14, 'LLM Grading'!$C$2:$C$71)</f>
        <v>1</v>
      </c>
      <c r="D14" s="28">
        <f>SUMIF('LLM Grading'!$A$72:$A$78, $A14, 'LLM Grading'!$C$72:$C$78)</f>
        <v>0</v>
      </c>
      <c r="E14" s="28">
        <f>COUNTIFS('LLM Grading'!$A$2:$A$71, $A14, 'LLM Grading'!$C$2:$C$71,0)</f>
        <v>1</v>
      </c>
      <c r="F14" s="28">
        <f t="shared" ref="F14:F21" si="4">IFERROR(C14 / (C14 + D14), "Not Available")</f>
        <v>1</v>
      </c>
      <c r="G14" s="28">
        <f t="shared" ref="G14:G21" si="5">IFERROR(C14 / B14, "Not Available")</f>
        <v>0.5</v>
      </c>
      <c r="H14" s="28">
        <f t="shared" ref="H14:H21" si="6">IFERROR(2*((F14*G14)/(F14+G14)),"Not Available")</f>
        <v>0.66666666666666663</v>
      </c>
    </row>
    <row r="15" spans="1:10" ht="15.75" customHeight="1" x14ac:dyDescent="0.15">
      <c r="A15" s="29" t="s">
        <v>4</v>
      </c>
      <c r="B15" s="28">
        <f>COUNTIF('Train Automation System'!$A$2:$A$71, A15)</f>
        <v>17</v>
      </c>
      <c r="C15" s="28">
        <f>SUMIF('LLM Grading'!$A$2:$A$71, $A15, 'LLM Grading'!$C$2:$C$71)</f>
        <v>8.5</v>
      </c>
      <c r="D15" s="28">
        <f>SUMIF('LLM Grading'!$A$72:$A$78, $A15, 'LLM Grading'!$C$72:$C$78)</f>
        <v>2</v>
      </c>
      <c r="E15" s="28">
        <f>COUNTIFS('LLM Grading'!$A$2:$A$71, $A15, 'LLM Grading'!$C$2:$C$71,0)</f>
        <v>8</v>
      </c>
      <c r="F15" s="28">
        <f t="shared" si="4"/>
        <v>0.80952380952380953</v>
      </c>
      <c r="G15" s="28">
        <f t="shared" si="5"/>
        <v>0.5</v>
      </c>
      <c r="H15" s="28">
        <f t="shared" si="6"/>
        <v>0.61818181818181817</v>
      </c>
    </row>
    <row r="16" spans="1:10" ht="15.75" customHeight="1" x14ac:dyDescent="0.15">
      <c r="A16" s="29" t="s">
        <v>7</v>
      </c>
      <c r="B16" s="28">
        <f>COUNTIF('Train Automation System'!$A$2:$A$71, A16)</f>
        <v>20</v>
      </c>
      <c r="C16" s="28">
        <f>SUMIF('LLM Grading'!$A$2:$A$71, $A16, 'LLM Grading'!$C$2:$C$71)</f>
        <v>10</v>
      </c>
      <c r="D16" s="28">
        <f>SUMIF('LLM Grading'!$A$72:$A$78, $A16, 'LLM Grading'!$C$72:$C$78)</f>
        <v>0</v>
      </c>
      <c r="E16" s="28">
        <f>COUNTIFS('LLM Grading'!$A$2:$A$71, $A16, 'LLM Grading'!$C$2:$C$71,0)</f>
        <v>6</v>
      </c>
      <c r="F16" s="28">
        <f t="shared" si="4"/>
        <v>1</v>
      </c>
      <c r="G16" s="28">
        <f t="shared" si="5"/>
        <v>0.5</v>
      </c>
      <c r="H16" s="28">
        <f t="shared" si="6"/>
        <v>0.66666666666666663</v>
      </c>
    </row>
    <row r="17" spans="1:8" ht="15.75" customHeight="1" x14ac:dyDescent="0.15">
      <c r="A17" s="29" t="s">
        <v>9</v>
      </c>
      <c r="B17" s="28">
        <f>COUNTIF('Train Automation System'!$A$2:$A$71, A17)</f>
        <v>12</v>
      </c>
      <c r="C17" s="28">
        <f>SUMIF('LLM Grading'!$A$2:$A$71, $A17, 'LLM Grading'!$C$2:$C$71)</f>
        <v>3</v>
      </c>
      <c r="D17" s="28">
        <f>SUMIF('LLM Grading'!$A$72:$A$78, $A17, 'LLM Grading'!$C$72:$C$78)</f>
        <v>1</v>
      </c>
      <c r="E17" s="28">
        <f>COUNTIFS('LLM Grading'!$A$2:$A$71, $A17, 'LLM Grading'!$C$2:$C$71,0)</f>
        <v>4</v>
      </c>
      <c r="F17" s="28">
        <f t="shared" si="4"/>
        <v>0.75</v>
      </c>
      <c r="G17" s="28">
        <f t="shared" si="5"/>
        <v>0.25</v>
      </c>
      <c r="H17" s="28">
        <f t="shared" si="6"/>
        <v>0.375</v>
      </c>
    </row>
    <row r="18" spans="1:8" ht="15.75" customHeight="1" x14ac:dyDescent="0.15">
      <c r="A18" s="29" t="s">
        <v>13</v>
      </c>
      <c r="B18" s="28">
        <f>COUNTIF('Train Automation System'!$A$2:$A$71, A18)</f>
        <v>4</v>
      </c>
      <c r="C18" s="28">
        <f>SUMIF('LLM Grading'!$A$2:$A$71, $A18, 'LLM Grading'!$C$2:$C$71)</f>
        <v>4</v>
      </c>
      <c r="D18" s="28">
        <f>SUMIF('LLM Grading'!$A$72:$A$78, $A18, 'LLM Grading'!$C$72:$C$78)</f>
        <v>0</v>
      </c>
      <c r="E18" s="28">
        <f>COUNTIFS('LLM Grading'!$A$2:$A$71, $A18, 'LLM Grading'!$C$2:$C$71,0)</f>
        <v>0</v>
      </c>
      <c r="F18" s="28">
        <f t="shared" si="4"/>
        <v>1</v>
      </c>
      <c r="G18" s="28">
        <f t="shared" si="5"/>
        <v>1</v>
      </c>
      <c r="H18" s="28">
        <f t="shared" si="6"/>
        <v>1</v>
      </c>
    </row>
    <row r="19" spans="1:8" ht="15.75" customHeight="1" x14ac:dyDescent="0.15">
      <c r="A19" s="29" t="s">
        <v>42</v>
      </c>
      <c r="B19" s="28">
        <f>COUNTIF('Train Automation System'!$A$2:$A$71, A19)</f>
        <v>1</v>
      </c>
      <c r="C19" s="28">
        <f>SUMIF('LLM Grading'!$A$2:$A$71, $A19, 'LLM Grading'!$C$2:$C$71)</f>
        <v>0</v>
      </c>
      <c r="D19" s="28">
        <f>SUMIF('LLM Grading'!$A$72:$A$78, $A19, 'LLM Grading'!$C$72:$C$78)</f>
        <v>0</v>
      </c>
      <c r="E19" s="28">
        <f>COUNTIFS('LLM Grading'!$A$2:$A$71, $A19, 'LLM Grading'!$C$2:$C$71,0)</f>
        <v>1</v>
      </c>
      <c r="F19" s="28" t="str">
        <f t="shared" si="4"/>
        <v>Not Available</v>
      </c>
      <c r="G19" s="28">
        <f t="shared" si="5"/>
        <v>0</v>
      </c>
      <c r="H19" s="28" t="str">
        <f t="shared" si="6"/>
        <v>Not Available</v>
      </c>
    </row>
    <row r="20" spans="1:8" ht="15.75" customHeight="1" x14ac:dyDescent="0.15">
      <c r="A20" s="29" t="s">
        <v>21</v>
      </c>
      <c r="B20" s="28">
        <f>COUNTIF('Train Automation System'!$A$2:$A$71, A20)</f>
        <v>14</v>
      </c>
      <c r="C20" s="28">
        <f>SUMIF('LLM Grading'!$A$2:$A$71, $A20, 'LLM Grading'!$C$2:$C$71)</f>
        <v>6</v>
      </c>
      <c r="D20" s="28">
        <f>SUMIF('LLM Grading'!$A$72:$A$78, $A20, 'LLM Grading'!$C$72:$C$78)</f>
        <v>0</v>
      </c>
      <c r="E20" s="28">
        <f>COUNTIFS('LLM Grading'!$A$2:$A$71, $A20, 'LLM Grading'!$C$2:$C$71,0)</f>
        <v>8</v>
      </c>
      <c r="F20" s="28">
        <f t="shared" si="4"/>
        <v>1</v>
      </c>
      <c r="G20" s="28">
        <f t="shared" si="5"/>
        <v>0.42857142857142855</v>
      </c>
      <c r="H20" s="28">
        <f t="shared" si="6"/>
        <v>0.6</v>
      </c>
    </row>
    <row r="21" spans="1:8" ht="15.75" customHeight="1" x14ac:dyDescent="0.15">
      <c r="A21" s="29" t="s">
        <v>166</v>
      </c>
      <c r="B21" s="30">
        <f t="shared" ref="B21:E21" si="7">SUM(B14:B20)</f>
        <v>70</v>
      </c>
      <c r="C21" s="30">
        <f t="shared" si="7"/>
        <v>32.5</v>
      </c>
      <c r="D21" s="30">
        <f t="shared" si="7"/>
        <v>3</v>
      </c>
      <c r="E21" s="30">
        <f t="shared" si="7"/>
        <v>28</v>
      </c>
      <c r="F21" s="28">
        <f t="shared" si="4"/>
        <v>0.91549295774647887</v>
      </c>
      <c r="G21" s="28">
        <f t="shared" si="5"/>
        <v>0.4642857142857143</v>
      </c>
      <c r="H21" s="31">
        <f t="shared" si="6"/>
        <v>0.61611374407582942</v>
      </c>
    </row>
    <row r="22" spans="1:8" ht="15.75" customHeight="1" x14ac:dyDescent="0.15">
      <c r="H22" s="32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1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3" max="13" width="11.6640625" customWidth="1"/>
    <col min="14" max="14" width="53.1640625" customWidth="1"/>
    <col min="15" max="15" width="7.5" customWidth="1"/>
    <col min="16" max="16" width="56.1640625" customWidth="1"/>
  </cols>
  <sheetData>
    <row r="1" spans="1:14" ht="15.75" customHeight="1" x14ac:dyDescent="0.15">
      <c r="A1" s="33" t="s">
        <v>0</v>
      </c>
      <c r="B1" s="34" t="s">
        <v>1</v>
      </c>
      <c r="C1" s="10" t="s">
        <v>206</v>
      </c>
      <c r="D1" s="10" t="s">
        <v>207</v>
      </c>
      <c r="E1" s="23"/>
      <c r="F1" s="67" t="s">
        <v>168</v>
      </c>
      <c r="G1" s="68"/>
      <c r="H1" s="68"/>
      <c r="I1" s="68"/>
      <c r="J1" s="23"/>
      <c r="K1" s="23"/>
      <c r="L1" s="69" t="s">
        <v>169</v>
      </c>
      <c r="M1" s="70"/>
      <c r="N1" s="70"/>
    </row>
    <row r="2" spans="1:14" ht="15.75" customHeight="1" x14ac:dyDescent="0.15">
      <c r="A2" s="35" t="str">
        <f>'Human Grading'!A2</f>
        <v>State</v>
      </c>
      <c r="B2" s="35" t="str">
        <f>'Human Grading'!B2</f>
        <v>Initial state (→ Scheduled)</v>
      </c>
      <c r="C2" s="35">
        <f>'Human Grading'!C2</f>
        <v>0</v>
      </c>
      <c r="D2" s="35">
        <f>'LLM Grading'!C2</f>
        <v>0</v>
      </c>
      <c r="E2" s="23"/>
      <c r="F2" s="16" t="s">
        <v>170</v>
      </c>
      <c r="G2" s="36" t="s">
        <v>171</v>
      </c>
      <c r="H2" s="37" t="s">
        <v>172</v>
      </c>
      <c r="I2" s="38" t="s">
        <v>173</v>
      </c>
      <c r="J2" s="39" t="s">
        <v>174</v>
      </c>
      <c r="K2" s="23"/>
      <c r="L2" s="40" t="s">
        <v>175</v>
      </c>
      <c r="M2" s="40" t="s">
        <v>176</v>
      </c>
      <c r="N2" s="40" t="s">
        <v>177</v>
      </c>
    </row>
    <row r="3" spans="1:14" ht="15.75" customHeight="1" x14ac:dyDescent="0.15">
      <c r="A3" s="41" t="str">
        <f>'Human Grading'!A3</f>
        <v>State</v>
      </c>
      <c r="B3" s="41" t="str">
        <f>'Human Grading'!B3</f>
        <v>Scheduled</v>
      </c>
      <c r="C3" s="41">
        <f>'Human Grading'!C3</f>
        <v>0</v>
      </c>
      <c r="D3" s="41">
        <f>'LLM Grading'!C3</f>
        <v>0</v>
      </c>
      <c r="E3" s="23"/>
      <c r="F3" s="42">
        <v>0</v>
      </c>
      <c r="G3" s="43">
        <f>COUNTIFS($C$2:$C$115, $F3, $D$2:$D$115, G$2)</f>
        <v>17</v>
      </c>
      <c r="H3" s="44">
        <f>COUNTIFS($C$2:$C$71, $F3, $D$2:$D$71, H$2)</f>
        <v>4</v>
      </c>
      <c r="I3" s="45">
        <f>COUNTIFS($C$2:$C$71, $F3, $D$2:$D$71, I$2)+MAX(D72-C72,0)+MAX(D73-C73,0)+MAX(D74-C74,0)+MAX(D75-C75,0)+MAX(D76-C76,0)+MAX(D77-C77,0)+MAX(D78-C78,0)</f>
        <v>7</v>
      </c>
      <c r="J3" s="16">
        <f t="shared" ref="J3:J5" si="0">SUM(G3:I3)</f>
        <v>28</v>
      </c>
      <c r="K3" s="23"/>
      <c r="L3" s="40" t="s">
        <v>178</v>
      </c>
      <c r="M3" s="43">
        <f>(G3+H4+I5)/COUNTA($C$2:$C$125)</f>
        <v>0.4935064935064935</v>
      </c>
      <c r="N3" s="45" t="s">
        <v>179</v>
      </c>
    </row>
    <row r="4" spans="1:14" ht="15.75" customHeight="1" x14ac:dyDescent="0.15">
      <c r="A4" s="35" t="str">
        <f>'Human Grading'!A4</f>
        <v>Transition</v>
      </c>
      <c r="B4" s="35" t="str">
        <f>'Human Grading'!B4</f>
        <v>at beginningStopDuration (Scheduled ⇒ Active)</v>
      </c>
      <c r="C4" s="35">
        <f>'Human Grading'!C4</f>
        <v>1</v>
      </c>
      <c r="D4" s="35">
        <f>'LLM Grading'!C4</f>
        <v>0.5</v>
      </c>
      <c r="E4" s="23"/>
      <c r="F4" s="42">
        <v>0.5</v>
      </c>
      <c r="G4" s="46">
        <f t="shared" ref="G4:I4" si="1">COUNTIFS($C$2:$C$71, $F4, $D$2:$D$71, G$2)</f>
        <v>7</v>
      </c>
      <c r="H4" s="16">
        <f t="shared" si="1"/>
        <v>2</v>
      </c>
      <c r="I4" s="47">
        <f t="shared" si="1"/>
        <v>7</v>
      </c>
      <c r="J4" s="16">
        <f t="shared" si="0"/>
        <v>16</v>
      </c>
      <c r="K4" s="23"/>
      <c r="L4" s="40" t="s">
        <v>180</v>
      </c>
      <c r="M4" s="46">
        <f t="array" ref="M4">SUMPRODUCT(J3:J5/COUNTA($C$2:$C$125), TRANSPOSE(G6:I6)/COUNTA($C$2:$C$125))</f>
        <v>0.37949063923089893</v>
      </c>
      <c r="N4" s="47" t="s">
        <v>181</v>
      </c>
    </row>
    <row r="5" spans="1:14" ht="15.75" customHeight="1" x14ac:dyDescent="0.15">
      <c r="A5" s="41" t="str">
        <f>'Human Grading'!A5</f>
        <v>Action</v>
      </c>
      <c r="B5" s="41" t="str">
        <f>'Human Grading'!B5</f>
        <v>pOn; setCS;</v>
      </c>
      <c r="C5" s="41">
        <f>'Human Grading'!C5</f>
        <v>1</v>
      </c>
      <c r="D5" s="41">
        <f>'LLM Grading'!C5</f>
        <v>1</v>
      </c>
      <c r="E5" s="23"/>
      <c r="F5" s="42">
        <v>1</v>
      </c>
      <c r="G5" s="48">
        <f>COUNTIFS($C$2:$C$71, $F5, $D$2:$D$71, G$2)+MAX(C72-D72,0)+MAX(C73-D73,0)+MAX(C74-D74,0)+MAX(C75-D75,0)+MAX(C76-D76,0)+MAX(C77-D77,0)+MAX(C78-D78,0)</f>
        <v>10</v>
      </c>
      <c r="H5" s="49">
        <f>COUNTIFS($C$2:$C$71, $F5, $D$2:$D$71, H$2)</f>
        <v>5</v>
      </c>
      <c r="I5" s="50">
        <f>COUNTIFS($C$2:$C$71, $F5, $D$2:$D$71, I$2)+ SUM(MIN(C72,D72), MIN(C73,D73), MIN(C74,D74), MIN(C75,D75), MIN(C76,D76), MIN(C77,D77), MIN(C78,D78))</f>
        <v>19</v>
      </c>
      <c r="J5" s="16">
        <f t="shared" si="0"/>
        <v>34</v>
      </c>
      <c r="K5" s="23"/>
      <c r="L5" s="40" t="s">
        <v>169</v>
      </c>
      <c r="M5" s="48">
        <f>(M3-M4)/(1-M4)</f>
        <v>0.18374558303886931</v>
      </c>
      <c r="N5" s="50" t="s">
        <v>182</v>
      </c>
    </row>
    <row r="6" spans="1:14" ht="15.75" customHeight="1" x14ac:dyDescent="0.15">
      <c r="A6" s="35" t="str">
        <f>'Human Grading'!A6</f>
        <v>Composite State</v>
      </c>
      <c r="B6" s="35" t="str">
        <f>'Human Grading'!B6</f>
        <v>Active</v>
      </c>
      <c r="C6" s="35">
        <f>'Human Grading'!C6</f>
        <v>1</v>
      </c>
      <c r="D6" s="35">
        <f>'LLM Grading'!C6</f>
        <v>1</v>
      </c>
      <c r="E6" s="23"/>
      <c r="F6" s="51" t="s">
        <v>183</v>
      </c>
      <c r="G6" s="16">
        <f t="shared" ref="G6:I6" si="2">SUM(G3:G5)</f>
        <v>34</v>
      </c>
      <c r="H6" s="16">
        <f t="shared" si="2"/>
        <v>11</v>
      </c>
      <c r="I6" s="16">
        <f t="shared" si="2"/>
        <v>33</v>
      </c>
      <c r="J6" s="23"/>
      <c r="K6" s="23"/>
      <c r="L6" s="23"/>
      <c r="M6" s="23"/>
      <c r="N6" s="23"/>
    </row>
    <row r="7" spans="1:14" ht="15.75" customHeight="1" x14ac:dyDescent="0.15">
      <c r="A7" s="41" t="str">
        <f>'Human Grading'!A7</f>
        <v>Region</v>
      </c>
      <c r="B7" s="41" t="str">
        <f>'Human Grading'!B7</f>
        <v>TrainControl</v>
      </c>
      <c r="C7" s="41">
        <f>'Human Grading'!C7</f>
        <v>1</v>
      </c>
      <c r="D7" s="41">
        <f>'LLM Grading'!C7</f>
        <v>1</v>
      </c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 ht="15.75" customHeight="1" x14ac:dyDescent="0.15">
      <c r="A8" s="35" t="str">
        <f>'Human Grading'!A8</f>
        <v>Composite State</v>
      </c>
      <c r="B8" s="35" t="str">
        <f>'Human Grading'!B8</f>
        <v>TrainMovement</v>
      </c>
      <c r="C8" s="35">
        <f>'Human Grading'!C8</f>
        <v>1</v>
      </c>
      <c r="D8" s="35">
        <f>'LLM Grading'!C8</f>
        <v>0</v>
      </c>
      <c r="E8" s="23"/>
      <c r="F8" s="67" t="s">
        <v>184</v>
      </c>
      <c r="G8" s="68"/>
      <c r="H8" s="68"/>
      <c r="I8" s="68"/>
      <c r="J8" s="23"/>
      <c r="K8" s="23"/>
      <c r="L8" s="69" t="s">
        <v>185</v>
      </c>
      <c r="M8" s="70"/>
      <c r="N8" s="70"/>
    </row>
    <row r="9" spans="1:14" ht="15.75" customHeight="1" x14ac:dyDescent="0.15">
      <c r="A9" s="41" t="str">
        <f>'Human Grading'!A9</f>
        <v>State</v>
      </c>
      <c r="B9" s="41" t="str">
        <f>'Human Grading'!B9</f>
        <v>Initial state (TrainMovement → AtStation)</v>
      </c>
      <c r="C9" s="41">
        <f>'Human Grading'!C9</f>
        <v>1</v>
      </c>
      <c r="D9" s="41">
        <f>'LLM Grading'!C9</f>
        <v>0</v>
      </c>
      <c r="E9" s="23"/>
      <c r="F9" s="16" t="s">
        <v>4</v>
      </c>
      <c r="G9" s="52" t="s">
        <v>171</v>
      </c>
      <c r="H9" s="52" t="s">
        <v>172</v>
      </c>
      <c r="I9" s="52" t="s">
        <v>173</v>
      </c>
      <c r="J9" s="53" t="s">
        <v>174</v>
      </c>
      <c r="K9" s="23"/>
      <c r="L9" s="40" t="s">
        <v>175</v>
      </c>
      <c r="M9" s="40" t="s">
        <v>176</v>
      </c>
      <c r="N9" s="40" t="s">
        <v>177</v>
      </c>
    </row>
    <row r="10" spans="1:14" ht="15.75" customHeight="1" x14ac:dyDescent="0.15">
      <c r="A10" s="35" t="str">
        <f>'Human Grading'!A10</f>
        <v>State</v>
      </c>
      <c r="B10" s="35" t="str">
        <f>'Human Grading'!B10</f>
        <v>AtStation</v>
      </c>
      <c r="C10" s="35">
        <f>'Human Grading'!C10</f>
        <v>1</v>
      </c>
      <c r="D10" s="35">
        <f>'LLM Grading'!C10</f>
        <v>0.5</v>
      </c>
      <c r="E10" s="23"/>
      <c r="F10" s="42">
        <v>0</v>
      </c>
      <c r="G10" s="43">
        <f t="shared" ref="G10:H10" si="3">COUNTIFS($A$2:$A$115,$F$9,$C$2:$C$115,$F10,$D$2:$D$115,G$9)</f>
        <v>4</v>
      </c>
      <c r="H10" s="44">
        <f t="shared" si="3"/>
        <v>0</v>
      </c>
      <c r="I10" s="45">
        <f>COUNTIFS($A$2:$A$71,$F$9,$C$2:$C$71,$F10,$D$2:$D$71,I$9)+MAX(D72-C72,0)</f>
        <v>3</v>
      </c>
      <c r="J10" s="16">
        <f t="shared" ref="J10:J12" si="4">SUM(G10:I10)</f>
        <v>7</v>
      </c>
      <c r="K10" s="23"/>
      <c r="L10" s="40" t="s">
        <v>178</v>
      </c>
      <c r="M10" s="43">
        <f>(G10+H11+I12)/COUNTIF($A$2:$A$125,F9)</f>
        <v>0.3888888888888889</v>
      </c>
      <c r="N10" s="45" t="s">
        <v>179</v>
      </c>
    </row>
    <row r="11" spans="1:14" ht="15.75" customHeight="1" x14ac:dyDescent="0.15">
      <c r="A11" s="41" t="str">
        <f>'Human Grading'!A11</f>
        <v>Action</v>
      </c>
      <c r="B11" s="41" t="str">
        <f>'Human Grading'!B11</f>
        <v>entry / openDoors()</v>
      </c>
      <c r="C11" s="41">
        <f>'Human Grading'!C11</f>
        <v>1</v>
      </c>
      <c r="D11" s="41">
        <f>'LLM Grading'!C11</f>
        <v>0.5</v>
      </c>
      <c r="E11" s="23"/>
      <c r="F11" s="42">
        <v>0.5</v>
      </c>
      <c r="G11" s="46">
        <f t="shared" ref="G11:I11" si="5">COUNTIFS($A$2:$A$115,$F$9,$C$2:$C$115,$F11,$D$2:$D$115,G$9)</f>
        <v>2</v>
      </c>
      <c r="H11" s="16">
        <f t="shared" si="5"/>
        <v>0</v>
      </c>
      <c r="I11" s="47">
        <f t="shared" si="5"/>
        <v>2</v>
      </c>
      <c r="J11" s="16">
        <f t="shared" si="4"/>
        <v>4</v>
      </c>
      <c r="K11" s="23"/>
      <c r="L11" s="40" t="s">
        <v>180</v>
      </c>
      <c r="M11" s="46">
        <f t="array" ref="M11">SUMPRODUCT(J10:J12/COUNTIF($A$2:$A$125,F9), TRANSPOSE(G13:I13)/COUNTIF($A$2:$A$125,F9))</f>
        <v>0.33333333333333331</v>
      </c>
      <c r="N11" s="47" t="s">
        <v>181</v>
      </c>
    </row>
    <row r="12" spans="1:14" ht="15.75" customHeight="1" x14ac:dyDescent="0.15">
      <c r="A12" s="35" t="str">
        <f>'Human Grading'!A12</f>
        <v>Action</v>
      </c>
      <c r="B12" s="35" t="str">
        <f>'Human Grading'!B12</f>
        <v>exit / closeDoors()</v>
      </c>
      <c r="C12" s="35">
        <f>'Human Grading'!C12</f>
        <v>1</v>
      </c>
      <c r="D12" s="35">
        <f>'LLM Grading'!C12</f>
        <v>0</v>
      </c>
      <c r="E12" s="23"/>
      <c r="F12" s="42">
        <v>1</v>
      </c>
      <c r="G12" s="48">
        <f>COUNTIFS($A$2:$A$71,$F$9,$C$2:$C$71,$F12,$D$2:$D$71,G$9)+MAX(C72-D72,0)</f>
        <v>2</v>
      </c>
      <c r="H12" s="49">
        <f>COUNTIFS($A$2:$A$115,$F$9,$C$2:$C$115,$F12,$D$2:$D$115,H$9)</f>
        <v>1</v>
      </c>
      <c r="I12" s="50">
        <f>COUNTIFS($A$2:$A$71,$F$9,$C$2:$C$71,$F12,$D$2:$D$71,I$9)+MIN(C72-D72)</f>
        <v>3</v>
      </c>
      <c r="J12" s="16">
        <f t="shared" si="4"/>
        <v>6</v>
      </c>
      <c r="K12" s="23"/>
      <c r="L12" s="40" t="s">
        <v>169</v>
      </c>
      <c r="M12" s="48">
        <f>(M10-M11)/(1-M11)</f>
        <v>8.3333333333333356E-2</v>
      </c>
      <c r="N12" s="50" t="s">
        <v>182</v>
      </c>
    </row>
    <row r="13" spans="1:14" ht="15.75" customHeight="1" x14ac:dyDescent="0.15">
      <c r="A13" s="41" t="str">
        <f>'Human Grading'!A13</f>
        <v>Transition</v>
      </c>
      <c r="B13" s="41" t="str">
        <f>'Human Grading'!B13</f>
        <v>after stopDuration (AtStation ⇒ StopNotRequired)</v>
      </c>
      <c r="C13" s="41">
        <f>'Human Grading'!C13</f>
        <v>0</v>
      </c>
      <c r="D13" s="41">
        <f>'LLM Grading'!C13</f>
        <v>0.5</v>
      </c>
      <c r="E13" s="23"/>
      <c r="F13" s="51" t="s">
        <v>183</v>
      </c>
      <c r="G13" s="16">
        <f t="shared" ref="G13:I13" si="6">SUM(G10:G12)</f>
        <v>8</v>
      </c>
      <c r="H13" s="16">
        <f t="shared" si="6"/>
        <v>1</v>
      </c>
      <c r="I13" s="16">
        <f t="shared" si="6"/>
        <v>8</v>
      </c>
      <c r="J13" s="23"/>
      <c r="K13" s="23"/>
      <c r="L13" s="23"/>
      <c r="M13" s="23"/>
      <c r="N13" s="23"/>
    </row>
    <row r="14" spans="1:14" ht="15.75" customHeight="1" x14ac:dyDescent="0.15">
      <c r="A14" s="35" t="str">
        <f>'Human Grading'!A14</f>
        <v>Guard</v>
      </c>
      <c r="B14" s="35" t="str">
        <f>'Human Grading'!B14</f>
        <v>[!isLastStop()]</v>
      </c>
      <c r="C14" s="35">
        <f>'Human Grading'!C14</f>
        <v>0.5</v>
      </c>
      <c r="D14" s="35">
        <f>'LLM Grading'!C14</f>
        <v>1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</row>
    <row r="15" spans="1:14" ht="15.75" customHeight="1" x14ac:dyDescent="0.15">
      <c r="A15" s="41" t="str">
        <f>'Human Grading'!A15</f>
        <v>Transition</v>
      </c>
      <c r="B15" s="41" t="str">
        <f>'Human Grading'!B15</f>
        <v>after stopDuration (AtStation ⇒ Arrived)</v>
      </c>
      <c r="C15" s="41">
        <f>'Human Grading'!C15</f>
        <v>0</v>
      </c>
      <c r="D15" s="41">
        <f>'LLM Grading'!C15</f>
        <v>0.5</v>
      </c>
      <c r="E15" s="23"/>
      <c r="F15" s="67" t="s">
        <v>186</v>
      </c>
      <c r="G15" s="68"/>
      <c r="H15" s="68"/>
      <c r="I15" s="68"/>
      <c r="J15" s="23"/>
      <c r="K15" s="23"/>
      <c r="L15" s="69" t="s">
        <v>187</v>
      </c>
      <c r="M15" s="70"/>
      <c r="N15" s="70"/>
    </row>
    <row r="16" spans="1:14" ht="15.75" customHeight="1" x14ac:dyDescent="0.15">
      <c r="A16" s="35" t="str">
        <f>'Human Grading'!A16</f>
        <v>Guard</v>
      </c>
      <c r="B16" s="35" t="str">
        <f>'Human Grading'!B16</f>
        <v>[isLastStop()]</v>
      </c>
      <c r="C16" s="35">
        <f>'Human Grading'!C16</f>
        <v>0.5</v>
      </c>
      <c r="D16" s="35">
        <f>'LLM Grading'!C16</f>
        <v>1</v>
      </c>
      <c r="E16" s="23"/>
      <c r="F16" s="16" t="s">
        <v>7</v>
      </c>
      <c r="G16" s="52" t="s">
        <v>171</v>
      </c>
      <c r="H16" s="52" t="s">
        <v>172</v>
      </c>
      <c r="I16" s="52" t="s">
        <v>173</v>
      </c>
      <c r="J16" s="53" t="s">
        <v>174</v>
      </c>
      <c r="K16" s="23"/>
      <c r="L16" s="40" t="s">
        <v>175</v>
      </c>
      <c r="M16" s="40" t="s">
        <v>176</v>
      </c>
      <c r="N16" s="40" t="s">
        <v>177</v>
      </c>
    </row>
    <row r="17" spans="1:14" ht="15.75" customHeight="1" x14ac:dyDescent="0.15">
      <c r="A17" s="41" t="str">
        <f>'Human Grading'!A17</f>
        <v>Action</v>
      </c>
      <c r="B17" s="41" t="str">
        <f>'Human Grading'!B17</f>
        <v>pOff;</v>
      </c>
      <c r="C17" s="41">
        <f>'Human Grading'!C17</f>
        <v>1</v>
      </c>
      <c r="D17" s="41">
        <f>'LLM Grading'!C17</f>
        <v>1</v>
      </c>
      <c r="E17" s="23"/>
      <c r="F17" s="42">
        <v>0</v>
      </c>
      <c r="G17" s="43">
        <f t="shared" ref="G17:H17" si="7">COUNTIFS($A$2:$A$115,$F$16,$C$2:$C$115,$F17,$D$2:$D$115,G$16)</f>
        <v>1</v>
      </c>
      <c r="H17" s="44">
        <f t="shared" si="7"/>
        <v>4</v>
      </c>
      <c r="I17" s="45">
        <f>COUNTIFS($A$2:$A$71,$F$16,$C$2:$C$71,$F17,$D$2:$D$71,I$16) + MAX(D73-C73,0)</f>
        <v>2</v>
      </c>
      <c r="J17" s="16">
        <f t="shared" ref="J17:J19" si="8">SUM(G17:I17)</f>
        <v>7</v>
      </c>
      <c r="K17" s="23"/>
      <c r="L17" s="40" t="s">
        <v>178</v>
      </c>
      <c r="M17" s="43">
        <f>(G17+H18+I19)/COUNTIF($A$2:$A$125,F16)</f>
        <v>0.23809523809523808</v>
      </c>
      <c r="N17" s="45" t="s">
        <v>179</v>
      </c>
    </row>
    <row r="18" spans="1:14" ht="15.75" customHeight="1" x14ac:dyDescent="0.15">
      <c r="A18" s="35" t="str">
        <f>'Human Grading'!A18</f>
        <v>State</v>
      </c>
      <c r="B18" s="35" t="str">
        <f>'Human Grading'!B18</f>
        <v>StopNotRequired</v>
      </c>
      <c r="C18" s="35">
        <f>'Human Grading'!C18</f>
        <v>0</v>
      </c>
      <c r="D18" s="35">
        <f>'LLM Grading'!C18</f>
        <v>0</v>
      </c>
      <c r="E18" s="23"/>
      <c r="F18" s="42">
        <v>0.5</v>
      </c>
      <c r="G18" s="46">
        <f t="shared" ref="G18:I18" si="9">COUNTIFS($A$2:$A$115,$F$16,$C$2:$C$115,$F18,$D$2:$D$115,G$16)</f>
        <v>4</v>
      </c>
      <c r="H18" s="16">
        <f t="shared" si="9"/>
        <v>2</v>
      </c>
      <c r="I18" s="47">
        <f t="shared" si="9"/>
        <v>2</v>
      </c>
      <c r="J18" s="16">
        <f t="shared" si="8"/>
        <v>8</v>
      </c>
      <c r="K18" s="23"/>
      <c r="L18" s="40" t="s">
        <v>180</v>
      </c>
      <c r="M18" s="46">
        <f t="array" ref="M18">SUMPRODUCT(J17:J19/COUNTIF($A$2:$A$125,F16), TRANSPOSE(G20:I20)/COUNTIF($A$2:$A$125,F16))</f>
        <v>0.33786848072562353</v>
      </c>
      <c r="N18" s="47" t="s">
        <v>181</v>
      </c>
    </row>
    <row r="19" spans="1:14" ht="15.75" customHeight="1" x14ac:dyDescent="0.15">
      <c r="A19" s="41" t="str">
        <f>'Human Grading'!A19</f>
        <v>Action</v>
      </c>
      <c r="B19" s="41" t="str">
        <f>'Human Grading'!B19</f>
        <v>entry / setSpeed()</v>
      </c>
      <c r="C19" s="41">
        <f>'Human Grading'!C19</f>
        <v>1</v>
      </c>
      <c r="D19" s="41">
        <f>'LLM Grading'!C19</f>
        <v>0.5</v>
      </c>
      <c r="E19" s="23"/>
      <c r="F19" s="42">
        <v>1</v>
      </c>
      <c r="G19" s="48">
        <f>COUNTIFS($A$2:$A$71,$F$16,$C$2:$C$71,$F19,$D$2:$D$71,G$16)+MAX(C73-D73,0)</f>
        <v>2</v>
      </c>
      <c r="H19" s="49">
        <f>COUNTIFS($A$2:$A$115,$F$16,$C$2:$C$115,$F19,$D$2:$D$115,H$16)</f>
        <v>2</v>
      </c>
      <c r="I19" s="50">
        <f>COUNTIFS($A$2:$A$71,$F$16,$C$2:$C$71,$F19,$D$2:$D$71,I$16) + MIN(C73,D73)</f>
        <v>2</v>
      </c>
      <c r="J19" s="16">
        <f t="shared" si="8"/>
        <v>6</v>
      </c>
      <c r="K19" s="23"/>
      <c r="L19" s="40" t="s">
        <v>169</v>
      </c>
      <c r="M19" s="48">
        <f>(M17-M18)/(1-M18)</f>
        <v>-0.15068493150684925</v>
      </c>
      <c r="N19" s="50" t="s">
        <v>182</v>
      </c>
    </row>
    <row r="20" spans="1:14" ht="15.75" customHeight="1" x14ac:dyDescent="0.15">
      <c r="A20" s="35" t="str">
        <f>'Human Grading'!A20</f>
        <v>Transition</v>
      </c>
      <c r="B20" s="35" t="str">
        <f>'Human Grading'!B20</f>
        <v>enteringSegment (StopNotRequired ⇒ StopNotRequired)</v>
      </c>
      <c r="C20" s="35">
        <f>'Human Grading'!C20</f>
        <v>0.5</v>
      </c>
      <c r="D20" s="35">
        <f>'LLM Grading'!C20</f>
        <v>0.5</v>
      </c>
      <c r="E20" s="23"/>
      <c r="F20" s="51" t="s">
        <v>183</v>
      </c>
      <c r="G20" s="16">
        <f t="shared" ref="G20:I20" si="10">SUM(G17:G19)</f>
        <v>7</v>
      </c>
      <c r="H20" s="16">
        <f t="shared" si="10"/>
        <v>8</v>
      </c>
      <c r="I20" s="16">
        <f t="shared" si="10"/>
        <v>6</v>
      </c>
      <c r="J20" s="23"/>
      <c r="K20" s="23"/>
      <c r="L20" s="23"/>
      <c r="M20" s="23"/>
      <c r="N20" s="23"/>
    </row>
    <row r="21" spans="1:14" ht="15.75" customHeight="1" x14ac:dyDescent="0.15">
      <c r="A21" s="41" t="str">
        <f>'Human Grading'!A21</f>
        <v>Guard</v>
      </c>
      <c r="B21" s="41" t="str">
        <f>'Human Grading'!B21</f>
        <v>[isRegularSegment()]</v>
      </c>
      <c r="C21" s="41">
        <f>'Human Grading'!C21</f>
        <v>0</v>
      </c>
      <c r="D21" s="41">
        <f>'LLM Grading'!C21</f>
        <v>1</v>
      </c>
      <c r="E21" s="23"/>
      <c r="F21" s="23"/>
      <c r="G21" s="23"/>
      <c r="H21" s="23"/>
      <c r="I21" s="23"/>
      <c r="J21" s="23"/>
      <c r="K21" s="23"/>
      <c r="L21" s="23"/>
      <c r="M21" s="23"/>
      <c r="N21" s="23"/>
    </row>
    <row r="22" spans="1:14" ht="15.75" customHeight="1" x14ac:dyDescent="0.15">
      <c r="A22" s="35" t="str">
        <f>'Human Grading'!A22</f>
        <v>Transition</v>
      </c>
      <c r="B22" s="35" t="str">
        <f>'Human Grading'!B22</f>
        <v>enteringSegment (StopNotRequired ⇒ ApproachingRedLight)</v>
      </c>
      <c r="C22" s="35">
        <f>'Human Grading'!C22</f>
        <v>0</v>
      </c>
      <c r="D22" s="35">
        <f>'LLM Grading'!C22</f>
        <v>0.5</v>
      </c>
      <c r="E22" s="23"/>
      <c r="F22" s="67" t="s">
        <v>188</v>
      </c>
      <c r="G22" s="68"/>
      <c r="H22" s="68"/>
      <c r="I22" s="68"/>
      <c r="J22" s="23"/>
      <c r="K22" s="23"/>
      <c r="L22" s="69" t="s">
        <v>189</v>
      </c>
      <c r="M22" s="70"/>
      <c r="N22" s="70"/>
    </row>
    <row r="23" spans="1:14" ht="15.75" customHeight="1" x14ac:dyDescent="0.15">
      <c r="A23" s="41" t="str">
        <f>'Human Grading'!A23</f>
        <v>Guard</v>
      </c>
      <c r="B23" s="41" t="str">
        <f>'Human Grading'!B23</f>
        <v>[isTrafficLightSegment() &amp;&amp; isRed()]</v>
      </c>
      <c r="C23" s="41">
        <f>'Human Grading'!C23</f>
        <v>1</v>
      </c>
      <c r="D23" s="41">
        <f>'LLM Grading'!C23</f>
        <v>1</v>
      </c>
      <c r="E23" s="23"/>
      <c r="F23" s="16" t="s">
        <v>11</v>
      </c>
      <c r="G23" s="52" t="s">
        <v>171</v>
      </c>
      <c r="H23" s="52" t="s">
        <v>172</v>
      </c>
      <c r="I23" s="52" t="s">
        <v>173</v>
      </c>
      <c r="J23" s="53" t="s">
        <v>174</v>
      </c>
      <c r="K23" s="23"/>
      <c r="L23" s="40" t="s">
        <v>175</v>
      </c>
      <c r="M23" s="40" t="s">
        <v>176</v>
      </c>
      <c r="N23" s="40" t="s">
        <v>177</v>
      </c>
    </row>
    <row r="24" spans="1:14" ht="15.75" customHeight="1" x14ac:dyDescent="0.15">
      <c r="A24" s="35" t="str">
        <f>'Human Grading'!A24</f>
        <v>Transition</v>
      </c>
      <c r="B24" s="35" t="str">
        <f>'Human Grading'!B24</f>
        <v>enteringSegment (StopNotRequired ⇒ StopNotRequired)</v>
      </c>
      <c r="C24" s="35">
        <f>'Human Grading'!C24</f>
        <v>0.5</v>
      </c>
      <c r="D24" s="35">
        <f>'LLM Grading'!C24</f>
        <v>1</v>
      </c>
      <c r="E24" s="23"/>
      <c r="F24" s="42">
        <v>0</v>
      </c>
      <c r="G24" s="43">
        <f t="shared" ref="G24:H24" si="11">COUNTIFS($A$2:$A$115,$F$23,$C$2:$C$115,$F24,$D$2:$D$115,G$23)</f>
        <v>1</v>
      </c>
      <c r="H24" s="44">
        <f t="shared" si="11"/>
        <v>0</v>
      </c>
      <c r="I24" s="45">
        <f>COUNTIFS($A$2:$A$71,$F$23,$C$2:$C$71,$F24,$D$2:$D$71,I$23) + MAX(D76-C76,0)</f>
        <v>0</v>
      </c>
      <c r="J24" s="16">
        <f t="shared" ref="J24:J26" si="12">SUM(G24:I24)</f>
        <v>1</v>
      </c>
      <c r="K24" s="23"/>
      <c r="L24" s="40" t="s">
        <v>178</v>
      </c>
      <c r="M24" s="43">
        <f>(G24+H25+I26)/COUNTIF($A$2:$A$125,F23)</f>
        <v>0.66666666666666663</v>
      </c>
      <c r="N24" s="45" t="s">
        <v>179</v>
      </c>
    </row>
    <row r="25" spans="1:14" ht="15.75" customHeight="1" x14ac:dyDescent="0.15">
      <c r="A25" s="41" t="str">
        <f>'Human Grading'!A25</f>
        <v>Guard</v>
      </c>
      <c r="B25" s="41" t="str">
        <f>'Human Grading'!B25</f>
        <v>[isTrafficLightSegment() &amp;&amp; !isRed()]</v>
      </c>
      <c r="C25" s="41">
        <f>'Human Grading'!C25</f>
        <v>1</v>
      </c>
      <c r="D25" s="41">
        <f>'LLM Grading'!C25</f>
        <v>1</v>
      </c>
      <c r="E25" s="23"/>
      <c r="F25" s="42">
        <v>0.5</v>
      </c>
      <c r="G25" s="46">
        <f t="shared" ref="G25:I25" si="13">COUNTIFS($A$2:$A$115,$F$23,$C$2:$C$115,$F25,$D$2:$D$115,G$23)</f>
        <v>0</v>
      </c>
      <c r="H25" s="16">
        <f t="shared" si="13"/>
        <v>0</v>
      </c>
      <c r="I25" s="47">
        <f t="shared" si="13"/>
        <v>0</v>
      </c>
      <c r="J25" s="16">
        <f t="shared" si="12"/>
        <v>0</v>
      </c>
      <c r="K25" s="23"/>
      <c r="L25" s="40" t="s">
        <v>180</v>
      </c>
      <c r="M25" s="46">
        <f t="array" ref="M25">SUMPRODUCT(J24:J26/COUNTIF($A$2:$A$125,F23), TRANSPOSE(G27:I27)/COUNTIF($A$2:$A$125,F23))</f>
        <v>0.44444444444444442</v>
      </c>
      <c r="N25" s="47" t="s">
        <v>181</v>
      </c>
    </row>
    <row r="26" spans="1:14" ht="15.75" customHeight="1" x14ac:dyDescent="0.15">
      <c r="A26" s="35" t="str">
        <f>'Human Grading'!A26</f>
        <v>Transition</v>
      </c>
      <c r="B26" s="35" t="str">
        <f>'Human Grading'!B26</f>
        <v>enteringSegment (StopNotRequired ⇒ ApproachingStation)</v>
      </c>
      <c r="C26" s="35">
        <f>'Human Grading'!C26</f>
        <v>1</v>
      </c>
      <c r="D26" s="35">
        <f>'LLM Grading'!C26</f>
        <v>0.5</v>
      </c>
      <c r="E26" s="23"/>
      <c r="F26" s="42">
        <v>1</v>
      </c>
      <c r="G26" s="48">
        <f>COUNTIFS($A$2:$A$71,$F$23,$C$2:$C$71,$F26,$D$2:$D$71,G$23) + MAX(C76-D76,0)</f>
        <v>1</v>
      </c>
      <c r="H26" s="49">
        <f>COUNTIFS($A$2:$A$115,$F$23,$C$2:$C$115,$F26,$D$2:$D$115,H$23)</f>
        <v>0</v>
      </c>
      <c r="I26" s="50">
        <f>COUNTIFS($A$2:$A$71,$F$23,$C$2:$C$71,$F26,$D$2:$D$71,I$23) + MIN(C76,D76)</f>
        <v>1</v>
      </c>
      <c r="J26" s="16">
        <f t="shared" si="12"/>
        <v>2</v>
      </c>
      <c r="K26" s="23"/>
      <c r="L26" s="40" t="s">
        <v>169</v>
      </c>
      <c r="M26" s="48">
        <f>(M24-M25)/(1-M25)</f>
        <v>0.39999999999999997</v>
      </c>
      <c r="N26" s="50" t="s">
        <v>182</v>
      </c>
    </row>
    <row r="27" spans="1:14" ht="15.75" customHeight="1" x14ac:dyDescent="0.15">
      <c r="A27" s="41" t="str">
        <f>'Human Grading'!A27</f>
        <v>Guard</v>
      </c>
      <c r="B27" s="41" t="str">
        <f>'Human Grading'!B27</f>
        <v>[isStationSegment() &amp;&amp; stopRequired()]</v>
      </c>
      <c r="C27" s="41">
        <f>'Human Grading'!C27</f>
        <v>0.5</v>
      </c>
      <c r="D27" s="41">
        <f>'LLM Grading'!C27</f>
        <v>1</v>
      </c>
      <c r="E27" s="23"/>
      <c r="F27" s="51" t="s">
        <v>183</v>
      </c>
      <c r="G27" s="16">
        <f t="shared" ref="G27:I27" si="14">SUM(G24:G26)</f>
        <v>2</v>
      </c>
      <c r="H27" s="16">
        <f t="shared" si="14"/>
        <v>0</v>
      </c>
      <c r="I27" s="16">
        <f t="shared" si="14"/>
        <v>1</v>
      </c>
      <c r="J27" s="23"/>
      <c r="K27" s="23"/>
      <c r="L27" s="23"/>
      <c r="M27" s="23"/>
      <c r="N27" s="23"/>
    </row>
    <row r="28" spans="1:14" ht="15.75" customHeight="1" x14ac:dyDescent="0.15">
      <c r="A28" s="35" t="str">
        <f>'Human Grading'!A28</f>
        <v>State</v>
      </c>
      <c r="B28" s="35" t="str">
        <f>'Human Grading'!B28</f>
        <v>ApproachingRedLight</v>
      </c>
      <c r="C28" s="35">
        <f>'Human Grading'!C28</f>
        <v>0.5</v>
      </c>
      <c r="D28" s="35">
        <f>'LLM Grading'!C28</f>
        <v>1</v>
      </c>
      <c r="E28" s="23"/>
      <c r="F28" s="23"/>
      <c r="G28" s="23"/>
      <c r="H28" s="23"/>
      <c r="I28" s="23"/>
      <c r="J28" s="23"/>
      <c r="K28" s="23"/>
      <c r="L28" s="23"/>
      <c r="M28" s="23"/>
      <c r="N28" s="23"/>
    </row>
    <row r="29" spans="1:14" ht="15.75" customHeight="1" x14ac:dyDescent="0.15">
      <c r="A29" s="41" t="str">
        <f>'Human Grading'!A29</f>
        <v>Action</v>
      </c>
      <c r="B29" s="41" t="str">
        <f>'Human Grading'!B29</f>
        <v>entry / stopAL</v>
      </c>
      <c r="C29" s="41">
        <f>'Human Grading'!C29</f>
        <v>1</v>
      </c>
      <c r="D29" s="41">
        <f>'LLM Grading'!C29</f>
        <v>1</v>
      </c>
      <c r="E29" s="23"/>
      <c r="F29" s="67" t="s">
        <v>190</v>
      </c>
      <c r="G29" s="68"/>
      <c r="H29" s="68"/>
      <c r="I29" s="68"/>
      <c r="J29" s="23"/>
      <c r="K29" s="23"/>
      <c r="L29" s="69" t="s">
        <v>191</v>
      </c>
      <c r="M29" s="70"/>
      <c r="N29" s="70"/>
    </row>
    <row r="30" spans="1:14" ht="15.75" customHeight="1" x14ac:dyDescent="0.15">
      <c r="A30" s="35" t="str">
        <f>'Human Grading'!A30</f>
        <v>Transition</v>
      </c>
      <c r="B30" s="35" t="str">
        <f>'Human Grading'!B30</f>
        <v>stopped (ApproachingRedLight ⇒ AtRedTrafficLight)</v>
      </c>
      <c r="C30" s="35">
        <f>'Human Grading'!C30</f>
        <v>0.5</v>
      </c>
      <c r="D30" s="35">
        <f>'LLM Grading'!C30</f>
        <v>1</v>
      </c>
      <c r="E30" s="23"/>
      <c r="F30" s="16" t="s">
        <v>21</v>
      </c>
      <c r="G30" s="52" t="s">
        <v>171</v>
      </c>
      <c r="H30" s="52" t="s">
        <v>172</v>
      </c>
      <c r="I30" s="52" t="s">
        <v>173</v>
      </c>
      <c r="J30" s="53" t="s">
        <v>174</v>
      </c>
      <c r="K30" s="23"/>
      <c r="L30" s="40" t="s">
        <v>175</v>
      </c>
      <c r="M30" s="40" t="s">
        <v>176</v>
      </c>
      <c r="N30" s="40" t="s">
        <v>177</v>
      </c>
    </row>
    <row r="31" spans="1:14" ht="15.75" customHeight="1" x14ac:dyDescent="0.15">
      <c r="A31" s="41" t="str">
        <f>'Human Grading'!A31</f>
        <v>State</v>
      </c>
      <c r="B31" s="41" t="str">
        <f>'Human Grading'!B31</f>
        <v>AtRedTrafficLight</v>
      </c>
      <c r="C31" s="41">
        <f>'Human Grading'!C31</f>
        <v>1</v>
      </c>
      <c r="D31" s="41">
        <f>'LLM Grading'!C31</f>
        <v>1</v>
      </c>
      <c r="E31" s="23"/>
      <c r="F31" s="42">
        <v>0</v>
      </c>
      <c r="G31" s="43">
        <f t="shared" ref="G31:H31" si="15">COUNTIFS($A$2:$A$115,$F$30,$C$2:$C$115,$F31,$D$2:$D$115,G$30)</f>
        <v>5</v>
      </c>
      <c r="H31" s="44">
        <f t="shared" si="15"/>
        <v>0</v>
      </c>
      <c r="I31" s="45">
        <f>COUNTIFS($A$2:$A$71,$F$30,$C$2:$C$71,$F31,$D$2:$D$71,I$30) + MAX(D74-C74,0)</f>
        <v>1</v>
      </c>
      <c r="J31" s="16">
        <f t="shared" ref="J31:J33" si="16">SUM(G31:I31)</f>
        <v>6</v>
      </c>
      <c r="K31" s="23"/>
      <c r="L31" s="40" t="s">
        <v>178</v>
      </c>
      <c r="M31" s="43">
        <f>(G31+H32+I33)/COUNTIF($A$2:$A$125,F30)</f>
        <v>0.46666666666666667</v>
      </c>
      <c r="N31" s="45" t="s">
        <v>179</v>
      </c>
    </row>
    <row r="32" spans="1:14" ht="15.75" customHeight="1" x14ac:dyDescent="0.15">
      <c r="A32" s="35" t="str">
        <f>'Human Grading'!A32</f>
        <v>Transition</v>
      </c>
      <c r="B32" s="35" t="str">
        <f>'Human Grading'!B32</f>
        <v>green (AtRedTrafficLight ⇒ StopNotRequired)</v>
      </c>
      <c r="C32" s="35">
        <f>'Human Grading'!C32</f>
        <v>0.5</v>
      </c>
      <c r="D32" s="35">
        <f>'LLM Grading'!C32</f>
        <v>0.5</v>
      </c>
      <c r="E32" s="23"/>
      <c r="F32" s="42">
        <v>0.5</v>
      </c>
      <c r="G32" s="46">
        <f t="shared" ref="G32:I32" si="17">COUNTIFS($A$2:$A$115,$F$30,$C$2:$C$115,$F32,$D$2:$D$115,G$30)</f>
        <v>0</v>
      </c>
      <c r="H32" s="16">
        <f t="shared" si="17"/>
        <v>0</v>
      </c>
      <c r="I32" s="47">
        <f t="shared" si="17"/>
        <v>3</v>
      </c>
      <c r="J32" s="16">
        <f t="shared" si="16"/>
        <v>3</v>
      </c>
      <c r="K32" s="23"/>
      <c r="L32" s="40" t="s">
        <v>180</v>
      </c>
      <c r="M32" s="46">
        <f t="array" ref="M32">SUMPRODUCT(J31:J33/COUNTIF($A$2:$A$125,F30), TRANSPOSE(G34:I34)/COUNTIF($A$2:$A$125,F30))</f>
        <v>0.4</v>
      </c>
      <c r="N32" s="47" t="s">
        <v>181</v>
      </c>
    </row>
    <row r="33" spans="1:14" ht="15.75" customHeight="1" x14ac:dyDescent="0.15">
      <c r="A33" s="41" t="str">
        <f>'Human Grading'!A33</f>
        <v>State</v>
      </c>
      <c r="B33" s="41" t="str">
        <f>'Human Grading'!B33</f>
        <v>ApproachingStation</v>
      </c>
      <c r="C33" s="41">
        <f>'Human Grading'!C33</f>
        <v>0.5</v>
      </c>
      <c r="D33" s="41">
        <f>'LLM Grading'!C33</f>
        <v>1</v>
      </c>
      <c r="E33" s="23"/>
      <c r="F33" s="42">
        <v>1</v>
      </c>
      <c r="G33" s="48">
        <f>COUNTIFS($A$2:$A$71,$F$30,$C$2:$C$71,$F33,$D$2:$D$71,G$30) + MAX(C74-D74,0)</f>
        <v>4</v>
      </c>
      <c r="H33" s="49">
        <f>COUNTIFS($A$2:$A$115,$F$30,$C$2:$C$115,$F33,$D$2:$D$115,H$30)</f>
        <v>0</v>
      </c>
      <c r="I33" s="50">
        <f>COUNTIFS($A$2:$A$71,$F$30,$C$2:$C$71,$F33,$D$2:$D$71,I$30) + MIN(C74,D74)</f>
        <v>2</v>
      </c>
      <c r="J33" s="16">
        <f t="shared" si="16"/>
        <v>6</v>
      </c>
      <c r="K33" s="23"/>
      <c r="L33" s="40" t="s">
        <v>169</v>
      </c>
      <c r="M33" s="48">
        <f>(M31-M32)/(1-M32)</f>
        <v>0.11111111111111109</v>
      </c>
      <c r="N33" s="50" t="s">
        <v>182</v>
      </c>
    </row>
    <row r="34" spans="1:14" ht="15.75" customHeight="1" x14ac:dyDescent="0.15">
      <c r="A34" s="35" t="str">
        <f>'Human Grading'!A34</f>
        <v>Action</v>
      </c>
      <c r="B34" s="35" t="str">
        <f>'Human Grading'!B34</f>
        <v>entry / stopAL</v>
      </c>
      <c r="C34" s="35">
        <f>'Human Grading'!C34</f>
        <v>1</v>
      </c>
      <c r="D34" s="35">
        <f>'LLM Grading'!C34</f>
        <v>1</v>
      </c>
      <c r="E34" s="23"/>
      <c r="F34" s="51" t="s">
        <v>183</v>
      </c>
      <c r="G34" s="16">
        <f t="shared" ref="G34:I34" si="18">SUM(G31:G33)</f>
        <v>9</v>
      </c>
      <c r="H34" s="16">
        <f t="shared" si="18"/>
        <v>0</v>
      </c>
      <c r="I34" s="16">
        <f t="shared" si="18"/>
        <v>6</v>
      </c>
      <c r="J34" s="23"/>
      <c r="K34" s="23"/>
      <c r="L34" s="23"/>
      <c r="M34" s="23"/>
      <c r="N34" s="23"/>
    </row>
    <row r="35" spans="1:14" ht="15.75" customHeight="1" x14ac:dyDescent="0.15">
      <c r="A35" s="41" t="str">
        <f>'Human Grading'!A35</f>
        <v>Transition</v>
      </c>
      <c r="B35" s="41" t="str">
        <f>'Human Grading'!B35</f>
        <v>stopped (ApproachingStation ⇒ AtStation)</v>
      </c>
      <c r="C35" s="41">
        <f>'Human Grading'!C35</f>
        <v>0</v>
      </c>
      <c r="D35" s="41">
        <f>'LLM Grading'!C35</f>
        <v>1</v>
      </c>
      <c r="E35" s="23"/>
      <c r="F35" s="23"/>
      <c r="G35" s="23"/>
      <c r="H35" s="23"/>
      <c r="I35" s="23"/>
      <c r="J35" s="23"/>
      <c r="K35" s="23"/>
      <c r="L35" s="23"/>
      <c r="M35" s="23"/>
      <c r="N35" s="23"/>
    </row>
    <row r="36" spans="1:14" ht="15.75" customHeight="1" x14ac:dyDescent="0.15">
      <c r="A36" s="35" t="str">
        <f>'Human Grading'!A36</f>
        <v>History State</v>
      </c>
      <c r="B36" s="35" t="str">
        <f>'Human Grading'!B36</f>
        <v>History State for TrainMovement</v>
      </c>
      <c r="C36" s="35">
        <f>'Human Grading'!C36</f>
        <v>0</v>
      </c>
      <c r="D36" s="35">
        <f>'LLM Grading'!C36</f>
        <v>0</v>
      </c>
      <c r="E36" s="23"/>
      <c r="F36" s="67" t="s">
        <v>192</v>
      </c>
      <c r="G36" s="68"/>
      <c r="H36" s="68"/>
      <c r="I36" s="68"/>
      <c r="J36" s="23"/>
      <c r="K36" s="23"/>
      <c r="L36" s="69" t="s">
        <v>193</v>
      </c>
      <c r="M36" s="70"/>
      <c r="N36" s="70"/>
    </row>
    <row r="37" spans="1:14" ht="15.75" customHeight="1" x14ac:dyDescent="0.15">
      <c r="A37" s="41" t="str">
        <f>'Human Grading'!A37</f>
        <v>State</v>
      </c>
      <c r="B37" s="41" t="str">
        <f>'Human Grading'!B37</f>
        <v>Emergency</v>
      </c>
      <c r="C37" s="41">
        <f>'Human Grading'!C37</f>
        <v>0</v>
      </c>
      <c r="D37" s="41">
        <f>'LLM Grading'!C37</f>
        <v>1</v>
      </c>
      <c r="E37" s="23"/>
      <c r="F37" s="16" t="s">
        <v>9</v>
      </c>
      <c r="G37" s="54" t="s">
        <v>171</v>
      </c>
      <c r="H37" s="54" t="s">
        <v>172</v>
      </c>
      <c r="I37" s="54" t="s">
        <v>173</v>
      </c>
      <c r="J37" s="53" t="s">
        <v>174</v>
      </c>
      <c r="K37" s="23"/>
      <c r="L37" s="40" t="s">
        <v>175</v>
      </c>
      <c r="M37" s="40" t="s">
        <v>176</v>
      </c>
      <c r="N37" s="40" t="s">
        <v>177</v>
      </c>
    </row>
    <row r="38" spans="1:14" ht="15.75" customHeight="1" x14ac:dyDescent="0.15">
      <c r="A38" s="35" t="str">
        <f>'Human Grading'!A38</f>
        <v>Transition</v>
      </c>
      <c r="B38" s="35" t="str">
        <f>'Human Grading'!B38</f>
        <v>emergency (TrainMovement ⇒ Emergency)</v>
      </c>
      <c r="C38" s="35">
        <f>'Human Grading'!C38</f>
        <v>0</v>
      </c>
      <c r="D38" s="35">
        <f>'LLM Grading'!C38</f>
        <v>1</v>
      </c>
      <c r="E38" s="23"/>
      <c r="F38" s="55">
        <v>0</v>
      </c>
      <c r="G38" s="43">
        <f>COUNTIFS($A$2:$A$115,F37,$C$2:$C$115,$F38,$D$2:$D$115,G37)</f>
        <v>3</v>
      </c>
      <c r="H38" s="44">
        <f>COUNTIFS($A$2:$A$115,F37,$C$2:$C$115,$F38,$D$2:$D$115,H37)</f>
        <v>0</v>
      </c>
      <c r="I38" s="45">
        <f>COUNTIFS($A$2:$A$71,F37,$C$2:$C$71,$F38,$D$2:$D$71,I37)+MAX(D75-C75,0)</f>
        <v>1</v>
      </c>
      <c r="J38" s="16">
        <f t="shared" ref="J38:J40" si="19">SUM(G38:I38)</f>
        <v>4</v>
      </c>
      <c r="K38" s="23"/>
      <c r="L38" s="40" t="s">
        <v>178</v>
      </c>
      <c r="M38" s="43">
        <f>(G38+H39+I40)/COUNTIF($A$2:$A$125,F37)</f>
        <v>0.61538461538461542</v>
      </c>
      <c r="N38" s="45" t="s">
        <v>179</v>
      </c>
    </row>
    <row r="39" spans="1:14" ht="15.75" customHeight="1" x14ac:dyDescent="0.15">
      <c r="A39" s="41" t="str">
        <f>'Human Grading'!A39</f>
        <v>Action</v>
      </c>
      <c r="B39" s="41" t="str">
        <f>'Human Grading'!B39</f>
        <v>eStop;</v>
      </c>
      <c r="C39" s="41">
        <f>'Human Grading'!C39</f>
        <v>1</v>
      </c>
      <c r="D39" s="41">
        <f>'LLM Grading'!C39</f>
        <v>1</v>
      </c>
      <c r="E39" s="23"/>
      <c r="F39" s="55">
        <v>0.5</v>
      </c>
      <c r="G39" s="46">
        <f>COUNTIFS($A$2:$A$115,F37,$C$2:$C$115,$F39,$D$2:$D$115,G37)</f>
        <v>1</v>
      </c>
      <c r="H39" s="16">
        <f>COUNTIFS($A$2:$A$115,F37,$C$2:$C$115,$F38,$D$2:$D$115,H37)</f>
        <v>0</v>
      </c>
      <c r="I39" s="47">
        <f>COUNTIFS($A$2:$A$115,F37,$C$2:$C$115,$F39,$D$2:$D$115,I37)</f>
        <v>0</v>
      </c>
      <c r="J39" s="16">
        <f t="shared" si="19"/>
        <v>1</v>
      </c>
      <c r="K39" s="23"/>
      <c r="L39" s="40" t="s">
        <v>180</v>
      </c>
      <c r="M39" s="46">
        <f t="array" ref="M39">SUMPRODUCT(J38:J40/COUNTIF($A$2:$A$125,F37), TRANSPOSE(G41:I41)/COUNTIF($A$2:$A$125,F37))</f>
        <v>0.41420118343195267</v>
      </c>
      <c r="N39" s="47" t="s">
        <v>181</v>
      </c>
    </row>
    <row r="40" spans="1:14" ht="15.75" customHeight="1" x14ac:dyDescent="0.15">
      <c r="A40" s="35" t="str">
        <f>'Human Grading'!A40</f>
        <v>Transition</v>
      </c>
      <c r="B40" s="35" t="str">
        <f>'Human Grading'!B40</f>
        <v>clear (Emergency ⇒ History State)</v>
      </c>
      <c r="C40" s="35">
        <f>'Human Grading'!C40</f>
        <v>0</v>
      </c>
      <c r="D40" s="35">
        <f>'LLM Grading'!C40</f>
        <v>0.5</v>
      </c>
      <c r="E40" s="23"/>
      <c r="F40" s="55">
        <v>1</v>
      </c>
      <c r="G40" s="48">
        <f>COUNTIFS($A$2:$A$71,F37,$C$2:$C$71,$F40,$D$2:$D$71,G37)+MAX(C75-D75,0)</f>
        <v>1</v>
      </c>
      <c r="H40" s="49">
        <f>COUNTIFS($A$2:$A$115,F37,$C$2:$C$115,$F40,$D$2:$D$115,H37)</f>
        <v>2</v>
      </c>
      <c r="I40" s="50">
        <f>COUNTIFS($A$2:$A$71,F37,$C$2:$C$71,$F40,$D$2:$D$71,I37) + MIN(C75,D75)</f>
        <v>5</v>
      </c>
      <c r="J40" s="16">
        <f t="shared" si="19"/>
        <v>8</v>
      </c>
      <c r="K40" s="23"/>
      <c r="L40" s="40" t="s">
        <v>169</v>
      </c>
      <c r="M40" s="48">
        <f>(M38-M39)/(1-M39)</f>
        <v>0.34343434343434348</v>
      </c>
      <c r="N40" s="50" t="s">
        <v>182</v>
      </c>
    </row>
    <row r="41" spans="1:14" ht="15.75" customHeight="1" x14ac:dyDescent="0.15">
      <c r="A41" s="41" t="str">
        <f>'Human Grading'!A41</f>
        <v>Region</v>
      </c>
      <c r="B41" s="41" t="str">
        <f>'Human Grading'!B41</f>
        <v>SDS</v>
      </c>
      <c r="C41" s="41">
        <f>'Human Grading'!C41</f>
        <v>1</v>
      </c>
      <c r="D41" s="41">
        <f>'LLM Grading'!C41</f>
        <v>1</v>
      </c>
      <c r="E41" s="23"/>
      <c r="F41" s="51" t="s">
        <v>183</v>
      </c>
      <c r="G41" s="16">
        <f>SUM(G38:G40)</f>
        <v>5</v>
      </c>
      <c r="H41" s="16">
        <f>SUM(H39:H40)</f>
        <v>2</v>
      </c>
      <c r="I41" s="16">
        <f>SUM(I38:I40)</f>
        <v>6</v>
      </c>
      <c r="J41" s="23"/>
      <c r="K41" s="23"/>
      <c r="L41" s="23"/>
      <c r="M41" s="23"/>
      <c r="N41" s="23"/>
    </row>
    <row r="42" spans="1:14" ht="15.75" customHeight="1" x14ac:dyDescent="0.15">
      <c r="A42" s="35" t="str">
        <f>'Human Grading'!A42</f>
        <v>State</v>
      </c>
      <c r="B42" s="35" t="str">
        <f>'Human Grading'!B42</f>
        <v>Initial state (SDS → SDSActive)</v>
      </c>
      <c r="C42" s="35">
        <f>'Human Grading'!C42</f>
        <v>1</v>
      </c>
      <c r="D42" s="35">
        <f>'LLM Grading'!C42</f>
        <v>1</v>
      </c>
      <c r="E42" s="23"/>
      <c r="F42" s="23"/>
      <c r="G42" s="23"/>
      <c r="H42" s="23"/>
      <c r="I42" s="23"/>
      <c r="J42" s="23"/>
      <c r="K42" s="23"/>
      <c r="L42" s="23"/>
      <c r="M42" s="23"/>
      <c r="N42" s="23"/>
    </row>
    <row r="43" spans="1:14" ht="15.75" customHeight="1" x14ac:dyDescent="0.15">
      <c r="A43" s="41" t="str">
        <f>'Human Grading'!A43</f>
        <v>State</v>
      </c>
      <c r="B43" s="41" t="str">
        <f>'Human Grading'!B43</f>
        <v>SDSActive</v>
      </c>
      <c r="C43" s="41">
        <f>'Human Grading'!C43</f>
        <v>1</v>
      </c>
      <c r="D43" s="41">
        <f>'LLM Grading'!C43</f>
        <v>1</v>
      </c>
      <c r="E43" s="23"/>
      <c r="F43" s="67" t="s">
        <v>194</v>
      </c>
      <c r="G43" s="68"/>
      <c r="H43" s="68"/>
      <c r="I43" s="68"/>
      <c r="J43" s="23"/>
      <c r="K43" s="23"/>
      <c r="L43" s="69" t="s">
        <v>195</v>
      </c>
      <c r="M43" s="70"/>
      <c r="N43" s="70"/>
    </row>
    <row r="44" spans="1:14" ht="15.75" customHeight="1" x14ac:dyDescent="0.15">
      <c r="A44" s="35" t="str">
        <f>'Human Grading'!A44</f>
        <v>Transition</v>
      </c>
      <c r="B44" s="35" t="str">
        <f>'Human Grading'!B44</f>
        <v>after 1 sec (SDSActive ⇒ SDSActive)</v>
      </c>
      <c r="C44" s="35">
        <f>'Human Grading'!C44</f>
        <v>1</v>
      </c>
      <c r="D44" s="35">
        <f>'LLM Grading'!C44</f>
        <v>1</v>
      </c>
      <c r="E44" s="23"/>
      <c r="F44" s="16" t="s">
        <v>42</v>
      </c>
      <c r="G44" s="52" t="s">
        <v>171</v>
      </c>
      <c r="H44" s="52" t="s">
        <v>172</v>
      </c>
      <c r="I44" s="52" t="s">
        <v>173</v>
      </c>
      <c r="J44" s="53" t="s">
        <v>174</v>
      </c>
      <c r="K44" s="23"/>
      <c r="L44" s="40" t="s">
        <v>175</v>
      </c>
      <c r="M44" s="40" t="s">
        <v>176</v>
      </c>
      <c r="N44" s="40" t="s">
        <v>177</v>
      </c>
    </row>
    <row r="45" spans="1:14" ht="15.75" customHeight="1" x14ac:dyDescent="0.15">
      <c r="A45" s="41" t="str">
        <f>'Human Grading'!A45</f>
        <v>Guard</v>
      </c>
      <c r="B45" s="41" t="str">
        <f>'Human Grading'!B45</f>
        <v>[hasSegmentChanged()]</v>
      </c>
      <c r="C45" s="41">
        <f>'Human Grading'!C45</f>
        <v>1</v>
      </c>
      <c r="D45" s="41">
        <f>'LLM Grading'!C45</f>
        <v>0</v>
      </c>
      <c r="E45" s="23"/>
      <c r="F45" s="42">
        <v>0</v>
      </c>
      <c r="G45" s="43">
        <f t="shared" ref="G45:H45" si="20">COUNTIFS($A$2:$A$115,$F$44,$C$2:$C$115,$F45,$D$2:$D$115,G$44)</f>
        <v>2</v>
      </c>
      <c r="H45" s="44">
        <f t="shared" si="20"/>
        <v>0</v>
      </c>
      <c r="I45" s="45">
        <f>COUNTIFS($A$2:$A$71,$F$44,$C$2:$C$71,$F45,$D$2:$D$71,I$44) + MAX(D78-C78,0)</f>
        <v>0</v>
      </c>
      <c r="J45" s="16">
        <f t="shared" ref="J45:J47" si="21">SUM(G45:I45)</f>
        <v>2</v>
      </c>
      <c r="K45" s="23"/>
      <c r="L45" s="40" t="s">
        <v>178</v>
      </c>
      <c r="M45" s="43">
        <f>(G45+H46+I47)/COUNTIF($A$2:$A$125,F44)</f>
        <v>1</v>
      </c>
      <c r="N45" s="45" t="s">
        <v>179</v>
      </c>
    </row>
    <row r="46" spans="1:14" ht="15.75" customHeight="1" x14ac:dyDescent="0.15">
      <c r="A46" s="35" t="str">
        <f>'Human Grading'!A46</f>
        <v>Action</v>
      </c>
      <c r="B46" s="35" t="str">
        <f>'Human Grading'!B46</f>
        <v>setCS; enteringSegment()</v>
      </c>
      <c r="C46" s="35">
        <f>'Human Grading'!C46</f>
        <v>0.5</v>
      </c>
      <c r="D46" s="35">
        <f>'LLM Grading'!C46</f>
        <v>0</v>
      </c>
      <c r="E46" s="23"/>
      <c r="F46" s="42">
        <v>0.5</v>
      </c>
      <c r="G46" s="46">
        <f t="shared" ref="G46:I46" si="22">COUNTIFS($A$2:$A$115,$F$44,$C$2:$C$115,$F46,$D$2:$D$115,G$44)</f>
        <v>0</v>
      </c>
      <c r="H46" s="16">
        <f t="shared" si="22"/>
        <v>0</v>
      </c>
      <c r="I46" s="47">
        <f t="shared" si="22"/>
        <v>0</v>
      </c>
      <c r="J46" s="16">
        <f t="shared" si="21"/>
        <v>0</v>
      </c>
      <c r="K46" s="23"/>
      <c r="L46" s="40" t="s">
        <v>180</v>
      </c>
      <c r="M46" s="46">
        <f t="array" ref="M46">SUMPRODUCT(J45:J47/COUNTIF($A$2:$A$125,F44), TRANSPOSE(G48:I48)/COUNTIF($A$2:$A$125,F44))</f>
        <v>1</v>
      </c>
      <c r="N46" s="47" t="s">
        <v>181</v>
      </c>
    </row>
    <row r="47" spans="1:14" ht="15.75" customHeight="1" x14ac:dyDescent="0.15">
      <c r="A47" s="41" t="str">
        <f>'Human Grading'!A47</f>
        <v>Transition</v>
      </c>
      <c r="B47" s="41" t="str">
        <f>'Human Grading'!B47</f>
        <v>after 1 sec (SDSActive ⇒ SDSActive)</v>
      </c>
      <c r="C47" s="41">
        <f>'Human Grading'!C47</f>
        <v>1</v>
      </c>
      <c r="D47" s="41">
        <f>'LLM Grading'!C47</f>
        <v>0</v>
      </c>
      <c r="E47" s="23"/>
      <c r="F47" s="42">
        <v>1</v>
      </c>
      <c r="G47" s="48">
        <f>COUNTIFS($A$2:$A$71,$F$44,$C$2:$C$71,$F47,$D$2:$D$71,G$44) + MAX(C78-D78,0)</f>
        <v>0</v>
      </c>
      <c r="H47" s="49">
        <f>COUNTIFS($A$2:$A$115,$F$44,$C$2:$C$115,$F47,$D$2:$D$115,H$44)</f>
        <v>0</v>
      </c>
      <c r="I47" s="50">
        <f>COUNTIFS($A$2:$A$71,$F$44,$C$2:$C$71,$F47,$D$2:$D$71,I$44) + MIN(C78,D78)</f>
        <v>0</v>
      </c>
      <c r="J47" s="16">
        <f t="shared" si="21"/>
        <v>0</v>
      </c>
      <c r="K47" s="23"/>
      <c r="L47" s="40" t="s">
        <v>169</v>
      </c>
      <c r="M47" s="48" t="e">
        <f>(M45-M46)/(1-M46)</f>
        <v>#DIV/0!</v>
      </c>
      <c r="N47" s="50" t="s">
        <v>182</v>
      </c>
    </row>
    <row r="48" spans="1:14" ht="15.75" customHeight="1" x14ac:dyDescent="0.15">
      <c r="A48" s="35" t="str">
        <f>'Human Grading'!A48</f>
        <v>Guard</v>
      </c>
      <c r="B48" s="35" t="str">
        <f>'Human Grading'!B48</f>
        <v>[!hasSegmentChanged()]</v>
      </c>
      <c r="C48" s="35">
        <f>'Human Grading'!C48</f>
        <v>1</v>
      </c>
      <c r="D48" s="35">
        <f>'LLM Grading'!C48</f>
        <v>0</v>
      </c>
      <c r="E48" s="23"/>
      <c r="F48" s="51" t="s">
        <v>183</v>
      </c>
      <c r="G48" s="16">
        <f t="shared" ref="G48:I48" si="23">SUM(G45:G47)</f>
        <v>2</v>
      </c>
      <c r="H48" s="16">
        <f t="shared" si="23"/>
        <v>0</v>
      </c>
      <c r="I48" s="16">
        <f t="shared" si="23"/>
        <v>0</v>
      </c>
      <c r="J48" s="23"/>
      <c r="K48" s="23"/>
      <c r="L48" s="23"/>
      <c r="M48" s="23"/>
      <c r="N48" s="23"/>
    </row>
    <row r="49" spans="1:14" ht="15.75" customHeight="1" x14ac:dyDescent="0.15">
      <c r="A49" s="41" t="str">
        <f>'Human Grading'!A49</f>
        <v>Region</v>
      </c>
      <c r="B49" s="41" t="str">
        <f>'Human Grading'!B49</f>
        <v>MDS</v>
      </c>
      <c r="C49" s="41">
        <f>'Human Grading'!C49</f>
        <v>1</v>
      </c>
      <c r="D49" s="41">
        <f>'LLM Grading'!C49</f>
        <v>1</v>
      </c>
      <c r="E49" s="23"/>
      <c r="F49" s="23"/>
      <c r="G49" s="23"/>
      <c r="H49" s="23"/>
      <c r="I49" s="23"/>
      <c r="J49" s="23"/>
      <c r="K49" s="23"/>
      <c r="L49" s="23"/>
      <c r="M49" s="23"/>
      <c r="N49" s="23"/>
    </row>
    <row r="50" spans="1:14" ht="15.75" customHeight="1" x14ac:dyDescent="0.15">
      <c r="A50" s="35" t="str">
        <f>'Human Grading'!A50</f>
        <v>State</v>
      </c>
      <c r="B50" s="35" t="str">
        <f>'Human Grading'!B50</f>
        <v>Initial state (MDS → Stopped)</v>
      </c>
      <c r="C50" s="35">
        <f>'Human Grading'!C50</f>
        <v>0.5</v>
      </c>
      <c r="D50" s="35">
        <f>'LLM Grading'!C50</f>
        <v>0</v>
      </c>
      <c r="E50" s="23"/>
      <c r="F50" s="67" t="s">
        <v>196</v>
      </c>
      <c r="G50" s="68"/>
      <c r="H50" s="68"/>
      <c r="I50" s="68"/>
      <c r="J50" s="23"/>
      <c r="K50" s="23"/>
      <c r="L50" s="69" t="s">
        <v>197</v>
      </c>
      <c r="M50" s="70"/>
      <c r="N50" s="70"/>
    </row>
    <row r="51" spans="1:14" ht="15.75" customHeight="1" x14ac:dyDescent="0.15">
      <c r="A51" s="41" t="str">
        <f>'Human Grading'!A51</f>
        <v>State</v>
      </c>
      <c r="B51" s="41" t="str">
        <f>'Human Grading'!B51</f>
        <v>Stopped</v>
      </c>
      <c r="C51" s="41">
        <f>'Human Grading'!C51</f>
        <v>1</v>
      </c>
      <c r="D51" s="41">
        <f>'LLM Grading'!C51</f>
        <v>0</v>
      </c>
      <c r="E51" s="23"/>
      <c r="F51" s="16" t="s">
        <v>13</v>
      </c>
      <c r="G51" s="52" t="s">
        <v>171</v>
      </c>
      <c r="H51" s="52" t="s">
        <v>172</v>
      </c>
      <c r="I51" s="52" t="s">
        <v>173</v>
      </c>
      <c r="J51" s="53" t="s">
        <v>174</v>
      </c>
      <c r="K51" s="23"/>
      <c r="L51" s="40" t="s">
        <v>175</v>
      </c>
      <c r="M51" s="40" t="s">
        <v>176</v>
      </c>
      <c r="N51" s="40" t="s">
        <v>177</v>
      </c>
    </row>
    <row r="52" spans="1:14" ht="15.75" customHeight="1" x14ac:dyDescent="0.15">
      <c r="A52" s="35" t="str">
        <f>'Human Grading'!A52</f>
        <v>Transition</v>
      </c>
      <c r="B52" s="35" t="str">
        <f>'Human Grading'!B52</f>
        <v>after 1 sec (Stopped ⇒ Moving)</v>
      </c>
      <c r="C52" s="35">
        <f>'Human Grading'!C52</f>
        <v>0.5</v>
      </c>
      <c r="D52" s="35">
        <f>'LLM Grading'!C52</f>
        <v>0</v>
      </c>
      <c r="E52" s="23"/>
      <c r="F52" s="42">
        <v>0</v>
      </c>
      <c r="G52" s="43">
        <f t="shared" ref="G52:H52" si="24">COUNTIFS($A$2:$A$115,$F$51,$C$2:$C$115,$F52,$D$2:$D$115,G$51)</f>
        <v>1</v>
      </c>
      <c r="H52" s="44">
        <f t="shared" si="24"/>
        <v>0</v>
      </c>
      <c r="I52" s="45">
        <f>COUNTIFS($A$2:$A$71,$F$51,$C$2:$C$71,$F52,$D$2:$D$71,I$51)+MAX(D77-C77,0)</f>
        <v>0</v>
      </c>
      <c r="J52" s="16">
        <f t="shared" ref="J52:J54" si="25">SUM(G52:I52)</f>
        <v>1</v>
      </c>
      <c r="K52" s="23"/>
      <c r="L52" s="40" t="s">
        <v>178</v>
      </c>
      <c r="M52" s="43">
        <f>(G52+H53+I54)/COUNTIF($A$2:$A$125,F51)</f>
        <v>1</v>
      </c>
      <c r="N52" s="45" t="s">
        <v>179</v>
      </c>
    </row>
    <row r="53" spans="1:14" ht="15.75" customHeight="1" x14ac:dyDescent="0.15">
      <c r="A53" s="41" t="str">
        <f>'Human Grading'!A53</f>
        <v>Guard</v>
      </c>
      <c r="B53" s="41" t="str">
        <f>'Human Grading'!B53</f>
        <v>[speed &gt; 0]</v>
      </c>
      <c r="C53" s="41">
        <f>'Human Grading'!C53</f>
        <v>0</v>
      </c>
      <c r="D53" s="41">
        <f>'LLM Grading'!C53</f>
        <v>0</v>
      </c>
      <c r="E53" s="23"/>
      <c r="F53" s="42">
        <v>0.5</v>
      </c>
      <c r="G53" s="46">
        <f t="shared" ref="G53:I53" si="26">COUNTIFS($A$2:$A$115,$F$51,$C$2:$C$115,$F53,$D$2:$D$115,G$51)</f>
        <v>0</v>
      </c>
      <c r="H53" s="16">
        <f t="shared" si="26"/>
        <v>0</v>
      </c>
      <c r="I53" s="47">
        <f t="shared" si="26"/>
        <v>0</v>
      </c>
      <c r="J53" s="16">
        <f t="shared" si="25"/>
        <v>0</v>
      </c>
      <c r="K53" s="23"/>
      <c r="L53" s="40" t="s">
        <v>180</v>
      </c>
      <c r="M53" s="46">
        <f t="array" ref="M53">SUMPRODUCT(J52:J54/COUNTIF($A$2:$A$125,F51), TRANSPOSE(G55:I55)/COUNTIF($A$2:$A$125,F51))</f>
        <v>0.68000000000000016</v>
      </c>
      <c r="N53" s="47" t="s">
        <v>181</v>
      </c>
    </row>
    <row r="54" spans="1:14" ht="15.75" customHeight="1" x14ac:dyDescent="0.15">
      <c r="A54" s="35" t="str">
        <f>'Human Grading'!A54</f>
        <v>Transition</v>
      </c>
      <c r="B54" s="35" t="str">
        <f>'Human Grading'!B54</f>
        <v>after 1 sec (Stopped ⇒ Stopped)</v>
      </c>
      <c r="C54" s="35">
        <f>'Human Grading'!C54</f>
        <v>0.5</v>
      </c>
      <c r="D54" s="35">
        <f>'LLM Grading'!C54</f>
        <v>0</v>
      </c>
      <c r="E54" s="23"/>
      <c r="F54" s="42">
        <v>1</v>
      </c>
      <c r="G54" s="48">
        <f>COUNTIFS($A$2:$A$71,$F$51,$C$2:$C$71,$F54,$D$2:$D$71,G$51) + MAX(C77-D77,0)</f>
        <v>0</v>
      </c>
      <c r="H54" s="49">
        <f>COUNTIFS($A$2:$A$115,$F$51,$C$2:$C$115,$F54,$D$2:$D$115,H$51)</f>
        <v>0</v>
      </c>
      <c r="I54" s="50">
        <f>COUNTIFS($A$2:$A$71,$F$51,$C$2:$C$71,$F54,$D$2:$D$71,I$51)+MIN(C77,D77)</f>
        <v>4</v>
      </c>
      <c r="J54" s="16">
        <f t="shared" si="25"/>
        <v>4</v>
      </c>
      <c r="K54" s="23"/>
      <c r="L54" s="40" t="s">
        <v>169</v>
      </c>
      <c r="M54" s="48">
        <f>(M52-M53)/(1-M53)</f>
        <v>1</v>
      </c>
      <c r="N54" s="50" t="s">
        <v>182</v>
      </c>
    </row>
    <row r="55" spans="1:14" ht="15.75" customHeight="1" x14ac:dyDescent="0.15">
      <c r="A55" s="41" t="str">
        <f>'Human Grading'!A55</f>
        <v>Guard</v>
      </c>
      <c r="B55" s="41" t="str">
        <f>'Human Grading'!B55</f>
        <v>[speed == 0]</v>
      </c>
      <c r="C55" s="41">
        <f>'Human Grading'!C55</f>
        <v>0</v>
      </c>
      <c r="D55" s="41">
        <f>'LLM Grading'!C55</f>
        <v>0</v>
      </c>
      <c r="E55" s="23"/>
      <c r="F55" s="51" t="s">
        <v>183</v>
      </c>
      <c r="G55" s="16">
        <f t="shared" ref="G55:I55" si="27">SUM(G52:G54)</f>
        <v>1</v>
      </c>
      <c r="H55" s="16">
        <f t="shared" si="27"/>
        <v>0</v>
      </c>
      <c r="I55" s="16">
        <f t="shared" si="27"/>
        <v>4</v>
      </c>
      <c r="J55" s="23"/>
      <c r="K55" s="23"/>
      <c r="L55" s="23"/>
      <c r="M55" s="23"/>
      <c r="N55" s="23"/>
    </row>
    <row r="56" spans="1:14" ht="15.75" customHeight="1" x14ac:dyDescent="0.15">
      <c r="A56" s="35" t="str">
        <f>'Human Grading'!A56</f>
        <v>Action</v>
      </c>
      <c r="B56" s="35" t="str">
        <f>'Human Grading'!B56</f>
        <v>stopped()</v>
      </c>
      <c r="C56" s="35">
        <f>'Human Grading'!C56</f>
        <v>0</v>
      </c>
      <c r="D56" s="35">
        <f>'LLM Grading'!C56</f>
        <v>0</v>
      </c>
      <c r="E56" s="23"/>
      <c r="F56" s="23"/>
      <c r="G56" s="23"/>
      <c r="H56" s="23"/>
      <c r="I56" s="23"/>
      <c r="J56" s="23"/>
      <c r="K56" s="23"/>
      <c r="L56" s="23"/>
      <c r="M56" s="23"/>
      <c r="N56" s="23"/>
    </row>
    <row r="57" spans="1:14" ht="15.75" customHeight="1" x14ac:dyDescent="0.15">
      <c r="A57" s="41" t="str">
        <f>'Human Grading'!A57</f>
        <v>State</v>
      </c>
      <c r="B57" s="41" t="str">
        <f>'Human Grading'!B57</f>
        <v>Moving</v>
      </c>
      <c r="C57" s="41">
        <f>'Human Grading'!C57</f>
        <v>0.5</v>
      </c>
      <c r="D57" s="41">
        <f>'LLM Grading'!C57</f>
        <v>0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</row>
    <row r="58" spans="1:14" ht="15.75" customHeight="1" x14ac:dyDescent="0.15">
      <c r="A58" s="35" t="str">
        <f>'Human Grading'!A58</f>
        <v>Transition</v>
      </c>
      <c r="B58" s="35" t="str">
        <f>'Human Grading'!B58</f>
        <v>after 1 sec (Moving ⇒ Stopped)</v>
      </c>
      <c r="C58" s="35">
        <f>'Human Grading'!C58</f>
        <v>0.5</v>
      </c>
      <c r="D58" s="35">
        <f>'LLM Grading'!C58</f>
        <v>0</v>
      </c>
      <c r="E58" s="23"/>
      <c r="F58" s="23"/>
      <c r="G58" s="23"/>
      <c r="H58" s="23"/>
      <c r="I58" s="23"/>
      <c r="J58" s="23"/>
      <c r="K58" s="23"/>
      <c r="L58" s="23"/>
      <c r="M58" s="23"/>
      <c r="N58" s="23"/>
    </row>
    <row r="59" spans="1:14" ht="15.75" customHeight="1" x14ac:dyDescent="0.15">
      <c r="A59" s="41" t="str">
        <f>'Human Grading'!A59</f>
        <v>Guard</v>
      </c>
      <c r="B59" s="41" t="str">
        <f>'Human Grading'!B59</f>
        <v>[speed == 0]</v>
      </c>
      <c r="C59" s="41">
        <f>'Human Grading'!C59</f>
        <v>0</v>
      </c>
      <c r="D59" s="41">
        <f>'LLM Grading'!C59</f>
        <v>0</v>
      </c>
      <c r="E59" s="23"/>
      <c r="F59" s="23"/>
      <c r="G59" s="23"/>
      <c r="H59" s="23"/>
      <c r="I59" s="23"/>
      <c r="J59" s="23"/>
      <c r="K59" s="23"/>
      <c r="L59" s="23"/>
      <c r="M59" s="23"/>
      <c r="N59" s="23"/>
    </row>
    <row r="60" spans="1:14" ht="15.75" customHeight="1" x14ac:dyDescent="0.15">
      <c r="A60" s="35" t="str">
        <f>'Human Grading'!A60</f>
        <v>Action</v>
      </c>
      <c r="B60" s="35" t="str">
        <f>'Human Grading'!B60</f>
        <v>stopped()</v>
      </c>
      <c r="C60" s="35">
        <f>'Human Grading'!C60</f>
        <v>0</v>
      </c>
      <c r="D60" s="35">
        <f>'LLM Grading'!C60</f>
        <v>0</v>
      </c>
      <c r="E60" s="23"/>
      <c r="F60" s="23"/>
      <c r="G60" s="23"/>
      <c r="H60" s="23"/>
      <c r="I60" s="23"/>
      <c r="J60" s="23"/>
      <c r="K60" s="23"/>
      <c r="L60" s="23"/>
      <c r="M60" s="23"/>
      <c r="N60" s="23"/>
    </row>
    <row r="61" spans="1:14" ht="15.75" customHeight="1" x14ac:dyDescent="0.15">
      <c r="A61" s="41" t="str">
        <f>'Human Grading'!A61</f>
        <v>Transition</v>
      </c>
      <c r="B61" s="41" t="str">
        <f>'Human Grading'!B61</f>
        <v>after 1 sec (Moving ⇒ Moving)</v>
      </c>
      <c r="C61" s="41">
        <f>'Human Grading'!C61</f>
        <v>0.5</v>
      </c>
      <c r="D61" s="41">
        <f>'LLM Grading'!C61</f>
        <v>0</v>
      </c>
      <c r="E61" s="23"/>
      <c r="F61" s="23"/>
      <c r="G61" s="23"/>
      <c r="H61" s="23"/>
      <c r="I61" s="23"/>
      <c r="J61" s="23"/>
      <c r="K61" s="23"/>
      <c r="L61" s="23"/>
      <c r="M61" s="23"/>
      <c r="N61" s="23"/>
    </row>
    <row r="62" spans="1:14" ht="15.75" customHeight="1" x14ac:dyDescent="0.15">
      <c r="A62" s="35" t="str">
        <f>'Human Grading'!A62</f>
        <v>Guard</v>
      </c>
      <c r="B62" s="35" t="str">
        <f>'Human Grading'!B62</f>
        <v>[speed &gt; 0]</v>
      </c>
      <c r="C62" s="35">
        <f>'Human Grading'!C62</f>
        <v>0</v>
      </c>
      <c r="D62" s="35">
        <f>'LLM Grading'!C62</f>
        <v>0</v>
      </c>
      <c r="E62" s="23"/>
      <c r="F62" s="23"/>
      <c r="G62" s="23"/>
      <c r="H62" s="23"/>
      <c r="I62" s="23"/>
      <c r="J62" s="23"/>
      <c r="K62" s="23"/>
      <c r="L62" s="23"/>
      <c r="M62" s="23"/>
      <c r="N62" s="23"/>
    </row>
    <row r="63" spans="1:14" ht="15.75" customHeight="1" x14ac:dyDescent="0.15">
      <c r="A63" s="41" t="str">
        <f>'Human Grading'!A63</f>
        <v>Region</v>
      </c>
      <c r="B63" s="41" t="str">
        <f>'Human Grading'!B63</f>
        <v>ODS</v>
      </c>
      <c r="C63" s="41">
        <f>'Human Grading'!C63</f>
        <v>1</v>
      </c>
      <c r="D63" s="41">
        <f>'LLM Grading'!C63</f>
        <v>1</v>
      </c>
      <c r="E63" s="23"/>
      <c r="F63" s="23"/>
      <c r="G63" s="23"/>
      <c r="H63" s="23"/>
      <c r="I63" s="23"/>
      <c r="J63" s="23"/>
      <c r="K63" s="23"/>
      <c r="L63" s="23"/>
      <c r="M63" s="23"/>
      <c r="N63" s="23"/>
    </row>
    <row r="64" spans="1:14" ht="15.75" customHeight="1" x14ac:dyDescent="0.15">
      <c r="A64" s="35" t="str">
        <f>'Human Grading'!A64</f>
        <v>State</v>
      </c>
      <c r="B64" s="35" t="str">
        <f>'Human Grading'!B64</f>
        <v>Initial state (ODS → ODSActive)</v>
      </c>
      <c r="C64" s="35">
        <f>'Human Grading'!C64</f>
        <v>1</v>
      </c>
      <c r="D64" s="35">
        <f>'LLM Grading'!C64</f>
        <v>1</v>
      </c>
      <c r="E64" s="23"/>
      <c r="F64" s="23"/>
      <c r="G64" s="23"/>
      <c r="H64" s="23"/>
      <c r="I64" s="23"/>
      <c r="J64" s="23"/>
      <c r="K64" s="23"/>
      <c r="L64" s="23"/>
      <c r="M64" s="23"/>
      <c r="N64" s="23"/>
    </row>
    <row r="65" spans="1:14" ht="15.75" customHeight="1" x14ac:dyDescent="0.15">
      <c r="A65" s="41" t="str">
        <f>'Human Grading'!A65</f>
        <v>State</v>
      </c>
      <c r="B65" s="41" t="str">
        <f>'Human Grading'!B65</f>
        <v>ODSActive</v>
      </c>
      <c r="C65" s="41">
        <f>'Human Grading'!C65</f>
        <v>1</v>
      </c>
      <c r="D65" s="41">
        <f>'LLM Grading'!C65</f>
        <v>1</v>
      </c>
      <c r="E65" s="23"/>
      <c r="F65" s="23"/>
      <c r="G65" s="23"/>
      <c r="H65" s="23"/>
      <c r="I65" s="23"/>
      <c r="J65" s="23"/>
      <c r="K65" s="23"/>
      <c r="L65" s="23"/>
      <c r="M65" s="23"/>
      <c r="N65" s="23"/>
    </row>
    <row r="66" spans="1:14" ht="15.75" customHeight="1" x14ac:dyDescent="0.15">
      <c r="A66" s="35" t="str">
        <f>'Human Grading'!A66</f>
        <v>Transition</v>
      </c>
      <c r="B66" s="35" t="str">
        <f>'Human Grading'!B66</f>
        <v>after 1 sec (ODSActive ⇒ ODSActive)</v>
      </c>
      <c r="C66" s="35">
        <f>'Human Grading'!C66</f>
        <v>1</v>
      </c>
      <c r="D66" s="35">
        <f>'LLM Grading'!C66</f>
        <v>1</v>
      </c>
      <c r="E66" s="23"/>
      <c r="F66" s="23"/>
      <c r="G66" s="23"/>
      <c r="H66" s="23"/>
      <c r="I66" s="23"/>
      <c r="J66" s="23"/>
      <c r="K66" s="23"/>
      <c r="L66" s="23"/>
      <c r="M66" s="23"/>
      <c r="N66" s="23"/>
    </row>
    <row r="67" spans="1:14" ht="15.75" customHeight="1" x14ac:dyDescent="0.15">
      <c r="A67" s="41" t="str">
        <f>'Human Grading'!A67</f>
        <v>Guard</v>
      </c>
      <c r="B67" s="41" t="str">
        <f>'Human Grading'!B67</f>
        <v>[obstacleDetected()]</v>
      </c>
      <c r="C67" s="41">
        <f>'Human Grading'!C67</f>
        <v>1</v>
      </c>
      <c r="D67" s="41">
        <f>'LLM Grading'!C67</f>
        <v>0</v>
      </c>
      <c r="E67" s="23"/>
      <c r="F67" s="23"/>
      <c r="G67" s="23"/>
      <c r="H67" s="23"/>
      <c r="I67" s="23"/>
      <c r="J67" s="23"/>
      <c r="K67" s="23"/>
      <c r="L67" s="23"/>
      <c r="M67" s="23"/>
      <c r="N67" s="23"/>
    </row>
    <row r="68" spans="1:14" ht="15.75" customHeight="1" x14ac:dyDescent="0.15">
      <c r="A68" s="35" t="str">
        <f>'Human Grading'!A68</f>
        <v>Action</v>
      </c>
      <c r="B68" s="35" t="str">
        <f>'Human Grading'!B68</f>
        <v>emergency()</v>
      </c>
      <c r="C68" s="35">
        <f>'Human Grading'!C68</f>
        <v>0</v>
      </c>
      <c r="D68" s="35">
        <f>'LLM Grading'!C68</f>
        <v>0</v>
      </c>
      <c r="E68" s="23"/>
      <c r="F68" s="23"/>
      <c r="G68" s="23"/>
      <c r="H68" s="23"/>
      <c r="I68" s="23"/>
      <c r="J68" s="23"/>
      <c r="K68" s="23"/>
      <c r="L68" s="23"/>
      <c r="M68" s="23"/>
      <c r="N68" s="23"/>
    </row>
    <row r="69" spans="1:14" ht="15.75" customHeight="1" x14ac:dyDescent="0.15">
      <c r="A69" s="41" t="str">
        <f>'Human Grading'!A69</f>
        <v>Transition</v>
      </c>
      <c r="B69" s="41" t="str">
        <f>'Human Grading'!B69</f>
        <v>after 1 sec (ODSActive ⇒ ODSActive)</v>
      </c>
      <c r="C69" s="41">
        <f>'Human Grading'!C69</f>
        <v>1</v>
      </c>
      <c r="D69" s="41">
        <f>'LLM Grading'!C69</f>
        <v>0</v>
      </c>
      <c r="E69" s="23"/>
      <c r="F69" s="23"/>
      <c r="G69" s="23"/>
      <c r="H69" s="23"/>
      <c r="I69" s="23"/>
      <c r="J69" s="23"/>
      <c r="K69" s="23"/>
      <c r="L69" s="23"/>
      <c r="M69" s="23"/>
      <c r="N69" s="23"/>
    </row>
    <row r="70" spans="1:14" ht="15.75" customHeight="1" x14ac:dyDescent="0.15">
      <c r="A70" s="35" t="str">
        <f>'Human Grading'!A70</f>
        <v>Guard</v>
      </c>
      <c r="B70" s="35" t="str">
        <f>'Human Grading'!B70</f>
        <v>[!obstacleDetected()]</v>
      </c>
      <c r="C70" s="35">
        <f>'Human Grading'!C70</f>
        <v>1</v>
      </c>
      <c r="D70" s="35">
        <f>'LLM Grading'!C70</f>
        <v>0</v>
      </c>
      <c r="E70" s="23"/>
      <c r="F70" s="23"/>
      <c r="G70" s="23"/>
      <c r="H70" s="23"/>
      <c r="I70" s="23"/>
      <c r="J70" s="23"/>
      <c r="K70" s="23"/>
      <c r="L70" s="23"/>
      <c r="M70" s="23"/>
      <c r="N70" s="23"/>
    </row>
    <row r="71" spans="1:14" ht="15.75" customHeight="1" x14ac:dyDescent="0.15">
      <c r="A71" s="56" t="str">
        <f>'Human Grading'!A71</f>
        <v>State</v>
      </c>
      <c r="B71" s="56" t="str">
        <f>'Human Grading'!B71</f>
        <v>Arrived</v>
      </c>
      <c r="C71" s="56">
        <f>'Human Grading'!C71</f>
        <v>0</v>
      </c>
      <c r="D71" s="56">
        <f>'LLM Grading'!C71</f>
        <v>0</v>
      </c>
      <c r="E71" s="23"/>
      <c r="F71" s="23"/>
      <c r="G71" s="23"/>
      <c r="H71" s="23"/>
      <c r="I71" s="23"/>
      <c r="J71" s="23"/>
      <c r="K71" s="23"/>
      <c r="L71" s="23"/>
      <c r="M71" s="23"/>
      <c r="N71" s="23"/>
    </row>
    <row r="72" spans="1:14" ht="15.75" customHeight="1" x14ac:dyDescent="0.15">
      <c r="A72" s="57" t="str">
        <f>'Human Grading'!A72</f>
        <v>State</v>
      </c>
      <c r="B72" s="57" t="str">
        <f>'Human Grading'!B72</f>
        <v>additional elements</v>
      </c>
      <c r="C72" s="57">
        <f>'Human Grading'!C72</f>
        <v>0</v>
      </c>
      <c r="D72" s="57">
        <f>'LLM Grading'!C72</f>
        <v>2</v>
      </c>
      <c r="E72" s="23"/>
      <c r="F72" s="23"/>
      <c r="G72" s="23"/>
      <c r="H72" s="23"/>
      <c r="I72" s="23"/>
      <c r="J72" s="23"/>
      <c r="K72" s="23"/>
      <c r="L72" s="23"/>
      <c r="M72" s="23"/>
      <c r="N72" s="23"/>
    </row>
    <row r="73" spans="1:14" ht="15.75" customHeight="1" x14ac:dyDescent="0.15">
      <c r="A73" s="41" t="str">
        <f>'Human Grading'!A73</f>
        <v>Transition</v>
      </c>
      <c r="B73" s="41" t="str">
        <f>'Human Grading'!B73</f>
        <v>additional elements</v>
      </c>
      <c r="C73" s="41">
        <f>'Human Grading'!C73</f>
        <v>0</v>
      </c>
      <c r="D73" s="41">
        <f>'LLM Grading'!C73</f>
        <v>0</v>
      </c>
      <c r="E73" s="23"/>
      <c r="F73" s="23"/>
      <c r="G73" s="23"/>
      <c r="H73" s="23"/>
      <c r="I73" s="23"/>
      <c r="J73" s="23"/>
      <c r="K73" s="23"/>
      <c r="L73" s="23"/>
      <c r="M73" s="23"/>
      <c r="N73" s="23"/>
    </row>
    <row r="74" spans="1:14" ht="15.75" customHeight="1" x14ac:dyDescent="0.15">
      <c r="A74" s="35" t="str">
        <f>'Human Grading'!A74</f>
        <v>Guard</v>
      </c>
      <c r="B74" s="35" t="str">
        <f>'Human Grading'!B74</f>
        <v>additional elements</v>
      </c>
      <c r="C74" s="35">
        <f>'Human Grading'!C74</f>
        <v>0</v>
      </c>
      <c r="D74" s="35">
        <f>'LLM Grading'!C74</f>
        <v>0</v>
      </c>
      <c r="E74" s="23"/>
      <c r="F74" s="23"/>
      <c r="G74" s="23"/>
      <c r="H74" s="23"/>
      <c r="I74" s="23"/>
      <c r="J74" s="23"/>
      <c r="K74" s="23"/>
      <c r="L74" s="23"/>
      <c r="M74" s="23"/>
      <c r="N74" s="23"/>
    </row>
    <row r="75" spans="1:14" ht="15.75" customHeight="1" x14ac:dyDescent="0.15">
      <c r="A75" s="41" t="str">
        <f>'Human Grading'!A75</f>
        <v>Action</v>
      </c>
      <c r="B75" s="41" t="str">
        <f>'Human Grading'!B75</f>
        <v>additional elements</v>
      </c>
      <c r="C75" s="41">
        <f>'Human Grading'!C75</f>
        <v>0</v>
      </c>
      <c r="D75" s="41">
        <f>'LLM Grading'!C75</f>
        <v>1</v>
      </c>
      <c r="E75" s="23"/>
      <c r="F75" s="23"/>
      <c r="G75" s="23"/>
      <c r="H75" s="23"/>
      <c r="I75" s="23"/>
      <c r="J75" s="23"/>
      <c r="K75" s="23"/>
      <c r="L75" s="23"/>
      <c r="M75" s="23"/>
      <c r="N75" s="23"/>
    </row>
    <row r="76" spans="1:14" ht="15.75" customHeight="1" x14ac:dyDescent="0.15">
      <c r="A76" s="35" t="str">
        <f>'Human Grading'!A76</f>
        <v>Composite State</v>
      </c>
      <c r="B76" s="35" t="str">
        <f>'Human Grading'!B76</f>
        <v>additional elements</v>
      </c>
      <c r="C76" s="35">
        <f>'Human Grading'!C76</f>
        <v>0</v>
      </c>
      <c r="D76" s="35">
        <f>'LLM Grading'!C76</f>
        <v>0</v>
      </c>
      <c r="E76" s="23"/>
      <c r="F76" s="23"/>
      <c r="G76" s="23"/>
      <c r="H76" s="23"/>
      <c r="I76" s="23"/>
      <c r="J76" s="23"/>
      <c r="K76" s="23"/>
      <c r="L76" s="23"/>
      <c r="M76" s="23"/>
      <c r="N76" s="23"/>
    </row>
    <row r="77" spans="1:14" ht="15.75" customHeight="1" x14ac:dyDescent="0.15">
      <c r="A77" s="41" t="str">
        <f>'Human Grading'!A77</f>
        <v>Region</v>
      </c>
      <c r="B77" s="41" t="str">
        <f>'Human Grading'!B77</f>
        <v>additional elements</v>
      </c>
      <c r="C77" s="41">
        <f>'Human Grading'!C77</f>
        <v>0</v>
      </c>
      <c r="D77" s="41">
        <f>'LLM Grading'!C77</f>
        <v>0</v>
      </c>
      <c r="E77" s="23"/>
      <c r="F77" s="23"/>
      <c r="G77" s="23"/>
      <c r="H77" s="23"/>
      <c r="I77" s="23"/>
      <c r="J77" s="23"/>
      <c r="K77" s="23"/>
      <c r="L77" s="23"/>
      <c r="M77" s="23"/>
      <c r="N77" s="23"/>
    </row>
    <row r="78" spans="1:14" ht="15.75" customHeight="1" x14ac:dyDescent="0.15">
      <c r="A78" s="35" t="str">
        <f>'Human Grading'!A78</f>
        <v>History State</v>
      </c>
      <c r="B78" s="35" t="str">
        <f>'Human Grading'!B78</f>
        <v>additional elements</v>
      </c>
      <c r="C78" s="35">
        <f>'Human Grading'!C78</f>
        <v>0</v>
      </c>
      <c r="D78" s="35">
        <f>'LLM Grading'!C78</f>
        <v>0</v>
      </c>
      <c r="E78" s="23"/>
      <c r="F78" s="23"/>
      <c r="G78" s="23"/>
      <c r="H78" s="23"/>
      <c r="I78" s="23"/>
      <c r="J78" s="23"/>
      <c r="K78" s="23"/>
      <c r="L78" s="23"/>
      <c r="M78" s="23"/>
      <c r="N78" s="23"/>
    </row>
    <row r="79" spans="1:14" ht="15.75" customHeight="1" x14ac:dyDescent="0.15">
      <c r="A79" s="58"/>
      <c r="B79" s="59"/>
      <c r="C79" s="60"/>
      <c r="D79" s="60"/>
      <c r="E79" s="60"/>
    </row>
    <row r="80" spans="1:14" ht="15.75" customHeight="1" x14ac:dyDescent="0.15">
      <c r="A80" s="58"/>
      <c r="B80" s="59"/>
      <c r="C80" s="60"/>
      <c r="D80" s="60"/>
      <c r="E80" s="60"/>
    </row>
    <row r="81" spans="2:5" ht="15.75" customHeight="1" x14ac:dyDescent="0.15">
      <c r="B81" s="59"/>
      <c r="D81" s="60"/>
      <c r="E81" s="60"/>
    </row>
    <row r="82" spans="2:5" ht="15.75" customHeight="1" x14ac:dyDescent="0.15">
      <c r="B82" s="59"/>
      <c r="D82" s="60"/>
    </row>
    <row r="83" spans="2:5" ht="15.75" customHeight="1" x14ac:dyDescent="0.15">
      <c r="D83" s="60"/>
    </row>
    <row r="84" spans="2:5" ht="15.75" customHeight="1" x14ac:dyDescent="0.15"/>
    <row r="85" spans="2:5" ht="15.75" customHeight="1" x14ac:dyDescent="0.15"/>
    <row r="86" spans="2:5" ht="15.75" customHeight="1" x14ac:dyDescent="0.15"/>
    <row r="87" spans="2:5" ht="15.75" customHeight="1" x14ac:dyDescent="0.15"/>
    <row r="88" spans="2:5" ht="15.75" customHeight="1" x14ac:dyDescent="0.15"/>
    <row r="89" spans="2:5" ht="15.75" customHeight="1" x14ac:dyDescent="0.15"/>
    <row r="90" spans="2:5" ht="15.75" customHeight="1" x14ac:dyDescent="0.15"/>
    <row r="91" spans="2:5" ht="15.75" customHeight="1" x14ac:dyDescent="0.15"/>
    <row r="92" spans="2:5" ht="15.75" customHeight="1" x14ac:dyDescent="0.15"/>
    <row r="93" spans="2:5" ht="15.75" customHeight="1" x14ac:dyDescent="0.15"/>
    <row r="94" spans="2:5" ht="15.75" customHeight="1" x14ac:dyDescent="0.15"/>
    <row r="95" spans="2:5" ht="15.75" customHeight="1" x14ac:dyDescent="0.15"/>
    <row r="96" spans="2:5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  <row r="1007" ht="15.75" customHeight="1" x14ac:dyDescent="0.15"/>
    <row r="1008" ht="15.75" customHeight="1" x14ac:dyDescent="0.15"/>
    <row r="1009" ht="15.75" customHeight="1" x14ac:dyDescent="0.15"/>
    <row r="1010" ht="15.75" customHeight="1" x14ac:dyDescent="0.15"/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10"/>
  <sheetViews>
    <sheetView tabSelected="1"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22.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4" max="24" width="55.66406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x14ac:dyDescent="0.15">
      <c r="A1" s="33" t="s">
        <v>0</v>
      </c>
      <c r="B1" s="34" t="s">
        <v>1</v>
      </c>
      <c r="C1" s="10" t="s">
        <v>206</v>
      </c>
      <c r="D1" s="10" t="s">
        <v>207</v>
      </c>
      <c r="E1" s="23"/>
      <c r="F1" s="67" t="s">
        <v>168</v>
      </c>
      <c r="G1" s="68"/>
      <c r="H1" s="68"/>
      <c r="I1" s="68"/>
      <c r="J1" s="23"/>
      <c r="K1" s="23"/>
      <c r="L1" s="67" t="s">
        <v>198</v>
      </c>
      <c r="M1" s="68"/>
      <c r="N1" s="68"/>
      <c r="O1" s="68"/>
      <c r="P1" s="23"/>
      <c r="Q1" s="23"/>
      <c r="R1" s="23"/>
      <c r="S1" s="23"/>
      <c r="T1" s="23"/>
      <c r="U1" s="23"/>
      <c r="V1" s="23"/>
      <c r="W1" s="23"/>
      <c r="X1" s="23"/>
    </row>
    <row r="2" spans="1:24" ht="15.75" customHeight="1" x14ac:dyDescent="0.15">
      <c r="A2" s="35" t="str">
        <f>'Human Grading'!A2</f>
        <v>State</v>
      </c>
      <c r="B2" s="35" t="str">
        <f>'Human Grading'!B2</f>
        <v>Initial state (→ Scheduled)</v>
      </c>
      <c r="C2" s="61">
        <f>'Human Grading'!C2</f>
        <v>0</v>
      </c>
      <c r="D2" s="61">
        <f>'LLM Grading'!C2</f>
        <v>0</v>
      </c>
      <c r="E2" s="23"/>
      <c r="F2" s="16" t="s">
        <v>170</v>
      </c>
      <c r="G2" s="36" t="s">
        <v>171</v>
      </c>
      <c r="H2" s="37" t="s">
        <v>172</v>
      </c>
      <c r="I2" s="38" t="s">
        <v>173</v>
      </c>
      <c r="J2" s="53" t="s">
        <v>174</v>
      </c>
      <c r="K2" s="23"/>
      <c r="L2" s="16" t="s">
        <v>170</v>
      </c>
      <c r="M2" s="52" t="s">
        <v>171</v>
      </c>
      <c r="N2" s="52" t="s">
        <v>172</v>
      </c>
      <c r="O2" s="52" t="s">
        <v>173</v>
      </c>
      <c r="P2" s="23"/>
      <c r="Q2" s="16" t="s">
        <v>170</v>
      </c>
      <c r="R2" s="52" t="s">
        <v>171</v>
      </c>
      <c r="S2" s="52" t="s">
        <v>172</v>
      </c>
      <c r="T2" s="52" t="s">
        <v>173</v>
      </c>
      <c r="U2" s="23"/>
      <c r="V2" s="62" t="str">
        <f>"Metrics" &amp; " " &amp; F2</f>
        <v>Metrics Global</v>
      </c>
      <c r="W2" s="40" t="s">
        <v>176</v>
      </c>
      <c r="X2" s="40" t="s">
        <v>177</v>
      </c>
    </row>
    <row r="3" spans="1:24" ht="15.75" customHeight="1" x14ac:dyDescent="0.15">
      <c r="A3" s="41" t="str">
        <f>'Human Grading'!A3</f>
        <v>State</v>
      </c>
      <c r="B3" s="41" t="str">
        <f>'Human Grading'!B3</f>
        <v>Scheduled</v>
      </c>
      <c r="C3" s="63">
        <f>'Human Grading'!C3</f>
        <v>0</v>
      </c>
      <c r="D3" s="63">
        <f>'LLM Grading'!C3</f>
        <v>0</v>
      </c>
      <c r="E3" s="23"/>
      <c r="F3" s="42">
        <v>0</v>
      </c>
      <c r="G3" s="43">
        <f>COUNTIFS($C$2:$C$115, $F3, $D$2:$D$115, G$2)</f>
        <v>17</v>
      </c>
      <c r="H3" s="44">
        <f>COUNTIFS($C$2:$C$71, $F3, $D$2:$D$71, H$2)</f>
        <v>4</v>
      </c>
      <c r="I3" s="45">
        <f>COUNTIFS($C$2:$C$71, $F3, $D$2:$D$71, I$2)+MAX(D72-C72,0)+MAX(D73-C73,0)+MAX(D74-C74,0)+MAX(D75-C75,0)+MAX(D76-C76,0)+MAX(D77-C77,0)+MAX(D78-C78,0)</f>
        <v>7</v>
      </c>
      <c r="J3" s="16">
        <f t="shared" ref="J3:J5" si="0">SUM(G3:I3)</f>
        <v>28</v>
      </c>
      <c r="K3" s="23"/>
      <c r="L3" s="42">
        <v>0</v>
      </c>
      <c r="M3" s="43">
        <f t="shared" ref="M3:O3" si="1">ABS(G$2-$F3)/1</f>
        <v>0</v>
      </c>
      <c r="N3" s="44">
        <f t="shared" si="1"/>
        <v>0.5</v>
      </c>
      <c r="O3" s="45">
        <f t="shared" si="1"/>
        <v>1</v>
      </c>
      <c r="P3" s="23"/>
      <c r="Q3" s="42">
        <v>0</v>
      </c>
      <c r="R3" s="43">
        <f t="shared" ref="R3:T3" si="2">($J3/$J$6) * (G$6/$J$6)</f>
        <v>0.15647600262984879</v>
      </c>
      <c r="S3" s="44">
        <f t="shared" si="2"/>
        <v>5.0624589086127547E-2</v>
      </c>
      <c r="T3" s="45">
        <f t="shared" si="2"/>
        <v>0.15187376725838264</v>
      </c>
      <c r="U3" s="23"/>
      <c r="V3" s="40" t="s">
        <v>199</v>
      </c>
      <c r="W3" s="43">
        <f>SUMPRODUCT(G3:I5, M3:O5) /$J$6</f>
        <v>0.36538461538461536</v>
      </c>
      <c r="X3" s="45" t="s">
        <v>200</v>
      </c>
    </row>
    <row r="4" spans="1:24" ht="15.75" customHeight="1" x14ac:dyDescent="0.15">
      <c r="A4" s="35" t="str">
        <f>'Human Grading'!A4</f>
        <v>Transition</v>
      </c>
      <c r="B4" s="35" t="str">
        <f>'Human Grading'!B4</f>
        <v>at beginningStopDuration (Scheduled ⇒ Active)</v>
      </c>
      <c r="C4" s="61">
        <f>'Human Grading'!C4</f>
        <v>1</v>
      </c>
      <c r="D4" s="61">
        <f>'LLM Grading'!C4</f>
        <v>0.5</v>
      </c>
      <c r="E4" s="23"/>
      <c r="F4" s="42">
        <v>0.5</v>
      </c>
      <c r="G4" s="46">
        <f t="shared" ref="G4:I4" si="3">COUNTIFS($C$2:$C$71, $F4, $D$2:$D$71, G$2)</f>
        <v>7</v>
      </c>
      <c r="H4" s="16">
        <f t="shared" si="3"/>
        <v>2</v>
      </c>
      <c r="I4" s="47">
        <f t="shared" si="3"/>
        <v>7</v>
      </c>
      <c r="J4" s="16">
        <f t="shared" si="0"/>
        <v>16</v>
      </c>
      <c r="K4" s="23"/>
      <c r="L4" s="42">
        <v>0.5</v>
      </c>
      <c r="M4" s="46">
        <f t="shared" ref="M4:M5" si="4">ABS(G$2-$F4)/1</f>
        <v>0.5</v>
      </c>
      <c r="N4" s="16">
        <f>ABS(H$2-$F4)/3</f>
        <v>0</v>
      </c>
      <c r="O4" s="47">
        <f>ABS(I$2-$F4)/1</f>
        <v>0.5</v>
      </c>
      <c r="P4" s="23"/>
      <c r="Q4" s="42">
        <v>0.5</v>
      </c>
      <c r="R4" s="46">
        <f t="shared" ref="R4:T4" si="5">($J4/$J$6) * (G$6/$J$6)</f>
        <v>8.941485864562787E-2</v>
      </c>
      <c r="S4" s="16">
        <f t="shared" si="5"/>
        <v>2.8928336620644313E-2</v>
      </c>
      <c r="T4" s="47">
        <f t="shared" si="5"/>
        <v>8.6785009861932938E-2</v>
      </c>
      <c r="U4" s="23"/>
      <c r="V4" s="40" t="s">
        <v>201</v>
      </c>
      <c r="W4" s="46">
        <f>SUMPRODUCT(R3:T5, M3:O5)</f>
        <v>0.4860289283366207</v>
      </c>
      <c r="X4" s="47" t="s">
        <v>202</v>
      </c>
    </row>
    <row r="5" spans="1:24" ht="15.75" customHeight="1" x14ac:dyDescent="0.15">
      <c r="A5" s="41" t="str">
        <f>'Human Grading'!A5</f>
        <v>Action</v>
      </c>
      <c r="B5" s="41" t="str">
        <f>'Human Grading'!B5</f>
        <v>pOn; setCS;</v>
      </c>
      <c r="C5" s="63">
        <f>'Human Grading'!C5</f>
        <v>1</v>
      </c>
      <c r="D5" s="63">
        <f>'LLM Grading'!C5</f>
        <v>1</v>
      </c>
      <c r="E5" s="23"/>
      <c r="F5" s="42">
        <v>1</v>
      </c>
      <c r="G5" s="48">
        <f>COUNTIFS($C$2:$C$71, $F5, $D$2:$D$71, G$2)+MAX(C72-D72,0)+MAX(C73-D73,0)+MAX(C74-D74,0)+MAX(C75-D75,0)+MAX(C76-D76,0)+MAX(C77-D77,0)+MAX(C78-D78,0)</f>
        <v>10</v>
      </c>
      <c r="H5" s="49">
        <f>COUNTIFS($C$2:$C$71, $F5, $D$2:$D$71, H$2)</f>
        <v>5</v>
      </c>
      <c r="I5" s="50">
        <f>COUNTIFS($C$2:$C$71, $F5, $D$2:$D$71, I$2)+ SUM(MIN(C72,D72), MIN(C73,D73), MIN(C74,D74), MIN(C75,D75), MIN(C76,D76), MIN(C77,D77), MIN(C78,D78))</f>
        <v>19</v>
      </c>
      <c r="J5" s="16">
        <f t="shared" si="0"/>
        <v>34</v>
      </c>
      <c r="K5" s="23"/>
      <c r="L5" s="42">
        <v>1</v>
      </c>
      <c r="M5" s="48">
        <f t="shared" si="4"/>
        <v>1</v>
      </c>
      <c r="N5" s="49">
        <f t="shared" ref="N5:O5" si="6">ABS(H$2-$F5)/1</f>
        <v>0.5</v>
      </c>
      <c r="O5" s="50">
        <f t="shared" si="6"/>
        <v>0</v>
      </c>
      <c r="P5" s="23"/>
      <c r="Q5" s="42">
        <v>1</v>
      </c>
      <c r="R5" s="48">
        <f t="shared" ref="R5:T5" si="7">($J5/$J$6) * (G$6/$J$6)</f>
        <v>0.19000657462195925</v>
      </c>
      <c r="S5" s="49">
        <f t="shared" si="7"/>
        <v>6.1472715318869164E-2</v>
      </c>
      <c r="T5" s="50">
        <f t="shared" si="7"/>
        <v>0.18441814595660749</v>
      </c>
      <c r="U5" s="23"/>
      <c r="V5" s="40" t="s">
        <v>169</v>
      </c>
      <c r="W5" s="48">
        <f>1-W3/W4</f>
        <v>0.24822455191072046</v>
      </c>
      <c r="X5" s="50" t="s">
        <v>203</v>
      </c>
    </row>
    <row r="6" spans="1:24" ht="15.75" customHeight="1" x14ac:dyDescent="0.15">
      <c r="A6" s="35" t="str">
        <f>'Human Grading'!A6</f>
        <v>Composite State</v>
      </c>
      <c r="B6" s="35" t="str">
        <f>'Human Grading'!B6</f>
        <v>Active</v>
      </c>
      <c r="C6" s="61">
        <f>'Human Grading'!C6</f>
        <v>1</v>
      </c>
      <c r="D6" s="61">
        <f>'LLM Grading'!C6</f>
        <v>1</v>
      </c>
      <c r="E6" s="23"/>
      <c r="F6" s="51" t="s">
        <v>183</v>
      </c>
      <c r="G6" s="16">
        <f t="shared" ref="G6:I6" si="8">SUM(G3:G5)</f>
        <v>34</v>
      </c>
      <c r="H6" s="16">
        <f t="shared" si="8"/>
        <v>11</v>
      </c>
      <c r="I6" s="16">
        <f t="shared" si="8"/>
        <v>33</v>
      </c>
      <c r="J6" s="16">
        <f>SUM(G3:I5)</f>
        <v>78</v>
      </c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</row>
    <row r="7" spans="1:24" ht="15.75" customHeight="1" x14ac:dyDescent="0.15">
      <c r="A7" s="41" t="str">
        <f>'Human Grading'!A7</f>
        <v>Region</v>
      </c>
      <c r="B7" s="41" t="str">
        <f>'Human Grading'!B7</f>
        <v>TrainControl</v>
      </c>
      <c r="C7" s="63">
        <f>'Human Grading'!C7</f>
        <v>1</v>
      </c>
      <c r="D7" s="63">
        <f>'LLM Grading'!C7</f>
        <v>1</v>
      </c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</row>
    <row r="8" spans="1:24" ht="15.75" customHeight="1" x14ac:dyDescent="0.15">
      <c r="A8" s="35" t="str">
        <f>'Human Grading'!A8</f>
        <v>Composite State</v>
      </c>
      <c r="B8" s="35" t="str">
        <f>'Human Grading'!B8</f>
        <v>TrainMovement</v>
      </c>
      <c r="C8" s="61">
        <f>'Human Grading'!C8</f>
        <v>1</v>
      </c>
      <c r="D8" s="61">
        <f>'LLM Grading'!C8</f>
        <v>0</v>
      </c>
      <c r="E8" s="23"/>
      <c r="F8" s="67" t="s">
        <v>184</v>
      </c>
      <c r="G8" s="68"/>
      <c r="H8" s="68"/>
      <c r="I8" s="68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</row>
    <row r="9" spans="1:24" ht="15.75" customHeight="1" x14ac:dyDescent="0.15">
      <c r="A9" s="41" t="str">
        <f>'Human Grading'!A9</f>
        <v>State</v>
      </c>
      <c r="B9" s="41" t="str">
        <f>'Human Grading'!B9</f>
        <v>Initial state (TrainMovement → AtStation)</v>
      </c>
      <c r="C9" s="63">
        <f>'Human Grading'!C9</f>
        <v>1</v>
      </c>
      <c r="D9" s="63">
        <f>'LLM Grading'!C9</f>
        <v>0</v>
      </c>
      <c r="E9" s="23"/>
      <c r="F9" s="16" t="s">
        <v>4</v>
      </c>
      <c r="G9" s="52" t="s">
        <v>171</v>
      </c>
      <c r="H9" s="52" t="s">
        <v>172</v>
      </c>
      <c r="I9" s="52" t="s">
        <v>173</v>
      </c>
      <c r="J9" s="53" t="s">
        <v>174</v>
      </c>
      <c r="K9" s="23"/>
      <c r="L9" s="16" t="s">
        <v>170</v>
      </c>
      <c r="M9" s="52" t="s">
        <v>171</v>
      </c>
      <c r="N9" s="52" t="s">
        <v>172</v>
      </c>
      <c r="O9" s="52" t="s">
        <v>173</v>
      </c>
      <c r="P9" s="23"/>
      <c r="Q9" s="16" t="s">
        <v>170</v>
      </c>
      <c r="R9" s="52" t="s">
        <v>171</v>
      </c>
      <c r="S9" s="52" t="s">
        <v>172</v>
      </c>
      <c r="T9" s="52" t="s">
        <v>173</v>
      </c>
      <c r="U9" s="23"/>
      <c r="V9" s="62" t="str">
        <f>"Metrics" &amp; " " &amp; F9</f>
        <v>Metrics State</v>
      </c>
      <c r="W9" s="40" t="s">
        <v>176</v>
      </c>
      <c r="X9" s="40" t="s">
        <v>177</v>
      </c>
    </row>
    <row r="10" spans="1:24" ht="15.75" customHeight="1" x14ac:dyDescent="0.15">
      <c r="A10" s="35" t="str">
        <f>'Human Grading'!A10</f>
        <v>State</v>
      </c>
      <c r="B10" s="35" t="str">
        <f>'Human Grading'!B10</f>
        <v>AtStation</v>
      </c>
      <c r="C10" s="61">
        <f>'Human Grading'!C10</f>
        <v>1</v>
      </c>
      <c r="D10" s="61">
        <f>'LLM Grading'!C10</f>
        <v>0.5</v>
      </c>
      <c r="E10" s="23"/>
      <c r="F10" s="42">
        <v>0</v>
      </c>
      <c r="G10" s="43">
        <f t="shared" ref="G10:H10" si="9">COUNTIFS($A$2:$A$115,$F$9,$C$2:$C$115,$F10,$D$2:$D$115,G$9)</f>
        <v>4</v>
      </c>
      <c r="H10" s="44">
        <f t="shared" si="9"/>
        <v>0</v>
      </c>
      <c r="I10" s="45">
        <f>COUNTIFS($A$2:$A$71,$F$9,$C$2:$C$71,$F10,$D$2:$D$71,I$9)+MAX(D72-C72,0)</f>
        <v>3</v>
      </c>
      <c r="J10" s="16">
        <f t="shared" ref="J10:J12" si="10">SUM(G10:I10)</f>
        <v>7</v>
      </c>
      <c r="K10" s="23"/>
      <c r="L10" s="42">
        <v>0</v>
      </c>
      <c r="M10" s="43">
        <f t="shared" ref="M10:O10" si="11">ABS(G$2-$F10)/1</f>
        <v>0</v>
      </c>
      <c r="N10" s="44">
        <f t="shared" si="11"/>
        <v>0.5</v>
      </c>
      <c r="O10" s="45">
        <f t="shared" si="11"/>
        <v>1</v>
      </c>
      <c r="P10" s="23"/>
      <c r="Q10" s="42">
        <v>0</v>
      </c>
      <c r="R10" s="43">
        <f t="shared" ref="R10:T10" si="12">($J10/$J$13) * (G$13/$J$13)</f>
        <v>0.19377162629757785</v>
      </c>
      <c r="S10" s="44">
        <f t="shared" si="12"/>
        <v>2.4221453287197232E-2</v>
      </c>
      <c r="T10" s="45">
        <f t="shared" si="12"/>
        <v>0.19377162629757785</v>
      </c>
      <c r="U10" s="23"/>
      <c r="V10" s="40" t="s">
        <v>199</v>
      </c>
      <c r="W10" s="43">
        <f>SUMPRODUCT(G10:I12, M10:O12) /$J$13</f>
        <v>0.44117647058823528</v>
      </c>
      <c r="X10" s="45" t="s">
        <v>200</v>
      </c>
    </row>
    <row r="11" spans="1:24" ht="15.75" customHeight="1" x14ac:dyDescent="0.15">
      <c r="A11" s="41" t="str">
        <f>'Human Grading'!A11</f>
        <v>Action</v>
      </c>
      <c r="B11" s="41" t="str">
        <f>'Human Grading'!B11</f>
        <v>entry / openDoors()</v>
      </c>
      <c r="C11" s="63">
        <f>'Human Grading'!C11</f>
        <v>1</v>
      </c>
      <c r="D11" s="63">
        <f>'LLM Grading'!C11</f>
        <v>0.5</v>
      </c>
      <c r="E11" s="23"/>
      <c r="F11" s="42">
        <v>0.5</v>
      </c>
      <c r="G11" s="46">
        <f t="shared" ref="G11:I11" si="13">COUNTIFS($A$2:$A$115,$F$9,$C$2:$C$115,$F11,$D$2:$D$115,G$9)</f>
        <v>2</v>
      </c>
      <c r="H11" s="16">
        <f t="shared" si="13"/>
        <v>0</v>
      </c>
      <c r="I11" s="47">
        <f t="shared" si="13"/>
        <v>2</v>
      </c>
      <c r="J11" s="16">
        <f t="shared" si="10"/>
        <v>4</v>
      </c>
      <c r="K11" s="23"/>
      <c r="L11" s="42">
        <v>0.5</v>
      </c>
      <c r="M11" s="46">
        <f t="shared" ref="M11:M12" si="14">ABS(G$2-$F11)/1</f>
        <v>0.5</v>
      </c>
      <c r="N11" s="16">
        <f>ABS(H$2-$F11)/3</f>
        <v>0</v>
      </c>
      <c r="O11" s="47">
        <f>ABS(I$2-$F11)/1</f>
        <v>0.5</v>
      </c>
      <c r="P11" s="23"/>
      <c r="Q11" s="42">
        <v>0.5</v>
      </c>
      <c r="R11" s="46">
        <f t="shared" ref="R11:T11" si="15">($J11/$J$13) * (G$13/$J$13)</f>
        <v>0.11072664359861592</v>
      </c>
      <c r="S11" s="16">
        <f t="shared" si="15"/>
        <v>1.384083044982699E-2</v>
      </c>
      <c r="T11" s="47">
        <f t="shared" si="15"/>
        <v>0.11072664359861592</v>
      </c>
      <c r="U11" s="23"/>
      <c r="V11" s="40" t="s">
        <v>201</v>
      </c>
      <c r="W11" s="46">
        <f>SUMPRODUCT(R10:T12, M10:O12)</f>
        <v>0.49307958477508657</v>
      </c>
      <c r="X11" s="47" t="s">
        <v>202</v>
      </c>
    </row>
    <row r="12" spans="1:24" ht="15.75" customHeight="1" x14ac:dyDescent="0.15">
      <c r="A12" s="35" t="str">
        <f>'Human Grading'!A12</f>
        <v>Action</v>
      </c>
      <c r="B12" s="35" t="str">
        <f>'Human Grading'!B12</f>
        <v>exit / closeDoors()</v>
      </c>
      <c r="C12" s="61">
        <f>'Human Grading'!C12</f>
        <v>1</v>
      </c>
      <c r="D12" s="61">
        <f>'LLM Grading'!C12</f>
        <v>0</v>
      </c>
      <c r="E12" s="23"/>
      <c r="F12" s="42">
        <v>1</v>
      </c>
      <c r="G12" s="48">
        <f>COUNTIFS($A$2:$A$71,$F$9,$C$2:$C$71,$F12,$D$2:$D$71,G$9)+MAX(C72-D72,0)</f>
        <v>2</v>
      </c>
      <c r="H12" s="49">
        <f>COUNTIFS($A$2:$A$115,$F$9,$C$2:$C$115,$F12,$D$2:$D$115,H$9)</f>
        <v>1</v>
      </c>
      <c r="I12" s="50">
        <f>COUNTIFS($A$2:$A$71,$F$9,$C$2:$C$71,$F12,$D$2:$D$71,I$9)+MIN(C72-D72)</f>
        <v>3</v>
      </c>
      <c r="J12" s="16">
        <f t="shared" si="10"/>
        <v>6</v>
      </c>
      <c r="K12" s="23"/>
      <c r="L12" s="42">
        <v>1</v>
      </c>
      <c r="M12" s="48">
        <f t="shared" si="14"/>
        <v>1</v>
      </c>
      <c r="N12" s="49">
        <f t="shared" ref="N12:O12" si="16">ABS(H$2-$F12)/1</f>
        <v>0.5</v>
      </c>
      <c r="O12" s="50">
        <f t="shared" si="16"/>
        <v>0</v>
      </c>
      <c r="P12" s="23"/>
      <c r="Q12" s="42">
        <v>1</v>
      </c>
      <c r="R12" s="48">
        <f t="shared" ref="R12:T12" si="17">($J12/$J$13) * (G$13/$J$13)</f>
        <v>0.16608996539792389</v>
      </c>
      <c r="S12" s="49">
        <f t="shared" si="17"/>
        <v>2.0761245674740487E-2</v>
      </c>
      <c r="T12" s="50">
        <f t="shared" si="17"/>
        <v>0.16608996539792389</v>
      </c>
      <c r="U12" s="23"/>
      <c r="V12" s="40" t="s">
        <v>169</v>
      </c>
      <c r="W12" s="48">
        <f>1-W10/W11</f>
        <v>0.10526315789473695</v>
      </c>
      <c r="X12" s="50" t="s">
        <v>203</v>
      </c>
    </row>
    <row r="13" spans="1:24" ht="15.75" customHeight="1" x14ac:dyDescent="0.15">
      <c r="A13" s="41" t="str">
        <f>'Human Grading'!A13</f>
        <v>Transition</v>
      </c>
      <c r="B13" s="41" t="str">
        <f>'Human Grading'!B13</f>
        <v>after stopDuration (AtStation ⇒ StopNotRequired)</v>
      </c>
      <c r="C13" s="63">
        <f>'Human Grading'!C13</f>
        <v>0</v>
      </c>
      <c r="D13" s="63">
        <f>'LLM Grading'!C13</f>
        <v>0.5</v>
      </c>
      <c r="E13" s="23"/>
      <c r="F13" s="51" t="s">
        <v>183</v>
      </c>
      <c r="G13" s="16">
        <f t="shared" ref="G13:I13" si="18">SUM(G10:G12)</f>
        <v>8</v>
      </c>
      <c r="H13" s="16">
        <f t="shared" si="18"/>
        <v>1</v>
      </c>
      <c r="I13" s="16">
        <f t="shared" si="18"/>
        <v>8</v>
      </c>
      <c r="J13" s="16">
        <f>SUM(G10:I12)</f>
        <v>17</v>
      </c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</row>
    <row r="14" spans="1:24" ht="15.75" customHeight="1" x14ac:dyDescent="0.15">
      <c r="A14" s="35" t="str">
        <f>'Human Grading'!A14</f>
        <v>Guard</v>
      </c>
      <c r="B14" s="35" t="str">
        <f>'Human Grading'!B14</f>
        <v>[!isLastStop()]</v>
      </c>
      <c r="C14" s="61">
        <f>'Human Grading'!C14</f>
        <v>0.5</v>
      </c>
      <c r="D14" s="61">
        <f>'LLM Grading'!C14</f>
        <v>1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</row>
    <row r="15" spans="1:24" ht="15.75" customHeight="1" x14ac:dyDescent="0.15">
      <c r="A15" s="41" t="str">
        <f>'Human Grading'!A15</f>
        <v>Transition</v>
      </c>
      <c r="B15" s="41" t="str">
        <f>'Human Grading'!B15</f>
        <v>after stopDuration (AtStation ⇒ Arrived)</v>
      </c>
      <c r="C15" s="63">
        <f>'Human Grading'!C15</f>
        <v>0</v>
      </c>
      <c r="D15" s="63">
        <f>'LLM Grading'!C15</f>
        <v>0.5</v>
      </c>
      <c r="E15" s="23"/>
      <c r="F15" s="67" t="s">
        <v>186</v>
      </c>
      <c r="G15" s="68"/>
      <c r="H15" s="68"/>
      <c r="I15" s="68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</row>
    <row r="16" spans="1:24" ht="15.75" customHeight="1" x14ac:dyDescent="0.15">
      <c r="A16" s="35" t="str">
        <f>'Human Grading'!A16</f>
        <v>Guard</v>
      </c>
      <c r="B16" s="35" t="str">
        <f>'Human Grading'!B16</f>
        <v>[isLastStop()]</v>
      </c>
      <c r="C16" s="61">
        <f>'Human Grading'!C16</f>
        <v>0.5</v>
      </c>
      <c r="D16" s="61">
        <f>'LLM Grading'!C16</f>
        <v>1</v>
      </c>
      <c r="E16" s="23"/>
      <c r="F16" s="16" t="s">
        <v>7</v>
      </c>
      <c r="G16" s="52" t="s">
        <v>171</v>
      </c>
      <c r="H16" s="52" t="s">
        <v>172</v>
      </c>
      <c r="I16" s="52" t="s">
        <v>173</v>
      </c>
      <c r="J16" s="53" t="s">
        <v>174</v>
      </c>
      <c r="K16" s="23"/>
      <c r="L16" s="16" t="s">
        <v>170</v>
      </c>
      <c r="M16" s="52" t="s">
        <v>171</v>
      </c>
      <c r="N16" s="52" t="s">
        <v>172</v>
      </c>
      <c r="O16" s="52" t="s">
        <v>173</v>
      </c>
      <c r="P16" s="23"/>
      <c r="Q16" s="16" t="s">
        <v>170</v>
      </c>
      <c r="R16" s="52" t="s">
        <v>171</v>
      </c>
      <c r="S16" s="52" t="s">
        <v>172</v>
      </c>
      <c r="T16" s="52" t="s">
        <v>173</v>
      </c>
      <c r="U16" s="23"/>
      <c r="V16" s="62" t="str">
        <f>"Metrics" &amp; " " &amp; F16</f>
        <v>Metrics Transition</v>
      </c>
      <c r="W16" s="40" t="s">
        <v>176</v>
      </c>
      <c r="X16" s="40" t="s">
        <v>177</v>
      </c>
    </row>
    <row r="17" spans="1:24" ht="15.75" customHeight="1" x14ac:dyDescent="0.15">
      <c r="A17" s="41" t="str">
        <f>'Human Grading'!A17</f>
        <v>Action</v>
      </c>
      <c r="B17" s="41" t="str">
        <f>'Human Grading'!B17</f>
        <v>pOff;</v>
      </c>
      <c r="C17" s="63">
        <f>'Human Grading'!C17</f>
        <v>1</v>
      </c>
      <c r="D17" s="63">
        <f>'LLM Grading'!C17</f>
        <v>1</v>
      </c>
      <c r="E17" s="23"/>
      <c r="F17" s="42">
        <v>0</v>
      </c>
      <c r="G17" s="43">
        <f t="shared" ref="G17:H17" si="19">COUNTIFS($A$2:$A$115,$F$16,$C$2:$C$115,$F17,$D$2:$D$115,G$16)</f>
        <v>1</v>
      </c>
      <c r="H17" s="44">
        <f t="shared" si="19"/>
        <v>4</v>
      </c>
      <c r="I17" s="45">
        <f>COUNTIFS($A$2:$A$71,$F$16,$C$2:$C$71,$F17,$D$2:$D$71,I$16) + MAX(D73-C73,0)</f>
        <v>2</v>
      </c>
      <c r="J17" s="16">
        <f t="shared" ref="J17:J19" si="20">SUM(G17:I17)</f>
        <v>7</v>
      </c>
      <c r="K17" s="23"/>
      <c r="L17" s="42">
        <v>0</v>
      </c>
      <c r="M17" s="43">
        <f t="shared" ref="M17:O17" si="21">ABS(G$2-$F17)/1</f>
        <v>0</v>
      </c>
      <c r="N17" s="44">
        <f t="shared" si="21"/>
        <v>0.5</v>
      </c>
      <c r="O17" s="45">
        <f t="shared" si="21"/>
        <v>1</v>
      </c>
      <c r="P17" s="23"/>
      <c r="Q17" s="42">
        <v>0</v>
      </c>
      <c r="R17" s="43">
        <f t="shared" ref="R17:T17" si="22">($J17/$J$20) * (G$20/$J$20)</f>
        <v>0.1111111111111111</v>
      </c>
      <c r="S17" s="44">
        <f t="shared" si="22"/>
        <v>0.12698412698412698</v>
      </c>
      <c r="T17" s="45">
        <f t="shared" si="22"/>
        <v>9.5238095238095233E-2</v>
      </c>
      <c r="U17" s="23"/>
      <c r="V17" s="40" t="s">
        <v>199</v>
      </c>
      <c r="W17" s="43">
        <f>SUMPRODUCT(G17:I19, M17:O19) /$J$20</f>
        <v>0.47619047619047616</v>
      </c>
      <c r="X17" s="45" t="s">
        <v>200</v>
      </c>
    </row>
    <row r="18" spans="1:24" ht="15.75" customHeight="1" x14ac:dyDescent="0.15">
      <c r="A18" s="35" t="str">
        <f>'Human Grading'!A18</f>
        <v>State</v>
      </c>
      <c r="B18" s="35" t="str">
        <f>'Human Grading'!B18</f>
        <v>StopNotRequired</v>
      </c>
      <c r="C18" s="61">
        <f>'Human Grading'!C18</f>
        <v>0</v>
      </c>
      <c r="D18" s="61">
        <f>'LLM Grading'!C18</f>
        <v>0</v>
      </c>
      <c r="E18" s="23"/>
      <c r="F18" s="42">
        <v>0.5</v>
      </c>
      <c r="G18" s="46">
        <f t="shared" ref="G18:I18" si="23">COUNTIFS($A$2:$A$115,$F$16,$C$2:$C$115,$F18,$D$2:$D$115,G$16)</f>
        <v>4</v>
      </c>
      <c r="H18" s="16">
        <f t="shared" si="23"/>
        <v>2</v>
      </c>
      <c r="I18" s="47">
        <f t="shared" si="23"/>
        <v>2</v>
      </c>
      <c r="J18" s="16">
        <f t="shared" si="20"/>
        <v>8</v>
      </c>
      <c r="K18" s="23"/>
      <c r="L18" s="42">
        <v>0.5</v>
      </c>
      <c r="M18" s="46">
        <f t="shared" ref="M18:M19" si="24">ABS(G$2-$F18)/1</f>
        <v>0.5</v>
      </c>
      <c r="N18" s="16">
        <f>ABS(H$2-$F18)/3</f>
        <v>0</v>
      </c>
      <c r="O18" s="47">
        <f>ABS(I$2-$F18)/1</f>
        <v>0.5</v>
      </c>
      <c r="P18" s="23"/>
      <c r="Q18" s="42">
        <v>0.5</v>
      </c>
      <c r="R18" s="46">
        <f t="shared" ref="R18:T18" si="25">($J18/$J$20) * (G$20/$J$20)</f>
        <v>0.12698412698412698</v>
      </c>
      <c r="S18" s="16">
        <f t="shared" si="25"/>
        <v>0.14512471655328796</v>
      </c>
      <c r="T18" s="47">
        <f t="shared" si="25"/>
        <v>0.10884353741496597</v>
      </c>
      <c r="U18" s="23"/>
      <c r="V18" s="40" t="s">
        <v>201</v>
      </c>
      <c r="W18" s="46">
        <f>SUMPRODUCT(R17:T19, M17:O19)</f>
        <v>0.42630385487528344</v>
      </c>
      <c r="X18" s="47" t="s">
        <v>202</v>
      </c>
    </row>
    <row r="19" spans="1:24" ht="15.75" customHeight="1" x14ac:dyDescent="0.15">
      <c r="A19" s="41" t="str">
        <f>'Human Grading'!A19</f>
        <v>Action</v>
      </c>
      <c r="B19" s="41" t="str">
        <f>'Human Grading'!B19</f>
        <v>entry / setSpeed()</v>
      </c>
      <c r="C19" s="63">
        <f>'Human Grading'!C19</f>
        <v>1</v>
      </c>
      <c r="D19" s="63">
        <f>'LLM Grading'!C19</f>
        <v>0.5</v>
      </c>
      <c r="E19" s="23"/>
      <c r="F19" s="42">
        <v>1</v>
      </c>
      <c r="G19" s="48">
        <f>COUNTIFS($A$2:$A$71,$F$16,$C$2:$C$71,$F19,$D$2:$D$71,G$16)+MAX(C73-D73,0)</f>
        <v>2</v>
      </c>
      <c r="H19" s="49">
        <f>COUNTIFS($A$2:$A$115,$F$16,$C$2:$C$115,$F19,$D$2:$D$115,H$16)</f>
        <v>2</v>
      </c>
      <c r="I19" s="50">
        <f>COUNTIFS($A$2:$A$71,$F$16,$C$2:$C$71,$F19,$D$2:$D$71,I$16) + MIN(C73,D73)</f>
        <v>2</v>
      </c>
      <c r="J19" s="16">
        <f t="shared" si="20"/>
        <v>6</v>
      </c>
      <c r="K19" s="23"/>
      <c r="L19" s="42">
        <v>1</v>
      </c>
      <c r="M19" s="48">
        <f t="shared" si="24"/>
        <v>1</v>
      </c>
      <c r="N19" s="49">
        <f t="shared" ref="N19:O19" si="26">ABS(H$2-$F19)/1</f>
        <v>0.5</v>
      </c>
      <c r="O19" s="50">
        <f t="shared" si="26"/>
        <v>0</v>
      </c>
      <c r="P19" s="23"/>
      <c r="Q19" s="42">
        <v>1</v>
      </c>
      <c r="R19" s="48">
        <f t="shared" ref="R19:T19" si="27">($J19/$J$20) * (G$20/$J$20)</f>
        <v>9.5238095238095233E-2</v>
      </c>
      <c r="S19" s="49">
        <f t="shared" si="27"/>
        <v>0.10884353741496597</v>
      </c>
      <c r="T19" s="50">
        <f t="shared" si="27"/>
        <v>8.1632653061224483E-2</v>
      </c>
      <c r="U19" s="23"/>
      <c r="V19" s="40" t="s">
        <v>169</v>
      </c>
      <c r="W19" s="48">
        <f>1-W17/W18</f>
        <v>-0.11702127659574457</v>
      </c>
      <c r="X19" s="50" t="s">
        <v>203</v>
      </c>
    </row>
    <row r="20" spans="1:24" ht="15.75" customHeight="1" x14ac:dyDescent="0.15">
      <c r="A20" s="35" t="str">
        <f>'Human Grading'!A20</f>
        <v>Transition</v>
      </c>
      <c r="B20" s="35" t="str">
        <f>'Human Grading'!B20</f>
        <v>enteringSegment (StopNotRequired ⇒ StopNotRequired)</v>
      </c>
      <c r="C20" s="61">
        <f>'Human Grading'!C20</f>
        <v>0.5</v>
      </c>
      <c r="D20" s="61">
        <f>'LLM Grading'!C20</f>
        <v>0.5</v>
      </c>
      <c r="E20" s="23"/>
      <c r="F20" s="51" t="s">
        <v>183</v>
      </c>
      <c r="G20" s="16">
        <f t="shared" ref="G20:I20" si="28">SUM(G17:G19)</f>
        <v>7</v>
      </c>
      <c r="H20" s="16">
        <f t="shared" si="28"/>
        <v>8</v>
      </c>
      <c r="I20" s="16">
        <f t="shared" si="28"/>
        <v>6</v>
      </c>
      <c r="J20" s="16">
        <f>SUM(G17:I19)</f>
        <v>21</v>
      </c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</row>
    <row r="21" spans="1:24" ht="15.75" customHeight="1" x14ac:dyDescent="0.15">
      <c r="A21" s="41" t="str">
        <f>'Human Grading'!A21</f>
        <v>Guard</v>
      </c>
      <c r="B21" s="41" t="str">
        <f>'Human Grading'!B21</f>
        <v>[isRegularSegment()]</v>
      </c>
      <c r="C21" s="63">
        <f>'Human Grading'!C21</f>
        <v>0</v>
      </c>
      <c r="D21" s="63">
        <f>'LLM Grading'!C21</f>
        <v>1</v>
      </c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</row>
    <row r="22" spans="1:24" ht="15.75" customHeight="1" x14ac:dyDescent="0.15">
      <c r="A22" s="35" t="str">
        <f>'Human Grading'!A22</f>
        <v>Transition</v>
      </c>
      <c r="B22" s="35" t="str">
        <f>'Human Grading'!B22</f>
        <v>enteringSegment (StopNotRequired ⇒ ApproachingRedLight)</v>
      </c>
      <c r="C22" s="61">
        <f>'Human Grading'!C22</f>
        <v>0</v>
      </c>
      <c r="D22" s="61">
        <f>'LLM Grading'!C22</f>
        <v>0.5</v>
      </c>
      <c r="E22" s="23"/>
      <c r="F22" s="67" t="s">
        <v>188</v>
      </c>
      <c r="G22" s="68"/>
      <c r="H22" s="68"/>
      <c r="I22" s="68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</row>
    <row r="23" spans="1:24" ht="15.75" customHeight="1" x14ac:dyDescent="0.15">
      <c r="A23" s="41" t="str">
        <f>'Human Grading'!A23</f>
        <v>Guard</v>
      </c>
      <c r="B23" s="41" t="str">
        <f>'Human Grading'!B23</f>
        <v>[isTrafficLightSegment() &amp;&amp; isRed()]</v>
      </c>
      <c r="C23" s="63">
        <f>'Human Grading'!C23</f>
        <v>1</v>
      </c>
      <c r="D23" s="63">
        <f>'LLM Grading'!C23</f>
        <v>1</v>
      </c>
      <c r="E23" s="23"/>
      <c r="F23" s="16" t="s">
        <v>11</v>
      </c>
      <c r="G23" s="52" t="s">
        <v>171</v>
      </c>
      <c r="H23" s="52" t="s">
        <v>172</v>
      </c>
      <c r="I23" s="52" t="s">
        <v>173</v>
      </c>
      <c r="J23" s="53" t="s">
        <v>174</v>
      </c>
      <c r="K23" s="23"/>
      <c r="L23" s="16" t="s">
        <v>170</v>
      </c>
      <c r="M23" s="52" t="s">
        <v>171</v>
      </c>
      <c r="N23" s="52" t="s">
        <v>172</v>
      </c>
      <c r="O23" s="52" t="s">
        <v>173</v>
      </c>
      <c r="P23" s="23"/>
      <c r="Q23" s="16" t="s">
        <v>170</v>
      </c>
      <c r="R23" s="52" t="s">
        <v>171</v>
      </c>
      <c r="S23" s="52" t="s">
        <v>172</v>
      </c>
      <c r="T23" s="52" t="s">
        <v>173</v>
      </c>
      <c r="U23" s="23"/>
      <c r="V23" s="62" t="str">
        <f>"Metrics" &amp; " " &amp; F23</f>
        <v>Metrics Composite State</v>
      </c>
      <c r="W23" s="40" t="s">
        <v>176</v>
      </c>
      <c r="X23" s="40" t="s">
        <v>177</v>
      </c>
    </row>
    <row r="24" spans="1:24" ht="15.75" customHeight="1" x14ac:dyDescent="0.15">
      <c r="A24" s="35" t="str">
        <f>'Human Grading'!A24</f>
        <v>Transition</v>
      </c>
      <c r="B24" s="35" t="str">
        <f>'Human Grading'!B24</f>
        <v>enteringSegment (StopNotRequired ⇒ StopNotRequired)</v>
      </c>
      <c r="C24" s="61">
        <f>'Human Grading'!C24</f>
        <v>0.5</v>
      </c>
      <c r="D24" s="61">
        <f>'LLM Grading'!C24</f>
        <v>1</v>
      </c>
      <c r="E24" s="23"/>
      <c r="F24" s="42">
        <v>0</v>
      </c>
      <c r="G24" s="43">
        <f t="shared" ref="G24:H24" si="29">COUNTIFS($A$2:$A$115,$F$23,$C$2:$C$115,$F24,$D$2:$D$115,G$23)</f>
        <v>1</v>
      </c>
      <c r="H24" s="44">
        <f t="shared" si="29"/>
        <v>0</v>
      </c>
      <c r="I24" s="45">
        <f>COUNTIFS($A$2:$A$71,$F$23,$C$2:$C$71,$F24,$D$2:$D$71,I$23) + MAX(D76-C76,0)</f>
        <v>0</v>
      </c>
      <c r="J24" s="16">
        <f t="shared" ref="J24:J26" si="30">SUM(G24:I24)</f>
        <v>1</v>
      </c>
      <c r="K24" s="23"/>
      <c r="L24" s="42">
        <v>0</v>
      </c>
      <c r="M24" s="43">
        <f t="shared" ref="M24:O24" si="31">ABS(G$2-$F24)/1</f>
        <v>0</v>
      </c>
      <c r="N24" s="44">
        <f t="shared" si="31"/>
        <v>0.5</v>
      </c>
      <c r="O24" s="45">
        <f t="shared" si="31"/>
        <v>1</v>
      </c>
      <c r="P24" s="23"/>
      <c r="Q24" s="42">
        <v>0</v>
      </c>
      <c r="R24" s="43">
        <f t="shared" ref="R24:T24" si="32">($J24/$J$27) * (G$27/$J$27)</f>
        <v>0.22222222222222221</v>
      </c>
      <c r="S24" s="44">
        <f t="shared" si="32"/>
        <v>0</v>
      </c>
      <c r="T24" s="45">
        <f t="shared" si="32"/>
        <v>0.1111111111111111</v>
      </c>
      <c r="U24" s="23"/>
      <c r="V24" s="40" t="s">
        <v>199</v>
      </c>
      <c r="W24" s="43">
        <f>SUMPRODUCT(G24:I26, M24:O26) /$J$27</f>
        <v>0.33333333333333331</v>
      </c>
      <c r="X24" s="45" t="s">
        <v>200</v>
      </c>
    </row>
    <row r="25" spans="1:24" ht="15.75" customHeight="1" x14ac:dyDescent="0.15">
      <c r="A25" s="41" t="str">
        <f>'Human Grading'!A25</f>
        <v>Guard</v>
      </c>
      <c r="B25" s="41" t="str">
        <f>'Human Grading'!B25</f>
        <v>[isTrafficLightSegment() &amp;&amp; !isRed()]</v>
      </c>
      <c r="C25" s="63">
        <f>'Human Grading'!C25</f>
        <v>1</v>
      </c>
      <c r="D25" s="63">
        <f>'LLM Grading'!C25</f>
        <v>1</v>
      </c>
      <c r="E25" s="23"/>
      <c r="F25" s="42">
        <v>0.5</v>
      </c>
      <c r="G25" s="46">
        <f t="shared" ref="G25:I25" si="33">COUNTIFS($A$2:$A$115,$F$23,$C$2:$C$115,$F25,$D$2:$D$115,G$23)</f>
        <v>0</v>
      </c>
      <c r="H25" s="16">
        <f t="shared" si="33"/>
        <v>0</v>
      </c>
      <c r="I25" s="47">
        <f t="shared" si="33"/>
        <v>0</v>
      </c>
      <c r="J25" s="16">
        <f t="shared" si="30"/>
        <v>0</v>
      </c>
      <c r="K25" s="23"/>
      <c r="L25" s="42">
        <v>0.5</v>
      </c>
      <c r="M25" s="46">
        <f t="shared" ref="M25:M26" si="34">ABS(G$2-$F25)/1</f>
        <v>0.5</v>
      </c>
      <c r="N25" s="16">
        <f>ABS(H$2-$F25)/3</f>
        <v>0</v>
      </c>
      <c r="O25" s="47">
        <f>ABS(I$2-$F25)/1</f>
        <v>0.5</v>
      </c>
      <c r="P25" s="23"/>
      <c r="Q25" s="42">
        <v>0.5</v>
      </c>
      <c r="R25" s="46">
        <f t="shared" ref="R25:T25" si="35">($J25/$J$27) * (G$27/$J$27)</f>
        <v>0</v>
      </c>
      <c r="S25" s="16">
        <f t="shared" si="35"/>
        <v>0</v>
      </c>
      <c r="T25" s="47">
        <f t="shared" si="35"/>
        <v>0</v>
      </c>
      <c r="U25" s="23"/>
      <c r="V25" s="40" t="s">
        <v>201</v>
      </c>
      <c r="W25" s="46">
        <f>SUMPRODUCT(R24:T26, M24:O26)</f>
        <v>0.55555555555555558</v>
      </c>
      <c r="X25" s="47" t="s">
        <v>202</v>
      </c>
    </row>
    <row r="26" spans="1:24" ht="15.75" customHeight="1" x14ac:dyDescent="0.15">
      <c r="A26" s="35" t="str">
        <f>'Human Grading'!A26</f>
        <v>Transition</v>
      </c>
      <c r="B26" s="35" t="str">
        <f>'Human Grading'!B26</f>
        <v>enteringSegment (StopNotRequired ⇒ ApproachingStation)</v>
      </c>
      <c r="C26" s="61">
        <f>'Human Grading'!C26</f>
        <v>1</v>
      </c>
      <c r="D26" s="61">
        <f>'LLM Grading'!C26</f>
        <v>0.5</v>
      </c>
      <c r="E26" s="23"/>
      <c r="F26" s="42">
        <v>1</v>
      </c>
      <c r="G26" s="48">
        <f>COUNTIFS($A$2:$A$71,$F$23,$C$2:$C$71,$F26,$D$2:$D$71,G$23) + MAX(C76-D76,0)</f>
        <v>1</v>
      </c>
      <c r="H26" s="49">
        <f>COUNTIFS($A$2:$A$115,$F$23,$C$2:$C$115,$F26,$D$2:$D$115,H$23)</f>
        <v>0</v>
      </c>
      <c r="I26" s="50">
        <f>COUNTIFS($A$2:$A$71,$F$23,$C$2:$C$71,$F26,$D$2:$D$71,I$23) + MIN(C76,D76)</f>
        <v>1</v>
      </c>
      <c r="J26" s="16">
        <f t="shared" si="30"/>
        <v>2</v>
      </c>
      <c r="K26" s="23"/>
      <c r="L26" s="42">
        <v>1</v>
      </c>
      <c r="M26" s="48">
        <f t="shared" si="34"/>
        <v>1</v>
      </c>
      <c r="N26" s="49">
        <f t="shared" ref="N26:O26" si="36">ABS(H$2-$F26)/1</f>
        <v>0.5</v>
      </c>
      <c r="O26" s="50">
        <f t="shared" si="36"/>
        <v>0</v>
      </c>
      <c r="P26" s="23"/>
      <c r="Q26" s="42">
        <v>1</v>
      </c>
      <c r="R26" s="48">
        <f t="shared" ref="R26:T26" si="37">($J26/$J$27) * (G$27/$J$27)</f>
        <v>0.44444444444444442</v>
      </c>
      <c r="S26" s="49">
        <f t="shared" si="37"/>
        <v>0</v>
      </c>
      <c r="T26" s="50">
        <f t="shared" si="37"/>
        <v>0.22222222222222221</v>
      </c>
      <c r="U26" s="23"/>
      <c r="V26" s="40" t="s">
        <v>169</v>
      </c>
      <c r="W26" s="48">
        <f>1-W24/W25</f>
        <v>0.4</v>
      </c>
      <c r="X26" s="50" t="s">
        <v>203</v>
      </c>
    </row>
    <row r="27" spans="1:24" ht="15.75" customHeight="1" x14ac:dyDescent="0.15">
      <c r="A27" s="41" t="str">
        <f>'Human Grading'!A27</f>
        <v>Guard</v>
      </c>
      <c r="B27" s="41" t="str">
        <f>'Human Grading'!B27</f>
        <v>[isStationSegment() &amp;&amp; stopRequired()]</v>
      </c>
      <c r="C27" s="63">
        <f>'Human Grading'!C27</f>
        <v>0.5</v>
      </c>
      <c r="D27" s="63">
        <f>'LLM Grading'!C27</f>
        <v>1</v>
      </c>
      <c r="E27" s="23"/>
      <c r="F27" s="51" t="s">
        <v>183</v>
      </c>
      <c r="G27" s="16">
        <f t="shared" ref="G27:I27" si="38">SUM(G24:G26)</f>
        <v>2</v>
      </c>
      <c r="H27" s="16">
        <f t="shared" si="38"/>
        <v>0</v>
      </c>
      <c r="I27" s="16">
        <f t="shared" si="38"/>
        <v>1</v>
      </c>
      <c r="J27" s="16">
        <f>SUM(G24:I26)</f>
        <v>3</v>
      </c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</row>
    <row r="28" spans="1:24" ht="15.75" customHeight="1" x14ac:dyDescent="0.15">
      <c r="A28" s="35" t="str">
        <f>'Human Grading'!A28</f>
        <v>State</v>
      </c>
      <c r="B28" s="35" t="str">
        <f>'Human Grading'!B28</f>
        <v>ApproachingRedLight</v>
      </c>
      <c r="C28" s="61">
        <f>'Human Grading'!C28</f>
        <v>0.5</v>
      </c>
      <c r="D28" s="61">
        <f>'LLM Grading'!C28</f>
        <v>1</v>
      </c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</row>
    <row r="29" spans="1:24" ht="15.75" customHeight="1" x14ac:dyDescent="0.15">
      <c r="A29" s="41" t="str">
        <f>'Human Grading'!A29</f>
        <v>Action</v>
      </c>
      <c r="B29" s="41" t="str">
        <f>'Human Grading'!B29</f>
        <v>entry / stopAL</v>
      </c>
      <c r="C29" s="63">
        <f>'Human Grading'!C29</f>
        <v>1</v>
      </c>
      <c r="D29" s="63">
        <f>'LLM Grading'!C29</f>
        <v>1</v>
      </c>
      <c r="E29" s="23"/>
      <c r="F29" s="67" t="s">
        <v>190</v>
      </c>
      <c r="G29" s="68"/>
      <c r="H29" s="68"/>
      <c r="I29" s="68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ht="15.75" customHeight="1" x14ac:dyDescent="0.15">
      <c r="A30" s="35" t="str">
        <f>'Human Grading'!A30</f>
        <v>Transition</v>
      </c>
      <c r="B30" s="35" t="str">
        <f>'Human Grading'!B30</f>
        <v>stopped (ApproachingRedLight ⇒ AtRedTrafficLight)</v>
      </c>
      <c r="C30" s="61">
        <f>'Human Grading'!C30</f>
        <v>0.5</v>
      </c>
      <c r="D30" s="61">
        <f>'LLM Grading'!C30</f>
        <v>1</v>
      </c>
      <c r="E30" s="23"/>
      <c r="F30" s="16" t="s">
        <v>21</v>
      </c>
      <c r="G30" s="52" t="s">
        <v>171</v>
      </c>
      <c r="H30" s="52" t="s">
        <v>172</v>
      </c>
      <c r="I30" s="52" t="s">
        <v>173</v>
      </c>
      <c r="J30" s="53" t="s">
        <v>174</v>
      </c>
      <c r="K30" s="23"/>
      <c r="L30" s="16" t="s">
        <v>170</v>
      </c>
      <c r="M30" s="52">
        <v>0</v>
      </c>
      <c r="N30" s="52" t="s">
        <v>172</v>
      </c>
      <c r="O30" s="52" t="s">
        <v>173</v>
      </c>
      <c r="P30" s="23"/>
      <c r="Q30" s="16" t="s">
        <v>170</v>
      </c>
      <c r="R30" s="52" t="s">
        <v>171</v>
      </c>
      <c r="S30" s="52" t="s">
        <v>172</v>
      </c>
      <c r="T30" s="52" t="s">
        <v>173</v>
      </c>
      <c r="U30" s="23"/>
      <c r="V30" s="62" t="str">
        <f>"Metrics" &amp; " " &amp; F30</f>
        <v>Metrics Guard</v>
      </c>
      <c r="W30" s="40" t="s">
        <v>176</v>
      </c>
      <c r="X30" s="40" t="s">
        <v>177</v>
      </c>
    </row>
    <row r="31" spans="1:24" ht="15.75" customHeight="1" x14ac:dyDescent="0.15">
      <c r="A31" s="41" t="str">
        <f>'Human Grading'!A31</f>
        <v>State</v>
      </c>
      <c r="B31" s="41" t="str">
        <f>'Human Grading'!B31</f>
        <v>AtRedTrafficLight</v>
      </c>
      <c r="C31" s="63">
        <f>'Human Grading'!C31</f>
        <v>1</v>
      </c>
      <c r="D31" s="63">
        <f>'LLM Grading'!C31</f>
        <v>1</v>
      </c>
      <c r="E31" s="23"/>
      <c r="F31" s="42">
        <v>0</v>
      </c>
      <c r="G31" s="43">
        <f t="shared" ref="G31:H31" si="39">COUNTIFS($A$2:$A$115,$F$30,$C$2:$C$115,$F31,$D$2:$D$115,G$30)</f>
        <v>5</v>
      </c>
      <c r="H31" s="44">
        <f t="shared" si="39"/>
        <v>0</v>
      </c>
      <c r="I31" s="45">
        <f>COUNTIFS($A$2:$A$71,$F$30,$C$2:$C$71,$F31,$D$2:$D$71,I$30) + MAX(D74-C74,0)</f>
        <v>1</v>
      </c>
      <c r="J31" s="16">
        <f t="shared" ref="J31:J33" si="40">SUM(G31:I31)</f>
        <v>6</v>
      </c>
      <c r="K31" s="23"/>
      <c r="L31" s="42">
        <v>0</v>
      </c>
      <c r="M31" s="43">
        <f t="shared" ref="M31:O31" si="41">ABS(G$2-$F31)/1</f>
        <v>0</v>
      </c>
      <c r="N31" s="44">
        <f t="shared" si="41"/>
        <v>0.5</v>
      </c>
      <c r="O31" s="45">
        <f t="shared" si="41"/>
        <v>1</v>
      </c>
      <c r="P31" s="23"/>
      <c r="Q31" s="42">
        <v>0</v>
      </c>
      <c r="R31" s="43">
        <f t="shared" ref="R31:T31" si="42">($J31/$J$34) * (G$34/$J$34)</f>
        <v>0.24</v>
      </c>
      <c r="S31" s="44">
        <f t="shared" si="42"/>
        <v>0</v>
      </c>
      <c r="T31" s="45">
        <f t="shared" si="42"/>
        <v>0.16000000000000003</v>
      </c>
      <c r="U31" s="23"/>
      <c r="V31" s="40" t="s">
        <v>199</v>
      </c>
      <c r="W31" s="43">
        <f>SUMPRODUCT(G31:I33, M31:O33) /$J$34</f>
        <v>0.43333333333333335</v>
      </c>
      <c r="X31" s="45" t="s">
        <v>200</v>
      </c>
    </row>
    <row r="32" spans="1:24" ht="15.75" customHeight="1" x14ac:dyDescent="0.15">
      <c r="A32" s="35" t="str">
        <f>'Human Grading'!A32</f>
        <v>Transition</v>
      </c>
      <c r="B32" s="35" t="str">
        <f>'Human Grading'!B32</f>
        <v>green (AtRedTrafficLight ⇒ StopNotRequired)</v>
      </c>
      <c r="C32" s="61">
        <f>'Human Grading'!C32</f>
        <v>0.5</v>
      </c>
      <c r="D32" s="61">
        <f>'LLM Grading'!C32</f>
        <v>0.5</v>
      </c>
      <c r="E32" s="23"/>
      <c r="F32" s="42">
        <v>0.5</v>
      </c>
      <c r="G32" s="46">
        <f t="shared" ref="G32:I32" si="43">COUNTIFS($A$2:$A$115,$F$30,$C$2:$C$115,$F32,$D$2:$D$115,G$30)</f>
        <v>0</v>
      </c>
      <c r="H32" s="16">
        <f t="shared" si="43"/>
        <v>0</v>
      </c>
      <c r="I32" s="47">
        <f t="shared" si="43"/>
        <v>3</v>
      </c>
      <c r="J32" s="16">
        <f t="shared" si="40"/>
        <v>3</v>
      </c>
      <c r="K32" s="23"/>
      <c r="L32" s="42">
        <v>0.5</v>
      </c>
      <c r="M32" s="46">
        <f t="shared" ref="M32:M33" si="44">ABS(G$2-$F32)/1</f>
        <v>0.5</v>
      </c>
      <c r="N32" s="16">
        <f>ABS(H$2-$F32)/3</f>
        <v>0</v>
      </c>
      <c r="O32" s="47">
        <f>ABS(I$2-$F32)/1</f>
        <v>0.5</v>
      </c>
      <c r="P32" s="23"/>
      <c r="Q32" s="42">
        <v>0.5</v>
      </c>
      <c r="R32" s="46">
        <f t="shared" ref="R32:T32" si="45">($J32/$J$34) * (G$34/$J$34)</f>
        <v>0.12</v>
      </c>
      <c r="S32" s="16">
        <f t="shared" si="45"/>
        <v>0</v>
      </c>
      <c r="T32" s="47">
        <f t="shared" si="45"/>
        <v>8.0000000000000016E-2</v>
      </c>
      <c r="U32" s="23"/>
      <c r="V32" s="40" t="s">
        <v>201</v>
      </c>
      <c r="W32" s="46">
        <f>SUMPRODUCT(R31:T33, M31:O33)</f>
        <v>0.5</v>
      </c>
      <c r="X32" s="47" t="s">
        <v>202</v>
      </c>
    </row>
    <row r="33" spans="1:24" ht="15.75" customHeight="1" x14ac:dyDescent="0.15">
      <c r="A33" s="41" t="str">
        <f>'Human Grading'!A33</f>
        <v>State</v>
      </c>
      <c r="B33" s="41" t="str">
        <f>'Human Grading'!B33</f>
        <v>ApproachingStation</v>
      </c>
      <c r="C33" s="63">
        <f>'Human Grading'!C33</f>
        <v>0.5</v>
      </c>
      <c r="D33" s="63">
        <f>'LLM Grading'!C33</f>
        <v>1</v>
      </c>
      <c r="E33" s="23"/>
      <c r="F33" s="42">
        <v>1</v>
      </c>
      <c r="G33" s="48">
        <f>COUNTIFS($A$2:$A$71,$F$30,$C$2:$C$71,$F33,$D$2:$D$71,G$30) + MAX(C74-D74,0)</f>
        <v>4</v>
      </c>
      <c r="H33" s="49">
        <f>COUNTIFS($A$2:$A$115,$F$30,$C$2:$C$115,$F33,$D$2:$D$115,H$30)</f>
        <v>0</v>
      </c>
      <c r="I33" s="50">
        <f>COUNTIFS($A$2:$A$71,$F$30,$C$2:$C$71,$F33,$D$2:$D$71,I$30) + MIN(C74,D74)</f>
        <v>2</v>
      </c>
      <c r="J33" s="16">
        <f t="shared" si="40"/>
        <v>6</v>
      </c>
      <c r="K33" s="23"/>
      <c r="L33" s="42">
        <v>1</v>
      </c>
      <c r="M33" s="48">
        <f t="shared" si="44"/>
        <v>1</v>
      </c>
      <c r="N33" s="49">
        <f t="shared" ref="N33:O33" si="46">ABS(H$2-$F33)/1</f>
        <v>0.5</v>
      </c>
      <c r="O33" s="50">
        <f t="shared" si="46"/>
        <v>0</v>
      </c>
      <c r="P33" s="23"/>
      <c r="Q33" s="42">
        <v>1</v>
      </c>
      <c r="R33" s="48">
        <f t="shared" ref="R33:T33" si="47">($J33/$J$34) * (G$34/$J$34)</f>
        <v>0.24</v>
      </c>
      <c r="S33" s="49">
        <f t="shared" si="47"/>
        <v>0</v>
      </c>
      <c r="T33" s="50">
        <f t="shared" si="47"/>
        <v>0.16000000000000003</v>
      </c>
      <c r="U33" s="23"/>
      <c r="V33" s="40" t="s">
        <v>169</v>
      </c>
      <c r="W33" s="48">
        <f>1-W31/W32</f>
        <v>0.1333333333333333</v>
      </c>
      <c r="X33" s="50" t="s">
        <v>203</v>
      </c>
    </row>
    <row r="34" spans="1:24" ht="15.75" customHeight="1" x14ac:dyDescent="0.15">
      <c r="A34" s="35" t="str">
        <f>'Human Grading'!A34</f>
        <v>Action</v>
      </c>
      <c r="B34" s="35" t="str">
        <f>'Human Grading'!B34</f>
        <v>entry / stopAL</v>
      </c>
      <c r="C34" s="61">
        <f>'Human Grading'!C34</f>
        <v>1</v>
      </c>
      <c r="D34" s="61">
        <f>'LLM Grading'!C34</f>
        <v>1</v>
      </c>
      <c r="E34" s="23"/>
      <c r="F34" s="51" t="s">
        <v>183</v>
      </c>
      <c r="G34" s="16">
        <f t="shared" ref="G34:I34" si="48">SUM(G31:G33)</f>
        <v>9</v>
      </c>
      <c r="H34" s="16">
        <f t="shared" si="48"/>
        <v>0</v>
      </c>
      <c r="I34" s="16">
        <f t="shared" si="48"/>
        <v>6</v>
      </c>
      <c r="J34" s="16">
        <f>SUM(G31:I33)</f>
        <v>15</v>
      </c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ht="15.75" customHeight="1" x14ac:dyDescent="0.15">
      <c r="A35" s="41" t="str">
        <f>'Human Grading'!A35</f>
        <v>Transition</v>
      </c>
      <c r="B35" s="41" t="str">
        <f>'Human Grading'!B35</f>
        <v>stopped (ApproachingStation ⇒ AtStation)</v>
      </c>
      <c r="C35" s="63">
        <f>'Human Grading'!C35</f>
        <v>0</v>
      </c>
      <c r="D35" s="63">
        <f>'LLM Grading'!C35</f>
        <v>1</v>
      </c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</row>
    <row r="36" spans="1:24" ht="15.75" customHeight="1" x14ac:dyDescent="0.15">
      <c r="A36" s="35" t="str">
        <f>'Human Grading'!A36</f>
        <v>History State</v>
      </c>
      <c r="B36" s="35" t="str">
        <f>'Human Grading'!B36</f>
        <v>History State for TrainMovement</v>
      </c>
      <c r="C36" s="61">
        <f>'Human Grading'!C36</f>
        <v>0</v>
      </c>
      <c r="D36" s="61">
        <f>'LLM Grading'!C36</f>
        <v>0</v>
      </c>
      <c r="E36" s="23"/>
      <c r="F36" s="67" t="s">
        <v>192</v>
      </c>
      <c r="G36" s="68"/>
      <c r="H36" s="68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</row>
    <row r="37" spans="1:24" ht="15.75" customHeight="1" x14ac:dyDescent="0.15">
      <c r="A37" s="41" t="str">
        <f>'Human Grading'!A37</f>
        <v>State</v>
      </c>
      <c r="B37" s="41" t="str">
        <f>'Human Grading'!B37</f>
        <v>Emergency</v>
      </c>
      <c r="C37" s="63">
        <f>'Human Grading'!C37</f>
        <v>0</v>
      </c>
      <c r="D37" s="63">
        <f>'LLM Grading'!C37</f>
        <v>1</v>
      </c>
      <c r="E37" s="23"/>
      <c r="F37" s="16" t="s">
        <v>9</v>
      </c>
      <c r="G37" s="54" t="s">
        <v>171</v>
      </c>
      <c r="H37" s="54" t="s">
        <v>172</v>
      </c>
      <c r="I37" s="54" t="s">
        <v>173</v>
      </c>
      <c r="J37" s="53" t="s">
        <v>174</v>
      </c>
      <c r="K37" s="23"/>
      <c r="L37" s="16" t="s">
        <v>170</v>
      </c>
      <c r="M37" s="52">
        <v>0</v>
      </c>
      <c r="N37" s="52" t="s">
        <v>172</v>
      </c>
      <c r="O37" s="52" t="s">
        <v>173</v>
      </c>
      <c r="P37" s="23"/>
      <c r="Q37" s="16" t="s">
        <v>170</v>
      </c>
      <c r="R37" s="52" t="s">
        <v>171</v>
      </c>
      <c r="S37" s="52" t="s">
        <v>172</v>
      </c>
      <c r="T37" s="52" t="s">
        <v>173</v>
      </c>
      <c r="U37" s="23"/>
      <c r="V37" s="62" t="str">
        <f>"Metrics" &amp; " " &amp; F37</f>
        <v>Metrics Action</v>
      </c>
      <c r="W37" s="40" t="s">
        <v>176</v>
      </c>
      <c r="X37" s="40" t="s">
        <v>177</v>
      </c>
    </row>
    <row r="38" spans="1:24" ht="15.75" customHeight="1" x14ac:dyDescent="0.15">
      <c r="A38" s="35" t="str">
        <f>'Human Grading'!A38</f>
        <v>Transition</v>
      </c>
      <c r="B38" s="35" t="str">
        <f>'Human Grading'!B38</f>
        <v>emergency (TrainMovement ⇒ Emergency)</v>
      </c>
      <c r="C38" s="61">
        <f>'Human Grading'!C38</f>
        <v>0</v>
      </c>
      <c r="D38" s="61">
        <f>'LLM Grading'!C38</f>
        <v>1</v>
      </c>
      <c r="E38" s="23"/>
      <c r="F38" s="55">
        <v>0</v>
      </c>
      <c r="G38" s="43">
        <f>COUNTIFS($A$2:$A$115,F37,$C$2:$C$115,$F38,$D$2:$D$115,G37)</f>
        <v>3</v>
      </c>
      <c r="H38" s="44">
        <f>COUNTIFS($A$2:$A$115,F37,$C$2:$C$115,$F38,$D$2:$D$115,H37)</f>
        <v>0</v>
      </c>
      <c r="I38" s="45">
        <f>COUNTIFS($A$2:$A$71,F37,$C$2:$C$71,$F38,$D$2:$D$71,I37)+MAX(D75-C75,0)</f>
        <v>1</v>
      </c>
      <c r="J38" s="16">
        <f t="shared" ref="J38:J40" si="49">SUM(G38:I38)</f>
        <v>4</v>
      </c>
      <c r="K38" s="23"/>
      <c r="L38" s="42">
        <v>0</v>
      </c>
      <c r="M38" s="43">
        <f t="shared" ref="M38:O38" si="50">ABS(G$2-$F38)/1</f>
        <v>0</v>
      </c>
      <c r="N38" s="44">
        <f t="shared" si="50"/>
        <v>0.5</v>
      </c>
      <c r="O38" s="45">
        <f t="shared" si="50"/>
        <v>1</v>
      </c>
      <c r="P38" s="23"/>
      <c r="Q38" s="42">
        <v>0</v>
      </c>
      <c r="R38" s="43">
        <f t="shared" ref="R38:T38" si="51">($J38/$J$41) * (G$41/$J$41)</f>
        <v>0.1183431952662722</v>
      </c>
      <c r="S38" s="44">
        <f t="shared" si="51"/>
        <v>4.7337278106508882E-2</v>
      </c>
      <c r="T38" s="45">
        <f t="shared" si="51"/>
        <v>0.14201183431952663</v>
      </c>
      <c r="U38" s="23"/>
      <c r="V38" s="40" t="s">
        <v>199</v>
      </c>
      <c r="W38" s="43">
        <f>SUMPRODUCT(G38:I40, M38:O40) /$J$41</f>
        <v>0.26923076923076922</v>
      </c>
      <c r="X38" s="45" t="s">
        <v>200</v>
      </c>
    </row>
    <row r="39" spans="1:24" ht="15.75" customHeight="1" x14ac:dyDescent="0.15">
      <c r="A39" s="41" t="str">
        <f>'Human Grading'!A39</f>
        <v>Action</v>
      </c>
      <c r="B39" s="41" t="str">
        <f>'Human Grading'!B39</f>
        <v>eStop;</v>
      </c>
      <c r="C39" s="63">
        <f>'Human Grading'!C39</f>
        <v>1</v>
      </c>
      <c r="D39" s="63">
        <f>'LLM Grading'!C39</f>
        <v>1</v>
      </c>
      <c r="E39" s="23"/>
      <c r="F39" s="55">
        <v>0.5</v>
      </c>
      <c r="G39" s="46">
        <f>COUNTIFS($A$2:$A$115,F37,$C$2:$C$115,$F39,$D$2:$D$115,G37)</f>
        <v>1</v>
      </c>
      <c r="H39" s="16">
        <f>COUNTIFS($A$2:$A$115,F37,$C$2:$C$115,$F38,$D$2:$D$115,H37)</f>
        <v>0</v>
      </c>
      <c r="I39" s="47">
        <f>COUNTIFS($A$2:$A$115,F37,$C$2:$C$115,$F39,$D$2:$D$115,I37)</f>
        <v>0</v>
      </c>
      <c r="J39" s="16">
        <f t="shared" si="49"/>
        <v>1</v>
      </c>
      <c r="K39" s="23"/>
      <c r="L39" s="42">
        <v>0.5</v>
      </c>
      <c r="M39" s="46">
        <f t="shared" ref="M39:M40" si="52">ABS(G$2-$F39)/1</f>
        <v>0.5</v>
      </c>
      <c r="N39" s="16">
        <f>ABS(H$2-$F39)/3</f>
        <v>0</v>
      </c>
      <c r="O39" s="47">
        <f>ABS(I$2-$F39)/1</f>
        <v>0.5</v>
      </c>
      <c r="P39" s="23"/>
      <c r="Q39" s="42">
        <v>0.5</v>
      </c>
      <c r="R39" s="46">
        <f t="shared" ref="R39:T39" si="53">($J39/$J$41) * (G$41/$J$41)</f>
        <v>2.9585798816568049E-2</v>
      </c>
      <c r="S39" s="16">
        <f t="shared" si="53"/>
        <v>1.183431952662722E-2</v>
      </c>
      <c r="T39" s="47">
        <f t="shared" si="53"/>
        <v>3.5502958579881658E-2</v>
      </c>
      <c r="U39" s="23"/>
      <c r="V39" s="40" t="s">
        <v>201</v>
      </c>
      <c r="W39" s="46">
        <f>SUMPRODUCT(R38:T40, M38:O40)</f>
        <v>0.48224852071005919</v>
      </c>
      <c r="X39" s="47" t="s">
        <v>202</v>
      </c>
    </row>
    <row r="40" spans="1:24" ht="15.75" customHeight="1" x14ac:dyDescent="0.15">
      <c r="A40" s="35" t="str">
        <f>'Human Grading'!A40</f>
        <v>Transition</v>
      </c>
      <c r="B40" s="35" t="str">
        <f>'Human Grading'!B40</f>
        <v>clear (Emergency ⇒ History State)</v>
      </c>
      <c r="C40" s="61">
        <f>'Human Grading'!C40</f>
        <v>0</v>
      </c>
      <c r="D40" s="61">
        <f>'LLM Grading'!C40</f>
        <v>0.5</v>
      </c>
      <c r="E40" s="23"/>
      <c r="F40" s="55">
        <v>1</v>
      </c>
      <c r="G40" s="48">
        <f>COUNTIFS($A$2:$A$71,F37,$C$2:$C$71,$F40,$D$2:$D$71,G37)+MAX(C75-D75,0)</f>
        <v>1</v>
      </c>
      <c r="H40" s="49">
        <f>COUNTIFS($A$2:$A$115,F37,$C$2:$C$115,$F40,$D$2:$D$115,H37)</f>
        <v>2</v>
      </c>
      <c r="I40" s="50">
        <f>COUNTIFS($A$2:$A$71,F37,$C$2:$C$71,$F40,$D$2:$D$71,I37) + MIN(C75,D75)</f>
        <v>5</v>
      </c>
      <c r="J40" s="16">
        <f t="shared" si="49"/>
        <v>8</v>
      </c>
      <c r="K40" s="23"/>
      <c r="L40" s="42">
        <v>1</v>
      </c>
      <c r="M40" s="48">
        <f t="shared" si="52"/>
        <v>1</v>
      </c>
      <c r="N40" s="49">
        <f t="shared" ref="N40:O40" si="54">ABS(H$2-$F40)/1</f>
        <v>0.5</v>
      </c>
      <c r="O40" s="50">
        <f t="shared" si="54"/>
        <v>0</v>
      </c>
      <c r="P40" s="23"/>
      <c r="Q40" s="42">
        <v>1</v>
      </c>
      <c r="R40" s="48">
        <f t="shared" ref="R40:T40" si="55">($J40/$J$41) * (G$41/$J$41)</f>
        <v>0.23668639053254439</v>
      </c>
      <c r="S40" s="49">
        <f t="shared" si="55"/>
        <v>9.4674556213017763E-2</v>
      </c>
      <c r="T40" s="50">
        <f t="shared" si="55"/>
        <v>0.28402366863905326</v>
      </c>
      <c r="U40" s="23"/>
      <c r="V40" s="40" t="s">
        <v>169</v>
      </c>
      <c r="W40" s="48">
        <f>1-W38/W39</f>
        <v>0.44171779141104295</v>
      </c>
      <c r="X40" s="50" t="s">
        <v>203</v>
      </c>
    </row>
    <row r="41" spans="1:24" ht="15.75" customHeight="1" x14ac:dyDescent="0.15">
      <c r="A41" s="41" t="str">
        <f>'Human Grading'!A41</f>
        <v>Region</v>
      </c>
      <c r="B41" s="41" t="str">
        <f>'Human Grading'!B41</f>
        <v>SDS</v>
      </c>
      <c r="C41" s="63">
        <f>'Human Grading'!C41</f>
        <v>1</v>
      </c>
      <c r="D41" s="63">
        <f>'LLM Grading'!C41</f>
        <v>1</v>
      </c>
      <c r="E41" s="23"/>
      <c r="F41" s="51" t="s">
        <v>183</v>
      </c>
      <c r="G41" s="16">
        <f>SUM(G38:G40)</f>
        <v>5</v>
      </c>
      <c r="H41" s="16">
        <f>SUM(H39:H40)</f>
        <v>2</v>
      </c>
      <c r="I41" s="16">
        <f>SUM(I38:I40)</f>
        <v>6</v>
      </c>
      <c r="J41" s="16">
        <f>SUM(G38:I40)</f>
        <v>13</v>
      </c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</row>
    <row r="42" spans="1:24" ht="15.75" customHeight="1" x14ac:dyDescent="0.15">
      <c r="A42" s="35" t="str">
        <f>'Human Grading'!A42</f>
        <v>State</v>
      </c>
      <c r="B42" s="35" t="str">
        <f>'Human Grading'!B42</f>
        <v>Initial state (SDS → SDSActive)</v>
      </c>
      <c r="C42" s="61">
        <f>'Human Grading'!C42</f>
        <v>1</v>
      </c>
      <c r="D42" s="61">
        <f>'LLM Grading'!C42</f>
        <v>1</v>
      </c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</row>
    <row r="43" spans="1:24" ht="15.75" customHeight="1" x14ac:dyDescent="0.15">
      <c r="A43" s="41" t="str">
        <f>'Human Grading'!A43</f>
        <v>State</v>
      </c>
      <c r="B43" s="41" t="str">
        <f>'Human Grading'!B43</f>
        <v>SDSActive</v>
      </c>
      <c r="C43" s="63">
        <f>'Human Grading'!C43</f>
        <v>1</v>
      </c>
      <c r="D43" s="63">
        <f>'LLM Grading'!C43</f>
        <v>1</v>
      </c>
      <c r="E43" s="23"/>
      <c r="F43" s="67" t="s">
        <v>194</v>
      </c>
      <c r="G43" s="68"/>
      <c r="H43" s="68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</row>
    <row r="44" spans="1:24" ht="15.75" customHeight="1" x14ac:dyDescent="0.15">
      <c r="A44" s="35" t="str">
        <f>'Human Grading'!A44</f>
        <v>Transition</v>
      </c>
      <c r="B44" s="35" t="str">
        <f>'Human Grading'!B44</f>
        <v>after 1 sec (SDSActive ⇒ SDSActive)</v>
      </c>
      <c r="C44" s="61">
        <f>'Human Grading'!C44</f>
        <v>1</v>
      </c>
      <c r="D44" s="61">
        <f>'LLM Grading'!C44</f>
        <v>1</v>
      </c>
      <c r="E44" s="23"/>
      <c r="F44" s="16" t="s">
        <v>42</v>
      </c>
      <c r="G44" s="52" t="s">
        <v>171</v>
      </c>
      <c r="H44" s="52" t="s">
        <v>172</v>
      </c>
      <c r="I44" s="52" t="s">
        <v>173</v>
      </c>
      <c r="J44" s="53" t="s">
        <v>174</v>
      </c>
      <c r="K44" s="23"/>
      <c r="L44" s="16" t="s">
        <v>170</v>
      </c>
      <c r="M44" s="52" t="s">
        <v>171</v>
      </c>
      <c r="N44" s="52" t="s">
        <v>172</v>
      </c>
      <c r="O44" s="52" t="s">
        <v>173</v>
      </c>
      <c r="P44" s="23"/>
      <c r="Q44" s="16" t="s">
        <v>170</v>
      </c>
      <c r="R44" s="52" t="s">
        <v>171</v>
      </c>
      <c r="S44" s="52" t="s">
        <v>172</v>
      </c>
      <c r="T44" s="52" t="s">
        <v>173</v>
      </c>
      <c r="U44" s="23"/>
      <c r="V44" s="62" t="str">
        <f>"Metrics" &amp; " " &amp; F44</f>
        <v>Metrics History State</v>
      </c>
      <c r="W44" s="40" t="s">
        <v>176</v>
      </c>
      <c r="X44" s="40" t="s">
        <v>177</v>
      </c>
    </row>
    <row r="45" spans="1:24" ht="15.75" customHeight="1" x14ac:dyDescent="0.15">
      <c r="A45" s="41" t="str">
        <f>'Human Grading'!A45</f>
        <v>Guard</v>
      </c>
      <c r="B45" s="41" t="str">
        <f>'Human Grading'!B45</f>
        <v>[hasSegmentChanged()]</v>
      </c>
      <c r="C45" s="63">
        <f>'Human Grading'!C45</f>
        <v>1</v>
      </c>
      <c r="D45" s="63">
        <f>'LLM Grading'!C45</f>
        <v>0</v>
      </c>
      <c r="E45" s="23"/>
      <c r="F45" s="42">
        <v>0</v>
      </c>
      <c r="G45" s="43">
        <f t="shared" ref="G45:H45" si="56">COUNTIFS($A$2:$A$115,$F$44,$C$2:$C$115,$F45,$D$2:$D$115,G$44)</f>
        <v>2</v>
      </c>
      <c r="H45" s="44">
        <f t="shared" si="56"/>
        <v>0</v>
      </c>
      <c r="I45" s="45">
        <f>COUNTIFS($A$2:$A$71,$F$44,$C$2:$C$71,$F45,$D$2:$D$71,I$44) + MAX(D78-C78,0)</f>
        <v>0</v>
      </c>
      <c r="J45" s="16">
        <f t="shared" ref="J45:J47" si="57">SUM(G45:I45)</f>
        <v>2</v>
      </c>
      <c r="K45" s="23"/>
      <c r="L45" s="42">
        <v>0</v>
      </c>
      <c r="M45" s="43">
        <f t="shared" ref="M45:O45" si="58">ABS(G$2-$F45)/1</f>
        <v>0</v>
      </c>
      <c r="N45" s="44">
        <f t="shared" si="58"/>
        <v>0.5</v>
      </c>
      <c r="O45" s="45">
        <f t="shared" si="58"/>
        <v>1</v>
      </c>
      <c r="P45" s="23"/>
      <c r="Q45" s="42">
        <v>0</v>
      </c>
      <c r="R45" s="43">
        <f t="shared" ref="R45:T45" si="59">($J45/$J$48) * (G$48/$J$48)</f>
        <v>1</v>
      </c>
      <c r="S45" s="44">
        <f t="shared" si="59"/>
        <v>0</v>
      </c>
      <c r="T45" s="45">
        <f t="shared" si="59"/>
        <v>0</v>
      </c>
      <c r="U45" s="23"/>
      <c r="V45" s="40" t="s">
        <v>199</v>
      </c>
      <c r="W45" s="43">
        <f>SUMPRODUCT(G45:I47, M45:O47) /$J$48</f>
        <v>0</v>
      </c>
      <c r="X45" s="45" t="s">
        <v>200</v>
      </c>
    </row>
    <row r="46" spans="1:24" ht="15.75" customHeight="1" x14ac:dyDescent="0.15">
      <c r="A46" s="35" t="str">
        <f>'Human Grading'!A46</f>
        <v>Action</v>
      </c>
      <c r="B46" s="35" t="str">
        <f>'Human Grading'!B46</f>
        <v>setCS; enteringSegment()</v>
      </c>
      <c r="C46" s="61">
        <f>'Human Grading'!C46</f>
        <v>0.5</v>
      </c>
      <c r="D46" s="61">
        <f>'LLM Grading'!C46</f>
        <v>0</v>
      </c>
      <c r="E46" s="23"/>
      <c r="F46" s="42">
        <v>0.5</v>
      </c>
      <c r="G46" s="46">
        <f t="shared" ref="G46:I46" si="60">COUNTIFS($A$2:$A$115,$F$44,$C$2:$C$115,$F46,$D$2:$D$115,G$44)</f>
        <v>0</v>
      </c>
      <c r="H46" s="16">
        <f t="shared" si="60"/>
        <v>0</v>
      </c>
      <c r="I46" s="47">
        <f t="shared" si="60"/>
        <v>0</v>
      </c>
      <c r="J46" s="16">
        <f t="shared" si="57"/>
        <v>0</v>
      </c>
      <c r="K46" s="23"/>
      <c r="L46" s="42">
        <v>0.5</v>
      </c>
      <c r="M46" s="46">
        <f t="shared" ref="M46:M47" si="61">ABS(G$2-$F46)/1</f>
        <v>0.5</v>
      </c>
      <c r="N46" s="16">
        <f>ABS(H$2-$F46)/3</f>
        <v>0</v>
      </c>
      <c r="O46" s="47">
        <f>ABS(I$2-$F46)/1</f>
        <v>0.5</v>
      </c>
      <c r="P46" s="23"/>
      <c r="Q46" s="42">
        <v>0.5</v>
      </c>
      <c r="R46" s="46">
        <f t="shared" ref="R46:T46" si="62">($J46/$J$48) * (G$48/$J$48)</f>
        <v>0</v>
      </c>
      <c r="S46" s="16">
        <f t="shared" si="62"/>
        <v>0</v>
      </c>
      <c r="T46" s="47">
        <f t="shared" si="62"/>
        <v>0</v>
      </c>
      <c r="U46" s="23"/>
      <c r="V46" s="40" t="s">
        <v>201</v>
      </c>
      <c r="W46" s="46">
        <f>SUMPRODUCT(R45:T47, M45:O47)</f>
        <v>0</v>
      </c>
      <c r="X46" s="47" t="s">
        <v>202</v>
      </c>
    </row>
    <row r="47" spans="1:24" ht="15.75" customHeight="1" x14ac:dyDescent="0.15">
      <c r="A47" s="41" t="str">
        <f>'Human Grading'!A47</f>
        <v>Transition</v>
      </c>
      <c r="B47" s="41" t="str">
        <f>'Human Grading'!B47</f>
        <v>after 1 sec (SDSActive ⇒ SDSActive)</v>
      </c>
      <c r="C47" s="63">
        <f>'Human Grading'!C47</f>
        <v>1</v>
      </c>
      <c r="D47" s="63">
        <f>'LLM Grading'!C47</f>
        <v>0</v>
      </c>
      <c r="E47" s="23"/>
      <c r="F47" s="42">
        <v>1</v>
      </c>
      <c r="G47" s="48">
        <f>COUNTIFS($A$2:$A$71,$F$44,$C$2:$C$71,$F47,$D$2:$D$71,G$44) + MAX(C78-D78,0)</f>
        <v>0</v>
      </c>
      <c r="H47" s="49">
        <f>COUNTIFS($A$2:$A$115,$F$44,$C$2:$C$115,$F47,$D$2:$D$115,H$44)</f>
        <v>0</v>
      </c>
      <c r="I47" s="50">
        <f>COUNTIFS($A$2:$A$71,$F$44,$C$2:$C$71,$F47,$D$2:$D$71,I$44) + MIN(C78,D78)</f>
        <v>0</v>
      </c>
      <c r="J47" s="16">
        <f t="shared" si="57"/>
        <v>0</v>
      </c>
      <c r="K47" s="23"/>
      <c r="L47" s="42">
        <v>1</v>
      </c>
      <c r="M47" s="48">
        <f t="shared" si="61"/>
        <v>1</v>
      </c>
      <c r="N47" s="49">
        <f t="shared" ref="N47:O47" si="63">ABS(H$2-$F47)/1</f>
        <v>0.5</v>
      </c>
      <c r="O47" s="50">
        <f t="shared" si="63"/>
        <v>0</v>
      </c>
      <c r="P47" s="23"/>
      <c r="Q47" s="42">
        <v>1</v>
      </c>
      <c r="R47" s="48">
        <f t="shared" ref="R47:T47" si="64">($J47/$J$48) * (G$48/$J$48)</f>
        <v>0</v>
      </c>
      <c r="S47" s="49">
        <f t="shared" si="64"/>
        <v>0</v>
      </c>
      <c r="T47" s="50">
        <f t="shared" si="64"/>
        <v>0</v>
      </c>
      <c r="U47" s="23"/>
      <c r="V47" s="40" t="s">
        <v>169</v>
      </c>
      <c r="W47" s="48" t="e">
        <f>1-W45/W46</f>
        <v>#DIV/0!</v>
      </c>
      <c r="X47" s="50" t="s">
        <v>203</v>
      </c>
    </row>
    <row r="48" spans="1:24" ht="15.75" customHeight="1" x14ac:dyDescent="0.15">
      <c r="A48" s="35" t="str">
        <f>'Human Grading'!A48</f>
        <v>Guard</v>
      </c>
      <c r="B48" s="35" t="str">
        <f>'Human Grading'!B48</f>
        <v>[!hasSegmentChanged()]</v>
      </c>
      <c r="C48" s="61">
        <f>'Human Grading'!C48</f>
        <v>1</v>
      </c>
      <c r="D48" s="61">
        <f>'LLM Grading'!C48</f>
        <v>0</v>
      </c>
      <c r="E48" s="23"/>
      <c r="F48" s="51" t="s">
        <v>183</v>
      </c>
      <c r="G48" s="16">
        <f t="shared" ref="G48:I48" si="65">SUM(G45:G47)</f>
        <v>2</v>
      </c>
      <c r="H48" s="16">
        <f t="shared" si="65"/>
        <v>0</v>
      </c>
      <c r="I48" s="16">
        <f t="shared" si="65"/>
        <v>0</v>
      </c>
      <c r="J48" s="16">
        <f>SUM(G45:I47)</f>
        <v>2</v>
      </c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</row>
    <row r="49" spans="1:24" ht="15.75" customHeight="1" x14ac:dyDescent="0.15">
      <c r="A49" s="41" t="str">
        <f>'Human Grading'!A49</f>
        <v>Region</v>
      </c>
      <c r="B49" s="41" t="str">
        <f>'Human Grading'!B49</f>
        <v>MDS</v>
      </c>
      <c r="C49" s="63">
        <f>'Human Grading'!C49</f>
        <v>1</v>
      </c>
      <c r="D49" s="63">
        <f>'LLM Grading'!C49</f>
        <v>1</v>
      </c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</row>
    <row r="50" spans="1:24" ht="15.75" customHeight="1" x14ac:dyDescent="0.15">
      <c r="A50" s="35" t="str">
        <f>'Human Grading'!A50</f>
        <v>State</v>
      </c>
      <c r="B50" s="35" t="str">
        <f>'Human Grading'!B50</f>
        <v>Initial state (MDS → Stopped)</v>
      </c>
      <c r="C50" s="61">
        <f>'Human Grading'!C50</f>
        <v>0.5</v>
      </c>
      <c r="D50" s="61">
        <f>'LLM Grading'!C50</f>
        <v>0</v>
      </c>
      <c r="E50" s="23"/>
      <c r="F50" s="67" t="s">
        <v>196</v>
      </c>
      <c r="G50" s="68"/>
      <c r="H50" s="68"/>
      <c r="I50" s="68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</row>
    <row r="51" spans="1:24" ht="15.75" customHeight="1" x14ac:dyDescent="0.15">
      <c r="A51" s="41" t="str">
        <f>'Human Grading'!A51</f>
        <v>State</v>
      </c>
      <c r="B51" s="41" t="str">
        <f>'Human Grading'!B51</f>
        <v>Stopped</v>
      </c>
      <c r="C51" s="63">
        <f>'Human Grading'!C51</f>
        <v>1</v>
      </c>
      <c r="D51" s="63">
        <f>'LLM Grading'!C51</f>
        <v>0</v>
      </c>
      <c r="E51" s="23"/>
      <c r="F51" s="16" t="s">
        <v>13</v>
      </c>
      <c r="G51" s="52" t="s">
        <v>171</v>
      </c>
      <c r="H51" s="52" t="s">
        <v>172</v>
      </c>
      <c r="I51" s="52" t="s">
        <v>173</v>
      </c>
      <c r="J51" s="53" t="s">
        <v>174</v>
      </c>
      <c r="K51" s="23"/>
      <c r="L51" s="16" t="s">
        <v>170</v>
      </c>
      <c r="M51" s="52" t="s">
        <v>171</v>
      </c>
      <c r="N51" s="52" t="s">
        <v>172</v>
      </c>
      <c r="O51" s="52" t="s">
        <v>173</v>
      </c>
      <c r="P51" s="23"/>
      <c r="Q51" s="16" t="s">
        <v>170</v>
      </c>
      <c r="R51" s="52" t="s">
        <v>171</v>
      </c>
      <c r="S51" s="52" t="s">
        <v>172</v>
      </c>
      <c r="T51" s="52" t="s">
        <v>173</v>
      </c>
      <c r="U51" s="23"/>
      <c r="V51" s="62" t="str">
        <f>"Metrics" &amp; " " &amp; F51</f>
        <v>Metrics Region</v>
      </c>
      <c r="W51" s="40" t="s">
        <v>176</v>
      </c>
      <c r="X51" s="40" t="s">
        <v>177</v>
      </c>
    </row>
    <row r="52" spans="1:24" ht="15.75" customHeight="1" x14ac:dyDescent="0.15">
      <c r="A52" s="35" t="str">
        <f>'Human Grading'!A52</f>
        <v>Transition</v>
      </c>
      <c r="B52" s="35" t="str">
        <f>'Human Grading'!B52</f>
        <v>after 1 sec (Stopped ⇒ Moving)</v>
      </c>
      <c r="C52" s="61">
        <f>'Human Grading'!C52</f>
        <v>0.5</v>
      </c>
      <c r="D52" s="61">
        <f>'LLM Grading'!C52</f>
        <v>0</v>
      </c>
      <c r="E52" s="23"/>
      <c r="F52" s="42">
        <v>0</v>
      </c>
      <c r="G52" s="43">
        <f t="shared" ref="G52:H52" si="66">COUNTIFS($A$2:$A$115,$F$51,$C$2:$C$115,$F52,$D$2:$D$115,G$51)</f>
        <v>1</v>
      </c>
      <c r="H52" s="44">
        <f t="shared" si="66"/>
        <v>0</v>
      </c>
      <c r="I52" s="45">
        <f>COUNTIFS($A$2:$A$71,$F$51,$C$2:$C$71,$F52,$D$2:$D$71,I$51)+MAX(D77-C77,0)</f>
        <v>0</v>
      </c>
      <c r="J52" s="16">
        <f t="shared" ref="J52:J54" si="67">SUM(G52:I52)</f>
        <v>1</v>
      </c>
      <c r="K52" s="23"/>
      <c r="L52" s="42">
        <v>0</v>
      </c>
      <c r="M52" s="43">
        <f t="shared" ref="M52:O52" si="68">ABS(G$2-$F52)/1</f>
        <v>0</v>
      </c>
      <c r="N52" s="44">
        <f t="shared" si="68"/>
        <v>0.5</v>
      </c>
      <c r="O52" s="45">
        <f t="shared" si="68"/>
        <v>1</v>
      </c>
      <c r="P52" s="23"/>
      <c r="Q52" s="42">
        <v>0</v>
      </c>
      <c r="R52" s="43">
        <f t="shared" ref="R52:T52" si="69">($J52/$J$55) * (G$55/$J$55)</f>
        <v>4.0000000000000008E-2</v>
      </c>
      <c r="S52" s="44">
        <f t="shared" si="69"/>
        <v>0</v>
      </c>
      <c r="T52" s="45">
        <f t="shared" si="69"/>
        <v>0.16000000000000003</v>
      </c>
      <c r="U52" s="23"/>
      <c r="V52" s="40" t="s">
        <v>199</v>
      </c>
      <c r="W52" s="43">
        <f>SUMPRODUCT(G52:I54, M52:O54) /$J$55</f>
        <v>0</v>
      </c>
      <c r="X52" s="45" t="s">
        <v>200</v>
      </c>
    </row>
    <row r="53" spans="1:24" ht="15.75" customHeight="1" x14ac:dyDescent="0.15">
      <c r="A53" s="41" t="str">
        <f>'Human Grading'!A53</f>
        <v>Guard</v>
      </c>
      <c r="B53" s="41" t="str">
        <f>'Human Grading'!B53</f>
        <v>[speed &gt; 0]</v>
      </c>
      <c r="C53" s="63">
        <f>'Human Grading'!C53</f>
        <v>0</v>
      </c>
      <c r="D53" s="63">
        <f>'LLM Grading'!C53</f>
        <v>0</v>
      </c>
      <c r="E53" s="23"/>
      <c r="F53" s="42">
        <v>0.5</v>
      </c>
      <c r="G53" s="46">
        <f t="shared" ref="G53:I53" si="70">COUNTIFS($A$2:$A$115,$F$51,$C$2:$C$115,$F53,$D$2:$D$115,G$51)</f>
        <v>0</v>
      </c>
      <c r="H53" s="16">
        <f t="shared" si="70"/>
        <v>0</v>
      </c>
      <c r="I53" s="47">
        <f t="shared" si="70"/>
        <v>0</v>
      </c>
      <c r="J53" s="16">
        <f t="shared" si="67"/>
        <v>0</v>
      </c>
      <c r="K53" s="23"/>
      <c r="L53" s="42">
        <v>0.5</v>
      </c>
      <c r="M53" s="46">
        <f t="shared" ref="M53:M54" si="71">ABS(G$2-$F53)/1</f>
        <v>0.5</v>
      </c>
      <c r="N53" s="16">
        <f>ABS(H$2-$F53)/3</f>
        <v>0</v>
      </c>
      <c r="O53" s="47">
        <f>ABS(I$2-$F53)/1</f>
        <v>0.5</v>
      </c>
      <c r="P53" s="23"/>
      <c r="Q53" s="42">
        <v>0.5</v>
      </c>
      <c r="R53" s="46">
        <f t="shared" ref="R53:T53" si="72">($J53/$J$55) * (G$55/$J$55)</f>
        <v>0</v>
      </c>
      <c r="S53" s="16">
        <f t="shared" si="72"/>
        <v>0</v>
      </c>
      <c r="T53" s="47">
        <f t="shared" si="72"/>
        <v>0</v>
      </c>
      <c r="U53" s="23"/>
      <c r="V53" s="40" t="s">
        <v>201</v>
      </c>
      <c r="W53" s="46">
        <f>SUMPRODUCT(R52:T54, M52:O54)</f>
        <v>0.32000000000000006</v>
      </c>
      <c r="X53" s="47" t="s">
        <v>202</v>
      </c>
    </row>
    <row r="54" spans="1:24" ht="15.75" customHeight="1" x14ac:dyDescent="0.15">
      <c r="A54" s="35" t="str">
        <f>'Human Grading'!A54</f>
        <v>Transition</v>
      </c>
      <c r="B54" s="35" t="str">
        <f>'Human Grading'!B54</f>
        <v>after 1 sec (Stopped ⇒ Stopped)</v>
      </c>
      <c r="C54" s="61">
        <f>'Human Grading'!C54</f>
        <v>0.5</v>
      </c>
      <c r="D54" s="61">
        <f>'LLM Grading'!C54</f>
        <v>0</v>
      </c>
      <c r="E54" s="23"/>
      <c r="F54" s="42">
        <v>1</v>
      </c>
      <c r="G54" s="48">
        <f>COUNTIFS($A$2:$A$71,$F$51,$C$2:$C$71,$F54,$D$2:$D$71,G$51) + MAX(C77-D77,0)</f>
        <v>0</v>
      </c>
      <c r="H54" s="49">
        <f>COUNTIFS($A$2:$A$115,$F$51,$C$2:$C$115,$F54,$D$2:$D$115,H$51)</f>
        <v>0</v>
      </c>
      <c r="I54" s="50">
        <f>COUNTIFS($A$2:$A$71,$F$51,$C$2:$C$71,$F54,$D$2:$D$71,I$51)+MIN(C77,D77)</f>
        <v>4</v>
      </c>
      <c r="J54" s="16">
        <f t="shared" si="67"/>
        <v>4</v>
      </c>
      <c r="K54" s="23"/>
      <c r="L54" s="42">
        <v>1</v>
      </c>
      <c r="M54" s="48">
        <f t="shared" si="71"/>
        <v>1</v>
      </c>
      <c r="N54" s="49">
        <f t="shared" ref="N54:O54" si="73">ABS(H$2-$F54)/1</f>
        <v>0.5</v>
      </c>
      <c r="O54" s="50">
        <f t="shared" si="73"/>
        <v>0</v>
      </c>
      <c r="P54" s="23"/>
      <c r="Q54" s="42">
        <v>1</v>
      </c>
      <c r="R54" s="48">
        <f t="shared" ref="R54:T54" si="74">($J54/$J$55) * (G$55/$J$55)</f>
        <v>0.16000000000000003</v>
      </c>
      <c r="S54" s="49">
        <f t="shared" si="74"/>
        <v>0</v>
      </c>
      <c r="T54" s="50">
        <f t="shared" si="74"/>
        <v>0.64000000000000012</v>
      </c>
      <c r="U54" s="23"/>
      <c r="V54" s="40" t="s">
        <v>169</v>
      </c>
      <c r="W54" s="48">
        <f>1-W52/W53</f>
        <v>1</v>
      </c>
      <c r="X54" s="50" t="s">
        <v>203</v>
      </c>
    </row>
    <row r="55" spans="1:24" ht="15.75" customHeight="1" x14ac:dyDescent="0.15">
      <c r="A55" s="41" t="str">
        <f>'Human Grading'!A55</f>
        <v>Guard</v>
      </c>
      <c r="B55" s="41" t="str">
        <f>'Human Grading'!B55</f>
        <v>[speed == 0]</v>
      </c>
      <c r="C55" s="63">
        <f>'Human Grading'!C55</f>
        <v>0</v>
      </c>
      <c r="D55" s="63">
        <f>'LLM Grading'!C55</f>
        <v>0</v>
      </c>
      <c r="E55" s="23"/>
      <c r="F55" s="51" t="s">
        <v>183</v>
      </c>
      <c r="G55" s="16">
        <f t="shared" ref="G55:I55" si="75">SUM(G52:G54)</f>
        <v>1</v>
      </c>
      <c r="H55" s="16">
        <f t="shared" si="75"/>
        <v>0</v>
      </c>
      <c r="I55" s="16">
        <f t="shared" si="75"/>
        <v>4</v>
      </c>
      <c r="J55" s="16">
        <f>SUM(G52:I54)</f>
        <v>5</v>
      </c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</row>
    <row r="56" spans="1:24" ht="15.75" customHeight="1" x14ac:dyDescent="0.15">
      <c r="A56" s="35" t="str">
        <f>'Human Grading'!A56</f>
        <v>Action</v>
      </c>
      <c r="B56" s="35" t="str">
        <f>'Human Grading'!B56</f>
        <v>stopped()</v>
      </c>
      <c r="C56" s="61">
        <f>'Human Grading'!C56</f>
        <v>0</v>
      </c>
      <c r="D56" s="61">
        <f>'LLM Grading'!C56</f>
        <v>0</v>
      </c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</row>
    <row r="57" spans="1:24" ht="15.75" customHeight="1" x14ac:dyDescent="0.15">
      <c r="A57" s="41" t="str">
        <f>'Human Grading'!A57</f>
        <v>State</v>
      </c>
      <c r="B57" s="41" t="str">
        <f>'Human Grading'!B57</f>
        <v>Moving</v>
      </c>
      <c r="C57" s="63">
        <f>'Human Grading'!C57</f>
        <v>0.5</v>
      </c>
      <c r="D57" s="63">
        <f>'LLM Grading'!C57</f>
        <v>0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</row>
    <row r="58" spans="1:24" ht="15.75" customHeight="1" x14ac:dyDescent="0.15">
      <c r="A58" s="35" t="str">
        <f>'Human Grading'!A58</f>
        <v>Transition</v>
      </c>
      <c r="B58" s="35" t="str">
        <f>'Human Grading'!B58</f>
        <v>after 1 sec (Moving ⇒ Stopped)</v>
      </c>
      <c r="C58" s="61">
        <f>'Human Grading'!C58</f>
        <v>0.5</v>
      </c>
      <c r="D58" s="61">
        <f>'LLM Grading'!C58</f>
        <v>0</v>
      </c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</row>
    <row r="59" spans="1:24" ht="15.75" customHeight="1" x14ac:dyDescent="0.15">
      <c r="A59" s="41" t="str">
        <f>'Human Grading'!A59</f>
        <v>Guard</v>
      </c>
      <c r="B59" s="41" t="str">
        <f>'Human Grading'!B59</f>
        <v>[speed == 0]</v>
      </c>
      <c r="C59" s="63">
        <f>'Human Grading'!C59</f>
        <v>0</v>
      </c>
      <c r="D59" s="63">
        <f>'LLM Grading'!C59</f>
        <v>0</v>
      </c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</row>
    <row r="60" spans="1:24" ht="15.75" customHeight="1" x14ac:dyDescent="0.15">
      <c r="A60" s="35" t="str">
        <f>'Human Grading'!A60</f>
        <v>Action</v>
      </c>
      <c r="B60" s="35" t="str">
        <f>'Human Grading'!B60</f>
        <v>stopped()</v>
      </c>
      <c r="C60" s="61">
        <f>'Human Grading'!C60</f>
        <v>0</v>
      </c>
      <c r="D60" s="61">
        <f>'LLM Grading'!C60</f>
        <v>0</v>
      </c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</row>
    <row r="61" spans="1:24" ht="15.75" customHeight="1" x14ac:dyDescent="0.15">
      <c r="A61" s="41" t="str">
        <f>'Human Grading'!A61</f>
        <v>Transition</v>
      </c>
      <c r="B61" s="41" t="str">
        <f>'Human Grading'!B61</f>
        <v>after 1 sec (Moving ⇒ Moving)</v>
      </c>
      <c r="C61" s="63">
        <f>'Human Grading'!C61</f>
        <v>0.5</v>
      </c>
      <c r="D61" s="63">
        <f>'LLM Grading'!C61</f>
        <v>0</v>
      </c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</row>
    <row r="62" spans="1:24" ht="15.75" customHeight="1" x14ac:dyDescent="0.15">
      <c r="A62" s="35" t="str">
        <f>'Human Grading'!A62</f>
        <v>Guard</v>
      </c>
      <c r="B62" s="35" t="str">
        <f>'Human Grading'!B62</f>
        <v>[speed &gt; 0]</v>
      </c>
      <c r="C62" s="61">
        <f>'Human Grading'!C62</f>
        <v>0</v>
      </c>
      <c r="D62" s="61">
        <f>'LLM Grading'!C62</f>
        <v>0</v>
      </c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</row>
    <row r="63" spans="1:24" ht="15.75" customHeight="1" x14ac:dyDescent="0.15">
      <c r="A63" s="41" t="str">
        <f>'Human Grading'!A63</f>
        <v>Region</v>
      </c>
      <c r="B63" s="41" t="str">
        <f>'Human Grading'!B63</f>
        <v>ODS</v>
      </c>
      <c r="C63" s="63">
        <f>'Human Grading'!C63</f>
        <v>1</v>
      </c>
      <c r="D63" s="63">
        <f>'LLM Grading'!C63</f>
        <v>1</v>
      </c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</row>
    <row r="64" spans="1:24" ht="15.75" customHeight="1" x14ac:dyDescent="0.15">
      <c r="A64" s="35" t="str">
        <f>'Human Grading'!A64</f>
        <v>State</v>
      </c>
      <c r="B64" s="35" t="str">
        <f>'Human Grading'!B64</f>
        <v>Initial state (ODS → ODSActive)</v>
      </c>
      <c r="C64" s="61">
        <f>'Human Grading'!C64</f>
        <v>1</v>
      </c>
      <c r="D64" s="61">
        <f>'LLM Grading'!C64</f>
        <v>1</v>
      </c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</row>
    <row r="65" spans="1:24" ht="15.75" customHeight="1" x14ac:dyDescent="0.15">
      <c r="A65" s="41" t="str">
        <f>'Human Grading'!A65</f>
        <v>State</v>
      </c>
      <c r="B65" s="41" t="str">
        <f>'Human Grading'!B65</f>
        <v>ODSActive</v>
      </c>
      <c r="C65" s="63">
        <f>'Human Grading'!C65</f>
        <v>1</v>
      </c>
      <c r="D65" s="63">
        <f>'LLM Grading'!C65</f>
        <v>1</v>
      </c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</row>
    <row r="66" spans="1:24" ht="15.75" customHeight="1" x14ac:dyDescent="0.15">
      <c r="A66" s="35" t="str">
        <f>'Human Grading'!A66</f>
        <v>Transition</v>
      </c>
      <c r="B66" s="35" t="str">
        <f>'Human Grading'!B66</f>
        <v>after 1 sec (ODSActive ⇒ ODSActive)</v>
      </c>
      <c r="C66" s="61">
        <f>'Human Grading'!C66</f>
        <v>1</v>
      </c>
      <c r="D66" s="61">
        <f>'LLM Grading'!C66</f>
        <v>1</v>
      </c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15.75" customHeight="1" x14ac:dyDescent="0.15">
      <c r="A67" s="41" t="str">
        <f>'Human Grading'!A67</f>
        <v>Guard</v>
      </c>
      <c r="B67" s="41" t="str">
        <f>'Human Grading'!B67</f>
        <v>[obstacleDetected()]</v>
      </c>
      <c r="C67" s="63">
        <f>'Human Grading'!C67</f>
        <v>1</v>
      </c>
      <c r="D67" s="63">
        <f>'LLM Grading'!C67</f>
        <v>0</v>
      </c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15.75" customHeight="1" x14ac:dyDescent="0.15">
      <c r="A68" s="35" t="str">
        <f>'Human Grading'!A68</f>
        <v>Action</v>
      </c>
      <c r="B68" s="35" t="str">
        <f>'Human Grading'!B68</f>
        <v>emergency()</v>
      </c>
      <c r="C68" s="61">
        <f>'Human Grading'!C68</f>
        <v>0</v>
      </c>
      <c r="D68" s="61">
        <f>'LLM Grading'!C68</f>
        <v>0</v>
      </c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</row>
    <row r="69" spans="1:24" ht="15.75" customHeight="1" x14ac:dyDescent="0.15">
      <c r="A69" s="41" t="str">
        <f>'Human Grading'!A69</f>
        <v>Transition</v>
      </c>
      <c r="B69" s="41" t="str">
        <f>'Human Grading'!B69</f>
        <v>after 1 sec (ODSActive ⇒ ODSActive)</v>
      </c>
      <c r="C69" s="63">
        <f>'Human Grading'!C69</f>
        <v>1</v>
      </c>
      <c r="D69" s="63">
        <f>'LLM Grading'!C69</f>
        <v>0</v>
      </c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</row>
    <row r="70" spans="1:24" ht="15.75" customHeight="1" x14ac:dyDescent="0.15">
      <c r="A70" s="35" t="str">
        <f>'Human Grading'!A70</f>
        <v>Guard</v>
      </c>
      <c r="B70" s="35" t="str">
        <f>'Human Grading'!B70</f>
        <v>[!obstacleDetected()]</v>
      </c>
      <c r="C70" s="61">
        <f>'Human Grading'!C70</f>
        <v>1</v>
      </c>
      <c r="D70" s="61">
        <f>'LLM Grading'!C70</f>
        <v>0</v>
      </c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</row>
    <row r="71" spans="1:24" ht="15.75" customHeight="1" x14ac:dyDescent="0.15">
      <c r="A71" s="56" t="str">
        <f>'Human Grading'!A71</f>
        <v>State</v>
      </c>
      <c r="B71" s="56" t="str">
        <f>'Human Grading'!B71</f>
        <v>Arrived</v>
      </c>
      <c r="C71" s="64">
        <f>'Human Grading'!C71</f>
        <v>0</v>
      </c>
      <c r="D71" s="64">
        <f>'LLM Grading'!C71</f>
        <v>0</v>
      </c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</row>
    <row r="72" spans="1:24" ht="15.75" customHeight="1" x14ac:dyDescent="0.15">
      <c r="A72" s="57" t="str">
        <f>'Human Grading'!A72</f>
        <v>State</v>
      </c>
      <c r="B72" s="57" t="str">
        <f>'Human Grading'!B72</f>
        <v>additional elements</v>
      </c>
      <c r="C72" s="65">
        <f>'Human Grading'!C72</f>
        <v>0</v>
      </c>
      <c r="D72" s="65">
        <f>'LLM Grading'!C72</f>
        <v>2</v>
      </c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</row>
    <row r="73" spans="1:24" ht="15.75" customHeight="1" x14ac:dyDescent="0.15">
      <c r="A73" s="41" t="str">
        <f>'Human Grading'!A73</f>
        <v>Transition</v>
      </c>
      <c r="B73" s="41" t="str">
        <f>'Human Grading'!B73</f>
        <v>additional elements</v>
      </c>
      <c r="C73" s="63">
        <f>'Human Grading'!C73</f>
        <v>0</v>
      </c>
      <c r="D73" s="63">
        <f>'LLM Grading'!C73</f>
        <v>0</v>
      </c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</row>
    <row r="74" spans="1:24" ht="15.75" customHeight="1" x14ac:dyDescent="0.15">
      <c r="A74" s="35" t="str">
        <f>'Human Grading'!A74</f>
        <v>Guard</v>
      </c>
      <c r="B74" s="35" t="str">
        <f>'Human Grading'!B74</f>
        <v>additional elements</v>
      </c>
      <c r="C74" s="61">
        <f>'Human Grading'!C74</f>
        <v>0</v>
      </c>
      <c r="D74" s="61">
        <f>'LLM Grading'!C74</f>
        <v>0</v>
      </c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</row>
    <row r="75" spans="1:24" ht="15.75" customHeight="1" x14ac:dyDescent="0.15">
      <c r="A75" s="41" t="str">
        <f>'Human Grading'!A75</f>
        <v>Action</v>
      </c>
      <c r="B75" s="41" t="str">
        <f>'Human Grading'!B75</f>
        <v>additional elements</v>
      </c>
      <c r="C75" s="63">
        <f>'Human Grading'!C75</f>
        <v>0</v>
      </c>
      <c r="D75" s="63">
        <f>'LLM Grading'!C75</f>
        <v>1</v>
      </c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</row>
    <row r="76" spans="1:24" ht="15.75" customHeight="1" x14ac:dyDescent="0.15">
      <c r="A76" s="35" t="str">
        <f>'Human Grading'!A76</f>
        <v>Composite State</v>
      </c>
      <c r="B76" s="35" t="str">
        <f>'Human Grading'!B76</f>
        <v>additional elements</v>
      </c>
      <c r="C76" s="61">
        <f>'Human Grading'!C76</f>
        <v>0</v>
      </c>
      <c r="D76" s="61">
        <f>'LLM Grading'!C76</f>
        <v>0</v>
      </c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</row>
    <row r="77" spans="1:24" ht="15.75" customHeight="1" x14ac:dyDescent="0.15">
      <c r="A77" s="41" t="str">
        <f>'Human Grading'!A77</f>
        <v>Region</v>
      </c>
      <c r="B77" s="41" t="str">
        <f>'Human Grading'!B77</f>
        <v>additional elements</v>
      </c>
      <c r="C77" s="63">
        <f>'Human Grading'!C77</f>
        <v>0</v>
      </c>
      <c r="D77" s="63">
        <f>'LLM Grading'!C77</f>
        <v>0</v>
      </c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</row>
    <row r="78" spans="1:24" ht="15.75" customHeight="1" x14ac:dyDescent="0.15">
      <c r="A78" s="35" t="str">
        <f>'Human Grading'!A78</f>
        <v>History State</v>
      </c>
      <c r="B78" s="35" t="str">
        <f>'Human Grading'!B78</f>
        <v>additional elements</v>
      </c>
      <c r="C78" s="61">
        <f>'Human Grading'!C78</f>
        <v>0</v>
      </c>
      <c r="D78" s="61">
        <f>'LLM Grading'!C78</f>
        <v>0</v>
      </c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</row>
    <row r="79" spans="1:24" ht="15.75" customHeight="1" x14ac:dyDescent="0.15">
      <c r="A79" s="58"/>
      <c r="B79" s="59"/>
      <c r="C79" s="60"/>
      <c r="D79" s="60"/>
      <c r="E79" s="60"/>
    </row>
    <row r="80" spans="1:24" ht="15.75" customHeight="1" x14ac:dyDescent="0.15">
      <c r="A80" s="58"/>
      <c r="B80" s="59"/>
      <c r="C80" s="60"/>
      <c r="D80" s="60"/>
      <c r="E80" s="60"/>
    </row>
    <row r="81" spans="2:5" ht="15.75" customHeight="1" x14ac:dyDescent="0.15">
      <c r="B81" s="59"/>
      <c r="D81" s="60"/>
      <c r="E81" s="60"/>
    </row>
    <row r="82" spans="2:5" ht="15.75" customHeight="1" x14ac:dyDescent="0.15">
      <c r="B82" s="59"/>
      <c r="D82" s="60"/>
    </row>
    <row r="83" spans="2:5" ht="15.75" customHeight="1" x14ac:dyDescent="0.15">
      <c r="D83" s="60"/>
    </row>
    <row r="84" spans="2:5" ht="15.75" customHeight="1" x14ac:dyDescent="0.15"/>
    <row r="85" spans="2:5" ht="15.75" customHeight="1" x14ac:dyDescent="0.15"/>
    <row r="86" spans="2:5" ht="15.75" customHeight="1" x14ac:dyDescent="0.15"/>
    <row r="87" spans="2:5" ht="15.75" customHeight="1" x14ac:dyDescent="0.15"/>
    <row r="88" spans="2:5" ht="15.75" customHeight="1" x14ac:dyDescent="0.15"/>
    <row r="89" spans="2:5" ht="15.75" customHeight="1" x14ac:dyDescent="0.15"/>
    <row r="90" spans="2:5" ht="15.75" customHeight="1" x14ac:dyDescent="0.15"/>
    <row r="91" spans="2:5" ht="15.75" customHeight="1" x14ac:dyDescent="0.15"/>
    <row r="92" spans="2:5" ht="15.75" customHeight="1" x14ac:dyDescent="0.15"/>
    <row r="93" spans="2:5" ht="15.75" customHeight="1" x14ac:dyDescent="0.15"/>
    <row r="94" spans="2:5" ht="15.75" customHeight="1" x14ac:dyDescent="0.15"/>
    <row r="95" spans="2:5" ht="15.75" customHeight="1" x14ac:dyDescent="0.15"/>
    <row r="96" spans="2:5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  <row r="1007" ht="15.75" customHeight="1" x14ac:dyDescent="0.15"/>
    <row r="1008" ht="15.75" customHeight="1" x14ac:dyDescent="0.15"/>
    <row r="1009" ht="15.75" customHeight="1" x14ac:dyDescent="0.15"/>
    <row r="101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Train Automation System</vt:lpstr>
      <vt:lpstr>Human Grading</vt:lpstr>
      <vt:lpstr>LLM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2026-04-01T20:16:57Z</dcterms:modified>
</cp:coreProperties>
</file>