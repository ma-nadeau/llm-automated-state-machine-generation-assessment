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8_{7CF96976-9B33-E84B-BBF5-167241EF570E}" xr6:coauthVersionLast="47" xr6:coauthVersionMax="47" xr10:uidLastSave="{00000000-0000-0000-0000-000000000000}"/>
  <bookViews>
    <workbookView xWindow="17640" yWindow="-21000" windowWidth="30240" windowHeight="17300" activeTab="1" xr2:uid="{00000000-000D-0000-FFFF-FFFF00000000}"/>
  </bookViews>
  <sheets>
    <sheet name="SSC7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C8" i="3"/>
  <c r="B8" i="3"/>
  <c r="D7" i="3"/>
  <c r="C7" i="3"/>
  <c r="B7" i="3"/>
  <c r="E6" i="3"/>
  <c r="D6" i="3"/>
  <c r="C6" i="3"/>
  <c r="B6" i="3"/>
  <c r="G6" i="3" s="1"/>
  <c r="E5" i="3"/>
  <c r="D5" i="3"/>
  <c r="C5" i="3"/>
  <c r="B5" i="3"/>
  <c r="E4" i="3"/>
  <c r="D4" i="3"/>
  <c r="C4" i="3"/>
  <c r="B4" i="3"/>
  <c r="E3" i="3"/>
  <c r="D3" i="3"/>
  <c r="C3" i="3"/>
  <c r="B3" i="3"/>
  <c r="G3" i="3" s="1"/>
  <c r="F3" i="3" l="1"/>
  <c r="G5" i="3"/>
  <c r="H3" i="3"/>
  <c r="E10" i="3"/>
  <c r="G8" i="3"/>
  <c r="B10" i="3"/>
  <c r="F5" i="3"/>
  <c r="H5" i="3" s="1"/>
  <c r="D10" i="3"/>
  <c r="G4" i="3"/>
  <c r="F6" i="3"/>
  <c r="H6" i="3" s="1"/>
  <c r="G7" i="3"/>
  <c r="C10" i="3"/>
  <c r="G9" i="3"/>
  <c r="F9" i="3"/>
  <c r="H9" i="3" s="1"/>
  <c r="F8" i="3"/>
  <c r="H8" i="3" s="1"/>
  <c r="F4" i="3"/>
  <c r="F7" i="3"/>
  <c r="H4" i="3" l="1"/>
  <c r="G10" i="3"/>
  <c r="F10" i="3"/>
  <c r="H7" i="3"/>
  <c r="H10" i="3" l="1"/>
</calcChain>
</file>

<file path=xl/sharedStrings.xml><?xml version="1.0" encoding="utf-8"?>
<sst xmlns="http://schemas.openxmlformats.org/spreadsheetml/2006/main" count="393" uniqueCount="152">
  <si>
    <t>Type</t>
  </si>
  <si>
    <t>Element</t>
  </si>
  <si>
    <t>GPT-5 Generation</t>
  </si>
  <si>
    <t>Notes</t>
  </si>
  <si>
    <t>State</t>
  </si>
  <si>
    <t>Initial state (→ Active)</t>
  </si>
  <si>
    <t>Represented as [*] --&gt; Shopping where Shopping is the main composite state equivalent to Active</t>
  </si>
  <si>
    <t>Composite State</t>
  </si>
  <si>
    <t>Active</t>
  </si>
  <si>
    <t>Represented by Shopping composite state which contains all main operational substates</t>
  </si>
  <si>
    <t>Initial state (Active → Ready)</t>
  </si>
  <si>
    <t>Represented as [*] --&gt; ReadyForNextItem within Shopping composite state</t>
  </si>
  <si>
    <t>Ready</t>
  </si>
  <si>
    <t>Represented as ReadyForNextItem state</t>
  </si>
  <si>
    <t>Transition</t>
  </si>
  <si>
    <t>scannedNr (Ready ⇒ Ready)</t>
  </si>
  <si>
    <t>Represented as barcodeScanned(code) [!barcodeExists(code)] / showError() self-transition on ReadyForNextItem</t>
  </si>
  <si>
    <t>Guard</t>
  </si>
  <si>
    <t>[!existsNr()]</t>
  </si>
  <si>
    <t>Represented as [!barcodeExists(code)] guard condition</t>
  </si>
  <si>
    <t>Action</t>
  </si>
  <si>
    <t>error()</t>
  </si>
  <si>
    <t>Represented as showError() action</t>
  </si>
  <si>
    <t>productCodeEntered (Ready ⇒ Ready)</t>
  </si>
  <si>
    <t>Represented as productCodeEntered(code) [!productCodeExists(code)] / showError() self-transition</t>
  </si>
  <si>
    <t>[!existsCode()]</t>
  </si>
  <si>
    <t>Represented as [!productCodeExists(code)] guard condition</t>
  </si>
  <si>
    <t>productCodeEntered (Ready ⇒ WeighItem)</t>
  </si>
  <si>
    <t>Represented as productCodeEntered(code) [productCodeExists(code)] / requestItemWeight(code) to WeighingProductCodeItem</t>
  </si>
  <si>
    <t>[existsCode()]</t>
  </si>
  <si>
    <t>Represented as [productCodeExists(code)] guard condition</t>
  </si>
  <si>
    <t>scannedNr (Ready ⇒ CheckWeight)</t>
  </si>
  <si>
    <t>Represented as barcodeScanned(code) [barcodeExists(code)] / showItem(code) to AwaitingSecurityCheck</t>
  </si>
  <si>
    <t>[existsNr()]</t>
  </si>
  <si>
    <t>Represented as [barcodeExists(code)] guard condition</t>
  </si>
  <si>
    <t>addItem()</t>
  </si>
  <si>
    <t>Represented as showItem(code) which displays the item after adding it</t>
  </si>
  <si>
    <t>cancelCheckout (Ready ⇒ Override)</t>
  </si>
  <si>
    <t>Represented as cancelEverything transition from ReadyForNextItem to OverrideClearAll</t>
  </si>
  <si>
    <t>setTypeEverything()</t>
  </si>
  <si>
    <t>Represented by routing to OverrideClearAll substate which handles clearing everything</t>
  </si>
  <si>
    <t>removeItem (Ready ⇒ Override)</t>
  </si>
  <si>
    <t>Represented as removeItem transition from ReadyForNextItem to OverrideClearItem</t>
  </si>
  <si>
    <t>[billHasItem()]</t>
  </si>
  <si>
    <t>Represented as [billHasItems()] guard condition</t>
  </si>
  <si>
    <t>setTypeItem()</t>
  </si>
  <si>
    <t>Represented by routing to OverrideClearItem substate which handles clearing a single item</t>
  </si>
  <si>
    <t>broughtOwnBag (Ready ⇒ WeighBag)</t>
  </si>
  <si>
    <t>Represented as ownBags transition from ReadyForNextItem to WeighingBag</t>
  </si>
  <si>
    <t>pay (Ready ⇒ PayRequested)</t>
  </si>
  <si>
    <t>Represented as pay transition from ReadyForNextItem to PaymentProcessing</t>
  </si>
  <si>
    <t>sendPaymentRequest()</t>
  </si>
  <si>
    <t>Represented as entry action in PaymentProcessing state note</t>
  </si>
  <si>
    <t>WeighItem</t>
  </si>
  <si>
    <t>Represented as WeighingProductCodeItem state</t>
  </si>
  <si>
    <t>cancel (WeighItem ⇒ Ready)</t>
  </si>
  <si>
    <t>Represented as cancel transition from WeighingProductCodeItem to ReadyForNextItem</t>
  </si>
  <si>
    <t>weighedItem (WeighItem ⇒ CheckWeight)</t>
  </si>
  <si>
    <t>Represented as itemWeightReceived(weight) transition from WeighingProductCodeItem to AwaitingSecurityCheck</t>
  </si>
  <si>
    <t>addWeighedItem()</t>
  </si>
  <si>
    <t>Represented as showItemWithWeight(weight) action which displays the weighed item</t>
  </si>
  <si>
    <t>CheckWeight</t>
  </si>
  <si>
    <t>Represented as AwaitingSecurityCheck state</t>
  </si>
  <si>
    <t>secWeighedItem (CheckWeight ⇒ Ready)</t>
  </si>
  <si>
    <t>Represented as securityWeightReceived(weight) [weightMatches(weight)] transition from AwaitingSecurityCheck to ReadyForNextItem</t>
  </si>
  <si>
    <t>[weightMatched()]</t>
  </si>
  <si>
    <t>Represented as [weightMatches(weight)] guard condition</t>
  </si>
  <si>
    <t>secWeighedItem (CheckWeight ⇒ Override)</t>
  </si>
  <si>
    <t>Represented as securityWeightReceived(weight) [!weightMatches(weight)] transition from AwaitingSecurityCheck to OverrideClearItem</t>
  </si>
  <si>
    <t>[!weightMatched()]</t>
  </si>
  <si>
    <t>Represented as [!weightMatches(weight)] guard condition</t>
  </si>
  <si>
    <t>cancelCheckout (CheckWeight ⇒ Override)</t>
  </si>
  <si>
    <t>Represented as cancelEverything transition from AwaitingSecurityCheck to OverrideClearAll</t>
  </si>
  <si>
    <t>WeighBag</t>
  </si>
  <si>
    <t>Represented as WeighingBag state</t>
  </si>
  <si>
    <t>secWeighedItem (WeighBag ⇒ Ready)</t>
  </si>
  <si>
    <t>Represented as securityWeightReceived(weight) transition from WeighingBag to ReadyForNextItem</t>
  </si>
  <si>
    <t>addBag()</t>
  </si>
  <si>
    <t>Represented as addBag(weight) action in the transition</t>
  </si>
  <si>
    <t>cancel (WeighBag ⇒ Ready)</t>
  </si>
  <si>
    <t>Represented as cancel transition from WeighingBag to ReadyForNextItem</t>
  </si>
  <si>
    <t>Override</t>
  </si>
  <si>
    <t>Represented as OverrideRequired composite state containing OverrideClearItem and OverrideClearAll substates</t>
  </si>
  <si>
    <t>entry / lightOn()</t>
  </si>
  <si>
    <t>Represented as entry / turnLightOn() in OverrideRequired state note</t>
  </si>
  <si>
    <t>exit / lightOff()</t>
  </si>
  <si>
    <t>Represented as exit / turnLightOff() in OverrideRequired state note</t>
  </si>
  <si>
    <t>codeEntered (Override ⇒ Ready)</t>
  </si>
  <si>
    <t>Represented as staffCodeEntered(code) [overrideCodeValid(code)] / clearItemFromBill() from OverrideClearItem to ReadyForNextItem</t>
  </si>
  <si>
    <t>[codeCorrect() &amp;&amp; isTypeItem()]</t>
  </si>
  <si>
    <t>Represented by transition from OverrideClearItem substate with [overrideCodeValid(code)] guard</t>
  </si>
  <si>
    <t>clearItem()</t>
  </si>
  <si>
    <t>Represented as clearItemFromBill() action</t>
  </si>
  <si>
    <t>Represented as staffCodeEntered(code) [overrideCodeValid(code)] / clearEverything() from OverrideClearAll to ReadyForNextItem</t>
  </si>
  <si>
    <t>[codeCorrect() &amp;&amp; isTypeEverything()]</t>
  </si>
  <si>
    <t>Represented by transition from OverrideClearAll substate with [overrideCodeValid(code)] guard</t>
  </si>
  <si>
    <t>clearEverything()</t>
  </si>
  <si>
    <t>Represented as clearEverything() action</t>
  </si>
  <si>
    <t>codeEntered (Override ⇒ Override)</t>
  </si>
  <si>
    <t>Represented as self-transitions on both OverrideClearItem and OverrideClearAll with [!overrideCodeValid(code)] guard</t>
  </si>
  <si>
    <t>[!codeCorrect()]</t>
  </si>
  <si>
    <t>Represented as [!overrideCodeValid(code)] guard condition</t>
  </si>
  <si>
    <t>Represented as timeoutWarning transition from Shopping to TimeoutWarning</t>
  </si>
  <si>
    <t>timeoutWarning (Active ⇒ TimeoutCountdown)</t>
  </si>
  <si>
    <t>Represented as showError() action in self-transitions on override substates</t>
  </si>
  <si>
    <t>History State</t>
  </si>
  <si>
    <t>H (Active)</t>
  </si>
  <si>
    <t>Represented as H history state within Shopping composite state</t>
  </si>
  <si>
    <t>TimeoutCountdown</t>
  </si>
  <si>
    <t>Represented as TimeoutWarning state</t>
  </si>
  <si>
    <t>do / countFrom60()</t>
  </si>
  <si>
    <t>Represented as entry / startCountdown(60s) in TimeoutWarning state note</t>
  </si>
  <si>
    <t>(TimeoutCountdown ⇒ Active)</t>
  </si>
  <si>
    <t>Represented as countdownReachedZero transition from TimeoutWarning to ReadyForNextItem</t>
  </si>
  <si>
    <t>Represented as clearEverything() action in the transition</t>
  </si>
  <si>
    <t>readyForNextCustomer()</t>
  </si>
  <si>
    <t>Represented as resetForNextCustomer() action in the transition</t>
  </si>
  <si>
    <t>PayRequested</t>
  </si>
  <si>
    <t>Represented as PaymentProcessing state</t>
  </si>
  <si>
    <t>fail (PayRequested ⇒ Ready)</t>
  </si>
  <si>
    <t>Represented as paymentFail(error) transition from PaymentProcessing to ReadyForNextItem</t>
  </si>
  <si>
    <t>Represented as showError(error) action</t>
  </si>
  <si>
    <t>cancel (PayRequested ⇒ Ready)</t>
  </si>
  <si>
    <t>Represented as paymentCancel transition from PaymentProcessing to ReadyForNextItem</t>
  </si>
  <si>
    <t>success (PayRequested ⇒ Ready)</t>
  </si>
  <si>
    <t>Represented as paymentSuccess(authCode) transition from PaymentProcessing to ReadyForNextItem</t>
  </si>
  <si>
    <t>printBill()</t>
  </si>
  <si>
    <t>Represented as printBill(authCode) action</t>
  </si>
  <si>
    <t>Represented as resetForNextCustomer() action</t>
  </si>
  <si>
    <t>additional elements</t>
  </si>
  <si>
    <t>No additional incorrect states present</t>
  </si>
  <si>
    <t>No additional incorrect transitions present</t>
  </si>
  <si>
    <t>No additional incorrect guards present</t>
  </si>
  <si>
    <t>No additional incorrect actions present</t>
  </si>
  <si>
    <t>No additional incorrect composite states present</t>
  </si>
  <si>
    <t>Region</t>
  </si>
  <si>
    <t>No additional incorrect regions present</t>
  </si>
  <si>
    <t>No additional incorrect history states present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</si>
  <si>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</si>
  <si>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</si>
  <si>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</si>
  <si>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</si>
  <si>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</si>
  <si>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</si>
  <si>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</si>
  <si>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</si>
  <si>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</si>
  <si>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</si>
  <si>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Generation LLMs</t>
  </si>
  <si>
    <t>Overall Score</t>
  </si>
  <si>
    <t>GPT-5.5</t>
  </si>
  <si>
    <t>Claude Sonnet 4.5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</si>
</sst>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7"/>
  </cellStyleXfs>
  <cellXfs count="51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0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0" xfId="0" applyFont="1" applyFill="1" applyBorder="1"/>
    <xf numFmtId="0" fontId="2" fillId="3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 wrapText="1"/>
    </xf>
    <xf numFmtId="0" fontId="4" fillId="4" borderId="0" xfId="0" applyFont="1" applyFill="1" applyBorder="1"/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4" xfId="0" applyFont="1" applyFill="1" applyBorder="1"/>
    <xf numFmtId="0" fontId="3" fillId="4" borderId="0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0" borderId="6" xfId="0" applyFont="1" applyBorder="1"/>
    <xf numFmtId="0" fontId="4" fillId="5" borderId="0" xfId="0" applyFont="1" applyFill="1" applyBorder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Border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2" fillId="3" borderId="0" xfId="0" applyFont="1" applyFill="1" applyBorder="1"/>
    <xf numFmtId="0" fontId="8" fillId="0" borderId="0" xfId="0" applyFont="1" applyBorder="1"/>
    <xf numFmtId="0" fontId="3" fillId="5" borderId="9" xfId="0" applyFont="1" applyFill="1" applyBorder="1" applyAlignment="1">
      <alignment horizontal="center"/>
    </xf>
    <xf numFmtId="0" fontId="2" fillId="3" borderId="7" xfId="0" applyFont="1" applyFill="1" applyBorder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SSC7 Grader Huma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SSC7 Grader LLM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4</v>
      </c>
      <c r="B2" s="5" t="s">
        <v>5</v>
      </c>
      <c r="C2" s="6"/>
      <c r="D2" s="6"/>
    </row>
    <row r="3" spans="1:4" ht="14.25" customHeight="1" x14ac:dyDescent="0.15">
      <c r="A3" s="4" t="s">
        <v>7</v>
      </c>
      <c r="B3" s="7" t="s">
        <v>8</v>
      </c>
      <c r="C3" s="6"/>
      <c r="D3" s="6"/>
    </row>
    <row r="4" spans="1:4" ht="12.75" customHeight="1" x14ac:dyDescent="0.15">
      <c r="A4" s="4" t="s">
        <v>4</v>
      </c>
      <c r="B4" s="5" t="s">
        <v>10</v>
      </c>
      <c r="C4" s="6"/>
      <c r="D4" s="6"/>
    </row>
    <row r="5" spans="1:4" ht="12.75" customHeight="1" x14ac:dyDescent="0.15">
      <c r="A5" s="4" t="s">
        <v>4</v>
      </c>
      <c r="B5" s="5" t="s">
        <v>12</v>
      </c>
      <c r="C5" s="6"/>
      <c r="D5" s="6"/>
    </row>
    <row r="6" spans="1:4" ht="12.75" customHeight="1" x14ac:dyDescent="0.15">
      <c r="A6" s="4" t="s">
        <v>14</v>
      </c>
      <c r="B6" s="5" t="s">
        <v>15</v>
      </c>
      <c r="C6" s="6"/>
      <c r="D6" s="6"/>
    </row>
    <row r="7" spans="1:4" ht="12.75" customHeight="1" x14ac:dyDescent="0.15">
      <c r="A7" s="4" t="s">
        <v>17</v>
      </c>
      <c r="B7" s="5" t="s">
        <v>18</v>
      </c>
      <c r="C7" s="6"/>
      <c r="D7" s="6"/>
    </row>
    <row r="8" spans="1:4" ht="12.75" customHeight="1" x14ac:dyDescent="0.15">
      <c r="A8" s="4" t="s">
        <v>20</v>
      </c>
      <c r="B8" s="5" t="s">
        <v>21</v>
      </c>
      <c r="C8" s="6"/>
      <c r="D8" s="6"/>
    </row>
    <row r="9" spans="1:4" ht="12.75" customHeight="1" x14ac:dyDescent="0.15">
      <c r="A9" s="4" t="s">
        <v>14</v>
      </c>
      <c r="B9" s="5" t="s">
        <v>23</v>
      </c>
      <c r="C9" s="6"/>
      <c r="D9" s="6"/>
    </row>
    <row r="10" spans="1:4" ht="12.75" customHeight="1" x14ac:dyDescent="0.15">
      <c r="A10" s="4" t="s">
        <v>17</v>
      </c>
      <c r="B10" s="5" t="s">
        <v>25</v>
      </c>
      <c r="C10" s="6"/>
      <c r="D10" s="6"/>
    </row>
    <row r="11" spans="1:4" ht="12.75" customHeight="1" x14ac:dyDescent="0.15">
      <c r="A11" s="4" t="s">
        <v>20</v>
      </c>
      <c r="B11" s="5" t="s">
        <v>21</v>
      </c>
      <c r="C11" s="6"/>
      <c r="D11" s="6"/>
    </row>
    <row r="12" spans="1:4" ht="12.75" customHeight="1" x14ac:dyDescent="0.15">
      <c r="A12" s="4" t="s">
        <v>14</v>
      </c>
      <c r="B12" s="5" t="s">
        <v>27</v>
      </c>
      <c r="C12" s="6"/>
      <c r="D12" s="6"/>
    </row>
    <row r="13" spans="1:4" ht="12.75" customHeight="1" x14ac:dyDescent="0.15">
      <c r="A13" s="4" t="s">
        <v>17</v>
      </c>
      <c r="B13" s="5" t="s">
        <v>29</v>
      </c>
      <c r="C13" s="6"/>
      <c r="D13" s="6"/>
    </row>
    <row r="14" spans="1:4" ht="12.75" customHeight="1" x14ac:dyDescent="0.15">
      <c r="A14" s="4" t="s">
        <v>14</v>
      </c>
      <c r="B14" s="5" t="s">
        <v>31</v>
      </c>
      <c r="C14" s="6"/>
      <c r="D14" s="6"/>
    </row>
    <row r="15" spans="1:4" ht="12.75" customHeight="1" x14ac:dyDescent="0.15">
      <c r="A15" s="4" t="s">
        <v>17</v>
      </c>
      <c r="B15" s="5" t="s">
        <v>33</v>
      </c>
      <c r="C15" s="6"/>
      <c r="D15" s="6"/>
    </row>
    <row r="16" spans="1:4" ht="12.75" customHeight="1" x14ac:dyDescent="0.15">
      <c r="A16" s="4" t="s">
        <v>20</v>
      </c>
      <c r="B16" s="5" t="s">
        <v>35</v>
      </c>
      <c r="C16" s="6"/>
      <c r="D16" s="6"/>
    </row>
    <row r="17" spans="1:22" ht="12.75" customHeight="1" x14ac:dyDescent="0.15">
      <c r="A17" s="4" t="s">
        <v>14</v>
      </c>
      <c r="B17" s="5" t="s">
        <v>37</v>
      </c>
      <c r="C17" s="6"/>
      <c r="D17" s="6"/>
    </row>
    <row r="18" spans="1:22" ht="12.75" customHeight="1" x14ac:dyDescent="0.15">
      <c r="A18" s="8" t="s">
        <v>20</v>
      </c>
      <c r="B18" s="9" t="s">
        <v>39</v>
      </c>
      <c r="C18" s="6"/>
      <c r="D18" s="6"/>
    </row>
    <row r="19" spans="1:22" ht="12.75" customHeight="1" x14ac:dyDescent="0.15">
      <c r="A19" s="4" t="s">
        <v>14</v>
      </c>
      <c r="B19" s="5" t="s">
        <v>41</v>
      </c>
      <c r="C19" s="6"/>
      <c r="D19" s="6"/>
    </row>
    <row r="20" spans="1:22" ht="12.75" customHeight="1" x14ac:dyDescent="0.15">
      <c r="A20" s="4" t="s">
        <v>17</v>
      </c>
      <c r="B20" s="5" t="s">
        <v>43</v>
      </c>
      <c r="C20" s="6"/>
      <c r="D20" s="6"/>
    </row>
    <row r="21" spans="1:22" ht="12.75" customHeight="1" x14ac:dyDescent="0.15">
      <c r="A21" s="4" t="s">
        <v>20</v>
      </c>
      <c r="B21" s="5" t="s">
        <v>45</v>
      </c>
      <c r="C21" s="6"/>
      <c r="D21" s="6"/>
    </row>
    <row r="22" spans="1:22" ht="15" customHeight="1" x14ac:dyDescent="0.15">
      <c r="A22" s="4" t="s">
        <v>14</v>
      </c>
      <c r="B22" s="5" t="s">
        <v>47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14</v>
      </c>
      <c r="B23" s="5" t="s">
        <v>49</v>
      </c>
      <c r="C23" s="6"/>
      <c r="D23" s="6"/>
    </row>
    <row r="24" spans="1:22" ht="12.75" customHeight="1" x14ac:dyDescent="0.15">
      <c r="A24" s="4" t="s">
        <v>17</v>
      </c>
      <c r="B24" s="5" t="s">
        <v>43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20</v>
      </c>
      <c r="B25" s="5" t="s">
        <v>51</v>
      </c>
      <c r="C25" s="6"/>
      <c r="D25" s="6"/>
    </row>
    <row r="26" spans="1:22" ht="12.75" customHeight="1" x14ac:dyDescent="0.15">
      <c r="A26" s="4" t="s">
        <v>4</v>
      </c>
      <c r="B26" s="5" t="s">
        <v>53</v>
      </c>
      <c r="C26" s="6"/>
      <c r="D26" s="6"/>
    </row>
    <row r="27" spans="1:22" ht="12.75" customHeight="1" x14ac:dyDescent="0.15">
      <c r="A27" s="4" t="s">
        <v>14</v>
      </c>
      <c r="B27" s="5" t="s">
        <v>55</v>
      </c>
      <c r="C27" s="6"/>
      <c r="D27" s="6"/>
    </row>
    <row r="28" spans="1:22" ht="15" customHeight="1" x14ac:dyDescent="0.15">
      <c r="A28" s="4" t="s">
        <v>14</v>
      </c>
      <c r="B28" s="5" t="s">
        <v>57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20</v>
      </c>
      <c r="B29" s="5" t="s">
        <v>59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4</v>
      </c>
      <c r="B30" s="5" t="s">
        <v>61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14</v>
      </c>
      <c r="B31" s="5" t="s">
        <v>63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17</v>
      </c>
      <c r="B32" s="5" t="s">
        <v>65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14</v>
      </c>
      <c r="B33" s="5" t="s">
        <v>67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17</v>
      </c>
      <c r="B34" s="5" t="s">
        <v>69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20</v>
      </c>
      <c r="B35" s="5" t="s">
        <v>45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14</v>
      </c>
      <c r="B36" s="5" t="s">
        <v>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20</v>
      </c>
      <c r="B37" s="5" t="s">
        <v>39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4</v>
      </c>
      <c r="B38" s="5" t="s">
        <v>73</v>
      </c>
      <c r="C38" s="6"/>
      <c r="D38" s="6"/>
    </row>
    <row r="39" spans="1:22" ht="12.75" customHeight="1" x14ac:dyDescent="0.15">
      <c r="A39" s="4" t="s">
        <v>14</v>
      </c>
      <c r="B39" s="5" t="s">
        <v>75</v>
      </c>
      <c r="C39" s="6"/>
      <c r="D39" s="6"/>
    </row>
    <row r="40" spans="1:22" ht="12.75" customHeight="1" x14ac:dyDescent="0.15">
      <c r="A40" s="4" t="s">
        <v>20</v>
      </c>
      <c r="B40" s="5" t="s">
        <v>77</v>
      </c>
      <c r="C40" s="6"/>
      <c r="D40" s="6"/>
    </row>
    <row r="41" spans="1:22" ht="12.75" customHeight="1" x14ac:dyDescent="0.15">
      <c r="A41" s="4" t="s">
        <v>14</v>
      </c>
      <c r="B41" s="5" t="s">
        <v>79</v>
      </c>
      <c r="C41" s="6"/>
      <c r="D41" s="6"/>
    </row>
    <row r="42" spans="1:22" ht="12.75" customHeight="1" x14ac:dyDescent="0.15">
      <c r="A42" s="4" t="s">
        <v>4</v>
      </c>
      <c r="B42" s="5" t="s">
        <v>81</v>
      </c>
      <c r="C42" s="6"/>
      <c r="D42" s="6"/>
    </row>
    <row r="43" spans="1:22" ht="12.75" customHeight="1" x14ac:dyDescent="0.15">
      <c r="A43" s="4" t="s">
        <v>20</v>
      </c>
      <c r="B43" s="5" t="s">
        <v>83</v>
      </c>
      <c r="C43" s="6"/>
      <c r="D43" s="6"/>
    </row>
    <row r="44" spans="1:22" ht="12.75" customHeight="1" x14ac:dyDescent="0.15">
      <c r="A44" s="4" t="s">
        <v>20</v>
      </c>
      <c r="B44" s="5" t="s">
        <v>85</v>
      </c>
      <c r="C44" s="6"/>
      <c r="D44" s="6"/>
    </row>
    <row r="45" spans="1:22" ht="12.75" customHeight="1" x14ac:dyDescent="0.15">
      <c r="A45" s="4" t="s">
        <v>14</v>
      </c>
      <c r="B45" s="5" t="s">
        <v>87</v>
      </c>
      <c r="C45" s="6"/>
      <c r="D45" s="6"/>
    </row>
    <row r="46" spans="1:22" ht="12.75" customHeight="1" x14ac:dyDescent="0.15">
      <c r="A46" s="4" t="s">
        <v>17</v>
      </c>
      <c r="B46" s="5" t="s">
        <v>89</v>
      </c>
      <c r="C46" s="6"/>
      <c r="D46" s="6"/>
    </row>
    <row r="47" spans="1:22" ht="12.75" customHeight="1" x14ac:dyDescent="0.15">
      <c r="A47" s="4" t="s">
        <v>20</v>
      </c>
      <c r="B47" s="5" t="s">
        <v>91</v>
      </c>
      <c r="C47" s="6"/>
      <c r="D47" s="6"/>
    </row>
    <row r="48" spans="1:22" ht="12.75" customHeight="1" x14ac:dyDescent="0.15">
      <c r="A48" s="4" t="s">
        <v>14</v>
      </c>
      <c r="B48" s="5" t="s">
        <v>87</v>
      </c>
      <c r="C48" s="6"/>
      <c r="D48" s="6"/>
    </row>
    <row r="49" spans="1:4" ht="12.75" customHeight="1" x14ac:dyDescent="0.15">
      <c r="A49" s="4" t="s">
        <v>17</v>
      </c>
      <c r="B49" s="5" t="s">
        <v>94</v>
      </c>
      <c r="C49" s="6"/>
      <c r="D49" s="6"/>
    </row>
    <row r="50" spans="1:4" ht="12.75" customHeight="1" x14ac:dyDescent="0.15">
      <c r="A50" s="4" t="s">
        <v>20</v>
      </c>
      <c r="B50" s="5" t="s">
        <v>96</v>
      </c>
      <c r="C50" s="6"/>
      <c r="D50" s="6"/>
    </row>
    <row r="51" spans="1:4" ht="12.75" customHeight="1" x14ac:dyDescent="0.15">
      <c r="A51" s="4" t="s">
        <v>14</v>
      </c>
      <c r="B51" s="5" t="s">
        <v>98</v>
      </c>
      <c r="C51" s="6"/>
      <c r="D51" s="6"/>
    </row>
    <row r="52" spans="1:4" ht="12.75" customHeight="1" x14ac:dyDescent="0.15">
      <c r="A52" s="4" t="s">
        <v>17</v>
      </c>
      <c r="B52" s="5" t="s">
        <v>100</v>
      </c>
      <c r="C52" s="6"/>
      <c r="D52" s="6"/>
    </row>
    <row r="53" spans="1:4" ht="12.75" customHeight="1" x14ac:dyDescent="0.15">
      <c r="A53" s="10" t="s">
        <v>20</v>
      </c>
      <c r="B53" s="11" t="s">
        <v>21</v>
      </c>
      <c r="C53" s="6"/>
      <c r="D53" s="6"/>
    </row>
    <row r="54" spans="1:4" ht="12.75" customHeight="1" x14ac:dyDescent="0.15">
      <c r="A54" s="4" t="s">
        <v>14</v>
      </c>
      <c r="B54" s="5" t="s">
        <v>103</v>
      </c>
      <c r="C54" s="6"/>
      <c r="D54" s="6"/>
    </row>
    <row r="55" spans="1:4" ht="12.75" customHeight="1" x14ac:dyDescent="0.15">
      <c r="A55" s="4" t="s">
        <v>105</v>
      </c>
      <c r="B55" s="5" t="s">
        <v>106</v>
      </c>
      <c r="C55" s="6"/>
      <c r="D55" s="6"/>
    </row>
    <row r="56" spans="1:4" ht="12.75" customHeight="1" x14ac:dyDescent="0.15">
      <c r="A56" s="4" t="s">
        <v>4</v>
      </c>
      <c r="B56" s="5" t="s">
        <v>108</v>
      </c>
      <c r="C56" s="6"/>
      <c r="D56" s="6"/>
    </row>
    <row r="57" spans="1:4" ht="12.75" customHeight="1" x14ac:dyDescent="0.15">
      <c r="A57" s="4" t="s">
        <v>20</v>
      </c>
      <c r="B57" s="5" t="s">
        <v>110</v>
      </c>
      <c r="C57" s="6"/>
      <c r="D57" s="6"/>
    </row>
    <row r="58" spans="1:4" ht="12.75" customHeight="1" x14ac:dyDescent="0.15">
      <c r="A58" s="4" t="s">
        <v>14</v>
      </c>
      <c r="B58" s="5" t="s">
        <v>112</v>
      </c>
      <c r="C58" s="6"/>
      <c r="D58" s="6"/>
    </row>
    <row r="59" spans="1:4" ht="12.75" customHeight="1" x14ac:dyDescent="0.15">
      <c r="A59" s="4" t="s">
        <v>20</v>
      </c>
      <c r="B59" s="5" t="s">
        <v>96</v>
      </c>
      <c r="C59" s="6"/>
      <c r="D59" s="6"/>
    </row>
    <row r="60" spans="1:4" ht="13.5" customHeight="1" x14ac:dyDescent="0.15">
      <c r="A60" s="12" t="s">
        <v>20</v>
      </c>
      <c r="B60" s="13" t="s">
        <v>115</v>
      </c>
    </row>
    <row r="61" spans="1:4" ht="12.75" customHeight="1" x14ac:dyDescent="0.15">
      <c r="A61" s="4" t="s">
        <v>4</v>
      </c>
      <c r="B61" s="5" t="s">
        <v>117</v>
      </c>
      <c r="C61" s="6"/>
      <c r="D61" s="6"/>
    </row>
    <row r="62" spans="1:4" ht="15" customHeight="1" x14ac:dyDescent="0.15">
      <c r="A62" s="4" t="s">
        <v>14</v>
      </c>
      <c r="B62" s="5" t="s">
        <v>119</v>
      </c>
      <c r="C62" s="6"/>
      <c r="D62" s="6"/>
    </row>
    <row r="63" spans="1:4" ht="12.75" customHeight="1" x14ac:dyDescent="0.15">
      <c r="A63" s="4" t="s">
        <v>20</v>
      </c>
      <c r="B63" s="5" t="s">
        <v>21</v>
      </c>
      <c r="C63" s="6"/>
      <c r="D63" s="6"/>
    </row>
    <row r="64" spans="1:4" ht="12.75" customHeight="1" x14ac:dyDescent="0.15">
      <c r="A64" s="4" t="s">
        <v>14</v>
      </c>
      <c r="B64" s="5" t="s">
        <v>122</v>
      </c>
      <c r="C64" s="6"/>
      <c r="D64" s="6"/>
    </row>
    <row r="65" spans="1:22" ht="12.75" customHeight="1" x14ac:dyDescent="0.15">
      <c r="A65" s="4" t="s">
        <v>14</v>
      </c>
      <c r="B65" s="5" t="s">
        <v>124</v>
      </c>
      <c r="C65" s="6"/>
      <c r="D65" s="6"/>
    </row>
    <row r="66" spans="1:22" ht="12.75" customHeight="1" x14ac:dyDescent="0.15">
      <c r="A66" s="4" t="s">
        <v>20</v>
      </c>
      <c r="B66" s="5" t="s">
        <v>126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20</v>
      </c>
      <c r="B67" s="5" t="s">
        <v>115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4</v>
      </c>
      <c r="B68" s="15" t="s">
        <v>129</v>
      </c>
    </row>
    <row r="69" spans="1:22" ht="12.75" customHeight="1" x14ac:dyDescent="0.15">
      <c r="A69" s="16" t="s">
        <v>14</v>
      </c>
      <c r="B69" s="17" t="s">
        <v>129</v>
      </c>
    </row>
    <row r="70" spans="1:22" ht="12.75" customHeight="1" x14ac:dyDescent="0.15">
      <c r="A70" s="8" t="s">
        <v>17</v>
      </c>
      <c r="B70" s="9" t="s">
        <v>129</v>
      </c>
    </row>
    <row r="71" spans="1:22" ht="12.75" customHeight="1" x14ac:dyDescent="0.15">
      <c r="A71" s="16" t="s">
        <v>20</v>
      </c>
      <c r="B71" s="17" t="s">
        <v>129</v>
      </c>
    </row>
    <row r="72" spans="1:22" ht="12.75" customHeight="1" x14ac:dyDescent="0.15">
      <c r="A72" s="8" t="s">
        <v>7</v>
      </c>
      <c r="B72" s="9" t="s">
        <v>129</v>
      </c>
    </row>
    <row r="73" spans="1:22" ht="12.75" customHeight="1" x14ac:dyDescent="0.15">
      <c r="A73" s="16" t="s">
        <v>135</v>
      </c>
      <c r="B73" s="17" t="s">
        <v>129</v>
      </c>
    </row>
    <row r="74" spans="1:22" ht="12.75" customHeight="1" x14ac:dyDescent="0.15">
      <c r="A74" s="8" t="s">
        <v>105</v>
      </c>
      <c r="B74" s="9" t="s">
        <v>129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tabSelected="1" topLeftCell="A42" zoomScale="160" workbookViewId="0">
      <selection activeCell="B53" sqref="B53:B54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5.33203125" bestFit="1" customWidth="1"/>
    <col min="4" max="4" width="106.5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2</v>
      </c>
      <c r="D1" s="23" t="s">
        <v>3</v>
      </c>
      <c r="E1" s="3"/>
      <c r="F1" s="3"/>
    </row>
    <row r="2" spans="1:6" ht="12.75" customHeight="1" x14ac:dyDescent="0.15">
      <c r="A2" s="10" t="s">
        <v>4</v>
      </c>
      <c r="B2" s="11" t="s">
        <v>5</v>
      </c>
      <c r="C2" s="24">
        <v>1</v>
      </c>
      <c r="D2" s="25" t="s">
        <v>6</v>
      </c>
      <c r="E2" s="6"/>
      <c r="F2" s="6"/>
    </row>
    <row r="3" spans="1:6" ht="16.5" customHeight="1" x14ac:dyDescent="0.15">
      <c r="A3" s="10" t="s">
        <v>7</v>
      </c>
      <c r="B3" s="26" t="s">
        <v>8</v>
      </c>
      <c r="C3" s="27">
        <v>1</v>
      </c>
      <c r="D3" s="28" t="s">
        <v>9</v>
      </c>
      <c r="E3" s="6"/>
      <c r="F3" s="6"/>
    </row>
    <row r="4" spans="1:6" ht="12.75" customHeight="1" x14ac:dyDescent="0.15">
      <c r="A4" s="10" t="s">
        <v>4</v>
      </c>
      <c r="B4" s="11" t="s">
        <v>10</v>
      </c>
      <c r="C4" s="24">
        <v>1</v>
      </c>
      <c r="D4" s="25" t="s">
        <v>11</v>
      </c>
      <c r="E4" s="6"/>
      <c r="F4" s="6"/>
    </row>
    <row r="5" spans="1:6" ht="12.75" customHeight="1" x14ac:dyDescent="0.15">
      <c r="A5" s="10" t="s">
        <v>4</v>
      </c>
      <c r="B5" s="11" t="s">
        <v>12</v>
      </c>
      <c r="C5" s="29">
        <v>1</v>
      </c>
      <c r="D5" s="28" t="s">
        <v>13</v>
      </c>
      <c r="E5" s="6"/>
      <c r="F5" s="6"/>
    </row>
    <row r="6" spans="1:6" ht="12.75" customHeight="1" x14ac:dyDescent="0.15">
      <c r="A6" s="10" t="s">
        <v>14</v>
      </c>
      <c r="B6" s="11" t="s">
        <v>15</v>
      </c>
      <c r="C6" s="24">
        <v>1</v>
      </c>
      <c r="D6" s="25" t="s">
        <v>16</v>
      </c>
      <c r="E6" s="6"/>
      <c r="F6" s="6"/>
    </row>
    <row r="7" spans="1:6" ht="12.75" customHeight="1" x14ac:dyDescent="0.15">
      <c r="A7" s="10" t="s">
        <v>17</v>
      </c>
      <c r="B7" s="11" t="s">
        <v>18</v>
      </c>
      <c r="C7" s="29">
        <v>1</v>
      </c>
      <c r="D7" s="28" t="s">
        <v>19</v>
      </c>
      <c r="E7" s="6"/>
      <c r="F7" s="6"/>
    </row>
    <row r="8" spans="1:6" ht="12.75" customHeight="1" x14ac:dyDescent="0.15">
      <c r="A8" s="10" t="s">
        <v>20</v>
      </c>
      <c r="B8" s="11" t="s">
        <v>21</v>
      </c>
      <c r="C8" s="24">
        <v>1</v>
      </c>
      <c r="D8" s="25" t="s">
        <v>22</v>
      </c>
      <c r="E8" s="6"/>
      <c r="F8" s="6"/>
    </row>
    <row r="9" spans="1:6" ht="12.75" customHeight="1" x14ac:dyDescent="0.15">
      <c r="A9" s="10" t="s">
        <v>14</v>
      </c>
      <c r="B9" s="11" t="s">
        <v>23</v>
      </c>
      <c r="C9" s="29">
        <v>1</v>
      </c>
      <c r="D9" s="28" t="s">
        <v>24</v>
      </c>
      <c r="E9" s="6"/>
      <c r="F9" s="6"/>
    </row>
    <row r="10" spans="1:6" ht="12.75" customHeight="1" x14ac:dyDescent="0.15">
      <c r="A10" s="10" t="s">
        <v>17</v>
      </c>
      <c r="B10" s="11" t="s">
        <v>25</v>
      </c>
      <c r="C10" s="24">
        <v>1</v>
      </c>
      <c r="D10" s="25" t="s">
        <v>26</v>
      </c>
      <c r="E10" s="6"/>
      <c r="F10" s="6"/>
    </row>
    <row r="11" spans="1:6" ht="12.75" customHeight="1" x14ac:dyDescent="0.15">
      <c r="A11" s="10" t="s">
        <v>20</v>
      </c>
      <c r="B11" s="11" t="s">
        <v>21</v>
      </c>
      <c r="C11" s="29">
        <v>1</v>
      </c>
      <c r="D11" s="28" t="s">
        <v>22</v>
      </c>
      <c r="E11" s="6"/>
      <c r="F11" s="6"/>
    </row>
    <row r="12" spans="1:6" ht="12.75" customHeight="1" x14ac:dyDescent="0.15">
      <c r="A12" s="10" t="s">
        <v>14</v>
      </c>
      <c r="B12" s="11" t="s">
        <v>27</v>
      </c>
      <c r="C12" s="24">
        <v>1</v>
      </c>
      <c r="D12" s="25" t="s">
        <v>28</v>
      </c>
      <c r="E12" s="6"/>
      <c r="F12" s="6"/>
    </row>
    <row r="13" spans="1:6" ht="12.75" customHeight="1" x14ac:dyDescent="0.15">
      <c r="A13" s="10" t="s">
        <v>17</v>
      </c>
      <c r="B13" s="11" t="s">
        <v>29</v>
      </c>
      <c r="C13" s="29">
        <v>1</v>
      </c>
      <c r="D13" s="28" t="s">
        <v>30</v>
      </c>
      <c r="E13" s="6"/>
      <c r="F13" s="6"/>
    </row>
    <row r="14" spans="1:6" ht="12.75" customHeight="1" x14ac:dyDescent="0.15">
      <c r="A14" s="10" t="s">
        <v>14</v>
      </c>
      <c r="B14" s="11" t="s">
        <v>31</v>
      </c>
      <c r="C14" s="24">
        <v>1</v>
      </c>
      <c r="D14" s="25" t="s">
        <v>32</v>
      </c>
      <c r="E14" s="6"/>
      <c r="F14" s="6"/>
    </row>
    <row r="15" spans="1:6" ht="12.75" customHeight="1" x14ac:dyDescent="0.15">
      <c r="A15" s="10" t="s">
        <v>17</v>
      </c>
      <c r="B15" s="11" t="s">
        <v>33</v>
      </c>
      <c r="C15" s="29">
        <v>1</v>
      </c>
      <c r="D15" s="28" t="s">
        <v>34</v>
      </c>
      <c r="E15" s="6"/>
      <c r="F15" s="6"/>
    </row>
    <row r="16" spans="1:6" ht="12.75" customHeight="1" x14ac:dyDescent="0.15">
      <c r="A16" s="10" t="s">
        <v>20</v>
      </c>
      <c r="B16" s="11" t="s">
        <v>35</v>
      </c>
      <c r="C16" s="24">
        <v>1</v>
      </c>
      <c r="D16" s="24" t="s">
        <v>36</v>
      </c>
      <c r="E16" s="6"/>
      <c r="F16" s="6"/>
    </row>
    <row r="17" spans="1:24" ht="15" customHeight="1" x14ac:dyDescent="0.15">
      <c r="A17" s="10" t="s">
        <v>14</v>
      </c>
      <c r="B17" s="11" t="s">
        <v>37</v>
      </c>
      <c r="C17" s="29">
        <v>1</v>
      </c>
      <c r="D17" s="29" t="s">
        <v>38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20</v>
      </c>
      <c r="B18" s="11" t="s">
        <v>39</v>
      </c>
      <c r="C18" s="24">
        <v>1</v>
      </c>
      <c r="D18" s="25" t="s">
        <v>40</v>
      </c>
      <c r="E18" s="6"/>
      <c r="F18" s="6"/>
    </row>
    <row r="19" spans="1:24" ht="12.75" customHeight="1" x14ac:dyDescent="0.15">
      <c r="A19" s="10" t="s">
        <v>14</v>
      </c>
      <c r="B19" s="11" t="s">
        <v>41</v>
      </c>
      <c r="C19" s="29">
        <v>1</v>
      </c>
      <c r="D19" s="28" t="s">
        <v>42</v>
      </c>
      <c r="E19" s="6"/>
      <c r="F19" s="6"/>
    </row>
    <row r="20" spans="1:24" ht="12.75" customHeight="1" x14ac:dyDescent="0.15">
      <c r="A20" s="10" t="s">
        <v>17</v>
      </c>
      <c r="B20" s="11" t="s">
        <v>43</v>
      </c>
      <c r="C20" s="24">
        <v>1</v>
      </c>
      <c r="D20" s="25" t="s">
        <v>44</v>
      </c>
      <c r="E20" s="6"/>
      <c r="F20" s="6"/>
    </row>
    <row r="21" spans="1:24" ht="12.75" customHeight="1" x14ac:dyDescent="0.15">
      <c r="A21" s="10" t="s">
        <v>20</v>
      </c>
      <c r="B21" s="11" t="s">
        <v>45</v>
      </c>
      <c r="C21" s="29">
        <v>1</v>
      </c>
      <c r="D21" s="28" t="s">
        <v>46</v>
      </c>
      <c r="E21" s="6"/>
      <c r="F21" s="6"/>
    </row>
    <row r="22" spans="1:24" ht="12.75" customHeight="1" x14ac:dyDescent="0.15">
      <c r="A22" s="30" t="s">
        <v>14</v>
      </c>
      <c r="B22" s="24" t="s">
        <v>47</v>
      </c>
      <c r="C22" s="24">
        <v>1</v>
      </c>
      <c r="D22" s="24" t="s">
        <v>48</v>
      </c>
      <c r="E22" s="6"/>
      <c r="F22" s="6"/>
    </row>
    <row r="23" spans="1:24" ht="12.75" customHeight="1" x14ac:dyDescent="0.15">
      <c r="A23" s="10" t="s">
        <v>14</v>
      </c>
      <c r="B23" s="11" t="s">
        <v>49</v>
      </c>
      <c r="C23" s="29">
        <v>1</v>
      </c>
      <c r="D23" s="28" t="s">
        <v>50</v>
      </c>
      <c r="E23" s="6"/>
      <c r="F23" s="6"/>
    </row>
    <row r="24" spans="1:24" ht="12.75" customHeight="1" x14ac:dyDescent="0.15">
      <c r="A24" s="10" t="s">
        <v>17</v>
      </c>
      <c r="B24" s="11" t="s">
        <v>43</v>
      </c>
      <c r="C24" s="24">
        <v>1</v>
      </c>
      <c r="D24" s="25" t="s">
        <v>44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20</v>
      </c>
      <c r="B25" s="11" t="s">
        <v>51</v>
      </c>
      <c r="C25" s="29">
        <v>1</v>
      </c>
      <c r="D25" s="28" t="s">
        <v>52</v>
      </c>
      <c r="E25" s="6"/>
      <c r="F25" s="6"/>
    </row>
    <row r="26" spans="1:24" ht="12.75" customHeight="1" x14ac:dyDescent="0.15">
      <c r="A26" s="10" t="s">
        <v>4</v>
      </c>
      <c r="B26" s="11" t="s">
        <v>53</v>
      </c>
      <c r="C26" s="24">
        <v>1</v>
      </c>
      <c r="D26" s="25" t="s">
        <v>54</v>
      </c>
      <c r="E26" s="6"/>
      <c r="F26" s="6"/>
    </row>
    <row r="27" spans="1:24" ht="15" customHeight="1" x14ac:dyDescent="0.15">
      <c r="A27" s="10" t="s">
        <v>14</v>
      </c>
      <c r="B27" s="11" t="s">
        <v>55</v>
      </c>
      <c r="C27" s="29">
        <v>1</v>
      </c>
      <c r="D27" s="28" t="s">
        <v>56</v>
      </c>
      <c r="E27" s="6"/>
      <c r="F27" s="6"/>
    </row>
    <row r="28" spans="1:24" ht="12.75" customHeight="1" x14ac:dyDescent="0.15">
      <c r="A28" s="10" t="s">
        <v>14</v>
      </c>
      <c r="B28" s="11" t="s">
        <v>57</v>
      </c>
      <c r="C28" s="24">
        <v>1</v>
      </c>
      <c r="D28" s="24" t="s">
        <v>58</v>
      </c>
      <c r="E28" s="6"/>
      <c r="F28" s="6"/>
    </row>
    <row r="29" spans="1:24" ht="12.75" customHeight="1" x14ac:dyDescent="0.15">
      <c r="A29" s="10" t="s">
        <v>20</v>
      </c>
      <c r="B29" s="11" t="s">
        <v>59</v>
      </c>
      <c r="C29" s="29">
        <v>1</v>
      </c>
      <c r="D29" s="28" t="s">
        <v>60</v>
      </c>
      <c r="E29" s="6"/>
      <c r="F29" s="6"/>
    </row>
    <row r="30" spans="1:24" ht="12.75" customHeight="1" x14ac:dyDescent="0.15">
      <c r="A30" s="10" t="s">
        <v>4</v>
      </c>
      <c r="B30" s="11" t="s">
        <v>61</v>
      </c>
      <c r="C30" s="24">
        <v>1</v>
      </c>
      <c r="D30" s="24" t="s">
        <v>62</v>
      </c>
      <c r="E30" s="6"/>
      <c r="F30" s="6"/>
    </row>
    <row r="31" spans="1:24" ht="12.75" customHeight="1" x14ac:dyDescent="0.15">
      <c r="A31" s="10" t="s">
        <v>14</v>
      </c>
      <c r="B31" s="11" t="s">
        <v>63</v>
      </c>
      <c r="C31" s="29">
        <v>1</v>
      </c>
      <c r="D31" s="28" t="s">
        <v>64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17</v>
      </c>
      <c r="B32" s="11" t="s">
        <v>65</v>
      </c>
      <c r="C32" s="24">
        <v>1</v>
      </c>
      <c r="D32" s="24" t="s">
        <v>66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14</v>
      </c>
      <c r="B33" s="11" t="s">
        <v>67</v>
      </c>
      <c r="C33" s="29">
        <v>1</v>
      </c>
      <c r="D33" s="29" t="s">
        <v>68</v>
      </c>
      <c r="E33" s="6"/>
      <c r="F33" s="6"/>
    </row>
    <row r="34" spans="1:24" ht="12.75" customHeight="1" x14ac:dyDescent="0.15">
      <c r="A34" s="10" t="s">
        <v>17</v>
      </c>
      <c r="B34" s="11" t="s">
        <v>69</v>
      </c>
      <c r="C34" s="24">
        <v>1</v>
      </c>
      <c r="D34" s="24" t="s">
        <v>70</v>
      </c>
      <c r="E34" s="6"/>
      <c r="F34" s="6"/>
    </row>
    <row r="35" spans="1:24" ht="12.75" customHeight="1" x14ac:dyDescent="0.15">
      <c r="A35" s="10" t="s">
        <v>20</v>
      </c>
      <c r="B35" s="11" t="s">
        <v>45</v>
      </c>
      <c r="C35" s="29">
        <v>1</v>
      </c>
      <c r="D35" s="28" t="s">
        <v>46</v>
      </c>
      <c r="E35" s="6"/>
      <c r="F35" s="6"/>
    </row>
    <row r="36" spans="1:24" ht="12.75" customHeight="1" x14ac:dyDescent="0.15">
      <c r="A36" s="10" t="s">
        <v>14</v>
      </c>
      <c r="B36" s="11" t="s">
        <v>71</v>
      </c>
      <c r="C36" s="24">
        <v>1</v>
      </c>
      <c r="D36" s="24" t="s">
        <v>72</v>
      </c>
      <c r="E36" s="6"/>
      <c r="F36" s="6"/>
    </row>
    <row r="37" spans="1:24" ht="12.75" customHeight="1" x14ac:dyDescent="0.15">
      <c r="A37" s="10" t="s">
        <v>20</v>
      </c>
      <c r="B37" s="11" t="s">
        <v>39</v>
      </c>
      <c r="C37" s="29">
        <v>1</v>
      </c>
      <c r="D37" s="28" t="s">
        <v>40</v>
      </c>
      <c r="E37" s="6"/>
      <c r="F37" s="6"/>
    </row>
    <row r="38" spans="1:24" ht="12.75" customHeight="1" x14ac:dyDescent="0.15">
      <c r="A38" s="10" t="s">
        <v>4</v>
      </c>
      <c r="B38" s="11" t="s">
        <v>73</v>
      </c>
      <c r="C38" s="24">
        <v>1</v>
      </c>
      <c r="D38" s="25" t="s">
        <v>74</v>
      </c>
      <c r="E38" s="6"/>
      <c r="F38" s="6"/>
    </row>
    <row r="39" spans="1:24" ht="15" customHeight="1" x14ac:dyDescent="0.15">
      <c r="A39" s="10" t="s">
        <v>14</v>
      </c>
      <c r="B39" s="11" t="s">
        <v>75</v>
      </c>
      <c r="C39" s="29">
        <v>1</v>
      </c>
      <c r="D39" s="28" t="s">
        <v>76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20</v>
      </c>
      <c r="B40" s="11" t="s">
        <v>77</v>
      </c>
      <c r="C40" s="24">
        <v>1</v>
      </c>
      <c r="D40" s="25" t="s">
        <v>78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14</v>
      </c>
      <c r="B41" s="11" t="s">
        <v>79</v>
      </c>
      <c r="C41" s="29">
        <v>1</v>
      </c>
      <c r="D41" s="28" t="s">
        <v>80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4</v>
      </c>
      <c r="B42" s="11" t="s">
        <v>81</v>
      </c>
      <c r="C42" s="24">
        <v>1</v>
      </c>
      <c r="D42" s="25" t="s">
        <v>82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20</v>
      </c>
      <c r="B43" s="11" t="s">
        <v>83</v>
      </c>
      <c r="C43" s="29">
        <v>1</v>
      </c>
      <c r="D43" s="29" t="s">
        <v>84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20</v>
      </c>
      <c r="B44" s="11" t="s">
        <v>85</v>
      </c>
      <c r="C44" s="24">
        <v>1</v>
      </c>
      <c r="D44" s="24" t="s">
        <v>86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14</v>
      </c>
      <c r="B45" s="11" t="s">
        <v>87</v>
      </c>
      <c r="C45" s="29">
        <v>1</v>
      </c>
      <c r="D45" s="28" t="s">
        <v>88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17</v>
      </c>
      <c r="B46" s="11" t="s">
        <v>89</v>
      </c>
      <c r="C46" s="24">
        <v>1</v>
      </c>
      <c r="D46" s="25" t="s">
        <v>90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20</v>
      </c>
      <c r="B47" s="11" t="s">
        <v>91</v>
      </c>
      <c r="C47" s="29">
        <v>1</v>
      </c>
      <c r="D47" s="28" t="s">
        <v>92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14</v>
      </c>
      <c r="B48" s="11" t="s">
        <v>87</v>
      </c>
      <c r="C48" s="24">
        <v>1</v>
      </c>
      <c r="D48" s="25" t="s">
        <v>93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17</v>
      </c>
      <c r="B49" s="11" t="s">
        <v>94</v>
      </c>
      <c r="C49" s="29">
        <v>1</v>
      </c>
      <c r="D49" s="28" t="s">
        <v>95</v>
      </c>
      <c r="E49" s="6"/>
      <c r="F49" s="6"/>
    </row>
    <row r="50" spans="1:6" ht="12.75" customHeight="1" x14ac:dyDescent="0.15">
      <c r="A50" s="10" t="s">
        <v>20</v>
      </c>
      <c r="B50" s="11" t="s">
        <v>96</v>
      </c>
      <c r="C50" s="24">
        <v>1</v>
      </c>
      <c r="D50" s="25" t="s">
        <v>97</v>
      </c>
      <c r="E50" s="6"/>
      <c r="F50" s="6"/>
    </row>
    <row r="51" spans="1:6" ht="12.75" customHeight="1" x14ac:dyDescent="0.15">
      <c r="A51" s="10" t="s">
        <v>14</v>
      </c>
      <c r="B51" s="11" t="s">
        <v>98</v>
      </c>
      <c r="C51" s="29">
        <v>1</v>
      </c>
      <c r="D51" s="28" t="s">
        <v>99</v>
      </c>
      <c r="E51" s="6"/>
      <c r="F51" s="6"/>
    </row>
    <row r="52" spans="1:6" ht="12.75" customHeight="1" x14ac:dyDescent="0.15">
      <c r="A52" s="10" t="s">
        <v>17</v>
      </c>
      <c r="B52" s="11" t="s">
        <v>100</v>
      </c>
      <c r="C52" s="24">
        <v>1</v>
      </c>
      <c r="D52" s="25" t="s">
        <v>101</v>
      </c>
      <c r="E52" s="6"/>
      <c r="F52" s="6"/>
    </row>
    <row r="53" spans="1:6" ht="12.75" customHeight="1" x14ac:dyDescent="0.15">
      <c r="A53" s="10" t="s">
        <v>20</v>
      </c>
      <c r="B53" s="11" t="s">
        <v>21</v>
      </c>
      <c r="C53" s="29">
        <v>1</v>
      </c>
      <c r="D53" s="50" t="s">
        <v>104</v>
      </c>
      <c r="E53" s="6"/>
      <c r="F53" s="6"/>
    </row>
    <row r="54" spans="1:6" ht="12.75" customHeight="1" x14ac:dyDescent="0.15">
      <c r="A54" s="10" t="s">
        <v>14</v>
      </c>
      <c r="B54" s="11" t="s">
        <v>103</v>
      </c>
      <c r="C54" s="24">
        <v>1</v>
      </c>
      <c r="D54" s="28" t="s">
        <v>102</v>
      </c>
      <c r="E54" s="6"/>
    </row>
    <row r="55" spans="1:6" ht="12.75" customHeight="1" x14ac:dyDescent="0.15">
      <c r="A55" s="10" t="s">
        <v>105</v>
      </c>
      <c r="B55" s="11" t="s">
        <v>106</v>
      </c>
      <c r="C55" s="29">
        <v>1</v>
      </c>
      <c r="D55" s="28" t="s">
        <v>107</v>
      </c>
      <c r="E55" s="6"/>
      <c r="F55" s="6"/>
    </row>
    <row r="56" spans="1:6" ht="12.75" customHeight="1" x14ac:dyDescent="0.15">
      <c r="A56" s="10" t="s">
        <v>4</v>
      </c>
      <c r="B56" s="11" t="s">
        <v>108</v>
      </c>
      <c r="C56" s="24">
        <v>1</v>
      </c>
      <c r="D56" s="25" t="s">
        <v>109</v>
      </c>
      <c r="E56" s="6"/>
      <c r="F56" s="6"/>
    </row>
    <row r="57" spans="1:6" ht="12.75" customHeight="1" x14ac:dyDescent="0.15">
      <c r="A57" s="10" t="s">
        <v>20</v>
      </c>
      <c r="B57" s="11" t="s">
        <v>110</v>
      </c>
      <c r="C57" s="29">
        <v>1</v>
      </c>
      <c r="D57" s="28" t="s">
        <v>111</v>
      </c>
      <c r="E57" s="6"/>
      <c r="F57" s="6"/>
    </row>
    <row r="58" spans="1:6" ht="12.75" customHeight="1" x14ac:dyDescent="0.15">
      <c r="A58" s="10" t="s">
        <v>14</v>
      </c>
      <c r="B58" s="11" t="s">
        <v>112</v>
      </c>
      <c r="C58" s="24">
        <v>1</v>
      </c>
      <c r="D58" s="25" t="s">
        <v>113</v>
      </c>
      <c r="E58" s="6"/>
      <c r="F58" s="6"/>
    </row>
    <row r="59" spans="1:6" ht="12.75" customHeight="1" x14ac:dyDescent="0.15">
      <c r="A59" s="10" t="s">
        <v>20</v>
      </c>
      <c r="B59" s="11" t="s">
        <v>96</v>
      </c>
      <c r="C59" s="29">
        <v>1</v>
      </c>
      <c r="D59" s="28" t="s">
        <v>114</v>
      </c>
      <c r="E59" s="6"/>
      <c r="F59" s="6"/>
    </row>
    <row r="60" spans="1:6" ht="12.75" customHeight="1" x14ac:dyDescent="0.15">
      <c r="A60" s="10" t="s">
        <v>20</v>
      </c>
      <c r="B60" s="11" t="s">
        <v>115</v>
      </c>
      <c r="C60" s="24">
        <v>1</v>
      </c>
      <c r="D60" s="25" t="s">
        <v>116</v>
      </c>
      <c r="E60" s="6"/>
      <c r="F60" s="6"/>
    </row>
    <row r="61" spans="1:6" ht="12.75" customHeight="1" x14ac:dyDescent="0.15">
      <c r="A61" s="10" t="s">
        <v>4</v>
      </c>
      <c r="B61" s="11" t="s">
        <v>117</v>
      </c>
      <c r="C61" s="29">
        <v>1</v>
      </c>
      <c r="D61" s="28" t="s">
        <v>118</v>
      </c>
      <c r="E61" s="6"/>
      <c r="F61" s="6"/>
    </row>
    <row r="62" spans="1:6" ht="12.75" customHeight="1" x14ac:dyDescent="0.15">
      <c r="A62" s="10" t="s">
        <v>14</v>
      </c>
      <c r="B62" s="11" t="s">
        <v>119</v>
      </c>
      <c r="C62" s="24">
        <v>1</v>
      </c>
      <c r="D62" s="25" t="s">
        <v>120</v>
      </c>
      <c r="E62" s="6"/>
      <c r="F62" s="6"/>
    </row>
    <row r="63" spans="1:6" ht="12.75" customHeight="1" x14ac:dyDescent="0.15">
      <c r="A63" s="10" t="s">
        <v>20</v>
      </c>
      <c r="B63" s="11" t="s">
        <v>21</v>
      </c>
      <c r="C63" s="29">
        <v>1</v>
      </c>
      <c r="D63" s="28" t="s">
        <v>121</v>
      </c>
      <c r="E63" s="6"/>
      <c r="F63" s="6"/>
    </row>
    <row r="64" spans="1:6" ht="12.75" customHeight="1" x14ac:dyDescent="0.15">
      <c r="A64" s="10" t="s">
        <v>14</v>
      </c>
      <c r="B64" s="11" t="s">
        <v>122</v>
      </c>
      <c r="C64" s="24">
        <v>1</v>
      </c>
      <c r="D64" s="25" t="s">
        <v>123</v>
      </c>
      <c r="E64" s="6"/>
      <c r="F64" s="6"/>
    </row>
    <row r="65" spans="1:6" ht="12.75" customHeight="1" x14ac:dyDescent="0.15">
      <c r="A65" s="10" t="s">
        <v>14</v>
      </c>
      <c r="B65" s="11" t="s">
        <v>124</v>
      </c>
      <c r="C65" s="29">
        <v>1</v>
      </c>
      <c r="D65" s="28" t="s">
        <v>125</v>
      </c>
      <c r="E65" s="6"/>
      <c r="F65" s="6"/>
    </row>
    <row r="66" spans="1:6" ht="12.75" customHeight="1" x14ac:dyDescent="0.15">
      <c r="A66" s="10" t="s">
        <v>20</v>
      </c>
      <c r="B66" s="11" t="s">
        <v>126</v>
      </c>
      <c r="C66" s="24">
        <v>1</v>
      </c>
      <c r="D66" s="25" t="s">
        <v>127</v>
      </c>
      <c r="E66" s="6"/>
      <c r="F66" s="6"/>
    </row>
    <row r="67" spans="1:6" ht="12.75" customHeight="1" x14ac:dyDescent="0.15">
      <c r="A67" s="10" t="s">
        <v>20</v>
      </c>
      <c r="B67" s="11" t="s">
        <v>115</v>
      </c>
      <c r="C67" s="29">
        <v>1</v>
      </c>
      <c r="D67" s="28" t="s">
        <v>128</v>
      </c>
      <c r="E67" s="6"/>
      <c r="F67" s="6"/>
    </row>
    <row r="68" spans="1:6" ht="12.75" customHeight="1" x14ac:dyDescent="0.15">
      <c r="A68" s="31" t="s">
        <v>4</v>
      </c>
      <c r="B68" s="32" t="s">
        <v>129</v>
      </c>
      <c r="C68" s="32">
        <v>0</v>
      </c>
      <c r="D68" s="33" t="s">
        <v>130</v>
      </c>
    </row>
    <row r="69" spans="1:6" ht="12.75" customHeight="1" x14ac:dyDescent="0.15">
      <c r="A69" s="34" t="s">
        <v>14</v>
      </c>
      <c r="B69" s="29" t="s">
        <v>129</v>
      </c>
      <c r="C69" s="29">
        <v>0</v>
      </c>
      <c r="D69" s="28" t="s">
        <v>131</v>
      </c>
    </row>
    <row r="70" spans="1:6" ht="12.75" customHeight="1" x14ac:dyDescent="0.15">
      <c r="A70" s="30" t="s">
        <v>17</v>
      </c>
      <c r="B70" s="24" t="s">
        <v>129</v>
      </c>
      <c r="C70" s="24">
        <v>0</v>
      </c>
      <c r="D70" s="25" t="s">
        <v>132</v>
      </c>
    </row>
    <row r="71" spans="1:6" ht="12.75" customHeight="1" x14ac:dyDescent="0.15">
      <c r="A71" s="34" t="s">
        <v>20</v>
      </c>
      <c r="B71" s="29" t="s">
        <v>129</v>
      </c>
      <c r="C71" s="29">
        <v>0</v>
      </c>
      <c r="D71" s="28" t="s">
        <v>133</v>
      </c>
    </row>
    <row r="72" spans="1:6" ht="12.75" customHeight="1" x14ac:dyDescent="0.15">
      <c r="A72" s="30" t="s">
        <v>7</v>
      </c>
      <c r="B72" s="24" t="s">
        <v>129</v>
      </c>
      <c r="C72" s="24">
        <v>0</v>
      </c>
      <c r="D72" s="25" t="s">
        <v>134</v>
      </c>
    </row>
    <row r="73" spans="1:6" ht="12.75" customHeight="1" x14ac:dyDescent="0.15">
      <c r="A73" s="34" t="s">
        <v>135</v>
      </c>
      <c r="B73" s="29" t="s">
        <v>129</v>
      </c>
      <c r="C73" s="29">
        <v>0</v>
      </c>
      <c r="D73" s="28" t="s">
        <v>136</v>
      </c>
    </row>
    <row r="74" spans="1:6" ht="12.75" customHeight="1" x14ac:dyDescent="0.15">
      <c r="A74" s="30" t="s">
        <v>105</v>
      </c>
      <c r="B74" s="24" t="s">
        <v>129</v>
      </c>
      <c r="C74" s="24">
        <v>0</v>
      </c>
      <c r="D74" s="25" t="s">
        <v>137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18"/>
      <c r="B674" s="19"/>
      <c r="C674" s="19"/>
      <c r="D674" s="19"/>
    </row>
    <row r="675" spans="1:4" ht="12.75" customHeight="1" x14ac:dyDescent="0.15">
      <c r="A675" s="35"/>
      <c r="B675" s="36"/>
      <c r="C675" s="36"/>
      <c r="D675" s="37"/>
    </row>
    <row r="676" spans="1:4" ht="12.75" customHeight="1" x14ac:dyDescent="0.15">
      <c r="A676" s="35"/>
      <c r="B676" s="36"/>
      <c r="C676" s="36"/>
      <c r="D676" s="37"/>
    </row>
    <row r="677" spans="1:4" ht="12.75" customHeight="1" x14ac:dyDescent="0.15">
      <c r="A677" s="35"/>
      <c r="B677" s="36"/>
      <c r="C677" s="36"/>
      <c r="D677" s="37"/>
    </row>
    <row r="678" spans="1:4" ht="12.75" customHeight="1" x14ac:dyDescent="0.15">
      <c r="A678" s="35"/>
      <c r="B678" s="36"/>
      <c r="C678" s="36"/>
      <c r="D678" s="37"/>
    </row>
    <row r="679" spans="1:4" ht="12.75" customHeight="1" x14ac:dyDescent="0.15">
      <c r="A679" s="35"/>
      <c r="B679" s="36"/>
      <c r="C679" s="36"/>
      <c r="D679" s="37"/>
    </row>
    <row r="680" spans="1:4" ht="12.75" customHeight="1" x14ac:dyDescent="0.15">
      <c r="A680" s="35"/>
      <c r="B680" s="36"/>
      <c r="C680" s="36"/>
      <c r="D680" s="37"/>
    </row>
    <row r="681" spans="1:4" ht="12.75" customHeight="1" x14ac:dyDescent="0.15">
      <c r="A681" s="35"/>
      <c r="B681" s="36"/>
      <c r="C681" s="36"/>
      <c r="D681" s="37"/>
    </row>
    <row r="682" spans="1:4" ht="12.75" customHeight="1" x14ac:dyDescent="0.15">
      <c r="A682" s="35"/>
      <c r="B682" s="36"/>
      <c r="C682" s="36"/>
      <c r="D682" s="37"/>
    </row>
    <row r="683" spans="1:4" ht="12.75" customHeight="1" x14ac:dyDescent="0.15">
      <c r="A683" s="35"/>
      <c r="B683" s="36"/>
      <c r="C683" s="36"/>
      <c r="D683" s="37"/>
    </row>
    <row r="684" spans="1:4" ht="12.75" customHeight="1" x14ac:dyDescent="0.15">
      <c r="A684" s="35"/>
      <c r="B684" s="36"/>
      <c r="C684" s="36"/>
      <c r="D684" s="37"/>
    </row>
    <row r="685" spans="1:4" ht="12.75" customHeight="1" x14ac:dyDescent="0.15">
      <c r="A685" s="35"/>
      <c r="B685" s="36"/>
      <c r="C685" s="36"/>
      <c r="D685" s="37"/>
    </row>
    <row r="686" spans="1:4" ht="12.75" customHeight="1" x14ac:dyDescent="0.15">
      <c r="A686" s="35"/>
      <c r="B686" s="36"/>
      <c r="C686" s="36"/>
      <c r="D686" s="37"/>
    </row>
    <row r="687" spans="1:4" ht="12.75" customHeight="1" x14ac:dyDescent="0.15">
      <c r="A687" s="35"/>
      <c r="B687" s="36"/>
      <c r="C687" s="36"/>
      <c r="D687" s="37"/>
    </row>
    <row r="688" spans="1:4" ht="12.75" customHeight="1" x14ac:dyDescent="0.15">
      <c r="A688" s="35"/>
      <c r="B688" s="36"/>
      <c r="C688" s="36"/>
      <c r="D688" s="37"/>
    </row>
    <row r="689" spans="1:4" ht="12.75" customHeight="1" x14ac:dyDescent="0.15">
      <c r="A689" s="35"/>
      <c r="B689" s="36"/>
      <c r="C689" s="36"/>
      <c r="D689" s="37"/>
    </row>
    <row r="690" spans="1:4" ht="12.75" customHeight="1" x14ac:dyDescent="0.15">
      <c r="A690" s="35"/>
      <c r="B690" s="36"/>
      <c r="C690" s="36"/>
      <c r="D690" s="37"/>
    </row>
    <row r="691" spans="1:4" ht="12.75" customHeight="1" x14ac:dyDescent="0.15">
      <c r="A691" s="35"/>
      <c r="B691" s="36"/>
      <c r="C691" s="36"/>
      <c r="D691" s="37"/>
    </row>
    <row r="692" spans="1:4" ht="12.75" customHeight="1" x14ac:dyDescent="0.15">
      <c r="A692" s="35"/>
      <c r="B692" s="36"/>
      <c r="C692" s="36"/>
      <c r="D692" s="37"/>
    </row>
    <row r="693" spans="1:4" ht="12.75" customHeight="1" x14ac:dyDescent="0.15">
      <c r="A693" s="35"/>
      <c r="B693" s="36"/>
      <c r="C693" s="36"/>
      <c r="D693" s="37"/>
    </row>
    <row r="694" spans="1:4" ht="12.75" customHeight="1" x14ac:dyDescent="0.15">
      <c r="A694" s="35"/>
      <c r="B694" s="36"/>
      <c r="C694" s="36"/>
      <c r="D694" s="37"/>
    </row>
    <row r="695" spans="1:4" ht="12.75" customHeight="1" x14ac:dyDescent="0.15">
      <c r="A695" s="35"/>
      <c r="B695" s="36"/>
      <c r="C695" s="36"/>
      <c r="D695" s="37"/>
    </row>
    <row r="696" spans="1:4" ht="12.75" customHeight="1" x14ac:dyDescent="0.15">
      <c r="A696" s="35"/>
      <c r="B696" s="36"/>
      <c r="C696" s="36"/>
      <c r="D696" s="37"/>
    </row>
    <row r="697" spans="1:4" ht="12.75" customHeight="1" x14ac:dyDescent="0.15">
      <c r="A697" s="35"/>
      <c r="B697" s="36"/>
      <c r="C697" s="36"/>
      <c r="D697" s="37"/>
    </row>
    <row r="698" spans="1:4" ht="12.75" customHeight="1" x14ac:dyDescent="0.15">
      <c r="A698" s="35"/>
      <c r="B698" s="36"/>
      <c r="C698" s="36"/>
      <c r="D698" s="37"/>
    </row>
    <row r="699" spans="1:4" ht="12.75" customHeight="1" x14ac:dyDescent="0.15">
      <c r="A699" s="35"/>
      <c r="B699" s="36"/>
      <c r="C699" s="36"/>
      <c r="D699" s="37"/>
    </row>
    <row r="700" spans="1:4" ht="12.75" customHeight="1" x14ac:dyDescent="0.15">
      <c r="A700" s="35"/>
      <c r="B700" s="36"/>
      <c r="C700" s="36"/>
      <c r="D700" s="37"/>
    </row>
    <row r="701" spans="1:4" ht="12.75" customHeight="1" x14ac:dyDescent="0.15">
      <c r="A701" s="35"/>
      <c r="B701" s="36"/>
      <c r="C701" s="36"/>
      <c r="D701" s="37"/>
    </row>
    <row r="702" spans="1:4" ht="12.75" customHeight="1" x14ac:dyDescent="0.15">
      <c r="A702" s="35"/>
      <c r="B702" s="36"/>
      <c r="C702" s="36"/>
      <c r="D702" s="37"/>
    </row>
    <row r="703" spans="1:4" ht="12.75" customHeight="1" x14ac:dyDescent="0.15">
      <c r="A703" s="35"/>
      <c r="B703" s="36"/>
      <c r="C703" s="36"/>
      <c r="D703" s="37"/>
    </row>
    <row r="704" spans="1:4" ht="12.75" customHeight="1" x14ac:dyDescent="0.15">
      <c r="A704" s="35"/>
      <c r="B704" s="36"/>
      <c r="C704" s="36"/>
      <c r="D704" s="37"/>
    </row>
    <row r="705" spans="1:4" ht="12.75" customHeight="1" x14ac:dyDescent="0.15">
      <c r="A705" s="35"/>
      <c r="B705" s="36"/>
      <c r="C705" s="36"/>
      <c r="D705" s="37"/>
    </row>
    <row r="706" spans="1:4" ht="12.75" customHeight="1" x14ac:dyDescent="0.15">
      <c r="A706" s="35"/>
      <c r="B706" s="36"/>
      <c r="C706" s="36"/>
      <c r="D706" s="37"/>
    </row>
    <row r="707" spans="1:4" ht="12.75" customHeight="1" x14ac:dyDescent="0.15">
      <c r="A707" s="35"/>
      <c r="B707" s="36"/>
      <c r="C707" s="36"/>
      <c r="D707" s="37"/>
    </row>
    <row r="708" spans="1:4" ht="12.75" customHeight="1" x14ac:dyDescent="0.15">
      <c r="A708" s="35"/>
      <c r="B708" s="36"/>
      <c r="C708" s="36"/>
      <c r="D708" s="37"/>
    </row>
    <row r="709" spans="1:4" ht="12.75" customHeight="1" x14ac:dyDescent="0.15">
      <c r="A709" s="35"/>
      <c r="B709" s="36"/>
      <c r="C709" s="36"/>
      <c r="D709" s="37"/>
    </row>
    <row r="710" spans="1:4" ht="12.75" customHeight="1" x14ac:dyDescent="0.15">
      <c r="A710" s="35"/>
      <c r="B710" s="36"/>
      <c r="C710" s="36"/>
      <c r="D710" s="37"/>
    </row>
    <row r="711" spans="1:4" ht="12.75" customHeight="1" x14ac:dyDescent="0.15">
      <c r="A711" s="35"/>
      <c r="B711" s="36"/>
      <c r="C711" s="36"/>
      <c r="D711" s="37"/>
    </row>
    <row r="712" spans="1:4" ht="12.75" customHeight="1" x14ac:dyDescent="0.15">
      <c r="A712" s="35"/>
      <c r="B712" s="36"/>
      <c r="C712" s="36"/>
      <c r="D712" s="37"/>
    </row>
    <row r="713" spans="1:4" ht="12.75" customHeight="1" x14ac:dyDescent="0.15">
      <c r="A713" s="35"/>
      <c r="B713" s="36"/>
      <c r="C713" s="36"/>
      <c r="D713" s="37"/>
    </row>
    <row r="714" spans="1:4" ht="12.75" customHeight="1" x14ac:dyDescent="0.15">
      <c r="A714" s="35"/>
      <c r="B714" s="36"/>
      <c r="C714" s="36"/>
      <c r="D714" s="37"/>
    </row>
    <row r="715" spans="1:4" ht="12.75" customHeight="1" x14ac:dyDescent="0.15">
      <c r="A715" s="35"/>
      <c r="B715" s="36"/>
      <c r="C715" s="36"/>
      <c r="D715" s="37"/>
    </row>
    <row r="716" spans="1:4" ht="12.75" customHeight="1" x14ac:dyDescent="0.15">
      <c r="A716" s="35"/>
      <c r="B716" s="36"/>
      <c r="C716" s="36"/>
      <c r="D716" s="37"/>
    </row>
    <row r="717" spans="1:4" ht="12.75" customHeight="1" x14ac:dyDescent="0.15">
      <c r="A717" s="35"/>
      <c r="B717" s="36"/>
      <c r="C717" s="36"/>
      <c r="D717" s="37"/>
    </row>
    <row r="718" spans="1:4" ht="12.75" customHeight="1" x14ac:dyDescent="0.15">
      <c r="A718" s="35"/>
      <c r="B718" s="36"/>
      <c r="C718" s="36"/>
      <c r="D718" s="37"/>
    </row>
    <row r="719" spans="1:4" ht="12.75" customHeight="1" x14ac:dyDescent="0.15">
      <c r="A719" s="35"/>
      <c r="B719" s="36"/>
      <c r="C719" s="36"/>
      <c r="D719" s="37"/>
    </row>
    <row r="720" spans="1:4" ht="12.75" customHeight="1" x14ac:dyDescent="0.15">
      <c r="A720" s="35"/>
      <c r="B720" s="36"/>
      <c r="C720" s="36"/>
      <c r="D720" s="37"/>
    </row>
    <row r="721" spans="1:4" ht="12.75" customHeight="1" x14ac:dyDescent="0.15">
      <c r="A721" s="35"/>
      <c r="B721" s="36"/>
      <c r="C721" s="36"/>
      <c r="D721" s="37"/>
    </row>
    <row r="722" spans="1:4" ht="12.75" customHeight="1" x14ac:dyDescent="0.15">
      <c r="A722" s="35"/>
      <c r="B722" s="36"/>
      <c r="C722" s="36"/>
      <c r="D722" s="37"/>
    </row>
    <row r="723" spans="1:4" ht="12.75" customHeight="1" x14ac:dyDescent="0.15">
      <c r="A723" s="35"/>
      <c r="B723" s="36"/>
      <c r="C723" s="36"/>
      <c r="D723" s="37"/>
    </row>
    <row r="724" spans="1:4" ht="12.75" customHeight="1" x14ac:dyDescent="0.15">
      <c r="A724" s="35"/>
      <c r="B724" s="36"/>
      <c r="C724" s="36"/>
      <c r="D724" s="37"/>
    </row>
    <row r="725" spans="1:4" ht="12.75" customHeight="1" x14ac:dyDescent="0.15">
      <c r="A725" s="35"/>
      <c r="B725" s="36"/>
      <c r="C725" s="36"/>
      <c r="D725" s="37"/>
    </row>
    <row r="726" spans="1:4" ht="12.75" customHeight="1" x14ac:dyDescent="0.15">
      <c r="A726" s="35"/>
      <c r="B726" s="36"/>
      <c r="C726" s="36"/>
      <c r="D726" s="37"/>
    </row>
    <row r="727" spans="1:4" ht="12.75" customHeight="1" x14ac:dyDescent="0.15">
      <c r="A727" s="35"/>
      <c r="B727" s="36"/>
      <c r="C727" s="36"/>
      <c r="D727" s="37"/>
    </row>
    <row r="728" spans="1:4" ht="12.75" customHeight="1" x14ac:dyDescent="0.15">
      <c r="A728" s="35"/>
      <c r="B728" s="36"/>
      <c r="C728" s="36"/>
      <c r="D728" s="37"/>
    </row>
    <row r="729" spans="1:4" ht="12.75" customHeight="1" x14ac:dyDescent="0.15">
      <c r="A729" s="35"/>
      <c r="B729" s="36"/>
      <c r="C729" s="36"/>
      <c r="D729" s="37"/>
    </row>
    <row r="730" spans="1:4" ht="12.75" customHeight="1" x14ac:dyDescent="0.15">
      <c r="A730" s="35"/>
      <c r="B730" s="36"/>
      <c r="C730" s="36"/>
      <c r="D730" s="37"/>
    </row>
    <row r="731" spans="1:4" ht="12.75" customHeight="1" x14ac:dyDescent="0.15">
      <c r="A731" s="35"/>
      <c r="B731" s="36"/>
      <c r="C731" s="36"/>
      <c r="D731" s="37"/>
    </row>
    <row r="732" spans="1:4" ht="12.75" customHeight="1" x14ac:dyDescent="0.15">
      <c r="A732" s="35"/>
      <c r="B732" s="36"/>
      <c r="C732" s="36"/>
      <c r="D732" s="37"/>
    </row>
    <row r="733" spans="1:4" ht="12.75" customHeight="1" x14ac:dyDescent="0.15">
      <c r="A733" s="35"/>
      <c r="B733" s="36"/>
      <c r="C733" s="36"/>
      <c r="D733" s="37"/>
    </row>
    <row r="734" spans="1:4" ht="12.75" customHeight="1" x14ac:dyDescent="0.15">
      <c r="A734" s="35"/>
      <c r="B734" s="36"/>
      <c r="C734" s="36"/>
      <c r="D734" s="37"/>
    </row>
    <row r="735" spans="1:4" ht="12.75" customHeight="1" x14ac:dyDescent="0.15">
      <c r="A735" s="35"/>
      <c r="B735" s="36"/>
      <c r="C735" s="36"/>
      <c r="D735" s="37"/>
    </row>
    <row r="736" spans="1:4" ht="12.75" customHeight="1" x14ac:dyDescent="0.15">
      <c r="A736" s="35"/>
      <c r="B736" s="36"/>
      <c r="C736" s="36"/>
      <c r="D736" s="37"/>
    </row>
    <row r="737" spans="1:4" ht="12.75" customHeight="1" x14ac:dyDescent="0.15">
      <c r="A737" s="35"/>
      <c r="B737" s="36"/>
      <c r="C737" s="36"/>
      <c r="D737" s="37"/>
    </row>
    <row r="738" spans="1:4" ht="12.75" customHeight="1" x14ac:dyDescent="0.15">
      <c r="A738" s="35"/>
      <c r="B738" s="36"/>
      <c r="C738" s="36"/>
      <c r="D738" s="37"/>
    </row>
    <row r="739" spans="1:4" ht="12.75" customHeight="1" x14ac:dyDescent="0.15">
      <c r="A739" s="35"/>
      <c r="B739" s="36"/>
      <c r="C739" s="36"/>
      <c r="D739" s="37"/>
    </row>
    <row r="740" spans="1:4" ht="12.75" customHeight="1" x14ac:dyDescent="0.15">
      <c r="A740" s="35"/>
      <c r="B740" s="36"/>
      <c r="C740" s="36"/>
      <c r="D740" s="37"/>
    </row>
    <row r="741" spans="1:4" ht="12.75" customHeight="1" x14ac:dyDescent="0.15">
      <c r="A741" s="35"/>
      <c r="B741" s="36"/>
      <c r="C741" s="36"/>
      <c r="D741" s="37"/>
    </row>
    <row r="742" spans="1:4" ht="12.75" customHeight="1" x14ac:dyDescent="0.15">
      <c r="A742" s="35"/>
      <c r="B742" s="36"/>
      <c r="C742" s="36"/>
      <c r="D742" s="37"/>
    </row>
    <row r="743" spans="1:4" ht="12.75" customHeight="1" x14ac:dyDescent="0.15">
      <c r="A743" s="35"/>
      <c r="B743" s="36"/>
      <c r="C743" s="36"/>
      <c r="D743" s="37"/>
    </row>
    <row r="744" spans="1:4" ht="12.75" customHeight="1" x14ac:dyDescent="0.15">
      <c r="A744" s="35"/>
      <c r="B744" s="36"/>
      <c r="C744" s="36"/>
      <c r="D744" s="37"/>
    </row>
    <row r="745" spans="1:4" ht="12.75" customHeight="1" x14ac:dyDescent="0.15">
      <c r="A745" s="35"/>
      <c r="B745" s="36"/>
      <c r="C745" s="36"/>
      <c r="D745" s="37"/>
    </row>
    <row r="746" spans="1:4" ht="12.75" customHeight="1" x14ac:dyDescent="0.15">
      <c r="A746" s="35"/>
      <c r="B746" s="36"/>
      <c r="C746" s="36"/>
      <c r="D746" s="37"/>
    </row>
    <row r="747" spans="1:4" ht="12.75" customHeight="1" x14ac:dyDescent="0.15">
      <c r="A747" s="35"/>
      <c r="B747" s="36"/>
      <c r="C747" s="36"/>
      <c r="D747" s="37"/>
    </row>
    <row r="748" spans="1:4" ht="12.75" customHeight="1" x14ac:dyDescent="0.15">
      <c r="A748" s="35"/>
      <c r="B748" s="36"/>
      <c r="C748" s="36"/>
      <c r="D748" s="37"/>
    </row>
    <row r="749" spans="1:4" ht="12.75" customHeight="1" x14ac:dyDescent="0.15">
      <c r="A749" s="35"/>
      <c r="B749" s="36"/>
      <c r="C749" s="36"/>
      <c r="D749" s="37"/>
    </row>
    <row r="750" spans="1:4" ht="12.75" customHeight="1" x14ac:dyDescent="0.15">
      <c r="A750" s="35"/>
      <c r="B750" s="36"/>
      <c r="C750" s="36"/>
      <c r="D750" s="37"/>
    </row>
    <row r="751" spans="1:4" ht="12.75" customHeight="1" x14ac:dyDescent="0.15">
      <c r="A751" s="35"/>
      <c r="B751" s="36"/>
      <c r="C751" s="36"/>
      <c r="D751" s="37"/>
    </row>
    <row r="752" spans="1:4" ht="12.75" customHeight="1" x14ac:dyDescent="0.15">
      <c r="A752" s="35"/>
      <c r="B752" s="36"/>
      <c r="C752" s="36"/>
      <c r="D752" s="37"/>
    </row>
    <row r="753" spans="1:4" ht="12.75" customHeight="1" x14ac:dyDescent="0.15">
      <c r="A753" s="35"/>
      <c r="B753" s="36"/>
      <c r="C753" s="36"/>
      <c r="D753" s="37"/>
    </row>
    <row r="754" spans="1:4" ht="12.75" customHeight="1" x14ac:dyDescent="0.15">
      <c r="A754" s="35"/>
      <c r="B754" s="36"/>
      <c r="C754" s="36"/>
      <c r="D754" s="37"/>
    </row>
    <row r="755" spans="1:4" ht="12.75" customHeight="1" x14ac:dyDescent="0.15">
      <c r="A755" s="35"/>
      <c r="B755" s="36"/>
      <c r="C755" s="36"/>
      <c r="D755" s="37"/>
    </row>
    <row r="756" spans="1:4" ht="12.75" customHeight="1" x14ac:dyDescent="0.15">
      <c r="A756" s="35"/>
      <c r="B756" s="36"/>
      <c r="C756" s="36"/>
      <c r="D756" s="37"/>
    </row>
    <row r="757" spans="1:4" ht="12.75" customHeight="1" x14ac:dyDescent="0.15">
      <c r="A757" s="35"/>
      <c r="B757" s="36"/>
      <c r="C757" s="36"/>
      <c r="D757" s="37"/>
    </row>
    <row r="758" spans="1:4" ht="12.75" customHeight="1" x14ac:dyDescent="0.15">
      <c r="A758" s="35"/>
      <c r="B758" s="36"/>
      <c r="C758" s="36"/>
      <c r="D758" s="37"/>
    </row>
    <row r="759" spans="1:4" ht="12.75" customHeight="1" x14ac:dyDescent="0.15">
      <c r="A759" s="35"/>
      <c r="B759" s="36"/>
      <c r="C759" s="36"/>
      <c r="D759" s="37"/>
    </row>
    <row r="760" spans="1:4" ht="12.75" customHeight="1" x14ac:dyDescent="0.15">
      <c r="A760" s="35"/>
      <c r="B760" s="36"/>
      <c r="C760" s="36"/>
      <c r="D760" s="37"/>
    </row>
    <row r="761" spans="1:4" ht="12.75" customHeight="1" x14ac:dyDescent="0.15">
      <c r="A761" s="35"/>
      <c r="B761" s="36"/>
      <c r="C761" s="36"/>
      <c r="D761" s="37"/>
    </row>
    <row r="762" spans="1:4" ht="12.75" customHeight="1" x14ac:dyDescent="0.15">
      <c r="A762" s="35"/>
      <c r="B762" s="36"/>
      <c r="C762" s="36"/>
      <c r="D762" s="37"/>
    </row>
    <row r="763" spans="1:4" ht="12.75" customHeight="1" x14ac:dyDescent="0.15">
      <c r="A763" s="35"/>
      <c r="B763" s="36"/>
      <c r="C763" s="36"/>
      <c r="D763" s="37"/>
    </row>
    <row r="764" spans="1:4" ht="12.75" customHeight="1" x14ac:dyDescent="0.15">
      <c r="A764" s="35"/>
      <c r="B764" s="36"/>
      <c r="C764" s="36"/>
      <c r="D764" s="37"/>
    </row>
    <row r="765" spans="1:4" ht="12.75" customHeight="1" x14ac:dyDescent="0.15">
      <c r="A765" s="35"/>
      <c r="B765" s="36"/>
      <c r="C765" s="36"/>
      <c r="D765" s="37"/>
    </row>
    <row r="766" spans="1:4" ht="12.75" customHeight="1" x14ac:dyDescent="0.15">
      <c r="A766" s="35"/>
      <c r="B766" s="36"/>
      <c r="C766" s="36"/>
      <c r="D766" s="37"/>
    </row>
    <row r="767" spans="1:4" ht="12.75" customHeight="1" x14ac:dyDescent="0.15">
      <c r="A767" s="35"/>
      <c r="B767" s="36"/>
      <c r="C767" s="36"/>
      <c r="D767" s="37"/>
    </row>
    <row r="768" spans="1:4" ht="12.75" customHeight="1" x14ac:dyDescent="0.15">
      <c r="A768" s="35"/>
      <c r="B768" s="36"/>
      <c r="C768" s="36"/>
      <c r="D768" s="37"/>
    </row>
    <row r="769" spans="1:4" ht="12.75" customHeight="1" x14ac:dyDescent="0.15">
      <c r="A769" s="35"/>
      <c r="B769" s="36"/>
      <c r="C769" s="36"/>
      <c r="D769" s="37"/>
    </row>
    <row r="770" spans="1:4" ht="12.75" customHeight="1" x14ac:dyDescent="0.15">
      <c r="A770" s="35"/>
      <c r="B770" s="36"/>
      <c r="C770" s="36"/>
      <c r="D770" s="37"/>
    </row>
    <row r="771" spans="1:4" ht="12.75" customHeight="1" x14ac:dyDescent="0.15">
      <c r="A771" s="35"/>
      <c r="B771" s="36"/>
      <c r="C771" s="36"/>
      <c r="D771" s="37"/>
    </row>
    <row r="772" spans="1:4" ht="12.75" customHeight="1" x14ac:dyDescent="0.15">
      <c r="A772" s="35"/>
      <c r="B772" s="36"/>
      <c r="C772" s="36"/>
      <c r="D772" s="37"/>
    </row>
    <row r="773" spans="1:4" ht="12.75" customHeight="1" x14ac:dyDescent="0.15">
      <c r="A773" s="35"/>
      <c r="B773" s="36"/>
      <c r="C773" s="36"/>
      <c r="D773" s="37"/>
    </row>
    <row r="774" spans="1:4" ht="12.75" customHeight="1" x14ac:dyDescent="0.15">
      <c r="A774" s="35"/>
      <c r="B774" s="36"/>
      <c r="C774" s="36"/>
      <c r="D774" s="37"/>
    </row>
    <row r="775" spans="1:4" ht="12.75" customHeight="1" x14ac:dyDescent="0.15">
      <c r="A775" s="35"/>
      <c r="B775" s="36"/>
      <c r="C775" s="36"/>
      <c r="D775" s="37"/>
    </row>
    <row r="776" spans="1:4" ht="12.75" customHeight="1" x14ac:dyDescent="0.15">
      <c r="A776" s="35"/>
      <c r="B776" s="36"/>
      <c r="C776" s="36"/>
      <c r="D776" s="37"/>
    </row>
    <row r="777" spans="1:4" ht="12.75" customHeight="1" x14ac:dyDescent="0.15">
      <c r="A777" s="35"/>
      <c r="B777" s="36"/>
      <c r="C777" s="36"/>
      <c r="D777" s="37"/>
    </row>
    <row r="778" spans="1:4" ht="12.75" customHeight="1" x14ac:dyDescent="0.15">
      <c r="A778" s="35"/>
      <c r="B778" s="36"/>
      <c r="C778" s="36"/>
      <c r="D778" s="37"/>
    </row>
    <row r="779" spans="1:4" ht="12.75" customHeight="1" x14ac:dyDescent="0.15">
      <c r="A779" s="35"/>
      <c r="B779" s="36"/>
      <c r="C779" s="36"/>
      <c r="D779" s="37"/>
    </row>
    <row r="780" spans="1:4" ht="12.75" customHeight="1" x14ac:dyDescent="0.15">
      <c r="A780" s="35"/>
      <c r="B780" s="36"/>
      <c r="C780" s="36"/>
      <c r="D780" s="37"/>
    </row>
    <row r="781" spans="1:4" ht="12.75" customHeight="1" x14ac:dyDescent="0.15">
      <c r="A781" s="35"/>
      <c r="B781" s="36"/>
      <c r="C781" s="36"/>
      <c r="D781" s="37"/>
    </row>
    <row r="782" spans="1:4" ht="12.75" customHeight="1" x14ac:dyDescent="0.15">
      <c r="A782" s="35"/>
      <c r="B782" s="36"/>
      <c r="C782" s="36"/>
      <c r="D782" s="37"/>
    </row>
    <row r="783" spans="1:4" ht="12.75" customHeight="1" x14ac:dyDescent="0.15">
      <c r="A783" s="35"/>
      <c r="B783" s="36"/>
      <c r="C783" s="36"/>
      <c r="D783" s="37"/>
    </row>
    <row r="784" spans="1:4" ht="12.75" customHeight="1" x14ac:dyDescent="0.15">
      <c r="A784" s="35"/>
      <c r="B784" s="36"/>
      <c r="C784" s="36"/>
      <c r="D784" s="37"/>
    </row>
    <row r="785" spans="1:4" ht="12.75" customHeight="1" x14ac:dyDescent="0.15">
      <c r="A785" s="35"/>
      <c r="B785" s="36"/>
      <c r="C785" s="36"/>
      <c r="D785" s="37"/>
    </row>
    <row r="786" spans="1:4" ht="12.75" customHeight="1" x14ac:dyDescent="0.15">
      <c r="A786" s="35"/>
      <c r="B786" s="36"/>
      <c r="C786" s="36"/>
      <c r="D786" s="37"/>
    </row>
    <row r="787" spans="1:4" ht="12.75" customHeight="1" x14ac:dyDescent="0.15">
      <c r="A787" s="35"/>
      <c r="B787" s="36"/>
      <c r="C787" s="36"/>
      <c r="D787" s="37"/>
    </row>
    <row r="788" spans="1:4" ht="12.75" customHeight="1" x14ac:dyDescent="0.15">
      <c r="A788" s="35"/>
      <c r="B788" s="36"/>
      <c r="C788" s="36"/>
      <c r="D788" s="37"/>
    </row>
    <row r="789" spans="1:4" ht="12.75" customHeight="1" x14ac:dyDescent="0.15">
      <c r="A789" s="35"/>
      <c r="B789" s="36"/>
      <c r="C789" s="36"/>
      <c r="D789" s="37"/>
    </row>
    <row r="790" spans="1:4" ht="12.75" customHeight="1" x14ac:dyDescent="0.15">
      <c r="A790" s="35"/>
      <c r="B790" s="36"/>
      <c r="C790" s="36"/>
      <c r="D790" s="37"/>
    </row>
    <row r="791" spans="1:4" ht="12.75" customHeight="1" x14ac:dyDescent="0.15">
      <c r="A791" s="35"/>
      <c r="B791" s="36"/>
      <c r="C791" s="36"/>
      <c r="D791" s="37"/>
    </row>
    <row r="792" spans="1:4" ht="12.75" customHeight="1" x14ac:dyDescent="0.15">
      <c r="A792" s="35"/>
      <c r="B792" s="36"/>
      <c r="C792" s="36"/>
      <c r="D792" s="37"/>
    </row>
    <row r="793" spans="1:4" ht="12.75" customHeight="1" x14ac:dyDescent="0.15">
      <c r="A793" s="35"/>
      <c r="B793" s="36"/>
      <c r="C793" s="36"/>
      <c r="D793" s="37"/>
    </row>
    <row r="794" spans="1:4" ht="12.75" customHeight="1" x14ac:dyDescent="0.15">
      <c r="A794" s="35"/>
      <c r="B794" s="36"/>
      <c r="C794" s="36"/>
      <c r="D794" s="37"/>
    </row>
    <row r="795" spans="1:4" ht="12.75" customHeight="1" x14ac:dyDescent="0.15">
      <c r="A795" s="35"/>
      <c r="B795" s="36"/>
      <c r="C795" s="36"/>
      <c r="D795" s="37"/>
    </row>
    <row r="796" spans="1:4" ht="12.75" customHeight="1" x14ac:dyDescent="0.15">
      <c r="A796" s="35"/>
      <c r="B796" s="36"/>
      <c r="C796" s="36"/>
      <c r="D796" s="37"/>
    </row>
    <row r="797" spans="1:4" ht="12.75" customHeight="1" x14ac:dyDescent="0.15">
      <c r="A797" s="35"/>
      <c r="B797" s="36"/>
      <c r="C797" s="36"/>
      <c r="D797" s="37"/>
    </row>
    <row r="798" spans="1:4" ht="12.75" customHeight="1" x14ac:dyDescent="0.15">
      <c r="A798" s="35"/>
      <c r="B798" s="36"/>
      <c r="C798" s="36"/>
      <c r="D798" s="37"/>
    </row>
    <row r="799" spans="1:4" ht="12.75" customHeight="1" x14ac:dyDescent="0.15">
      <c r="A799" s="35"/>
      <c r="B799" s="36"/>
      <c r="C799" s="36"/>
      <c r="D799" s="37"/>
    </row>
    <row r="800" spans="1:4" ht="12.75" customHeight="1" x14ac:dyDescent="0.15">
      <c r="A800" s="35"/>
      <c r="B800" s="36"/>
      <c r="C800" s="36"/>
      <c r="D800" s="37"/>
    </row>
    <row r="801" spans="1:4" ht="12.75" customHeight="1" x14ac:dyDescent="0.15">
      <c r="A801" s="35"/>
      <c r="B801" s="36"/>
      <c r="C801" s="36"/>
      <c r="D801" s="37"/>
    </row>
    <row r="802" spans="1:4" ht="12.75" customHeight="1" x14ac:dyDescent="0.15">
      <c r="A802" s="35"/>
      <c r="B802" s="36"/>
      <c r="C802" s="36"/>
      <c r="D802" s="37"/>
    </row>
    <row r="803" spans="1:4" ht="12.75" customHeight="1" x14ac:dyDescent="0.15">
      <c r="A803" s="35"/>
      <c r="B803" s="36"/>
      <c r="C803" s="36"/>
      <c r="D803" s="37"/>
    </row>
    <row r="804" spans="1:4" ht="12.75" customHeight="1" x14ac:dyDescent="0.15">
      <c r="A804" s="35"/>
      <c r="B804" s="36"/>
      <c r="C804" s="36"/>
      <c r="D804" s="37"/>
    </row>
    <row r="805" spans="1:4" ht="12.75" customHeight="1" x14ac:dyDescent="0.15">
      <c r="A805" s="35"/>
      <c r="B805" s="36"/>
      <c r="C805" s="36"/>
      <c r="D805" s="37"/>
    </row>
    <row r="806" spans="1:4" ht="12.75" customHeight="1" x14ac:dyDescent="0.15">
      <c r="A806" s="35"/>
      <c r="B806" s="36"/>
      <c r="C806" s="36"/>
      <c r="D806" s="37"/>
    </row>
    <row r="807" spans="1:4" ht="12.75" customHeight="1" x14ac:dyDescent="0.15">
      <c r="A807" s="35"/>
      <c r="B807" s="36"/>
      <c r="C807" s="36"/>
      <c r="D807" s="37"/>
    </row>
    <row r="808" spans="1:4" ht="12.75" customHeight="1" x14ac:dyDescent="0.15">
      <c r="A808" s="35"/>
      <c r="B808" s="36"/>
      <c r="C808" s="36"/>
      <c r="D808" s="37"/>
    </row>
    <row r="809" spans="1:4" ht="12.75" customHeight="1" x14ac:dyDescent="0.15">
      <c r="A809" s="35"/>
      <c r="B809" s="36"/>
      <c r="C809" s="36"/>
      <c r="D809" s="37"/>
    </row>
    <row r="810" spans="1:4" ht="12.75" customHeight="1" x14ac:dyDescent="0.15">
      <c r="A810" s="35"/>
      <c r="B810" s="36"/>
      <c r="C810" s="36"/>
      <c r="D810" s="37"/>
    </row>
    <row r="811" spans="1:4" ht="12.75" customHeight="1" x14ac:dyDescent="0.15">
      <c r="A811" s="35"/>
      <c r="B811" s="36"/>
      <c r="C811" s="36"/>
      <c r="D811" s="37"/>
    </row>
    <row r="812" spans="1:4" ht="12.75" customHeight="1" x14ac:dyDescent="0.15">
      <c r="A812" s="35"/>
      <c r="B812" s="36"/>
      <c r="C812" s="36"/>
      <c r="D812" s="37"/>
    </row>
    <row r="813" spans="1:4" ht="12.75" customHeight="1" x14ac:dyDescent="0.15">
      <c r="A813" s="35"/>
      <c r="B813" s="36"/>
      <c r="C813" s="36"/>
      <c r="D813" s="37"/>
    </row>
    <row r="814" spans="1:4" ht="12.75" customHeight="1" x14ac:dyDescent="0.15">
      <c r="A814" s="35"/>
      <c r="B814" s="36"/>
      <c r="C814" s="36"/>
      <c r="D814" s="37"/>
    </row>
    <row r="815" spans="1:4" ht="12.75" customHeight="1" x14ac:dyDescent="0.15">
      <c r="A815" s="35"/>
      <c r="B815" s="36"/>
      <c r="C815" s="36"/>
      <c r="D815" s="37"/>
    </row>
    <row r="816" spans="1:4" ht="12.75" customHeight="1" x14ac:dyDescent="0.15">
      <c r="A816" s="35"/>
      <c r="B816" s="36"/>
      <c r="C816" s="36"/>
      <c r="D816" s="37"/>
    </row>
    <row r="817" spans="1:4" ht="12.75" customHeight="1" x14ac:dyDescent="0.15">
      <c r="A817" s="35"/>
      <c r="B817" s="36"/>
      <c r="C817" s="36"/>
      <c r="D817" s="37"/>
    </row>
    <row r="818" spans="1:4" ht="12.75" customHeight="1" x14ac:dyDescent="0.15">
      <c r="A818" s="35"/>
      <c r="B818" s="36"/>
      <c r="C818" s="36"/>
      <c r="D818" s="37"/>
    </row>
    <row r="819" spans="1:4" ht="12.75" customHeight="1" x14ac:dyDescent="0.15">
      <c r="A819" s="35"/>
      <c r="B819" s="36"/>
      <c r="C819" s="36"/>
      <c r="D819" s="37"/>
    </row>
    <row r="820" spans="1:4" ht="12.75" customHeight="1" x14ac:dyDescent="0.15">
      <c r="A820" s="35"/>
      <c r="B820" s="36"/>
      <c r="C820" s="36"/>
      <c r="D820" s="37"/>
    </row>
    <row r="821" spans="1:4" ht="12.75" customHeight="1" x14ac:dyDescent="0.15">
      <c r="A821" s="35"/>
      <c r="B821" s="36"/>
      <c r="C821" s="36"/>
      <c r="D821" s="37"/>
    </row>
    <row r="822" spans="1:4" ht="12.75" customHeight="1" x14ac:dyDescent="0.15">
      <c r="A822" s="35"/>
      <c r="B822" s="36"/>
      <c r="C822" s="36"/>
      <c r="D822" s="37"/>
    </row>
    <row r="823" spans="1:4" ht="12.75" customHeight="1" x14ac:dyDescent="0.15">
      <c r="A823" s="35"/>
      <c r="B823" s="36"/>
      <c r="C823" s="36"/>
      <c r="D823" s="37"/>
    </row>
    <row r="824" spans="1:4" ht="12.75" customHeight="1" x14ac:dyDescent="0.15">
      <c r="A824" s="35"/>
      <c r="B824" s="36"/>
      <c r="C824" s="36"/>
      <c r="D824" s="37"/>
    </row>
    <row r="825" spans="1:4" ht="12.75" customHeight="1" x14ac:dyDescent="0.15">
      <c r="A825" s="35"/>
      <c r="B825" s="36"/>
      <c r="C825" s="36"/>
      <c r="D825" s="37"/>
    </row>
    <row r="826" spans="1:4" ht="12.75" customHeight="1" x14ac:dyDescent="0.15">
      <c r="A826" s="35"/>
      <c r="B826" s="36"/>
      <c r="C826" s="36"/>
      <c r="D826" s="37"/>
    </row>
    <row r="827" spans="1:4" ht="12.75" customHeight="1" x14ac:dyDescent="0.15">
      <c r="A827" s="35"/>
      <c r="B827" s="36"/>
      <c r="C827" s="36"/>
      <c r="D827" s="37"/>
    </row>
    <row r="828" spans="1:4" ht="12.75" customHeight="1" x14ac:dyDescent="0.15">
      <c r="A828" s="35"/>
      <c r="B828" s="36"/>
      <c r="C828" s="36"/>
      <c r="D828" s="37"/>
    </row>
    <row r="829" spans="1:4" ht="12.75" customHeight="1" x14ac:dyDescent="0.15">
      <c r="A829" s="35"/>
      <c r="B829" s="36"/>
      <c r="C829" s="36"/>
      <c r="D829" s="37"/>
    </row>
    <row r="830" spans="1:4" ht="12.75" customHeight="1" x14ac:dyDescent="0.15">
      <c r="A830" s="35"/>
      <c r="B830" s="36"/>
      <c r="C830" s="36"/>
      <c r="D830" s="37"/>
    </row>
    <row r="831" spans="1:4" ht="12.75" customHeight="1" x14ac:dyDescent="0.15">
      <c r="A831" s="35"/>
      <c r="B831" s="36"/>
      <c r="C831" s="36"/>
      <c r="D831" s="37"/>
    </row>
    <row r="832" spans="1:4" ht="12.75" customHeight="1" x14ac:dyDescent="0.15">
      <c r="A832" s="35"/>
      <c r="B832" s="36"/>
      <c r="C832" s="36"/>
      <c r="D832" s="37"/>
    </row>
    <row r="833" spans="1:4" ht="12.75" customHeight="1" x14ac:dyDescent="0.15">
      <c r="A833" s="35"/>
      <c r="B833" s="36"/>
      <c r="C833" s="36"/>
      <c r="D833" s="37"/>
    </row>
    <row r="834" spans="1:4" ht="12.75" customHeight="1" x14ac:dyDescent="0.15">
      <c r="A834" s="35"/>
      <c r="B834" s="36"/>
      <c r="C834" s="36"/>
      <c r="D834" s="37"/>
    </row>
    <row r="835" spans="1:4" ht="12.75" customHeight="1" x14ac:dyDescent="0.15">
      <c r="A835" s="35"/>
      <c r="B835" s="36"/>
      <c r="C835" s="36"/>
      <c r="D835" s="37"/>
    </row>
    <row r="836" spans="1:4" ht="12.75" customHeight="1" x14ac:dyDescent="0.15">
      <c r="A836" s="35"/>
      <c r="B836" s="36"/>
      <c r="C836" s="36"/>
      <c r="D836" s="37"/>
    </row>
    <row r="837" spans="1:4" ht="12.75" customHeight="1" x14ac:dyDescent="0.15">
      <c r="A837" s="35"/>
      <c r="B837" s="36"/>
      <c r="C837" s="36"/>
      <c r="D837" s="37"/>
    </row>
    <row r="838" spans="1:4" ht="12.75" customHeight="1" x14ac:dyDescent="0.15">
      <c r="A838" s="35"/>
      <c r="B838" s="36"/>
      <c r="C838" s="36"/>
      <c r="D838" s="37"/>
    </row>
    <row r="839" spans="1:4" ht="12.75" customHeight="1" x14ac:dyDescent="0.15">
      <c r="A839" s="35"/>
      <c r="B839" s="36"/>
      <c r="C839" s="36"/>
      <c r="D839" s="37"/>
    </row>
    <row r="840" spans="1:4" ht="12.75" customHeight="1" x14ac:dyDescent="0.15">
      <c r="A840" s="35"/>
      <c r="B840" s="36"/>
      <c r="C840" s="36"/>
      <c r="D840" s="37"/>
    </row>
    <row r="841" spans="1:4" ht="12.75" customHeight="1" x14ac:dyDescent="0.15">
      <c r="A841" s="35"/>
      <c r="B841" s="36"/>
      <c r="C841" s="36"/>
      <c r="D841" s="37"/>
    </row>
    <row r="842" spans="1:4" ht="12.75" customHeight="1" x14ac:dyDescent="0.15">
      <c r="A842" s="35"/>
      <c r="B842" s="36"/>
      <c r="C842" s="36"/>
      <c r="D842" s="37"/>
    </row>
    <row r="843" spans="1:4" ht="12.75" customHeight="1" x14ac:dyDescent="0.15">
      <c r="A843" s="35"/>
      <c r="B843" s="36"/>
      <c r="C843" s="36"/>
      <c r="D843" s="37"/>
    </row>
    <row r="844" spans="1:4" ht="12.75" customHeight="1" x14ac:dyDescent="0.15">
      <c r="A844" s="35"/>
      <c r="B844" s="36"/>
      <c r="C844" s="36"/>
      <c r="D844" s="37"/>
    </row>
    <row r="845" spans="1:4" ht="12.75" customHeight="1" x14ac:dyDescent="0.15">
      <c r="A845" s="35"/>
      <c r="B845" s="36"/>
      <c r="C845" s="36"/>
      <c r="D845" s="37"/>
    </row>
    <row r="846" spans="1:4" ht="12.75" customHeight="1" x14ac:dyDescent="0.15">
      <c r="A846" s="35"/>
      <c r="B846" s="36"/>
      <c r="C846" s="36"/>
      <c r="D846" s="37"/>
    </row>
    <row r="847" spans="1:4" ht="12.75" customHeight="1" x14ac:dyDescent="0.15">
      <c r="A847" s="35"/>
      <c r="B847" s="36"/>
      <c r="C847" s="36"/>
      <c r="D847" s="37"/>
    </row>
    <row r="848" spans="1:4" ht="12.75" customHeight="1" x14ac:dyDescent="0.15">
      <c r="A848" s="35"/>
      <c r="B848" s="36"/>
      <c r="C848" s="36"/>
      <c r="D848" s="37"/>
    </row>
    <row r="849" spans="1:4" ht="12.75" customHeight="1" x14ac:dyDescent="0.15">
      <c r="A849" s="35"/>
      <c r="B849" s="36"/>
      <c r="C849" s="36"/>
      <c r="D849" s="37"/>
    </row>
    <row r="850" spans="1:4" ht="12.75" customHeight="1" x14ac:dyDescent="0.15">
      <c r="A850" s="35"/>
      <c r="B850" s="36"/>
      <c r="C850" s="36"/>
      <c r="D850" s="37"/>
    </row>
    <row r="851" spans="1:4" ht="12.75" customHeight="1" x14ac:dyDescent="0.15">
      <c r="A851" s="35"/>
      <c r="B851" s="36"/>
      <c r="C851" s="36"/>
      <c r="D851" s="37"/>
    </row>
    <row r="852" spans="1:4" ht="12.75" customHeight="1" x14ac:dyDescent="0.15">
      <c r="A852" s="35"/>
      <c r="B852" s="36"/>
      <c r="C852" s="36"/>
      <c r="D852" s="37"/>
    </row>
    <row r="853" spans="1:4" ht="12.75" customHeight="1" x14ac:dyDescent="0.15">
      <c r="A853" s="35"/>
      <c r="B853" s="36"/>
      <c r="C853" s="36"/>
      <c r="D853" s="37"/>
    </row>
    <row r="854" spans="1:4" ht="12.75" customHeight="1" x14ac:dyDescent="0.15">
      <c r="A854" s="35"/>
      <c r="B854" s="36"/>
      <c r="C854" s="36"/>
      <c r="D854" s="37"/>
    </row>
    <row r="855" spans="1:4" ht="12.75" customHeight="1" x14ac:dyDescent="0.15">
      <c r="A855" s="35"/>
      <c r="B855" s="36"/>
      <c r="C855" s="36"/>
      <c r="D855" s="37"/>
    </row>
    <row r="856" spans="1:4" ht="12.75" customHeight="1" x14ac:dyDescent="0.15">
      <c r="A856" s="35"/>
      <c r="B856" s="36"/>
      <c r="C856" s="36"/>
      <c r="D856" s="37"/>
    </row>
    <row r="857" spans="1:4" ht="12.75" customHeight="1" x14ac:dyDescent="0.15">
      <c r="A857" s="35"/>
      <c r="B857" s="36"/>
      <c r="C857" s="36"/>
      <c r="D857" s="37"/>
    </row>
    <row r="858" spans="1:4" ht="12.75" customHeight="1" x14ac:dyDescent="0.15">
      <c r="A858" s="35"/>
      <c r="B858" s="36"/>
      <c r="C858" s="36"/>
      <c r="D858" s="37"/>
    </row>
    <row r="859" spans="1:4" ht="12.75" customHeight="1" x14ac:dyDescent="0.15">
      <c r="A859" s="35"/>
      <c r="B859" s="36"/>
      <c r="C859" s="36"/>
      <c r="D859" s="37"/>
    </row>
    <row r="860" spans="1:4" ht="12.75" customHeight="1" x14ac:dyDescent="0.15">
      <c r="A860" s="35"/>
      <c r="B860" s="36"/>
      <c r="C860" s="36"/>
      <c r="D860" s="37"/>
    </row>
    <row r="861" spans="1:4" ht="12.75" customHeight="1" x14ac:dyDescent="0.15">
      <c r="A861" s="35"/>
      <c r="B861" s="36"/>
      <c r="C861" s="36"/>
      <c r="D861" s="37"/>
    </row>
    <row r="862" spans="1:4" ht="12.75" customHeight="1" x14ac:dyDescent="0.15">
      <c r="A862" s="35"/>
      <c r="B862" s="36"/>
      <c r="C862" s="36"/>
      <c r="D862" s="37"/>
    </row>
    <row r="863" spans="1:4" ht="12.75" customHeight="1" x14ac:dyDescent="0.15">
      <c r="A863" s="35"/>
      <c r="B863" s="36"/>
      <c r="C863" s="36"/>
      <c r="D863" s="37"/>
    </row>
    <row r="864" spans="1:4" ht="12.75" customHeight="1" x14ac:dyDescent="0.15">
      <c r="A864" s="35"/>
      <c r="B864" s="36"/>
      <c r="C864" s="36"/>
      <c r="D864" s="37"/>
    </row>
    <row r="865" spans="1:4" ht="12.75" customHeight="1" x14ac:dyDescent="0.15">
      <c r="A865" s="35"/>
      <c r="B865" s="36"/>
      <c r="C865" s="36"/>
      <c r="D865" s="37"/>
    </row>
    <row r="866" spans="1:4" ht="12.75" customHeight="1" x14ac:dyDescent="0.15">
      <c r="A866" s="35"/>
      <c r="B866" s="36"/>
      <c r="C866" s="36"/>
      <c r="D866" s="37"/>
    </row>
    <row r="867" spans="1:4" ht="12.75" customHeight="1" x14ac:dyDescent="0.15">
      <c r="A867" s="35"/>
      <c r="B867" s="36"/>
      <c r="C867" s="36"/>
      <c r="D867" s="37"/>
    </row>
    <row r="868" spans="1:4" ht="12.75" customHeight="1" x14ac:dyDescent="0.15">
      <c r="A868" s="35"/>
      <c r="B868" s="36"/>
      <c r="C868" s="36"/>
      <c r="D868" s="37"/>
    </row>
    <row r="869" spans="1:4" ht="12.75" customHeight="1" x14ac:dyDescent="0.15">
      <c r="A869" s="35"/>
      <c r="B869" s="36"/>
      <c r="C869" s="36"/>
      <c r="D869" s="37"/>
    </row>
    <row r="870" spans="1:4" ht="12.75" customHeight="1" x14ac:dyDescent="0.15">
      <c r="A870" s="35"/>
      <c r="B870" s="36"/>
      <c r="C870" s="36"/>
      <c r="D870" s="37"/>
    </row>
    <row r="871" spans="1:4" ht="12.75" customHeight="1" x14ac:dyDescent="0.15">
      <c r="A871" s="35"/>
      <c r="B871" s="36"/>
      <c r="C871" s="36"/>
      <c r="D871" s="37"/>
    </row>
    <row r="872" spans="1:4" ht="12.75" customHeight="1" x14ac:dyDescent="0.15">
      <c r="A872" s="35"/>
      <c r="B872" s="36"/>
      <c r="C872" s="36"/>
      <c r="D872" s="37"/>
    </row>
    <row r="873" spans="1:4" ht="12.75" customHeight="1" x14ac:dyDescent="0.15">
      <c r="A873" s="35"/>
      <c r="B873" s="36"/>
      <c r="C873" s="36"/>
      <c r="D873" s="37"/>
    </row>
    <row r="874" spans="1:4" ht="12.75" customHeight="1" x14ac:dyDescent="0.15">
      <c r="A874" s="35"/>
      <c r="B874" s="36"/>
      <c r="C874" s="36"/>
      <c r="D874" s="37"/>
    </row>
    <row r="875" spans="1:4" ht="12.75" customHeight="1" x14ac:dyDescent="0.15">
      <c r="A875" s="35"/>
      <c r="B875" s="36"/>
      <c r="C875" s="36"/>
      <c r="D875" s="37"/>
    </row>
    <row r="876" spans="1:4" ht="12.75" customHeight="1" x14ac:dyDescent="0.15">
      <c r="A876" s="35"/>
      <c r="B876" s="36"/>
      <c r="C876" s="36"/>
      <c r="D876" s="37"/>
    </row>
    <row r="877" spans="1:4" ht="12.75" customHeight="1" x14ac:dyDescent="0.15">
      <c r="A877" s="35"/>
      <c r="B877" s="36"/>
      <c r="C877" s="36"/>
      <c r="D877" s="37"/>
    </row>
    <row r="878" spans="1:4" ht="12.75" customHeight="1" x14ac:dyDescent="0.15">
      <c r="A878" s="35"/>
      <c r="B878" s="36"/>
      <c r="C878" s="36"/>
      <c r="D878" s="37"/>
    </row>
    <row r="879" spans="1:4" ht="12.75" customHeight="1" x14ac:dyDescent="0.15">
      <c r="A879" s="35"/>
      <c r="B879" s="36"/>
      <c r="C879" s="36"/>
      <c r="D879" s="37"/>
    </row>
    <row r="880" spans="1:4" ht="12.75" customHeight="1" x14ac:dyDescent="0.15">
      <c r="A880" s="35"/>
      <c r="B880" s="36"/>
      <c r="C880" s="36"/>
      <c r="D880" s="37"/>
    </row>
    <row r="881" spans="1:4" ht="12.75" customHeight="1" x14ac:dyDescent="0.15">
      <c r="A881" s="35"/>
      <c r="B881" s="36"/>
      <c r="C881" s="36"/>
      <c r="D881" s="37"/>
    </row>
    <row r="882" spans="1:4" ht="12.75" customHeight="1" x14ac:dyDescent="0.15">
      <c r="A882" s="35"/>
      <c r="B882" s="36"/>
      <c r="C882" s="36"/>
      <c r="D882" s="37"/>
    </row>
    <row r="883" spans="1:4" ht="12.75" customHeight="1" x14ac:dyDescent="0.15">
      <c r="A883" s="35"/>
      <c r="B883" s="36"/>
      <c r="C883" s="36"/>
      <c r="D883" s="37"/>
    </row>
    <row r="884" spans="1:4" ht="12.75" customHeight="1" x14ac:dyDescent="0.15">
      <c r="A884" s="35"/>
      <c r="B884" s="36"/>
      <c r="C884" s="36"/>
      <c r="D884" s="37"/>
    </row>
    <row r="885" spans="1:4" ht="12.75" customHeight="1" x14ac:dyDescent="0.15">
      <c r="A885" s="35"/>
      <c r="B885" s="36"/>
      <c r="C885" s="36"/>
      <c r="D885" s="37"/>
    </row>
    <row r="886" spans="1:4" ht="12.75" customHeight="1" x14ac:dyDescent="0.15">
      <c r="A886" s="35"/>
      <c r="B886" s="36"/>
      <c r="C886" s="36"/>
      <c r="D886" s="37"/>
    </row>
    <row r="887" spans="1:4" ht="12.75" customHeight="1" x14ac:dyDescent="0.15">
      <c r="A887" s="35"/>
      <c r="B887" s="36"/>
      <c r="C887" s="36"/>
      <c r="D887" s="37"/>
    </row>
    <row r="888" spans="1:4" ht="12.75" customHeight="1" x14ac:dyDescent="0.15">
      <c r="A888" s="35"/>
      <c r="B888" s="36"/>
      <c r="C888" s="36"/>
      <c r="D888" s="37"/>
    </row>
    <row r="889" spans="1:4" ht="12.75" customHeight="1" x14ac:dyDescent="0.15">
      <c r="A889" s="35"/>
      <c r="B889" s="36"/>
      <c r="C889" s="36"/>
      <c r="D889" s="37"/>
    </row>
    <row r="890" spans="1:4" ht="12.75" customHeight="1" x14ac:dyDescent="0.15">
      <c r="A890" s="35"/>
      <c r="B890" s="36"/>
      <c r="C890" s="36"/>
      <c r="D890" s="37"/>
    </row>
    <row r="891" spans="1:4" ht="12.75" customHeight="1" x14ac:dyDescent="0.15">
      <c r="A891" s="35"/>
      <c r="B891" s="36"/>
      <c r="C891" s="36"/>
      <c r="D891" s="37"/>
    </row>
    <row r="892" spans="1:4" ht="12.75" customHeight="1" x14ac:dyDescent="0.15">
      <c r="A892" s="35"/>
      <c r="B892" s="36"/>
      <c r="C892" s="36"/>
      <c r="D892" s="37"/>
    </row>
    <row r="893" spans="1:4" ht="12.75" customHeight="1" x14ac:dyDescent="0.15">
      <c r="A893" s="35"/>
      <c r="B893" s="36"/>
      <c r="C893" s="36"/>
      <c r="D893" s="37"/>
    </row>
    <row r="894" spans="1:4" ht="12.75" customHeight="1" x14ac:dyDescent="0.15">
      <c r="A894" s="35"/>
      <c r="B894" s="36"/>
      <c r="C894" s="36"/>
      <c r="D894" s="37"/>
    </row>
    <row r="895" spans="1:4" ht="12.75" customHeight="1" x14ac:dyDescent="0.15">
      <c r="A895" s="35"/>
      <c r="B895" s="36"/>
      <c r="C895" s="36"/>
      <c r="D895" s="37"/>
    </row>
    <row r="896" spans="1:4" ht="12.75" customHeight="1" x14ac:dyDescent="0.15">
      <c r="A896" s="35"/>
      <c r="B896" s="36"/>
      <c r="C896" s="36"/>
      <c r="D896" s="37"/>
    </row>
    <row r="897" spans="1:4" ht="12.75" customHeight="1" x14ac:dyDescent="0.15">
      <c r="A897" s="35"/>
      <c r="B897" s="36"/>
      <c r="C897" s="36"/>
      <c r="D897" s="37"/>
    </row>
    <row r="898" spans="1:4" ht="12.75" customHeight="1" x14ac:dyDescent="0.15">
      <c r="A898" s="35"/>
      <c r="B898" s="36"/>
      <c r="C898" s="36"/>
      <c r="D898" s="37"/>
    </row>
    <row r="899" spans="1:4" ht="12.75" customHeight="1" x14ac:dyDescent="0.15">
      <c r="A899" s="35"/>
      <c r="B899" s="36"/>
      <c r="C899" s="36"/>
      <c r="D899" s="37"/>
    </row>
    <row r="900" spans="1:4" ht="12.75" customHeight="1" x14ac:dyDescent="0.15">
      <c r="A900" s="35"/>
      <c r="B900" s="36"/>
      <c r="C900" s="36"/>
      <c r="D900" s="37"/>
    </row>
    <row r="901" spans="1:4" ht="12.75" customHeight="1" x14ac:dyDescent="0.15">
      <c r="A901" s="35"/>
      <c r="B901" s="36"/>
      <c r="C901" s="36"/>
      <c r="D901" s="37"/>
    </row>
    <row r="902" spans="1:4" ht="12.75" customHeight="1" x14ac:dyDescent="0.15">
      <c r="A902" s="35"/>
      <c r="B902" s="36"/>
      <c r="C902" s="36"/>
      <c r="D902" s="37"/>
    </row>
    <row r="903" spans="1:4" ht="12.75" customHeight="1" x14ac:dyDescent="0.15">
      <c r="A903" s="35"/>
      <c r="B903" s="36"/>
      <c r="C903" s="36"/>
      <c r="D903" s="37"/>
    </row>
    <row r="904" spans="1:4" ht="12.75" customHeight="1" x14ac:dyDescent="0.15">
      <c r="A904" s="35"/>
      <c r="B904" s="36"/>
      <c r="C904" s="36"/>
      <c r="D904" s="37"/>
    </row>
    <row r="905" spans="1:4" ht="12.75" customHeight="1" x14ac:dyDescent="0.15">
      <c r="A905" s="35"/>
      <c r="B905" s="36"/>
      <c r="C905" s="36"/>
      <c r="D905" s="37"/>
    </row>
    <row r="906" spans="1:4" ht="12.75" customHeight="1" x14ac:dyDescent="0.15">
      <c r="A906" s="35"/>
      <c r="B906" s="36"/>
      <c r="C906" s="36"/>
      <c r="D906" s="37"/>
    </row>
    <row r="907" spans="1:4" ht="12.75" customHeight="1" x14ac:dyDescent="0.15">
      <c r="A907" s="35"/>
      <c r="B907" s="36"/>
      <c r="C907" s="36"/>
      <c r="D907" s="37"/>
    </row>
    <row r="908" spans="1:4" ht="12.75" customHeight="1" x14ac:dyDescent="0.15">
      <c r="A908" s="35"/>
      <c r="B908" s="36"/>
      <c r="C908" s="36"/>
      <c r="D908" s="37"/>
    </row>
    <row r="909" spans="1:4" ht="12.75" customHeight="1" x14ac:dyDescent="0.15">
      <c r="A909" s="35"/>
      <c r="B909" s="36"/>
      <c r="C909" s="36"/>
      <c r="D909" s="37"/>
    </row>
    <row r="910" spans="1:4" ht="12.75" customHeight="1" x14ac:dyDescent="0.15">
      <c r="A910" s="35"/>
      <c r="B910" s="36"/>
      <c r="C910" s="36"/>
      <c r="D910" s="37"/>
    </row>
    <row r="911" spans="1:4" ht="12.75" customHeight="1" x14ac:dyDescent="0.15">
      <c r="A911" s="35"/>
      <c r="B911" s="36"/>
      <c r="C911" s="36"/>
      <c r="D911" s="37"/>
    </row>
    <row r="912" spans="1:4" ht="12.75" customHeight="1" x14ac:dyDescent="0.15">
      <c r="A912" s="35"/>
      <c r="B912" s="36"/>
      <c r="C912" s="36"/>
      <c r="D912" s="37"/>
    </row>
    <row r="913" spans="1:4" ht="12.75" customHeight="1" x14ac:dyDescent="0.15">
      <c r="A913" s="35"/>
      <c r="B913" s="36"/>
      <c r="C913" s="36"/>
      <c r="D913" s="37"/>
    </row>
    <row r="914" spans="1:4" ht="12.75" customHeight="1" x14ac:dyDescent="0.15">
      <c r="A914" s="35"/>
      <c r="B914" s="36"/>
      <c r="C914" s="36"/>
      <c r="D914" s="37"/>
    </row>
    <row r="915" spans="1:4" ht="12.75" customHeight="1" x14ac:dyDescent="0.15">
      <c r="A915" s="35"/>
      <c r="B915" s="36"/>
      <c r="C915" s="36"/>
      <c r="D915" s="37"/>
    </row>
    <row r="916" spans="1:4" ht="12.75" customHeight="1" x14ac:dyDescent="0.15">
      <c r="A916" s="35"/>
      <c r="B916" s="36"/>
      <c r="C916" s="36"/>
      <c r="D916" s="37"/>
    </row>
    <row r="917" spans="1:4" ht="12.75" customHeight="1" x14ac:dyDescent="0.15">
      <c r="A917" s="35"/>
      <c r="B917" s="36"/>
      <c r="C917" s="36"/>
      <c r="D917" s="37"/>
    </row>
    <row r="918" spans="1:4" ht="12.75" customHeight="1" x14ac:dyDescent="0.15">
      <c r="A918" s="35"/>
      <c r="B918" s="36"/>
      <c r="C918" s="36"/>
      <c r="D918" s="37"/>
    </row>
    <row r="919" spans="1:4" ht="12.75" customHeight="1" x14ac:dyDescent="0.15">
      <c r="A919" s="35"/>
      <c r="B919" s="36"/>
      <c r="C919" s="36"/>
      <c r="D919" s="37"/>
    </row>
    <row r="920" spans="1:4" ht="12.75" customHeight="1" x14ac:dyDescent="0.15">
      <c r="A920" s="35"/>
      <c r="B920" s="36"/>
      <c r="C920" s="36"/>
      <c r="D920" s="37"/>
    </row>
    <row r="921" spans="1:4" ht="12.75" customHeight="1" x14ac:dyDescent="0.15">
      <c r="A921" s="35"/>
      <c r="B921" s="36"/>
      <c r="C921" s="36"/>
      <c r="D921" s="37"/>
    </row>
    <row r="922" spans="1:4" ht="12.75" customHeight="1" x14ac:dyDescent="0.15">
      <c r="A922" s="35"/>
      <c r="B922" s="36"/>
      <c r="C922" s="36"/>
      <c r="D922" s="37"/>
    </row>
    <row r="923" spans="1:4" ht="12.75" customHeight="1" x14ac:dyDescent="0.15">
      <c r="A923" s="35"/>
      <c r="B923" s="36"/>
      <c r="C923" s="36"/>
      <c r="D923" s="37"/>
    </row>
    <row r="924" spans="1:4" ht="12.75" customHeight="1" x14ac:dyDescent="0.15">
      <c r="A924" s="35"/>
      <c r="B924" s="36"/>
      <c r="C924" s="36"/>
      <c r="D924" s="37"/>
    </row>
    <row r="925" spans="1:4" ht="12.75" customHeight="1" x14ac:dyDescent="0.15">
      <c r="A925" s="35"/>
      <c r="B925" s="36"/>
      <c r="C925" s="36"/>
      <c r="D925" s="37"/>
    </row>
    <row r="926" spans="1:4" ht="12.75" customHeight="1" x14ac:dyDescent="0.15">
      <c r="A926" s="35"/>
      <c r="B926" s="36"/>
      <c r="C926" s="36"/>
      <c r="D926" s="37"/>
    </row>
    <row r="927" spans="1:4" ht="12.75" customHeight="1" x14ac:dyDescent="0.15">
      <c r="A927" s="35"/>
      <c r="B927" s="36"/>
      <c r="C927" s="36"/>
      <c r="D927" s="37"/>
    </row>
    <row r="928" spans="1:4" ht="12.75" customHeight="1" x14ac:dyDescent="0.15">
      <c r="A928" s="35"/>
      <c r="B928" s="36"/>
      <c r="C928" s="36"/>
      <c r="D928" s="37"/>
    </row>
    <row r="929" spans="1:4" ht="12.75" customHeight="1" x14ac:dyDescent="0.15">
      <c r="A929" s="35"/>
      <c r="B929" s="36"/>
      <c r="C929" s="36"/>
      <c r="D929" s="37"/>
    </row>
    <row r="930" spans="1:4" ht="12.75" customHeight="1" x14ac:dyDescent="0.15">
      <c r="A930" s="35"/>
      <c r="B930" s="36"/>
      <c r="C930" s="36"/>
      <c r="D930" s="37"/>
    </row>
    <row r="931" spans="1:4" ht="12.75" customHeight="1" x14ac:dyDescent="0.15">
      <c r="A931" s="35"/>
      <c r="B931" s="36"/>
      <c r="C931" s="36"/>
      <c r="D931" s="37"/>
    </row>
    <row r="932" spans="1:4" ht="12.75" customHeight="1" x14ac:dyDescent="0.15">
      <c r="A932" s="35"/>
      <c r="B932" s="36"/>
      <c r="C932" s="36"/>
      <c r="D932" s="37"/>
    </row>
    <row r="933" spans="1:4" ht="12.75" customHeight="1" x14ac:dyDescent="0.15">
      <c r="A933" s="35"/>
      <c r="B933" s="36"/>
      <c r="C933" s="36"/>
      <c r="D933" s="37"/>
    </row>
    <row r="934" spans="1:4" ht="12.75" customHeight="1" x14ac:dyDescent="0.15">
      <c r="A934" s="35"/>
      <c r="B934" s="36"/>
      <c r="C934" s="36"/>
      <c r="D934" s="37"/>
    </row>
    <row r="935" spans="1:4" ht="12.75" customHeight="1" x14ac:dyDescent="0.15">
      <c r="A935" s="35"/>
      <c r="B935" s="36"/>
      <c r="C935" s="36"/>
      <c r="D935" s="37"/>
    </row>
    <row r="936" spans="1:4" ht="12.75" customHeight="1" x14ac:dyDescent="0.15">
      <c r="A936" s="35"/>
      <c r="B936" s="36"/>
      <c r="C936" s="36"/>
      <c r="D936" s="37"/>
    </row>
    <row r="937" spans="1:4" ht="12.75" customHeight="1" x14ac:dyDescent="0.15">
      <c r="A937" s="35"/>
      <c r="B937" s="36"/>
      <c r="C937" s="36"/>
      <c r="D937" s="37"/>
    </row>
    <row r="938" spans="1:4" ht="12.75" customHeight="1" x14ac:dyDescent="0.15">
      <c r="A938" s="35"/>
      <c r="B938" s="36"/>
      <c r="C938" s="36"/>
      <c r="D938" s="37"/>
    </row>
    <row r="939" spans="1:4" ht="12.75" customHeight="1" x14ac:dyDescent="0.15">
      <c r="A939" s="35"/>
      <c r="B939" s="36"/>
      <c r="C939" s="36"/>
      <c r="D939" s="37"/>
    </row>
    <row r="940" spans="1:4" ht="12.75" customHeight="1" x14ac:dyDescent="0.15">
      <c r="A940" s="35"/>
      <c r="B940" s="36"/>
      <c r="C940" s="36"/>
      <c r="D940" s="37"/>
    </row>
    <row r="941" spans="1:4" ht="12.75" customHeight="1" x14ac:dyDescent="0.15">
      <c r="A941" s="35"/>
      <c r="B941" s="36"/>
      <c r="C941" s="36"/>
      <c r="D941" s="37"/>
    </row>
    <row r="942" spans="1:4" ht="12.75" customHeight="1" x14ac:dyDescent="0.15">
      <c r="A942" s="35"/>
      <c r="B942" s="36"/>
      <c r="C942" s="36"/>
      <c r="D942" s="37"/>
    </row>
    <row r="943" spans="1:4" ht="12.75" customHeight="1" x14ac:dyDescent="0.15">
      <c r="A943" s="35"/>
      <c r="B943" s="36"/>
      <c r="C943" s="36"/>
      <c r="D943" s="37"/>
    </row>
    <row r="944" spans="1:4" ht="12.75" customHeight="1" x14ac:dyDescent="0.15">
      <c r="A944" s="35"/>
      <c r="B944" s="36"/>
      <c r="C944" s="36"/>
      <c r="D944" s="37"/>
    </row>
    <row r="945" spans="1:4" ht="12.75" customHeight="1" x14ac:dyDescent="0.15">
      <c r="A945" s="35"/>
      <c r="B945" s="36"/>
      <c r="C945" s="36"/>
      <c r="D945" s="37"/>
    </row>
    <row r="946" spans="1:4" ht="12.75" customHeight="1" x14ac:dyDescent="0.15">
      <c r="A946" s="35"/>
      <c r="B946" s="36"/>
      <c r="C946" s="36"/>
      <c r="D946" s="37"/>
    </row>
    <row r="947" spans="1:4" ht="12.75" customHeight="1" x14ac:dyDescent="0.15">
      <c r="A947" s="35"/>
      <c r="B947" s="36"/>
      <c r="C947" s="36"/>
      <c r="D947" s="37"/>
    </row>
    <row r="948" spans="1:4" ht="12.75" customHeight="1" x14ac:dyDescent="0.15">
      <c r="A948" s="35"/>
      <c r="B948" s="36"/>
      <c r="C948" s="36"/>
      <c r="D948" s="37"/>
    </row>
    <row r="949" spans="1:4" ht="12.75" customHeight="1" x14ac:dyDescent="0.15">
      <c r="A949" s="35"/>
      <c r="B949" s="36"/>
      <c r="C949" s="36"/>
      <c r="D949" s="37"/>
    </row>
    <row r="950" spans="1:4" ht="12.75" customHeight="1" x14ac:dyDescent="0.15">
      <c r="A950" s="35"/>
      <c r="B950" s="36"/>
      <c r="C950" s="36"/>
      <c r="D950" s="37"/>
    </row>
    <row r="951" spans="1:4" ht="12.75" customHeight="1" x14ac:dyDescent="0.15">
      <c r="A951" s="35"/>
      <c r="B951" s="36"/>
      <c r="C951" s="36"/>
      <c r="D951" s="37"/>
    </row>
    <row r="952" spans="1:4" ht="12.75" customHeight="1" x14ac:dyDescent="0.15">
      <c r="A952" s="35"/>
      <c r="B952" s="36"/>
      <c r="C952" s="36"/>
      <c r="D952" s="37"/>
    </row>
    <row r="953" spans="1:4" ht="12.75" customHeight="1" x14ac:dyDescent="0.15">
      <c r="A953" s="35"/>
      <c r="B953" s="36"/>
      <c r="C953" s="36"/>
      <c r="D953" s="37"/>
    </row>
    <row r="954" spans="1:4" ht="12.75" customHeight="1" x14ac:dyDescent="0.15">
      <c r="A954" s="35"/>
      <c r="B954" s="36"/>
      <c r="C954" s="36"/>
      <c r="D954" s="37"/>
    </row>
    <row r="955" spans="1:4" ht="12.75" customHeight="1" x14ac:dyDescent="0.15">
      <c r="A955" s="35"/>
      <c r="B955" s="36"/>
      <c r="C955" s="36"/>
      <c r="D955" s="37"/>
    </row>
    <row r="956" spans="1:4" ht="12.75" customHeight="1" x14ac:dyDescent="0.15">
      <c r="A956" s="35"/>
      <c r="B956" s="36"/>
      <c r="C956" s="36"/>
      <c r="D956" s="37"/>
    </row>
    <row r="957" spans="1:4" ht="12.75" customHeight="1" x14ac:dyDescent="0.15">
      <c r="A957" s="35"/>
      <c r="B957" s="36"/>
      <c r="C957" s="36"/>
      <c r="D957" s="37"/>
    </row>
    <row r="958" spans="1:4" ht="12.75" customHeight="1" x14ac:dyDescent="0.15">
      <c r="A958" s="35"/>
      <c r="B958" s="36"/>
      <c r="C958" s="36"/>
      <c r="D958" s="37"/>
    </row>
    <row r="959" spans="1:4" ht="12.75" customHeight="1" x14ac:dyDescent="0.15">
      <c r="A959" s="35"/>
      <c r="B959" s="36"/>
      <c r="C959" s="36"/>
      <c r="D959" s="37"/>
    </row>
    <row r="960" spans="1:4" ht="12.75" customHeight="1" x14ac:dyDescent="0.15">
      <c r="A960" s="35"/>
      <c r="B960" s="36"/>
      <c r="C960" s="36"/>
      <c r="D960" s="37"/>
    </row>
    <row r="961" spans="1:4" ht="12.75" customHeight="1" x14ac:dyDescent="0.15">
      <c r="A961" s="35"/>
      <c r="B961" s="36"/>
      <c r="C961" s="36"/>
      <c r="D961" s="37"/>
    </row>
    <row r="962" spans="1:4" ht="12.75" customHeight="1" x14ac:dyDescent="0.15">
      <c r="A962" s="35"/>
      <c r="B962" s="36"/>
      <c r="C962" s="36"/>
      <c r="D962" s="37"/>
    </row>
    <row r="963" spans="1:4" ht="12.75" customHeight="1" x14ac:dyDescent="0.15">
      <c r="A963" s="35"/>
      <c r="B963" s="36"/>
      <c r="C963" s="36"/>
      <c r="D963" s="37"/>
    </row>
    <row r="964" spans="1:4" ht="12.75" customHeight="1" x14ac:dyDescent="0.15">
      <c r="A964" s="35"/>
      <c r="B964" s="36"/>
      <c r="C964" s="36"/>
      <c r="D964" s="37"/>
    </row>
    <row r="965" spans="1:4" ht="12.75" customHeight="1" x14ac:dyDescent="0.15">
      <c r="A965" s="35"/>
      <c r="B965" s="36"/>
      <c r="C965" s="36"/>
      <c r="D965" s="37"/>
    </row>
    <row r="966" spans="1:4" ht="12.75" customHeight="1" x14ac:dyDescent="0.15">
      <c r="A966" s="35"/>
      <c r="B966" s="36"/>
      <c r="C966" s="36"/>
      <c r="D966" s="37"/>
    </row>
    <row r="967" spans="1:4" ht="12.75" customHeight="1" x14ac:dyDescent="0.15">
      <c r="A967" s="35"/>
      <c r="B967" s="36"/>
      <c r="C967" s="36"/>
      <c r="D967" s="37"/>
    </row>
    <row r="968" spans="1:4" ht="12.75" customHeight="1" x14ac:dyDescent="0.15">
      <c r="A968" s="35"/>
      <c r="B968" s="36"/>
      <c r="C968" s="36"/>
      <c r="D968" s="37"/>
    </row>
    <row r="969" spans="1:4" ht="12.75" customHeight="1" x14ac:dyDescent="0.15">
      <c r="A969" s="35"/>
      <c r="B969" s="36"/>
      <c r="C969" s="36"/>
      <c r="D969" s="37"/>
    </row>
    <row r="970" spans="1:4" ht="12.75" customHeight="1" x14ac:dyDescent="0.15">
      <c r="A970" s="35"/>
      <c r="B970" s="36"/>
      <c r="C970" s="36"/>
      <c r="D970" s="37"/>
    </row>
    <row r="971" spans="1:4" ht="12.75" customHeight="1" x14ac:dyDescent="0.15">
      <c r="A971" s="35"/>
      <c r="B971" s="36"/>
      <c r="C971" s="36"/>
      <c r="D971" s="37"/>
    </row>
    <row r="972" spans="1:4" ht="12.75" customHeight="1" x14ac:dyDescent="0.15">
      <c r="A972" s="35"/>
      <c r="B972" s="36"/>
      <c r="C972" s="36"/>
      <c r="D972" s="37"/>
    </row>
    <row r="973" spans="1:4" ht="12.75" customHeight="1" x14ac:dyDescent="0.15">
      <c r="A973" s="35"/>
      <c r="B973" s="36"/>
      <c r="C973" s="36"/>
      <c r="D973" s="37"/>
    </row>
    <row r="974" spans="1:4" ht="12.75" customHeight="1" x14ac:dyDescent="0.15">
      <c r="A974" s="35"/>
      <c r="B974" s="36"/>
      <c r="C974" s="36"/>
      <c r="D974" s="37"/>
    </row>
    <row r="975" spans="1:4" ht="12.75" customHeight="1" x14ac:dyDescent="0.15">
      <c r="A975" s="35"/>
      <c r="B975" s="36"/>
      <c r="C975" s="36"/>
      <c r="D975" s="37"/>
    </row>
    <row r="976" spans="1:4" ht="12.75" customHeight="1" x14ac:dyDescent="0.15">
      <c r="A976" s="35"/>
      <c r="B976" s="36"/>
      <c r="C976" s="36"/>
      <c r="D976" s="37"/>
    </row>
    <row r="977" spans="1:4" ht="12.75" customHeight="1" x14ac:dyDescent="0.15">
      <c r="A977" s="35"/>
      <c r="B977" s="36"/>
      <c r="C977" s="36"/>
      <c r="D977" s="37"/>
    </row>
    <row r="978" spans="1:4" ht="12.75" customHeight="1" x14ac:dyDescent="0.15">
      <c r="A978" s="35"/>
      <c r="B978" s="36"/>
      <c r="C978" s="36"/>
      <c r="D978" s="37"/>
    </row>
    <row r="979" spans="1:4" ht="12.75" customHeight="1" x14ac:dyDescent="0.15">
      <c r="A979" s="35"/>
      <c r="B979" s="36"/>
      <c r="C979" s="36"/>
      <c r="D979" s="37"/>
    </row>
    <row r="980" spans="1:4" ht="12.75" customHeight="1" x14ac:dyDescent="0.15">
      <c r="A980" s="35"/>
      <c r="B980" s="36"/>
      <c r="C980" s="36"/>
      <c r="D980" s="37"/>
    </row>
    <row r="981" spans="1:4" ht="12.75" customHeight="1" x14ac:dyDescent="0.15">
      <c r="A981" s="35"/>
      <c r="B981" s="36"/>
      <c r="C981" s="36"/>
      <c r="D981" s="37"/>
    </row>
    <row r="982" spans="1:4" ht="12.75" customHeight="1" x14ac:dyDescent="0.15">
      <c r="A982" s="35"/>
      <c r="B982" s="36"/>
      <c r="C982" s="36"/>
      <c r="D982" s="37"/>
    </row>
    <row r="983" spans="1:4" ht="12.75" customHeight="1" x14ac:dyDescent="0.15">
      <c r="A983" s="35"/>
      <c r="B983" s="36"/>
      <c r="C983" s="36"/>
      <c r="D983" s="37"/>
    </row>
    <row r="984" spans="1:4" ht="12.75" customHeight="1" x14ac:dyDescent="0.15">
      <c r="A984" s="35"/>
      <c r="B984" s="36"/>
      <c r="C984" s="36"/>
      <c r="D984" s="37"/>
    </row>
    <row r="985" spans="1:4" ht="12.75" customHeight="1" x14ac:dyDescent="0.15">
      <c r="A985" s="35"/>
      <c r="B985" s="36"/>
      <c r="C985" s="36"/>
      <c r="D985" s="37"/>
    </row>
    <row r="986" spans="1:4" ht="12.75" customHeight="1" x14ac:dyDescent="0.15">
      <c r="A986" s="35"/>
      <c r="B986" s="36"/>
      <c r="C986" s="36"/>
      <c r="D986" s="37"/>
    </row>
    <row r="987" spans="1:4" ht="12.75" customHeight="1" x14ac:dyDescent="0.15">
      <c r="A987" s="35"/>
      <c r="B987" s="36"/>
      <c r="C987" s="36"/>
      <c r="D987" s="37"/>
    </row>
    <row r="988" spans="1:4" ht="12.75" customHeight="1" x14ac:dyDescent="0.15">
      <c r="A988" s="35"/>
      <c r="B988" s="36"/>
      <c r="C988" s="36"/>
      <c r="D988" s="37"/>
    </row>
    <row r="989" spans="1:4" ht="12.75" customHeight="1" x14ac:dyDescent="0.15">
      <c r="A989" s="35"/>
      <c r="B989" s="36"/>
      <c r="C989" s="36"/>
      <c r="D989" s="37"/>
    </row>
    <row r="990" spans="1:4" ht="12.75" customHeight="1" x14ac:dyDescent="0.15">
      <c r="A990" s="35"/>
      <c r="B990" s="36"/>
      <c r="C990" s="36"/>
      <c r="D990" s="37"/>
    </row>
    <row r="991" spans="1:4" ht="12.75" customHeight="1" x14ac:dyDescent="0.15">
      <c r="A991" s="35"/>
      <c r="B991" s="36"/>
      <c r="C991" s="36"/>
      <c r="D991" s="37"/>
    </row>
    <row r="992" spans="1:4" ht="12.75" customHeight="1" x14ac:dyDescent="0.15">
      <c r="A992" s="35"/>
      <c r="B992" s="36"/>
      <c r="C992" s="36"/>
      <c r="D992" s="37"/>
    </row>
    <row r="993" spans="1:4" ht="12.75" customHeight="1" x14ac:dyDescent="0.15">
      <c r="A993" s="35"/>
      <c r="B993" s="36"/>
      <c r="C993" s="36"/>
      <c r="D993" s="37"/>
    </row>
    <row r="994" spans="1:4" ht="12.75" customHeight="1" x14ac:dyDescent="0.15">
      <c r="A994" s="38"/>
      <c r="B994" s="39"/>
      <c r="C994" s="39"/>
      <c r="D994" s="40"/>
    </row>
    <row r="995" spans="1:4" ht="12.75" customHeight="1" x14ac:dyDescent="0.15">
      <c r="A995" s="38"/>
      <c r="B995" s="39"/>
      <c r="C995" s="39"/>
      <c r="D995" s="40"/>
    </row>
    <row r="996" spans="1:4" ht="12.75" customHeight="1" x14ac:dyDescent="0.15">
      <c r="A996" s="38"/>
      <c r="B996" s="39"/>
      <c r="C996" s="39"/>
      <c r="D996" s="40"/>
    </row>
    <row r="997" spans="1:4" ht="12.75" customHeight="1" x14ac:dyDescent="0.15">
      <c r="A997" s="38"/>
      <c r="B997" s="39"/>
      <c r="C997" s="39"/>
      <c r="D997" s="40"/>
    </row>
    <row r="998" spans="1:4" ht="12.75" customHeight="1" x14ac:dyDescent="0.15">
      <c r="A998" s="38"/>
      <c r="B998" s="39"/>
      <c r="C998" s="39"/>
      <c r="D998" s="40"/>
    </row>
    <row r="999" spans="1:4" ht="12.75" customHeight="1" x14ac:dyDescent="0.15">
      <c r="A999" s="38"/>
      <c r="B999" s="39"/>
      <c r="C999" s="39"/>
      <c r="D999" s="40"/>
    </row>
    <row r="1000" spans="1:4" ht="12.75" customHeight="1" x14ac:dyDescent="0.15">
      <c r="A1000" s="38"/>
      <c r="B1000" s="39"/>
      <c r="C1000" s="39"/>
      <c r="D1000" s="40"/>
    </row>
    <row r="1001" spans="1:4" ht="12.75" customHeight="1" x14ac:dyDescent="0.15">
      <c r="A1001" s="38"/>
      <c r="B1001" s="39"/>
      <c r="C1001" s="39"/>
      <c r="D1001" s="40"/>
    </row>
    <row r="1002" spans="1:4" ht="12.75" customHeight="1" x14ac:dyDescent="0.15">
      <c r="A1002" s="38"/>
      <c r="B1002" s="39"/>
      <c r="C1002" s="39"/>
      <c r="D1002" s="40"/>
    </row>
    <row r="1003" spans="1:4" ht="12.75" customHeight="1" x14ac:dyDescent="0.15">
      <c r="A1003" s="38"/>
      <c r="B1003" s="39"/>
      <c r="C1003" s="39"/>
      <c r="D1003" s="40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workbookViewId="0">
      <selection activeCell="J18" sqref="J18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5.83203125" bestFit="1" customWidth="1"/>
  </cols>
  <sheetData>
    <row r="1" spans="1:10" ht="15.75" customHeight="1" x14ac:dyDescent="0.15">
      <c r="A1" s="49" t="s">
        <v>138</v>
      </c>
      <c r="B1" s="49"/>
      <c r="C1" s="49"/>
      <c r="D1" s="49"/>
      <c r="E1" s="49"/>
      <c r="F1" s="49"/>
      <c r="G1" s="49"/>
      <c r="H1" s="49"/>
      <c r="J1" s="41" t="s">
        <v>139</v>
      </c>
    </row>
    <row r="2" spans="1:10" ht="15.75" customHeight="1" x14ac:dyDescent="0.15">
      <c r="A2" s="42" t="s">
        <v>0</v>
      </c>
      <c r="B2" s="42" t="s">
        <v>140</v>
      </c>
      <c r="C2" s="42" t="s">
        <v>141</v>
      </c>
      <c r="D2" s="42" t="s">
        <v>142</v>
      </c>
      <c r="E2" s="42" t="s">
        <v>143</v>
      </c>
      <c r="F2" s="42" t="s">
        <v>144</v>
      </c>
      <c r="G2" s="42" t="s">
        <v>145</v>
      </c>
      <c r="H2" s="42" t="s">
        <v>146</v>
      </c>
      <c r="J2" s="43">
        <v>46098</v>
      </c>
    </row>
    <row r="3" spans="1:10" ht="15.75" customHeight="1" x14ac:dyDescent="0.2">
      <c r="A3" s="44" t="s">
        <v>7</v>
      </c>
      <c r="B3" s="45">
        <f>COUNTIF('SSC7'!$A$2:$A$67, A3)</f>
        <v>1</v>
      </c>
      <c r="C3" s="45">
        <f>SUMIF('GPT-5 Generation'!$A$2:$A$67, $A3, 'GPT-5 Generation'!$C$2:$C$67)</f>
        <v>1</v>
      </c>
      <c r="D3" s="45">
        <f>SUMIF('GPT-5 Generation'!$A$68:$A$74, $A3, 'GPT-5 Generation'!$C$68:$C$74)</f>
        <v>0</v>
      </c>
      <c r="E3" s="45">
        <f>COUNTIFS('GPT-5 Generation'!$A$2:$A$67, $A3, 'GPT-5 Generation'!$C$2:$C$67,0)</f>
        <v>0</v>
      </c>
      <c r="F3" s="45">
        <f t="shared" ref="F3:F10" si="0">IFERROR(C3 / (C3 + D3), "Not Available")</f>
        <v>1</v>
      </c>
      <c r="G3" s="45">
        <f t="shared" ref="G3:G10" si="1">IFERROR(C3 / B3, "Not Available")</f>
        <v>1</v>
      </c>
      <c r="H3" s="45">
        <f>IFERROR(2*((F3*G3)/(F3+G3)),"Not Available")</f>
        <v>1</v>
      </c>
      <c r="J3" s="21"/>
    </row>
    <row r="4" spans="1:10" ht="15.75" customHeight="1" x14ac:dyDescent="0.15">
      <c r="A4" s="46" t="s">
        <v>4</v>
      </c>
      <c r="B4" s="45">
        <f>COUNTIF('SSC7'!$A$2:$A$67, A4)</f>
        <v>9</v>
      </c>
      <c r="C4" s="45">
        <f>SUMIF('GPT-5 Generation'!$A$2:$A$67, $A4, 'GPT-5 Generation'!$C$2:$C$67)</f>
        <v>9</v>
      </c>
      <c r="D4" s="45">
        <f>SUMIF('GPT-5 Generation'!$A$68:$A$74, $A4, 'GPT-5 Generation'!$C$68:$C$74)</f>
        <v>0</v>
      </c>
      <c r="E4" s="45">
        <f>COUNTIFS('GPT-5 Generation'!$A$2:$A$67, $A4, 'GPT-5 Generation'!$C$2:$C$67,0)</f>
        <v>0</v>
      </c>
      <c r="F4" s="45">
        <f t="shared" si="0"/>
        <v>1</v>
      </c>
      <c r="G4" s="45">
        <f t="shared" si="1"/>
        <v>1</v>
      </c>
      <c r="H4" s="45">
        <f>IFERROR(2*((F4*G4)/(F4+G4)),"Not Available")</f>
        <v>1</v>
      </c>
      <c r="J4" s="41" t="s">
        <v>147</v>
      </c>
    </row>
    <row r="5" spans="1:10" ht="15.75" customHeight="1" x14ac:dyDescent="0.15">
      <c r="A5" s="46" t="s">
        <v>14</v>
      </c>
      <c r="B5" s="45">
        <f>COUNTIF('SSC7'!$A$2:$A$67, A5)</f>
        <v>23</v>
      </c>
      <c r="C5" s="45">
        <f>SUMIF('GPT-5 Generation'!$A$2:$A$67, $A5, 'GPT-5 Generation'!$C$2:$C$67)</f>
        <v>23</v>
      </c>
      <c r="D5" s="45">
        <f>SUMIF('GPT-5 Generation'!$A$68:$A$74, $A5, 'GPT-5 Generation'!$C$68:$C$74)</f>
        <v>0</v>
      </c>
      <c r="E5" s="45">
        <f>COUNTIFS('GPT-5 Generation'!$A$2:$A$67, $A5, 'GPT-5 Generation'!$C$2:$C$67,0)</f>
        <v>0</v>
      </c>
      <c r="F5" s="45">
        <f t="shared" si="0"/>
        <v>1</v>
      </c>
      <c r="G5" s="45">
        <f t="shared" si="1"/>
        <v>1</v>
      </c>
      <c r="H5" s="45">
        <f>IFERROR(2*((F5*G6)/(F5+G6)),"Not Available")</f>
        <v>1</v>
      </c>
      <c r="J5" s="47" t="s">
        <v>151</v>
      </c>
    </row>
    <row r="6" spans="1:10" ht="15.75" customHeight="1" x14ac:dyDescent="0.15">
      <c r="A6" s="46" t="s">
        <v>20</v>
      </c>
      <c r="B6" s="45">
        <f>COUNTIF('SSC7'!$A$2:$A$67, A6)</f>
        <v>21</v>
      </c>
      <c r="C6" s="45">
        <f>SUMIF('GPT-5 Generation'!$A$2:$A$67, $A6, 'GPT-5 Generation'!$C$2:$C$67)</f>
        <v>21</v>
      </c>
      <c r="D6" s="45">
        <f>SUMIF('GPT-5 Generation'!$A$68:$A$74, $A6, 'GPT-5 Generation'!$C$68:$C$74)</f>
        <v>0</v>
      </c>
      <c r="E6" s="45">
        <f>COUNTIFS('GPT-5 Generation'!$A$2:$A$67, $A6, 'GPT-5 Generation'!$C$2:$C$67,0)</f>
        <v>0</v>
      </c>
      <c r="F6" s="45">
        <f t="shared" si="0"/>
        <v>1</v>
      </c>
      <c r="G6" s="45">
        <f t="shared" si="1"/>
        <v>1</v>
      </c>
      <c r="H6" s="45" t="str">
        <f>IFERROR(2*((F6*#REF!)/(F6+#REF!)),"Not Available")</f>
        <v>Not Available</v>
      </c>
    </row>
    <row r="7" spans="1:10" ht="15.75" customHeight="1" x14ac:dyDescent="0.15">
      <c r="A7" s="46" t="s">
        <v>135</v>
      </c>
      <c r="B7" s="45">
        <f>COUNTIF('SSC7'!$A$2:$A$67, A7)</f>
        <v>0</v>
      </c>
      <c r="C7" s="45">
        <f>SUMIF('GPT-5 Generation'!$A$2:$A$67, $A7, 'GPT-5 Generation'!$C$2:$C$67)</f>
        <v>0</v>
      </c>
      <c r="D7" s="45">
        <f>SUMIF('GPT-5 Generation'!$A$68:$A$74, $A7, 'GPT-5 Generation'!$C$68:$C$74)</f>
        <v>0</v>
      </c>
      <c r="F7" s="45" t="str">
        <f t="shared" si="0"/>
        <v>Not Available</v>
      </c>
      <c r="G7" s="45" t="str">
        <f t="shared" si="1"/>
        <v>Not Available</v>
      </c>
      <c r="H7" s="45" t="str">
        <f>IFERROR(2*((F7*G7)/(F7+G7)),"Not Available")</f>
        <v>Not Available</v>
      </c>
      <c r="J7" s="48" t="s">
        <v>148</v>
      </c>
    </row>
    <row r="8" spans="1:10" ht="15.75" customHeight="1" x14ac:dyDescent="0.15">
      <c r="A8" s="46" t="s">
        <v>105</v>
      </c>
      <c r="B8" s="45">
        <f>COUNTIF('SSC7'!$A$2:$A$67, A8)</f>
        <v>1</v>
      </c>
      <c r="C8" s="45">
        <f>SUMIF('GPT-5 Generation'!$A$2:$A$67, $A8, 'GPT-5 Generation'!$C$2:$C$67)</f>
        <v>1</v>
      </c>
      <c r="D8" s="45">
        <f>SUMIF('GPT-5 Generation'!$A$68:$A$74, $A8, 'GPT-5 Generation'!$C$68:$C$74)</f>
        <v>0</v>
      </c>
      <c r="E8" s="45">
        <f>COUNTIFS('GPT-5 Generation'!$A$2:$A$67, $A7, 'GPT-5 Generation'!$C$2:$C$67,0)</f>
        <v>0</v>
      </c>
      <c r="F8" s="45">
        <f t="shared" si="0"/>
        <v>1</v>
      </c>
      <c r="G8" s="45">
        <f t="shared" si="1"/>
        <v>1</v>
      </c>
      <c r="H8" s="45">
        <f>IFERROR(2*((F8*G9)/(F8+G9)),"Not Available")</f>
        <v>1</v>
      </c>
      <c r="J8" s="47" t="s">
        <v>150</v>
      </c>
    </row>
    <row r="9" spans="1:10" ht="15.75" customHeight="1" x14ac:dyDescent="0.15">
      <c r="A9" s="46" t="s">
        <v>17</v>
      </c>
      <c r="B9" s="45">
        <f>COUNTIF('SSC7'!$A$2:$A$67, A9)</f>
        <v>11</v>
      </c>
      <c r="C9" s="45">
        <f>SUMIF('GPT-5 Generation'!$A$2:$A$67, $A9, 'GPT-5 Generation'!$C$2:$C$67)</f>
        <v>11</v>
      </c>
      <c r="D9" s="45">
        <f>SUMIF('GPT-5 Generation'!$A$68:$A$74, $A9, 'GPT-5 Generation'!$C$68:$C$74)</f>
        <v>0</v>
      </c>
      <c r="E9" s="45">
        <f>COUNTIFS('GPT-5 Generation'!$A$2:$A$67, $A9, 'GPT-5 Generation'!$C$2:$C$67,0)</f>
        <v>0</v>
      </c>
      <c r="F9" s="45">
        <f t="shared" si="0"/>
        <v>1</v>
      </c>
      <c r="G9" s="45">
        <f t="shared" si="1"/>
        <v>1</v>
      </c>
      <c r="H9" s="45" t="str">
        <f>IFERROR(2*((F9*#REF!)/(F9+#REF!)),"Not Available")</f>
        <v>Not Available</v>
      </c>
    </row>
    <row r="10" spans="1:10" ht="15.75" customHeight="1" x14ac:dyDescent="0.15">
      <c r="A10" s="46" t="s">
        <v>149</v>
      </c>
      <c r="B10" s="45">
        <f>SUM(B3:B9)</f>
        <v>66</v>
      </c>
      <c r="C10" s="45">
        <f>SUM(C4:C9)</f>
        <v>65</v>
      </c>
      <c r="D10" s="45">
        <f>SUM(D3:D9)</f>
        <v>0</v>
      </c>
      <c r="E10" s="45">
        <f>SUM(E3:E9)</f>
        <v>0</v>
      </c>
      <c r="F10" s="45">
        <f t="shared" si="0"/>
        <v>1</v>
      </c>
      <c r="G10" s="45">
        <f t="shared" si="1"/>
        <v>0.98484848484848486</v>
      </c>
      <c r="H10" s="45">
        <f>IFERROR(2*((F10*G10)/(F10+G10)),"Not Available")</f>
        <v>0.99236641221374045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</row>
    <row r="12" spans="1:10" ht="15.75" customHeight="1" x14ac:dyDescent="0.15"/>
    <row r="13" spans="1:10" ht="15.75" customHeight="1" x14ac:dyDescent="0.15"/>
    <row r="14" spans="1:10" ht="15.75" customHeight="1" x14ac:dyDescent="0.15"/>
    <row r="15" spans="1:10" ht="15.75" customHeight="1" x14ac:dyDescent="0.15"/>
    <row r="16" spans="1:10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SSC7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2026-05-14T21:42:39Z</dcterms:modified>
</cp:coreProperties>
</file>