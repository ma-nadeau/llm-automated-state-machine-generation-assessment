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9376C0A2-A8AA-FC43-A277-D96035389E77}" xr6:coauthVersionLast="47" xr6:coauthVersionMax="47" xr10:uidLastSave="{00000000-0000-0000-0000-000000000000}"/>
  <bookViews>
    <workbookView xWindow="17640" yWindow="-21000" windowWidth="30240" windowHeight="17300" activeTab="2" xr2:uid="{00000000-000D-0000-FFFF-FFFF00000000}"/>
  </bookViews>
  <sheets>
    <sheet name="SSC7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D7" i="3"/>
  <c r="C7" i="3"/>
  <c r="B7" i="3"/>
  <c r="E6" i="3"/>
  <c r="D6" i="3"/>
  <c r="C6" i="3"/>
  <c r="B6" i="3"/>
  <c r="G6" i="3" s="1"/>
  <c r="E5" i="3"/>
  <c r="D5" i="3"/>
  <c r="C5" i="3"/>
  <c r="B5" i="3"/>
  <c r="E4" i="3"/>
  <c r="D4" i="3"/>
  <c r="C4" i="3"/>
  <c r="B4" i="3"/>
  <c r="E3" i="3"/>
  <c r="D3" i="3"/>
  <c r="C3" i="3"/>
  <c r="B3" i="3"/>
  <c r="G3" i="3" s="1"/>
  <c r="F3" i="3" l="1"/>
  <c r="G5" i="3"/>
  <c r="H3" i="3"/>
  <c r="E10" i="3"/>
  <c r="G8" i="3"/>
  <c r="B10" i="3"/>
  <c r="F5" i="3"/>
  <c r="H5" i="3" s="1"/>
  <c r="D10" i="3"/>
  <c r="G4" i="3"/>
  <c r="F6" i="3"/>
  <c r="H6" i="3" s="1"/>
  <c r="G7" i="3"/>
  <c r="C10" i="3"/>
  <c r="G9" i="3"/>
  <c r="F9" i="3"/>
  <c r="H9" i="3" s="1"/>
  <c r="F8" i="3"/>
  <c r="H8" i="3" s="1"/>
  <c r="F4" i="3"/>
  <c r="F7" i="3"/>
  <c r="H4" i="3" l="1"/>
  <c r="G10" i="3"/>
  <c r="F10" i="3"/>
  <c r="H7" i="3"/>
  <c r="H10" i="3" l="1"/>
</calcChain>
</file>

<file path=xl/sharedStrings.xml><?xml version="1.0" encoding="utf-8"?>
<sst xmlns="http://schemas.openxmlformats.org/spreadsheetml/2006/main" count="393" uniqueCount="152">
  <si>
    <t>Type</t>
  </si>
  <si>
    <t>Element</t>
  </si>
  <si>
    <t>GPT-5 Generation</t>
  </si>
  <si>
    <t>Notes</t>
  </si>
  <si>
    <t>State</t>
  </si>
  <si>
    <t>Initial state (→ Active)</t>
  </si>
  <si>
    <t>Represented as [*] --&gt; Shopping where Shopping is the main composite state equivalent to Active</t>
  </si>
  <si>
    <t>Composite State</t>
  </si>
  <si>
    <t>Active</t>
  </si>
  <si>
    <t>Represented by Shopping composite state which contains all main operational substates</t>
  </si>
  <si>
    <t>Initial state (Active → Ready)</t>
  </si>
  <si>
    <t>Represented as [*] --&gt; ReadyForNextItem within Shopping composite state</t>
  </si>
  <si>
    <t>Ready</t>
  </si>
  <si>
    <t>Represented as ReadyForNextItem state</t>
  </si>
  <si>
    <t>Transition</t>
  </si>
  <si>
    <t>scannedNr (Ready ⇒ Ready)</t>
  </si>
  <si>
    <t>Represented as barcodeScanned(code) [!barcodeExists(code)] / showError() self-transition on ReadyForNextItem</t>
  </si>
  <si>
    <t>Guard</t>
  </si>
  <si>
    <t>[!existsNr()]</t>
  </si>
  <si>
    <t>Represented as [!barcodeExists(code)] guard condition</t>
  </si>
  <si>
    <t>Action</t>
  </si>
  <si>
    <t>error()</t>
  </si>
  <si>
    <t>Represented as showError() action</t>
  </si>
  <si>
    <t>productCodeEntered (Ready ⇒ Ready)</t>
  </si>
  <si>
    <t>Represented as productCodeEntered(code) [!productCodeExists(code)] / showError() self-transition</t>
  </si>
  <si>
    <t>[!existsCode()]</t>
  </si>
  <si>
    <t>Represented as [!productCodeExists(code)] guard condition</t>
  </si>
  <si>
    <t>productCodeEntered (Ready ⇒ WeighItem)</t>
  </si>
  <si>
    <t>Represented as productCodeEntered(code) [productCodeExists(code)] / requestItemWeight(code) to WeighingProductCodeItem</t>
  </si>
  <si>
    <t>[existsCode()]</t>
  </si>
  <si>
    <t>Represented as [productCodeExists(code)] guard condition</t>
  </si>
  <si>
    <t>scannedNr (Ready ⇒ CheckWeight)</t>
  </si>
  <si>
    <t>Represented as barcodeScanned(code) [barcodeExists(code)] / showItem(code) to AwaitingSecurityCheck</t>
  </si>
  <si>
    <t>[existsNr()]</t>
  </si>
  <si>
    <t>Represented as [barcodeExists(code)] guard condition</t>
  </si>
  <si>
    <t>addItem()</t>
  </si>
  <si>
    <t>Represented as showItem(code) which displays the item after adding it</t>
  </si>
  <si>
    <t>cancelCheckout (Ready ⇒ Override)</t>
  </si>
  <si>
    <t>Represented as cancelEverything transition from ReadyForNextItem to OverrideClearAll</t>
  </si>
  <si>
    <t>setTypeEverything()</t>
  </si>
  <si>
    <t>Represented by routing to OverrideClearAll substate which handles clearing everything</t>
  </si>
  <si>
    <t>removeItem (Ready ⇒ Override)</t>
  </si>
  <si>
    <t>Represented as removeItem transition from ReadyForNextItem to OverrideClearItem</t>
  </si>
  <si>
    <t>[billHasItem()]</t>
  </si>
  <si>
    <t>Represented as [billHasItems()] guard condition</t>
  </si>
  <si>
    <t>setTypeItem()</t>
  </si>
  <si>
    <t>Represented by routing to OverrideClearItem substate which handles clearing a single item</t>
  </si>
  <si>
    <t>broughtOwnBag (Ready ⇒ WeighBag)</t>
  </si>
  <si>
    <t>Represented as ownBags transition from ReadyForNextItem to WeighingBag</t>
  </si>
  <si>
    <t>pay (Ready ⇒ PayRequested)</t>
  </si>
  <si>
    <t>Represented as pay transition from ReadyForNextItem to PaymentProcessing</t>
  </si>
  <si>
    <t>sendPaymentRequest()</t>
  </si>
  <si>
    <t>Represented as entry action in PaymentProcessing state note</t>
  </si>
  <si>
    <t>WeighItem</t>
  </si>
  <si>
    <t>Represented as WeighingProductCodeItem state</t>
  </si>
  <si>
    <t>cancel (WeighItem ⇒ Ready)</t>
  </si>
  <si>
    <t>Represented as cancel transition from WeighingProductCodeItem to ReadyForNextItem</t>
  </si>
  <si>
    <t>weighedItem (WeighItem ⇒ CheckWeight)</t>
  </si>
  <si>
    <t>Represented as itemWeightReceived(weight) transition from WeighingProductCodeItem to AwaitingSecurityCheck</t>
  </si>
  <si>
    <t>addWeighedItem()</t>
  </si>
  <si>
    <t>Represented as showItemWithWeight(weight) action which displays the weighed item</t>
  </si>
  <si>
    <t>CheckWeight</t>
  </si>
  <si>
    <t>Represented as AwaitingSecurityCheck state</t>
  </si>
  <si>
    <t>secWeighedItem (CheckWeight ⇒ Ready)</t>
  </si>
  <si>
    <t>Represented as securityWeightReceived(weight) [weightMatches(weight)] transition from AwaitingSecurityCheck to ReadyForNextItem</t>
  </si>
  <si>
    <t>[weightMatched()]</t>
  </si>
  <si>
    <t>Represented as [weightMatches(weight)] guard condition</t>
  </si>
  <si>
    <t>secWeighedItem (CheckWeight ⇒ Override)</t>
  </si>
  <si>
    <t>Represented as securityWeightReceived(weight) [!weightMatches(weight)] transition from AwaitingSecurityCheck to OverrideClearItem</t>
  </si>
  <si>
    <t>[!weightMatched()]</t>
  </si>
  <si>
    <t>Represented as [!weightMatches(weight)] guard condition</t>
  </si>
  <si>
    <t>cancelCheckout (CheckWeight ⇒ Override)</t>
  </si>
  <si>
    <t>Represented as cancelEverything transition from AwaitingSecurityCheck to OverrideClearAll</t>
  </si>
  <si>
    <t>WeighBag</t>
  </si>
  <si>
    <t>Represented as WeighingBag state</t>
  </si>
  <si>
    <t>secWeighedItem (WeighBag ⇒ Ready)</t>
  </si>
  <si>
    <t>Represented as securityWeightReceived(weight) transition from WeighingBag to ReadyForNextItem</t>
  </si>
  <si>
    <t>addBag()</t>
  </si>
  <si>
    <t>Represented as addBag(weight) action in the transition</t>
  </si>
  <si>
    <t>cancel (WeighBag ⇒ Ready)</t>
  </si>
  <si>
    <t>Represented as cancel transition from WeighingBag to ReadyForNextItem</t>
  </si>
  <si>
    <t>Override</t>
  </si>
  <si>
    <t>Represented as OverrideRequired composite state containing OverrideClearItem and OverrideClearAll substates</t>
  </si>
  <si>
    <t>entry / lightOn()</t>
  </si>
  <si>
    <t>Represented as entry / turnLightOn() in OverrideRequired state note</t>
  </si>
  <si>
    <t>exit / lightOff()</t>
  </si>
  <si>
    <t>Represented as exit / turnLightOff() in OverrideRequired state note</t>
  </si>
  <si>
    <t>codeEntered (Override ⇒ Ready)</t>
  </si>
  <si>
    <t>Represented as staffCodeEntered(code) [overrideCodeValid(code)] / clearItemFromBill() from OverrideClearItem to ReadyForNextItem</t>
  </si>
  <si>
    <t>[codeCorrect() &amp;&amp; isTypeItem()]</t>
  </si>
  <si>
    <t>Represented by transition from OverrideClearItem substate with [overrideCodeValid(code)] guard</t>
  </si>
  <si>
    <t>clearItem()</t>
  </si>
  <si>
    <t>Represented as clearItemFromBill() action</t>
  </si>
  <si>
    <t>Represented as staffCodeEntered(code) [overrideCodeValid(code)] / clearEverything() from OverrideClearAll to ReadyForNextItem</t>
  </si>
  <si>
    <t>[codeCorrect() &amp;&amp; isTypeEverything()]</t>
  </si>
  <si>
    <t>Represented by transition from OverrideClearAll substate with [overrideCodeValid(code)] guard</t>
  </si>
  <si>
    <t>clearEverything()</t>
  </si>
  <si>
    <t>Represented as clearEverything() action</t>
  </si>
  <si>
    <t>codeEntered (Override ⇒ Override)</t>
  </si>
  <si>
    <t>Represented as self-transitions on both OverrideClearItem and OverrideClearAll with [!overrideCodeValid(code)] guard</t>
  </si>
  <si>
    <t>[!codeCorrect()]</t>
  </si>
  <si>
    <t>Represented as [!overrideCodeValid(code)] guard condition</t>
  </si>
  <si>
    <t>Represented as timeoutWarning transition from Shopping to TimeoutWarning</t>
  </si>
  <si>
    <t>timeoutWarning (Active ⇒ TimeoutCountdown)</t>
  </si>
  <si>
    <t>Represented as showError() action in self-transitions on override substates</t>
  </si>
  <si>
    <t>History State</t>
  </si>
  <si>
    <t>H (Active)</t>
  </si>
  <si>
    <t>Represented as H history state within Shopping composite state</t>
  </si>
  <si>
    <t>TimeoutCountdown</t>
  </si>
  <si>
    <t>Represented as TimeoutWarning state</t>
  </si>
  <si>
    <t>do / countFrom60()</t>
  </si>
  <si>
    <t>Represented as entry / startCountdown(60s) in TimeoutWarning state note</t>
  </si>
  <si>
    <t>(TimeoutCountdown ⇒ Active)</t>
  </si>
  <si>
    <t>Represented as countdownReachedZero transition from TimeoutWarning to ReadyForNextItem</t>
  </si>
  <si>
    <t>Represented as clearEverything() action in the transition</t>
  </si>
  <si>
    <t>readyForNextCustomer()</t>
  </si>
  <si>
    <t>Represented as resetForNextCustomer() action in the transition</t>
  </si>
  <si>
    <t>PayRequested</t>
  </si>
  <si>
    <t>Represented as PaymentProcessing state</t>
  </si>
  <si>
    <t>fail (PayRequested ⇒ Ready)</t>
  </si>
  <si>
    <t>Represented as paymentFail(error) transition from PaymentProcessing to ReadyForNextItem</t>
  </si>
  <si>
    <t>Represented as showError(error) action</t>
  </si>
  <si>
    <t>cancel (PayRequested ⇒ Ready)</t>
  </si>
  <si>
    <t>Represented as paymentCancel transition from PaymentProcessing to ReadyForNextItem</t>
  </si>
  <si>
    <t>success (PayRequested ⇒ Ready)</t>
  </si>
  <si>
    <t>Represented as paymentSuccess(authCode) transition from PaymentProcessing to ReadyForNextItem</t>
  </si>
  <si>
    <t>printBill()</t>
  </si>
  <si>
    <t>Represented as printBill(authCode) action</t>
  </si>
  <si>
    <t>Represented as resetForNextCustomer() action</t>
  </si>
  <si>
    <t>additional elements</t>
  </si>
  <si>
    <t>No additional incorrect states present</t>
  </si>
  <si>
    <t>No additional incorrect transitions present</t>
  </si>
  <si>
    <t>No additional incorrect guards present</t>
  </si>
  <si>
    <t>No additional incorrect actions present</t>
  </si>
  <si>
    <t>No additional incorrect composite states present</t>
  </si>
  <si>
    <t>Region</t>
  </si>
  <si>
    <t>No additional incorrect regions present</t>
  </si>
  <si>
    <t>No additional incorrect history states present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</si>
  <si>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</si>
  <si>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</si>
  <si>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</si>
  <si>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</si>
  <si>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</si>
  <si>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</si>
  <si>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</si>
  <si>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</si>
  <si>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</si>
  <si>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</si>
  <si>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Generation LLMs</t>
  </si>
  <si>
    <t>Overall Score</t>
  </si>
  <si>
    <t>GPT-5.5</t>
  </si>
  <si>
    <t>Claude Sonnet 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</si>
</sst>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0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2" fillId="3" borderId="0" xfId="0" applyFont="1" applyFill="1" applyBorder="1"/>
    <xf numFmtId="0" fontId="8" fillId="0" borderId="0" xfId="0" applyFont="1" applyBorder="1"/>
    <xf numFmtId="0" fontId="3" fillId="5" borderId="9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7</v>
      </c>
      <c r="B3" s="7" t="s">
        <v>8</v>
      </c>
      <c r="C3" s="6"/>
      <c r="D3" s="6"/>
    </row>
    <row r="4" spans="1:4" ht="12.75" customHeight="1" x14ac:dyDescent="0.15">
      <c r="A4" s="4" t="s">
        <v>4</v>
      </c>
      <c r="B4" s="5" t="s">
        <v>10</v>
      </c>
      <c r="C4" s="6"/>
      <c r="D4" s="6"/>
    </row>
    <row r="5" spans="1:4" ht="12.75" customHeight="1" x14ac:dyDescent="0.15">
      <c r="A5" s="4" t="s">
        <v>4</v>
      </c>
      <c r="B5" s="5" t="s">
        <v>12</v>
      </c>
      <c r="C5" s="6"/>
      <c r="D5" s="6"/>
    </row>
    <row r="6" spans="1:4" ht="12.75" customHeight="1" x14ac:dyDescent="0.15">
      <c r="A6" s="4" t="s">
        <v>14</v>
      </c>
      <c r="B6" s="5" t="s">
        <v>15</v>
      </c>
      <c r="C6" s="6"/>
      <c r="D6" s="6"/>
    </row>
    <row r="7" spans="1:4" ht="12.75" customHeight="1" x14ac:dyDescent="0.15">
      <c r="A7" s="4" t="s">
        <v>17</v>
      </c>
      <c r="B7" s="5" t="s">
        <v>18</v>
      </c>
      <c r="C7" s="6"/>
      <c r="D7" s="6"/>
    </row>
    <row r="8" spans="1:4" ht="12.75" customHeight="1" x14ac:dyDescent="0.15">
      <c r="A8" s="4" t="s">
        <v>20</v>
      </c>
      <c r="B8" s="5" t="s">
        <v>21</v>
      </c>
      <c r="C8" s="6"/>
      <c r="D8" s="6"/>
    </row>
    <row r="9" spans="1:4" ht="12.75" customHeight="1" x14ac:dyDescent="0.15">
      <c r="A9" s="4" t="s">
        <v>14</v>
      </c>
      <c r="B9" s="5" t="s">
        <v>23</v>
      </c>
      <c r="C9" s="6"/>
      <c r="D9" s="6"/>
    </row>
    <row r="10" spans="1:4" ht="12.75" customHeight="1" x14ac:dyDescent="0.15">
      <c r="A10" s="4" t="s">
        <v>17</v>
      </c>
      <c r="B10" s="5" t="s">
        <v>25</v>
      </c>
      <c r="C10" s="6"/>
      <c r="D10" s="6"/>
    </row>
    <row r="11" spans="1:4" ht="12.75" customHeight="1" x14ac:dyDescent="0.15">
      <c r="A11" s="4" t="s">
        <v>20</v>
      </c>
      <c r="B11" s="5" t="s">
        <v>21</v>
      </c>
      <c r="C11" s="6"/>
      <c r="D11" s="6"/>
    </row>
    <row r="12" spans="1:4" ht="12.75" customHeight="1" x14ac:dyDescent="0.15">
      <c r="A12" s="4" t="s">
        <v>14</v>
      </c>
      <c r="B12" s="5" t="s">
        <v>27</v>
      </c>
      <c r="C12" s="6"/>
      <c r="D12" s="6"/>
    </row>
    <row r="13" spans="1:4" ht="12.75" customHeight="1" x14ac:dyDescent="0.15">
      <c r="A13" s="4" t="s">
        <v>17</v>
      </c>
      <c r="B13" s="5" t="s">
        <v>29</v>
      </c>
      <c r="C13" s="6"/>
      <c r="D13" s="6"/>
    </row>
    <row r="14" spans="1:4" ht="12.75" customHeight="1" x14ac:dyDescent="0.15">
      <c r="A14" s="4" t="s">
        <v>14</v>
      </c>
      <c r="B14" s="5" t="s">
        <v>31</v>
      </c>
      <c r="C14" s="6"/>
      <c r="D14" s="6"/>
    </row>
    <row r="15" spans="1:4" ht="12.75" customHeight="1" x14ac:dyDescent="0.15">
      <c r="A15" s="4" t="s">
        <v>17</v>
      </c>
      <c r="B15" s="5" t="s">
        <v>33</v>
      </c>
      <c r="C15" s="6"/>
      <c r="D15" s="6"/>
    </row>
    <row r="16" spans="1:4" ht="12.75" customHeight="1" x14ac:dyDescent="0.15">
      <c r="A16" s="4" t="s">
        <v>20</v>
      </c>
      <c r="B16" s="5" t="s">
        <v>35</v>
      </c>
      <c r="C16" s="6"/>
      <c r="D16" s="6"/>
    </row>
    <row r="17" spans="1:22" ht="12.75" customHeight="1" x14ac:dyDescent="0.15">
      <c r="A17" s="4" t="s">
        <v>14</v>
      </c>
      <c r="B17" s="5" t="s">
        <v>37</v>
      </c>
      <c r="C17" s="6"/>
      <c r="D17" s="6"/>
    </row>
    <row r="18" spans="1:22" ht="12.75" customHeight="1" x14ac:dyDescent="0.15">
      <c r="A18" s="8" t="s">
        <v>20</v>
      </c>
      <c r="B18" s="9" t="s">
        <v>39</v>
      </c>
      <c r="C18" s="6"/>
      <c r="D18" s="6"/>
    </row>
    <row r="19" spans="1:22" ht="12.75" customHeight="1" x14ac:dyDescent="0.15">
      <c r="A19" s="4" t="s">
        <v>14</v>
      </c>
      <c r="B19" s="5" t="s">
        <v>41</v>
      </c>
      <c r="C19" s="6"/>
      <c r="D19" s="6"/>
    </row>
    <row r="20" spans="1:22" ht="12.75" customHeight="1" x14ac:dyDescent="0.15">
      <c r="A20" s="4" t="s">
        <v>17</v>
      </c>
      <c r="B20" s="5" t="s">
        <v>43</v>
      </c>
      <c r="C20" s="6"/>
      <c r="D20" s="6"/>
    </row>
    <row r="21" spans="1:22" ht="12.75" customHeight="1" x14ac:dyDescent="0.15">
      <c r="A21" s="4" t="s">
        <v>20</v>
      </c>
      <c r="B21" s="5" t="s">
        <v>45</v>
      </c>
      <c r="C21" s="6"/>
      <c r="D21" s="6"/>
    </row>
    <row r="22" spans="1:22" ht="15" customHeight="1" x14ac:dyDescent="0.15">
      <c r="A22" s="4" t="s">
        <v>14</v>
      </c>
      <c r="B22" s="5" t="s">
        <v>47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14</v>
      </c>
      <c r="B23" s="5" t="s">
        <v>49</v>
      </c>
      <c r="C23" s="6"/>
      <c r="D23" s="6"/>
    </row>
    <row r="24" spans="1:22" ht="12.75" customHeight="1" x14ac:dyDescent="0.15">
      <c r="A24" s="4" t="s">
        <v>17</v>
      </c>
      <c r="B24" s="5" t="s">
        <v>43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20</v>
      </c>
      <c r="B25" s="5" t="s">
        <v>51</v>
      </c>
      <c r="C25" s="6"/>
      <c r="D25" s="6"/>
    </row>
    <row r="26" spans="1:22" ht="12.75" customHeight="1" x14ac:dyDescent="0.15">
      <c r="A26" s="4" t="s">
        <v>4</v>
      </c>
      <c r="B26" s="5" t="s">
        <v>53</v>
      </c>
      <c r="C26" s="6"/>
      <c r="D26" s="6"/>
    </row>
    <row r="27" spans="1:22" ht="12.75" customHeight="1" x14ac:dyDescent="0.15">
      <c r="A27" s="4" t="s">
        <v>14</v>
      </c>
      <c r="B27" s="5" t="s">
        <v>55</v>
      </c>
      <c r="C27" s="6"/>
      <c r="D27" s="6"/>
    </row>
    <row r="28" spans="1:22" ht="15" customHeight="1" x14ac:dyDescent="0.15">
      <c r="A28" s="4" t="s">
        <v>14</v>
      </c>
      <c r="B28" s="5" t="s">
        <v>57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20</v>
      </c>
      <c r="B29" s="5" t="s">
        <v>59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61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14</v>
      </c>
      <c r="B31" s="5" t="s">
        <v>63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17</v>
      </c>
      <c r="B32" s="5" t="s">
        <v>65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14</v>
      </c>
      <c r="B33" s="5" t="s">
        <v>67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17</v>
      </c>
      <c r="B34" s="5" t="s">
        <v>69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20</v>
      </c>
      <c r="B35" s="5" t="s">
        <v>45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14</v>
      </c>
      <c r="B36" s="5" t="s">
        <v>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20</v>
      </c>
      <c r="B37" s="5" t="s">
        <v>39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73</v>
      </c>
      <c r="C38" s="6"/>
      <c r="D38" s="6"/>
    </row>
    <row r="39" spans="1:22" ht="12.75" customHeight="1" x14ac:dyDescent="0.15">
      <c r="A39" s="4" t="s">
        <v>14</v>
      </c>
      <c r="B39" s="5" t="s">
        <v>75</v>
      </c>
      <c r="C39" s="6"/>
      <c r="D39" s="6"/>
    </row>
    <row r="40" spans="1:22" ht="12.75" customHeight="1" x14ac:dyDescent="0.15">
      <c r="A40" s="4" t="s">
        <v>20</v>
      </c>
      <c r="B40" s="5" t="s">
        <v>77</v>
      </c>
      <c r="C40" s="6"/>
      <c r="D40" s="6"/>
    </row>
    <row r="41" spans="1:22" ht="12.75" customHeight="1" x14ac:dyDescent="0.15">
      <c r="A41" s="4" t="s">
        <v>14</v>
      </c>
      <c r="B41" s="5" t="s">
        <v>79</v>
      </c>
      <c r="C41" s="6"/>
      <c r="D41" s="6"/>
    </row>
    <row r="42" spans="1:22" ht="12.75" customHeight="1" x14ac:dyDescent="0.15">
      <c r="A42" s="4" t="s">
        <v>4</v>
      </c>
      <c r="B42" s="5" t="s">
        <v>81</v>
      </c>
      <c r="C42" s="6"/>
      <c r="D42" s="6"/>
    </row>
    <row r="43" spans="1:22" ht="12.75" customHeight="1" x14ac:dyDescent="0.15">
      <c r="A43" s="4" t="s">
        <v>20</v>
      </c>
      <c r="B43" s="5" t="s">
        <v>83</v>
      </c>
      <c r="C43" s="6"/>
      <c r="D43" s="6"/>
    </row>
    <row r="44" spans="1:22" ht="12.75" customHeight="1" x14ac:dyDescent="0.15">
      <c r="A44" s="4" t="s">
        <v>20</v>
      </c>
      <c r="B44" s="5" t="s">
        <v>85</v>
      </c>
      <c r="C44" s="6"/>
      <c r="D44" s="6"/>
    </row>
    <row r="45" spans="1:22" ht="12.75" customHeight="1" x14ac:dyDescent="0.15">
      <c r="A45" s="4" t="s">
        <v>14</v>
      </c>
      <c r="B45" s="5" t="s">
        <v>87</v>
      </c>
      <c r="C45" s="6"/>
      <c r="D45" s="6"/>
    </row>
    <row r="46" spans="1:22" ht="12.75" customHeight="1" x14ac:dyDescent="0.15">
      <c r="A46" s="4" t="s">
        <v>17</v>
      </c>
      <c r="B46" s="5" t="s">
        <v>89</v>
      </c>
      <c r="C46" s="6"/>
      <c r="D46" s="6"/>
    </row>
    <row r="47" spans="1:22" ht="12.75" customHeight="1" x14ac:dyDescent="0.15">
      <c r="A47" s="4" t="s">
        <v>20</v>
      </c>
      <c r="B47" s="5" t="s">
        <v>91</v>
      </c>
      <c r="C47" s="6"/>
      <c r="D47" s="6"/>
    </row>
    <row r="48" spans="1:22" ht="12.75" customHeight="1" x14ac:dyDescent="0.15">
      <c r="A48" s="4" t="s">
        <v>14</v>
      </c>
      <c r="B48" s="5" t="s">
        <v>87</v>
      </c>
      <c r="C48" s="6"/>
      <c r="D48" s="6"/>
    </row>
    <row r="49" spans="1:4" ht="12.75" customHeight="1" x14ac:dyDescent="0.15">
      <c r="A49" s="4" t="s">
        <v>17</v>
      </c>
      <c r="B49" s="5" t="s">
        <v>94</v>
      </c>
      <c r="C49" s="6"/>
      <c r="D49" s="6"/>
    </row>
    <row r="50" spans="1:4" ht="12.75" customHeight="1" x14ac:dyDescent="0.15">
      <c r="A50" s="4" t="s">
        <v>20</v>
      </c>
      <c r="B50" s="5" t="s">
        <v>96</v>
      </c>
      <c r="C50" s="6"/>
      <c r="D50" s="6"/>
    </row>
    <row r="51" spans="1:4" ht="12.75" customHeight="1" x14ac:dyDescent="0.15">
      <c r="A51" s="4" t="s">
        <v>14</v>
      </c>
      <c r="B51" s="5" t="s">
        <v>98</v>
      </c>
      <c r="C51" s="6"/>
      <c r="D51" s="6"/>
    </row>
    <row r="52" spans="1:4" ht="12.75" customHeight="1" x14ac:dyDescent="0.15">
      <c r="A52" s="4" t="s">
        <v>17</v>
      </c>
      <c r="B52" s="5" t="s">
        <v>100</v>
      </c>
      <c r="C52" s="6"/>
      <c r="D52" s="6"/>
    </row>
    <row r="53" spans="1:4" ht="12.75" customHeight="1" x14ac:dyDescent="0.15">
      <c r="A53" s="10" t="s">
        <v>20</v>
      </c>
      <c r="B53" s="11" t="s">
        <v>21</v>
      </c>
      <c r="C53" s="6"/>
      <c r="D53" s="6"/>
    </row>
    <row r="54" spans="1:4" ht="12.75" customHeight="1" x14ac:dyDescent="0.15">
      <c r="A54" s="4" t="s">
        <v>14</v>
      </c>
      <c r="B54" s="5" t="s">
        <v>103</v>
      </c>
      <c r="C54" s="6"/>
      <c r="D54" s="6"/>
    </row>
    <row r="55" spans="1:4" ht="12.75" customHeight="1" x14ac:dyDescent="0.15">
      <c r="A55" s="4" t="s">
        <v>105</v>
      </c>
      <c r="B55" s="5" t="s">
        <v>106</v>
      </c>
      <c r="C55" s="6"/>
      <c r="D55" s="6"/>
    </row>
    <row r="56" spans="1:4" ht="12.75" customHeight="1" x14ac:dyDescent="0.15">
      <c r="A56" s="4" t="s">
        <v>4</v>
      </c>
      <c r="B56" s="5" t="s">
        <v>108</v>
      </c>
      <c r="C56" s="6"/>
      <c r="D56" s="6"/>
    </row>
    <row r="57" spans="1:4" ht="12.75" customHeight="1" x14ac:dyDescent="0.15">
      <c r="A57" s="4" t="s">
        <v>20</v>
      </c>
      <c r="B57" s="5" t="s">
        <v>110</v>
      </c>
      <c r="C57" s="6"/>
      <c r="D57" s="6"/>
    </row>
    <row r="58" spans="1:4" ht="12.75" customHeight="1" x14ac:dyDescent="0.15">
      <c r="A58" s="4" t="s">
        <v>14</v>
      </c>
      <c r="B58" s="5" t="s">
        <v>112</v>
      </c>
      <c r="C58" s="6"/>
      <c r="D58" s="6"/>
    </row>
    <row r="59" spans="1:4" ht="12.75" customHeight="1" x14ac:dyDescent="0.15">
      <c r="A59" s="4" t="s">
        <v>20</v>
      </c>
      <c r="B59" s="5" t="s">
        <v>96</v>
      </c>
      <c r="C59" s="6"/>
      <c r="D59" s="6"/>
    </row>
    <row r="60" spans="1:4" ht="13.5" customHeight="1" x14ac:dyDescent="0.15">
      <c r="A60" s="12" t="s">
        <v>20</v>
      </c>
      <c r="B60" s="13" t="s">
        <v>115</v>
      </c>
    </row>
    <row r="61" spans="1:4" ht="12.75" customHeight="1" x14ac:dyDescent="0.15">
      <c r="A61" s="4" t="s">
        <v>4</v>
      </c>
      <c r="B61" s="5" t="s">
        <v>117</v>
      </c>
      <c r="C61" s="6"/>
      <c r="D61" s="6"/>
    </row>
    <row r="62" spans="1:4" ht="15" customHeight="1" x14ac:dyDescent="0.15">
      <c r="A62" s="4" t="s">
        <v>14</v>
      </c>
      <c r="B62" s="5" t="s">
        <v>119</v>
      </c>
      <c r="C62" s="6"/>
      <c r="D62" s="6"/>
    </row>
    <row r="63" spans="1:4" ht="12.75" customHeight="1" x14ac:dyDescent="0.15">
      <c r="A63" s="4" t="s">
        <v>20</v>
      </c>
      <c r="B63" s="5" t="s">
        <v>21</v>
      </c>
      <c r="C63" s="6"/>
      <c r="D63" s="6"/>
    </row>
    <row r="64" spans="1:4" ht="12.75" customHeight="1" x14ac:dyDescent="0.15">
      <c r="A64" s="4" t="s">
        <v>14</v>
      </c>
      <c r="B64" s="5" t="s">
        <v>122</v>
      </c>
      <c r="C64" s="6"/>
      <c r="D64" s="6"/>
    </row>
    <row r="65" spans="1:22" ht="12.75" customHeight="1" x14ac:dyDescent="0.15">
      <c r="A65" s="4" t="s">
        <v>14</v>
      </c>
      <c r="B65" s="5" t="s">
        <v>124</v>
      </c>
      <c r="C65" s="6"/>
      <c r="D65" s="6"/>
    </row>
    <row r="66" spans="1:22" ht="12.75" customHeight="1" x14ac:dyDescent="0.15">
      <c r="A66" s="4" t="s">
        <v>20</v>
      </c>
      <c r="B66" s="5" t="s">
        <v>126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20</v>
      </c>
      <c r="B67" s="5" t="s">
        <v>115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129</v>
      </c>
    </row>
    <row r="69" spans="1:22" ht="12.75" customHeight="1" x14ac:dyDescent="0.15">
      <c r="A69" s="16" t="s">
        <v>14</v>
      </c>
      <c r="B69" s="17" t="s">
        <v>129</v>
      </c>
    </row>
    <row r="70" spans="1:22" ht="12.75" customHeight="1" x14ac:dyDescent="0.15">
      <c r="A70" s="8" t="s">
        <v>17</v>
      </c>
      <c r="B70" s="9" t="s">
        <v>129</v>
      </c>
    </row>
    <row r="71" spans="1:22" ht="12.75" customHeight="1" x14ac:dyDescent="0.15">
      <c r="A71" s="16" t="s">
        <v>20</v>
      </c>
      <c r="B71" s="17" t="s">
        <v>129</v>
      </c>
    </row>
    <row r="72" spans="1:22" ht="12.75" customHeight="1" x14ac:dyDescent="0.15">
      <c r="A72" s="8" t="s">
        <v>7</v>
      </c>
      <c r="B72" s="9" t="s">
        <v>129</v>
      </c>
    </row>
    <row r="73" spans="1:22" ht="12.75" customHeight="1" x14ac:dyDescent="0.15">
      <c r="A73" s="16" t="s">
        <v>135</v>
      </c>
      <c r="B73" s="17" t="s">
        <v>129</v>
      </c>
    </row>
    <row r="74" spans="1:22" ht="12.75" customHeight="1" x14ac:dyDescent="0.15">
      <c r="A74" s="8" t="s">
        <v>105</v>
      </c>
      <c r="B74" s="9" t="s">
        <v>129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opLeftCell="A35" workbookViewId="0">
      <selection activeCell="D43" sqref="D43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23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25" t="s">
        <v>6</v>
      </c>
      <c r="E2" s="6"/>
      <c r="F2" s="6"/>
    </row>
    <row r="3" spans="1:6" ht="16.5" customHeight="1" x14ac:dyDescent="0.15">
      <c r="A3" s="10" t="s">
        <v>7</v>
      </c>
      <c r="B3" s="26" t="s">
        <v>8</v>
      </c>
      <c r="C3" s="27">
        <v>1</v>
      </c>
      <c r="D3" s="28" t="s">
        <v>9</v>
      </c>
      <c r="E3" s="6"/>
      <c r="F3" s="6"/>
    </row>
    <row r="4" spans="1:6" ht="12.75" customHeight="1" x14ac:dyDescent="0.15">
      <c r="A4" s="10" t="s">
        <v>4</v>
      </c>
      <c r="B4" s="11" t="s">
        <v>10</v>
      </c>
      <c r="C4" s="24">
        <v>1</v>
      </c>
      <c r="D4" s="25" t="s">
        <v>11</v>
      </c>
      <c r="E4" s="6"/>
      <c r="F4" s="6"/>
    </row>
    <row r="5" spans="1:6" ht="12.75" customHeight="1" x14ac:dyDescent="0.15">
      <c r="A5" s="10" t="s">
        <v>4</v>
      </c>
      <c r="B5" s="11" t="s">
        <v>12</v>
      </c>
      <c r="C5" s="29">
        <v>1</v>
      </c>
      <c r="D5" s="28" t="s">
        <v>13</v>
      </c>
      <c r="E5" s="6"/>
      <c r="F5" s="6"/>
    </row>
    <row r="6" spans="1:6" ht="12.75" customHeight="1" x14ac:dyDescent="0.15">
      <c r="A6" s="10" t="s">
        <v>14</v>
      </c>
      <c r="B6" s="11" t="s">
        <v>15</v>
      </c>
      <c r="C6" s="24">
        <v>1</v>
      </c>
      <c r="D6" s="25" t="s">
        <v>16</v>
      </c>
      <c r="E6" s="6"/>
      <c r="F6" s="6"/>
    </row>
    <row r="7" spans="1:6" ht="12.75" customHeight="1" x14ac:dyDescent="0.15">
      <c r="A7" s="10" t="s">
        <v>17</v>
      </c>
      <c r="B7" s="11" t="s">
        <v>18</v>
      </c>
      <c r="C7" s="29">
        <v>1</v>
      </c>
      <c r="D7" s="28" t="s">
        <v>19</v>
      </c>
      <c r="E7" s="6"/>
      <c r="F7" s="6"/>
    </row>
    <row r="8" spans="1:6" ht="12.75" customHeight="1" x14ac:dyDescent="0.15">
      <c r="A8" s="10" t="s">
        <v>20</v>
      </c>
      <c r="B8" s="11" t="s">
        <v>21</v>
      </c>
      <c r="C8" s="24">
        <v>1</v>
      </c>
      <c r="D8" s="25" t="s">
        <v>22</v>
      </c>
      <c r="E8" s="6"/>
      <c r="F8" s="6"/>
    </row>
    <row r="9" spans="1:6" ht="12.75" customHeight="1" x14ac:dyDescent="0.15">
      <c r="A9" s="10" t="s">
        <v>14</v>
      </c>
      <c r="B9" s="11" t="s">
        <v>23</v>
      </c>
      <c r="C9" s="29">
        <v>1</v>
      </c>
      <c r="D9" s="28" t="s">
        <v>24</v>
      </c>
      <c r="E9" s="6"/>
      <c r="F9" s="6"/>
    </row>
    <row r="10" spans="1:6" ht="12.75" customHeight="1" x14ac:dyDescent="0.15">
      <c r="A10" s="10" t="s">
        <v>17</v>
      </c>
      <c r="B10" s="11" t="s">
        <v>25</v>
      </c>
      <c r="C10" s="24">
        <v>1</v>
      </c>
      <c r="D10" s="25" t="s">
        <v>26</v>
      </c>
      <c r="E10" s="6"/>
      <c r="F10" s="6"/>
    </row>
    <row r="11" spans="1:6" ht="12.75" customHeight="1" x14ac:dyDescent="0.15">
      <c r="A11" s="10" t="s">
        <v>20</v>
      </c>
      <c r="B11" s="11" t="s">
        <v>21</v>
      </c>
      <c r="C11" s="29">
        <v>1</v>
      </c>
      <c r="D11" s="28" t="s">
        <v>22</v>
      </c>
      <c r="E11" s="6"/>
      <c r="F11" s="6"/>
    </row>
    <row r="12" spans="1:6" ht="12.75" customHeight="1" x14ac:dyDescent="0.15">
      <c r="A12" s="10" t="s">
        <v>14</v>
      </c>
      <c r="B12" s="11" t="s">
        <v>27</v>
      </c>
      <c r="C12" s="24">
        <v>1</v>
      </c>
      <c r="D12" s="25" t="s">
        <v>28</v>
      </c>
      <c r="E12" s="6"/>
      <c r="F12" s="6"/>
    </row>
    <row r="13" spans="1:6" ht="12.75" customHeight="1" x14ac:dyDescent="0.15">
      <c r="A13" s="10" t="s">
        <v>17</v>
      </c>
      <c r="B13" s="11" t="s">
        <v>29</v>
      </c>
      <c r="C13" s="29">
        <v>1</v>
      </c>
      <c r="D13" s="28" t="s">
        <v>30</v>
      </c>
      <c r="E13" s="6"/>
      <c r="F13" s="6"/>
    </row>
    <row r="14" spans="1:6" ht="12.75" customHeight="1" x14ac:dyDescent="0.15">
      <c r="A14" s="10" t="s">
        <v>14</v>
      </c>
      <c r="B14" s="11" t="s">
        <v>31</v>
      </c>
      <c r="C14" s="24">
        <v>1</v>
      </c>
      <c r="D14" s="25" t="s">
        <v>32</v>
      </c>
      <c r="E14" s="6"/>
      <c r="F14" s="6"/>
    </row>
    <row r="15" spans="1:6" ht="12.75" customHeight="1" x14ac:dyDescent="0.15">
      <c r="A15" s="10" t="s">
        <v>17</v>
      </c>
      <c r="B15" s="11" t="s">
        <v>33</v>
      </c>
      <c r="C15" s="29">
        <v>1</v>
      </c>
      <c r="D15" s="28" t="s">
        <v>34</v>
      </c>
      <c r="E15" s="6"/>
      <c r="F15" s="6"/>
    </row>
    <row r="16" spans="1:6" ht="12.75" customHeight="1" x14ac:dyDescent="0.15">
      <c r="A16" s="10" t="s">
        <v>20</v>
      </c>
      <c r="B16" s="11" t="s">
        <v>35</v>
      </c>
      <c r="C16" s="24">
        <v>1</v>
      </c>
      <c r="D16" s="24" t="s">
        <v>36</v>
      </c>
      <c r="E16" s="6"/>
      <c r="F16" s="6"/>
    </row>
    <row r="17" spans="1:24" ht="15" customHeight="1" x14ac:dyDescent="0.15">
      <c r="A17" s="10" t="s">
        <v>14</v>
      </c>
      <c r="B17" s="11" t="s">
        <v>37</v>
      </c>
      <c r="C17" s="29">
        <v>1</v>
      </c>
      <c r="D17" s="29" t="s">
        <v>38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20</v>
      </c>
      <c r="B18" s="11" t="s">
        <v>39</v>
      </c>
      <c r="C18" s="24">
        <v>1</v>
      </c>
      <c r="D18" s="25" t="s">
        <v>40</v>
      </c>
      <c r="E18" s="6"/>
      <c r="F18" s="6"/>
    </row>
    <row r="19" spans="1:24" ht="12.75" customHeight="1" x14ac:dyDescent="0.15">
      <c r="A19" s="10" t="s">
        <v>14</v>
      </c>
      <c r="B19" s="11" t="s">
        <v>41</v>
      </c>
      <c r="C19" s="29">
        <v>1</v>
      </c>
      <c r="D19" s="28" t="s">
        <v>42</v>
      </c>
      <c r="E19" s="6"/>
      <c r="F19" s="6"/>
    </row>
    <row r="20" spans="1:24" ht="12.75" customHeight="1" x14ac:dyDescent="0.15">
      <c r="A20" s="10" t="s">
        <v>17</v>
      </c>
      <c r="B20" s="11" t="s">
        <v>43</v>
      </c>
      <c r="C20" s="24">
        <v>1</v>
      </c>
      <c r="D20" s="25" t="s">
        <v>44</v>
      </c>
      <c r="E20" s="6"/>
      <c r="F20" s="6"/>
    </row>
    <row r="21" spans="1:24" ht="12.75" customHeight="1" x14ac:dyDescent="0.15">
      <c r="A21" s="10" t="s">
        <v>20</v>
      </c>
      <c r="B21" s="11" t="s">
        <v>45</v>
      </c>
      <c r="C21" s="29">
        <v>1</v>
      </c>
      <c r="D21" s="28" t="s">
        <v>46</v>
      </c>
      <c r="E21" s="6"/>
      <c r="F21" s="6"/>
    </row>
    <row r="22" spans="1:24" ht="12.75" customHeight="1" x14ac:dyDescent="0.15">
      <c r="A22" s="30" t="s">
        <v>14</v>
      </c>
      <c r="B22" s="24" t="s">
        <v>47</v>
      </c>
      <c r="C22" s="24">
        <v>1</v>
      </c>
      <c r="D22" s="24" t="s">
        <v>48</v>
      </c>
      <c r="E22" s="6"/>
      <c r="F22" s="6"/>
    </row>
    <row r="23" spans="1:24" ht="12.75" customHeight="1" x14ac:dyDescent="0.15">
      <c r="A23" s="10" t="s">
        <v>14</v>
      </c>
      <c r="B23" s="11" t="s">
        <v>49</v>
      </c>
      <c r="C23" s="29">
        <v>1</v>
      </c>
      <c r="D23" s="28" t="s">
        <v>50</v>
      </c>
      <c r="E23" s="6"/>
      <c r="F23" s="6"/>
    </row>
    <row r="24" spans="1:24" ht="12.75" customHeight="1" x14ac:dyDescent="0.15">
      <c r="A24" s="10" t="s">
        <v>17</v>
      </c>
      <c r="B24" s="11" t="s">
        <v>43</v>
      </c>
      <c r="C24" s="24">
        <v>1</v>
      </c>
      <c r="D24" s="25" t="s">
        <v>44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20</v>
      </c>
      <c r="B25" s="11" t="s">
        <v>51</v>
      </c>
      <c r="C25" s="29">
        <v>1</v>
      </c>
      <c r="D25" s="28" t="s">
        <v>52</v>
      </c>
      <c r="E25" s="6"/>
      <c r="F25" s="6"/>
    </row>
    <row r="26" spans="1:24" ht="12.75" customHeight="1" x14ac:dyDescent="0.15">
      <c r="A26" s="10" t="s">
        <v>4</v>
      </c>
      <c r="B26" s="11" t="s">
        <v>53</v>
      </c>
      <c r="C26" s="24">
        <v>1</v>
      </c>
      <c r="D26" s="25" t="s">
        <v>54</v>
      </c>
      <c r="E26" s="6"/>
      <c r="F26" s="6"/>
    </row>
    <row r="27" spans="1:24" ht="15" customHeight="1" x14ac:dyDescent="0.15">
      <c r="A27" s="10" t="s">
        <v>14</v>
      </c>
      <c r="B27" s="11" t="s">
        <v>55</v>
      </c>
      <c r="C27" s="29">
        <v>1</v>
      </c>
      <c r="D27" s="28" t="s">
        <v>56</v>
      </c>
      <c r="E27" s="6"/>
      <c r="F27" s="6"/>
    </row>
    <row r="28" spans="1:24" ht="12.75" customHeight="1" x14ac:dyDescent="0.15">
      <c r="A28" s="10" t="s">
        <v>14</v>
      </c>
      <c r="B28" s="11" t="s">
        <v>57</v>
      </c>
      <c r="C28" s="24">
        <v>1</v>
      </c>
      <c r="D28" s="24" t="s">
        <v>58</v>
      </c>
      <c r="E28" s="6"/>
      <c r="F28" s="6"/>
    </row>
    <row r="29" spans="1:24" ht="12.75" customHeight="1" x14ac:dyDescent="0.15">
      <c r="A29" s="10" t="s">
        <v>20</v>
      </c>
      <c r="B29" s="11" t="s">
        <v>59</v>
      </c>
      <c r="C29" s="29">
        <v>1</v>
      </c>
      <c r="D29" s="28" t="s">
        <v>60</v>
      </c>
      <c r="E29" s="6"/>
      <c r="F29" s="6"/>
    </row>
    <row r="30" spans="1:24" ht="12.75" customHeight="1" x14ac:dyDescent="0.15">
      <c r="A30" s="10" t="s">
        <v>4</v>
      </c>
      <c r="B30" s="11" t="s">
        <v>61</v>
      </c>
      <c r="C30" s="24">
        <v>1</v>
      </c>
      <c r="D30" s="24" t="s">
        <v>62</v>
      </c>
      <c r="E30" s="6"/>
      <c r="F30" s="6"/>
    </row>
    <row r="31" spans="1:24" ht="12.75" customHeight="1" x14ac:dyDescent="0.15">
      <c r="A31" s="10" t="s">
        <v>14</v>
      </c>
      <c r="B31" s="11" t="s">
        <v>63</v>
      </c>
      <c r="C31" s="29">
        <v>1</v>
      </c>
      <c r="D31" s="28" t="s">
        <v>64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17</v>
      </c>
      <c r="B32" s="11" t="s">
        <v>65</v>
      </c>
      <c r="C32" s="24">
        <v>1</v>
      </c>
      <c r="D32" s="24" t="s">
        <v>66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14</v>
      </c>
      <c r="B33" s="11" t="s">
        <v>67</v>
      </c>
      <c r="C33" s="29">
        <v>1</v>
      </c>
      <c r="D33" s="29" t="s">
        <v>68</v>
      </c>
      <c r="E33" s="6"/>
      <c r="F33" s="6"/>
    </row>
    <row r="34" spans="1:24" ht="12.75" customHeight="1" x14ac:dyDescent="0.15">
      <c r="A34" s="10" t="s">
        <v>17</v>
      </c>
      <c r="B34" s="11" t="s">
        <v>69</v>
      </c>
      <c r="C34" s="24">
        <v>1</v>
      </c>
      <c r="D34" s="24" t="s">
        <v>70</v>
      </c>
      <c r="E34" s="6"/>
      <c r="F34" s="6"/>
    </row>
    <row r="35" spans="1:24" ht="12.75" customHeight="1" x14ac:dyDescent="0.15">
      <c r="A35" s="10" t="s">
        <v>20</v>
      </c>
      <c r="B35" s="11" t="s">
        <v>45</v>
      </c>
      <c r="C35" s="29">
        <v>1</v>
      </c>
      <c r="D35" s="28" t="s">
        <v>46</v>
      </c>
      <c r="E35" s="6"/>
      <c r="F35" s="6"/>
    </row>
    <row r="36" spans="1:24" ht="12.75" customHeight="1" x14ac:dyDescent="0.15">
      <c r="A36" s="10" t="s">
        <v>14</v>
      </c>
      <c r="B36" s="11" t="s">
        <v>71</v>
      </c>
      <c r="C36" s="24">
        <v>1</v>
      </c>
      <c r="D36" s="24" t="s">
        <v>72</v>
      </c>
      <c r="E36" s="6"/>
      <c r="F36" s="6"/>
    </row>
    <row r="37" spans="1:24" ht="12.75" customHeight="1" x14ac:dyDescent="0.15">
      <c r="A37" s="10" t="s">
        <v>20</v>
      </c>
      <c r="B37" s="11" t="s">
        <v>39</v>
      </c>
      <c r="C37" s="29">
        <v>1</v>
      </c>
      <c r="D37" s="28" t="s">
        <v>40</v>
      </c>
      <c r="E37" s="6"/>
      <c r="F37" s="6"/>
    </row>
    <row r="38" spans="1:24" ht="12.75" customHeight="1" x14ac:dyDescent="0.15">
      <c r="A38" s="10" t="s">
        <v>4</v>
      </c>
      <c r="B38" s="11" t="s">
        <v>73</v>
      </c>
      <c r="C38" s="24">
        <v>1</v>
      </c>
      <c r="D38" s="25" t="s">
        <v>74</v>
      </c>
      <c r="E38" s="6"/>
      <c r="F38" s="6"/>
    </row>
    <row r="39" spans="1:24" ht="15" customHeight="1" x14ac:dyDescent="0.15">
      <c r="A39" s="10" t="s">
        <v>14</v>
      </c>
      <c r="B39" s="11" t="s">
        <v>75</v>
      </c>
      <c r="C39" s="29">
        <v>1</v>
      </c>
      <c r="D39" s="28" t="s">
        <v>76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20</v>
      </c>
      <c r="B40" s="11" t="s">
        <v>77</v>
      </c>
      <c r="C40" s="24">
        <v>1</v>
      </c>
      <c r="D40" s="25" t="s">
        <v>78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14</v>
      </c>
      <c r="B41" s="11" t="s">
        <v>79</v>
      </c>
      <c r="C41" s="29">
        <v>1</v>
      </c>
      <c r="D41" s="28" t="s">
        <v>80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81</v>
      </c>
      <c r="C42" s="24">
        <v>1</v>
      </c>
      <c r="D42" s="25" t="s">
        <v>82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20</v>
      </c>
      <c r="B43" s="11" t="s">
        <v>83</v>
      </c>
      <c r="C43" s="29">
        <v>1</v>
      </c>
      <c r="D43" s="29" t="s">
        <v>84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20</v>
      </c>
      <c r="B44" s="11" t="s">
        <v>85</v>
      </c>
      <c r="C44" s="24">
        <v>1</v>
      </c>
      <c r="D44" s="24" t="s">
        <v>86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14</v>
      </c>
      <c r="B45" s="11" t="s">
        <v>87</v>
      </c>
      <c r="C45" s="29">
        <v>1</v>
      </c>
      <c r="D45" s="28" t="s">
        <v>88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17</v>
      </c>
      <c r="B46" s="11" t="s">
        <v>89</v>
      </c>
      <c r="C46" s="24">
        <v>1</v>
      </c>
      <c r="D46" s="25" t="s">
        <v>90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20</v>
      </c>
      <c r="B47" s="11" t="s">
        <v>91</v>
      </c>
      <c r="C47" s="29">
        <v>1</v>
      </c>
      <c r="D47" s="28" t="s">
        <v>92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14</v>
      </c>
      <c r="B48" s="11" t="s">
        <v>87</v>
      </c>
      <c r="C48" s="24">
        <v>1</v>
      </c>
      <c r="D48" s="25" t="s">
        <v>93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17</v>
      </c>
      <c r="B49" s="11" t="s">
        <v>94</v>
      </c>
      <c r="C49" s="29">
        <v>1</v>
      </c>
      <c r="D49" s="28" t="s">
        <v>95</v>
      </c>
      <c r="E49" s="6"/>
      <c r="F49" s="6"/>
    </row>
    <row r="50" spans="1:6" ht="12.75" customHeight="1" x14ac:dyDescent="0.15">
      <c r="A50" s="10" t="s">
        <v>20</v>
      </c>
      <c r="B50" s="11" t="s">
        <v>96</v>
      </c>
      <c r="C50" s="24">
        <v>1</v>
      </c>
      <c r="D50" s="25" t="s">
        <v>97</v>
      </c>
      <c r="E50" s="6"/>
      <c r="F50" s="6"/>
    </row>
    <row r="51" spans="1:6" ht="12.75" customHeight="1" x14ac:dyDescent="0.15">
      <c r="A51" s="10" t="s">
        <v>14</v>
      </c>
      <c r="B51" s="11" t="s">
        <v>98</v>
      </c>
      <c r="C51" s="29">
        <v>1</v>
      </c>
      <c r="D51" s="28" t="s">
        <v>99</v>
      </c>
      <c r="E51" s="6"/>
      <c r="F51" s="6"/>
    </row>
    <row r="52" spans="1:6" ht="12.75" customHeight="1" x14ac:dyDescent="0.15">
      <c r="A52" s="10" t="s">
        <v>17</v>
      </c>
      <c r="B52" s="11" t="s">
        <v>100</v>
      </c>
      <c r="C52" s="24">
        <v>1</v>
      </c>
      <c r="D52" s="25" t="s">
        <v>101</v>
      </c>
      <c r="E52" s="6"/>
      <c r="F52" s="6"/>
    </row>
    <row r="53" spans="1:6" ht="12.75" customHeight="1" x14ac:dyDescent="0.15">
      <c r="A53" s="10" t="s">
        <v>20</v>
      </c>
      <c r="B53" s="11" t="s">
        <v>21</v>
      </c>
      <c r="C53" s="29">
        <v>1</v>
      </c>
      <c r="D53" s="28" t="s">
        <v>102</v>
      </c>
      <c r="E53" s="6"/>
      <c r="F53" s="6"/>
    </row>
    <row r="54" spans="1:6" ht="12.75" customHeight="1" x14ac:dyDescent="0.15">
      <c r="A54" s="10" t="s">
        <v>14</v>
      </c>
      <c r="B54" s="11" t="s">
        <v>103</v>
      </c>
      <c r="C54" s="24">
        <v>1</v>
      </c>
      <c r="D54" s="25" t="s">
        <v>104</v>
      </c>
      <c r="E54" s="6"/>
      <c r="F54" s="6"/>
    </row>
    <row r="55" spans="1:6" ht="12.75" customHeight="1" x14ac:dyDescent="0.15">
      <c r="A55" s="10" t="s">
        <v>105</v>
      </c>
      <c r="B55" s="11" t="s">
        <v>106</v>
      </c>
      <c r="C55" s="29">
        <v>1</v>
      </c>
      <c r="D55" s="28" t="s">
        <v>107</v>
      </c>
      <c r="E55" s="6"/>
      <c r="F55" s="6"/>
    </row>
    <row r="56" spans="1:6" ht="12.75" customHeight="1" x14ac:dyDescent="0.15">
      <c r="A56" s="10" t="s">
        <v>4</v>
      </c>
      <c r="B56" s="11" t="s">
        <v>108</v>
      </c>
      <c r="C56" s="24">
        <v>1</v>
      </c>
      <c r="D56" s="25" t="s">
        <v>109</v>
      </c>
      <c r="E56" s="6"/>
      <c r="F56" s="6"/>
    </row>
    <row r="57" spans="1:6" ht="12.75" customHeight="1" x14ac:dyDescent="0.15">
      <c r="A57" s="10" t="s">
        <v>20</v>
      </c>
      <c r="B57" s="11" t="s">
        <v>110</v>
      </c>
      <c r="C57" s="29">
        <v>1</v>
      </c>
      <c r="D57" s="28" t="s">
        <v>111</v>
      </c>
      <c r="E57" s="6"/>
      <c r="F57" s="6"/>
    </row>
    <row r="58" spans="1:6" ht="12.75" customHeight="1" x14ac:dyDescent="0.15">
      <c r="A58" s="10" t="s">
        <v>14</v>
      </c>
      <c r="B58" s="11" t="s">
        <v>112</v>
      </c>
      <c r="C58" s="24">
        <v>1</v>
      </c>
      <c r="D58" s="25" t="s">
        <v>113</v>
      </c>
      <c r="E58" s="6"/>
      <c r="F58" s="6"/>
    </row>
    <row r="59" spans="1:6" ht="12.75" customHeight="1" x14ac:dyDescent="0.15">
      <c r="A59" s="10" t="s">
        <v>20</v>
      </c>
      <c r="B59" s="11" t="s">
        <v>96</v>
      </c>
      <c r="C59" s="29">
        <v>1</v>
      </c>
      <c r="D59" s="28" t="s">
        <v>114</v>
      </c>
      <c r="E59" s="6"/>
      <c r="F59" s="6"/>
    </row>
    <row r="60" spans="1:6" ht="12.75" customHeight="1" x14ac:dyDescent="0.15">
      <c r="A60" s="10" t="s">
        <v>20</v>
      </c>
      <c r="B60" s="11" t="s">
        <v>115</v>
      </c>
      <c r="C60" s="24">
        <v>1</v>
      </c>
      <c r="D60" s="25" t="s">
        <v>116</v>
      </c>
      <c r="E60" s="6"/>
      <c r="F60" s="6"/>
    </row>
    <row r="61" spans="1:6" ht="12.75" customHeight="1" x14ac:dyDescent="0.15">
      <c r="A61" s="10" t="s">
        <v>4</v>
      </c>
      <c r="B61" s="11" t="s">
        <v>117</v>
      </c>
      <c r="C61" s="29">
        <v>1</v>
      </c>
      <c r="D61" s="28" t="s">
        <v>118</v>
      </c>
      <c r="E61" s="6"/>
      <c r="F61" s="6"/>
    </row>
    <row r="62" spans="1:6" ht="12.75" customHeight="1" x14ac:dyDescent="0.15">
      <c r="A62" s="10" t="s">
        <v>14</v>
      </c>
      <c r="B62" s="11" t="s">
        <v>119</v>
      </c>
      <c r="C62" s="24">
        <v>1</v>
      </c>
      <c r="D62" s="25" t="s">
        <v>120</v>
      </c>
      <c r="E62" s="6"/>
      <c r="F62" s="6"/>
    </row>
    <row r="63" spans="1:6" ht="12.75" customHeight="1" x14ac:dyDescent="0.15">
      <c r="A63" s="10" t="s">
        <v>20</v>
      </c>
      <c r="B63" s="11" t="s">
        <v>21</v>
      </c>
      <c r="C63" s="29">
        <v>1</v>
      </c>
      <c r="D63" s="28" t="s">
        <v>121</v>
      </c>
      <c r="E63" s="6"/>
      <c r="F63" s="6"/>
    </row>
    <row r="64" spans="1:6" ht="12.75" customHeight="1" x14ac:dyDescent="0.15">
      <c r="A64" s="10" t="s">
        <v>14</v>
      </c>
      <c r="B64" s="11" t="s">
        <v>122</v>
      </c>
      <c r="C64" s="24">
        <v>1</v>
      </c>
      <c r="D64" s="25" t="s">
        <v>123</v>
      </c>
      <c r="E64" s="6"/>
      <c r="F64" s="6"/>
    </row>
    <row r="65" spans="1:6" ht="12.75" customHeight="1" x14ac:dyDescent="0.15">
      <c r="A65" s="10" t="s">
        <v>14</v>
      </c>
      <c r="B65" s="11" t="s">
        <v>124</v>
      </c>
      <c r="C65" s="29">
        <v>1</v>
      </c>
      <c r="D65" s="28" t="s">
        <v>125</v>
      </c>
      <c r="E65" s="6"/>
      <c r="F65" s="6"/>
    </row>
    <row r="66" spans="1:6" ht="12.75" customHeight="1" x14ac:dyDescent="0.15">
      <c r="A66" s="10" t="s">
        <v>20</v>
      </c>
      <c r="B66" s="11" t="s">
        <v>126</v>
      </c>
      <c r="C66" s="24">
        <v>1</v>
      </c>
      <c r="D66" s="25" t="s">
        <v>127</v>
      </c>
      <c r="E66" s="6"/>
      <c r="F66" s="6"/>
    </row>
    <row r="67" spans="1:6" ht="12.75" customHeight="1" x14ac:dyDescent="0.15">
      <c r="A67" s="10" t="s">
        <v>20</v>
      </c>
      <c r="B67" s="11" t="s">
        <v>115</v>
      </c>
      <c r="C67" s="29">
        <v>1</v>
      </c>
      <c r="D67" s="28" t="s">
        <v>128</v>
      </c>
      <c r="E67" s="6"/>
      <c r="F67" s="6"/>
    </row>
    <row r="68" spans="1:6" ht="12.75" customHeight="1" x14ac:dyDescent="0.15">
      <c r="A68" s="31" t="s">
        <v>4</v>
      </c>
      <c r="B68" s="32" t="s">
        <v>129</v>
      </c>
      <c r="C68" s="32">
        <v>0</v>
      </c>
      <c r="D68" s="33" t="s">
        <v>130</v>
      </c>
    </row>
    <row r="69" spans="1:6" ht="12.75" customHeight="1" x14ac:dyDescent="0.15">
      <c r="A69" s="34" t="s">
        <v>14</v>
      </c>
      <c r="B69" s="29" t="s">
        <v>129</v>
      </c>
      <c r="C69" s="29">
        <v>0</v>
      </c>
      <c r="D69" s="28" t="s">
        <v>131</v>
      </c>
    </row>
    <row r="70" spans="1:6" ht="12.75" customHeight="1" x14ac:dyDescent="0.15">
      <c r="A70" s="30" t="s">
        <v>17</v>
      </c>
      <c r="B70" s="24" t="s">
        <v>129</v>
      </c>
      <c r="C70" s="24">
        <v>0</v>
      </c>
      <c r="D70" s="25" t="s">
        <v>132</v>
      </c>
    </row>
    <row r="71" spans="1:6" ht="12.75" customHeight="1" x14ac:dyDescent="0.15">
      <c r="A71" s="34" t="s">
        <v>20</v>
      </c>
      <c r="B71" s="29" t="s">
        <v>129</v>
      </c>
      <c r="C71" s="29">
        <v>0</v>
      </c>
      <c r="D71" s="28" t="s">
        <v>133</v>
      </c>
    </row>
    <row r="72" spans="1:6" ht="12.75" customHeight="1" x14ac:dyDescent="0.15">
      <c r="A72" s="30" t="s">
        <v>7</v>
      </c>
      <c r="B72" s="24" t="s">
        <v>129</v>
      </c>
      <c r="C72" s="24">
        <v>0</v>
      </c>
      <c r="D72" s="25" t="s">
        <v>134</v>
      </c>
    </row>
    <row r="73" spans="1:6" ht="12.75" customHeight="1" x14ac:dyDescent="0.15">
      <c r="A73" s="34" t="s">
        <v>135</v>
      </c>
      <c r="B73" s="29" t="s">
        <v>129</v>
      </c>
      <c r="C73" s="29">
        <v>0</v>
      </c>
      <c r="D73" s="28" t="s">
        <v>136</v>
      </c>
    </row>
    <row r="74" spans="1:6" ht="12.75" customHeight="1" x14ac:dyDescent="0.15">
      <c r="A74" s="30" t="s">
        <v>105</v>
      </c>
      <c r="B74" s="24" t="s">
        <v>129</v>
      </c>
      <c r="C74" s="24">
        <v>0</v>
      </c>
      <c r="D74" s="25" t="s">
        <v>137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5"/>
      <c r="B993" s="36"/>
      <c r="C993" s="36"/>
      <c r="D993" s="37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>
      <c r="A1003" s="38"/>
      <c r="B1003" s="39"/>
      <c r="C1003" s="39"/>
      <c r="D1003" s="40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J18" sqref="J18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49" t="s">
        <v>138</v>
      </c>
      <c r="B1" s="49"/>
      <c r="C1" s="49"/>
      <c r="D1" s="49"/>
      <c r="E1" s="49"/>
      <c r="F1" s="49"/>
      <c r="G1" s="49"/>
      <c r="H1" s="49"/>
      <c r="J1" s="41" t="s">
        <v>139</v>
      </c>
    </row>
    <row r="2" spans="1:10" ht="15.75" customHeight="1" x14ac:dyDescent="0.15">
      <c r="A2" s="42" t="s">
        <v>0</v>
      </c>
      <c r="B2" s="42" t="s">
        <v>140</v>
      </c>
      <c r="C2" s="42" t="s">
        <v>141</v>
      </c>
      <c r="D2" s="42" t="s">
        <v>142</v>
      </c>
      <c r="E2" s="42" t="s">
        <v>143</v>
      </c>
      <c r="F2" s="42" t="s">
        <v>144</v>
      </c>
      <c r="G2" s="42" t="s">
        <v>145</v>
      </c>
      <c r="H2" s="42" t="s">
        <v>146</v>
      </c>
      <c r="J2" s="43">
        <v>46098</v>
      </c>
    </row>
    <row r="3" spans="1:10" ht="15.75" customHeight="1" x14ac:dyDescent="0.2">
      <c r="A3" s="44" t="s">
        <v>7</v>
      </c>
      <c r="B3" s="45">
        <f>COUNTIF('SSC7'!$A$2:$A$67, A3)</f>
        <v>1</v>
      </c>
      <c r="C3" s="45">
        <f>SUMIF('GPT-5 Generation'!$A$2:$A$67, $A3, 'GPT-5 Generation'!$C$2:$C$67)</f>
        <v>1</v>
      </c>
      <c r="D3" s="45">
        <f>SUMIF('GPT-5 Generation'!$A$68:$A$74, $A3, 'GPT-5 Generation'!$C$68:$C$74)</f>
        <v>0</v>
      </c>
      <c r="E3" s="45">
        <f>COUNTIFS('GPT-5 Generation'!$A$2:$A$67, $A3, 'GPT-5 Generation'!$C$2:$C$67,0)</f>
        <v>0</v>
      </c>
      <c r="F3" s="45">
        <f t="shared" ref="F3:F10" si="0">IFERROR(C3 / (C3 + D3), "Not Available")</f>
        <v>1</v>
      </c>
      <c r="G3" s="45">
        <f t="shared" ref="G3:G10" si="1">IFERROR(C3 / B3, "Not Available")</f>
        <v>1</v>
      </c>
      <c r="H3" s="45">
        <f>IFERROR(2*((F3*G3)/(F3+G3)),"Not Available")</f>
        <v>1</v>
      </c>
      <c r="J3" s="21"/>
    </row>
    <row r="4" spans="1:10" ht="15.75" customHeight="1" x14ac:dyDescent="0.15">
      <c r="A4" s="46" t="s">
        <v>4</v>
      </c>
      <c r="B4" s="45">
        <f>COUNTIF('SSC7'!$A$2:$A$67, A4)</f>
        <v>9</v>
      </c>
      <c r="C4" s="45">
        <f>SUMIF('GPT-5 Generation'!$A$2:$A$67, $A4, 'GPT-5 Generation'!$C$2:$C$67)</f>
        <v>9</v>
      </c>
      <c r="D4" s="45">
        <f>SUMIF('GPT-5 Generation'!$A$68:$A$74, $A4, 'GPT-5 Generation'!$C$68:$C$74)</f>
        <v>0</v>
      </c>
      <c r="E4" s="45">
        <f>COUNTIFS('GPT-5 Generation'!$A$2:$A$67, $A4, 'GPT-5 Generation'!$C$2:$C$67,0)</f>
        <v>0</v>
      </c>
      <c r="F4" s="45">
        <f t="shared" si="0"/>
        <v>1</v>
      </c>
      <c r="G4" s="45">
        <f t="shared" si="1"/>
        <v>1</v>
      </c>
      <c r="H4" s="45">
        <f>IFERROR(2*((F4*G4)/(F4+G4)),"Not Available")</f>
        <v>1</v>
      </c>
      <c r="J4" s="41" t="s">
        <v>147</v>
      </c>
    </row>
    <row r="5" spans="1:10" ht="15.75" customHeight="1" x14ac:dyDescent="0.15">
      <c r="A5" s="46" t="s">
        <v>14</v>
      </c>
      <c r="B5" s="45">
        <f>COUNTIF('SSC7'!$A$2:$A$67, A5)</f>
        <v>23</v>
      </c>
      <c r="C5" s="45">
        <f>SUMIF('GPT-5 Generation'!$A$2:$A$67, $A5, 'GPT-5 Generation'!$C$2:$C$67)</f>
        <v>23</v>
      </c>
      <c r="D5" s="45">
        <f>SUMIF('GPT-5 Generation'!$A$68:$A$74, $A5, 'GPT-5 Generation'!$C$68:$C$74)</f>
        <v>0</v>
      </c>
      <c r="E5" s="45">
        <f>COUNTIFS('GPT-5 Generation'!$A$2:$A$67, $A5, 'GPT-5 Generation'!$C$2:$C$67,0)</f>
        <v>0</v>
      </c>
      <c r="F5" s="45">
        <f t="shared" si="0"/>
        <v>1</v>
      </c>
      <c r="G5" s="45">
        <f t="shared" si="1"/>
        <v>1</v>
      </c>
      <c r="H5" s="45">
        <f>IFERROR(2*((F5*G6)/(F5+G6)),"Not Available")</f>
        <v>1</v>
      </c>
      <c r="J5" s="47" t="s">
        <v>151</v>
      </c>
    </row>
    <row r="6" spans="1:10" ht="15.75" customHeight="1" x14ac:dyDescent="0.15">
      <c r="A6" s="46" t="s">
        <v>20</v>
      </c>
      <c r="B6" s="45">
        <f>COUNTIF('SSC7'!$A$2:$A$67, A6)</f>
        <v>21</v>
      </c>
      <c r="C6" s="45">
        <f>SUMIF('GPT-5 Generation'!$A$2:$A$67, $A6, 'GPT-5 Generation'!$C$2:$C$67)</f>
        <v>21</v>
      </c>
      <c r="D6" s="45">
        <f>SUMIF('GPT-5 Generation'!$A$68:$A$74, $A6, 'GPT-5 Generation'!$C$68:$C$74)</f>
        <v>0</v>
      </c>
      <c r="E6" s="45">
        <f>COUNTIFS('GPT-5 Generation'!$A$2:$A$67, $A6, 'GPT-5 Generation'!$C$2:$C$67,0)</f>
        <v>0</v>
      </c>
      <c r="F6" s="45">
        <f t="shared" si="0"/>
        <v>1</v>
      </c>
      <c r="G6" s="45">
        <f t="shared" si="1"/>
        <v>1</v>
      </c>
      <c r="H6" s="45" t="str">
        <f>IFERROR(2*((F6*#REF!)/(F6+#REF!)),"Not Available")</f>
        <v>Not Available</v>
      </c>
    </row>
    <row r="7" spans="1:10" ht="15.75" customHeight="1" x14ac:dyDescent="0.15">
      <c r="A7" s="46" t="s">
        <v>135</v>
      </c>
      <c r="B7" s="45">
        <f>COUNTIF('SSC7'!$A$2:$A$67, A7)</f>
        <v>0</v>
      </c>
      <c r="C7" s="45">
        <f>SUMIF('GPT-5 Generation'!$A$2:$A$67, $A7, 'GPT-5 Generation'!$C$2:$C$67)</f>
        <v>0</v>
      </c>
      <c r="D7" s="45">
        <f>SUMIF('GPT-5 Generation'!$A$68:$A$74, $A7, 'GPT-5 Generation'!$C$68:$C$74)</f>
        <v>0</v>
      </c>
      <c r="F7" s="45" t="str">
        <f t="shared" si="0"/>
        <v>Not Available</v>
      </c>
      <c r="G7" s="45" t="str">
        <f t="shared" si="1"/>
        <v>Not Available</v>
      </c>
      <c r="H7" s="45" t="str">
        <f>IFERROR(2*((F7*G7)/(F7+G7)),"Not Available")</f>
        <v>Not Available</v>
      </c>
      <c r="J7" s="48" t="s">
        <v>148</v>
      </c>
    </row>
    <row r="8" spans="1:10" ht="15.75" customHeight="1" x14ac:dyDescent="0.15">
      <c r="A8" s="46" t="s">
        <v>105</v>
      </c>
      <c r="B8" s="45">
        <f>COUNTIF('SSC7'!$A$2:$A$67, A8)</f>
        <v>1</v>
      </c>
      <c r="C8" s="45">
        <f>SUMIF('GPT-5 Generation'!$A$2:$A$67, $A8, 'GPT-5 Generation'!$C$2:$C$67)</f>
        <v>1</v>
      </c>
      <c r="D8" s="45">
        <f>SUMIF('GPT-5 Generation'!$A$68:$A$74, $A8, 'GPT-5 Generation'!$C$68:$C$74)</f>
        <v>0</v>
      </c>
      <c r="E8" s="45">
        <f>COUNTIFS('GPT-5 Generation'!$A$2:$A$67, $A7, 'GPT-5 Generation'!$C$2:$C$67,0)</f>
        <v>0</v>
      </c>
      <c r="F8" s="45">
        <f t="shared" si="0"/>
        <v>1</v>
      </c>
      <c r="G8" s="45">
        <f t="shared" si="1"/>
        <v>1</v>
      </c>
      <c r="H8" s="45">
        <f>IFERROR(2*((F8*G9)/(F8+G9)),"Not Available")</f>
        <v>1</v>
      </c>
      <c r="J8" s="47" t="s">
        <v>150</v>
      </c>
    </row>
    <row r="9" spans="1:10" ht="15.75" customHeight="1" x14ac:dyDescent="0.15">
      <c r="A9" s="46" t="s">
        <v>17</v>
      </c>
      <c r="B9" s="45">
        <f>COUNTIF('SSC7'!$A$2:$A$67, A9)</f>
        <v>11</v>
      </c>
      <c r="C9" s="45">
        <f>SUMIF('GPT-5 Generation'!$A$2:$A$67, $A9, 'GPT-5 Generation'!$C$2:$C$67)</f>
        <v>11</v>
      </c>
      <c r="D9" s="45">
        <f>SUMIF('GPT-5 Generation'!$A$68:$A$74, $A9, 'GPT-5 Generation'!$C$68:$C$74)</f>
        <v>0</v>
      </c>
      <c r="E9" s="45">
        <f>COUNTIFS('GPT-5 Generation'!$A$2:$A$67, $A9, 'GPT-5 Generation'!$C$2:$C$67,0)</f>
        <v>0</v>
      </c>
      <c r="F9" s="45">
        <f t="shared" si="0"/>
        <v>1</v>
      </c>
      <c r="G9" s="45">
        <f t="shared" si="1"/>
        <v>1</v>
      </c>
      <c r="H9" s="45" t="str">
        <f>IFERROR(2*((F9*#REF!)/(F9+#REF!)),"Not Available")</f>
        <v>Not Available</v>
      </c>
    </row>
    <row r="10" spans="1:10" ht="15.75" customHeight="1" x14ac:dyDescent="0.15">
      <c r="A10" s="46" t="s">
        <v>149</v>
      </c>
      <c r="B10" s="45">
        <f>SUM(B3:B9)</f>
        <v>66</v>
      </c>
      <c r="C10" s="45">
        <f>SUM(C4:C9)</f>
        <v>65</v>
      </c>
      <c r="D10" s="45">
        <f>SUM(D3:D9)</f>
        <v>0</v>
      </c>
      <c r="E10" s="45">
        <f>SUM(E3:E9)</f>
        <v>0</v>
      </c>
      <c r="F10" s="45">
        <f t="shared" si="0"/>
        <v>1</v>
      </c>
      <c r="G10" s="45">
        <f t="shared" si="1"/>
        <v>0.98484848484848486</v>
      </c>
      <c r="H10" s="45">
        <f>IFERROR(2*((F10*G10)/(F10+G10)),"Not Available")</f>
        <v>0.99236641221374045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</row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2026-05-13T16:47:33Z</dcterms:modified>
</cp:coreProperties>
</file>