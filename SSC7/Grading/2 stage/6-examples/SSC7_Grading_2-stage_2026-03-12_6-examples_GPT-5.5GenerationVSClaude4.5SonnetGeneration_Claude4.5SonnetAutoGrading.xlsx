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SC7/Grading/2 stage/2026-03-17/"/>
    </mc:Choice>
  </mc:AlternateContent>
  <xr:revisionPtr revIDLastSave="0" documentId="8_{3278ACDE-985B-074F-ACDB-3E53550BC70D}" xr6:coauthVersionLast="47" xr6:coauthVersionMax="47" xr10:uidLastSave="{00000000-0000-0000-0000-000000000000}"/>
  <bookViews>
    <workbookView xWindow="17640" yWindow="-21000" windowWidth="30240" windowHeight="17300" activeTab="1" xr2:uid="{00000000-000D-0000-FFFF-FFFF00000000}"/>
  </bookViews>
  <sheets>
    <sheet name="SSC7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6" l="1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G24" i="6" s="1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G17" i="6" s="1"/>
  <c r="O3" i="6"/>
  <c r="N3" i="6"/>
  <c r="M3" i="6"/>
  <c r="D3" i="6"/>
  <c r="C3" i="6"/>
  <c r="I3" i="6" s="1"/>
  <c r="B3" i="6"/>
  <c r="A3" i="6"/>
  <c r="V2" i="6"/>
  <c r="D2" i="6"/>
  <c r="C2" i="6"/>
  <c r="B2" i="6"/>
  <c r="A2" i="6"/>
  <c r="D74" i="5"/>
  <c r="C74" i="5"/>
  <c r="B74" i="5"/>
  <c r="A74" i="5"/>
  <c r="D73" i="5"/>
  <c r="C73" i="5"/>
  <c r="B73" i="5"/>
  <c r="A73" i="5"/>
  <c r="D72" i="5"/>
  <c r="I24" i="5" s="1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F17" i="4" s="1"/>
  <c r="B17" i="4"/>
  <c r="E16" i="4"/>
  <c r="D16" i="4"/>
  <c r="C16" i="4"/>
  <c r="B16" i="4"/>
  <c r="G16" i="4" s="1"/>
  <c r="E15" i="4"/>
  <c r="D15" i="4"/>
  <c r="C15" i="4"/>
  <c r="B15" i="4"/>
  <c r="E14" i="4"/>
  <c r="E21" i="4" s="1"/>
  <c r="D14" i="4"/>
  <c r="C14" i="4"/>
  <c r="B14" i="4"/>
  <c r="E9" i="4"/>
  <c r="D9" i="4"/>
  <c r="C9" i="4"/>
  <c r="B9" i="4"/>
  <c r="E8" i="4"/>
  <c r="D8" i="4"/>
  <c r="C8" i="4"/>
  <c r="B8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F3" i="4" s="1"/>
  <c r="B3" i="4"/>
  <c r="I38" i="6" l="1"/>
  <c r="I10" i="6"/>
  <c r="F6" i="4"/>
  <c r="H6" i="4" s="1"/>
  <c r="H38" i="5"/>
  <c r="H12" i="5"/>
  <c r="I47" i="6"/>
  <c r="G19" i="6"/>
  <c r="H46" i="5"/>
  <c r="G19" i="5"/>
  <c r="H11" i="5"/>
  <c r="I3" i="5"/>
  <c r="F20" i="4"/>
  <c r="G9" i="4"/>
  <c r="G7" i="4"/>
  <c r="E10" i="4"/>
  <c r="F7" i="4"/>
  <c r="F18" i="4"/>
  <c r="F16" i="4"/>
  <c r="H16" i="4" s="1"/>
  <c r="G3" i="4"/>
  <c r="H3" i="4" s="1"/>
  <c r="G19" i="4"/>
  <c r="C10" i="4"/>
  <c r="C21" i="4"/>
  <c r="D21" i="4"/>
  <c r="F8" i="4"/>
  <c r="H8" i="4" s="1"/>
  <c r="G6" i="4"/>
  <c r="G15" i="4"/>
  <c r="B21" i="4"/>
  <c r="H17" i="4"/>
  <c r="I25" i="5"/>
  <c r="I26" i="6"/>
  <c r="G53" i="5"/>
  <c r="I32" i="6"/>
  <c r="G5" i="4"/>
  <c r="I52" i="5"/>
  <c r="G46" i="5"/>
  <c r="H26" i="5"/>
  <c r="H25" i="5"/>
  <c r="G24" i="5"/>
  <c r="I54" i="5"/>
  <c r="I53" i="5"/>
  <c r="H52" i="5"/>
  <c r="G25" i="5"/>
  <c r="H54" i="5"/>
  <c r="H53" i="5"/>
  <c r="G52" i="5"/>
  <c r="I33" i="5"/>
  <c r="I32" i="5"/>
  <c r="H31" i="5"/>
  <c r="I10" i="5"/>
  <c r="H47" i="5"/>
  <c r="I12" i="5"/>
  <c r="G31" i="5"/>
  <c r="I38" i="5"/>
  <c r="H4" i="6"/>
  <c r="G4" i="6"/>
  <c r="I4" i="6"/>
  <c r="H18" i="6"/>
  <c r="G11" i="5"/>
  <c r="H24" i="5"/>
  <c r="H27" i="5" s="1"/>
  <c r="I47" i="5"/>
  <c r="I31" i="5"/>
  <c r="I34" i="5" s="1"/>
  <c r="G5" i="6"/>
  <c r="I18" i="6"/>
  <c r="H19" i="6"/>
  <c r="G38" i="6"/>
  <c r="G33" i="6"/>
  <c r="B10" i="4"/>
  <c r="H5" i="6"/>
  <c r="H38" i="6"/>
  <c r="I31" i="6"/>
  <c r="G45" i="5"/>
  <c r="I5" i="6"/>
  <c r="G11" i="6"/>
  <c r="G12" i="6"/>
  <c r="G20" i="4"/>
  <c r="H20" i="4" s="1"/>
  <c r="G17" i="5"/>
  <c r="H18" i="5"/>
  <c r="H19" i="5"/>
  <c r="H33" i="5"/>
  <c r="H45" i="5"/>
  <c r="H48" i="5" s="1"/>
  <c r="H11" i="6"/>
  <c r="H24" i="6"/>
  <c r="G54" i="6"/>
  <c r="I52" i="6"/>
  <c r="F15" i="4"/>
  <c r="H15" i="4" s="1"/>
  <c r="I5" i="5"/>
  <c r="I4" i="5"/>
  <c r="H3" i="5"/>
  <c r="H5" i="5"/>
  <c r="H4" i="5"/>
  <c r="G3" i="5"/>
  <c r="G4" i="5"/>
  <c r="G18" i="5"/>
  <c r="G33" i="5"/>
  <c r="I46" i="5"/>
  <c r="G17" i="4"/>
  <c r="G10" i="5"/>
  <c r="H17" i="5"/>
  <c r="I18" i="5"/>
  <c r="I19" i="5"/>
  <c r="G40" i="5"/>
  <c r="I45" i="5"/>
  <c r="G54" i="5"/>
  <c r="J54" i="5" s="1"/>
  <c r="I11" i="6"/>
  <c r="I24" i="6"/>
  <c r="G25" i="6"/>
  <c r="G27" i="6" s="1"/>
  <c r="H40" i="6"/>
  <c r="I45" i="6"/>
  <c r="I48" i="6" s="1"/>
  <c r="G46" i="6"/>
  <c r="H10" i="5"/>
  <c r="H13" i="5" s="1"/>
  <c r="I17" i="5"/>
  <c r="G32" i="5"/>
  <c r="G39" i="5"/>
  <c r="H40" i="5"/>
  <c r="G5" i="5"/>
  <c r="G47" i="5"/>
  <c r="J47" i="5" s="1"/>
  <c r="I40" i="6"/>
  <c r="H46" i="6"/>
  <c r="G52" i="6"/>
  <c r="I53" i="6"/>
  <c r="I6" i="6"/>
  <c r="F5" i="4"/>
  <c r="I11" i="5"/>
  <c r="F4" i="4"/>
  <c r="F9" i="4"/>
  <c r="H9" i="4" s="1"/>
  <c r="F19" i="4"/>
  <c r="D10" i="4"/>
  <c r="G4" i="4"/>
  <c r="I26" i="5"/>
  <c r="H32" i="5"/>
  <c r="H39" i="5"/>
  <c r="I40" i="5"/>
  <c r="G3" i="6"/>
  <c r="I12" i="6"/>
  <c r="G26" i="6"/>
  <c r="G32" i="6"/>
  <c r="I46" i="6"/>
  <c r="G14" i="4"/>
  <c r="F14" i="4"/>
  <c r="G8" i="4"/>
  <c r="G18" i="4"/>
  <c r="G12" i="5"/>
  <c r="J12" i="5" s="1"/>
  <c r="G38" i="5"/>
  <c r="I39" i="5"/>
  <c r="G26" i="5"/>
  <c r="G47" i="6"/>
  <c r="G45" i="6"/>
  <c r="H39" i="6"/>
  <c r="H41" i="6" s="1"/>
  <c r="I33" i="6"/>
  <c r="G10" i="6"/>
  <c r="G39" i="6"/>
  <c r="H33" i="6"/>
  <c r="H31" i="6"/>
  <c r="I25" i="6"/>
  <c r="I54" i="6"/>
  <c r="G31" i="6"/>
  <c r="H25" i="6"/>
  <c r="I19" i="6"/>
  <c r="I17" i="6"/>
  <c r="I20" i="6" s="1"/>
  <c r="H54" i="6"/>
  <c r="H52" i="6"/>
  <c r="G40" i="6"/>
  <c r="J40" i="6" s="1"/>
  <c r="H53" i="6"/>
  <c r="G53" i="6"/>
  <c r="J53" i="6" s="1"/>
  <c r="H47" i="6"/>
  <c r="H45" i="6"/>
  <c r="I39" i="6"/>
  <c r="I41" i="6" s="1"/>
  <c r="G18" i="6"/>
  <c r="J18" i="6" s="1"/>
  <c r="H12" i="6"/>
  <c r="H10" i="6"/>
  <c r="H3" i="6"/>
  <c r="H6" i="6" s="1"/>
  <c r="H17" i="6"/>
  <c r="H20" i="6" s="1"/>
  <c r="H26" i="6"/>
  <c r="H32" i="6"/>
  <c r="J46" i="6" l="1"/>
  <c r="I13" i="5"/>
  <c r="I27" i="5"/>
  <c r="J19" i="5"/>
  <c r="I6" i="5"/>
  <c r="H7" i="4"/>
  <c r="J4" i="6"/>
  <c r="J19" i="6"/>
  <c r="I13" i="6"/>
  <c r="J4" i="5"/>
  <c r="H41" i="5"/>
  <c r="F10" i="4"/>
  <c r="H19" i="4"/>
  <c r="G10" i="4"/>
  <c r="H10" i="4" s="1"/>
  <c r="H5" i="4"/>
  <c r="G21" i="4"/>
  <c r="H14" i="4"/>
  <c r="H4" i="4"/>
  <c r="F21" i="4"/>
  <c r="H21" i="4" s="1"/>
  <c r="H18" i="4"/>
  <c r="J52" i="6"/>
  <c r="J55" i="6"/>
  <c r="T53" i="6" s="1"/>
  <c r="G55" i="6"/>
  <c r="J26" i="5"/>
  <c r="J26" i="6"/>
  <c r="J5" i="5"/>
  <c r="I27" i="6"/>
  <c r="G41" i="6"/>
  <c r="R40" i="6" s="1"/>
  <c r="J41" i="6"/>
  <c r="J38" i="6"/>
  <c r="W38" i="6"/>
  <c r="J52" i="5"/>
  <c r="M52" i="5"/>
  <c r="G55" i="5"/>
  <c r="J46" i="5"/>
  <c r="J33" i="5"/>
  <c r="I55" i="6"/>
  <c r="J12" i="6"/>
  <c r="I55" i="5"/>
  <c r="G6" i="6"/>
  <c r="J6" i="6"/>
  <c r="S4" i="6" s="1"/>
  <c r="J3" i="6"/>
  <c r="J39" i="5"/>
  <c r="J18" i="5"/>
  <c r="J54" i="6"/>
  <c r="J11" i="6"/>
  <c r="I41" i="5"/>
  <c r="J20" i="6"/>
  <c r="W17" i="6" s="1"/>
  <c r="M38" i="5"/>
  <c r="G41" i="5"/>
  <c r="J38" i="5"/>
  <c r="J32" i="5"/>
  <c r="I48" i="5"/>
  <c r="H27" i="6"/>
  <c r="J5" i="6"/>
  <c r="J31" i="5"/>
  <c r="M31" i="5"/>
  <c r="G34" i="5"/>
  <c r="J25" i="5"/>
  <c r="G20" i="6"/>
  <c r="J39" i="6"/>
  <c r="I20" i="5"/>
  <c r="J40" i="5"/>
  <c r="G6" i="5"/>
  <c r="M3" i="5"/>
  <c r="J3" i="5"/>
  <c r="G48" i="5"/>
  <c r="M45" i="5"/>
  <c r="J45" i="5"/>
  <c r="M46" i="5" s="1" a="1"/>
  <c r="M46" i="5" s="1"/>
  <c r="H55" i="5"/>
  <c r="J17" i="6"/>
  <c r="H34" i="6"/>
  <c r="T40" i="6"/>
  <c r="S40" i="6"/>
  <c r="H55" i="6"/>
  <c r="S53" i="6" s="1"/>
  <c r="H13" i="6"/>
  <c r="J13" i="6"/>
  <c r="W10" i="6" s="1"/>
  <c r="G13" i="6"/>
  <c r="J10" i="6"/>
  <c r="I34" i="6"/>
  <c r="J53" i="5"/>
  <c r="R46" i="6"/>
  <c r="G27" i="5"/>
  <c r="M24" i="5"/>
  <c r="J24" i="5"/>
  <c r="J48" i="6"/>
  <c r="W45" i="6" s="1"/>
  <c r="G48" i="6"/>
  <c r="J45" i="6"/>
  <c r="M10" i="5"/>
  <c r="J10" i="5"/>
  <c r="G13" i="5"/>
  <c r="J24" i="6"/>
  <c r="T18" i="6"/>
  <c r="S18" i="6"/>
  <c r="H20" i="5"/>
  <c r="H6" i="5"/>
  <c r="J11" i="5"/>
  <c r="H34" i="5"/>
  <c r="H48" i="6"/>
  <c r="W31" i="6"/>
  <c r="J31" i="6"/>
  <c r="J34" i="6"/>
  <c r="G34" i="6"/>
  <c r="J47" i="6"/>
  <c r="J32" i="6"/>
  <c r="J25" i="6"/>
  <c r="M17" i="5"/>
  <c r="J17" i="5"/>
  <c r="G20" i="5"/>
  <c r="J33" i="6"/>
  <c r="J27" i="6"/>
  <c r="W24" i="6" s="1"/>
  <c r="M4" i="5" l="1" a="1"/>
  <c r="M4" i="5" s="1"/>
  <c r="T46" i="6"/>
  <c r="S46" i="6"/>
  <c r="W52" i="6"/>
  <c r="M25" i="5" a="1"/>
  <c r="M25" i="5" s="1"/>
  <c r="M47" i="5"/>
  <c r="R53" i="6"/>
  <c r="M53" i="5" a="1"/>
  <c r="M53" i="5" s="1"/>
  <c r="M54" i="5" s="1"/>
  <c r="R3" i="6"/>
  <c r="T3" i="6"/>
  <c r="S3" i="6"/>
  <c r="S26" i="6"/>
  <c r="R26" i="6"/>
  <c r="T26" i="6"/>
  <c r="T31" i="6"/>
  <c r="S31" i="6"/>
  <c r="R31" i="6"/>
  <c r="S24" i="6"/>
  <c r="R24" i="6"/>
  <c r="T24" i="6"/>
  <c r="W3" i="6"/>
  <c r="R4" i="6"/>
  <c r="T12" i="6"/>
  <c r="S12" i="6"/>
  <c r="R12" i="6"/>
  <c r="M26" i="5"/>
  <c r="M11" i="5" a="1"/>
  <c r="M11" i="5" s="1"/>
  <c r="M12" i="5" s="1"/>
  <c r="T4" i="6"/>
  <c r="T45" i="6"/>
  <c r="S45" i="6"/>
  <c r="R45" i="6"/>
  <c r="T11" i="6"/>
  <c r="S11" i="6"/>
  <c r="R11" i="6"/>
  <c r="R38" i="6"/>
  <c r="S38" i="6"/>
  <c r="T38" i="6"/>
  <c r="T52" i="6"/>
  <c r="S52" i="6"/>
  <c r="R52" i="6"/>
  <c r="T33" i="6"/>
  <c r="S33" i="6"/>
  <c r="R33" i="6"/>
  <c r="M18" i="5" a="1"/>
  <c r="M18" i="5" s="1"/>
  <c r="M19" i="5" s="1"/>
  <c r="T54" i="6"/>
  <c r="S54" i="6"/>
  <c r="R54" i="6"/>
  <c r="R19" i="6"/>
  <c r="M32" i="5" a="1"/>
  <c r="M32" i="5" s="1"/>
  <c r="M33" i="5" s="1"/>
  <c r="M5" i="5"/>
  <c r="R5" i="6"/>
  <c r="S5" i="6"/>
  <c r="T5" i="6"/>
  <c r="M39" i="5" a="1"/>
  <c r="M39" i="5" s="1"/>
  <c r="M40" i="5" s="1"/>
  <c r="S19" i="6"/>
  <c r="T25" i="6"/>
  <c r="S25" i="6"/>
  <c r="R25" i="6"/>
  <c r="R32" i="6"/>
  <c r="S32" i="6"/>
  <c r="T32" i="6"/>
  <c r="T10" i="6"/>
  <c r="S10" i="6"/>
  <c r="R10" i="6"/>
  <c r="S17" i="6"/>
  <c r="T17" i="6"/>
  <c r="R17" i="6"/>
  <c r="T39" i="6"/>
  <c r="S39" i="6"/>
  <c r="R39" i="6"/>
  <c r="T47" i="6"/>
  <c r="S47" i="6"/>
  <c r="R47" i="6"/>
  <c r="R18" i="6"/>
  <c r="T19" i="6"/>
  <c r="W53" i="6" l="1"/>
  <c r="W54" i="6" s="1"/>
  <c r="W25" i="6"/>
  <c r="W26" i="6" s="1"/>
  <c r="W39" i="6"/>
  <c r="W40" i="6" s="1"/>
  <c r="W4" i="6"/>
  <c r="W32" i="6"/>
  <c r="W33" i="6" s="1"/>
  <c r="W11" i="6"/>
  <c r="W12" i="6" s="1"/>
  <c r="W5" i="6"/>
  <c r="W18" i="6"/>
  <c r="W19" i="6" s="1"/>
  <c r="W46" i="6"/>
  <c r="W47" i="6" s="1"/>
</calcChain>
</file>

<file path=xl/sharedStrings.xml><?xml version="1.0" encoding="utf-8"?>
<sst xmlns="http://schemas.openxmlformats.org/spreadsheetml/2006/main" count="961" uniqueCount="261">
  <si>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</si>
  <si>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</si>
  <si>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</si>
  <si>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</si>
  <si>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</si>
  <si>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</si>
  <si>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</si>
  <si>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</si>
  <si>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</si>
  <si>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</si>
  <si>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</si>
  <si>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</si>
  <si>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</si>
  <si>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</si>
  <si>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</si>
  <si>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</si>
  <si>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</si>
  <si>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</si>
  <si>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</si>
  <si>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</si>
  <si>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</si>
  <si>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</si>
  <si>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</si>
  <si>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</si>
  <si>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</si>
  <si>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</si>
  <si>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</si>
  <si>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</si>
  <si>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</si>
  <si>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</si>
  <si>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</si>
  <si>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</si>
  <si>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</si>
  <si>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</si>
  <si>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</si>
  <si>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</si>
  <si>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</si>
  <si>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</si>
  <si>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</si>
  <si>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</si>
  <si>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</si>
  <si>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</si>
  <si>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</si>
  <si>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</si>
  <si>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</si>
  <si>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</si>
  <si>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</si>
  <si>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</si>
  <si>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</si>
  <si>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</si>
  <si>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</si>
  <si>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</si>
  <si>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</si>
  <si>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</si>
  <si>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</si>
  <si>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</si>
  <si>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</si>
  <si>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</si>
  <si>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</si>
  <si>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</si>
  <si>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</si>
  <si>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</si>
  <si>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</si>
  <si>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</si>
  <si>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</si>
  <si>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</si>
  <si>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</si>
  <si>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GPT-5 Generation</t>
  </si>
  <si>
    <t>Notes</t>
  </si>
  <si>
    <t>Claude Sonnet 4.5 Generation</t>
  </si>
  <si>
    <t>Correctly represented as [*] --&gt; Active</t>
  </si>
  <si>
    <t>Correctly represented as a composite state containing substates</t>
  </si>
  <si>
    <t>Correctly represented as [*] --&gt; ReadyForNextItem within Active</t>
  </si>
  <si>
    <t>Represented as ReadyForNextItem which captures the same semantic meaning</t>
  </si>
  <si>
    <t>Represented as scanBarcode(code) [!codeExists] / showError() transition from ReadyForNextItem to ReadyForNextItem</t>
  </si>
  <si>
    <t>Represented as [!codeExists] guard on the scanBarcode self-transition</t>
  </si>
  <si>
    <t>Represented as showError() action which captures the same semantic intent</t>
  </si>
  <si>
    <t>Represented as productCodeEntered(code) [!codeExists] / showError() from EnteringProductCode to ReadyForNextItem</t>
  </si>
  <si>
    <t>Represented as [!codeExists] guard on the productCodeEntered transition</t>
  </si>
  <si>
    <t>Represented as showError() action on the invalid product code transition</t>
  </si>
  <si>
    <t>Represented as productCodeEntered(code) [codeExists] from EnteringProductCode to WeighingItem</t>
  </si>
  <si>
    <t>Represented as [codeExists] guard on the transition to WeighingItem</t>
  </si>
  <si>
    <t>Represented as scanBarcode(code) [codeExists] from ReadyForNextItem to ItemScanned followed by placeItemOnSecurityScale to SecurityWeightCheck</t>
  </si>
  <si>
    <t>Represented as [codeExists] guard on the scanBarcode transition</t>
  </si>
  <si>
    <t>Represented as showItem() which captures the item being added to the bill</t>
  </si>
  <si>
    <t>Represented as cancelEverything transition from ReadyForNextItem to WaitingForOverride</t>
  </si>
  <si>
    <t>Not explicitly represented; the student uses guard conditions in the override exit but does not set the type on entry</t>
  </si>
  <si>
    <t>Represented as removeItem [billHasItems] transition from ReadyForNextItem to WaitingForOverride</t>
  </si>
  <si>
    <t>Represented as [billHasItems] guard on the removeItem transition</t>
  </si>
  <si>
    <t>Represented as addBag transition from ReadyForNextItem to WeighingBag</t>
  </si>
  <si>
    <t>Represented as pay [billHasItems] / sendPaymentRequest() from ReadyForNextItem to WaitingForPayment</t>
  </si>
  <si>
    <t>Represented as [billHasItems] guard on the pay transition</t>
  </si>
  <si>
    <t>Correctly represented as sendPaymentRequest() action on the pay transition</t>
  </si>
  <si>
    <t>Represented as WeighingItem state</t>
  </si>
  <si>
    <t>Represented as cancelWeighing transition from WeighingItem to ReadyForNextItem</t>
  </si>
  <si>
    <t>Represented as itemWeighed transition from WeighingItem to ItemWeighed followed by placeItemOnSecurityScale to SecurityWeightCheck</t>
  </si>
  <si>
    <t>Represented as showItemWithWeight() which captures the weighed item being added</t>
  </si>
  <si>
    <t>Represented as SecurityWeightCheck state</t>
  </si>
  <si>
    <t>Represented as securityWeightMatches transition from SecurityWeightCheck to ReadyForNextItem</t>
  </si>
  <si>
    <t>Implicitly represented by the securityWeightMatches event which indicates weight matched</t>
  </si>
  <si>
    <t>Represented as securityWeightMismatch transition from SecurityWeightCheck to WaitingForOverride</t>
  </si>
  <si>
    <t>Implicitly represented by the securityWeightMismatch event which indicates weight did not match</t>
  </si>
  <si>
    <t>Represented as cancelEverything transition from SecurityWeightCheck to WaitingForOverride</t>
  </si>
  <si>
    <t>Represented as WeighingBag state</t>
  </si>
  <si>
    <t>Represented as bagWeighed transition from WeighingBag to ReadyForNextItem</t>
  </si>
  <si>
    <t>Represented as incrementBagCount() action which captures adding the bag</t>
  </si>
  <si>
    <t>Represented as cancelWeighing transition from WeighingBag to ReadyForNextItem</t>
  </si>
  <si>
    <t>Represented as WaitingForOverride state</t>
  </si>
  <si>
    <t>Represented as turnOnLight() action on transitions entering WaitingForOverride</t>
  </si>
  <si>
    <t>Represented as turnOffLight() action on transitions exiting WaitingForOverride</t>
  </si>
  <si>
    <t>Represented as overrideEntered(code) [codeCorrect and itemOverride] / turnOffLight() clearItem() from WaitingForOverride to ReadyForNextItem</t>
  </si>
  <si>
    <t>Represented as [codeCorrect and itemOverride] guard which captures the same logic</t>
  </si>
  <si>
    <t>Correctly represented as clearItem() action</t>
  </si>
  <si>
    <t>Represented as overrideEntered(code) [codeCorrect and clearAllOverride] / turnOffLight() clearEverything() from WaitingForOverride to ReadyForNextItem</t>
  </si>
  <si>
    <t>Represented as [codeCorrect and clearAllOverride] guard which captures the same logic</t>
  </si>
  <si>
    <t>Correctly represented as clearEverything() action</t>
  </si>
  <si>
    <t>Represented as overrideEntered(code) [!codeCorrect] / showError() self-transition on WaitingForOverride</t>
  </si>
  <si>
    <t>Represented as [!codeCorrect] guard on the self-transition</t>
  </si>
  <si>
    <t>Represented as timeoutWarning transition from ReadyForNextItem to TimeoutWarning but should be from Active composite state level</t>
  </si>
  <si>
    <t>Represented as showError() action on the incorrect override code transition</t>
  </si>
  <si>
    <t>History state H is declared but the continue transition goes to H instead of from H which is incorrect usage</t>
  </si>
  <si>
    <t>Represented as TimeoutWarning state</t>
  </si>
  <si>
    <t>Represented as startCountdown() action which captures the countdown behavior</t>
  </si>
  <si>
    <t>Represented as timeout transition from TimeoutWarning to ReadyForNextItem but should return to history state H</t>
  </si>
  <si>
    <t>Correctly represented as clearEverything() action on the timeout transition</t>
  </si>
  <si>
    <t>Not explicitly represented as a separate action</t>
  </si>
  <si>
    <t>Represented as WaitingForPayment state</t>
  </si>
  <si>
    <t>Represented as paymentFail(error) / showError() transition from WaitingForPayment to ReadyForNextItem</t>
  </si>
  <si>
    <t>Represented as showError() action on the payment fail transition</t>
  </si>
  <si>
    <t>Represented as paymentCancel transition from WaitingForPayment to ReadyForNextItem</t>
  </si>
  <si>
    <t>Represented as paymentSuccess(authCode) / printBill() transition from WaitingForPayment to ReadyForNextItem</t>
  </si>
  <si>
    <t>Correctly represented as printBill() action</t>
  </si>
  <si>
    <t>Not explicitly represented as a separate action on successful payment</t>
  </si>
  <si>
    <t>ItemScanned and ItemWeighed are intermediate states that add unnecessary complexity; EnteringProductCode state is not needed per system description</t>
  </si>
  <si>
    <t>placeItemOnSecurityScale transitions are explicit but the system description implies automatic placement</t>
  </si>
  <si>
    <t>No fundamentally incorrect guards</t>
  </si>
  <si>
    <t>showBagCount() is extra detail not required by system description</t>
  </si>
  <si>
    <t>No additional incorrect composite states</t>
  </si>
  <si>
    <t>No parallel regions used</t>
  </si>
  <si>
    <t>Only one history state H as expected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</si>
  <si>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</si>
  <si>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</si>
  <si>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</si>
  <si>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</si>
  <si>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</si>
  <si>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</si>
  <si>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</si>
  <si>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</si>
  <si>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</si>
  <si>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Grading LLM</t>
  </si>
  <si>
    <t>Claude Sonnet 4.5</t>
  </si>
  <si>
    <t>GPT-5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</si>
  <si>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</si>
  <si>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</si>
  <si>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</si>
  <si>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</si>
  <si>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</si>
  <si>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</si>
  <si>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</si>
  <si>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</si>
  <si>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</si>
  <si>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</si>
  <si>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</si>
  <si>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</si>
  <si>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</si>
  <si>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</si>
  <si>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</si>
  <si>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</si>
  <si>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</si>
  <si>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</si>
  <si>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</si>
  <si>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</si>
  <si>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</si>
  <si>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</si>
  <si>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</si>
  <si>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</si>
  <si>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</si>
  <si>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</si>
  <si>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</si>
  <si>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</si>
  <si>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</si>
  <si>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</si>
  <si>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</si>
  <si>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</si>
  <si>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</si>
  <si>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</si>
  <si>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</si>
  <si>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</si>
  <si>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</si>
  <si>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</si>
  <si>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</si>
  <si>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Sonnet 4.6</t>
  </si>
  <si>
    <t>GPT-5.5</t>
  </si>
  <si>
    <t>Represented as [*] --&gt; Shopping where Shopping is the main composite state equivalent to Active</t>
  </si>
  <si>
    <t>Represented by Shopping composite state which contains all main operational substates</t>
  </si>
  <si>
    <t>Represented as [*] --&gt; ReadyForNextItem within Shopping composite state</t>
  </si>
  <si>
    <t>Represented as ReadyForNextItem state</t>
  </si>
  <si>
    <t>Represented as barcodeScanned(code) [!barcodeExists(code)] / showError() self-transition on ReadyForNextItem</t>
  </si>
  <si>
    <t>Represented as [!barcodeExists(code)] guard condition</t>
  </si>
  <si>
    <t>Represented as showError() action</t>
  </si>
  <si>
    <t>Represented as productCodeEntered(code) [!productCodeExists(code)] / showError() self-transition</t>
  </si>
  <si>
    <t>Represented as [!productCodeExists(code)] guard condition</t>
  </si>
  <si>
    <t>Represented as productCodeEntered(code) [productCodeExists(code)] / requestItemWeight(code) to WeighingProductCodeItem</t>
  </si>
  <si>
    <t>Represented as [productCodeExists(code)] guard condition</t>
  </si>
  <si>
    <t>Represented as barcodeScanned(code) [barcodeExists(code)] / showItem(code) to AwaitingSecurityCheck</t>
  </si>
  <si>
    <t>Represented as [barcodeExists(code)] guard condition</t>
  </si>
  <si>
    <t>Represented as showItem(code) which displays the item after adding it</t>
  </si>
  <si>
    <t>Represented as cancelEverything transition from ReadyForNextItem to OverrideClearAll</t>
  </si>
  <si>
    <t>Represented by routing to OverrideClearAll substate which handles clearing everything</t>
  </si>
  <si>
    <t>Represented as removeItem transition from ReadyForNextItem to OverrideClearItem</t>
  </si>
  <si>
    <t>Represented as [billHasItems()] guard condition</t>
  </si>
  <si>
    <t>Represented by routing to OverrideClearItem substate which handles clearing a single item</t>
  </si>
  <si>
    <t>Represented as ownBags transition from ReadyForNextItem to WeighingBag</t>
  </si>
  <si>
    <t>Represented as pay transition from ReadyForNextItem to PaymentProcessing</t>
  </si>
  <si>
    <t>Represented as entry action in PaymentProcessing state note</t>
  </si>
  <si>
    <t>Represented as WeighingProductCodeItem state</t>
  </si>
  <si>
    <t>Represented as cancel transition from WeighingProductCodeItem to ReadyForNextItem</t>
  </si>
  <si>
    <t>Represented as itemWeightReceived(weight) transition from WeighingProductCodeItem to AwaitingSecurityCheck</t>
  </si>
  <si>
    <t>Represented as showItemWithWeight(weight) action which displays the weighed item</t>
  </si>
  <si>
    <t>Represented as AwaitingSecurityCheck state</t>
  </si>
  <si>
    <t>Represented as securityWeightReceived(weight) [weightMatches(weight)] transition from AwaitingSecurityCheck to ReadyForNextItem</t>
  </si>
  <si>
    <t>Represented as [weightMatches(weight)] guard condition</t>
  </si>
  <si>
    <t>Represented as securityWeightReceived(weight) [!weightMatches(weight)] transition from AwaitingSecurityCheck to OverrideClearItem</t>
  </si>
  <si>
    <t>Represented as [!weightMatches(weight)] guard condition</t>
  </si>
  <si>
    <t>Represented as cancelEverything transition from AwaitingSecurityCheck to OverrideClearAll</t>
  </si>
  <si>
    <t>Represented as securityWeightReceived(weight) transition from WeighingBag to ReadyForNextItem</t>
  </si>
  <si>
    <t>Represented as addBag(weight) action in the transition</t>
  </si>
  <si>
    <t>Represented as cancel transition from WeighingBag to ReadyForNextItem</t>
  </si>
  <si>
    <t>Represented as OverrideRequired composite state containing OverrideClearItem and OverrideClearAll substates</t>
  </si>
  <si>
    <t>Represented as entry / turnLightOn() in OverrideRequired state note</t>
  </si>
  <si>
    <t>Represented as exit / turnLightOff() in OverrideRequired state note</t>
  </si>
  <si>
    <t>Represented as staffCodeEntered(code) [overrideCodeValid(code)] / clearItemFromBill() from OverrideClearItem to ReadyForNextItem</t>
  </si>
  <si>
    <t>Represented by transition from OverrideClearItem substate with [overrideCodeValid(code)] guard</t>
  </si>
  <si>
    <t>Represented as clearItemFromBill() action</t>
  </si>
  <si>
    <t>Represented as staffCodeEntered(code) [overrideCodeValid(code)] / clearEverything() from OverrideClearAll to ReadyForNextItem</t>
  </si>
  <si>
    <t>Represented by transition from OverrideClearAll substate with [overrideCodeValid(code)] guard</t>
  </si>
  <si>
    <t>Represented as clearEverything() action</t>
  </si>
  <si>
    <t>Represented as self-transitions on both OverrideClearItem and OverrideClearAll with [!overrideCodeValid(code)] guard</t>
  </si>
  <si>
    <t>Represented as [!overrideCodeValid(code)] guard condition</t>
  </si>
  <si>
    <t>Represented as timeoutWarning transition from Shopping to TimeoutWarning</t>
  </si>
  <si>
    <t>Represented as showError() action in self-transitions on override substates</t>
  </si>
  <si>
    <t>Represented as H history state within Shopping composite state</t>
  </si>
  <si>
    <t>Represented as entry / startCountdown(60s) in TimeoutWarning state note</t>
  </si>
  <si>
    <t>Represented as countdownReachedZero transition from TimeoutWarning to ReadyForNextItem</t>
  </si>
  <si>
    <t>Represented as clearEverything() action in the transition</t>
  </si>
  <si>
    <t>Represented as resetForNextCustomer() action in the transition</t>
  </si>
  <si>
    <t>Represented as PaymentProcessing state</t>
  </si>
  <si>
    <t>Represented as paymentFail(error) transition from PaymentProcessing to ReadyForNextItem</t>
  </si>
  <si>
    <t>Represented as showError(error) action</t>
  </si>
  <si>
    <t>Represented as paymentCancel transition from PaymentProcessing to ReadyForNextItem</t>
  </si>
  <si>
    <t>Represented as paymentSuccess(authCode) transition from PaymentProcessing to ReadyForNextItem</t>
  </si>
  <si>
    <t>Represented as printBill(authCode) action</t>
  </si>
  <si>
    <t>Represented as resetForNextCustomer() action</t>
  </si>
  <si>
    <t>No additional incorrect states present</t>
  </si>
  <si>
    <t>No additional incorrect transitions present</t>
  </si>
  <si>
    <t>No additional incorrect guards present</t>
  </si>
  <si>
    <t>No additional incorrect actions present</t>
  </si>
  <si>
    <t>No additional incorrect composite states present</t>
  </si>
  <si>
    <t>No additional incorrect regions present</t>
  </si>
  <si>
    <t>No additional incorrect history states present</t>
  </si>
  <si>
    <t>Generation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</si>
</sst>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2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3" fillId="4" borderId="0" xfId="0" applyFont="1" applyFill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2" fillId="3" borderId="4" xfId="0" applyFont="1" applyFill="1" applyBorder="1" applyAlignment="1">
      <alignment horizontal="center"/>
    </xf>
    <xf numFmtId="0" fontId="4" fillId="5" borderId="0" xfId="0" applyFont="1" applyFill="1"/>
    <xf numFmtId="0" fontId="3" fillId="5" borderId="8" xfId="0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right"/>
    </xf>
    <xf numFmtId="0" fontId="7" fillId="6" borderId="8" xfId="0" applyFont="1" applyFill="1" applyBorder="1" applyAlignment="1">
      <alignment wrapText="1"/>
    </xf>
    <xf numFmtId="0" fontId="4" fillId="0" borderId="8" xfId="0" applyFont="1" applyBorder="1" applyAlignment="1">
      <alignment horizontal="right"/>
    </xf>
    <xf numFmtId="0" fontId="3" fillId="0" borderId="8" xfId="0" applyFont="1" applyBorder="1"/>
    <xf numFmtId="0" fontId="4" fillId="0" borderId="9" xfId="0" applyFont="1" applyBorder="1" applyAlignment="1">
      <alignment horizontal="right"/>
    </xf>
    <xf numFmtId="0" fontId="6" fillId="0" borderId="4" xfId="0" applyFont="1" applyBorder="1"/>
    <xf numFmtId="0" fontId="2" fillId="2" borderId="1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3" fillId="5" borderId="7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/>
    <xf numFmtId="0" fontId="5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SC7 Grader Human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SSC7 Grader LLM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4">
  <tableColumns count="2">
    <tableColumn id="1" xr3:uid="{00000000-0010-0000-0000-000001000000}" name="Type"/>
    <tableColumn id="2" xr3:uid="{00000000-0010-0000-0000-000002000000}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4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4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A5B8F3-5624-0D48-9CBE-0E978CD19213}" name="Table_59" displayName="Table_59" ref="J7:J9">
  <tableColumns count="1">
    <tableColumn id="1" xr3:uid="{064D97D7-31CF-C047-962D-7BFD7F10704A}" name="Generation LLMs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4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4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14.2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2</v>
      </c>
      <c r="B4" s="5" t="s">
        <v>6</v>
      </c>
      <c r="C4" s="6"/>
      <c r="D4" s="6"/>
    </row>
    <row r="5" spans="1:4" ht="12.75" customHeight="1" x14ac:dyDescent="0.15">
      <c r="A5" s="4" t="s">
        <v>2</v>
      </c>
      <c r="B5" s="5" t="s">
        <v>7</v>
      </c>
      <c r="C5" s="6"/>
      <c r="D5" s="6"/>
    </row>
    <row r="6" spans="1:4" ht="12.75" customHeight="1" x14ac:dyDescent="0.15">
      <c r="A6" s="4" t="s">
        <v>8</v>
      </c>
      <c r="B6" s="5" t="s">
        <v>9</v>
      </c>
      <c r="C6" s="6"/>
      <c r="D6" s="6"/>
    </row>
    <row r="7" spans="1:4" ht="12.75" customHeight="1" x14ac:dyDescent="0.15">
      <c r="A7" s="4" t="s">
        <v>10</v>
      </c>
      <c r="B7" s="5" t="s">
        <v>11</v>
      </c>
      <c r="C7" s="6"/>
      <c r="D7" s="6"/>
    </row>
    <row r="8" spans="1:4" ht="12.75" customHeight="1" x14ac:dyDescent="0.15">
      <c r="A8" s="4" t="s">
        <v>12</v>
      </c>
      <c r="B8" s="5" t="s">
        <v>13</v>
      </c>
      <c r="C8" s="6"/>
      <c r="D8" s="6"/>
    </row>
    <row r="9" spans="1:4" ht="12.75" customHeight="1" x14ac:dyDescent="0.15">
      <c r="A9" s="4" t="s">
        <v>8</v>
      </c>
      <c r="B9" s="5" t="s">
        <v>14</v>
      </c>
      <c r="C9" s="6"/>
      <c r="D9" s="6"/>
    </row>
    <row r="10" spans="1:4" ht="12.75" customHeight="1" x14ac:dyDescent="0.15">
      <c r="A10" s="4" t="s">
        <v>10</v>
      </c>
      <c r="B10" s="5" t="s">
        <v>15</v>
      </c>
      <c r="C10" s="6"/>
      <c r="D10" s="6"/>
    </row>
    <row r="11" spans="1:4" ht="12.75" customHeight="1" x14ac:dyDescent="0.15">
      <c r="A11" s="4" t="s">
        <v>12</v>
      </c>
      <c r="B11" s="5" t="s">
        <v>13</v>
      </c>
      <c r="C11" s="6"/>
      <c r="D11" s="6"/>
    </row>
    <row r="12" spans="1:4" ht="12.75" customHeight="1" x14ac:dyDescent="0.15">
      <c r="A12" s="4" t="s">
        <v>8</v>
      </c>
      <c r="B12" s="5" t="s">
        <v>16</v>
      </c>
      <c r="C12" s="6"/>
      <c r="D12" s="6"/>
    </row>
    <row r="13" spans="1:4" ht="12.75" customHeight="1" x14ac:dyDescent="0.15">
      <c r="A13" s="4" t="s">
        <v>10</v>
      </c>
      <c r="B13" s="5" t="s">
        <v>17</v>
      </c>
      <c r="C13" s="6"/>
      <c r="D13" s="6"/>
    </row>
    <row r="14" spans="1:4" ht="12.75" customHeight="1" x14ac:dyDescent="0.15">
      <c r="A14" s="4" t="s">
        <v>8</v>
      </c>
      <c r="B14" s="5" t="s">
        <v>18</v>
      </c>
      <c r="C14" s="6"/>
      <c r="D14" s="6"/>
    </row>
    <row r="15" spans="1:4" ht="12.75" customHeight="1" x14ac:dyDescent="0.15">
      <c r="A15" s="4" t="s">
        <v>10</v>
      </c>
      <c r="B15" s="5" t="s">
        <v>19</v>
      </c>
      <c r="C15" s="6"/>
      <c r="D15" s="6"/>
    </row>
    <row r="16" spans="1:4" ht="12.75" customHeight="1" x14ac:dyDescent="0.15">
      <c r="A16" s="4" t="s">
        <v>12</v>
      </c>
      <c r="B16" s="5" t="s">
        <v>20</v>
      </c>
      <c r="C16" s="6"/>
      <c r="D16" s="6"/>
    </row>
    <row r="17" spans="1:22" ht="12.75" customHeight="1" x14ac:dyDescent="0.15">
      <c r="A17" s="4" t="s">
        <v>8</v>
      </c>
      <c r="B17" s="5" t="s">
        <v>21</v>
      </c>
      <c r="C17" s="6"/>
      <c r="D17" s="6"/>
    </row>
    <row r="18" spans="1:22" ht="12.75" customHeight="1" x14ac:dyDescent="0.15">
      <c r="A18" s="8" t="s">
        <v>12</v>
      </c>
      <c r="B18" s="9" t="s">
        <v>22</v>
      </c>
      <c r="C18" s="6"/>
      <c r="D18" s="6"/>
    </row>
    <row r="19" spans="1:22" ht="12.75" customHeight="1" x14ac:dyDescent="0.15">
      <c r="A19" s="4" t="s">
        <v>8</v>
      </c>
      <c r="B19" s="5" t="s">
        <v>23</v>
      </c>
      <c r="C19" s="6"/>
      <c r="D19" s="6"/>
    </row>
    <row r="20" spans="1:22" ht="12.75" customHeight="1" x14ac:dyDescent="0.15">
      <c r="A20" s="4" t="s">
        <v>10</v>
      </c>
      <c r="B20" s="5" t="s">
        <v>24</v>
      </c>
      <c r="C20" s="6"/>
      <c r="D20" s="6"/>
    </row>
    <row r="21" spans="1:22" ht="12.75" customHeight="1" x14ac:dyDescent="0.15">
      <c r="A21" s="4" t="s">
        <v>12</v>
      </c>
      <c r="B21" s="5" t="s">
        <v>25</v>
      </c>
      <c r="C21" s="6"/>
      <c r="D21" s="6"/>
    </row>
    <row r="22" spans="1:22" ht="15" customHeight="1" x14ac:dyDescent="0.15">
      <c r="A22" s="4" t="s">
        <v>8</v>
      </c>
      <c r="B22" s="5" t="s">
        <v>26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2.75" customHeight="1" x14ac:dyDescent="0.15">
      <c r="A23" s="4" t="s">
        <v>8</v>
      </c>
      <c r="B23" s="5" t="s">
        <v>27</v>
      </c>
      <c r="C23" s="6"/>
      <c r="D23" s="6"/>
    </row>
    <row r="24" spans="1:22" ht="12.75" customHeight="1" x14ac:dyDescent="0.15">
      <c r="A24" s="4" t="s">
        <v>10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12</v>
      </c>
      <c r="B25" s="5" t="s">
        <v>28</v>
      </c>
      <c r="C25" s="6"/>
      <c r="D25" s="6"/>
    </row>
    <row r="26" spans="1:22" ht="12.75" customHeight="1" x14ac:dyDescent="0.15">
      <c r="A26" s="4" t="s">
        <v>2</v>
      </c>
      <c r="B26" s="5" t="s">
        <v>29</v>
      </c>
      <c r="C26" s="6"/>
      <c r="D26" s="6"/>
    </row>
    <row r="27" spans="1:22" ht="12.75" customHeight="1" x14ac:dyDescent="0.15">
      <c r="A27" s="4" t="s">
        <v>8</v>
      </c>
      <c r="B27" s="5" t="s">
        <v>30</v>
      </c>
      <c r="C27" s="6"/>
      <c r="D27" s="6"/>
    </row>
    <row r="28" spans="1:22" ht="15" customHeight="1" x14ac:dyDescent="0.15">
      <c r="A28" s="4" t="s">
        <v>8</v>
      </c>
      <c r="B28" s="5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" customHeight="1" x14ac:dyDescent="0.15">
      <c r="A29" s="4" t="s">
        <v>12</v>
      </c>
      <c r="B29" s="5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" customHeight="1" x14ac:dyDescent="0.15">
      <c r="A30" s="4" t="s">
        <v>2</v>
      </c>
      <c r="B30" s="5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" customHeight="1" x14ac:dyDescent="0.15">
      <c r="A31" s="4" t="s">
        <v>8</v>
      </c>
      <c r="B31" s="5" t="s">
        <v>34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" customHeight="1" x14ac:dyDescent="0.15">
      <c r="A32" s="4" t="s">
        <v>10</v>
      </c>
      <c r="B32" s="5" t="s">
        <v>35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" customHeight="1" x14ac:dyDescent="0.15">
      <c r="A33" s="4" t="s">
        <v>8</v>
      </c>
      <c r="B33" s="5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" customHeight="1" x14ac:dyDescent="0.15">
      <c r="A34" s="4" t="s">
        <v>10</v>
      </c>
      <c r="B34" s="5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" customHeight="1" x14ac:dyDescent="0.15">
      <c r="A35" s="4" t="s">
        <v>12</v>
      </c>
      <c r="B35" s="5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" customHeight="1" x14ac:dyDescent="0.15">
      <c r="A36" s="4" t="s">
        <v>8</v>
      </c>
      <c r="B36" s="5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" customHeight="1" x14ac:dyDescent="0.15">
      <c r="A37" s="4" t="s">
        <v>12</v>
      </c>
      <c r="B37" s="5" t="s">
        <v>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customHeight="1" x14ac:dyDescent="0.15">
      <c r="A38" s="4" t="s">
        <v>2</v>
      </c>
      <c r="B38" s="5" t="s">
        <v>39</v>
      </c>
      <c r="C38" s="6"/>
      <c r="D38" s="6"/>
    </row>
    <row r="39" spans="1:22" ht="12.75" customHeight="1" x14ac:dyDescent="0.15">
      <c r="A39" s="4" t="s">
        <v>8</v>
      </c>
      <c r="B39" s="5" t="s">
        <v>40</v>
      </c>
      <c r="C39" s="6"/>
      <c r="D39" s="6"/>
    </row>
    <row r="40" spans="1:22" ht="12.75" customHeight="1" x14ac:dyDescent="0.15">
      <c r="A40" s="4" t="s">
        <v>12</v>
      </c>
      <c r="B40" s="5" t="s">
        <v>41</v>
      </c>
      <c r="C40" s="6"/>
      <c r="D40" s="6"/>
    </row>
    <row r="41" spans="1:22" ht="12.75" customHeight="1" x14ac:dyDescent="0.15">
      <c r="A41" s="4" t="s">
        <v>8</v>
      </c>
      <c r="B41" s="5" t="s">
        <v>42</v>
      </c>
      <c r="C41" s="6"/>
      <c r="D41" s="6"/>
    </row>
    <row r="42" spans="1:22" ht="12.75" customHeight="1" x14ac:dyDescent="0.15">
      <c r="A42" s="4" t="s">
        <v>2</v>
      </c>
      <c r="B42" s="5" t="s">
        <v>43</v>
      </c>
      <c r="C42" s="6"/>
      <c r="D42" s="6"/>
    </row>
    <row r="43" spans="1:22" ht="12.75" customHeight="1" x14ac:dyDescent="0.15">
      <c r="A43" s="4" t="s">
        <v>12</v>
      </c>
      <c r="B43" s="5" t="s">
        <v>44</v>
      </c>
      <c r="C43" s="6"/>
      <c r="D43" s="6"/>
    </row>
    <row r="44" spans="1:22" ht="12.75" customHeight="1" x14ac:dyDescent="0.15">
      <c r="A44" s="4" t="s">
        <v>12</v>
      </c>
      <c r="B44" s="5" t="s">
        <v>45</v>
      </c>
      <c r="C44" s="6"/>
      <c r="D44" s="6"/>
    </row>
    <row r="45" spans="1:22" ht="12.75" customHeight="1" x14ac:dyDescent="0.15">
      <c r="A45" s="4" t="s">
        <v>8</v>
      </c>
      <c r="B45" s="5" t="s">
        <v>46</v>
      </c>
      <c r="C45" s="6"/>
      <c r="D45" s="6"/>
    </row>
    <row r="46" spans="1:22" ht="12.75" customHeight="1" x14ac:dyDescent="0.15">
      <c r="A46" s="4" t="s">
        <v>10</v>
      </c>
      <c r="B46" s="5" t="s">
        <v>47</v>
      </c>
      <c r="C46" s="6"/>
      <c r="D46" s="6"/>
    </row>
    <row r="47" spans="1:22" ht="12.75" customHeight="1" x14ac:dyDescent="0.15">
      <c r="A47" s="4" t="s">
        <v>12</v>
      </c>
      <c r="B47" s="5" t="s">
        <v>48</v>
      </c>
      <c r="C47" s="6"/>
      <c r="D47" s="6"/>
    </row>
    <row r="48" spans="1:22" ht="12.75" customHeight="1" x14ac:dyDescent="0.15">
      <c r="A48" s="4" t="s">
        <v>8</v>
      </c>
      <c r="B48" s="5" t="s">
        <v>46</v>
      </c>
      <c r="C48" s="6"/>
      <c r="D48" s="6"/>
    </row>
    <row r="49" spans="1:4" ht="12.75" customHeight="1" x14ac:dyDescent="0.15">
      <c r="A49" s="4" t="s">
        <v>10</v>
      </c>
      <c r="B49" s="5" t="s">
        <v>49</v>
      </c>
      <c r="C49" s="6"/>
      <c r="D49" s="6"/>
    </row>
    <row r="50" spans="1:4" ht="12.75" customHeight="1" x14ac:dyDescent="0.15">
      <c r="A50" s="4" t="s">
        <v>12</v>
      </c>
      <c r="B50" s="5" t="s">
        <v>50</v>
      </c>
      <c r="C50" s="6"/>
      <c r="D50" s="6"/>
    </row>
    <row r="51" spans="1:4" ht="12.75" customHeight="1" x14ac:dyDescent="0.15">
      <c r="A51" s="4" t="s">
        <v>8</v>
      </c>
      <c r="B51" s="5" t="s">
        <v>51</v>
      </c>
      <c r="C51" s="6"/>
      <c r="D51" s="6"/>
    </row>
    <row r="52" spans="1:4" ht="12.75" customHeight="1" x14ac:dyDescent="0.15">
      <c r="A52" s="4" t="s">
        <v>10</v>
      </c>
      <c r="B52" s="5" t="s">
        <v>52</v>
      </c>
      <c r="C52" s="6"/>
      <c r="D52" s="6"/>
    </row>
    <row r="53" spans="1:4" ht="12.75" customHeight="1" x14ac:dyDescent="0.15">
      <c r="A53" s="10" t="s">
        <v>12</v>
      </c>
      <c r="B53" s="11" t="s">
        <v>13</v>
      </c>
      <c r="C53" s="6"/>
      <c r="D53" s="6"/>
    </row>
    <row r="54" spans="1:4" ht="12.75" customHeight="1" x14ac:dyDescent="0.15">
      <c r="A54" s="4" t="s">
        <v>8</v>
      </c>
      <c r="B54" s="5" t="s">
        <v>53</v>
      </c>
      <c r="C54" s="6"/>
      <c r="D54" s="6"/>
    </row>
    <row r="55" spans="1:4" ht="12.75" customHeight="1" x14ac:dyDescent="0.15">
      <c r="A55" s="4" t="s">
        <v>54</v>
      </c>
      <c r="B55" s="5" t="s">
        <v>55</v>
      </c>
      <c r="C55" s="6"/>
      <c r="D55" s="6"/>
    </row>
    <row r="56" spans="1:4" ht="12.75" customHeight="1" x14ac:dyDescent="0.15">
      <c r="A56" s="4" t="s">
        <v>2</v>
      </c>
      <c r="B56" s="5" t="s">
        <v>56</v>
      </c>
      <c r="C56" s="6"/>
      <c r="D56" s="6"/>
    </row>
    <row r="57" spans="1:4" ht="12.75" customHeight="1" x14ac:dyDescent="0.15">
      <c r="A57" s="4" t="s">
        <v>12</v>
      </c>
      <c r="B57" s="5" t="s">
        <v>57</v>
      </c>
      <c r="C57" s="6"/>
      <c r="D57" s="6"/>
    </row>
    <row r="58" spans="1:4" ht="12.75" customHeight="1" x14ac:dyDescent="0.15">
      <c r="A58" s="4" t="s">
        <v>8</v>
      </c>
      <c r="B58" s="5" t="s">
        <v>58</v>
      </c>
      <c r="C58" s="6"/>
      <c r="D58" s="6"/>
    </row>
    <row r="59" spans="1:4" ht="12.75" customHeight="1" x14ac:dyDescent="0.15">
      <c r="A59" s="4" t="s">
        <v>12</v>
      </c>
      <c r="B59" s="5" t="s">
        <v>50</v>
      </c>
      <c r="C59" s="6"/>
      <c r="D59" s="6"/>
    </row>
    <row r="60" spans="1:4" ht="13.5" customHeight="1" x14ac:dyDescent="0.15">
      <c r="A60" s="12" t="s">
        <v>12</v>
      </c>
      <c r="B60" s="13" t="s">
        <v>59</v>
      </c>
    </row>
    <row r="61" spans="1:4" ht="12.75" customHeight="1" x14ac:dyDescent="0.15">
      <c r="A61" s="4" t="s">
        <v>2</v>
      </c>
      <c r="B61" s="5" t="s">
        <v>60</v>
      </c>
      <c r="C61" s="6"/>
      <c r="D61" s="6"/>
    </row>
    <row r="62" spans="1:4" ht="15" customHeight="1" x14ac:dyDescent="0.15">
      <c r="A62" s="4" t="s">
        <v>8</v>
      </c>
      <c r="B62" s="5" t="s">
        <v>61</v>
      </c>
      <c r="C62" s="6"/>
      <c r="D62" s="6"/>
    </row>
    <row r="63" spans="1:4" ht="12.75" customHeight="1" x14ac:dyDescent="0.15">
      <c r="A63" s="4" t="s">
        <v>12</v>
      </c>
      <c r="B63" s="5" t="s">
        <v>13</v>
      </c>
      <c r="C63" s="6"/>
      <c r="D63" s="6"/>
    </row>
    <row r="64" spans="1:4" ht="12.75" customHeight="1" x14ac:dyDescent="0.15">
      <c r="A64" s="4" t="s">
        <v>8</v>
      </c>
      <c r="B64" s="5" t="s">
        <v>62</v>
      </c>
      <c r="C64" s="6"/>
      <c r="D64" s="6"/>
    </row>
    <row r="65" spans="1:22" ht="12.75" customHeight="1" x14ac:dyDescent="0.15">
      <c r="A65" s="4" t="s">
        <v>8</v>
      </c>
      <c r="B65" s="5" t="s">
        <v>63</v>
      </c>
      <c r="C65" s="6"/>
      <c r="D65" s="6"/>
    </row>
    <row r="66" spans="1:22" ht="12.75" customHeight="1" x14ac:dyDescent="0.15">
      <c r="A66" s="4" t="s">
        <v>12</v>
      </c>
      <c r="B66" s="5" t="s">
        <v>64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2.75" customHeight="1" x14ac:dyDescent="0.15">
      <c r="A67" s="4" t="s">
        <v>12</v>
      </c>
      <c r="B67" s="5" t="s">
        <v>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2.75" customHeight="1" x14ac:dyDescent="0.15">
      <c r="A68" s="14" t="s">
        <v>2</v>
      </c>
      <c r="B68" s="15" t="s">
        <v>65</v>
      </c>
    </row>
    <row r="69" spans="1:22" ht="12.75" customHeight="1" x14ac:dyDescent="0.15">
      <c r="A69" s="16" t="s">
        <v>8</v>
      </c>
      <c r="B69" s="17" t="s">
        <v>65</v>
      </c>
    </row>
    <row r="70" spans="1:22" ht="12.75" customHeight="1" x14ac:dyDescent="0.15">
      <c r="A70" s="8" t="s">
        <v>10</v>
      </c>
      <c r="B70" s="9" t="s">
        <v>65</v>
      </c>
    </row>
    <row r="71" spans="1:22" ht="12.75" customHeight="1" x14ac:dyDescent="0.15">
      <c r="A71" s="16" t="s">
        <v>12</v>
      </c>
      <c r="B71" s="17" t="s">
        <v>65</v>
      </c>
    </row>
    <row r="72" spans="1:22" ht="12.75" customHeight="1" x14ac:dyDescent="0.15">
      <c r="A72" s="8" t="s">
        <v>4</v>
      </c>
      <c r="B72" s="9" t="s">
        <v>65</v>
      </c>
    </row>
    <row r="73" spans="1:22" ht="12.75" customHeight="1" x14ac:dyDescent="0.15">
      <c r="A73" s="16" t="s">
        <v>66</v>
      </c>
      <c r="B73" s="17" t="s">
        <v>65</v>
      </c>
    </row>
    <row r="74" spans="1:22" ht="12.75" customHeight="1" x14ac:dyDescent="0.15">
      <c r="A74" s="8" t="s">
        <v>54</v>
      </c>
      <c r="B74" s="9" t="s">
        <v>65</v>
      </c>
    </row>
    <row r="75" spans="1:22" ht="12.75" customHeight="1" x14ac:dyDescent="0.15">
      <c r="A75" s="18"/>
      <c r="B75" s="19"/>
    </row>
    <row r="76" spans="1:22" ht="12.75" customHeight="1" x14ac:dyDescent="0.15">
      <c r="A76" s="18"/>
      <c r="B76" s="19"/>
    </row>
    <row r="77" spans="1:22" ht="12.75" customHeight="1" x14ac:dyDescent="0.15">
      <c r="A77" s="18"/>
      <c r="B77" s="19"/>
    </row>
    <row r="78" spans="1:22" ht="12.75" customHeight="1" x14ac:dyDescent="0.15">
      <c r="A78" s="18"/>
      <c r="B78" s="19"/>
    </row>
    <row r="79" spans="1:22" ht="12.75" customHeight="1" x14ac:dyDescent="0.15">
      <c r="A79" s="18"/>
      <c r="B79" s="19"/>
    </row>
    <row r="80" spans="1:22" ht="12.75" customHeight="1" x14ac:dyDescent="0.15">
      <c r="A80" s="18"/>
      <c r="B80" s="19"/>
    </row>
    <row r="81" spans="1:2" ht="12.75" customHeight="1" x14ac:dyDescent="0.15">
      <c r="A81" s="18"/>
      <c r="B81" s="19"/>
    </row>
    <row r="82" spans="1:2" ht="12.75" customHeight="1" x14ac:dyDescent="0.15">
      <c r="A82" s="18"/>
      <c r="B82" s="19"/>
    </row>
    <row r="83" spans="1:2" ht="12.75" customHeight="1" x14ac:dyDescent="0.15">
      <c r="A83" s="18"/>
      <c r="B83" s="19"/>
    </row>
    <row r="84" spans="1:2" ht="12.75" customHeight="1" x14ac:dyDescent="0.15">
      <c r="A84" s="18"/>
      <c r="B84" s="19"/>
    </row>
    <row r="85" spans="1:2" ht="12.75" customHeight="1" x14ac:dyDescent="0.15">
      <c r="A85" s="18"/>
      <c r="B85" s="19"/>
    </row>
    <row r="86" spans="1:2" ht="12.75" customHeight="1" x14ac:dyDescent="0.15">
      <c r="A86" s="18"/>
      <c r="B86" s="19"/>
    </row>
    <row r="87" spans="1:2" ht="12.75" customHeight="1" x14ac:dyDescent="0.15">
      <c r="A87" s="18"/>
      <c r="B87" s="19"/>
    </row>
    <row r="88" spans="1:2" ht="12.75" customHeight="1" x14ac:dyDescent="0.15">
      <c r="A88" s="18"/>
      <c r="B88" s="19"/>
    </row>
    <row r="89" spans="1:2" ht="12.75" customHeight="1" x14ac:dyDescent="0.15">
      <c r="A89" s="18"/>
      <c r="B89" s="19"/>
    </row>
    <row r="90" spans="1:2" ht="12.75" customHeight="1" x14ac:dyDescent="0.15">
      <c r="A90" s="18"/>
      <c r="B90" s="19"/>
    </row>
    <row r="91" spans="1:2" ht="12.75" customHeight="1" x14ac:dyDescent="0.15">
      <c r="A91" s="18"/>
      <c r="B91" s="19"/>
    </row>
    <row r="92" spans="1:2" ht="12.75" customHeight="1" x14ac:dyDescent="0.15">
      <c r="A92" s="18"/>
      <c r="B92" s="19"/>
    </row>
    <row r="93" spans="1:2" ht="12.75" customHeight="1" x14ac:dyDescent="0.15">
      <c r="A93" s="18"/>
      <c r="B93" s="19"/>
    </row>
    <row r="94" spans="1:2" ht="12.75" customHeight="1" x14ac:dyDescent="0.15">
      <c r="A94" s="18"/>
      <c r="B94" s="19"/>
    </row>
    <row r="95" spans="1:2" ht="12.75" customHeight="1" x14ac:dyDescent="0.15">
      <c r="A95" s="18"/>
      <c r="B95" s="19"/>
    </row>
    <row r="96" spans="1:2" ht="12.75" customHeight="1" x14ac:dyDescent="0.15">
      <c r="A96" s="18"/>
      <c r="B96" s="19"/>
    </row>
    <row r="97" spans="1:2" ht="12.75" customHeight="1" x14ac:dyDescent="0.15">
      <c r="A97" s="18"/>
      <c r="B97" s="19"/>
    </row>
    <row r="98" spans="1:2" ht="12.75" customHeight="1" x14ac:dyDescent="0.15">
      <c r="A98" s="18"/>
      <c r="B98" s="19"/>
    </row>
    <row r="99" spans="1:2" ht="12.75" customHeight="1" x14ac:dyDescent="0.15">
      <c r="A99" s="18"/>
      <c r="B99" s="19"/>
    </row>
    <row r="100" spans="1:2" ht="12.75" customHeight="1" x14ac:dyDescent="0.15">
      <c r="A100" s="18"/>
      <c r="B100" s="19"/>
    </row>
    <row r="101" spans="1:2" ht="12.75" customHeight="1" x14ac:dyDescent="0.15">
      <c r="A101" s="18"/>
      <c r="B101" s="19"/>
    </row>
    <row r="102" spans="1:2" ht="12.75" customHeight="1" x14ac:dyDescent="0.15">
      <c r="A102" s="18"/>
      <c r="B102" s="19"/>
    </row>
    <row r="103" spans="1:2" ht="12.75" customHeight="1" x14ac:dyDescent="0.15">
      <c r="A103" s="18"/>
      <c r="B103" s="19"/>
    </row>
    <row r="104" spans="1:2" ht="12.75" customHeight="1" x14ac:dyDescent="0.15">
      <c r="A104" s="18"/>
      <c r="B104" s="19"/>
    </row>
    <row r="105" spans="1:2" ht="12.75" customHeight="1" x14ac:dyDescent="0.15">
      <c r="A105" s="18"/>
      <c r="B105" s="19"/>
    </row>
    <row r="106" spans="1:2" ht="12.75" customHeight="1" x14ac:dyDescent="0.15">
      <c r="A106" s="18"/>
      <c r="B106" s="19"/>
    </row>
    <row r="107" spans="1:2" ht="12.75" customHeight="1" x14ac:dyDescent="0.15">
      <c r="A107" s="18"/>
      <c r="B107" s="19"/>
    </row>
    <row r="108" spans="1:2" ht="12.75" customHeight="1" x14ac:dyDescent="0.15">
      <c r="A108" s="18"/>
      <c r="B108" s="19"/>
    </row>
    <row r="109" spans="1:2" ht="12.75" customHeight="1" x14ac:dyDescent="0.15">
      <c r="A109" s="18"/>
      <c r="B109" s="19"/>
    </row>
    <row r="110" spans="1:2" ht="12.75" customHeight="1" x14ac:dyDescent="0.15">
      <c r="A110" s="18"/>
      <c r="B110" s="19"/>
    </row>
    <row r="111" spans="1:2" ht="12.75" customHeight="1" x14ac:dyDescent="0.15">
      <c r="A111" s="18"/>
      <c r="B111" s="19"/>
    </row>
    <row r="112" spans="1:2" ht="12.75" customHeight="1" x14ac:dyDescent="0.15">
      <c r="A112" s="18"/>
      <c r="B112" s="19"/>
    </row>
    <row r="113" spans="1:2" ht="12.75" customHeight="1" x14ac:dyDescent="0.15">
      <c r="A113" s="18"/>
      <c r="B113" s="19"/>
    </row>
    <row r="114" spans="1:2" ht="12.75" customHeight="1" x14ac:dyDescent="0.15">
      <c r="A114" s="18"/>
      <c r="B114" s="19"/>
    </row>
    <row r="115" spans="1:2" ht="12.75" customHeight="1" x14ac:dyDescent="0.15">
      <c r="A115" s="18"/>
      <c r="B115" s="19"/>
    </row>
    <row r="116" spans="1:2" ht="12.75" customHeight="1" x14ac:dyDescent="0.15">
      <c r="A116" s="18"/>
      <c r="B116" s="19"/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20"/>
      <c r="B994" s="21"/>
    </row>
    <row r="995" spans="1:2" ht="12.75" customHeight="1" x14ac:dyDescent="0.15">
      <c r="A995" s="20"/>
      <c r="B995" s="21"/>
    </row>
    <row r="996" spans="1:2" ht="12.75" customHeight="1" x14ac:dyDescent="0.15">
      <c r="A996" s="20"/>
      <c r="B996" s="21"/>
    </row>
    <row r="997" spans="1:2" ht="12.75" customHeight="1" x14ac:dyDescent="0.15">
      <c r="A997" s="20"/>
      <c r="B997" s="21"/>
    </row>
    <row r="998" spans="1:2" ht="12.75" customHeight="1" x14ac:dyDescent="0.15">
      <c r="A998" s="20"/>
      <c r="B998" s="21"/>
    </row>
    <row r="999" spans="1:2" ht="12.75" customHeight="1" x14ac:dyDescent="0.15">
      <c r="A999" s="20"/>
      <c r="B999" s="21"/>
    </row>
    <row r="1000" spans="1:2" ht="12.75" customHeight="1" x14ac:dyDescent="0.15">
      <c r="A1000" s="20"/>
      <c r="B1000" s="21"/>
    </row>
    <row r="1001" spans="1:2" ht="12.75" customHeight="1" x14ac:dyDescent="0.15">
      <c r="A1001" s="20"/>
      <c r="B1001" s="21"/>
    </row>
    <row r="1002" spans="1:2" ht="12.75" customHeight="1" x14ac:dyDescent="0.15">
      <c r="A1002" s="20"/>
      <c r="B1002" s="21"/>
    </row>
    <row r="1003" spans="1:2" ht="12.75" customHeight="1" x14ac:dyDescent="0.15">
      <c r="A1003" s="20"/>
      <c r="B1003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5.33203125" bestFit="1" customWidth="1"/>
    <col min="4" max="4" width="106.5" bestFit="1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67</v>
      </c>
      <c r="D1" s="23" t="s">
        <v>68</v>
      </c>
      <c r="E1" s="3"/>
      <c r="F1" s="3"/>
    </row>
    <row r="2" spans="1:6" ht="12.75" customHeight="1" x14ac:dyDescent="0.15">
      <c r="A2" s="10" t="s">
        <v>2</v>
      </c>
      <c r="B2" s="11" t="s">
        <v>3</v>
      </c>
      <c r="C2" s="24">
        <v>1</v>
      </c>
      <c r="D2" s="25" t="s">
        <v>193</v>
      </c>
      <c r="E2" s="6"/>
      <c r="F2" s="6"/>
    </row>
    <row r="3" spans="1:6" ht="16.5" customHeight="1" x14ac:dyDescent="0.15">
      <c r="A3" s="10" t="s">
        <v>4</v>
      </c>
      <c r="B3" s="26" t="s">
        <v>5</v>
      </c>
      <c r="C3" s="27">
        <v>1</v>
      </c>
      <c r="D3" s="28" t="s">
        <v>194</v>
      </c>
      <c r="E3" s="6"/>
      <c r="F3" s="6"/>
    </row>
    <row r="4" spans="1:6" ht="12.75" customHeight="1" x14ac:dyDescent="0.15">
      <c r="A4" s="10" t="s">
        <v>2</v>
      </c>
      <c r="B4" s="11" t="s">
        <v>6</v>
      </c>
      <c r="C4" s="24">
        <v>1</v>
      </c>
      <c r="D4" s="25" t="s">
        <v>195</v>
      </c>
      <c r="E4" s="6"/>
      <c r="F4" s="6"/>
    </row>
    <row r="5" spans="1:6" ht="12.75" customHeight="1" x14ac:dyDescent="0.15">
      <c r="A5" s="10" t="s">
        <v>2</v>
      </c>
      <c r="B5" s="11" t="s">
        <v>7</v>
      </c>
      <c r="C5" s="29">
        <v>1</v>
      </c>
      <c r="D5" s="28" t="s">
        <v>196</v>
      </c>
      <c r="E5" s="6"/>
      <c r="F5" s="6"/>
    </row>
    <row r="6" spans="1:6" ht="12.75" customHeight="1" x14ac:dyDescent="0.15">
      <c r="A6" s="10" t="s">
        <v>8</v>
      </c>
      <c r="B6" s="11" t="s">
        <v>9</v>
      </c>
      <c r="C6" s="24">
        <v>1</v>
      </c>
      <c r="D6" s="25" t="s">
        <v>197</v>
      </c>
      <c r="E6" s="6"/>
      <c r="F6" s="6"/>
    </row>
    <row r="7" spans="1:6" ht="12.75" customHeight="1" x14ac:dyDescent="0.15">
      <c r="A7" s="10" t="s">
        <v>10</v>
      </c>
      <c r="B7" s="11" t="s">
        <v>11</v>
      </c>
      <c r="C7" s="29">
        <v>1</v>
      </c>
      <c r="D7" s="28" t="s">
        <v>198</v>
      </c>
      <c r="E7" s="6"/>
      <c r="F7" s="6"/>
    </row>
    <row r="8" spans="1:6" ht="12.75" customHeight="1" x14ac:dyDescent="0.15">
      <c r="A8" s="10" t="s">
        <v>12</v>
      </c>
      <c r="B8" s="11" t="s">
        <v>13</v>
      </c>
      <c r="C8" s="24">
        <v>1</v>
      </c>
      <c r="D8" s="25" t="s">
        <v>199</v>
      </c>
      <c r="E8" s="6"/>
      <c r="F8" s="6"/>
    </row>
    <row r="9" spans="1:6" ht="12.75" customHeight="1" x14ac:dyDescent="0.15">
      <c r="A9" s="10" t="s">
        <v>8</v>
      </c>
      <c r="B9" s="11" t="s">
        <v>14</v>
      </c>
      <c r="C9" s="29">
        <v>1</v>
      </c>
      <c r="D9" s="28" t="s">
        <v>200</v>
      </c>
      <c r="E9" s="6"/>
      <c r="F9" s="6"/>
    </row>
    <row r="10" spans="1:6" ht="12.75" customHeight="1" x14ac:dyDescent="0.15">
      <c r="A10" s="10" t="s">
        <v>10</v>
      </c>
      <c r="B10" s="11" t="s">
        <v>15</v>
      </c>
      <c r="C10" s="24">
        <v>1</v>
      </c>
      <c r="D10" s="25" t="s">
        <v>201</v>
      </c>
      <c r="E10" s="6"/>
      <c r="F10" s="6"/>
    </row>
    <row r="11" spans="1:6" ht="12.75" customHeight="1" x14ac:dyDescent="0.15">
      <c r="A11" s="10" t="s">
        <v>12</v>
      </c>
      <c r="B11" s="11" t="s">
        <v>13</v>
      </c>
      <c r="C11" s="29">
        <v>1</v>
      </c>
      <c r="D11" s="28" t="s">
        <v>199</v>
      </c>
      <c r="E11" s="6"/>
      <c r="F11" s="6"/>
    </row>
    <row r="12" spans="1:6" ht="12.75" customHeight="1" x14ac:dyDescent="0.15">
      <c r="A12" s="10" t="s">
        <v>8</v>
      </c>
      <c r="B12" s="11" t="s">
        <v>16</v>
      </c>
      <c r="C12" s="24">
        <v>1</v>
      </c>
      <c r="D12" s="25" t="s">
        <v>202</v>
      </c>
      <c r="E12" s="6"/>
      <c r="F12" s="6"/>
    </row>
    <row r="13" spans="1:6" ht="12.75" customHeight="1" x14ac:dyDescent="0.15">
      <c r="A13" s="10" t="s">
        <v>10</v>
      </c>
      <c r="B13" s="11" t="s">
        <v>17</v>
      </c>
      <c r="C13" s="29">
        <v>1</v>
      </c>
      <c r="D13" s="28" t="s">
        <v>203</v>
      </c>
      <c r="E13" s="6"/>
      <c r="F13" s="6"/>
    </row>
    <row r="14" spans="1:6" ht="12.75" customHeight="1" x14ac:dyDescent="0.15">
      <c r="A14" s="10" t="s">
        <v>8</v>
      </c>
      <c r="B14" s="11" t="s">
        <v>18</v>
      </c>
      <c r="C14" s="24">
        <v>1</v>
      </c>
      <c r="D14" s="25" t="s">
        <v>204</v>
      </c>
      <c r="E14" s="6"/>
      <c r="F14" s="6"/>
    </row>
    <row r="15" spans="1:6" ht="12.75" customHeight="1" x14ac:dyDescent="0.15">
      <c r="A15" s="10" t="s">
        <v>10</v>
      </c>
      <c r="B15" s="11" t="s">
        <v>19</v>
      </c>
      <c r="C15" s="29">
        <v>1</v>
      </c>
      <c r="D15" s="28" t="s">
        <v>205</v>
      </c>
      <c r="E15" s="6"/>
      <c r="F15" s="6"/>
    </row>
    <row r="16" spans="1:6" ht="12.75" customHeight="1" x14ac:dyDescent="0.15">
      <c r="A16" s="10" t="s">
        <v>12</v>
      </c>
      <c r="B16" s="11" t="s">
        <v>20</v>
      </c>
      <c r="C16" s="24">
        <v>1</v>
      </c>
      <c r="D16" s="24" t="s">
        <v>206</v>
      </c>
      <c r="E16" s="6"/>
      <c r="F16" s="6"/>
    </row>
    <row r="17" spans="1:24" ht="15" customHeight="1" x14ac:dyDescent="0.15">
      <c r="A17" s="10" t="s">
        <v>8</v>
      </c>
      <c r="B17" s="11" t="s">
        <v>21</v>
      </c>
      <c r="C17" s="29">
        <v>1</v>
      </c>
      <c r="D17" s="29" t="s">
        <v>207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12</v>
      </c>
      <c r="B18" s="11" t="s">
        <v>22</v>
      </c>
      <c r="C18" s="24">
        <v>1</v>
      </c>
      <c r="D18" s="25" t="s">
        <v>208</v>
      </c>
      <c r="E18" s="6"/>
      <c r="F18" s="6"/>
    </row>
    <row r="19" spans="1:24" ht="12.75" customHeight="1" x14ac:dyDescent="0.15">
      <c r="A19" s="10" t="s">
        <v>8</v>
      </c>
      <c r="B19" s="11" t="s">
        <v>23</v>
      </c>
      <c r="C19" s="29">
        <v>1</v>
      </c>
      <c r="D19" s="28" t="s">
        <v>209</v>
      </c>
      <c r="E19" s="6"/>
      <c r="F19" s="6"/>
    </row>
    <row r="20" spans="1:24" ht="12.75" customHeight="1" x14ac:dyDescent="0.15">
      <c r="A20" s="10" t="s">
        <v>10</v>
      </c>
      <c r="B20" s="11" t="s">
        <v>24</v>
      </c>
      <c r="C20" s="24">
        <v>1</v>
      </c>
      <c r="D20" s="25" t="s">
        <v>210</v>
      </c>
      <c r="E20" s="6"/>
      <c r="F20" s="6"/>
    </row>
    <row r="21" spans="1:24" ht="12.75" customHeight="1" x14ac:dyDescent="0.15">
      <c r="A21" s="10" t="s">
        <v>12</v>
      </c>
      <c r="B21" s="11" t="s">
        <v>25</v>
      </c>
      <c r="C21" s="29">
        <v>1</v>
      </c>
      <c r="D21" s="28" t="s">
        <v>211</v>
      </c>
      <c r="E21" s="6"/>
      <c r="F21" s="6"/>
    </row>
    <row r="22" spans="1:24" ht="12.75" customHeight="1" x14ac:dyDescent="0.15">
      <c r="A22" s="30" t="s">
        <v>8</v>
      </c>
      <c r="B22" s="24" t="s">
        <v>26</v>
      </c>
      <c r="C22" s="24">
        <v>1</v>
      </c>
      <c r="D22" s="24" t="s">
        <v>212</v>
      </c>
      <c r="E22" s="6"/>
      <c r="F22" s="6"/>
    </row>
    <row r="23" spans="1:24" ht="12.75" customHeight="1" x14ac:dyDescent="0.15">
      <c r="A23" s="10" t="s">
        <v>8</v>
      </c>
      <c r="B23" s="11" t="s">
        <v>27</v>
      </c>
      <c r="C23" s="29">
        <v>1</v>
      </c>
      <c r="D23" s="28" t="s">
        <v>213</v>
      </c>
      <c r="E23" s="6"/>
      <c r="F23" s="6"/>
    </row>
    <row r="24" spans="1:24" ht="12.75" customHeight="1" x14ac:dyDescent="0.15">
      <c r="A24" s="10" t="s">
        <v>10</v>
      </c>
      <c r="B24" s="11" t="s">
        <v>24</v>
      </c>
      <c r="C24" s="24">
        <v>1</v>
      </c>
      <c r="D24" s="25" t="s">
        <v>210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12</v>
      </c>
      <c r="B25" s="11" t="s">
        <v>28</v>
      </c>
      <c r="C25" s="29">
        <v>1</v>
      </c>
      <c r="D25" s="28" t="s">
        <v>214</v>
      </c>
      <c r="E25" s="6"/>
      <c r="F25" s="6"/>
    </row>
    <row r="26" spans="1:24" ht="12.75" customHeight="1" x14ac:dyDescent="0.15">
      <c r="A26" s="10" t="s">
        <v>2</v>
      </c>
      <c r="B26" s="11" t="s">
        <v>29</v>
      </c>
      <c r="C26" s="24">
        <v>1</v>
      </c>
      <c r="D26" s="25" t="s">
        <v>215</v>
      </c>
      <c r="E26" s="6"/>
      <c r="F26" s="6"/>
    </row>
    <row r="27" spans="1:24" ht="15" customHeight="1" x14ac:dyDescent="0.15">
      <c r="A27" s="10" t="s">
        <v>8</v>
      </c>
      <c r="B27" s="11" t="s">
        <v>30</v>
      </c>
      <c r="C27" s="29">
        <v>1</v>
      </c>
      <c r="D27" s="28" t="s">
        <v>216</v>
      </c>
      <c r="E27" s="6"/>
      <c r="F27" s="6"/>
    </row>
    <row r="28" spans="1:24" ht="12.75" customHeight="1" x14ac:dyDescent="0.15">
      <c r="A28" s="10" t="s">
        <v>8</v>
      </c>
      <c r="B28" s="11" t="s">
        <v>31</v>
      </c>
      <c r="C28" s="24">
        <v>1</v>
      </c>
      <c r="D28" s="24" t="s">
        <v>217</v>
      </c>
      <c r="E28" s="6"/>
      <c r="F28" s="6"/>
    </row>
    <row r="29" spans="1:24" ht="12.75" customHeight="1" x14ac:dyDescent="0.15">
      <c r="A29" s="10" t="s">
        <v>12</v>
      </c>
      <c r="B29" s="11" t="s">
        <v>32</v>
      </c>
      <c r="C29" s="29">
        <v>1</v>
      </c>
      <c r="D29" s="28" t="s">
        <v>218</v>
      </c>
      <c r="E29" s="6"/>
      <c r="F29" s="6"/>
    </row>
    <row r="30" spans="1:24" ht="12.75" customHeight="1" x14ac:dyDescent="0.15">
      <c r="A30" s="10" t="s">
        <v>2</v>
      </c>
      <c r="B30" s="11" t="s">
        <v>33</v>
      </c>
      <c r="C30" s="24">
        <v>1</v>
      </c>
      <c r="D30" s="24" t="s">
        <v>219</v>
      </c>
      <c r="E30" s="6"/>
      <c r="F30" s="6"/>
    </row>
    <row r="31" spans="1:24" ht="12.75" customHeight="1" x14ac:dyDescent="0.15">
      <c r="A31" s="10" t="s">
        <v>8</v>
      </c>
      <c r="B31" s="11" t="s">
        <v>34</v>
      </c>
      <c r="C31" s="29">
        <v>1</v>
      </c>
      <c r="D31" s="28" t="s">
        <v>220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10</v>
      </c>
      <c r="B32" s="11" t="s">
        <v>35</v>
      </c>
      <c r="C32" s="24">
        <v>1</v>
      </c>
      <c r="D32" s="24" t="s">
        <v>221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8</v>
      </c>
      <c r="B33" s="11" t="s">
        <v>36</v>
      </c>
      <c r="C33" s="29">
        <v>1</v>
      </c>
      <c r="D33" s="29" t="s">
        <v>222</v>
      </c>
      <c r="E33" s="6"/>
      <c r="F33" s="6"/>
    </row>
    <row r="34" spans="1:24" ht="12.75" customHeight="1" x14ac:dyDescent="0.15">
      <c r="A34" s="10" t="s">
        <v>10</v>
      </c>
      <c r="B34" s="11" t="s">
        <v>37</v>
      </c>
      <c r="C34" s="24">
        <v>1</v>
      </c>
      <c r="D34" s="24" t="s">
        <v>223</v>
      </c>
      <c r="E34" s="6"/>
      <c r="F34" s="6"/>
    </row>
    <row r="35" spans="1:24" ht="12.75" customHeight="1" x14ac:dyDescent="0.15">
      <c r="A35" s="10" t="s">
        <v>12</v>
      </c>
      <c r="B35" s="11" t="s">
        <v>25</v>
      </c>
      <c r="C35" s="29">
        <v>1</v>
      </c>
      <c r="D35" s="28" t="s">
        <v>211</v>
      </c>
      <c r="E35" s="6"/>
      <c r="F35" s="6"/>
    </row>
    <row r="36" spans="1:24" ht="12.75" customHeight="1" x14ac:dyDescent="0.15">
      <c r="A36" s="10" t="s">
        <v>8</v>
      </c>
      <c r="B36" s="11" t="s">
        <v>38</v>
      </c>
      <c r="C36" s="24">
        <v>1</v>
      </c>
      <c r="D36" s="24" t="s">
        <v>224</v>
      </c>
      <c r="E36" s="6"/>
      <c r="F36" s="6"/>
    </row>
    <row r="37" spans="1:24" ht="12.75" customHeight="1" x14ac:dyDescent="0.15">
      <c r="A37" s="10" t="s">
        <v>12</v>
      </c>
      <c r="B37" s="11" t="s">
        <v>22</v>
      </c>
      <c r="C37" s="29">
        <v>1</v>
      </c>
      <c r="D37" s="28" t="s">
        <v>208</v>
      </c>
      <c r="E37" s="6"/>
      <c r="F37" s="6"/>
    </row>
    <row r="38" spans="1:24" ht="12.75" customHeight="1" x14ac:dyDescent="0.15">
      <c r="A38" s="10" t="s">
        <v>2</v>
      </c>
      <c r="B38" s="11" t="s">
        <v>39</v>
      </c>
      <c r="C38" s="24">
        <v>1</v>
      </c>
      <c r="D38" s="25" t="s">
        <v>103</v>
      </c>
      <c r="E38" s="6"/>
      <c r="F38" s="6"/>
    </row>
    <row r="39" spans="1:24" ht="15" customHeight="1" x14ac:dyDescent="0.15">
      <c r="A39" s="10" t="s">
        <v>8</v>
      </c>
      <c r="B39" s="11" t="s">
        <v>40</v>
      </c>
      <c r="C39" s="29">
        <v>1</v>
      </c>
      <c r="D39" s="28" t="s">
        <v>225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12</v>
      </c>
      <c r="B40" s="11" t="s">
        <v>41</v>
      </c>
      <c r="C40" s="24">
        <v>1</v>
      </c>
      <c r="D40" s="25" t="s">
        <v>226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8</v>
      </c>
      <c r="B41" s="11" t="s">
        <v>42</v>
      </c>
      <c r="C41" s="29">
        <v>1</v>
      </c>
      <c r="D41" s="28" t="s">
        <v>227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2</v>
      </c>
      <c r="B42" s="11" t="s">
        <v>43</v>
      </c>
      <c r="C42" s="24">
        <v>1</v>
      </c>
      <c r="D42" s="25" t="s">
        <v>228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12</v>
      </c>
      <c r="B43" s="11" t="s">
        <v>44</v>
      </c>
      <c r="C43" s="29">
        <v>1</v>
      </c>
      <c r="D43" s="29" t="s">
        <v>229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12</v>
      </c>
      <c r="B44" s="11" t="s">
        <v>45</v>
      </c>
      <c r="C44" s="24">
        <v>1</v>
      </c>
      <c r="D44" s="24" t="s">
        <v>230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8</v>
      </c>
      <c r="B45" s="11" t="s">
        <v>46</v>
      </c>
      <c r="C45" s="29">
        <v>1</v>
      </c>
      <c r="D45" s="28" t="s">
        <v>231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10</v>
      </c>
      <c r="B46" s="11" t="s">
        <v>47</v>
      </c>
      <c r="C46" s="24">
        <v>1</v>
      </c>
      <c r="D46" s="25" t="s">
        <v>232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12</v>
      </c>
      <c r="B47" s="11" t="s">
        <v>48</v>
      </c>
      <c r="C47" s="29">
        <v>1</v>
      </c>
      <c r="D47" s="28" t="s">
        <v>233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8</v>
      </c>
      <c r="B48" s="11" t="s">
        <v>46</v>
      </c>
      <c r="C48" s="24">
        <v>1</v>
      </c>
      <c r="D48" s="25" t="s">
        <v>234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10</v>
      </c>
      <c r="B49" s="11" t="s">
        <v>49</v>
      </c>
      <c r="C49" s="29">
        <v>1</v>
      </c>
      <c r="D49" s="28" t="s">
        <v>235</v>
      </c>
      <c r="E49" s="6"/>
      <c r="F49" s="6"/>
    </row>
    <row r="50" spans="1:6" ht="12.75" customHeight="1" x14ac:dyDescent="0.15">
      <c r="A50" s="10" t="s">
        <v>12</v>
      </c>
      <c r="B50" s="11" t="s">
        <v>50</v>
      </c>
      <c r="C50" s="24">
        <v>1</v>
      </c>
      <c r="D50" s="25" t="s">
        <v>236</v>
      </c>
      <c r="E50" s="6"/>
      <c r="F50" s="6"/>
    </row>
    <row r="51" spans="1:6" ht="12.75" customHeight="1" x14ac:dyDescent="0.15">
      <c r="A51" s="10" t="s">
        <v>8</v>
      </c>
      <c r="B51" s="11" t="s">
        <v>51</v>
      </c>
      <c r="C51" s="29">
        <v>1</v>
      </c>
      <c r="D51" s="28" t="s">
        <v>237</v>
      </c>
      <c r="E51" s="6"/>
      <c r="F51" s="6"/>
    </row>
    <row r="52" spans="1:6" ht="12.75" customHeight="1" x14ac:dyDescent="0.15">
      <c r="A52" s="10" t="s">
        <v>10</v>
      </c>
      <c r="B52" s="11" t="s">
        <v>52</v>
      </c>
      <c r="C52" s="24">
        <v>1</v>
      </c>
      <c r="D52" s="25" t="s">
        <v>238</v>
      </c>
      <c r="E52" s="6"/>
      <c r="F52" s="6"/>
    </row>
    <row r="53" spans="1:6" ht="12.75" customHeight="1" x14ac:dyDescent="0.15">
      <c r="A53" s="10" t="s">
        <v>12</v>
      </c>
      <c r="B53" s="11" t="s">
        <v>13</v>
      </c>
      <c r="C53" s="29">
        <v>1</v>
      </c>
      <c r="D53" s="28" t="s">
        <v>239</v>
      </c>
      <c r="E53" s="6"/>
      <c r="F53" s="6"/>
    </row>
    <row r="54" spans="1:6" ht="12.75" customHeight="1" x14ac:dyDescent="0.15">
      <c r="A54" s="10" t="s">
        <v>8</v>
      </c>
      <c r="B54" s="11" t="s">
        <v>53</v>
      </c>
      <c r="C54" s="24">
        <v>1</v>
      </c>
      <c r="D54" s="25" t="s">
        <v>240</v>
      </c>
      <c r="E54" s="6"/>
      <c r="F54" s="6"/>
    </row>
    <row r="55" spans="1:6" ht="12.75" customHeight="1" x14ac:dyDescent="0.15">
      <c r="A55" s="10" t="s">
        <v>54</v>
      </c>
      <c r="B55" s="11" t="s">
        <v>55</v>
      </c>
      <c r="C55" s="29">
        <v>1</v>
      </c>
      <c r="D55" s="28" t="s">
        <v>241</v>
      </c>
      <c r="E55" s="6"/>
      <c r="F55" s="6"/>
    </row>
    <row r="56" spans="1:6" ht="12.75" customHeight="1" x14ac:dyDescent="0.15">
      <c r="A56" s="10" t="s">
        <v>2</v>
      </c>
      <c r="B56" s="11" t="s">
        <v>56</v>
      </c>
      <c r="C56" s="24">
        <v>1</v>
      </c>
      <c r="D56" s="25" t="s">
        <v>121</v>
      </c>
      <c r="E56" s="6"/>
      <c r="F56" s="6"/>
    </row>
    <row r="57" spans="1:6" ht="12.75" customHeight="1" x14ac:dyDescent="0.15">
      <c r="A57" s="10" t="s">
        <v>12</v>
      </c>
      <c r="B57" s="11" t="s">
        <v>57</v>
      </c>
      <c r="C57" s="29">
        <v>1</v>
      </c>
      <c r="D57" s="28" t="s">
        <v>242</v>
      </c>
      <c r="E57" s="6"/>
      <c r="F57" s="6"/>
    </row>
    <row r="58" spans="1:6" ht="12.75" customHeight="1" x14ac:dyDescent="0.15">
      <c r="A58" s="10" t="s">
        <v>8</v>
      </c>
      <c r="B58" s="11" t="s">
        <v>58</v>
      </c>
      <c r="C58" s="24">
        <v>1</v>
      </c>
      <c r="D58" s="25" t="s">
        <v>243</v>
      </c>
      <c r="E58" s="6"/>
      <c r="F58" s="6"/>
    </row>
    <row r="59" spans="1:6" ht="12.75" customHeight="1" x14ac:dyDescent="0.15">
      <c r="A59" s="10" t="s">
        <v>12</v>
      </c>
      <c r="B59" s="11" t="s">
        <v>50</v>
      </c>
      <c r="C59" s="29">
        <v>1</v>
      </c>
      <c r="D59" s="28" t="s">
        <v>244</v>
      </c>
      <c r="E59" s="6"/>
      <c r="F59" s="6"/>
    </row>
    <row r="60" spans="1:6" ht="12.75" customHeight="1" x14ac:dyDescent="0.15">
      <c r="A60" s="10" t="s">
        <v>12</v>
      </c>
      <c r="B60" s="11" t="s">
        <v>59</v>
      </c>
      <c r="C60" s="24">
        <v>1</v>
      </c>
      <c r="D60" s="25" t="s">
        <v>245</v>
      </c>
      <c r="E60" s="6"/>
      <c r="F60" s="6"/>
    </row>
    <row r="61" spans="1:6" ht="12.75" customHeight="1" x14ac:dyDescent="0.15">
      <c r="A61" s="10" t="s">
        <v>2</v>
      </c>
      <c r="B61" s="11" t="s">
        <v>60</v>
      </c>
      <c r="C61" s="29">
        <v>1</v>
      </c>
      <c r="D61" s="28" t="s">
        <v>246</v>
      </c>
      <c r="E61" s="6"/>
      <c r="F61" s="6"/>
    </row>
    <row r="62" spans="1:6" ht="12.75" customHeight="1" x14ac:dyDescent="0.15">
      <c r="A62" s="10" t="s">
        <v>8</v>
      </c>
      <c r="B62" s="11" t="s">
        <v>61</v>
      </c>
      <c r="C62" s="24">
        <v>1</v>
      </c>
      <c r="D62" s="25" t="s">
        <v>247</v>
      </c>
      <c r="E62" s="6"/>
      <c r="F62" s="6"/>
    </row>
    <row r="63" spans="1:6" ht="12.75" customHeight="1" x14ac:dyDescent="0.15">
      <c r="A63" s="10" t="s">
        <v>12</v>
      </c>
      <c r="B63" s="11" t="s">
        <v>13</v>
      </c>
      <c r="C63" s="29">
        <v>1</v>
      </c>
      <c r="D63" s="28" t="s">
        <v>248</v>
      </c>
      <c r="E63" s="6"/>
      <c r="F63" s="6"/>
    </row>
    <row r="64" spans="1:6" ht="12.75" customHeight="1" x14ac:dyDescent="0.15">
      <c r="A64" s="10" t="s">
        <v>8</v>
      </c>
      <c r="B64" s="11" t="s">
        <v>62</v>
      </c>
      <c r="C64" s="24">
        <v>1</v>
      </c>
      <c r="D64" s="25" t="s">
        <v>249</v>
      </c>
      <c r="E64" s="6"/>
      <c r="F64" s="6"/>
    </row>
    <row r="65" spans="1:6" ht="12.75" customHeight="1" x14ac:dyDescent="0.15">
      <c r="A65" s="10" t="s">
        <v>8</v>
      </c>
      <c r="B65" s="11" t="s">
        <v>63</v>
      </c>
      <c r="C65" s="29">
        <v>1</v>
      </c>
      <c r="D65" s="28" t="s">
        <v>250</v>
      </c>
      <c r="E65" s="6"/>
      <c r="F65" s="6"/>
    </row>
    <row r="66" spans="1:6" ht="12.75" customHeight="1" x14ac:dyDescent="0.15">
      <c r="A66" s="10" t="s">
        <v>12</v>
      </c>
      <c r="B66" s="11" t="s">
        <v>64</v>
      </c>
      <c r="C66" s="24">
        <v>1</v>
      </c>
      <c r="D66" s="25" t="s">
        <v>251</v>
      </c>
      <c r="E66" s="6"/>
      <c r="F66" s="6"/>
    </row>
    <row r="67" spans="1:6" ht="12.75" customHeight="1" x14ac:dyDescent="0.15">
      <c r="A67" s="10" t="s">
        <v>12</v>
      </c>
      <c r="B67" s="11" t="s">
        <v>59</v>
      </c>
      <c r="C67" s="29">
        <v>1</v>
      </c>
      <c r="D67" s="28" t="s">
        <v>252</v>
      </c>
      <c r="E67" s="6"/>
      <c r="F67" s="6"/>
    </row>
    <row r="68" spans="1:6" ht="12.75" customHeight="1" x14ac:dyDescent="0.15">
      <c r="A68" s="31" t="s">
        <v>2</v>
      </c>
      <c r="B68" s="32" t="s">
        <v>65</v>
      </c>
      <c r="C68" s="32">
        <v>0</v>
      </c>
      <c r="D68" s="33" t="s">
        <v>253</v>
      </c>
    </row>
    <row r="69" spans="1:6" ht="12.75" customHeight="1" x14ac:dyDescent="0.15">
      <c r="A69" s="34" t="s">
        <v>8</v>
      </c>
      <c r="B69" s="29" t="s">
        <v>65</v>
      </c>
      <c r="C69" s="29">
        <v>0</v>
      </c>
      <c r="D69" s="28" t="s">
        <v>254</v>
      </c>
    </row>
    <row r="70" spans="1:6" ht="12.75" customHeight="1" x14ac:dyDescent="0.15">
      <c r="A70" s="30" t="s">
        <v>10</v>
      </c>
      <c r="B70" s="24" t="s">
        <v>65</v>
      </c>
      <c r="C70" s="24">
        <v>0</v>
      </c>
      <c r="D70" s="25" t="s">
        <v>255</v>
      </c>
    </row>
    <row r="71" spans="1:6" ht="12.75" customHeight="1" x14ac:dyDescent="0.15">
      <c r="A71" s="34" t="s">
        <v>12</v>
      </c>
      <c r="B71" s="29" t="s">
        <v>65</v>
      </c>
      <c r="C71" s="29">
        <v>0</v>
      </c>
      <c r="D71" s="28" t="s">
        <v>256</v>
      </c>
    </row>
    <row r="72" spans="1:6" ht="12.75" customHeight="1" x14ac:dyDescent="0.15">
      <c r="A72" s="30" t="s">
        <v>4</v>
      </c>
      <c r="B72" s="24" t="s">
        <v>65</v>
      </c>
      <c r="C72" s="24">
        <v>0</v>
      </c>
      <c r="D72" s="25" t="s">
        <v>257</v>
      </c>
    </row>
    <row r="73" spans="1:6" ht="12.75" customHeight="1" x14ac:dyDescent="0.15">
      <c r="A73" s="34" t="s">
        <v>66</v>
      </c>
      <c r="B73" s="29" t="s">
        <v>65</v>
      </c>
      <c r="C73" s="29">
        <v>0</v>
      </c>
      <c r="D73" s="28" t="s">
        <v>258</v>
      </c>
    </row>
    <row r="74" spans="1:6" ht="12.75" customHeight="1" x14ac:dyDescent="0.15">
      <c r="A74" s="30" t="s">
        <v>54</v>
      </c>
      <c r="B74" s="24" t="s">
        <v>65</v>
      </c>
      <c r="C74" s="24">
        <v>0</v>
      </c>
      <c r="D74" s="25" t="s">
        <v>259</v>
      </c>
    </row>
    <row r="75" spans="1:6" ht="12.75" customHeight="1" x14ac:dyDescent="0.15">
      <c r="A75" s="18"/>
      <c r="B75" s="19"/>
      <c r="C75" s="19"/>
      <c r="D75" s="19"/>
    </row>
    <row r="76" spans="1:6" ht="12.75" customHeight="1" x14ac:dyDescent="0.15">
      <c r="A76" s="18"/>
      <c r="B76" s="19"/>
      <c r="C76" s="19"/>
      <c r="D76" s="19"/>
    </row>
    <row r="77" spans="1:6" ht="12.75" customHeight="1" x14ac:dyDescent="0.15">
      <c r="A77" s="18"/>
      <c r="B77" s="19"/>
      <c r="C77" s="19"/>
      <c r="D77" s="19"/>
    </row>
    <row r="78" spans="1:6" ht="12.75" customHeight="1" x14ac:dyDescent="0.15">
      <c r="A78" s="18"/>
      <c r="B78" s="19"/>
      <c r="C78" s="19"/>
      <c r="D78" s="19"/>
    </row>
    <row r="79" spans="1:6" ht="12.75" customHeight="1" x14ac:dyDescent="0.15">
      <c r="A79" s="18"/>
      <c r="B79" s="19"/>
      <c r="C79" s="19"/>
      <c r="D79" s="19"/>
    </row>
    <row r="80" spans="1:6" ht="12.75" customHeight="1" x14ac:dyDescent="0.15">
      <c r="A80" s="18"/>
      <c r="B80" s="19"/>
      <c r="C80" s="19"/>
      <c r="D80" s="19"/>
    </row>
    <row r="81" spans="1:4" ht="12.75" customHeight="1" x14ac:dyDescent="0.15">
      <c r="A81" s="18"/>
      <c r="B81" s="19"/>
      <c r="C81" s="19"/>
      <c r="D81" s="19"/>
    </row>
    <row r="82" spans="1:4" ht="12.75" customHeight="1" x14ac:dyDescent="0.15">
      <c r="A82" s="18"/>
      <c r="B82" s="19"/>
      <c r="C82" s="19"/>
      <c r="D82" s="19"/>
    </row>
    <row r="83" spans="1:4" ht="12.75" customHeight="1" x14ac:dyDescent="0.15">
      <c r="A83" s="18"/>
      <c r="B83" s="19"/>
      <c r="C83" s="19"/>
      <c r="D83" s="19"/>
    </row>
    <row r="84" spans="1:4" ht="12.75" customHeight="1" x14ac:dyDescent="0.15">
      <c r="A84" s="18"/>
      <c r="B84" s="19"/>
      <c r="C84" s="19"/>
      <c r="D84" s="19"/>
    </row>
    <row r="85" spans="1:4" ht="12.75" customHeight="1" x14ac:dyDescent="0.15">
      <c r="A85" s="18"/>
      <c r="B85" s="19"/>
      <c r="C85" s="19"/>
      <c r="D85" s="19"/>
    </row>
    <row r="86" spans="1:4" ht="12.75" customHeight="1" x14ac:dyDescent="0.15">
      <c r="A86" s="18"/>
      <c r="B86" s="19"/>
      <c r="C86" s="19"/>
      <c r="D86" s="19"/>
    </row>
    <row r="87" spans="1:4" ht="12.75" customHeight="1" x14ac:dyDescent="0.15">
      <c r="A87" s="18"/>
      <c r="B87" s="19"/>
      <c r="C87" s="19"/>
      <c r="D87" s="19"/>
    </row>
    <row r="88" spans="1:4" ht="12.75" customHeight="1" x14ac:dyDescent="0.15">
      <c r="A88" s="18"/>
      <c r="B88" s="19"/>
      <c r="C88" s="19"/>
      <c r="D88" s="19"/>
    </row>
    <row r="89" spans="1:4" ht="12.75" customHeight="1" x14ac:dyDescent="0.15">
      <c r="A89" s="18"/>
      <c r="B89" s="19"/>
      <c r="C89" s="19"/>
      <c r="D89" s="19"/>
    </row>
    <row r="90" spans="1:4" ht="12.75" customHeight="1" x14ac:dyDescent="0.15">
      <c r="A90" s="18"/>
      <c r="B90" s="19"/>
      <c r="C90" s="19"/>
      <c r="D90" s="19"/>
    </row>
    <row r="91" spans="1:4" ht="12.75" customHeight="1" x14ac:dyDescent="0.15">
      <c r="A91" s="18"/>
      <c r="B91" s="19"/>
      <c r="C91" s="19"/>
      <c r="D91" s="19"/>
    </row>
    <row r="92" spans="1:4" ht="12.75" customHeight="1" x14ac:dyDescent="0.15">
      <c r="A92" s="18"/>
      <c r="B92" s="19"/>
      <c r="C92" s="19"/>
      <c r="D92" s="19"/>
    </row>
    <row r="93" spans="1:4" ht="12.75" customHeight="1" x14ac:dyDescent="0.15">
      <c r="A93" s="18"/>
      <c r="B93" s="19"/>
      <c r="C93" s="19"/>
      <c r="D93" s="19"/>
    </row>
    <row r="94" spans="1:4" ht="12.75" customHeight="1" x14ac:dyDescent="0.15">
      <c r="A94" s="18"/>
      <c r="B94" s="19"/>
      <c r="C94" s="19"/>
      <c r="D94" s="19"/>
    </row>
    <row r="95" spans="1:4" ht="12.75" customHeight="1" x14ac:dyDescent="0.15">
      <c r="A95" s="18"/>
      <c r="B95" s="19"/>
      <c r="C95" s="19"/>
      <c r="D95" s="19"/>
    </row>
    <row r="96" spans="1:4" ht="12.75" customHeight="1" x14ac:dyDescent="0.15">
      <c r="A96" s="18"/>
      <c r="B96" s="19"/>
      <c r="C96" s="19"/>
      <c r="D96" s="19"/>
    </row>
    <row r="97" spans="1:4" ht="12.75" customHeight="1" x14ac:dyDescent="0.15">
      <c r="A97" s="18"/>
      <c r="B97" s="19"/>
      <c r="C97" s="19"/>
      <c r="D97" s="19"/>
    </row>
    <row r="98" spans="1:4" ht="12.75" customHeight="1" x14ac:dyDescent="0.15">
      <c r="A98" s="18"/>
      <c r="B98" s="19"/>
      <c r="C98" s="19"/>
      <c r="D98" s="19"/>
    </row>
    <row r="99" spans="1:4" ht="12.75" customHeight="1" x14ac:dyDescent="0.15">
      <c r="A99" s="18"/>
      <c r="B99" s="19"/>
      <c r="C99" s="19"/>
      <c r="D99" s="19"/>
    </row>
    <row r="100" spans="1:4" ht="12.75" customHeight="1" x14ac:dyDescent="0.15">
      <c r="A100" s="18"/>
      <c r="B100" s="19"/>
      <c r="C100" s="19"/>
      <c r="D100" s="19"/>
    </row>
    <row r="101" spans="1:4" ht="12.75" customHeight="1" x14ac:dyDescent="0.15">
      <c r="A101" s="18"/>
      <c r="B101" s="19"/>
      <c r="C101" s="19"/>
      <c r="D101" s="19"/>
    </row>
    <row r="102" spans="1:4" ht="12.75" customHeight="1" x14ac:dyDescent="0.15">
      <c r="A102" s="18"/>
      <c r="B102" s="19"/>
      <c r="C102" s="19"/>
      <c r="D102" s="19"/>
    </row>
    <row r="103" spans="1:4" ht="12.75" customHeight="1" x14ac:dyDescent="0.15">
      <c r="A103" s="18"/>
      <c r="B103" s="19"/>
      <c r="C103" s="19"/>
      <c r="D103" s="19"/>
    </row>
    <row r="104" spans="1:4" ht="12.75" customHeight="1" x14ac:dyDescent="0.15">
      <c r="A104" s="18"/>
      <c r="B104" s="19"/>
      <c r="C104" s="19"/>
      <c r="D104" s="19"/>
    </row>
    <row r="105" spans="1:4" ht="12.75" customHeight="1" x14ac:dyDescent="0.15">
      <c r="A105" s="18"/>
      <c r="B105" s="19"/>
      <c r="C105" s="19"/>
      <c r="D105" s="19"/>
    </row>
    <row r="106" spans="1:4" ht="12.75" customHeight="1" x14ac:dyDescent="0.15">
      <c r="A106" s="18"/>
      <c r="B106" s="19"/>
      <c r="C106" s="19"/>
      <c r="D106" s="19"/>
    </row>
    <row r="107" spans="1:4" ht="12.75" customHeight="1" x14ac:dyDescent="0.15">
      <c r="A107" s="18"/>
      <c r="B107" s="19"/>
      <c r="C107" s="19"/>
      <c r="D107" s="19"/>
    </row>
    <row r="108" spans="1:4" ht="12.75" customHeight="1" x14ac:dyDescent="0.15">
      <c r="A108" s="18"/>
      <c r="B108" s="19"/>
      <c r="C108" s="19"/>
      <c r="D108" s="19"/>
    </row>
    <row r="109" spans="1:4" ht="12.75" customHeight="1" x14ac:dyDescent="0.15">
      <c r="A109" s="18"/>
      <c r="B109" s="19"/>
      <c r="C109" s="19"/>
      <c r="D109" s="19"/>
    </row>
    <row r="110" spans="1:4" ht="12.75" customHeight="1" x14ac:dyDescent="0.15">
      <c r="A110" s="18"/>
      <c r="B110" s="19"/>
      <c r="C110" s="19"/>
      <c r="D110" s="19"/>
    </row>
    <row r="111" spans="1:4" ht="12.75" customHeight="1" x14ac:dyDescent="0.15">
      <c r="A111" s="18"/>
      <c r="B111" s="19"/>
      <c r="C111" s="19"/>
      <c r="D111" s="19"/>
    </row>
    <row r="112" spans="1:4" ht="12.75" customHeight="1" x14ac:dyDescent="0.15">
      <c r="A112" s="18"/>
      <c r="B112" s="19"/>
      <c r="C112" s="19"/>
      <c r="D112" s="19"/>
    </row>
    <row r="113" spans="1:4" ht="12.75" customHeight="1" x14ac:dyDescent="0.15">
      <c r="A113" s="18"/>
      <c r="B113" s="19"/>
      <c r="C113" s="19"/>
      <c r="D113" s="19"/>
    </row>
    <row r="114" spans="1:4" ht="12.75" customHeight="1" x14ac:dyDescent="0.15">
      <c r="A114" s="18"/>
      <c r="B114" s="19"/>
      <c r="C114" s="19"/>
      <c r="D114" s="19"/>
    </row>
    <row r="115" spans="1:4" ht="12.75" customHeight="1" x14ac:dyDescent="0.15">
      <c r="A115" s="18"/>
      <c r="B115" s="19"/>
      <c r="C115" s="19"/>
      <c r="D115" s="19"/>
    </row>
    <row r="116" spans="1:4" ht="12.75" customHeight="1" x14ac:dyDescent="0.15">
      <c r="A116" s="18"/>
      <c r="B116" s="19"/>
      <c r="C116" s="19"/>
      <c r="D116" s="19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35"/>
      <c r="B675" s="36"/>
      <c r="C675" s="36"/>
      <c r="D675" s="37"/>
    </row>
    <row r="676" spans="1:4" ht="12.75" customHeight="1" x14ac:dyDescent="0.15">
      <c r="A676" s="35"/>
      <c r="B676" s="36"/>
      <c r="C676" s="36"/>
      <c r="D676" s="37"/>
    </row>
    <row r="677" spans="1:4" ht="12.75" customHeight="1" x14ac:dyDescent="0.15">
      <c r="A677" s="35"/>
      <c r="B677" s="36"/>
      <c r="C677" s="36"/>
      <c r="D677" s="37"/>
    </row>
    <row r="678" spans="1:4" ht="12.75" customHeight="1" x14ac:dyDescent="0.15">
      <c r="A678" s="35"/>
      <c r="B678" s="36"/>
      <c r="C678" s="36"/>
      <c r="D678" s="37"/>
    </row>
    <row r="679" spans="1:4" ht="12.75" customHeight="1" x14ac:dyDescent="0.15">
      <c r="A679" s="35"/>
      <c r="B679" s="36"/>
      <c r="C679" s="36"/>
      <c r="D679" s="37"/>
    </row>
    <row r="680" spans="1:4" ht="12.75" customHeight="1" x14ac:dyDescent="0.15">
      <c r="A680" s="35"/>
      <c r="B680" s="36"/>
      <c r="C680" s="36"/>
      <c r="D680" s="37"/>
    </row>
    <row r="681" spans="1:4" ht="12.75" customHeight="1" x14ac:dyDescent="0.15">
      <c r="A681" s="35"/>
      <c r="B681" s="36"/>
      <c r="C681" s="36"/>
      <c r="D681" s="37"/>
    </row>
    <row r="682" spans="1:4" ht="12.75" customHeight="1" x14ac:dyDescent="0.15">
      <c r="A682" s="35"/>
      <c r="B682" s="36"/>
      <c r="C682" s="36"/>
      <c r="D682" s="37"/>
    </row>
    <row r="683" spans="1:4" ht="12.75" customHeight="1" x14ac:dyDescent="0.15">
      <c r="A683" s="35"/>
      <c r="B683" s="36"/>
      <c r="C683" s="36"/>
      <c r="D683" s="37"/>
    </row>
    <row r="684" spans="1:4" ht="12.75" customHeight="1" x14ac:dyDescent="0.15">
      <c r="A684" s="35"/>
      <c r="B684" s="36"/>
      <c r="C684" s="36"/>
      <c r="D684" s="37"/>
    </row>
    <row r="685" spans="1:4" ht="12.75" customHeight="1" x14ac:dyDescent="0.15">
      <c r="A685" s="35"/>
      <c r="B685" s="36"/>
      <c r="C685" s="36"/>
      <c r="D685" s="37"/>
    </row>
    <row r="686" spans="1:4" ht="12.75" customHeight="1" x14ac:dyDescent="0.15">
      <c r="A686" s="35"/>
      <c r="B686" s="36"/>
      <c r="C686" s="36"/>
      <c r="D686" s="37"/>
    </row>
    <row r="687" spans="1:4" ht="12.75" customHeight="1" x14ac:dyDescent="0.15">
      <c r="A687" s="35"/>
      <c r="B687" s="36"/>
      <c r="C687" s="36"/>
      <c r="D687" s="37"/>
    </row>
    <row r="688" spans="1:4" ht="12.75" customHeight="1" x14ac:dyDescent="0.15">
      <c r="A688" s="35"/>
      <c r="B688" s="36"/>
      <c r="C688" s="36"/>
      <c r="D688" s="37"/>
    </row>
    <row r="689" spans="1:4" ht="12.75" customHeight="1" x14ac:dyDescent="0.15">
      <c r="A689" s="35"/>
      <c r="B689" s="36"/>
      <c r="C689" s="36"/>
      <c r="D689" s="37"/>
    </row>
    <row r="690" spans="1:4" ht="12.75" customHeight="1" x14ac:dyDescent="0.15">
      <c r="A690" s="35"/>
      <c r="B690" s="36"/>
      <c r="C690" s="36"/>
      <c r="D690" s="37"/>
    </row>
    <row r="691" spans="1:4" ht="12.75" customHeight="1" x14ac:dyDescent="0.15">
      <c r="A691" s="35"/>
      <c r="B691" s="36"/>
      <c r="C691" s="36"/>
      <c r="D691" s="37"/>
    </row>
    <row r="692" spans="1:4" ht="12.75" customHeight="1" x14ac:dyDescent="0.15">
      <c r="A692" s="35"/>
      <c r="B692" s="36"/>
      <c r="C692" s="36"/>
      <c r="D692" s="37"/>
    </row>
    <row r="693" spans="1:4" ht="12.75" customHeight="1" x14ac:dyDescent="0.15">
      <c r="A693" s="35"/>
      <c r="B693" s="36"/>
      <c r="C693" s="36"/>
      <c r="D693" s="37"/>
    </row>
    <row r="694" spans="1:4" ht="12.75" customHeight="1" x14ac:dyDescent="0.15">
      <c r="A694" s="35"/>
      <c r="B694" s="36"/>
      <c r="C694" s="36"/>
      <c r="D694" s="37"/>
    </row>
    <row r="695" spans="1:4" ht="12.75" customHeight="1" x14ac:dyDescent="0.15">
      <c r="A695" s="35"/>
      <c r="B695" s="36"/>
      <c r="C695" s="36"/>
      <c r="D695" s="37"/>
    </row>
    <row r="696" spans="1:4" ht="12.75" customHeight="1" x14ac:dyDescent="0.15">
      <c r="A696" s="35"/>
      <c r="B696" s="36"/>
      <c r="C696" s="36"/>
      <c r="D696" s="37"/>
    </row>
    <row r="697" spans="1:4" ht="12.75" customHeight="1" x14ac:dyDescent="0.15">
      <c r="A697" s="35"/>
      <c r="B697" s="36"/>
      <c r="C697" s="36"/>
      <c r="D697" s="37"/>
    </row>
    <row r="698" spans="1:4" ht="12.75" customHeight="1" x14ac:dyDescent="0.15">
      <c r="A698" s="35"/>
      <c r="B698" s="36"/>
      <c r="C698" s="36"/>
      <c r="D698" s="37"/>
    </row>
    <row r="699" spans="1:4" ht="12.75" customHeight="1" x14ac:dyDescent="0.15">
      <c r="A699" s="35"/>
      <c r="B699" s="36"/>
      <c r="C699" s="36"/>
      <c r="D699" s="37"/>
    </row>
    <row r="700" spans="1:4" ht="12.75" customHeight="1" x14ac:dyDescent="0.15">
      <c r="A700" s="35"/>
      <c r="B700" s="36"/>
      <c r="C700" s="36"/>
      <c r="D700" s="37"/>
    </row>
    <row r="701" spans="1:4" ht="12.75" customHeight="1" x14ac:dyDescent="0.15">
      <c r="A701" s="35"/>
      <c r="B701" s="36"/>
      <c r="C701" s="36"/>
      <c r="D701" s="37"/>
    </row>
    <row r="702" spans="1:4" ht="12.75" customHeight="1" x14ac:dyDescent="0.15">
      <c r="A702" s="35"/>
      <c r="B702" s="36"/>
      <c r="C702" s="36"/>
      <c r="D702" s="37"/>
    </row>
    <row r="703" spans="1:4" ht="12.75" customHeight="1" x14ac:dyDescent="0.15">
      <c r="A703" s="35"/>
      <c r="B703" s="36"/>
      <c r="C703" s="36"/>
      <c r="D703" s="37"/>
    </row>
    <row r="704" spans="1:4" ht="12.75" customHeight="1" x14ac:dyDescent="0.15">
      <c r="A704" s="35"/>
      <c r="B704" s="36"/>
      <c r="C704" s="36"/>
      <c r="D704" s="37"/>
    </row>
    <row r="705" spans="1:4" ht="12.75" customHeight="1" x14ac:dyDescent="0.15">
      <c r="A705" s="35"/>
      <c r="B705" s="36"/>
      <c r="C705" s="36"/>
      <c r="D705" s="37"/>
    </row>
    <row r="706" spans="1:4" ht="12.75" customHeight="1" x14ac:dyDescent="0.15">
      <c r="A706" s="35"/>
      <c r="B706" s="36"/>
      <c r="C706" s="36"/>
      <c r="D706" s="37"/>
    </row>
    <row r="707" spans="1:4" ht="12.75" customHeight="1" x14ac:dyDescent="0.15">
      <c r="A707" s="35"/>
      <c r="B707" s="36"/>
      <c r="C707" s="36"/>
      <c r="D707" s="37"/>
    </row>
    <row r="708" spans="1:4" ht="12.75" customHeight="1" x14ac:dyDescent="0.15">
      <c r="A708" s="35"/>
      <c r="B708" s="36"/>
      <c r="C708" s="36"/>
      <c r="D708" s="37"/>
    </row>
    <row r="709" spans="1:4" ht="12.75" customHeight="1" x14ac:dyDescent="0.15">
      <c r="A709" s="35"/>
      <c r="B709" s="36"/>
      <c r="C709" s="36"/>
      <c r="D709" s="37"/>
    </row>
    <row r="710" spans="1:4" ht="12.75" customHeight="1" x14ac:dyDescent="0.15">
      <c r="A710" s="35"/>
      <c r="B710" s="36"/>
      <c r="C710" s="36"/>
      <c r="D710" s="37"/>
    </row>
    <row r="711" spans="1:4" ht="12.75" customHeight="1" x14ac:dyDescent="0.15">
      <c r="A711" s="35"/>
      <c r="B711" s="36"/>
      <c r="C711" s="36"/>
      <c r="D711" s="37"/>
    </row>
    <row r="712" spans="1:4" ht="12.75" customHeight="1" x14ac:dyDescent="0.15">
      <c r="A712" s="35"/>
      <c r="B712" s="36"/>
      <c r="C712" s="36"/>
      <c r="D712" s="37"/>
    </row>
    <row r="713" spans="1:4" ht="12.75" customHeight="1" x14ac:dyDescent="0.15">
      <c r="A713" s="35"/>
      <c r="B713" s="36"/>
      <c r="C713" s="36"/>
      <c r="D713" s="37"/>
    </row>
    <row r="714" spans="1:4" ht="12.75" customHeight="1" x14ac:dyDescent="0.15">
      <c r="A714" s="35"/>
      <c r="B714" s="36"/>
      <c r="C714" s="36"/>
      <c r="D714" s="37"/>
    </row>
    <row r="715" spans="1:4" ht="12.75" customHeight="1" x14ac:dyDescent="0.15">
      <c r="A715" s="35"/>
      <c r="B715" s="36"/>
      <c r="C715" s="36"/>
      <c r="D715" s="37"/>
    </row>
    <row r="716" spans="1:4" ht="12.75" customHeight="1" x14ac:dyDescent="0.15">
      <c r="A716" s="35"/>
      <c r="B716" s="36"/>
      <c r="C716" s="36"/>
      <c r="D716" s="37"/>
    </row>
    <row r="717" spans="1:4" ht="12.75" customHeight="1" x14ac:dyDescent="0.15">
      <c r="A717" s="35"/>
      <c r="B717" s="36"/>
      <c r="C717" s="36"/>
      <c r="D717" s="37"/>
    </row>
    <row r="718" spans="1:4" ht="12.75" customHeight="1" x14ac:dyDescent="0.15">
      <c r="A718" s="35"/>
      <c r="B718" s="36"/>
      <c r="C718" s="36"/>
      <c r="D718" s="37"/>
    </row>
    <row r="719" spans="1:4" ht="12.75" customHeight="1" x14ac:dyDescent="0.15">
      <c r="A719" s="35"/>
      <c r="B719" s="36"/>
      <c r="C719" s="36"/>
      <c r="D719" s="37"/>
    </row>
    <row r="720" spans="1:4" ht="12.75" customHeight="1" x14ac:dyDescent="0.15">
      <c r="A720" s="35"/>
      <c r="B720" s="36"/>
      <c r="C720" s="36"/>
      <c r="D720" s="37"/>
    </row>
    <row r="721" spans="1:4" ht="12.75" customHeight="1" x14ac:dyDescent="0.15">
      <c r="A721" s="35"/>
      <c r="B721" s="36"/>
      <c r="C721" s="36"/>
      <c r="D721" s="37"/>
    </row>
    <row r="722" spans="1:4" ht="12.75" customHeight="1" x14ac:dyDescent="0.15">
      <c r="A722" s="35"/>
      <c r="B722" s="36"/>
      <c r="C722" s="36"/>
      <c r="D722" s="37"/>
    </row>
    <row r="723" spans="1:4" ht="12.75" customHeight="1" x14ac:dyDescent="0.15">
      <c r="A723" s="35"/>
      <c r="B723" s="36"/>
      <c r="C723" s="36"/>
      <c r="D723" s="37"/>
    </row>
    <row r="724" spans="1:4" ht="12.75" customHeight="1" x14ac:dyDescent="0.15">
      <c r="A724" s="35"/>
      <c r="B724" s="36"/>
      <c r="C724" s="36"/>
      <c r="D724" s="37"/>
    </row>
    <row r="725" spans="1:4" ht="12.75" customHeight="1" x14ac:dyDescent="0.15">
      <c r="A725" s="35"/>
      <c r="B725" s="36"/>
      <c r="C725" s="36"/>
      <c r="D725" s="37"/>
    </row>
    <row r="726" spans="1:4" ht="12.75" customHeight="1" x14ac:dyDescent="0.15">
      <c r="A726" s="35"/>
      <c r="B726" s="36"/>
      <c r="C726" s="36"/>
      <c r="D726" s="37"/>
    </row>
    <row r="727" spans="1:4" ht="12.75" customHeight="1" x14ac:dyDescent="0.15">
      <c r="A727" s="35"/>
      <c r="B727" s="36"/>
      <c r="C727" s="36"/>
      <c r="D727" s="37"/>
    </row>
    <row r="728" spans="1:4" ht="12.75" customHeight="1" x14ac:dyDescent="0.15">
      <c r="A728" s="35"/>
      <c r="B728" s="36"/>
      <c r="C728" s="36"/>
      <c r="D728" s="37"/>
    </row>
    <row r="729" spans="1:4" ht="12.75" customHeight="1" x14ac:dyDescent="0.15">
      <c r="A729" s="35"/>
      <c r="B729" s="36"/>
      <c r="C729" s="36"/>
      <c r="D729" s="37"/>
    </row>
    <row r="730" spans="1:4" ht="12.75" customHeight="1" x14ac:dyDescent="0.15">
      <c r="A730" s="35"/>
      <c r="B730" s="36"/>
      <c r="C730" s="36"/>
      <c r="D730" s="37"/>
    </row>
    <row r="731" spans="1:4" ht="12.75" customHeight="1" x14ac:dyDescent="0.15">
      <c r="A731" s="35"/>
      <c r="B731" s="36"/>
      <c r="C731" s="36"/>
      <c r="D731" s="37"/>
    </row>
    <row r="732" spans="1:4" ht="12.75" customHeight="1" x14ac:dyDescent="0.15">
      <c r="A732" s="35"/>
      <c r="B732" s="36"/>
      <c r="C732" s="36"/>
      <c r="D732" s="37"/>
    </row>
    <row r="733" spans="1:4" ht="12.75" customHeight="1" x14ac:dyDescent="0.15">
      <c r="A733" s="35"/>
      <c r="B733" s="36"/>
      <c r="C733" s="36"/>
      <c r="D733" s="37"/>
    </row>
    <row r="734" spans="1:4" ht="12.75" customHeight="1" x14ac:dyDescent="0.15">
      <c r="A734" s="35"/>
      <c r="B734" s="36"/>
      <c r="C734" s="36"/>
      <c r="D734" s="37"/>
    </row>
    <row r="735" spans="1:4" ht="12.75" customHeight="1" x14ac:dyDescent="0.15">
      <c r="A735" s="35"/>
      <c r="B735" s="36"/>
      <c r="C735" s="36"/>
      <c r="D735" s="37"/>
    </row>
    <row r="736" spans="1:4" ht="12.75" customHeight="1" x14ac:dyDescent="0.15">
      <c r="A736" s="35"/>
      <c r="B736" s="36"/>
      <c r="C736" s="36"/>
      <c r="D736" s="37"/>
    </row>
    <row r="737" spans="1:4" ht="12.75" customHeight="1" x14ac:dyDescent="0.15">
      <c r="A737" s="35"/>
      <c r="B737" s="36"/>
      <c r="C737" s="36"/>
      <c r="D737" s="37"/>
    </row>
    <row r="738" spans="1:4" ht="12.75" customHeight="1" x14ac:dyDescent="0.15">
      <c r="A738" s="35"/>
      <c r="B738" s="36"/>
      <c r="C738" s="36"/>
      <c r="D738" s="37"/>
    </row>
    <row r="739" spans="1:4" ht="12.75" customHeight="1" x14ac:dyDescent="0.15">
      <c r="A739" s="35"/>
      <c r="B739" s="36"/>
      <c r="C739" s="36"/>
      <c r="D739" s="37"/>
    </row>
    <row r="740" spans="1:4" ht="12.75" customHeight="1" x14ac:dyDescent="0.15">
      <c r="A740" s="35"/>
      <c r="B740" s="36"/>
      <c r="C740" s="36"/>
      <c r="D740" s="37"/>
    </row>
    <row r="741" spans="1:4" ht="12.75" customHeight="1" x14ac:dyDescent="0.15">
      <c r="A741" s="35"/>
      <c r="B741" s="36"/>
      <c r="C741" s="36"/>
      <c r="D741" s="37"/>
    </row>
    <row r="742" spans="1:4" ht="12.75" customHeight="1" x14ac:dyDescent="0.15">
      <c r="A742" s="35"/>
      <c r="B742" s="36"/>
      <c r="C742" s="36"/>
      <c r="D742" s="37"/>
    </row>
    <row r="743" spans="1:4" ht="12.75" customHeight="1" x14ac:dyDescent="0.15">
      <c r="A743" s="35"/>
      <c r="B743" s="36"/>
      <c r="C743" s="36"/>
      <c r="D743" s="37"/>
    </row>
    <row r="744" spans="1:4" ht="12.75" customHeight="1" x14ac:dyDescent="0.15">
      <c r="A744" s="35"/>
      <c r="B744" s="36"/>
      <c r="C744" s="36"/>
      <c r="D744" s="37"/>
    </row>
    <row r="745" spans="1:4" ht="12.75" customHeight="1" x14ac:dyDescent="0.15">
      <c r="A745" s="35"/>
      <c r="B745" s="36"/>
      <c r="C745" s="36"/>
      <c r="D745" s="37"/>
    </row>
    <row r="746" spans="1:4" ht="12.75" customHeight="1" x14ac:dyDescent="0.15">
      <c r="A746" s="35"/>
      <c r="B746" s="36"/>
      <c r="C746" s="36"/>
      <c r="D746" s="37"/>
    </row>
    <row r="747" spans="1:4" ht="12.75" customHeight="1" x14ac:dyDescent="0.15">
      <c r="A747" s="35"/>
      <c r="B747" s="36"/>
      <c r="C747" s="36"/>
      <c r="D747" s="37"/>
    </row>
    <row r="748" spans="1:4" ht="12.75" customHeight="1" x14ac:dyDescent="0.15">
      <c r="A748" s="35"/>
      <c r="B748" s="36"/>
      <c r="C748" s="36"/>
      <c r="D748" s="37"/>
    </row>
    <row r="749" spans="1:4" ht="12.75" customHeight="1" x14ac:dyDescent="0.15">
      <c r="A749" s="35"/>
      <c r="B749" s="36"/>
      <c r="C749" s="36"/>
      <c r="D749" s="37"/>
    </row>
    <row r="750" spans="1:4" ht="12.75" customHeight="1" x14ac:dyDescent="0.15">
      <c r="A750" s="35"/>
      <c r="B750" s="36"/>
      <c r="C750" s="36"/>
      <c r="D750" s="37"/>
    </row>
    <row r="751" spans="1:4" ht="12.75" customHeight="1" x14ac:dyDescent="0.15">
      <c r="A751" s="35"/>
      <c r="B751" s="36"/>
      <c r="C751" s="36"/>
      <c r="D751" s="37"/>
    </row>
    <row r="752" spans="1:4" ht="12.75" customHeight="1" x14ac:dyDescent="0.15">
      <c r="A752" s="35"/>
      <c r="B752" s="36"/>
      <c r="C752" s="36"/>
      <c r="D752" s="37"/>
    </row>
    <row r="753" spans="1:4" ht="12.75" customHeight="1" x14ac:dyDescent="0.15">
      <c r="A753" s="35"/>
      <c r="B753" s="36"/>
      <c r="C753" s="36"/>
      <c r="D753" s="37"/>
    </row>
    <row r="754" spans="1:4" ht="12.75" customHeight="1" x14ac:dyDescent="0.15">
      <c r="A754" s="35"/>
      <c r="B754" s="36"/>
      <c r="C754" s="36"/>
      <c r="D754" s="37"/>
    </row>
    <row r="755" spans="1:4" ht="12.75" customHeight="1" x14ac:dyDescent="0.15">
      <c r="A755" s="35"/>
      <c r="B755" s="36"/>
      <c r="C755" s="36"/>
      <c r="D755" s="37"/>
    </row>
    <row r="756" spans="1:4" ht="12.75" customHeight="1" x14ac:dyDescent="0.15">
      <c r="A756" s="35"/>
      <c r="B756" s="36"/>
      <c r="C756" s="36"/>
      <c r="D756" s="37"/>
    </row>
    <row r="757" spans="1:4" ht="12.75" customHeight="1" x14ac:dyDescent="0.15">
      <c r="A757" s="35"/>
      <c r="B757" s="36"/>
      <c r="C757" s="36"/>
      <c r="D757" s="37"/>
    </row>
    <row r="758" spans="1:4" ht="12.75" customHeight="1" x14ac:dyDescent="0.15">
      <c r="A758" s="35"/>
      <c r="B758" s="36"/>
      <c r="C758" s="36"/>
      <c r="D758" s="37"/>
    </row>
    <row r="759" spans="1:4" ht="12.75" customHeight="1" x14ac:dyDescent="0.15">
      <c r="A759" s="35"/>
      <c r="B759" s="36"/>
      <c r="C759" s="36"/>
      <c r="D759" s="37"/>
    </row>
    <row r="760" spans="1:4" ht="12.75" customHeight="1" x14ac:dyDescent="0.15">
      <c r="A760" s="35"/>
      <c r="B760" s="36"/>
      <c r="C760" s="36"/>
      <c r="D760" s="37"/>
    </row>
    <row r="761" spans="1:4" ht="12.75" customHeight="1" x14ac:dyDescent="0.15">
      <c r="A761" s="35"/>
      <c r="B761" s="36"/>
      <c r="C761" s="36"/>
      <c r="D761" s="37"/>
    </row>
    <row r="762" spans="1:4" ht="12.75" customHeight="1" x14ac:dyDescent="0.15">
      <c r="A762" s="35"/>
      <c r="B762" s="36"/>
      <c r="C762" s="36"/>
      <c r="D762" s="37"/>
    </row>
    <row r="763" spans="1:4" ht="12.75" customHeight="1" x14ac:dyDescent="0.15">
      <c r="A763" s="35"/>
      <c r="B763" s="36"/>
      <c r="C763" s="36"/>
      <c r="D763" s="37"/>
    </row>
    <row r="764" spans="1:4" ht="12.75" customHeight="1" x14ac:dyDescent="0.15">
      <c r="A764" s="35"/>
      <c r="B764" s="36"/>
      <c r="C764" s="36"/>
      <c r="D764" s="37"/>
    </row>
    <row r="765" spans="1:4" ht="12.75" customHeight="1" x14ac:dyDescent="0.15">
      <c r="A765" s="35"/>
      <c r="B765" s="36"/>
      <c r="C765" s="36"/>
      <c r="D765" s="37"/>
    </row>
    <row r="766" spans="1:4" ht="12.75" customHeight="1" x14ac:dyDescent="0.15">
      <c r="A766" s="35"/>
      <c r="B766" s="36"/>
      <c r="C766" s="36"/>
      <c r="D766" s="37"/>
    </row>
    <row r="767" spans="1:4" ht="12.75" customHeight="1" x14ac:dyDescent="0.15">
      <c r="A767" s="35"/>
      <c r="B767" s="36"/>
      <c r="C767" s="36"/>
      <c r="D767" s="37"/>
    </row>
    <row r="768" spans="1:4" ht="12.75" customHeight="1" x14ac:dyDescent="0.15">
      <c r="A768" s="35"/>
      <c r="B768" s="36"/>
      <c r="C768" s="36"/>
      <c r="D768" s="37"/>
    </row>
    <row r="769" spans="1:4" ht="12.75" customHeight="1" x14ac:dyDescent="0.15">
      <c r="A769" s="35"/>
      <c r="B769" s="36"/>
      <c r="C769" s="36"/>
      <c r="D769" s="37"/>
    </row>
    <row r="770" spans="1:4" ht="12.75" customHeight="1" x14ac:dyDescent="0.15">
      <c r="A770" s="35"/>
      <c r="B770" s="36"/>
      <c r="C770" s="36"/>
      <c r="D770" s="37"/>
    </row>
    <row r="771" spans="1:4" ht="12.75" customHeight="1" x14ac:dyDescent="0.15">
      <c r="A771" s="35"/>
      <c r="B771" s="36"/>
      <c r="C771" s="36"/>
      <c r="D771" s="37"/>
    </row>
    <row r="772" spans="1:4" ht="12.75" customHeight="1" x14ac:dyDescent="0.15">
      <c r="A772" s="35"/>
      <c r="B772" s="36"/>
      <c r="C772" s="36"/>
      <c r="D772" s="37"/>
    </row>
    <row r="773" spans="1:4" ht="12.75" customHeight="1" x14ac:dyDescent="0.15">
      <c r="A773" s="35"/>
      <c r="B773" s="36"/>
      <c r="C773" s="36"/>
      <c r="D773" s="37"/>
    </row>
    <row r="774" spans="1:4" ht="12.75" customHeight="1" x14ac:dyDescent="0.15">
      <c r="A774" s="35"/>
      <c r="B774" s="36"/>
      <c r="C774" s="36"/>
      <c r="D774" s="37"/>
    </row>
    <row r="775" spans="1:4" ht="12.75" customHeight="1" x14ac:dyDescent="0.15">
      <c r="A775" s="35"/>
      <c r="B775" s="36"/>
      <c r="C775" s="36"/>
      <c r="D775" s="37"/>
    </row>
    <row r="776" spans="1:4" ht="12.75" customHeight="1" x14ac:dyDescent="0.15">
      <c r="A776" s="35"/>
      <c r="B776" s="36"/>
      <c r="C776" s="36"/>
      <c r="D776" s="37"/>
    </row>
    <row r="777" spans="1:4" ht="12.75" customHeight="1" x14ac:dyDescent="0.15">
      <c r="A777" s="35"/>
      <c r="B777" s="36"/>
      <c r="C777" s="36"/>
      <c r="D777" s="37"/>
    </row>
    <row r="778" spans="1:4" ht="12.75" customHeight="1" x14ac:dyDescent="0.15">
      <c r="A778" s="35"/>
      <c r="B778" s="36"/>
      <c r="C778" s="36"/>
      <c r="D778" s="37"/>
    </row>
    <row r="779" spans="1:4" ht="12.75" customHeight="1" x14ac:dyDescent="0.15">
      <c r="A779" s="35"/>
      <c r="B779" s="36"/>
      <c r="C779" s="36"/>
      <c r="D779" s="37"/>
    </row>
    <row r="780" spans="1:4" ht="12.75" customHeight="1" x14ac:dyDescent="0.15">
      <c r="A780" s="35"/>
      <c r="B780" s="36"/>
      <c r="C780" s="36"/>
      <c r="D780" s="37"/>
    </row>
    <row r="781" spans="1:4" ht="12.75" customHeight="1" x14ac:dyDescent="0.15">
      <c r="A781" s="35"/>
      <c r="B781" s="36"/>
      <c r="C781" s="36"/>
      <c r="D781" s="37"/>
    </row>
    <row r="782" spans="1:4" ht="12.75" customHeight="1" x14ac:dyDescent="0.15">
      <c r="A782" s="35"/>
      <c r="B782" s="36"/>
      <c r="C782" s="36"/>
      <c r="D782" s="37"/>
    </row>
    <row r="783" spans="1:4" ht="12.75" customHeight="1" x14ac:dyDescent="0.15">
      <c r="A783" s="35"/>
      <c r="B783" s="36"/>
      <c r="C783" s="36"/>
      <c r="D783" s="37"/>
    </row>
    <row r="784" spans="1:4" ht="12.75" customHeight="1" x14ac:dyDescent="0.15">
      <c r="A784" s="35"/>
      <c r="B784" s="36"/>
      <c r="C784" s="36"/>
      <c r="D784" s="37"/>
    </row>
    <row r="785" spans="1:4" ht="12.75" customHeight="1" x14ac:dyDescent="0.15">
      <c r="A785" s="35"/>
      <c r="B785" s="36"/>
      <c r="C785" s="36"/>
      <c r="D785" s="37"/>
    </row>
    <row r="786" spans="1:4" ht="12.75" customHeight="1" x14ac:dyDescent="0.15">
      <c r="A786" s="35"/>
      <c r="B786" s="36"/>
      <c r="C786" s="36"/>
      <c r="D786" s="37"/>
    </row>
    <row r="787" spans="1:4" ht="12.75" customHeight="1" x14ac:dyDescent="0.15">
      <c r="A787" s="35"/>
      <c r="B787" s="36"/>
      <c r="C787" s="36"/>
      <c r="D787" s="37"/>
    </row>
    <row r="788" spans="1:4" ht="12.75" customHeight="1" x14ac:dyDescent="0.15">
      <c r="A788" s="35"/>
      <c r="B788" s="36"/>
      <c r="C788" s="36"/>
      <c r="D788" s="37"/>
    </row>
    <row r="789" spans="1:4" ht="12.75" customHeight="1" x14ac:dyDescent="0.15">
      <c r="A789" s="35"/>
      <c r="B789" s="36"/>
      <c r="C789" s="36"/>
      <c r="D789" s="37"/>
    </row>
    <row r="790" spans="1:4" ht="12.75" customHeight="1" x14ac:dyDescent="0.15">
      <c r="A790" s="35"/>
      <c r="B790" s="36"/>
      <c r="C790" s="36"/>
      <c r="D790" s="37"/>
    </row>
    <row r="791" spans="1:4" ht="12.75" customHeight="1" x14ac:dyDescent="0.15">
      <c r="A791" s="35"/>
      <c r="B791" s="36"/>
      <c r="C791" s="36"/>
      <c r="D791" s="37"/>
    </row>
    <row r="792" spans="1:4" ht="12.75" customHeight="1" x14ac:dyDescent="0.15">
      <c r="A792" s="35"/>
      <c r="B792" s="36"/>
      <c r="C792" s="36"/>
      <c r="D792" s="37"/>
    </row>
    <row r="793" spans="1:4" ht="12.75" customHeight="1" x14ac:dyDescent="0.15">
      <c r="A793" s="35"/>
      <c r="B793" s="36"/>
      <c r="C793" s="36"/>
      <c r="D793" s="37"/>
    </row>
    <row r="794" spans="1:4" ht="12.75" customHeight="1" x14ac:dyDescent="0.15">
      <c r="A794" s="35"/>
      <c r="B794" s="36"/>
      <c r="C794" s="36"/>
      <c r="D794" s="37"/>
    </row>
    <row r="795" spans="1:4" ht="12.75" customHeight="1" x14ac:dyDescent="0.15">
      <c r="A795" s="35"/>
      <c r="B795" s="36"/>
      <c r="C795" s="36"/>
      <c r="D795" s="37"/>
    </row>
    <row r="796" spans="1:4" ht="12.75" customHeight="1" x14ac:dyDescent="0.15">
      <c r="A796" s="35"/>
      <c r="B796" s="36"/>
      <c r="C796" s="36"/>
      <c r="D796" s="37"/>
    </row>
    <row r="797" spans="1:4" ht="12.75" customHeight="1" x14ac:dyDescent="0.15">
      <c r="A797" s="35"/>
      <c r="B797" s="36"/>
      <c r="C797" s="36"/>
      <c r="D797" s="37"/>
    </row>
    <row r="798" spans="1:4" ht="12.75" customHeight="1" x14ac:dyDescent="0.15">
      <c r="A798" s="35"/>
      <c r="B798" s="36"/>
      <c r="C798" s="36"/>
      <c r="D798" s="37"/>
    </row>
    <row r="799" spans="1:4" ht="12.75" customHeight="1" x14ac:dyDescent="0.15">
      <c r="A799" s="35"/>
      <c r="B799" s="36"/>
      <c r="C799" s="36"/>
      <c r="D799" s="37"/>
    </row>
    <row r="800" spans="1:4" ht="12.75" customHeight="1" x14ac:dyDescent="0.15">
      <c r="A800" s="35"/>
      <c r="B800" s="36"/>
      <c r="C800" s="36"/>
      <c r="D800" s="37"/>
    </row>
    <row r="801" spans="1:4" ht="12.75" customHeight="1" x14ac:dyDescent="0.15">
      <c r="A801" s="35"/>
      <c r="B801" s="36"/>
      <c r="C801" s="36"/>
      <c r="D801" s="37"/>
    </row>
    <row r="802" spans="1:4" ht="12.75" customHeight="1" x14ac:dyDescent="0.15">
      <c r="A802" s="35"/>
      <c r="B802" s="36"/>
      <c r="C802" s="36"/>
      <c r="D802" s="37"/>
    </row>
    <row r="803" spans="1:4" ht="12.75" customHeight="1" x14ac:dyDescent="0.15">
      <c r="A803" s="35"/>
      <c r="B803" s="36"/>
      <c r="C803" s="36"/>
      <c r="D803" s="37"/>
    </row>
    <row r="804" spans="1:4" ht="12.75" customHeight="1" x14ac:dyDescent="0.15">
      <c r="A804" s="35"/>
      <c r="B804" s="36"/>
      <c r="C804" s="36"/>
      <c r="D804" s="37"/>
    </row>
    <row r="805" spans="1:4" ht="12.75" customHeight="1" x14ac:dyDescent="0.15">
      <c r="A805" s="35"/>
      <c r="B805" s="36"/>
      <c r="C805" s="36"/>
      <c r="D805" s="37"/>
    </row>
    <row r="806" spans="1:4" ht="12.75" customHeight="1" x14ac:dyDescent="0.15">
      <c r="A806" s="35"/>
      <c r="B806" s="36"/>
      <c r="C806" s="36"/>
      <c r="D806" s="37"/>
    </row>
    <row r="807" spans="1:4" ht="12.75" customHeight="1" x14ac:dyDescent="0.15">
      <c r="A807" s="35"/>
      <c r="B807" s="36"/>
      <c r="C807" s="36"/>
      <c r="D807" s="37"/>
    </row>
    <row r="808" spans="1:4" ht="12.75" customHeight="1" x14ac:dyDescent="0.15">
      <c r="A808" s="35"/>
      <c r="B808" s="36"/>
      <c r="C808" s="36"/>
      <c r="D808" s="37"/>
    </row>
    <row r="809" spans="1:4" ht="12.75" customHeight="1" x14ac:dyDescent="0.15">
      <c r="A809" s="35"/>
      <c r="B809" s="36"/>
      <c r="C809" s="36"/>
      <c r="D809" s="37"/>
    </row>
    <row r="810" spans="1:4" ht="12.75" customHeight="1" x14ac:dyDescent="0.15">
      <c r="A810" s="35"/>
      <c r="B810" s="36"/>
      <c r="C810" s="36"/>
      <c r="D810" s="37"/>
    </row>
    <row r="811" spans="1:4" ht="12.75" customHeight="1" x14ac:dyDescent="0.15">
      <c r="A811" s="35"/>
      <c r="B811" s="36"/>
      <c r="C811" s="36"/>
      <c r="D811" s="37"/>
    </row>
    <row r="812" spans="1:4" ht="12.75" customHeight="1" x14ac:dyDescent="0.15">
      <c r="A812" s="35"/>
      <c r="B812" s="36"/>
      <c r="C812" s="36"/>
      <c r="D812" s="37"/>
    </row>
    <row r="813" spans="1:4" ht="12.75" customHeight="1" x14ac:dyDescent="0.15">
      <c r="A813" s="35"/>
      <c r="B813" s="36"/>
      <c r="C813" s="36"/>
      <c r="D813" s="37"/>
    </row>
    <row r="814" spans="1:4" ht="12.75" customHeight="1" x14ac:dyDescent="0.15">
      <c r="A814" s="35"/>
      <c r="B814" s="36"/>
      <c r="C814" s="36"/>
      <c r="D814" s="37"/>
    </row>
    <row r="815" spans="1:4" ht="12.75" customHeight="1" x14ac:dyDescent="0.15">
      <c r="A815" s="35"/>
      <c r="B815" s="36"/>
      <c r="C815" s="36"/>
      <c r="D815" s="37"/>
    </row>
    <row r="816" spans="1:4" ht="12.75" customHeight="1" x14ac:dyDescent="0.15">
      <c r="A816" s="35"/>
      <c r="B816" s="36"/>
      <c r="C816" s="36"/>
      <c r="D816" s="37"/>
    </row>
    <row r="817" spans="1:4" ht="12.75" customHeight="1" x14ac:dyDescent="0.15">
      <c r="A817" s="35"/>
      <c r="B817" s="36"/>
      <c r="C817" s="36"/>
      <c r="D817" s="37"/>
    </row>
    <row r="818" spans="1:4" ht="12.75" customHeight="1" x14ac:dyDescent="0.15">
      <c r="A818" s="35"/>
      <c r="B818" s="36"/>
      <c r="C818" s="36"/>
      <c r="D818" s="37"/>
    </row>
    <row r="819" spans="1:4" ht="12.75" customHeight="1" x14ac:dyDescent="0.15">
      <c r="A819" s="35"/>
      <c r="B819" s="36"/>
      <c r="C819" s="36"/>
      <c r="D819" s="37"/>
    </row>
    <row r="820" spans="1:4" ht="12.75" customHeight="1" x14ac:dyDescent="0.15">
      <c r="A820" s="35"/>
      <c r="B820" s="36"/>
      <c r="C820" s="36"/>
      <c r="D820" s="37"/>
    </row>
    <row r="821" spans="1:4" ht="12.75" customHeight="1" x14ac:dyDescent="0.15">
      <c r="A821" s="35"/>
      <c r="B821" s="36"/>
      <c r="C821" s="36"/>
      <c r="D821" s="37"/>
    </row>
    <row r="822" spans="1:4" ht="12.75" customHeight="1" x14ac:dyDescent="0.15">
      <c r="A822" s="35"/>
      <c r="B822" s="36"/>
      <c r="C822" s="36"/>
      <c r="D822" s="37"/>
    </row>
    <row r="823" spans="1:4" ht="12.75" customHeight="1" x14ac:dyDescent="0.15">
      <c r="A823" s="35"/>
      <c r="B823" s="36"/>
      <c r="C823" s="36"/>
      <c r="D823" s="37"/>
    </row>
    <row r="824" spans="1:4" ht="12.75" customHeight="1" x14ac:dyDescent="0.15">
      <c r="A824" s="35"/>
      <c r="B824" s="36"/>
      <c r="C824" s="36"/>
      <c r="D824" s="37"/>
    </row>
    <row r="825" spans="1:4" ht="12.75" customHeight="1" x14ac:dyDescent="0.15">
      <c r="A825" s="35"/>
      <c r="B825" s="36"/>
      <c r="C825" s="36"/>
      <c r="D825" s="37"/>
    </row>
    <row r="826" spans="1:4" ht="12.75" customHeight="1" x14ac:dyDescent="0.15">
      <c r="A826" s="35"/>
      <c r="B826" s="36"/>
      <c r="C826" s="36"/>
      <c r="D826" s="37"/>
    </row>
    <row r="827" spans="1:4" ht="12.75" customHeight="1" x14ac:dyDescent="0.15">
      <c r="A827" s="35"/>
      <c r="B827" s="36"/>
      <c r="C827" s="36"/>
      <c r="D827" s="37"/>
    </row>
    <row r="828" spans="1:4" ht="12.75" customHeight="1" x14ac:dyDescent="0.15">
      <c r="A828" s="35"/>
      <c r="B828" s="36"/>
      <c r="C828" s="36"/>
      <c r="D828" s="37"/>
    </row>
    <row r="829" spans="1:4" ht="12.75" customHeight="1" x14ac:dyDescent="0.15">
      <c r="A829" s="35"/>
      <c r="B829" s="36"/>
      <c r="C829" s="36"/>
      <c r="D829" s="37"/>
    </row>
    <row r="830" spans="1:4" ht="12.75" customHeight="1" x14ac:dyDescent="0.15">
      <c r="A830" s="35"/>
      <c r="B830" s="36"/>
      <c r="C830" s="36"/>
      <c r="D830" s="37"/>
    </row>
    <row r="831" spans="1:4" ht="12.75" customHeight="1" x14ac:dyDescent="0.15">
      <c r="A831" s="35"/>
      <c r="B831" s="36"/>
      <c r="C831" s="36"/>
      <c r="D831" s="37"/>
    </row>
    <row r="832" spans="1:4" ht="12.75" customHeight="1" x14ac:dyDescent="0.15">
      <c r="A832" s="35"/>
      <c r="B832" s="36"/>
      <c r="C832" s="36"/>
      <c r="D832" s="37"/>
    </row>
    <row r="833" spans="1:4" ht="12.75" customHeight="1" x14ac:dyDescent="0.15">
      <c r="A833" s="35"/>
      <c r="B833" s="36"/>
      <c r="C833" s="36"/>
      <c r="D833" s="37"/>
    </row>
    <row r="834" spans="1:4" ht="12.75" customHeight="1" x14ac:dyDescent="0.15">
      <c r="A834" s="35"/>
      <c r="B834" s="36"/>
      <c r="C834" s="36"/>
      <c r="D834" s="37"/>
    </row>
    <row r="835" spans="1:4" ht="12.75" customHeight="1" x14ac:dyDescent="0.15">
      <c r="A835" s="35"/>
      <c r="B835" s="36"/>
      <c r="C835" s="36"/>
      <c r="D835" s="37"/>
    </row>
    <row r="836" spans="1:4" ht="12.75" customHeight="1" x14ac:dyDescent="0.15">
      <c r="A836" s="35"/>
      <c r="B836" s="36"/>
      <c r="C836" s="36"/>
      <c r="D836" s="37"/>
    </row>
    <row r="837" spans="1:4" ht="12.75" customHeight="1" x14ac:dyDescent="0.15">
      <c r="A837" s="35"/>
      <c r="B837" s="36"/>
      <c r="C837" s="36"/>
      <c r="D837" s="37"/>
    </row>
    <row r="838" spans="1:4" ht="12.75" customHeight="1" x14ac:dyDescent="0.15">
      <c r="A838" s="35"/>
      <c r="B838" s="36"/>
      <c r="C838" s="36"/>
      <c r="D838" s="37"/>
    </row>
    <row r="839" spans="1:4" ht="12.75" customHeight="1" x14ac:dyDescent="0.15">
      <c r="A839" s="35"/>
      <c r="B839" s="36"/>
      <c r="C839" s="36"/>
      <c r="D839" s="37"/>
    </row>
    <row r="840" spans="1:4" ht="12.75" customHeight="1" x14ac:dyDescent="0.15">
      <c r="A840" s="35"/>
      <c r="B840" s="36"/>
      <c r="C840" s="36"/>
      <c r="D840" s="37"/>
    </row>
    <row r="841" spans="1:4" ht="12.75" customHeight="1" x14ac:dyDescent="0.15">
      <c r="A841" s="35"/>
      <c r="B841" s="36"/>
      <c r="C841" s="36"/>
      <c r="D841" s="37"/>
    </row>
    <row r="842" spans="1:4" ht="12.75" customHeight="1" x14ac:dyDescent="0.15">
      <c r="A842" s="35"/>
      <c r="B842" s="36"/>
      <c r="C842" s="36"/>
      <c r="D842" s="37"/>
    </row>
    <row r="843" spans="1:4" ht="12.75" customHeight="1" x14ac:dyDescent="0.15">
      <c r="A843" s="35"/>
      <c r="B843" s="36"/>
      <c r="C843" s="36"/>
      <c r="D843" s="37"/>
    </row>
    <row r="844" spans="1:4" ht="12.75" customHeight="1" x14ac:dyDescent="0.15">
      <c r="A844" s="35"/>
      <c r="B844" s="36"/>
      <c r="C844" s="36"/>
      <c r="D844" s="37"/>
    </row>
    <row r="845" spans="1:4" ht="12.75" customHeight="1" x14ac:dyDescent="0.15">
      <c r="A845" s="35"/>
      <c r="B845" s="36"/>
      <c r="C845" s="36"/>
      <c r="D845" s="37"/>
    </row>
    <row r="846" spans="1:4" ht="12.75" customHeight="1" x14ac:dyDescent="0.15">
      <c r="A846" s="35"/>
      <c r="B846" s="36"/>
      <c r="C846" s="36"/>
      <c r="D846" s="37"/>
    </row>
    <row r="847" spans="1:4" ht="12.75" customHeight="1" x14ac:dyDescent="0.15">
      <c r="A847" s="35"/>
      <c r="B847" s="36"/>
      <c r="C847" s="36"/>
      <c r="D847" s="37"/>
    </row>
    <row r="848" spans="1:4" ht="12.75" customHeight="1" x14ac:dyDescent="0.15">
      <c r="A848" s="35"/>
      <c r="B848" s="36"/>
      <c r="C848" s="36"/>
      <c r="D848" s="37"/>
    </row>
    <row r="849" spans="1:4" ht="12.75" customHeight="1" x14ac:dyDescent="0.15">
      <c r="A849" s="35"/>
      <c r="B849" s="36"/>
      <c r="C849" s="36"/>
      <c r="D849" s="37"/>
    </row>
    <row r="850" spans="1:4" ht="12.75" customHeight="1" x14ac:dyDescent="0.15">
      <c r="A850" s="35"/>
      <c r="B850" s="36"/>
      <c r="C850" s="36"/>
      <c r="D850" s="37"/>
    </row>
    <row r="851" spans="1:4" ht="12.75" customHeight="1" x14ac:dyDescent="0.15">
      <c r="A851" s="35"/>
      <c r="B851" s="36"/>
      <c r="C851" s="36"/>
      <c r="D851" s="37"/>
    </row>
    <row r="852" spans="1:4" ht="12.75" customHeight="1" x14ac:dyDescent="0.15">
      <c r="A852" s="35"/>
      <c r="B852" s="36"/>
      <c r="C852" s="36"/>
      <c r="D852" s="37"/>
    </row>
    <row r="853" spans="1:4" ht="12.75" customHeight="1" x14ac:dyDescent="0.15">
      <c r="A853" s="35"/>
      <c r="B853" s="36"/>
      <c r="C853" s="36"/>
      <c r="D853" s="37"/>
    </row>
    <row r="854" spans="1:4" ht="12.75" customHeight="1" x14ac:dyDescent="0.15">
      <c r="A854" s="35"/>
      <c r="B854" s="36"/>
      <c r="C854" s="36"/>
      <c r="D854" s="37"/>
    </row>
    <row r="855" spans="1:4" ht="12.75" customHeight="1" x14ac:dyDescent="0.15">
      <c r="A855" s="35"/>
      <c r="B855" s="36"/>
      <c r="C855" s="36"/>
      <c r="D855" s="37"/>
    </row>
    <row r="856" spans="1:4" ht="12.75" customHeight="1" x14ac:dyDescent="0.15">
      <c r="A856" s="35"/>
      <c r="B856" s="36"/>
      <c r="C856" s="36"/>
      <c r="D856" s="37"/>
    </row>
    <row r="857" spans="1:4" ht="12.75" customHeight="1" x14ac:dyDescent="0.15">
      <c r="A857" s="35"/>
      <c r="B857" s="36"/>
      <c r="C857" s="36"/>
      <c r="D857" s="37"/>
    </row>
    <row r="858" spans="1:4" ht="12.75" customHeight="1" x14ac:dyDescent="0.15">
      <c r="A858" s="35"/>
      <c r="B858" s="36"/>
      <c r="C858" s="36"/>
      <c r="D858" s="37"/>
    </row>
    <row r="859" spans="1:4" ht="12.75" customHeight="1" x14ac:dyDescent="0.15">
      <c r="A859" s="35"/>
      <c r="B859" s="36"/>
      <c r="C859" s="36"/>
      <c r="D859" s="37"/>
    </row>
    <row r="860" spans="1:4" ht="12.75" customHeight="1" x14ac:dyDescent="0.15">
      <c r="A860" s="35"/>
      <c r="B860" s="36"/>
      <c r="C860" s="36"/>
      <c r="D860" s="37"/>
    </row>
    <row r="861" spans="1:4" ht="12.75" customHeight="1" x14ac:dyDescent="0.15">
      <c r="A861" s="35"/>
      <c r="B861" s="36"/>
      <c r="C861" s="36"/>
      <c r="D861" s="37"/>
    </row>
    <row r="862" spans="1:4" ht="12.75" customHeight="1" x14ac:dyDescent="0.15">
      <c r="A862" s="35"/>
      <c r="B862" s="36"/>
      <c r="C862" s="36"/>
      <c r="D862" s="37"/>
    </row>
    <row r="863" spans="1:4" ht="12.75" customHeight="1" x14ac:dyDescent="0.15">
      <c r="A863" s="35"/>
      <c r="B863" s="36"/>
      <c r="C863" s="36"/>
      <c r="D863" s="37"/>
    </row>
    <row r="864" spans="1:4" ht="12.75" customHeight="1" x14ac:dyDescent="0.15">
      <c r="A864" s="35"/>
      <c r="B864" s="36"/>
      <c r="C864" s="36"/>
      <c r="D864" s="37"/>
    </row>
    <row r="865" spans="1:4" ht="12.75" customHeight="1" x14ac:dyDescent="0.15">
      <c r="A865" s="35"/>
      <c r="B865" s="36"/>
      <c r="C865" s="36"/>
      <c r="D865" s="37"/>
    </row>
    <row r="866" spans="1:4" ht="12.75" customHeight="1" x14ac:dyDescent="0.15">
      <c r="A866" s="35"/>
      <c r="B866" s="36"/>
      <c r="C866" s="36"/>
      <c r="D866" s="37"/>
    </row>
    <row r="867" spans="1:4" ht="12.75" customHeight="1" x14ac:dyDescent="0.15">
      <c r="A867" s="35"/>
      <c r="B867" s="36"/>
      <c r="C867" s="36"/>
      <c r="D867" s="37"/>
    </row>
    <row r="868" spans="1:4" ht="12.75" customHeight="1" x14ac:dyDescent="0.15">
      <c r="A868" s="35"/>
      <c r="B868" s="36"/>
      <c r="C868" s="36"/>
      <c r="D868" s="37"/>
    </row>
    <row r="869" spans="1:4" ht="12.75" customHeight="1" x14ac:dyDescent="0.15">
      <c r="A869" s="35"/>
      <c r="B869" s="36"/>
      <c r="C869" s="36"/>
      <c r="D869" s="37"/>
    </row>
    <row r="870" spans="1:4" ht="12.75" customHeight="1" x14ac:dyDescent="0.15">
      <c r="A870" s="35"/>
      <c r="B870" s="36"/>
      <c r="C870" s="36"/>
      <c r="D870" s="37"/>
    </row>
    <row r="871" spans="1:4" ht="12.75" customHeight="1" x14ac:dyDescent="0.15">
      <c r="A871" s="35"/>
      <c r="B871" s="36"/>
      <c r="C871" s="36"/>
      <c r="D871" s="37"/>
    </row>
    <row r="872" spans="1:4" ht="12.75" customHeight="1" x14ac:dyDescent="0.15">
      <c r="A872" s="35"/>
      <c r="B872" s="36"/>
      <c r="C872" s="36"/>
      <c r="D872" s="37"/>
    </row>
    <row r="873" spans="1:4" ht="12.75" customHeight="1" x14ac:dyDescent="0.15">
      <c r="A873" s="35"/>
      <c r="B873" s="36"/>
      <c r="C873" s="36"/>
      <c r="D873" s="37"/>
    </row>
    <row r="874" spans="1:4" ht="12.75" customHeight="1" x14ac:dyDescent="0.15">
      <c r="A874" s="35"/>
      <c r="B874" s="36"/>
      <c r="C874" s="36"/>
      <c r="D874" s="37"/>
    </row>
    <row r="875" spans="1:4" ht="12.75" customHeight="1" x14ac:dyDescent="0.15">
      <c r="A875" s="35"/>
      <c r="B875" s="36"/>
      <c r="C875" s="36"/>
      <c r="D875" s="37"/>
    </row>
    <row r="876" spans="1:4" ht="12.75" customHeight="1" x14ac:dyDescent="0.15">
      <c r="A876" s="35"/>
      <c r="B876" s="36"/>
      <c r="C876" s="36"/>
      <c r="D876" s="37"/>
    </row>
    <row r="877" spans="1:4" ht="12.75" customHeight="1" x14ac:dyDescent="0.15">
      <c r="A877" s="35"/>
      <c r="B877" s="36"/>
      <c r="C877" s="36"/>
      <c r="D877" s="37"/>
    </row>
    <row r="878" spans="1:4" ht="12.75" customHeight="1" x14ac:dyDescent="0.15">
      <c r="A878" s="35"/>
      <c r="B878" s="36"/>
      <c r="C878" s="36"/>
      <c r="D878" s="37"/>
    </row>
    <row r="879" spans="1:4" ht="12.75" customHeight="1" x14ac:dyDescent="0.15">
      <c r="A879" s="35"/>
      <c r="B879" s="36"/>
      <c r="C879" s="36"/>
      <c r="D879" s="37"/>
    </row>
    <row r="880" spans="1:4" ht="12.75" customHeight="1" x14ac:dyDescent="0.15">
      <c r="A880" s="35"/>
      <c r="B880" s="36"/>
      <c r="C880" s="36"/>
      <c r="D880" s="37"/>
    </row>
    <row r="881" spans="1:4" ht="12.75" customHeight="1" x14ac:dyDescent="0.15">
      <c r="A881" s="35"/>
      <c r="B881" s="36"/>
      <c r="C881" s="36"/>
      <c r="D881" s="37"/>
    </row>
    <row r="882" spans="1:4" ht="12.75" customHeight="1" x14ac:dyDescent="0.15">
      <c r="A882" s="35"/>
      <c r="B882" s="36"/>
      <c r="C882" s="36"/>
      <c r="D882" s="37"/>
    </row>
    <row r="883" spans="1:4" ht="12.75" customHeight="1" x14ac:dyDescent="0.15">
      <c r="A883" s="35"/>
      <c r="B883" s="36"/>
      <c r="C883" s="36"/>
      <c r="D883" s="37"/>
    </row>
    <row r="884" spans="1:4" ht="12.75" customHeight="1" x14ac:dyDescent="0.15">
      <c r="A884" s="35"/>
      <c r="B884" s="36"/>
      <c r="C884" s="36"/>
      <c r="D884" s="37"/>
    </row>
    <row r="885" spans="1:4" ht="12.75" customHeight="1" x14ac:dyDescent="0.15">
      <c r="A885" s="35"/>
      <c r="B885" s="36"/>
      <c r="C885" s="36"/>
      <c r="D885" s="37"/>
    </row>
    <row r="886" spans="1:4" ht="12.75" customHeight="1" x14ac:dyDescent="0.15">
      <c r="A886" s="35"/>
      <c r="B886" s="36"/>
      <c r="C886" s="36"/>
      <c r="D886" s="37"/>
    </row>
    <row r="887" spans="1:4" ht="12.75" customHeight="1" x14ac:dyDescent="0.15">
      <c r="A887" s="35"/>
      <c r="B887" s="36"/>
      <c r="C887" s="36"/>
      <c r="D887" s="37"/>
    </row>
    <row r="888" spans="1:4" ht="12.75" customHeight="1" x14ac:dyDescent="0.15">
      <c r="A888" s="35"/>
      <c r="B888" s="36"/>
      <c r="C888" s="36"/>
      <c r="D888" s="37"/>
    </row>
    <row r="889" spans="1:4" ht="12.75" customHeight="1" x14ac:dyDescent="0.15">
      <c r="A889" s="35"/>
      <c r="B889" s="36"/>
      <c r="C889" s="36"/>
      <c r="D889" s="37"/>
    </row>
    <row r="890" spans="1:4" ht="12.75" customHeight="1" x14ac:dyDescent="0.15">
      <c r="A890" s="35"/>
      <c r="B890" s="36"/>
      <c r="C890" s="36"/>
      <c r="D890" s="37"/>
    </row>
    <row r="891" spans="1:4" ht="12.75" customHeight="1" x14ac:dyDescent="0.15">
      <c r="A891" s="35"/>
      <c r="B891" s="36"/>
      <c r="C891" s="36"/>
      <c r="D891" s="37"/>
    </row>
    <row r="892" spans="1:4" ht="12.75" customHeight="1" x14ac:dyDescent="0.15">
      <c r="A892" s="35"/>
      <c r="B892" s="36"/>
      <c r="C892" s="36"/>
      <c r="D892" s="37"/>
    </row>
    <row r="893" spans="1:4" ht="12.75" customHeight="1" x14ac:dyDescent="0.15">
      <c r="A893" s="35"/>
      <c r="B893" s="36"/>
      <c r="C893" s="36"/>
      <c r="D893" s="37"/>
    </row>
    <row r="894" spans="1:4" ht="12.75" customHeight="1" x14ac:dyDescent="0.15">
      <c r="A894" s="35"/>
      <c r="B894" s="36"/>
      <c r="C894" s="36"/>
      <c r="D894" s="37"/>
    </row>
    <row r="895" spans="1:4" ht="12.75" customHeight="1" x14ac:dyDescent="0.15">
      <c r="A895" s="35"/>
      <c r="B895" s="36"/>
      <c r="C895" s="36"/>
      <c r="D895" s="37"/>
    </row>
    <row r="896" spans="1:4" ht="12.75" customHeight="1" x14ac:dyDescent="0.15">
      <c r="A896" s="35"/>
      <c r="B896" s="36"/>
      <c r="C896" s="36"/>
      <c r="D896" s="37"/>
    </row>
    <row r="897" spans="1:4" ht="12.75" customHeight="1" x14ac:dyDescent="0.15">
      <c r="A897" s="35"/>
      <c r="B897" s="36"/>
      <c r="C897" s="36"/>
      <c r="D897" s="37"/>
    </row>
    <row r="898" spans="1:4" ht="12.75" customHeight="1" x14ac:dyDescent="0.15">
      <c r="A898" s="35"/>
      <c r="B898" s="36"/>
      <c r="C898" s="36"/>
      <c r="D898" s="37"/>
    </row>
    <row r="899" spans="1:4" ht="12.75" customHeight="1" x14ac:dyDescent="0.15">
      <c r="A899" s="35"/>
      <c r="B899" s="36"/>
      <c r="C899" s="36"/>
      <c r="D899" s="37"/>
    </row>
    <row r="900" spans="1:4" ht="12.75" customHeight="1" x14ac:dyDescent="0.15">
      <c r="A900" s="35"/>
      <c r="B900" s="36"/>
      <c r="C900" s="36"/>
      <c r="D900" s="37"/>
    </row>
    <row r="901" spans="1:4" ht="12.75" customHeight="1" x14ac:dyDescent="0.15">
      <c r="A901" s="35"/>
      <c r="B901" s="36"/>
      <c r="C901" s="36"/>
      <c r="D901" s="37"/>
    </row>
    <row r="902" spans="1:4" ht="12.75" customHeight="1" x14ac:dyDescent="0.15">
      <c r="A902" s="35"/>
      <c r="B902" s="36"/>
      <c r="C902" s="36"/>
      <c r="D902" s="37"/>
    </row>
    <row r="903" spans="1:4" ht="12.75" customHeight="1" x14ac:dyDescent="0.15">
      <c r="A903" s="35"/>
      <c r="B903" s="36"/>
      <c r="C903" s="36"/>
      <c r="D903" s="37"/>
    </row>
    <row r="904" spans="1:4" ht="12.75" customHeight="1" x14ac:dyDescent="0.15">
      <c r="A904" s="35"/>
      <c r="B904" s="36"/>
      <c r="C904" s="36"/>
      <c r="D904" s="37"/>
    </row>
    <row r="905" spans="1:4" ht="12.75" customHeight="1" x14ac:dyDescent="0.15">
      <c r="A905" s="35"/>
      <c r="B905" s="36"/>
      <c r="C905" s="36"/>
      <c r="D905" s="37"/>
    </row>
    <row r="906" spans="1:4" ht="12.75" customHeight="1" x14ac:dyDescent="0.15">
      <c r="A906" s="35"/>
      <c r="B906" s="36"/>
      <c r="C906" s="36"/>
      <c r="D906" s="37"/>
    </row>
    <row r="907" spans="1:4" ht="12.75" customHeight="1" x14ac:dyDescent="0.15">
      <c r="A907" s="35"/>
      <c r="B907" s="36"/>
      <c r="C907" s="36"/>
      <c r="D907" s="37"/>
    </row>
    <row r="908" spans="1:4" ht="12.75" customHeight="1" x14ac:dyDescent="0.15">
      <c r="A908" s="35"/>
      <c r="B908" s="36"/>
      <c r="C908" s="36"/>
      <c r="D908" s="37"/>
    </row>
    <row r="909" spans="1:4" ht="12.75" customHeight="1" x14ac:dyDescent="0.15">
      <c r="A909" s="35"/>
      <c r="B909" s="36"/>
      <c r="C909" s="36"/>
      <c r="D909" s="37"/>
    </row>
    <row r="910" spans="1:4" ht="12.75" customHeight="1" x14ac:dyDescent="0.15">
      <c r="A910" s="35"/>
      <c r="B910" s="36"/>
      <c r="C910" s="36"/>
      <c r="D910" s="37"/>
    </row>
    <row r="911" spans="1:4" ht="12.75" customHeight="1" x14ac:dyDescent="0.15">
      <c r="A911" s="35"/>
      <c r="B911" s="36"/>
      <c r="C911" s="36"/>
      <c r="D911" s="37"/>
    </row>
    <row r="912" spans="1:4" ht="12.75" customHeight="1" x14ac:dyDescent="0.15">
      <c r="A912" s="35"/>
      <c r="B912" s="36"/>
      <c r="C912" s="36"/>
      <c r="D912" s="37"/>
    </row>
    <row r="913" spans="1:4" ht="12.75" customHeight="1" x14ac:dyDescent="0.15">
      <c r="A913" s="35"/>
      <c r="B913" s="36"/>
      <c r="C913" s="36"/>
      <c r="D913" s="37"/>
    </row>
    <row r="914" spans="1:4" ht="12.75" customHeight="1" x14ac:dyDescent="0.15">
      <c r="A914" s="35"/>
      <c r="B914" s="36"/>
      <c r="C914" s="36"/>
      <c r="D914" s="37"/>
    </row>
    <row r="915" spans="1:4" ht="12.75" customHeight="1" x14ac:dyDescent="0.15">
      <c r="A915" s="35"/>
      <c r="B915" s="36"/>
      <c r="C915" s="36"/>
      <c r="D915" s="37"/>
    </row>
    <row r="916" spans="1:4" ht="12.75" customHeight="1" x14ac:dyDescent="0.15">
      <c r="A916" s="35"/>
      <c r="B916" s="36"/>
      <c r="C916" s="36"/>
      <c r="D916" s="37"/>
    </row>
    <row r="917" spans="1:4" ht="12.75" customHeight="1" x14ac:dyDescent="0.15">
      <c r="A917" s="35"/>
      <c r="B917" s="36"/>
      <c r="C917" s="36"/>
      <c r="D917" s="37"/>
    </row>
    <row r="918" spans="1:4" ht="12.75" customHeight="1" x14ac:dyDescent="0.15">
      <c r="A918" s="35"/>
      <c r="B918" s="36"/>
      <c r="C918" s="36"/>
      <c r="D918" s="37"/>
    </row>
    <row r="919" spans="1:4" ht="12.75" customHeight="1" x14ac:dyDescent="0.15">
      <c r="A919" s="35"/>
      <c r="B919" s="36"/>
      <c r="C919" s="36"/>
      <c r="D919" s="37"/>
    </row>
    <row r="920" spans="1:4" ht="12.75" customHeight="1" x14ac:dyDescent="0.15">
      <c r="A920" s="35"/>
      <c r="B920" s="36"/>
      <c r="C920" s="36"/>
      <c r="D920" s="37"/>
    </row>
    <row r="921" spans="1:4" ht="12.75" customHeight="1" x14ac:dyDescent="0.15">
      <c r="A921" s="35"/>
      <c r="B921" s="36"/>
      <c r="C921" s="36"/>
      <c r="D921" s="37"/>
    </row>
    <row r="922" spans="1:4" ht="12.75" customHeight="1" x14ac:dyDescent="0.15">
      <c r="A922" s="35"/>
      <c r="B922" s="36"/>
      <c r="C922" s="36"/>
      <c r="D922" s="37"/>
    </row>
    <row r="923" spans="1:4" ht="12.75" customHeight="1" x14ac:dyDescent="0.15">
      <c r="A923" s="35"/>
      <c r="B923" s="36"/>
      <c r="C923" s="36"/>
      <c r="D923" s="37"/>
    </row>
    <row r="924" spans="1:4" ht="12.75" customHeight="1" x14ac:dyDescent="0.15">
      <c r="A924" s="35"/>
      <c r="B924" s="36"/>
      <c r="C924" s="36"/>
      <c r="D924" s="37"/>
    </row>
    <row r="925" spans="1:4" ht="12.75" customHeight="1" x14ac:dyDescent="0.15">
      <c r="A925" s="35"/>
      <c r="B925" s="36"/>
      <c r="C925" s="36"/>
      <c r="D925" s="37"/>
    </row>
    <row r="926" spans="1:4" ht="12.75" customHeight="1" x14ac:dyDescent="0.15">
      <c r="A926" s="35"/>
      <c r="B926" s="36"/>
      <c r="C926" s="36"/>
      <c r="D926" s="37"/>
    </row>
    <row r="927" spans="1:4" ht="12.75" customHeight="1" x14ac:dyDescent="0.15">
      <c r="A927" s="35"/>
      <c r="B927" s="36"/>
      <c r="C927" s="36"/>
      <c r="D927" s="37"/>
    </row>
    <row r="928" spans="1:4" ht="12.75" customHeight="1" x14ac:dyDescent="0.15">
      <c r="A928" s="35"/>
      <c r="B928" s="36"/>
      <c r="C928" s="36"/>
      <c r="D928" s="37"/>
    </row>
    <row r="929" spans="1:4" ht="12.75" customHeight="1" x14ac:dyDescent="0.15">
      <c r="A929" s="35"/>
      <c r="B929" s="36"/>
      <c r="C929" s="36"/>
      <c r="D929" s="37"/>
    </row>
    <row r="930" spans="1:4" ht="12.75" customHeight="1" x14ac:dyDescent="0.15">
      <c r="A930" s="35"/>
      <c r="B930" s="36"/>
      <c r="C930" s="36"/>
      <c r="D930" s="37"/>
    </row>
    <row r="931" spans="1:4" ht="12.75" customHeight="1" x14ac:dyDescent="0.15">
      <c r="A931" s="35"/>
      <c r="B931" s="36"/>
      <c r="C931" s="36"/>
      <c r="D931" s="37"/>
    </row>
    <row r="932" spans="1:4" ht="12.75" customHeight="1" x14ac:dyDescent="0.15">
      <c r="A932" s="35"/>
      <c r="B932" s="36"/>
      <c r="C932" s="36"/>
      <c r="D932" s="37"/>
    </row>
    <row r="933" spans="1:4" ht="12.75" customHeight="1" x14ac:dyDescent="0.15">
      <c r="A933" s="35"/>
      <c r="B933" s="36"/>
      <c r="C933" s="36"/>
      <c r="D933" s="37"/>
    </row>
    <row r="934" spans="1:4" ht="12.75" customHeight="1" x14ac:dyDescent="0.15">
      <c r="A934" s="35"/>
      <c r="B934" s="36"/>
      <c r="C934" s="36"/>
      <c r="D934" s="37"/>
    </row>
    <row r="935" spans="1:4" ht="12.75" customHeight="1" x14ac:dyDescent="0.15">
      <c r="A935" s="35"/>
      <c r="B935" s="36"/>
      <c r="C935" s="36"/>
      <c r="D935" s="37"/>
    </row>
    <row r="936" spans="1:4" ht="12.75" customHeight="1" x14ac:dyDescent="0.15">
      <c r="A936" s="35"/>
      <c r="B936" s="36"/>
      <c r="C936" s="36"/>
      <c r="D936" s="37"/>
    </row>
    <row r="937" spans="1:4" ht="12.75" customHeight="1" x14ac:dyDescent="0.15">
      <c r="A937" s="35"/>
      <c r="B937" s="36"/>
      <c r="C937" s="36"/>
      <c r="D937" s="37"/>
    </row>
    <row r="938" spans="1:4" ht="12.75" customHeight="1" x14ac:dyDescent="0.15">
      <c r="A938" s="35"/>
      <c r="B938" s="36"/>
      <c r="C938" s="36"/>
      <c r="D938" s="37"/>
    </row>
    <row r="939" spans="1:4" ht="12.75" customHeight="1" x14ac:dyDescent="0.15">
      <c r="A939" s="35"/>
      <c r="B939" s="36"/>
      <c r="C939" s="36"/>
      <c r="D939" s="37"/>
    </row>
    <row r="940" spans="1:4" ht="12.75" customHeight="1" x14ac:dyDescent="0.15">
      <c r="A940" s="35"/>
      <c r="B940" s="36"/>
      <c r="C940" s="36"/>
      <c r="D940" s="37"/>
    </row>
    <row r="941" spans="1:4" ht="12.75" customHeight="1" x14ac:dyDescent="0.15">
      <c r="A941" s="35"/>
      <c r="B941" s="36"/>
      <c r="C941" s="36"/>
      <c r="D941" s="37"/>
    </row>
    <row r="942" spans="1:4" ht="12.75" customHeight="1" x14ac:dyDescent="0.15">
      <c r="A942" s="35"/>
      <c r="B942" s="36"/>
      <c r="C942" s="36"/>
      <c r="D942" s="37"/>
    </row>
    <row r="943" spans="1:4" ht="12.75" customHeight="1" x14ac:dyDescent="0.15">
      <c r="A943" s="35"/>
      <c r="B943" s="36"/>
      <c r="C943" s="36"/>
      <c r="D943" s="37"/>
    </row>
    <row r="944" spans="1:4" ht="12.75" customHeight="1" x14ac:dyDescent="0.15">
      <c r="A944" s="35"/>
      <c r="B944" s="36"/>
      <c r="C944" s="36"/>
      <c r="D944" s="37"/>
    </row>
    <row r="945" spans="1:4" ht="12.75" customHeight="1" x14ac:dyDescent="0.15">
      <c r="A945" s="35"/>
      <c r="B945" s="36"/>
      <c r="C945" s="36"/>
      <c r="D945" s="37"/>
    </row>
    <row r="946" spans="1:4" ht="12.75" customHeight="1" x14ac:dyDescent="0.15">
      <c r="A946" s="35"/>
      <c r="B946" s="36"/>
      <c r="C946" s="36"/>
      <c r="D946" s="37"/>
    </row>
    <row r="947" spans="1:4" ht="12.75" customHeight="1" x14ac:dyDescent="0.15">
      <c r="A947" s="35"/>
      <c r="B947" s="36"/>
      <c r="C947" s="36"/>
      <c r="D947" s="37"/>
    </row>
    <row r="948" spans="1:4" ht="12.75" customHeight="1" x14ac:dyDescent="0.15">
      <c r="A948" s="35"/>
      <c r="B948" s="36"/>
      <c r="C948" s="36"/>
      <c r="D948" s="37"/>
    </row>
    <row r="949" spans="1:4" ht="12.75" customHeight="1" x14ac:dyDescent="0.15">
      <c r="A949" s="35"/>
      <c r="B949" s="36"/>
      <c r="C949" s="36"/>
      <c r="D949" s="37"/>
    </row>
    <row r="950" spans="1:4" ht="12.75" customHeight="1" x14ac:dyDescent="0.15">
      <c r="A950" s="35"/>
      <c r="B950" s="36"/>
      <c r="C950" s="36"/>
      <c r="D950" s="37"/>
    </row>
    <row r="951" spans="1:4" ht="12.75" customHeight="1" x14ac:dyDescent="0.15">
      <c r="A951" s="35"/>
      <c r="B951" s="36"/>
      <c r="C951" s="36"/>
      <c r="D951" s="37"/>
    </row>
    <row r="952" spans="1:4" ht="12.75" customHeight="1" x14ac:dyDescent="0.15">
      <c r="A952" s="35"/>
      <c r="B952" s="36"/>
      <c r="C952" s="36"/>
      <c r="D952" s="37"/>
    </row>
    <row r="953" spans="1:4" ht="12.75" customHeight="1" x14ac:dyDescent="0.15">
      <c r="A953" s="35"/>
      <c r="B953" s="36"/>
      <c r="C953" s="36"/>
      <c r="D953" s="37"/>
    </row>
    <row r="954" spans="1:4" ht="12.75" customHeight="1" x14ac:dyDescent="0.15">
      <c r="A954" s="35"/>
      <c r="B954" s="36"/>
      <c r="C954" s="36"/>
      <c r="D954" s="37"/>
    </row>
    <row r="955" spans="1:4" ht="12.75" customHeight="1" x14ac:dyDescent="0.15">
      <c r="A955" s="35"/>
      <c r="B955" s="36"/>
      <c r="C955" s="36"/>
      <c r="D955" s="37"/>
    </row>
    <row r="956" spans="1:4" ht="12.75" customHeight="1" x14ac:dyDescent="0.15">
      <c r="A956" s="35"/>
      <c r="B956" s="36"/>
      <c r="C956" s="36"/>
      <c r="D956" s="37"/>
    </row>
    <row r="957" spans="1:4" ht="12.75" customHeight="1" x14ac:dyDescent="0.15">
      <c r="A957" s="35"/>
      <c r="B957" s="36"/>
      <c r="C957" s="36"/>
      <c r="D957" s="37"/>
    </row>
    <row r="958" spans="1:4" ht="12.75" customHeight="1" x14ac:dyDescent="0.15">
      <c r="A958" s="35"/>
      <c r="B958" s="36"/>
      <c r="C958" s="36"/>
      <c r="D958" s="37"/>
    </row>
    <row r="959" spans="1:4" ht="12.75" customHeight="1" x14ac:dyDescent="0.15">
      <c r="A959" s="35"/>
      <c r="B959" s="36"/>
      <c r="C959" s="36"/>
      <c r="D959" s="37"/>
    </row>
    <row r="960" spans="1:4" ht="12.75" customHeight="1" x14ac:dyDescent="0.15">
      <c r="A960" s="35"/>
      <c r="B960" s="36"/>
      <c r="C960" s="36"/>
      <c r="D960" s="37"/>
    </row>
    <row r="961" spans="1:4" ht="12.75" customHeight="1" x14ac:dyDescent="0.15">
      <c r="A961" s="35"/>
      <c r="B961" s="36"/>
      <c r="C961" s="36"/>
      <c r="D961" s="37"/>
    </row>
    <row r="962" spans="1:4" ht="12.75" customHeight="1" x14ac:dyDescent="0.15">
      <c r="A962" s="35"/>
      <c r="B962" s="36"/>
      <c r="C962" s="36"/>
      <c r="D962" s="37"/>
    </row>
    <row r="963" spans="1:4" ht="12.75" customHeight="1" x14ac:dyDescent="0.15">
      <c r="A963" s="35"/>
      <c r="B963" s="36"/>
      <c r="C963" s="36"/>
      <c r="D963" s="37"/>
    </row>
    <row r="964" spans="1:4" ht="12.75" customHeight="1" x14ac:dyDescent="0.15">
      <c r="A964" s="35"/>
      <c r="B964" s="36"/>
      <c r="C964" s="36"/>
      <c r="D964" s="37"/>
    </row>
    <row r="965" spans="1:4" ht="12.75" customHeight="1" x14ac:dyDescent="0.15">
      <c r="A965" s="35"/>
      <c r="B965" s="36"/>
      <c r="C965" s="36"/>
      <c r="D965" s="37"/>
    </row>
    <row r="966" spans="1:4" ht="12.75" customHeight="1" x14ac:dyDescent="0.15">
      <c r="A966" s="35"/>
      <c r="B966" s="36"/>
      <c r="C966" s="36"/>
      <c r="D966" s="37"/>
    </row>
    <row r="967" spans="1:4" ht="12.75" customHeight="1" x14ac:dyDescent="0.15">
      <c r="A967" s="35"/>
      <c r="B967" s="36"/>
      <c r="C967" s="36"/>
      <c r="D967" s="37"/>
    </row>
    <row r="968" spans="1:4" ht="12.75" customHeight="1" x14ac:dyDescent="0.15">
      <c r="A968" s="35"/>
      <c r="B968" s="36"/>
      <c r="C968" s="36"/>
      <c r="D968" s="37"/>
    </row>
    <row r="969" spans="1:4" ht="12.75" customHeight="1" x14ac:dyDescent="0.15">
      <c r="A969" s="35"/>
      <c r="B969" s="36"/>
      <c r="C969" s="36"/>
      <c r="D969" s="37"/>
    </row>
    <row r="970" spans="1:4" ht="12.75" customHeight="1" x14ac:dyDescent="0.15">
      <c r="A970" s="35"/>
      <c r="B970" s="36"/>
      <c r="C970" s="36"/>
      <c r="D970" s="37"/>
    </row>
    <row r="971" spans="1:4" ht="12.75" customHeight="1" x14ac:dyDescent="0.15">
      <c r="A971" s="35"/>
      <c r="B971" s="36"/>
      <c r="C971" s="36"/>
      <c r="D971" s="37"/>
    </row>
    <row r="972" spans="1:4" ht="12.75" customHeight="1" x14ac:dyDescent="0.15">
      <c r="A972" s="35"/>
      <c r="B972" s="36"/>
      <c r="C972" s="36"/>
      <c r="D972" s="37"/>
    </row>
    <row r="973" spans="1:4" ht="12.75" customHeight="1" x14ac:dyDescent="0.15">
      <c r="A973" s="35"/>
      <c r="B973" s="36"/>
      <c r="C973" s="36"/>
      <c r="D973" s="37"/>
    </row>
    <row r="974" spans="1:4" ht="12.75" customHeight="1" x14ac:dyDescent="0.15">
      <c r="A974" s="35"/>
      <c r="B974" s="36"/>
      <c r="C974" s="36"/>
      <c r="D974" s="37"/>
    </row>
    <row r="975" spans="1:4" ht="12.75" customHeight="1" x14ac:dyDescent="0.15">
      <c r="A975" s="35"/>
      <c r="B975" s="36"/>
      <c r="C975" s="36"/>
      <c r="D975" s="37"/>
    </row>
    <row r="976" spans="1:4" ht="12.75" customHeight="1" x14ac:dyDescent="0.15">
      <c r="A976" s="35"/>
      <c r="B976" s="36"/>
      <c r="C976" s="36"/>
      <c r="D976" s="37"/>
    </row>
    <row r="977" spans="1:4" ht="12.75" customHeight="1" x14ac:dyDescent="0.15">
      <c r="A977" s="35"/>
      <c r="B977" s="36"/>
      <c r="C977" s="36"/>
      <c r="D977" s="37"/>
    </row>
    <row r="978" spans="1:4" ht="12.75" customHeight="1" x14ac:dyDescent="0.15">
      <c r="A978" s="35"/>
      <c r="B978" s="36"/>
      <c r="C978" s="36"/>
      <c r="D978" s="37"/>
    </row>
    <row r="979" spans="1:4" ht="12.75" customHeight="1" x14ac:dyDescent="0.15">
      <c r="A979" s="35"/>
      <c r="B979" s="36"/>
      <c r="C979" s="36"/>
      <c r="D979" s="37"/>
    </row>
    <row r="980" spans="1:4" ht="12.75" customHeight="1" x14ac:dyDescent="0.15">
      <c r="A980" s="35"/>
      <c r="B980" s="36"/>
      <c r="C980" s="36"/>
      <c r="D980" s="37"/>
    </row>
    <row r="981" spans="1:4" ht="12.75" customHeight="1" x14ac:dyDescent="0.15">
      <c r="A981" s="35"/>
      <c r="B981" s="36"/>
      <c r="C981" s="36"/>
      <c r="D981" s="37"/>
    </row>
    <row r="982" spans="1:4" ht="12.75" customHeight="1" x14ac:dyDescent="0.15">
      <c r="A982" s="35"/>
      <c r="B982" s="36"/>
      <c r="C982" s="36"/>
      <c r="D982" s="37"/>
    </row>
    <row r="983" spans="1:4" ht="12.75" customHeight="1" x14ac:dyDescent="0.15">
      <c r="A983" s="35"/>
      <c r="B983" s="36"/>
      <c r="C983" s="36"/>
      <c r="D983" s="37"/>
    </row>
    <row r="984" spans="1:4" ht="12.75" customHeight="1" x14ac:dyDescent="0.15">
      <c r="A984" s="35"/>
      <c r="B984" s="36"/>
      <c r="C984" s="36"/>
      <c r="D984" s="37"/>
    </row>
    <row r="985" spans="1:4" ht="12.75" customHeight="1" x14ac:dyDescent="0.15">
      <c r="A985" s="35"/>
      <c r="B985" s="36"/>
      <c r="C985" s="36"/>
      <c r="D985" s="37"/>
    </row>
    <row r="986" spans="1:4" ht="12.75" customHeight="1" x14ac:dyDescent="0.15">
      <c r="A986" s="35"/>
      <c r="B986" s="36"/>
      <c r="C986" s="36"/>
      <c r="D986" s="37"/>
    </row>
    <row r="987" spans="1:4" ht="12.75" customHeight="1" x14ac:dyDescent="0.15">
      <c r="A987" s="35"/>
      <c r="B987" s="36"/>
      <c r="C987" s="36"/>
      <c r="D987" s="37"/>
    </row>
    <row r="988" spans="1:4" ht="12.75" customHeight="1" x14ac:dyDescent="0.15">
      <c r="A988" s="35"/>
      <c r="B988" s="36"/>
      <c r="C988" s="36"/>
      <c r="D988" s="37"/>
    </row>
    <row r="989" spans="1:4" ht="12.75" customHeight="1" x14ac:dyDescent="0.15">
      <c r="A989" s="35"/>
      <c r="B989" s="36"/>
      <c r="C989" s="36"/>
      <c r="D989" s="37"/>
    </row>
    <row r="990" spans="1:4" ht="12.75" customHeight="1" x14ac:dyDescent="0.15">
      <c r="A990" s="35"/>
      <c r="B990" s="36"/>
      <c r="C990" s="36"/>
      <c r="D990" s="37"/>
    </row>
    <row r="991" spans="1:4" ht="12.75" customHeight="1" x14ac:dyDescent="0.15">
      <c r="A991" s="35"/>
      <c r="B991" s="36"/>
      <c r="C991" s="36"/>
      <c r="D991" s="37"/>
    </row>
    <row r="992" spans="1:4" ht="12.75" customHeight="1" x14ac:dyDescent="0.15">
      <c r="A992" s="35"/>
      <c r="B992" s="36"/>
      <c r="C992" s="36"/>
      <c r="D992" s="37"/>
    </row>
    <row r="993" spans="1:4" ht="12.75" customHeight="1" x14ac:dyDescent="0.15">
      <c r="A993" s="35"/>
      <c r="B993" s="36"/>
      <c r="C993" s="36"/>
      <c r="D993" s="37"/>
    </row>
    <row r="994" spans="1:4" ht="12.75" customHeight="1" x14ac:dyDescent="0.15">
      <c r="A994" s="38"/>
      <c r="B994" s="39"/>
      <c r="C994" s="39"/>
      <c r="D994" s="40"/>
    </row>
    <row r="995" spans="1:4" ht="12.75" customHeight="1" x14ac:dyDescent="0.15">
      <c r="A995" s="38"/>
      <c r="B995" s="39"/>
      <c r="C995" s="39"/>
      <c r="D995" s="40"/>
    </row>
    <row r="996" spans="1:4" ht="12.75" customHeight="1" x14ac:dyDescent="0.15">
      <c r="A996" s="38"/>
      <c r="B996" s="39"/>
      <c r="C996" s="39"/>
      <c r="D996" s="40"/>
    </row>
    <row r="997" spans="1:4" ht="12.75" customHeight="1" x14ac:dyDescent="0.15">
      <c r="A997" s="38"/>
      <c r="B997" s="39"/>
      <c r="C997" s="39"/>
      <c r="D997" s="40"/>
    </row>
    <row r="998" spans="1:4" ht="12.75" customHeight="1" x14ac:dyDescent="0.15">
      <c r="A998" s="38"/>
      <c r="B998" s="39"/>
      <c r="C998" s="39"/>
      <c r="D998" s="40"/>
    </row>
    <row r="999" spans="1:4" ht="12.75" customHeight="1" x14ac:dyDescent="0.15">
      <c r="A999" s="38"/>
      <c r="B999" s="39"/>
      <c r="C999" s="39"/>
      <c r="D999" s="40"/>
    </row>
    <row r="1000" spans="1:4" ht="12.75" customHeight="1" x14ac:dyDescent="0.15">
      <c r="A1000" s="38"/>
      <c r="B1000" s="39"/>
      <c r="C1000" s="39"/>
      <c r="D1000" s="40"/>
    </row>
    <row r="1001" spans="1:4" ht="12.75" customHeight="1" x14ac:dyDescent="0.15">
      <c r="A1001" s="38"/>
      <c r="B1001" s="39"/>
      <c r="C1001" s="39"/>
      <c r="D1001" s="40"/>
    </row>
    <row r="1002" spans="1:4" ht="12.75" customHeight="1" x14ac:dyDescent="0.15">
      <c r="A1002" s="38"/>
      <c r="B1002" s="39"/>
      <c r="C1002" s="39"/>
      <c r="D1002" s="40"/>
    </row>
    <row r="1003" spans="1:4" ht="12.75" customHeight="1" x14ac:dyDescent="0.15">
      <c r="A1003" s="38"/>
      <c r="B1003" s="39"/>
      <c r="C1003" s="39"/>
      <c r="D1003" s="40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1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69</v>
      </c>
      <c r="D1" s="23" t="s">
        <v>68</v>
      </c>
      <c r="E1" s="3"/>
      <c r="F1" s="3"/>
    </row>
    <row r="2" spans="1:6" ht="12.75" customHeight="1" x14ac:dyDescent="0.15">
      <c r="A2" s="10" t="s">
        <v>2</v>
      </c>
      <c r="B2" s="11" t="s">
        <v>3</v>
      </c>
      <c r="C2" s="11">
        <v>1</v>
      </c>
      <c r="D2" s="11" t="s">
        <v>70</v>
      </c>
      <c r="E2" s="6"/>
      <c r="F2" s="6"/>
    </row>
    <row r="3" spans="1:6" ht="16.5" customHeight="1" x14ac:dyDescent="0.15">
      <c r="A3" s="10" t="s">
        <v>4</v>
      </c>
      <c r="B3" s="26" t="s">
        <v>5</v>
      </c>
      <c r="C3" s="26">
        <v>1</v>
      </c>
      <c r="D3" s="26" t="s">
        <v>71</v>
      </c>
      <c r="E3" s="6"/>
      <c r="F3" s="6"/>
    </row>
    <row r="4" spans="1:6" ht="12.75" customHeight="1" x14ac:dyDescent="0.15">
      <c r="A4" s="10" t="s">
        <v>2</v>
      </c>
      <c r="B4" s="11" t="s">
        <v>6</v>
      </c>
      <c r="C4" s="11">
        <v>1</v>
      </c>
      <c r="D4" s="11" t="s">
        <v>72</v>
      </c>
      <c r="E4" s="6"/>
      <c r="F4" s="6"/>
    </row>
    <row r="5" spans="1:6" ht="12.75" customHeight="1" x14ac:dyDescent="0.15">
      <c r="A5" s="10" t="s">
        <v>2</v>
      </c>
      <c r="B5" s="11" t="s">
        <v>7</v>
      </c>
      <c r="C5" s="11">
        <v>1</v>
      </c>
      <c r="D5" s="11" t="s">
        <v>73</v>
      </c>
      <c r="E5" s="6"/>
      <c r="F5" s="6"/>
    </row>
    <row r="6" spans="1:6" ht="12.75" customHeight="1" x14ac:dyDescent="0.15">
      <c r="A6" s="10" t="s">
        <v>8</v>
      </c>
      <c r="B6" s="11" t="s">
        <v>9</v>
      </c>
      <c r="C6" s="11">
        <v>1</v>
      </c>
      <c r="D6" s="11" t="s">
        <v>74</v>
      </c>
      <c r="E6" s="6"/>
      <c r="F6" s="6"/>
    </row>
    <row r="7" spans="1:6" ht="12.75" customHeight="1" x14ac:dyDescent="0.15">
      <c r="A7" s="10" t="s">
        <v>10</v>
      </c>
      <c r="B7" s="11" t="s">
        <v>11</v>
      </c>
      <c r="C7" s="11">
        <v>1</v>
      </c>
      <c r="D7" s="11" t="s">
        <v>75</v>
      </c>
      <c r="E7" s="6"/>
      <c r="F7" s="6"/>
    </row>
    <row r="8" spans="1:6" ht="12.75" customHeight="1" x14ac:dyDescent="0.15">
      <c r="A8" s="10" t="s">
        <v>12</v>
      </c>
      <c r="B8" s="11" t="s">
        <v>13</v>
      </c>
      <c r="C8" s="11">
        <v>1</v>
      </c>
      <c r="D8" s="11" t="s">
        <v>76</v>
      </c>
      <c r="E8" s="6"/>
      <c r="F8" s="6"/>
    </row>
    <row r="9" spans="1:6" ht="12.75" customHeight="1" x14ac:dyDescent="0.15">
      <c r="A9" s="10" t="s">
        <v>8</v>
      </c>
      <c r="B9" s="11" t="s">
        <v>14</v>
      </c>
      <c r="C9" s="11">
        <v>1</v>
      </c>
      <c r="D9" s="11" t="s">
        <v>77</v>
      </c>
      <c r="E9" s="6"/>
      <c r="F9" s="6"/>
    </row>
    <row r="10" spans="1:6" ht="12.75" customHeight="1" x14ac:dyDescent="0.15">
      <c r="A10" s="10" t="s">
        <v>10</v>
      </c>
      <c r="B10" s="11" t="s">
        <v>15</v>
      </c>
      <c r="C10" s="11">
        <v>1</v>
      </c>
      <c r="D10" s="11" t="s">
        <v>78</v>
      </c>
      <c r="E10" s="6"/>
      <c r="F10" s="6"/>
    </row>
    <row r="11" spans="1:6" ht="12.75" customHeight="1" x14ac:dyDescent="0.15">
      <c r="A11" s="10" t="s">
        <v>12</v>
      </c>
      <c r="B11" s="11" t="s">
        <v>13</v>
      </c>
      <c r="C11" s="11">
        <v>1</v>
      </c>
      <c r="D11" s="11" t="s">
        <v>79</v>
      </c>
      <c r="E11" s="6"/>
      <c r="F11" s="6"/>
    </row>
    <row r="12" spans="1:6" ht="12.75" customHeight="1" x14ac:dyDescent="0.15">
      <c r="A12" s="10" t="s">
        <v>8</v>
      </c>
      <c r="B12" s="11" t="s">
        <v>16</v>
      </c>
      <c r="C12" s="11">
        <v>1</v>
      </c>
      <c r="D12" s="11" t="s">
        <v>80</v>
      </c>
      <c r="E12" s="6"/>
      <c r="F12" s="6"/>
    </row>
    <row r="13" spans="1:6" ht="12.75" customHeight="1" x14ac:dyDescent="0.15">
      <c r="A13" s="10" t="s">
        <v>10</v>
      </c>
      <c r="B13" s="11" t="s">
        <v>17</v>
      </c>
      <c r="C13" s="11">
        <v>1</v>
      </c>
      <c r="D13" s="11" t="s">
        <v>81</v>
      </c>
      <c r="E13" s="6"/>
      <c r="F13" s="6"/>
    </row>
    <row r="14" spans="1:6" ht="12.75" customHeight="1" x14ac:dyDescent="0.15">
      <c r="A14" s="10" t="s">
        <v>8</v>
      </c>
      <c r="B14" s="11" t="s">
        <v>18</v>
      </c>
      <c r="C14" s="11">
        <v>1</v>
      </c>
      <c r="D14" s="11" t="s">
        <v>82</v>
      </c>
      <c r="E14" s="6"/>
      <c r="F14" s="6"/>
    </row>
    <row r="15" spans="1:6" ht="12.75" customHeight="1" x14ac:dyDescent="0.15">
      <c r="A15" s="10" t="s">
        <v>10</v>
      </c>
      <c r="B15" s="11" t="s">
        <v>19</v>
      </c>
      <c r="C15" s="11">
        <v>1</v>
      </c>
      <c r="D15" s="11" t="s">
        <v>83</v>
      </c>
      <c r="E15" s="6"/>
      <c r="F15" s="6"/>
    </row>
    <row r="16" spans="1:6" ht="12.75" customHeight="1" x14ac:dyDescent="0.15">
      <c r="A16" s="10" t="s">
        <v>12</v>
      </c>
      <c r="B16" s="11" t="s">
        <v>20</v>
      </c>
      <c r="C16" s="11">
        <v>1</v>
      </c>
      <c r="D16" s="11" t="s">
        <v>84</v>
      </c>
      <c r="E16" s="6"/>
      <c r="F16" s="6"/>
    </row>
    <row r="17" spans="1:24" ht="15" customHeight="1" x14ac:dyDescent="0.15">
      <c r="A17" s="10" t="s">
        <v>8</v>
      </c>
      <c r="B17" s="11" t="s">
        <v>21</v>
      </c>
      <c r="C17" s="11">
        <v>1</v>
      </c>
      <c r="D17" s="11" t="s">
        <v>85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12</v>
      </c>
      <c r="B18" s="11" t="s">
        <v>22</v>
      </c>
      <c r="C18" s="11">
        <v>0</v>
      </c>
      <c r="D18" s="11" t="s">
        <v>86</v>
      </c>
      <c r="E18" s="6"/>
      <c r="F18" s="6"/>
    </row>
    <row r="19" spans="1:24" ht="12.75" customHeight="1" x14ac:dyDescent="0.15">
      <c r="A19" s="10" t="s">
        <v>8</v>
      </c>
      <c r="B19" s="11" t="s">
        <v>23</v>
      </c>
      <c r="C19" s="11">
        <v>1</v>
      </c>
      <c r="D19" s="11" t="s">
        <v>87</v>
      </c>
      <c r="E19" s="6"/>
      <c r="F19" s="6"/>
    </row>
    <row r="20" spans="1:24" ht="12.75" customHeight="1" x14ac:dyDescent="0.15">
      <c r="A20" s="10" t="s">
        <v>10</v>
      </c>
      <c r="B20" s="11" t="s">
        <v>24</v>
      </c>
      <c r="C20" s="11">
        <v>1</v>
      </c>
      <c r="D20" s="11" t="s">
        <v>88</v>
      </c>
      <c r="E20" s="6"/>
      <c r="F20" s="6"/>
    </row>
    <row r="21" spans="1:24" ht="12.75" customHeight="1" x14ac:dyDescent="0.15">
      <c r="A21" s="10" t="s">
        <v>12</v>
      </c>
      <c r="B21" s="11" t="s">
        <v>25</v>
      </c>
      <c r="C21" s="11">
        <v>0</v>
      </c>
      <c r="D21" s="11" t="s">
        <v>86</v>
      </c>
      <c r="E21" s="6"/>
      <c r="F21" s="6"/>
    </row>
    <row r="22" spans="1:24" ht="12.75" customHeight="1" x14ac:dyDescent="0.15">
      <c r="A22" s="30" t="s">
        <v>8</v>
      </c>
      <c r="B22" s="24" t="s">
        <v>26</v>
      </c>
      <c r="C22" s="24">
        <v>1</v>
      </c>
      <c r="D22" s="24" t="s">
        <v>89</v>
      </c>
      <c r="E22" s="6"/>
      <c r="F22" s="6"/>
    </row>
    <row r="23" spans="1:24" ht="12.75" customHeight="1" x14ac:dyDescent="0.15">
      <c r="A23" s="10" t="s">
        <v>8</v>
      </c>
      <c r="B23" s="11" t="s">
        <v>27</v>
      </c>
      <c r="C23" s="11">
        <v>1</v>
      </c>
      <c r="D23" s="11" t="s">
        <v>90</v>
      </c>
      <c r="E23" s="6"/>
      <c r="F23" s="6"/>
    </row>
    <row r="24" spans="1:24" ht="12.75" customHeight="1" x14ac:dyDescent="0.15">
      <c r="A24" s="10" t="s">
        <v>10</v>
      </c>
      <c r="B24" s="11" t="s">
        <v>24</v>
      </c>
      <c r="C24" s="11">
        <v>1</v>
      </c>
      <c r="D24" s="11" t="s">
        <v>91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12</v>
      </c>
      <c r="B25" s="11" t="s">
        <v>28</v>
      </c>
      <c r="C25" s="11">
        <v>1</v>
      </c>
      <c r="D25" s="11" t="s">
        <v>92</v>
      </c>
      <c r="E25" s="6"/>
      <c r="F25" s="6"/>
    </row>
    <row r="26" spans="1:24" ht="12.75" customHeight="1" x14ac:dyDescent="0.15">
      <c r="A26" s="10" t="s">
        <v>2</v>
      </c>
      <c r="B26" s="11" t="s">
        <v>29</v>
      </c>
      <c r="C26" s="11">
        <v>1</v>
      </c>
      <c r="D26" s="11" t="s">
        <v>93</v>
      </c>
      <c r="E26" s="6"/>
      <c r="F26" s="6"/>
    </row>
    <row r="27" spans="1:24" ht="15" customHeight="1" x14ac:dyDescent="0.15">
      <c r="A27" s="10" t="s">
        <v>8</v>
      </c>
      <c r="B27" s="11" t="s">
        <v>30</v>
      </c>
      <c r="C27" s="11">
        <v>1</v>
      </c>
      <c r="D27" s="11" t="s">
        <v>94</v>
      </c>
      <c r="E27" s="6"/>
      <c r="F27" s="6"/>
    </row>
    <row r="28" spans="1:24" ht="12.75" customHeight="1" x14ac:dyDescent="0.15">
      <c r="A28" s="10" t="s">
        <v>8</v>
      </c>
      <c r="B28" s="11" t="s">
        <v>31</v>
      </c>
      <c r="C28" s="11">
        <v>1</v>
      </c>
      <c r="D28" s="11" t="s">
        <v>95</v>
      </c>
      <c r="E28" s="6"/>
      <c r="F28" s="6"/>
    </row>
    <row r="29" spans="1:24" ht="12.75" customHeight="1" x14ac:dyDescent="0.15">
      <c r="A29" s="10" t="s">
        <v>12</v>
      </c>
      <c r="B29" s="11" t="s">
        <v>32</v>
      </c>
      <c r="C29" s="11">
        <v>1</v>
      </c>
      <c r="D29" s="11" t="s">
        <v>96</v>
      </c>
      <c r="E29" s="6"/>
      <c r="F29" s="6"/>
    </row>
    <row r="30" spans="1:24" ht="12.75" customHeight="1" x14ac:dyDescent="0.15">
      <c r="A30" s="10" t="s">
        <v>2</v>
      </c>
      <c r="B30" s="11" t="s">
        <v>33</v>
      </c>
      <c r="C30" s="11">
        <v>1</v>
      </c>
      <c r="D30" s="11" t="s">
        <v>97</v>
      </c>
      <c r="E30" s="6"/>
      <c r="F30" s="6"/>
    </row>
    <row r="31" spans="1:24" ht="12.75" customHeight="1" x14ac:dyDescent="0.15">
      <c r="A31" s="10" t="s">
        <v>8</v>
      </c>
      <c r="B31" s="11" t="s">
        <v>34</v>
      </c>
      <c r="C31" s="11">
        <v>1</v>
      </c>
      <c r="D31" s="11" t="s">
        <v>98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10</v>
      </c>
      <c r="B32" s="11" t="s">
        <v>35</v>
      </c>
      <c r="C32" s="11">
        <v>1</v>
      </c>
      <c r="D32" s="11" t="s">
        <v>99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8</v>
      </c>
      <c r="B33" s="11" t="s">
        <v>36</v>
      </c>
      <c r="C33" s="11">
        <v>1</v>
      </c>
      <c r="D33" s="11" t="s">
        <v>100</v>
      </c>
      <c r="E33" s="6"/>
      <c r="F33" s="6"/>
    </row>
    <row r="34" spans="1:24" ht="12.75" customHeight="1" x14ac:dyDescent="0.15">
      <c r="A34" s="10" t="s">
        <v>10</v>
      </c>
      <c r="B34" s="11" t="s">
        <v>37</v>
      </c>
      <c r="C34" s="11">
        <v>1</v>
      </c>
      <c r="D34" s="11" t="s">
        <v>101</v>
      </c>
      <c r="E34" s="6"/>
      <c r="F34" s="6"/>
    </row>
    <row r="35" spans="1:24" ht="12.75" customHeight="1" x14ac:dyDescent="0.15">
      <c r="A35" s="10" t="s">
        <v>12</v>
      </c>
      <c r="B35" s="11" t="s">
        <v>25</v>
      </c>
      <c r="C35" s="11">
        <v>0</v>
      </c>
      <c r="D35" s="11" t="s">
        <v>86</v>
      </c>
      <c r="E35" s="6"/>
      <c r="F35" s="6"/>
    </row>
    <row r="36" spans="1:24" ht="12.75" customHeight="1" x14ac:dyDescent="0.15">
      <c r="A36" s="10" t="s">
        <v>8</v>
      </c>
      <c r="B36" s="11" t="s">
        <v>38</v>
      </c>
      <c r="C36" s="11">
        <v>1</v>
      </c>
      <c r="D36" s="11" t="s">
        <v>102</v>
      </c>
      <c r="E36" s="6"/>
      <c r="F36" s="6"/>
    </row>
    <row r="37" spans="1:24" ht="12.75" customHeight="1" x14ac:dyDescent="0.15">
      <c r="A37" s="10" t="s">
        <v>12</v>
      </c>
      <c r="B37" s="11" t="s">
        <v>22</v>
      </c>
      <c r="C37" s="11">
        <v>0</v>
      </c>
      <c r="D37" s="11" t="s">
        <v>86</v>
      </c>
      <c r="E37" s="6"/>
      <c r="F37" s="6"/>
    </row>
    <row r="38" spans="1:24" ht="12.75" customHeight="1" x14ac:dyDescent="0.15">
      <c r="A38" s="10" t="s">
        <v>2</v>
      </c>
      <c r="B38" s="11" t="s">
        <v>39</v>
      </c>
      <c r="C38" s="11">
        <v>1</v>
      </c>
      <c r="D38" s="11" t="s">
        <v>103</v>
      </c>
      <c r="E38" s="6"/>
      <c r="F38" s="6"/>
    </row>
    <row r="39" spans="1:24" ht="15" customHeight="1" x14ac:dyDescent="0.15">
      <c r="A39" s="10" t="s">
        <v>8</v>
      </c>
      <c r="B39" s="11" t="s">
        <v>40</v>
      </c>
      <c r="C39" s="11">
        <v>1</v>
      </c>
      <c r="D39" s="11" t="s">
        <v>104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12</v>
      </c>
      <c r="B40" s="11" t="s">
        <v>41</v>
      </c>
      <c r="C40" s="11">
        <v>1</v>
      </c>
      <c r="D40" s="11" t="s">
        <v>105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8</v>
      </c>
      <c r="B41" s="11" t="s">
        <v>42</v>
      </c>
      <c r="C41" s="11">
        <v>1</v>
      </c>
      <c r="D41" s="11" t="s">
        <v>106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2</v>
      </c>
      <c r="B42" s="11" t="s">
        <v>43</v>
      </c>
      <c r="C42" s="11">
        <v>1</v>
      </c>
      <c r="D42" s="11" t="s">
        <v>107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12</v>
      </c>
      <c r="B43" s="11" t="s">
        <v>44</v>
      </c>
      <c r="C43" s="11">
        <v>1</v>
      </c>
      <c r="D43" s="11" t="s">
        <v>108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12</v>
      </c>
      <c r="B44" s="11" t="s">
        <v>45</v>
      </c>
      <c r="C44" s="11">
        <v>1</v>
      </c>
      <c r="D44" s="11" t="s">
        <v>109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8</v>
      </c>
      <c r="B45" s="11" t="s">
        <v>46</v>
      </c>
      <c r="C45" s="11">
        <v>1</v>
      </c>
      <c r="D45" s="11" t="s">
        <v>110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10</v>
      </c>
      <c r="B46" s="11" t="s">
        <v>47</v>
      </c>
      <c r="C46" s="11">
        <v>1</v>
      </c>
      <c r="D46" s="11" t="s">
        <v>111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12</v>
      </c>
      <c r="B47" s="11" t="s">
        <v>48</v>
      </c>
      <c r="C47" s="11">
        <v>1</v>
      </c>
      <c r="D47" s="11" t="s">
        <v>112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8</v>
      </c>
      <c r="B48" s="11" t="s">
        <v>46</v>
      </c>
      <c r="C48" s="11">
        <v>1</v>
      </c>
      <c r="D48" s="11" t="s">
        <v>113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10</v>
      </c>
      <c r="B49" s="11" t="s">
        <v>49</v>
      </c>
      <c r="C49" s="11">
        <v>1</v>
      </c>
      <c r="D49" s="11" t="s">
        <v>114</v>
      </c>
      <c r="E49" s="6"/>
      <c r="F49" s="6"/>
    </row>
    <row r="50" spans="1:6" ht="12.75" customHeight="1" x14ac:dyDescent="0.15">
      <c r="A50" s="10" t="s">
        <v>12</v>
      </c>
      <c r="B50" s="11" t="s">
        <v>50</v>
      </c>
      <c r="C50" s="11">
        <v>1</v>
      </c>
      <c r="D50" s="11" t="s">
        <v>115</v>
      </c>
      <c r="E50" s="6"/>
      <c r="F50" s="6"/>
    </row>
    <row r="51" spans="1:6" ht="12.75" customHeight="1" x14ac:dyDescent="0.15">
      <c r="A51" s="10" t="s">
        <v>8</v>
      </c>
      <c r="B51" s="11" t="s">
        <v>51</v>
      </c>
      <c r="C51" s="11">
        <v>1</v>
      </c>
      <c r="D51" s="11" t="s">
        <v>116</v>
      </c>
      <c r="E51" s="6"/>
      <c r="F51" s="6"/>
    </row>
    <row r="52" spans="1:6" ht="12.75" customHeight="1" x14ac:dyDescent="0.15">
      <c r="A52" s="10" t="s">
        <v>10</v>
      </c>
      <c r="B52" s="11" t="s">
        <v>52</v>
      </c>
      <c r="C52" s="11">
        <v>1</v>
      </c>
      <c r="D52" s="11" t="s">
        <v>117</v>
      </c>
      <c r="E52" s="6"/>
      <c r="F52" s="6"/>
    </row>
    <row r="53" spans="1:6" ht="12.75" customHeight="1" x14ac:dyDescent="0.15">
      <c r="A53" s="10" t="s">
        <v>12</v>
      </c>
      <c r="B53" s="11" t="s">
        <v>13</v>
      </c>
      <c r="C53" s="11">
        <v>0.5</v>
      </c>
      <c r="D53" s="11" t="s">
        <v>118</v>
      </c>
      <c r="E53" s="6"/>
      <c r="F53" s="6"/>
    </row>
    <row r="54" spans="1:6" ht="12.75" customHeight="1" x14ac:dyDescent="0.15">
      <c r="A54" s="10" t="s">
        <v>8</v>
      </c>
      <c r="B54" s="11" t="s">
        <v>53</v>
      </c>
      <c r="C54" s="11">
        <v>1</v>
      </c>
      <c r="D54" s="11" t="s">
        <v>119</v>
      </c>
      <c r="E54" s="6"/>
      <c r="F54" s="6"/>
    </row>
    <row r="55" spans="1:6" ht="12.75" customHeight="1" x14ac:dyDescent="0.15">
      <c r="A55" s="10" t="s">
        <v>54</v>
      </c>
      <c r="B55" s="11" t="s">
        <v>55</v>
      </c>
      <c r="C55" s="11">
        <v>0.5</v>
      </c>
      <c r="D55" s="11" t="s">
        <v>120</v>
      </c>
      <c r="E55" s="6"/>
      <c r="F55" s="6"/>
    </row>
    <row r="56" spans="1:6" ht="12.75" customHeight="1" x14ac:dyDescent="0.15">
      <c r="A56" s="10" t="s">
        <v>2</v>
      </c>
      <c r="B56" s="11" t="s">
        <v>56</v>
      </c>
      <c r="C56" s="11">
        <v>1</v>
      </c>
      <c r="D56" s="11" t="s">
        <v>121</v>
      </c>
      <c r="E56" s="6"/>
      <c r="F56" s="6"/>
    </row>
    <row r="57" spans="1:6" ht="12.75" customHeight="1" x14ac:dyDescent="0.15">
      <c r="A57" s="10" t="s">
        <v>12</v>
      </c>
      <c r="B57" s="11" t="s">
        <v>57</v>
      </c>
      <c r="C57" s="11">
        <v>1</v>
      </c>
      <c r="D57" s="11" t="s">
        <v>122</v>
      </c>
      <c r="E57" s="6"/>
      <c r="F57" s="6"/>
    </row>
    <row r="58" spans="1:6" ht="12.75" customHeight="1" x14ac:dyDescent="0.15">
      <c r="A58" s="10" t="s">
        <v>8</v>
      </c>
      <c r="B58" s="11" t="s">
        <v>58</v>
      </c>
      <c r="C58" s="11">
        <v>0.5</v>
      </c>
      <c r="D58" s="11" t="s">
        <v>123</v>
      </c>
      <c r="E58" s="6"/>
      <c r="F58" s="6"/>
    </row>
    <row r="59" spans="1:6" ht="12.75" customHeight="1" x14ac:dyDescent="0.15">
      <c r="A59" s="10" t="s">
        <v>12</v>
      </c>
      <c r="B59" s="11" t="s">
        <v>50</v>
      </c>
      <c r="C59" s="11">
        <v>1</v>
      </c>
      <c r="D59" s="11" t="s">
        <v>124</v>
      </c>
      <c r="E59" s="6"/>
      <c r="F59" s="6"/>
    </row>
    <row r="60" spans="1:6" ht="12.75" customHeight="1" x14ac:dyDescent="0.15">
      <c r="A60" s="10" t="s">
        <v>12</v>
      </c>
      <c r="B60" s="11" t="s">
        <v>59</v>
      </c>
      <c r="C60" s="11">
        <v>0</v>
      </c>
      <c r="D60" s="11" t="s">
        <v>125</v>
      </c>
      <c r="E60" s="6"/>
      <c r="F60" s="6"/>
    </row>
    <row r="61" spans="1:6" ht="12.75" customHeight="1" x14ac:dyDescent="0.15">
      <c r="A61" s="10" t="s">
        <v>2</v>
      </c>
      <c r="B61" s="11" t="s">
        <v>60</v>
      </c>
      <c r="C61" s="11">
        <v>1</v>
      </c>
      <c r="D61" s="11" t="s">
        <v>126</v>
      </c>
      <c r="E61" s="6"/>
      <c r="F61" s="6"/>
    </row>
    <row r="62" spans="1:6" ht="12.75" customHeight="1" x14ac:dyDescent="0.15">
      <c r="A62" s="10" t="s">
        <v>8</v>
      </c>
      <c r="B62" s="11" t="s">
        <v>61</v>
      </c>
      <c r="C62" s="11">
        <v>1</v>
      </c>
      <c r="D62" s="11" t="s">
        <v>127</v>
      </c>
      <c r="E62" s="6"/>
      <c r="F62" s="6"/>
    </row>
    <row r="63" spans="1:6" ht="12.75" customHeight="1" x14ac:dyDescent="0.15">
      <c r="A63" s="10" t="s">
        <v>12</v>
      </c>
      <c r="B63" s="11" t="s">
        <v>13</v>
      </c>
      <c r="C63" s="11">
        <v>1</v>
      </c>
      <c r="D63" s="11" t="s">
        <v>128</v>
      </c>
      <c r="E63" s="6"/>
      <c r="F63" s="6"/>
    </row>
    <row r="64" spans="1:6" ht="12.75" customHeight="1" x14ac:dyDescent="0.15">
      <c r="A64" s="10" t="s">
        <v>8</v>
      </c>
      <c r="B64" s="11" t="s">
        <v>62</v>
      </c>
      <c r="C64" s="11">
        <v>1</v>
      </c>
      <c r="D64" s="11" t="s">
        <v>129</v>
      </c>
      <c r="E64" s="6"/>
      <c r="F64" s="6"/>
    </row>
    <row r="65" spans="1:6" ht="12.75" customHeight="1" x14ac:dyDescent="0.15">
      <c r="A65" s="10" t="s">
        <v>8</v>
      </c>
      <c r="B65" s="11" t="s">
        <v>63</v>
      </c>
      <c r="C65" s="11">
        <v>1</v>
      </c>
      <c r="D65" s="11" t="s">
        <v>130</v>
      </c>
      <c r="E65" s="6"/>
      <c r="F65" s="6"/>
    </row>
    <row r="66" spans="1:6" ht="12.75" customHeight="1" x14ac:dyDescent="0.15">
      <c r="A66" s="10" t="s">
        <v>12</v>
      </c>
      <c r="B66" s="11" t="s">
        <v>64</v>
      </c>
      <c r="C66" s="11">
        <v>1</v>
      </c>
      <c r="D66" s="11" t="s">
        <v>131</v>
      </c>
      <c r="E66" s="6"/>
      <c r="F66" s="6"/>
    </row>
    <row r="67" spans="1:6" ht="12.75" customHeight="1" x14ac:dyDescent="0.15">
      <c r="A67" s="10" t="s">
        <v>12</v>
      </c>
      <c r="B67" s="11" t="s">
        <v>59</v>
      </c>
      <c r="C67" s="11">
        <v>0</v>
      </c>
      <c r="D67" s="11" t="s">
        <v>132</v>
      </c>
      <c r="E67" s="6"/>
      <c r="F67" s="6"/>
    </row>
    <row r="68" spans="1:6" ht="12.75" customHeight="1" x14ac:dyDescent="0.15">
      <c r="A68" s="31" t="s">
        <v>2</v>
      </c>
      <c r="B68" s="32" t="s">
        <v>65</v>
      </c>
      <c r="C68" s="41">
        <v>2</v>
      </c>
      <c r="D68" s="41" t="s">
        <v>133</v>
      </c>
    </row>
    <row r="69" spans="1:6" ht="12.75" customHeight="1" x14ac:dyDescent="0.15">
      <c r="A69" s="34" t="s">
        <v>8</v>
      </c>
      <c r="B69" s="29" t="s">
        <v>65</v>
      </c>
      <c r="C69" s="11">
        <v>1</v>
      </c>
      <c r="D69" s="11" t="s">
        <v>134</v>
      </c>
    </row>
    <row r="70" spans="1:6" ht="12.75" customHeight="1" x14ac:dyDescent="0.15">
      <c r="A70" s="30" t="s">
        <v>10</v>
      </c>
      <c r="B70" s="24" t="s">
        <v>65</v>
      </c>
      <c r="C70" s="11">
        <v>0</v>
      </c>
      <c r="D70" s="11" t="s">
        <v>135</v>
      </c>
    </row>
    <row r="71" spans="1:6" ht="12.75" customHeight="1" x14ac:dyDescent="0.15">
      <c r="A71" s="34" t="s">
        <v>12</v>
      </c>
      <c r="B71" s="29" t="s">
        <v>65</v>
      </c>
      <c r="C71" s="11">
        <v>1</v>
      </c>
      <c r="D71" s="11" t="s">
        <v>136</v>
      </c>
    </row>
    <row r="72" spans="1:6" ht="12.75" customHeight="1" x14ac:dyDescent="0.15">
      <c r="A72" s="30" t="s">
        <v>4</v>
      </c>
      <c r="B72" s="24" t="s">
        <v>65</v>
      </c>
      <c r="C72" s="11">
        <v>0</v>
      </c>
      <c r="D72" s="11" t="s">
        <v>137</v>
      </c>
    </row>
    <row r="73" spans="1:6" ht="12.75" customHeight="1" x14ac:dyDescent="0.15">
      <c r="A73" s="34" t="s">
        <v>66</v>
      </c>
      <c r="B73" s="29" t="s">
        <v>65</v>
      </c>
      <c r="C73" s="11">
        <v>0</v>
      </c>
      <c r="D73" s="11" t="s">
        <v>138</v>
      </c>
    </row>
    <row r="74" spans="1:6" ht="12.75" customHeight="1" x14ac:dyDescent="0.15">
      <c r="A74" s="30" t="s">
        <v>54</v>
      </c>
      <c r="B74" s="24" t="s">
        <v>65</v>
      </c>
      <c r="C74" s="11">
        <v>0</v>
      </c>
      <c r="D74" s="11" t="s">
        <v>139</v>
      </c>
    </row>
    <row r="75" spans="1:6" ht="12.75" customHeight="1" x14ac:dyDescent="0.15">
      <c r="A75" s="18"/>
      <c r="B75" s="19"/>
      <c r="C75" s="19"/>
      <c r="D75" s="19"/>
    </row>
    <row r="76" spans="1:6" ht="12.75" customHeight="1" x14ac:dyDescent="0.15">
      <c r="A76" s="18"/>
      <c r="B76" s="19"/>
      <c r="C76" s="19"/>
      <c r="D76" s="19"/>
    </row>
    <row r="77" spans="1:6" ht="12.75" customHeight="1" x14ac:dyDescent="0.15">
      <c r="A77" s="18"/>
      <c r="B77" s="19"/>
      <c r="C77" s="19"/>
      <c r="D77" s="19"/>
    </row>
    <row r="78" spans="1:6" ht="12.75" customHeight="1" x14ac:dyDescent="0.15">
      <c r="A78" s="18"/>
      <c r="B78" s="19"/>
      <c r="C78" s="19"/>
      <c r="D78" s="19"/>
    </row>
    <row r="79" spans="1:6" ht="12.75" customHeight="1" x14ac:dyDescent="0.15">
      <c r="A79" s="18"/>
      <c r="B79" s="19"/>
      <c r="C79" s="19"/>
      <c r="D79" s="19"/>
    </row>
    <row r="80" spans="1:6" ht="12.75" customHeight="1" x14ac:dyDescent="0.15">
      <c r="A80" s="18"/>
      <c r="B80" s="19"/>
      <c r="C80" s="19"/>
      <c r="D80" s="19"/>
    </row>
    <row r="81" spans="1:4" ht="12.75" customHeight="1" x14ac:dyDescent="0.15">
      <c r="A81" s="18"/>
      <c r="B81" s="19"/>
      <c r="C81" s="19"/>
      <c r="D81" s="19"/>
    </row>
    <row r="82" spans="1:4" ht="12.75" customHeight="1" x14ac:dyDescent="0.15">
      <c r="A82" s="18"/>
      <c r="B82" s="19"/>
      <c r="C82" s="19"/>
      <c r="D82" s="19"/>
    </row>
    <row r="83" spans="1:4" ht="12.75" customHeight="1" x14ac:dyDescent="0.15">
      <c r="A83" s="18"/>
      <c r="B83" s="19"/>
      <c r="C83" s="19"/>
      <c r="D83" s="19"/>
    </row>
    <row r="84" spans="1:4" ht="12.75" customHeight="1" x14ac:dyDescent="0.15">
      <c r="A84" s="18"/>
      <c r="B84" s="19"/>
      <c r="C84" s="19"/>
      <c r="D84" s="19"/>
    </row>
    <row r="85" spans="1:4" ht="12.75" customHeight="1" x14ac:dyDescent="0.15">
      <c r="A85" s="18"/>
      <c r="B85" s="19"/>
      <c r="C85" s="19"/>
      <c r="D85" s="19"/>
    </row>
    <row r="86" spans="1:4" ht="12.75" customHeight="1" x14ac:dyDescent="0.15">
      <c r="A86" s="18"/>
      <c r="B86" s="19"/>
      <c r="C86" s="19"/>
      <c r="D86" s="19"/>
    </row>
    <row r="87" spans="1:4" ht="12.75" customHeight="1" x14ac:dyDescent="0.15">
      <c r="A87" s="18"/>
      <c r="B87" s="19"/>
      <c r="C87" s="19"/>
      <c r="D87" s="19"/>
    </row>
    <row r="88" spans="1:4" ht="12.75" customHeight="1" x14ac:dyDescent="0.15">
      <c r="A88" s="18"/>
      <c r="B88" s="19"/>
      <c r="C88" s="19"/>
      <c r="D88" s="19"/>
    </row>
    <row r="89" spans="1:4" ht="12.75" customHeight="1" x14ac:dyDescent="0.15">
      <c r="A89" s="18"/>
      <c r="B89" s="19"/>
      <c r="C89" s="19"/>
      <c r="D89" s="19"/>
    </row>
    <row r="90" spans="1:4" ht="12.75" customHeight="1" x14ac:dyDescent="0.15">
      <c r="A90" s="18"/>
      <c r="B90" s="19"/>
      <c r="C90" s="19"/>
      <c r="D90" s="19"/>
    </row>
    <row r="91" spans="1:4" ht="12.75" customHeight="1" x14ac:dyDescent="0.15">
      <c r="A91" s="18"/>
      <c r="B91" s="19"/>
      <c r="C91" s="19"/>
      <c r="D91" s="19"/>
    </row>
    <row r="92" spans="1:4" ht="12.75" customHeight="1" x14ac:dyDescent="0.15">
      <c r="A92" s="18"/>
      <c r="B92" s="19"/>
      <c r="C92" s="19"/>
      <c r="D92" s="19"/>
    </row>
    <row r="93" spans="1:4" ht="12.75" customHeight="1" x14ac:dyDescent="0.15">
      <c r="A93" s="18"/>
      <c r="B93" s="19"/>
      <c r="C93" s="19"/>
      <c r="D93" s="19"/>
    </row>
    <row r="94" spans="1:4" ht="12.75" customHeight="1" x14ac:dyDescent="0.15">
      <c r="A94" s="18"/>
      <c r="B94" s="19"/>
      <c r="C94" s="19"/>
      <c r="D94" s="19"/>
    </row>
    <row r="95" spans="1:4" ht="12.75" customHeight="1" x14ac:dyDescent="0.15">
      <c r="A95" s="18"/>
      <c r="B95" s="19"/>
      <c r="C95" s="19"/>
      <c r="D95" s="19"/>
    </row>
    <row r="96" spans="1:4" ht="12.75" customHeight="1" x14ac:dyDescent="0.15">
      <c r="A96" s="18"/>
      <c r="B96" s="19"/>
      <c r="C96" s="19"/>
      <c r="D96" s="19"/>
    </row>
    <row r="97" spans="1:4" ht="12.75" customHeight="1" x14ac:dyDescent="0.15">
      <c r="A97" s="18"/>
      <c r="B97" s="19"/>
      <c r="C97" s="19"/>
      <c r="D97" s="19"/>
    </row>
    <row r="98" spans="1:4" ht="12.75" customHeight="1" x14ac:dyDescent="0.15">
      <c r="A98" s="18"/>
      <c r="B98" s="19"/>
      <c r="C98" s="19"/>
      <c r="D98" s="19"/>
    </row>
    <row r="99" spans="1:4" ht="12.75" customHeight="1" x14ac:dyDescent="0.15">
      <c r="A99" s="18"/>
      <c r="B99" s="19"/>
      <c r="C99" s="19"/>
      <c r="D99" s="19"/>
    </row>
    <row r="100" spans="1:4" ht="12.75" customHeight="1" x14ac:dyDescent="0.15">
      <c r="A100" s="18"/>
      <c r="B100" s="19"/>
      <c r="C100" s="19"/>
      <c r="D100" s="19"/>
    </row>
    <row r="101" spans="1:4" ht="12.75" customHeight="1" x14ac:dyDescent="0.15">
      <c r="A101" s="18"/>
      <c r="B101" s="19"/>
      <c r="C101" s="19"/>
      <c r="D101" s="19"/>
    </row>
    <row r="102" spans="1:4" ht="12.75" customHeight="1" x14ac:dyDescent="0.15">
      <c r="A102" s="18"/>
      <c r="B102" s="19"/>
      <c r="C102" s="19"/>
      <c r="D102" s="19"/>
    </row>
    <row r="103" spans="1:4" ht="12.75" customHeight="1" x14ac:dyDescent="0.15">
      <c r="A103" s="18"/>
      <c r="B103" s="19"/>
      <c r="C103" s="19"/>
      <c r="D103" s="19"/>
    </row>
    <row r="104" spans="1:4" ht="12.75" customHeight="1" x14ac:dyDescent="0.15">
      <c r="A104" s="18"/>
      <c r="B104" s="19"/>
      <c r="C104" s="19"/>
      <c r="D104" s="19"/>
    </row>
    <row r="105" spans="1:4" ht="12.75" customHeight="1" x14ac:dyDescent="0.15">
      <c r="A105" s="18"/>
      <c r="B105" s="19"/>
      <c r="C105" s="19"/>
      <c r="D105" s="19"/>
    </row>
    <row r="106" spans="1:4" ht="12.75" customHeight="1" x14ac:dyDescent="0.15">
      <c r="A106" s="18"/>
      <c r="B106" s="19"/>
      <c r="C106" s="19"/>
      <c r="D106" s="19"/>
    </row>
    <row r="107" spans="1:4" ht="12.75" customHeight="1" x14ac:dyDescent="0.15">
      <c r="A107" s="18"/>
      <c r="B107" s="19"/>
      <c r="C107" s="19"/>
      <c r="D107" s="19"/>
    </row>
    <row r="108" spans="1:4" ht="12.75" customHeight="1" x14ac:dyDescent="0.15">
      <c r="A108" s="18"/>
      <c r="B108" s="19"/>
      <c r="C108" s="19"/>
      <c r="D108" s="19"/>
    </row>
    <row r="109" spans="1:4" ht="12.75" customHeight="1" x14ac:dyDescent="0.15">
      <c r="A109" s="18"/>
      <c r="B109" s="19"/>
      <c r="C109" s="19"/>
      <c r="D109" s="19"/>
    </row>
    <row r="110" spans="1:4" ht="12.75" customHeight="1" x14ac:dyDescent="0.15">
      <c r="A110" s="18"/>
      <c r="B110" s="19"/>
      <c r="C110" s="19"/>
      <c r="D110" s="19"/>
    </row>
    <row r="111" spans="1:4" ht="12.75" customHeight="1" x14ac:dyDescent="0.15">
      <c r="A111" s="18"/>
      <c r="B111" s="19"/>
      <c r="C111" s="19"/>
      <c r="D111" s="19"/>
    </row>
    <row r="112" spans="1:4" ht="12.75" customHeight="1" x14ac:dyDescent="0.15">
      <c r="A112" s="18"/>
      <c r="B112" s="19"/>
      <c r="C112" s="19"/>
      <c r="D112" s="19"/>
    </row>
    <row r="113" spans="1:4" ht="12.75" customHeight="1" x14ac:dyDescent="0.15">
      <c r="A113" s="18"/>
      <c r="B113" s="19"/>
      <c r="C113" s="19"/>
      <c r="D113" s="19"/>
    </row>
    <row r="114" spans="1:4" ht="12.75" customHeight="1" x14ac:dyDescent="0.15">
      <c r="A114" s="18"/>
      <c r="B114" s="19"/>
      <c r="C114" s="19"/>
      <c r="D114" s="19"/>
    </row>
    <row r="115" spans="1:4" ht="12.75" customHeight="1" x14ac:dyDescent="0.15">
      <c r="A115" s="18"/>
      <c r="B115" s="19"/>
      <c r="C115" s="19"/>
      <c r="D115" s="19"/>
    </row>
    <row r="116" spans="1:4" ht="12.75" customHeight="1" x14ac:dyDescent="0.15">
      <c r="A116" s="18"/>
      <c r="B116" s="19"/>
      <c r="C116" s="19"/>
      <c r="D116" s="19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35"/>
      <c r="B675" s="36"/>
      <c r="C675" s="36"/>
      <c r="D675" s="37"/>
    </row>
    <row r="676" spans="1:4" ht="12.75" customHeight="1" x14ac:dyDescent="0.15">
      <c r="A676" s="35"/>
      <c r="B676" s="36"/>
      <c r="C676" s="36"/>
      <c r="D676" s="37"/>
    </row>
    <row r="677" spans="1:4" ht="12.75" customHeight="1" x14ac:dyDescent="0.15">
      <c r="A677" s="35"/>
      <c r="B677" s="36"/>
      <c r="C677" s="36"/>
      <c r="D677" s="37"/>
    </row>
    <row r="678" spans="1:4" ht="12.75" customHeight="1" x14ac:dyDescent="0.15">
      <c r="A678" s="35"/>
      <c r="B678" s="36"/>
      <c r="C678" s="36"/>
      <c r="D678" s="37"/>
    </row>
    <row r="679" spans="1:4" ht="12.75" customHeight="1" x14ac:dyDescent="0.15">
      <c r="A679" s="35"/>
      <c r="B679" s="36"/>
      <c r="C679" s="36"/>
      <c r="D679" s="37"/>
    </row>
    <row r="680" spans="1:4" ht="12.75" customHeight="1" x14ac:dyDescent="0.15">
      <c r="A680" s="35"/>
      <c r="B680" s="36"/>
      <c r="C680" s="36"/>
      <c r="D680" s="37"/>
    </row>
    <row r="681" spans="1:4" ht="12.75" customHeight="1" x14ac:dyDescent="0.15">
      <c r="A681" s="35"/>
      <c r="B681" s="36"/>
      <c r="C681" s="36"/>
      <c r="D681" s="37"/>
    </row>
    <row r="682" spans="1:4" ht="12.75" customHeight="1" x14ac:dyDescent="0.15">
      <c r="A682" s="35"/>
      <c r="B682" s="36"/>
      <c r="C682" s="36"/>
      <c r="D682" s="37"/>
    </row>
    <row r="683" spans="1:4" ht="12.75" customHeight="1" x14ac:dyDescent="0.15">
      <c r="A683" s="35"/>
      <c r="B683" s="36"/>
      <c r="C683" s="36"/>
      <c r="D683" s="37"/>
    </row>
    <row r="684" spans="1:4" ht="12.75" customHeight="1" x14ac:dyDescent="0.15">
      <c r="A684" s="35"/>
      <c r="B684" s="36"/>
      <c r="C684" s="36"/>
      <c r="D684" s="37"/>
    </row>
    <row r="685" spans="1:4" ht="12.75" customHeight="1" x14ac:dyDescent="0.15">
      <c r="A685" s="35"/>
      <c r="B685" s="36"/>
      <c r="C685" s="36"/>
      <c r="D685" s="37"/>
    </row>
    <row r="686" spans="1:4" ht="12.75" customHeight="1" x14ac:dyDescent="0.15">
      <c r="A686" s="35"/>
      <c r="B686" s="36"/>
      <c r="C686" s="36"/>
      <c r="D686" s="37"/>
    </row>
    <row r="687" spans="1:4" ht="12.75" customHeight="1" x14ac:dyDescent="0.15">
      <c r="A687" s="35"/>
      <c r="B687" s="36"/>
      <c r="C687" s="36"/>
      <c r="D687" s="37"/>
    </row>
    <row r="688" spans="1:4" ht="12.75" customHeight="1" x14ac:dyDescent="0.15">
      <c r="A688" s="35"/>
      <c r="B688" s="36"/>
      <c r="C688" s="36"/>
      <c r="D688" s="37"/>
    </row>
    <row r="689" spans="1:4" ht="12.75" customHeight="1" x14ac:dyDescent="0.15">
      <c r="A689" s="35"/>
      <c r="B689" s="36"/>
      <c r="C689" s="36"/>
      <c r="D689" s="37"/>
    </row>
    <row r="690" spans="1:4" ht="12.75" customHeight="1" x14ac:dyDescent="0.15">
      <c r="A690" s="35"/>
      <c r="B690" s="36"/>
      <c r="C690" s="36"/>
      <c r="D690" s="37"/>
    </row>
    <row r="691" spans="1:4" ht="12.75" customHeight="1" x14ac:dyDescent="0.15">
      <c r="A691" s="35"/>
      <c r="B691" s="36"/>
      <c r="C691" s="36"/>
      <c r="D691" s="37"/>
    </row>
    <row r="692" spans="1:4" ht="12.75" customHeight="1" x14ac:dyDescent="0.15">
      <c r="A692" s="35"/>
      <c r="B692" s="36"/>
      <c r="C692" s="36"/>
      <c r="D692" s="37"/>
    </row>
    <row r="693" spans="1:4" ht="12.75" customHeight="1" x14ac:dyDescent="0.15">
      <c r="A693" s="35"/>
      <c r="B693" s="36"/>
      <c r="C693" s="36"/>
      <c r="D693" s="37"/>
    </row>
    <row r="694" spans="1:4" ht="12.75" customHeight="1" x14ac:dyDescent="0.15">
      <c r="A694" s="35"/>
      <c r="B694" s="36"/>
      <c r="C694" s="36"/>
      <c r="D694" s="37"/>
    </row>
    <row r="695" spans="1:4" ht="12.75" customHeight="1" x14ac:dyDescent="0.15">
      <c r="A695" s="35"/>
      <c r="B695" s="36"/>
      <c r="C695" s="36"/>
      <c r="D695" s="37"/>
    </row>
    <row r="696" spans="1:4" ht="12.75" customHeight="1" x14ac:dyDescent="0.15">
      <c r="A696" s="35"/>
      <c r="B696" s="36"/>
      <c r="C696" s="36"/>
      <c r="D696" s="37"/>
    </row>
    <row r="697" spans="1:4" ht="12.75" customHeight="1" x14ac:dyDescent="0.15">
      <c r="A697" s="35"/>
      <c r="B697" s="36"/>
      <c r="C697" s="36"/>
      <c r="D697" s="37"/>
    </row>
    <row r="698" spans="1:4" ht="12.75" customHeight="1" x14ac:dyDescent="0.15">
      <c r="A698" s="35"/>
      <c r="B698" s="36"/>
      <c r="C698" s="36"/>
      <c r="D698" s="37"/>
    </row>
    <row r="699" spans="1:4" ht="12.75" customHeight="1" x14ac:dyDescent="0.15">
      <c r="A699" s="35"/>
      <c r="B699" s="36"/>
      <c r="C699" s="36"/>
      <c r="D699" s="37"/>
    </row>
    <row r="700" spans="1:4" ht="12.75" customHeight="1" x14ac:dyDescent="0.15">
      <c r="A700" s="35"/>
      <c r="B700" s="36"/>
      <c r="C700" s="36"/>
      <c r="D700" s="37"/>
    </row>
    <row r="701" spans="1:4" ht="12.75" customHeight="1" x14ac:dyDescent="0.15">
      <c r="A701" s="35"/>
      <c r="B701" s="36"/>
      <c r="C701" s="36"/>
      <c r="D701" s="37"/>
    </row>
    <row r="702" spans="1:4" ht="12.75" customHeight="1" x14ac:dyDescent="0.15">
      <c r="A702" s="35"/>
      <c r="B702" s="36"/>
      <c r="C702" s="36"/>
      <c r="D702" s="37"/>
    </row>
    <row r="703" spans="1:4" ht="12.75" customHeight="1" x14ac:dyDescent="0.15">
      <c r="A703" s="35"/>
      <c r="B703" s="36"/>
      <c r="C703" s="36"/>
      <c r="D703" s="37"/>
    </row>
    <row r="704" spans="1:4" ht="12.75" customHeight="1" x14ac:dyDescent="0.15">
      <c r="A704" s="35"/>
      <c r="B704" s="36"/>
      <c r="C704" s="36"/>
      <c r="D704" s="37"/>
    </row>
    <row r="705" spans="1:4" ht="12.75" customHeight="1" x14ac:dyDescent="0.15">
      <c r="A705" s="35"/>
      <c r="B705" s="36"/>
      <c r="C705" s="36"/>
      <c r="D705" s="37"/>
    </row>
    <row r="706" spans="1:4" ht="12.75" customHeight="1" x14ac:dyDescent="0.15">
      <c r="A706" s="35"/>
      <c r="B706" s="36"/>
      <c r="C706" s="36"/>
      <c r="D706" s="37"/>
    </row>
    <row r="707" spans="1:4" ht="12.75" customHeight="1" x14ac:dyDescent="0.15">
      <c r="A707" s="35"/>
      <c r="B707" s="36"/>
      <c r="C707" s="36"/>
      <c r="D707" s="37"/>
    </row>
    <row r="708" spans="1:4" ht="12.75" customHeight="1" x14ac:dyDescent="0.15">
      <c r="A708" s="35"/>
      <c r="B708" s="36"/>
      <c r="C708" s="36"/>
      <c r="D708" s="37"/>
    </row>
    <row r="709" spans="1:4" ht="12.75" customHeight="1" x14ac:dyDescent="0.15">
      <c r="A709" s="35"/>
      <c r="B709" s="36"/>
      <c r="C709" s="36"/>
      <c r="D709" s="37"/>
    </row>
    <row r="710" spans="1:4" ht="12.75" customHeight="1" x14ac:dyDescent="0.15">
      <c r="A710" s="35"/>
      <c r="B710" s="36"/>
      <c r="C710" s="36"/>
      <c r="D710" s="37"/>
    </row>
    <row r="711" spans="1:4" ht="12.75" customHeight="1" x14ac:dyDescent="0.15">
      <c r="A711" s="35"/>
      <c r="B711" s="36"/>
      <c r="C711" s="36"/>
      <c r="D711" s="37"/>
    </row>
    <row r="712" spans="1:4" ht="12.75" customHeight="1" x14ac:dyDescent="0.15">
      <c r="A712" s="35"/>
      <c r="B712" s="36"/>
      <c r="C712" s="36"/>
      <c r="D712" s="37"/>
    </row>
    <row r="713" spans="1:4" ht="12.75" customHeight="1" x14ac:dyDescent="0.15">
      <c r="A713" s="35"/>
      <c r="B713" s="36"/>
      <c r="C713" s="36"/>
      <c r="D713" s="37"/>
    </row>
    <row r="714" spans="1:4" ht="12.75" customHeight="1" x14ac:dyDescent="0.15">
      <c r="A714" s="35"/>
      <c r="B714" s="36"/>
      <c r="C714" s="36"/>
      <c r="D714" s="37"/>
    </row>
    <row r="715" spans="1:4" ht="12.75" customHeight="1" x14ac:dyDescent="0.15">
      <c r="A715" s="35"/>
      <c r="B715" s="36"/>
      <c r="C715" s="36"/>
      <c r="D715" s="37"/>
    </row>
    <row r="716" spans="1:4" ht="12.75" customHeight="1" x14ac:dyDescent="0.15">
      <c r="A716" s="35"/>
      <c r="B716" s="36"/>
      <c r="C716" s="36"/>
      <c r="D716" s="37"/>
    </row>
    <row r="717" spans="1:4" ht="12.75" customHeight="1" x14ac:dyDescent="0.15">
      <c r="A717" s="35"/>
      <c r="B717" s="36"/>
      <c r="C717" s="36"/>
      <c r="D717" s="37"/>
    </row>
    <row r="718" spans="1:4" ht="12.75" customHeight="1" x14ac:dyDescent="0.15">
      <c r="A718" s="35"/>
      <c r="B718" s="36"/>
      <c r="C718" s="36"/>
      <c r="D718" s="37"/>
    </row>
    <row r="719" spans="1:4" ht="12.75" customHeight="1" x14ac:dyDescent="0.15">
      <c r="A719" s="35"/>
      <c r="B719" s="36"/>
      <c r="C719" s="36"/>
      <c r="D719" s="37"/>
    </row>
    <row r="720" spans="1:4" ht="12.75" customHeight="1" x14ac:dyDescent="0.15">
      <c r="A720" s="35"/>
      <c r="B720" s="36"/>
      <c r="C720" s="36"/>
      <c r="D720" s="37"/>
    </row>
    <row r="721" spans="1:4" ht="12.75" customHeight="1" x14ac:dyDescent="0.15">
      <c r="A721" s="35"/>
      <c r="B721" s="36"/>
      <c r="C721" s="36"/>
      <c r="D721" s="37"/>
    </row>
    <row r="722" spans="1:4" ht="12.75" customHeight="1" x14ac:dyDescent="0.15">
      <c r="A722" s="35"/>
      <c r="B722" s="36"/>
      <c r="C722" s="36"/>
      <c r="D722" s="37"/>
    </row>
    <row r="723" spans="1:4" ht="12.75" customHeight="1" x14ac:dyDescent="0.15">
      <c r="A723" s="35"/>
      <c r="B723" s="36"/>
      <c r="C723" s="36"/>
      <c r="D723" s="37"/>
    </row>
    <row r="724" spans="1:4" ht="12.75" customHeight="1" x14ac:dyDescent="0.15">
      <c r="A724" s="35"/>
      <c r="B724" s="36"/>
      <c r="C724" s="36"/>
      <c r="D724" s="37"/>
    </row>
    <row r="725" spans="1:4" ht="12.75" customHeight="1" x14ac:dyDescent="0.15">
      <c r="A725" s="35"/>
      <c r="B725" s="36"/>
      <c r="C725" s="36"/>
      <c r="D725" s="37"/>
    </row>
    <row r="726" spans="1:4" ht="12.75" customHeight="1" x14ac:dyDescent="0.15">
      <c r="A726" s="35"/>
      <c r="B726" s="36"/>
      <c r="C726" s="36"/>
      <c r="D726" s="37"/>
    </row>
    <row r="727" spans="1:4" ht="12.75" customHeight="1" x14ac:dyDescent="0.15">
      <c r="A727" s="35"/>
      <c r="B727" s="36"/>
      <c r="C727" s="36"/>
      <c r="D727" s="37"/>
    </row>
    <row r="728" spans="1:4" ht="12.75" customHeight="1" x14ac:dyDescent="0.15">
      <c r="A728" s="35"/>
      <c r="B728" s="36"/>
      <c r="C728" s="36"/>
      <c r="D728" s="37"/>
    </row>
    <row r="729" spans="1:4" ht="12.75" customHeight="1" x14ac:dyDescent="0.15">
      <c r="A729" s="35"/>
      <c r="B729" s="36"/>
      <c r="C729" s="36"/>
      <c r="D729" s="37"/>
    </row>
    <row r="730" spans="1:4" ht="12.75" customHeight="1" x14ac:dyDescent="0.15">
      <c r="A730" s="35"/>
      <c r="B730" s="36"/>
      <c r="C730" s="36"/>
      <c r="D730" s="37"/>
    </row>
    <row r="731" spans="1:4" ht="12.75" customHeight="1" x14ac:dyDescent="0.15">
      <c r="A731" s="35"/>
      <c r="B731" s="36"/>
      <c r="C731" s="36"/>
      <c r="D731" s="37"/>
    </row>
    <row r="732" spans="1:4" ht="12.75" customHeight="1" x14ac:dyDescent="0.15">
      <c r="A732" s="35"/>
      <c r="B732" s="36"/>
      <c r="C732" s="36"/>
      <c r="D732" s="37"/>
    </row>
    <row r="733" spans="1:4" ht="12.75" customHeight="1" x14ac:dyDescent="0.15">
      <c r="A733" s="35"/>
      <c r="B733" s="36"/>
      <c r="C733" s="36"/>
      <c r="D733" s="37"/>
    </row>
    <row r="734" spans="1:4" ht="12.75" customHeight="1" x14ac:dyDescent="0.15">
      <c r="A734" s="35"/>
      <c r="B734" s="36"/>
      <c r="C734" s="36"/>
      <c r="D734" s="37"/>
    </row>
    <row r="735" spans="1:4" ht="12.75" customHeight="1" x14ac:dyDescent="0.15">
      <c r="A735" s="35"/>
      <c r="B735" s="36"/>
      <c r="C735" s="36"/>
      <c r="D735" s="37"/>
    </row>
    <row r="736" spans="1:4" ht="12.75" customHeight="1" x14ac:dyDescent="0.15">
      <c r="A736" s="35"/>
      <c r="B736" s="36"/>
      <c r="C736" s="36"/>
      <c r="D736" s="37"/>
    </row>
    <row r="737" spans="1:4" ht="12.75" customHeight="1" x14ac:dyDescent="0.15">
      <c r="A737" s="35"/>
      <c r="B737" s="36"/>
      <c r="C737" s="36"/>
      <c r="D737" s="37"/>
    </row>
    <row r="738" spans="1:4" ht="12.75" customHeight="1" x14ac:dyDescent="0.15">
      <c r="A738" s="35"/>
      <c r="B738" s="36"/>
      <c r="C738" s="36"/>
      <c r="D738" s="37"/>
    </row>
    <row r="739" spans="1:4" ht="12.75" customHeight="1" x14ac:dyDescent="0.15">
      <c r="A739" s="35"/>
      <c r="B739" s="36"/>
      <c r="C739" s="36"/>
      <c r="D739" s="37"/>
    </row>
    <row r="740" spans="1:4" ht="12.75" customHeight="1" x14ac:dyDescent="0.15">
      <c r="A740" s="35"/>
      <c r="B740" s="36"/>
      <c r="C740" s="36"/>
      <c r="D740" s="37"/>
    </row>
    <row r="741" spans="1:4" ht="12.75" customHeight="1" x14ac:dyDescent="0.15">
      <c r="A741" s="35"/>
      <c r="B741" s="36"/>
      <c r="C741" s="36"/>
      <c r="D741" s="37"/>
    </row>
    <row r="742" spans="1:4" ht="12.75" customHeight="1" x14ac:dyDescent="0.15">
      <c r="A742" s="35"/>
      <c r="B742" s="36"/>
      <c r="C742" s="36"/>
      <c r="D742" s="37"/>
    </row>
    <row r="743" spans="1:4" ht="12.75" customHeight="1" x14ac:dyDescent="0.15">
      <c r="A743" s="35"/>
      <c r="B743" s="36"/>
      <c r="C743" s="36"/>
      <c r="D743" s="37"/>
    </row>
    <row r="744" spans="1:4" ht="12.75" customHeight="1" x14ac:dyDescent="0.15">
      <c r="A744" s="35"/>
      <c r="B744" s="36"/>
      <c r="C744" s="36"/>
      <c r="D744" s="37"/>
    </row>
    <row r="745" spans="1:4" ht="12.75" customHeight="1" x14ac:dyDescent="0.15">
      <c r="A745" s="35"/>
      <c r="B745" s="36"/>
      <c r="C745" s="36"/>
      <c r="D745" s="37"/>
    </row>
    <row r="746" spans="1:4" ht="12.75" customHeight="1" x14ac:dyDescent="0.15">
      <c r="A746" s="35"/>
      <c r="B746" s="36"/>
      <c r="C746" s="36"/>
      <c r="D746" s="37"/>
    </row>
    <row r="747" spans="1:4" ht="12.75" customHeight="1" x14ac:dyDescent="0.15">
      <c r="A747" s="35"/>
      <c r="B747" s="36"/>
      <c r="C747" s="36"/>
      <c r="D747" s="37"/>
    </row>
    <row r="748" spans="1:4" ht="12.75" customHeight="1" x14ac:dyDescent="0.15">
      <c r="A748" s="35"/>
      <c r="B748" s="36"/>
      <c r="C748" s="36"/>
      <c r="D748" s="37"/>
    </row>
    <row r="749" spans="1:4" ht="12.75" customHeight="1" x14ac:dyDescent="0.15">
      <c r="A749" s="35"/>
      <c r="B749" s="36"/>
      <c r="C749" s="36"/>
      <c r="D749" s="37"/>
    </row>
    <row r="750" spans="1:4" ht="12.75" customHeight="1" x14ac:dyDescent="0.15">
      <c r="A750" s="35"/>
      <c r="B750" s="36"/>
      <c r="C750" s="36"/>
      <c r="D750" s="37"/>
    </row>
    <row r="751" spans="1:4" ht="12.75" customHeight="1" x14ac:dyDescent="0.15">
      <c r="A751" s="35"/>
      <c r="B751" s="36"/>
      <c r="C751" s="36"/>
      <c r="D751" s="37"/>
    </row>
    <row r="752" spans="1:4" ht="12.75" customHeight="1" x14ac:dyDescent="0.15">
      <c r="A752" s="35"/>
      <c r="B752" s="36"/>
      <c r="C752" s="36"/>
      <c r="D752" s="37"/>
    </row>
    <row r="753" spans="1:4" ht="12.75" customHeight="1" x14ac:dyDescent="0.15">
      <c r="A753" s="35"/>
      <c r="B753" s="36"/>
      <c r="C753" s="36"/>
      <c r="D753" s="37"/>
    </row>
    <row r="754" spans="1:4" ht="12.75" customHeight="1" x14ac:dyDescent="0.15">
      <c r="A754" s="35"/>
      <c r="B754" s="36"/>
      <c r="C754" s="36"/>
      <c r="D754" s="37"/>
    </row>
    <row r="755" spans="1:4" ht="12.75" customHeight="1" x14ac:dyDescent="0.15">
      <c r="A755" s="35"/>
      <c r="B755" s="36"/>
      <c r="C755" s="36"/>
      <c r="D755" s="37"/>
    </row>
    <row r="756" spans="1:4" ht="12.75" customHeight="1" x14ac:dyDescent="0.15">
      <c r="A756" s="35"/>
      <c r="B756" s="36"/>
      <c r="C756" s="36"/>
      <c r="D756" s="37"/>
    </row>
    <row r="757" spans="1:4" ht="12.75" customHeight="1" x14ac:dyDescent="0.15">
      <c r="A757" s="35"/>
      <c r="B757" s="36"/>
      <c r="C757" s="36"/>
      <c r="D757" s="37"/>
    </row>
    <row r="758" spans="1:4" ht="12.75" customHeight="1" x14ac:dyDescent="0.15">
      <c r="A758" s="35"/>
      <c r="B758" s="36"/>
      <c r="C758" s="36"/>
      <c r="D758" s="37"/>
    </row>
    <row r="759" spans="1:4" ht="12.75" customHeight="1" x14ac:dyDescent="0.15">
      <c r="A759" s="35"/>
      <c r="B759" s="36"/>
      <c r="C759" s="36"/>
      <c r="D759" s="37"/>
    </row>
    <row r="760" spans="1:4" ht="12.75" customHeight="1" x14ac:dyDescent="0.15">
      <c r="A760" s="35"/>
      <c r="B760" s="36"/>
      <c r="C760" s="36"/>
      <c r="D760" s="37"/>
    </row>
    <row r="761" spans="1:4" ht="12.75" customHeight="1" x14ac:dyDescent="0.15">
      <c r="A761" s="35"/>
      <c r="B761" s="36"/>
      <c r="C761" s="36"/>
      <c r="D761" s="37"/>
    </row>
    <row r="762" spans="1:4" ht="12.75" customHeight="1" x14ac:dyDescent="0.15">
      <c r="A762" s="35"/>
      <c r="B762" s="36"/>
      <c r="C762" s="36"/>
      <c r="D762" s="37"/>
    </row>
    <row r="763" spans="1:4" ht="12.75" customHeight="1" x14ac:dyDescent="0.15">
      <c r="A763" s="35"/>
      <c r="B763" s="36"/>
      <c r="C763" s="36"/>
      <c r="D763" s="37"/>
    </row>
    <row r="764" spans="1:4" ht="12.75" customHeight="1" x14ac:dyDescent="0.15">
      <c r="A764" s="35"/>
      <c r="B764" s="36"/>
      <c r="C764" s="36"/>
      <c r="D764" s="37"/>
    </row>
    <row r="765" spans="1:4" ht="12.75" customHeight="1" x14ac:dyDescent="0.15">
      <c r="A765" s="35"/>
      <c r="B765" s="36"/>
      <c r="C765" s="36"/>
      <c r="D765" s="37"/>
    </row>
    <row r="766" spans="1:4" ht="12.75" customHeight="1" x14ac:dyDescent="0.15">
      <c r="A766" s="35"/>
      <c r="B766" s="36"/>
      <c r="C766" s="36"/>
      <c r="D766" s="37"/>
    </row>
    <row r="767" spans="1:4" ht="12.75" customHeight="1" x14ac:dyDescent="0.15">
      <c r="A767" s="35"/>
      <c r="B767" s="36"/>
      <c r="C767" s="36"/>
      <c r="D767" s="37"/>
    </row>
    <row r="768" spans="1:4" ht="12.75" customHeight="1" x14ac:dyDescent="0.15">
      <c r="A768" s="35"/>
      <c r="B768" s="36"/>
      <c r="C768" s="36"/>
      <c r="D768" s="37"/>
    </row>
    <row r="769" spans="1:4" ht="12.75" customHeight="1" x14ac:dyDescent="0.15">
      <c r="A769" s="35"/>
      <c r="B769" s="36"/>
      <c r="C769" s="36"/>
      <c r="D769" s="37"/>
    </row>
    <row r="770" spans="1:4" ht="12.75" customHeight="1" x14ac:dyDescent="0.15">
      <c r="A770" s="35"/>
      <c r="B770" s="36"/>
      <c r="C770" s="36"/>
      <c r="D770" s="37"/>
    </row>
    <row r="771" spans="1:4" ht="12.75" customHeight="1" x14ac:dyDescent="0.15">
      <c r="A771" s="35"/>
      <c r="B771" s="36"/>
      <c r="C771" s="36"/>
      <c r="D771" s="37"/>
    </row>
    <row r="772" spans="1:4" ht="12.75" customHeight="1" x14ac:dyDescent="0.15">
      <c r="A772" s="35"/>
      <c r="B772" s="36"/>
      <c r="C772" s="36"/>
      <c r="D772" s="37"/>
    </row>
    <row r="773" spans="1:4" ht="12.75" customHeight="1" x14ac:dyDescent="0.15">
      <c r="A773" s="35"/>
      <c r="B773" s="36"/>
      <c r="C773" s="36"/>
      <c r="D773" s="37"/>
    </row>
    <row r="774" spans="1:4" ht="12.75" customHeight="1" x14ac:dyDescent="0.15">
      <c r="A774" s="35"/>
      <c r="B774" s="36"/>
      <c r="C774" s="36"/>
      <c r="D774" s="37"/>
    </row>
    <row r="775" spans="1:4" ht="12.75" customHeight="1" x14ac:dyDescent="0.15">
      <c r="A775" s="35"/>
      <c r="B775" s="36"/>
      <c r="C775" s="36"/>
      <c r="D775" s="37"/>
    </row>
    <row r="776" spans="1:4" ht="12.75" customHeight="1" x14ac:dyDescent="0.15">
      <c r="A776" s="35"/>
      <c r="B776" s="36"/>
      <c r="C776" s="36"/>
      <c r="D776" s="37"/>
    </row>
    <row r="777" spans="1:4" ht="12.75" customHeight="1" x14ac:dyDescent="0.15">
      <c r="A777" s="35"/>
      <c r="B777" s="36"/>
      <c r="C777" s="36"/>
      <c r="D777" s="37"/>
    </row>
    <row r="778" spans="1:4" ht="12.75" customHeight="1" x14ac:dyDescent="0.15">
      <c r="A778" s="35"/>
      <c r="B778" s="36"/>
      <c r="C778" s="36"/>
      <c r="D778" s="37"/>
    </row>
    <row r="779" spans="1:4" ht="12.75" customHeight="1" x14ac:dyDescent="0.15">
      <c r="A779" s="35"/>
      <c r="B779" s="36"/>
      <c r="C779" s="36"/>
      <c r="D779" s="37"/>
    </row>
    <row r="780" spans="1:4" ht="12.75" customHeight="1" x14ac:dyDescent="0.15">
      <c r="A780" s="35"/>
      <c r="B780" s="36"/>
      <c r="C780" s="36"/>
      <c r="D780" s="37"/>
    </row>
    <row r="781" spans="1:4" ht="12.75" customHeight="1" x14ac:dyDescent="0.15">
      <c r="A781" s="35"/>
      <c r="B781" s="36"/>
      <c r="C781" s="36"/>
      <c r="D781" s="37"/>
    </row>
    <row r="782" spans="1:4" ht="12.75" customHeight="1" x14ac:dyDescent="0.15">
      <c r="A782" s="35"/>
      <c r="B782" s="36"/>
      <c r="C782" s="36"/>
      <c r="D782" s="37"/>
    </row>
    <row r="783" spans="1:4" ht="12.75" customHeight="1" x14ac:dyDescent="0.15">
      <c r="A783" s="35"/>
      <c r="B783" s="36"/>
      <c r="C783" s="36"/>
      <c r="D783" s="37"/>
    </row>
    <row r="784" spans="1:4" ht="12.75" customHeight="1" x14ac:dyDescent="0.15">
      <c r="A784" s="35"/>
      <c r="B784" s="36"/>
      <c r="C784" s="36"/>
      <c r="D784" s="37"/>
    </row>
    <row r="785" spans="1:4" ht="12.75" customHeight="1" x14ac:dyDescent="0.15">
      <c r="A785" s="35"/>
      <c r="B785" s="36"/>
      <c r="C785" s="36"/>
      <c r="D785" s="37"/>
    </row>
    <row r="786" spans="1:4" ht="12.75" customHeight="1" x14ac:dyDescent="0.15">
      <c r="A786" s="35"/>
      <c r="B786" s="36"/>
      <c r="C786" s="36"/>
      <c r="D786" s="37"/>
    </row>
    <row r="787" spans="1:4" ht="12.75" customHeight="1" x14ac:dyDescent="0.15">
      <c r="A787" s="35"/>
      <c r="B787" s="36"/>
      <c r="C787" s="36"/>
      <c r="D787" s="37"/>
    </row>
    <row r="788" spans="1:4" ht="12.75" customHeight="1" x14ac:dyDescent="0.15">
      <c r="A788" s="35"/>
      <c r="B788" s="36"/>
      <c r="C788" s="36"/>
      <c r="D788" s="37"/>
    </row>
    <row r="789" spans="1:4" ht="12.75" customHeight="1" x14ac:dyDescent="0.15">
      <c r="A789" s="35"/>
      <c r="B789" s="36"/>
      <c r="C789" s="36"/>
      <c r="D789" s="37"/>
    </row>
    <row r="790" spans="1:4" ht="12.75" customHeight="1" x14ac:dyDescent="0.15">
      <c r="A790" s="35"/>
      <c r="B790" s="36"/>
      <c r="C790" s="36"/>
      <c r="D790" s="37"/>
    </row>
    <row r="791" spans="1:4" ht="12.75" customHeight="1" x14ac:dyDescent="0.15">
      <c r="A791" s="35"/>
      <c r="B791" s="36"/>
      <c r="C791" s="36"/>
      <c r="D791" s="37"/>
    </row>
    <row r="792" spans="1:4" ht="12.75" customHeight="1" x14ac:dyDescent="0.15">
      <c r="A792" s="35"/>
      <c r="B792" s="36"/>
      <c r="C792" s="36"/>
      <c r="D792" s="37"/>
    </row>
    <row r="793" spans="1:4" ht="12.75" customHeight="1" x14ac:dyDescent="0.15">
      <c r="A793" s="35"/>
      <c r="B793" s="36"/>
      <c r="C793" s="36"/>
      <c r="D793" s="37"/>
    </row>
    <row r="794" spans="1:4" ht="12.75" customHeight="1" x14ac:dyDescent="0.15">
      <c r="A794" s="35"/>
      <c r="B794" s="36"/>
      <c r="C794" s="36"/>
      <c r="D794" s="37"/>
    </row>
    <row r="795" spans="1:4" ht="12.75" customHeight="1" x14ac:dyDescent="0.15">
      <c r="A795" s="35"/>
      <c r="B795" s="36"/>
      <c r="C795" s="36"/>
      <c r="D795" s="37"/>
    </row>
    <row r="796" spans="1:4" ht="12.75" customHeight="1" x14ac:dyDescent="0.15">
      <c r="A796" s="35"/>
      <c r="B796" s="36"/>
      <c r="C796" s="36"/>
      <c r="D796" s="37"/>
    </row>
    <row r="797" spans="1:4" ht="12.75" customHeight="1" x14ac:dyDescent="0.15">
      <c r="A797" s="35"/>
      <c r="B797" s="36"/>
      <c r="C797" s="36"/>
      <c r="D797" s="37"/>
    </row>
    <row r="798" spans="1:4" ht="12.75" customHeight="1" x14ac:dyDescent="0.15">
      <c r="A798" s="35"/>
      <c r="B798" s="36"/>
      <c r="C798" s="36"/>
      <c r="D798" s="37"/>
    </row>
    <row r="799" spans="1:4" ht="12.75" customHeight="1" x14ac:dyDescent="0.15">
      <c r="A799" s="35"/>
      <c r="B799" s="36"/>
      <c r="C799" s="36"/>
      <c r="D799" s="37"/>
    </row>
    <row r="800" spans="1:4" ht="12.75" customHeight="1" x14ac:dyDescent="0.15">
      <c r="A800" s="35"/>
      <c r="B800" s="36"/>
      <c r="C800" s="36"/>
      <c r="D800" s="37"/>
    </row>
    <row r="801" spans="1:4" ht="12.75" customHeight="1" x14ac:dyDescent="0.15">
      <c r="A801" s="35"/>
      <c r="B801" s="36"/>
      <c r="C801" s="36"/>
      <c r="D801" s="37"/>
    </row>
    <row r="802" spans="1:4" ht="12.75" customHeight="1" x14ac:dyDescent="0.15">
      <c r="A802" s="35"/>
      <c r="B802" s="36"/>
      <c r="C802" s="36"/>
      <c r="D802" s="37"/>
    </row>
    <row r="803" spans="1:4" ht="12.75" customHeight="1" x14ac:dyDescent="0.15">
      <c r="A803" s="35"/>
      <c r="B803" s="36"/>
      <c r="C803" s="36"/>
      <c r="D803" s="37"/>
    </row>
    <row r="804" spans="1:4" ht="12.75" customHeight="1" x14ac:dyDescent="0.15">
      <c r="A804" s="35"/>
      <c r="B804" s="36"/>
      <c r="C804" s="36"/>
      <c r="D804" s="37"/>
    </row>
    <row r="805" spans="1:4" ht="12.75" customHeight="1" x14ac:dyDescent="0.15">
      <c r="A805" s="35"/>
      <c r="B805" s="36"/>
      <c r="C805" s="36"/>
      <c r="D805" s="37"/>
    </row>
    <row r="806" spans="1:4" ht="12.75" customHeight="1" x14ac:dyDescent="0.15">
      <c r="A806" s="35"/>
      <c r="B806" s="36"/>
      <c r="C806" s="36"/>
      <c r="D806" s="37"/>
    </row>
    <row r="807" spans="1:4" ht="12.75" customHeight="1" x14ac:dyDescent="0.15">
      <c r="A807" s="35"/>
      <c r="B807" s="36"/>
      <c r="C807" s="36"/>
      <c r="D807" s="37"/>
    </row>
    <row r="808" spans="1:4" ht="12.75" customHeight="1" x14ac:dyDescent="0.15">
      <c r="A808" s="35"/>
      <c r="B808" s="36"/>
      <c r="C808" s="36"/>
      <c r="D808" s="37"/>
    </row>
    <row r="809" spans="1:4" ht="12.75" customHeight="1" x14ac:dyDescent="0.15">
      <c r="A809" s="35"/>
      <c r="B809" s="36"/>
      <c r="C809" s="36"/>
      <c r="D809" s="37"/>
    </row>
    <row r="810" spans="1:4" ht="12.75" customHeight="1" x14ac:dyDescent="0.15">
      <c r="A810" s="35"/>
      <c r="B810" s="36"/>
      <c r="C810" s="36"/>
      <c r="D810" s="37"/>
    </row>
    <row r="811" spans="1:4" ht="12.75" customHeight="1" x14ac:dyDescent="0.15">
      <c r="A811" s="35"/>
      <c r="B811" s="36"/>
      <c r="C811" s="36"/>
      <c r="D811" s="37"/>
    </row>
    <row r="812" spans="1:4" ht="12.75" customHeight="1" x14ac:dyDescent="0.15">
      <c r="A812" s="35"/>
      <c r="B812" s="36"/>
      <c r="C812" s="36"/>
      <c r="D812" s="37"/>
    </row>
    <row r="813" spans="1:4" ht="12.75" customHeight="1" x14ac:dyDescent="0.15">
      <c r="A813" s="35"/>
      <c r="B813" s="36"/>
      <c r="C813" s="36"/>
      <c r="D813" s="37"/>
    </row>
    <row r="814" spans="1:4" ht="12.75" customHeight="1" x14ac:dyDescent="0.15">
      <c r="A814" s="35"/>
      <c r="B814" s="36"/>
      <c r="C814" s="36"/>
      <c r="D814" s="37"/>
    </row>
    <row r="815" spans="1:4" ht="12.75" customHeight="1" x14ac:dyDescent="0.15">
      <c r="A815" s="35"/>
      <c r="B815" s="36"/>
      <c r="C815" s="36"/>
      <c r="D815" s="37"/>
    </row>
    <row r="816" spans="1:4" ht="12.75" customHeight="1" x14ac:dyDescent="0.15">
      <c r="A816" s="35"/>
      <c r="B816" s="36"/>
      <c r="C816" s="36"/>
      <c r="D816" s="37"/>
    </row>
    <row r="817" spans="1:4" ht="12.75" customHeight="1" x14ac:dyDescent="0.15">
      <c r="A817" s="35"/>
      <c r="B817" s="36"/>
      <c r="C817" s="36"/>
      <c r="D817" s="37"/>
    </row>
    <row r="818" spans="1:4" ht="12.75" customHeight="1" x14ac:dyDescent="0.15">
      <c r="A818" s="35"/>
      <c r="B818" s="36"/>
      <c r="C818" s="36"/>
      <c r="D818" s="37"/>
    </row>
    <row r="819" spans="1:4" ht="12.75" customHeight="1" x14ac:dyDescent="0.15">
      <c r="A819" s="35"/>
      <c r="B819" s="36"/>
      <c r="C819" s="36"/>
      <c r="D819" s="37"/>
    </row>
    <row r="820" spans="1:4" ht="12.75" customHeight="1" x14ac:dyDescent="0.15">
      <c r="A820" s="35"/>
      <c r="B820" s="36"/>
      <c r="C820" s="36"/>
      <c r="D820" s="37"/>
    </row>
    <row r="821" spans="1:4" ht="12.75" customHeight="1" x14ac:dyDescent="0.15">
      <c r="A821" s="35"/>
      <c r="B821" s="36"/>
      <c r="C821" s="36"/>
      <c r="D821" s="37"/>
    </row>
    <row r="822" spans="1:4" ht="12.75" customHeight="1" x14ac:dyDescent="0.15">
      <c r="A822" s="35"/>
      <c r="B822" s="36"/>
      <c r="C822" s="36"/>
      <c r="D822" s="37"/>
    </row>
    <row r="823" spans="1:4" ht="12.75" customHeight="1" x14ac:dyDescent="0.15">
      <c r="A823" s="35"/>
      <c r="B823" s="36"/>
      <c r="C823" s="36"/>
      <c r="D823" s="37"/>
    </row>
    <row r="824" spans="1:4" ht="12.75" customHeight="1" x14ac:dyDescent="0.15">
      <c r="A824" s="35"/>
      <c r="B824" s="36"/>
      <c r="C824" s="36"/>
      <c r="D824" s="37"/>
    </row>
    <row r="825" spans="1:4" ht="12.75" customHeight="1" x14ac:dyDescent="0.15">
      <c r="A825" s="35"/>
      <c r="B825" s="36"/>
      <c r="C825" s="36"/>
      <c r="D825" s="37"/>
    </row>
    <row r="826" spans="1:4" ht="12.75" customHeight="1" x14ac:dyDescent="0.15">
      <c r="A826" s="35"/>
      <c r="B826" s="36"/>
      <c r="C826" s="36"/>
      <c r="D826" s="37"/>
    </row>
    <row r="827" spans="1:4" ht="12.75" customHeight="1" x14ac:dyDescent="0.15">
      <c r="A827" s="35"/>
      <c r="B827" s="36"/>
      <c r="C827" s="36"/>
      <c r="D827" s="37"/>
    </row>
    <row r="828" spans="1:4" ht="12.75" customHeight="1" x14ac:dyDescent="0.15">
      <c r="A828" s="35"/>
      <c r="B828" s="36"/>
      <c r="C828" s="36"/>
      <c r="D828" s="37"/>
    </row>
    <row r="829" spans="1:4" ht="12.75" customHeight="1" x14ac:dyDescent="0.15">
      <c r="A829" s="35"/>
      <c r="B829" s="36"/>
      <c r="C829" s="36"/>
      <c r="D829" s="37"/>
    </row>
    <row r="830" spans="1:4" ht="12.75" customHeight="1" x14ac:dyDescent="0.15">
      <c r="A830" s="35"/>
      <c r="B830" s="36"/>
      <c r="C830" s="36"/>
      <c r="D830" s="37"/>
    </row>
    <row r="831" spans="1:4" ht="12.75" customHeight="1" x14ac:dyDescent="0.15">
      <c r="A831" s="35"/>
      <c r="B831" s="36"/>
      <c r="C831" s="36"/>
      <c r="D831" s="37"/>
    </row>
    <row r="832" spans="1:4" ht="12.75" customHeight="1" x14ac:dyDescent="0.15">
      <c r="A832" s="35"/>
      <c r="B832" s="36"/>
      <c r="C832" s="36"/>
      <c r="D832" s="37"/>
    </row>
    <row r="833" spans="1:4" ht="12.75" customHeight="1" x14ac:dyDescent="0.15">
      <c r="A833" s="35"/>
      <c r="B833" s="36"/>
      <c r="C833" s="36"/>
      <c r="D833" s="37"/>
    </row>
    <row r="834" spans="1:4" ht="12.75" customHeight="1" x14ac:dyDescent="0.15">
      <c r="A834" s="35"/>
      <c r="B834" s="36"/>
      <c r="C834" s="36"/>
      <c r="D834" s="37"/>
    </row>
    <row r="835" spans="1:4" ht="12.75" customHeight="1" x14ac:dyDescent="0.15">
      <c r="A835" s="35"/>
      <c r="B835" s="36"/>
      <c r="C835" s="36"/>
      <c r="D835" s="37"/>
    </row>
    <row r="836" spans="1:4" ht="12.75" customHeight="1" x14ac:dyDescent="0.15">
      <c r="A836" s="35"/>
      <c r="B836" s="36"/>
      <c r="C836" s="36"/>
      <c r="D836" s="37"/>
    </row>
    <row r="837" spans="1:4" ht="12.75" customHeight="1" x14ac:dyDescent="0.15">
      <c r="A837" s="35"/>
      <c r="B837" s="36"/>
      <c r="C837" s="36"/>
      <c r="D837" s="37"/>
    </row>
    <row r="838" spans="1:4" ht="12.75" customHeight="1" x14ac:dyDescent="0.15">
      <c r="A838" s="35"/>
      <c r="B838" s="36"/>
      <c r="C838" s="36"/>
      <c r="D838" s="37"/>
    </row>
    <row r="839" spans="1:4" ht="12.75" customHeight="1" x14ac:dyDescent="0.15">
      <c r="A839" s="35"/>
      <c r="B839" s="36"/>
      <c r="C839" s="36"/>
      <c r="D839" s="37"/>
    </row>
    <row r="840" spans="1:4" ht="12.75" customHeight="1" x14ac:dyDescent="0.15">
      <c r="A840" s="35"/>
      <c r="B840" s="36"/>
      <c r="C840" s="36"/>
      <c r="D840" s="37"/>
    </row>
    <row r="841" spans="1:4" ht="12.75" customHeight="1" x14ac:dyDescent="0.15">
      <c r="A841" s="35"/>
      <c r="B841" s="36"/>
      <c r="C841" s="36"/>
      <c r="D841" s="37"/>
    </row>
    <row r="842" spans="1:4" ht="12.75" customHeight="1" x14ac:dyDescent="0.15">
      <c r="A842" s="35"/>
      <c r="B842" s="36"/>
      <c r="C842" s="36"/>
      <c r="D842" s="37"/>
    </row>
    <row r="843" spans="1:4" ht="12.75" customHeight="1" x14ac:dyDescent="0.15">
      <c r="A843" s="35"/>
      <c r="B843" s="36"/>
      <c r="C843" s="36"/>
      <c r="D843" s="37"/>
    </row>
    <row r="844" spans="1:4" ht="12.75" customHeight="1" x14ac:dyDescent="0.15">
      <c r="A844" s="35"/>
      <c r="B844" s="36"/>
      <c r="C844" s="36"/>
      <c r="D844" s="37"/>
    </row>
    <row r="845" spans="1:4" ht="12.75" customHeight="1" x14ac:dyDescent="0.15">
      <c r="A845" s="35"/>
      <c r="B845" s="36"/>
      <c r="C845" s="36"/>
      <c r="D845" s="37"/>
    </row>
    <row r="846" spans="1:4" ht="12.75" customHeight="1" x14ac:dyDescent="0.15">
      <c r="A846" s="35"/>
      <c r="B846" s="36"/>
      <c r="C846" s="36"/>
      <c r="D846" s="37"/>
    </row>
    <row r="847" spans="1:4" ht="12.75" customHeight="1" x14ac:dyDescent="0.15">
      <c r="A847" s="35"/>
      <c r="B847" s="36"/>
      <c r="C847" s="36"/>
      <c r="D847" s="37"/>
    </row>
    <row r="848" spans="1:4" ht="12.75" customHeight="1" x14ac:dyDescent="0.15">
      <c r="A848" s="35"/>
      <c r="B848" s="36"/>
      <c r="C848" s="36"/>
      <c r="D848" s="37"/>
    </row>
    <row r="849" spans="1:4" ht="12.75" customHeight="1" x14ac:dyDescent="0.15">
      <c r="A849" s="35"/>
      <c r="B849" s="36"/>
      <c r="C849" s="36"/>
      <c r="D849" s="37"/>
    </row>
    <row r="850" spans="1:4" ht="12.75" customHeight="1" x14ac:dyDescent="0.15">
      <c r="A850" s="35"/>
      <c r="B850" s="36"/>
      <c r="C850" s="36"/>
      <c r="D850" s="37"/>
    </row>
    <row r="851" spans="1:4" ht="12.75" customHeight="1" x14ac:dyDescent="0.15">
      <c r="A851" s="35"/>
      <c r="B851" s="36"/>
      <c r="C851" s="36"/>
      <c r="D851" s="37"/>
    </row>
    <row r="852" spans="1:4" ht="12.75" customHeight="1" x14ac:dyDescent="0.15">
      <c r="A852" s="35"/>
      <c r="B852" s="36"/>
      <c r="C852" s="36"/>
      <c r="D852" s="37"/>
    </row>
    <row r="853" spans="1:4" ht="12.75" customHeight="1" x14ac:dyDescent="0.15">
      <c r="A853" s="35"/>
      <c r="B853" s="36"/>
      <c r="C853" s="36"/>
      <c r="D853" s="37"/>
    </row>
    <row r="854" spans="1:4" ht="12.75" customHeight="1" x14ac:dyDescent="0.15">
      <c r="A854" s="35"/>
      <c r="B854" s="36"/>
      <c r="C854" s="36"/>
      <c r="D854" s="37"/>
    </row>
    <row r="855" spans="1:4" ht="12.75" customHeight="1" x14ac:dyDescent="0.15">
      <c r="A855" s="35"/>
      <c r="B855" s="36"/>
      <c r="C855" s="36"/>
      <c r="D855" s="37"/>
    </row>
    <row r="856" spans="1:4" ht="12.75" customHeight="1" x14ac:dyDescent="0.15">
      <c r="A856" s="35"/>
      <c r="B856" s="36"/>
      <c r="C856" s="36"/>
      <c r="D856" s="37"/>
    </row>
    <row r="857" spans="1:4" ht="12.75" customHeight="1" x14ac:dyDescent="0.15">
      <c r="A857" s="35"/>
      <c r="B857" s="36"/>
      <c r="C857" s="36"/>
      <c r="D857" s="37"/>
    </row>
    <row r="858" spans="1:4" ht="12.75" customHeight="1" x14ac:dyDescent="0.15">
      <c r="A858" s="35"/>
      <c r="B858" s="36"/>
      <c r="C858" s="36"/>
      <c r="D858" s="37"/>
    </row>
    <row r="859" spans="1:4" ht="12.75" customHeight="1" x14ac:dyDescent="0.15">
      <c r="A859" s="35"/>
      <c r="B859" s="36"/>
      <c r="C859" s="36"/>
      <c r="D859" s="37"/>
    </row>
    <row r="860" spans="1:4" ht="12.75" customHeight="1" x14ac:dyDescent="0.15">
      <c r="A860" s="35"/>
      <c r="B860" s="36"/>
      <c r="C860" s="36"/>
      <c r="D860" s="37"/>
    </row>
    <row r="861" spans="1:4" ht="12.75" customHeight="1" x14ac:dyDescent="0.15">
      <c r="A861" s="35"/>
      <c r="B861" s="36"/>
      <c r="C861" s="36"/>
      <c r="D861" s="37"/>
    </row>
    <row r="862" spans="1:4" ht="12.75" customHeight="1" x14ac:dyDescent="0.15">
      <c r="A862" s="35"/>
      <c r="B862" s="36"/>
      <c r="C862" s="36"/>
      <c r="D862" s="37"/>
    </row>
    <row r="863" spans="1:4" ht="12.75" customHeight="1" x14ac:dyDescent="0.15">
      <c r="A863" s="35"/>
      <c r="B863" s="36"/>
      <c r="C863" s="36"/>
      <c r="D863" s="37"/>
    </row>
    <row r="864" spans="1:4" ht="12.75" customHeight="1" x14ac:dyDescent="0.15">
      <c r="A864" s="35"/>
      <c r="B864" s="36"/>
      <c r="C864" s="36"/>
      <c r="D864" s="37"/>
    </row>
    <row r="865" spans="1:4" ht="12.75" customHeight="1" x14ac:dyDescent="0.15">
      <c r="A865" s="35"/>
      <c r="B865" s="36"/>
      <c r="C865" s="36"/>
      <c r="D865" s="37"/>
    </row>
    <row r="866" spans="1:4" ht="12.75" customHeight="1" x14ac:dyDescent="0.15">
      <c r="A866" s="35"/>
      <c r="B866" s="36"/>
      <c r="C866" s="36"/>
      <c r="D866" s="37"/>
    </row>
    <row r="867" spans="1:4" ht="12.75" customHeight="1" x14ac:dyDescent="0.15">
      <c r="A867" s="35"/>
      <c r="B867" s="36"/>
      <c r="C867" s="36"/>
      <c r="D867" s="37"/>
    </row>
    <row r="868" spans="1:4" ht="12.75" customHeight="1" x14ac:dyDescent="0.15">
      <c r="A868" s="35"/>
      <c r="B868" s="36"/>
      <c r="C868" s="36"/>
      <c r="D868" s="37"/>
    </row>
    <row r="869" spans="1:4" ht="12.75" customHeight="1" x14ac:dyDescent="0.15">
      <c r="A869" s="35"/>
      <c r="B869" s="36"/>
      <c r="C869" s="36"/>
      <c r="D869" s="37"/>
    </row>
    <row r="870" spans="1:4" ht="12.75" customHeight="1" x14ac:dyDescent="0.15">
      <c r="A870" s="35"/>
      <c r="B870" s="36"/>
      <c r="C870" s="36"/>
      <c r="D870" s="37"/>
    </row>
    <row r="871" spans="1:4" ht="12.75" customHeight="1" x14ac:dyDescent="0.15">
      <c r="A871" s="35"/>
      <c r="B871" s="36"/>
      <c r="C871" s="36"/>
      <c r="D871" s="37"/>
    </row>
    <row r="872" spans="1:4" ht="12.75" customHeight="1" x14ac:dyDescent="0.15">
      <c r="A872" s="35"/>
      <c r="B872" s="36"/>
      <c r="C872" s="36"/>
      <c r="D872" s="37"/>
    </row>
    <row r="873" spans="1:4" ht="12.75" customHeight="1" x14ac:dyDescent="0.15">
      <c r="A873" s="35"/>
      <c r="B873" s="36"/>
      <c r="C873" s="36"/>
      <c r="D873" s="37"/>
    </row>
    <row r="874" spans="1:4" ht="12.75" customHeight="1" x14ac:dyDescent="0.15">
      <c r="A874" s="35"/>
      <c r="B874" s="36"/>
      <c r="C874" s="36"/>
      <c r="D874" s="37"/>
    </row>
    <row r="875" spans="1:4" ht="12.75" customHeight="1" x14ac:dyDescent="0.15">
      <c r="A875" s="35"/>
      <c r="B875" s="36"/>
      <c r="C875" s="36"/>
      <c r="D875" s="37"/>
    </row>
    <row r="876" spans="1:4" ht="12.75" customHeight="1" x14ac:dyDescent="0.15">
      <c r="A876" s="35"/>
      <c r="B876" s="36"/>
      <c r="C876" s="36"/>
      <c r="D876" s="37"/>
    </row>
    <row r="877" spans="1:4" ht="12.75" customHeight="1" x14ac:dyDescent="0.15">
      <c r="A877" s="35"/>
      <c r="B877" s="36"/>
      <c r="C877" s="36"/>
      <c r="D877" s="37"/>
    </row>
    <row r="878" spans="1:4" ht="12.75" customHeight="1" x14ac:dyDescent="0.15">
      <c r="A878" s="35"/>
      <c r="B878" s="36"/>
      <c r="C878" s="36"/>
      <c r="D878" s="37"/>
    </row>
    <row r="879" spans="1:4" ht="12.75" customHeight="1" x14ac:dyDescent="0.15">
      <c r="A879" s="35"/>
      <c r="B879" s="36"/>
      <c r="C879" s="36"/>
      <c r="D879" s="37"/>
    </row>
    <row r="880" spans="1:4" ht="12.75" customHeight="1" x14ac:dyDescent="0.15">
      <c r="A880" s="35"/>
      <c r="B880" s="36"/>
      <c r="C880" s="36"/>
      <c r="D880" s="37"/>
    </row>
    <row r="881" spans="1:4" ht="12.75" customHeight="1" x14ac:dyDescent="0.15">
      <c r="A881" s="35"/>
      <c r="B881" s="36"/>
      <c r="C881" s="36"/>
      <c r="D881" s="37"/>
    </row>
    <row r="882" spans="1:4" ht="12.75" customHeight="1" x14ac:dyDescent="0.15">
      <c r="A882" s="35"/>
      <c r="B882" s="36"/>
      <c r="C882" s="36"/>
      <c r="D882" s="37"/>
    </row>
    <row r="883" spans="1:4" ht="12.75" customHeight="1" x14ac:dyDescent="0.15">
      <c r="A883" s="35"/>
      <c r="B883" s="36"/>
      <c r="C883" s="36"/>
      <c r="D883" s="37"/>
    </row>
    <row r="884" spans="1:4" ht="12.75" customHeight="1" x14ac:dyDescent="0.15">
      <c r="A884" s="35"/>
      <c r="B884" s="36"/>
      <c r="C884" s="36"/>
      <c r="D884" s="37"/>
    </row>
    <row r="885" spans="1:4" ht="12.75" customHeight="1" x14ac:dyDescent="0.15">
      <c r="A885" s="35"/>
      <c r="B885" s="36"/>
      <c r="C885" s="36"/>
      <c r="D885" s="37"/>
    </row>
    <row r="886" spans="1:4" ht="12.75" customHeight="1" x14ac:dyDescent="0.15">
      <c r="A886" s="35"/>
      <c r="B886" s="36"/>
      <c r="C886" s="36"/>
      <c r="D886" s="37"/>
    </row>
    <row r="887" spans="1:4" ht="12.75" customHeight="1" x14ac:dyDescent="0.15">
      <c r="A887" s="35"/>
      <c r="B887" s="36"/>
      <c r="C887" s="36"/>
      <c r="D887" s="37"/>
    </row>
    <row r="888" spans="1:4" ht="12.75" customHeight="1" x14ac:dyDescent="0.15">
      <c r="A888" s="35"/>
      <c r="B888" s="36"/>
      <c r="C888" s="36"/>
      <c r="D888" s="37"/>
    </row>
    <row r="889" spans="1:4" ht="12.75" customHeight="1" x14ac:dyDescent="0.15">
      <c r="A889" s="35"/>
      <c r="B889" s="36"/>
      <c r="C889" s="36"/>
      <c r="D889" s="37"/>
    </row>
    <row r="890" spans="1:4" ht="12.75" customHeight="1" x14ac:dyDescent="0.15">
      <c r="A890" s="35"/>
      <c r="B890" s="36"/>
      <c r="C890" s="36"/>
      <c r="D890" s="37"/>
    </row>
    <row r="891" spans="1:4" ht="12.75" customHeight="1" x14ac:dyDescent="0.15">
      <c r="A891" s="35"/>
      <c r="B891" s="36"/>
      <c r="C891" s="36"/>
      <c r="D891" s="37"/>
    </row>
    <row r="892" spans="1:4" ht="12.75" customHeight="1" x14ac:dyDescent="0.15">
      <c r="A892" s="35"/>
      <c r="B892" s="36"/>
      <c r="C892" s="36"/>
      <c r="D892" s="37"/>
    </row>
    <row r="893" spans="1:4" ht="12.75" customHeight="1" x14ac:dyDescent="0.15">
      <c r="A893" s="35"/>
      <c r="B893" s="36"/>
      <c r="C893" s="36"/>
      <c r="D893" s="37"/>
    </row>
    <row r="894" spans="1:4" ht="12.75" customHeight="1" x14ac:dyDescent="0.15">
      <c r="A894" s="35"/>
      <c r="B894" s="36"/>
      <c r="C894" s="36"/>
      <c r="D894" s="37"/>
    </row>
    <row r="895" spans="1:4" ht="12.75" customHeight="1" x14ac:dyDescent="0.15">
      <c r="A895" s="35"/>
      <c r="B895" s="36"/>
      <c r="C895" s="36"/>
      <c r="D895" s="37"/>
    </row>
    <row r="896" spans="1:4" ht="12.75" customHeight="1" x14ac:dyDescent="0.15">
      <c r="A896" s="35"/>
      <c r="B896" s="36"/>
      <c r="C896" s="36"/>
      <c r="D896" s="37"/>
    </row>
    <row r="897" spans="1:4" ht="12.75" customHeight="1" x14ac:dyDescent="0.15">
      <c r="A897" s="35"/>
      <c r="B897" s="36"/>
      <c r="C897" s="36"/>
      <c r="D897" s="37"/>
    </row>
    <row r="898" spans="1:4" ht="12.75" customHeight="1" x14ac:dyDescent="0.15">
      <c r="A898" s="35"/>
      <c r="B898" s="36"/>
      <c r="C898" s="36"/>
      <c r="D898" s="37"/>
    </row>
    <row r="899" spans="1:4" ht="12.75" customHeight="1" x14ac:dyDescent="0.15">
      <c r="A899" s="35"/>
      <c r="B899" s="36"/>
      <c r="C899" s="36"/>
      <c r="D899" s="37"/>
    </row>
    <row r="900" spans="1:4" ht="12.75" customHeight="1" x14ac:dyDescent="0.15">
      <c r="A900" s="35"/>
      <c r="B900" s="36"/>
      <c r="C900" s="36"/>
      <c r="D900" s="37"/>
    </row>
    <row r="901" spans="1:4" ht="12.75" customHeight="1" x14ac:dyDescent="0.15">
      <c r="A901" s="35"/>
      <c r="B901" s="36"/>
      <c r="C901" s="36"/>
      <c r="D901" s="37"/>
    </row>
    <row r="902" spans="1:4" ht="12.75" customHeight="1" x14ac:dyDescent="0.15">
      <c r="A902" s="35"/>
      <c r="B902" s="36"/>
      <c r="C902" s="36"/>
      <c r="D902" s="37"/>
    </row>
    <row r="903" spans="1:4" ht="12.75" customHeight="1" x14ac:dyDescent="0.15">
      <c r="A903" s="35"/>
      <c r="B903" s="36"/>
      <c r="C903" s="36"/>
      <c r="D903" s="37"/>
    </row>
    <row r="904" spans="1:4" ht="12.75" customHeight="1" x14ac:dyDescent="0.15">
      <c r="A904" s="35"/>
      <c r="B904" s="36"/>
      <c r="C904" s="36"/>
      <c r="D904" s="37"/>
    </row>
    <row r="905" spans="1:4" ht="12.75" customHeight="1" x14ac:dyDescent="0.15">
      <c r="A905" s="35"/>
      <c r="B905" s="36"/>
      <c r="C905" s="36"/>
      <c r="D905" s="37"/>
    </row>
    <row r="906" spans="1:4" ht="12.75" customHeight="1" x14ac:dyDescent="0.15">
      <c r="A906" s="35"/>
      <c r="B906" s="36"/>
      <c r="C906" s="36"/>
      <c r="D906" s="37"/>
    </row>
    <row r="907" spans="1:4" ht="12.75" customHeight="1" x14ac:dyDescent="0.15">
      <c r="A907" s="35"/>
      <c r="B907" s="36"/>
      <c r="C907" s="36"/>
      <c r="D907" s="37"/>
    </row>
    <row r="908" spans="1:4" ht="12.75" customHeight="1" x14ac:dyDescent="0.15">
      <c r="A908" s="35"/>
      <c r="B908" s="36"/>
      <c r="C908" s="36"/>
      <c r="D908" s="37"/>
    </row>
    <row r="909" spans="1:4" ht="12.75" customHeight="1" x14ac:dyDescent="0.15">
      <c r="A909" s="35"/>
      <c r="B909" s="36"/>
      <c r="C909" s="36"/>
      <c r="D909" s="37"/>
    </row>
    <row r="910" spans="1:4" ht="12.75" customHeight="1" x14ac:dyDescent="0.15">
      <c r="A910" s="35"/>
      <c r="B910" s="36"/>
      <c r="C910" s="36"/>
      <c r="D910" s="37"/>
    </row>
    <row r="911" spans="1:4" ht="12.75" customHeight="1" x14ac:dyDescent="0.15">
      <c r="A911" s="35"/>
      <c r="B911" s="36"/>
      <c r="C911" s="36"/>
      <c r="D911" s="37"/>
    </row>
    <row r="912" spans="1:4" ht="12.75" customHeight="1" x14ac:dyDescent="0.15">
      <c r="A912" s="35"/>
      <c r="B912" s="36"/>
      <c r="C912" s="36"/>
      <c r="D912" s="37"/>
    </row>
    <row r="913" spans="1:4" ht="12.75" customHeight="1" x14ac:dyDescent="0.15">
      <c r="A913" s="35"/>
      <c r="B913" s="36"/>
      <c r="C913" s="36"/>
      <c r="D913" s="37"/>
    </row>
    <row r="914" spans="1:4" ht="12.75" customHeight="1" x14ac:dyDescent="0.15">
      <c r="A914" s="35"/>
      <c r="B914" s="36"/>
      <c r="C914" s="36"/>
      <c r="D914" s="37"/>
    </row>
    <row r="915" spans="1:4" ht="12.75" customHeight="1" x14ac:dyDescent="0.15">
      <c r="A915" s="35"/>
      <c r="B915" s="36"/>
      <c r="C915" s="36"/>
      <c r="D915" s="37"/>
    </row>
    <row r="916" spans="1:4" ht="12.75" customHeight="1" x14ac:dyDescent="0.15">
      <c r="A916" s="35"/>
      <c r="B916" s="36"/>
      <c r="C916" s="36"/>
      <c r="D916" s="37"/>
    </row>
    <row r="917" spans="1:4" ht="12.75" customHeight="1" x14ac:dyDescent="0.15">
      <c r="A917" s="35"/>
      <c r="B917" s="36"/>
      <c r="C917" s="36"/>
      <c r="D917" s="37"/>
    </row>
    <row r="918" spans="1:4" ht="12.75" customHeight="1" x14ac:dyDescent="0.15">
      <c r="A918" s="35"/>
      <c r="B918" s="36"/>
      <c r="C918" s="36"/>
      <c r="D918" s="37"/>
    </row>
    <row r="919" spans="1:4" ht="12.75" customHeight="1" x14ac:dyDescent="0.15">
      <c r="A919" s="35"/>
      <c r="B919" s="36"/>
      <c r="C919" s="36"/>
      <c r="D919" s="37"/>
    </row>
    <row r="920" spans="1:4" ht="12.75" customHeight="1" x14ac:dyDescent="0.15">
      <c r="A920" s="35"/>
      <c r="B920" s="36"/>
      <c r="C920" s="36"/>
      <c r="D920" s="37"/>
    </row>
    <row r="921" spans="1:4" ht="12.75" customHeight="1" x14ac:dyDescent="0.15">
      <c r="A921" s="35"/>
      <c r="B921" s="36"/>
      <c r="C921" s="36"/>
      <c r="D921" s="37"/>
    </row>
    <row r="922" spans="1:4" ht="12.75" customHeight="1" x14ac:dyDescent="0.15">
      <c r="A922" s="35"/>
      <c r="B922" s="36"/>
      <c r="C922" s="36"/>
      <c r="D922" s="37"/>
    </row>
    <row r="923" spans="1:4" ht="12.75" customHeight="1" x14ac:dyDescent="0.15">
      <c r="A923" s="35"/>
      <c r="B923" s="36"/>
      <c r="C923" s="36"/>
      <c r="D923" s="37"/>
    </row>
    <row r="924" spans="1:4" ht="12.75" customHeight="1" x14ac:dyDescent="0.15">
      <c r="A924" s="35"/>
      <c r="B924" s="36"/>
      <c r="C924" s="36"/>
      <c r="D924" s="37"/>
    </row>
    <row r="925" spans="1:4" ht="12.75" customHeight="1" x14ac:dyDescent="0.15">
      <c r="A925" s="35"/>
      <c r="B925" s="36"/>
      <c r="C925" s="36"/>
      <c r="D925" s="37"/>
    </row>
    <row r="926" spans="1:4" ht="12.75" customHeight="1" x14ac:dyDescent="0.15">
      <c r="A926" s="35"/>
      <c r="B926" s="36"/>
      <c r="C926" s="36"/>
      <c r="D926" s="37"/>
    </row>
    <row r="927" spans="1:4" ht="12.75" customHeight="1" x14ac:dyDescent="0.15">
      <c r="A927" s="35"/>
      <c r="B927" s="36"/>
      <c r="C927" s="36"/>
      <c r="D927" s="37"/>
    </row>
    <row r="928" spans="1:4" ht="12.75" customHeight="1" x14ac:dyDescent="0.15">
      <c r="A928" s="35"/>
      <c r="B928" s="36"/>
      <c r="C928" s="36"/>
      <c r="D928" s="37"/>
    </row>
    <row r="929" spans="1:4" ht="12.75" customHeight="1" x14ac:dyDescent="0.15">
      <c r="A929" s="35"/>
      <c r="B929" s="36"/>
      <c r="C929" s="36"/>
      <c r="D929" s="37"/>
    </row>
    <row r="930" spans="1:4" ht="12.75" customHeight="1" x14ac:dyDescent="0.15">
      <c r="A930" s="35"/>
      <c r="B930" s="36"/>
      <c r="C930" s="36"/>
      <c r="D930" s="37"/>
    </row>
    <row r="931" spans="1:4" ht="12.75" customHeight="1" x14ac:dyDescent="0.15">
      <c r="A931" s="35"/>
      <c r="B931" s="36"/>
      <c r="C931" s="36"/>
      <c r="D931" s="37"/>
    </row>
    <row r="932" spans="1:4" ht="12.75" customHeight="1" x14ac:dyDescent="0.15">
      <c r="A932" s="35"/>
      <c r="B932" s="36"/>
      <c r="C932" s="36"/>
      <c r="D932" s="37"/>
    </row>
    <row r="933" spans="1:4" ht="12.75" customHeight="1" x14ac:dyDescent="0.15">
      <c r="A933" s="35"/>
      <c r="B933" s="36"/>
      <c r="C933" s="36"/>
      <c r="D933" s="37"/>
    </row>
    <row r="934" spans="1:4" ht="12.75" customHeight="1" x14ac:dyDescent="0.15">
      <c r="A934" s="35"/>
      <c r="B934" s="36"/>
      <c r="C934" s="36"/>
      <c r="D934" s="37"/>
    </row>
    <row r="935" spans="1:4" ht="12.75" customHeight="1" x14ac:dyDescent="0.15">
      <c r="A935" s="35"/>
      <c r="B935" s="36"/>
      <c r="C935" s="36"/>
      <c r="D935" s="37"/>
    </row>
    <row r="936" spans="1:4" ht="12.75" customHeight="1" x14ac:dyDescent="0.15">
      <c r="A936" s="35"/>
      <c r="B936" s="36"/>
      <c r="C936" s="36"/>
      <c r="D936" s="37"/>
    </row>
    <row r="937" spans="1:4" ht="12.75" customHeight="1" x14ac:dyDescent="0.15">
      <c r="A937" s="35"/>
      <c r="B937" s="36"/>
      <c r="C937" s="36"/>
      <c r="D937" s="37"/>
    </row>
    <row r="938" spans="1:4" ht="12.75" customHeight="1" x14ac:dyDescent="0.15">
      <c r="A938" s="35"/>
      <c r="B938" s="36"/>
      <c r="C938" s="36"/>
      <c r="D938" s="37"/>
    </row>
    <row r="939" spans="1:4" ht="12.75" customHeight="1" x14ac:dyDescent="0.15">
      <c r="A939" s="35"/>
      <c r="B939" s="36"/>
      <c r="C939" s="36"/>
      <c r="D939" s="37"/>
    </row>
    <row r="940" spans="1:4" ht="12.75" customHeight="1" x14ac:dyDescent="0.15">
      <c r="A940" s="35"/>
      <c r="B940" s="36"/>
      <c r="C940" s="36"/>
      <c r="D940" s="37"/>
    </row>
    <row r="941" spans="1:4" ht="12.75" customHeight="1" x14ac:dyDescent="0.15">
      <c r="A941" s="35"/>
      <c r="B941" s="36"/>
      <c r="C941" s="36"/>
      <c r="D941" s="37"/>
    </row>
    <row r="942" spans="1:4" ht="12.75" customHeight="1" x14ac:dyDescent="0.15">
      <c r="A942" s="35"/>
      <c r="B942" s="36"/>
      <c r="C942" s="36"/>
      <c r="D942" s="37"/>
    </row>
    <row r="943" spans="1:4" ht="12.75" customHeight="1" x14ac:dyDescent="0.15">
      <c r="A943" s="35"/>
      <c r="B943" s="36"/>
      <c r="C943" s="36"/>
      <c r="D943" s="37"/>
    </row>
    <row r="944" spans="1:4" ht="12.75" customHeight="1" x14ac:dyDescent="0.15">
      <c r="A944" s="35"/>
      <c r="B944" s="36"/>
      <c r="C944" s="36"/>
      <c r="D944" s="37"/>
    </row>
    <row r="945" spans="1:4" ht="12.75" customHeight="1" x14ac:dyDescent="0.15">
      <c r="A945" s="35"/>
      <c r="B945" s="36"/>
      <c r="C945" s="36"/>
      <c r="D945" s="37"/>
    </row>
    <row r="946" spans="1:4" ht="12.75" customHeight="1" x14ac:dyDescent="0.15">
      <c r="A946" s="35"/>
      <c r="B946" s="36"/>
      <c r="C946" s="36"/>
      <c r="D946" s="37"/>
    </row>
    <row r="947" spans="1:4" ht="12.75" customHeight="1" x14ac:dyDescent="0.15">
      <c r="A947" s="35"/>
      <c r="B947" s="36"/>
      <c r="C947" s="36"/>
      <c r="D947" s="37"/>
    </row>
    <row r="948" spans="1:4" ht="12.75" customHeight="1" x14ac:dyDescent="0.15">
      <c r="A948" s="35"/>
      <c r="B948" s="36"/>
      <c r="C948" s="36"/>
      <c r="D948" s="37"/>
    </row>
    <row r="949" spans="1:4" ht="12.75" customHeight="1" x14ac:dyDescent="0.15">
      <c r="A949" s="35"/>
      <c r="B949" s="36"/>
      <c r="C949" s="36"/>
      <c r="D949" s="37"/>
    </row>
    <row r="950" spans="1:4" ht="12.75" customHeight="1" x14ac:dyDescent="0.15">
      <c r="A950" s="35"/>
      <c r="B950" s="36"/>
      <c r="C950" s="36"/>
      <c r="D950" s="37"/>
    </row>
    <row r="951" spans="1:4" ht="12.75" customHeight="1" x14ac:dyDescent="0.15">
      <c r="A951" s="35"/>
      <c r="B951" s="36"/>
      <c r="C951" s="36"/>
      <c r="D951" s="37"/>
    </row>
    <row r="952" spans="1:4" ht="12.75" customHeight="1" x14ac:dyDescent="0.15">
      <c r="A952" s="35"/>
      <c r="B952" s="36"/>
      <c r="C952" s="36"/>
      <c r="D952" s="37"/>
    </row>
    <row r="953" spans="1:4" ht="12.75" customHeight="1" x14ac:dyDescent="0.15">
      <c r="A953" s="35"/>
      <c r="B953" s="36"/>
      <c r="C953" s="36"/>
      <c r="D953" s="37"/>
    </row>
    <row r="954" spans="1:4" ht="12.75" customHeight="1" x14ac:dyDescent="0.15">
      <c r="A954" s="35"/>
      <c r="B954" s="36"/>
      <c r="C954" s="36"/>
      <c r="D954" s="37"/>
    </row>
    <row r="955" spans="1:4" ht="12.75" customHeight="1" x14ac:dyDescent="0.15">
      <c r="A955" s="35"/>
      <c r="B955" s="36"/>
      <c r="C955" s="36"/>
      <c r="D955" s="37"/>
    </row>
    <row r="956" spans="1:4" ht="12.75" customHeight="1" x14ac:dyDescent="0.15">
      <c r="A956" s="35"/>
      <c r="B956" s="36"/>
      <c r="C956" s="36"/>
      <c r="D956" s="37"/>
    </row>
    <row r="957" spans="1:4" ht="12.75" customHeight="1" x14ac:dyDescent="0.15">
      <c r="A957" s="35"/>
      <c r="B957" s="36"/>
      <c r="C957" s="36"/>
      <c r="D957" s="37"/>
    </row>
    <row r="958" spans="1:4" ht="12.75" customHeight="1" x14ac:dyDescent="0.15">
      <c r="A958" s="35"/>
      <c r="B958" s="36"/>
      <c r="C958" s="36"/>
      <c r="D958" s="37"/>
    </row>
    <row r="959" spans="1:4" ht="12.75" customHeight="1" x14ac:dyDescent="0.15">
      <c r="A959" s="35"/>
      <c r="B959" s="36"/>
      <c r="C959" s="36"/>
      <c r="D959" s="37"/>
    </row>
    <row r="960" spans="1:4" ht="12.75" customHeight="1" x14ac:dyDescent="0.15">
      <c r="A960" s="35"/>
      <c r="B960" s="36"/>
      <c r="C960" s="36"/>
      <c r="D960" s="37"/>
    </row>
    <row r="961" spans="1:4" ht="12.75" customHeight="1" x14ac:dyDescent="0.15">
      <c r="A961" s="35"/>
      <c r="B961" s="36"/>
      <c r="C961" s="36"/>
      <c r="D961" s="37"/>
    </row>
    <row r="962" spans="1:4" ht="12.75" customHeight="1" x14ac:dyDescent="0.15">
      <c r="A962" s="35"/>
      <c r="B962" s="36"/>
      <c r="C962" s="36"/>
      <c r="D962" s="37"/>
    </row>
    <row r="963" spans="1:4" ht="12.75" customHeight="1" x14ac:dyDescent="0.15">
      <c r="A963" s="35"/>
      <c r="B963" s="36"/>
      <c r="C963" s="36"/>
      <c r="D963" s="37"/>
    </row>
    <row r="964" spans="1:4" ht="12.75" customHeight="1" x14ac:dyDescent="0.15">
      <c r="A964" s="35"/>
      <c r="B964" s="36"/>
      <c r="C964" s="36"/>
      <c r="D964" s="37"/>
    </row>
    <row r="965" spans="1:4" ht="12.75" customHeight="1" x14ac:dyDescent="0.15">
      <c r="A965" s="35"/>
      <c r="B965" s="36"/>
      <c r="C965" s="36"/>
      <c r="D965" s="37"/>
    </row>
    <row r="966" spans="1:4" ht="12.75" customHeight="1" x14ac:dyDescent="0.15">
      <c r="A966" s="35"/>
      <c r="B966" s="36"/>
      <c r="C966" s="36"/>
      <c r="D966" s="37"/>
    </row>
    <row r="967" spans="1:4" ht="12.75" customHeight="1" x14ac:dyDescent="0.15">
      <c r="A967" s="35"/>
      <c r="B967" s="36"/>
      <c r="C967" s="36"/>
      <c r="D967" s="37"/>
    </row>
    <row r="968" spans="1:4" ht="12.75" customHeight="1" x14ac:dyDescent="0.15">
      <c r="A968" s="35"/>
      <c r="B968" s="36"/>
      <c r="C968" s="36"/>
      <c r="D968" s="37"/>
    </row>
    <row r="969" spans="1:4" ht="12.75" customHeight="1" x14ac:dyDescent="0.15">
      <c r="A969" s="35"/>
      <c r="B969" s="36"/>
      <c r="C969" s="36"/>
      <c r="D969" s="37"/>
    </row>
    <row r="970" spans="1:4" ht="12.75" customHeight="1" x14ac:dyDescent="0.15">
      <c r="A970" s="35"/>
      <c r="B970" s="36"/>
      <c r="C970" s="36"/>
      <c r="D970" s="37"/>
    </row>
    <row r="971" spans="1:4" ht="12.75" customHeight="1" x14ac:dyDescent="0.15">
      <c r="A971" s="35"/>
      <c r="B971" s="36"/>
      <c r="C971" s="36"/>
      <c r="D971" s="37"/>
    </row>
    <row r="972" spans="1:4" ht="12.75" customHeight="1" x14ac:dyDescent="0.15">
      <c r="A972" s="35"/>
      <c r="B972" s="36"/>
      <c r="C972" s="36"/>
      <c r="D972" s="37"/>
    </row>
    <row r="973" spans="1:4" ht="12.75" customHeight="1" x14ac:dyDescent="0.15">
      <c r="A973" s="35"/>
      <c r="B973" s="36"/>
      <c r="C973" s="36"/>
      <c r="D973" s="37"/>
    </row>
    <row r="974" spans="1:4" ht="12.75" customHeight="1" x14ac:dyDescent="0.15">
      <c r="A974" s="35"/>
      <c r="B974" s="36"/>
      <c r="C974" s="36"/>
      <c r="D974" s="37"/>
    </row>
    <row r="975" spans="1:4" ht="12.75" customHeight="1" x14ac:dyDescent="0.15">
      <c r="A975" s="35"/>
      <c r="B975" s="36"/>
      <c r="C975" s="36"/>
      <c r="D975" s="37"/>
    </row>
    <row r="976" spans="1:4" ht="12.75" customHeight="1" x14ac:dyDescent="0.15">
      <c r="A976" s="35"/>
      <c r="B976" s="36"/>
      <c r="C976" s="36"/>
      <c r="D976" s="37"/>
    </row>
    <row r="977" spans="1:4" ht="12.75" customHeight="1" x14ac:dyDescent="0.15">
      <c r="A977" s="35"/>
      <c r="B977" s="36"/>
      <c r="C977" s="36"/>
      <c r="D977" s="37"/>
    </row>
    <row r="978" spans="1:4" ht="12.75" customHeight="1" x14ac:dyDescent="0.15">
      <c r="A978" s="35"/>
      <c r="B978" s="36"/>
      <c r="C978" s="36"/>
      <c r="D978" s="37"/>
    </row>
    <row r="979" spans="1:4" ht="12.75" customHeight="1" x14ac:dyDescent="0.15">
      <c r="A979" s="35"/>
      <c r="B979" s="36"/>
      <c r="C979" s="36"/>
      <c r="D979" s="37"/>
    </row>
    <row r="980" spans="1:4" ht="12.75" customHeight="1" x14ac:dyDescent="0.15">
      <c r="A980" s="35"/>
      <c r="B980" s="36"/>
      <c r="C980" s="36"/>
      <c r="D980" s="37"/>
    </row>
    <row r="981" spans="1:4" ht="12.75" customHeight="1" x14ac:dyDescent="0.15">
      <c r="A981" s="35"/>
      <c r="B981" s="36"/>
      <c r="C981" s="36"/>
      <c r="D981" s="37"/>
    </row>
    <row r="982" spans="1:4" ht="12.75" customHeight="1" x14ac:dyDescent="0.15">
      <c r="A982" s="35"/>
      <c r="B982" s="36"/>
      <c r="C982" s="36"/>
      <c r="D982" s="37"/>
    </row>
    <row r="983" spans="1:4" ht="12.75" customHeight="1" x14ac:dyDescent="0.15">
      <c r="A983" s="35"/>
      <c r="B983" s="36"/>
      <c r="C983" s="36"/>
      <c r="D983" s="37"/>
    </row>
    <row r="984" spans="1:4" ht="12.75" customHeight="1" x14ac:dyDescent="0.15">
      <c r="A984" s="35"/>
      <c r="B984" s="36"/>
      <c r="C984" s="36"/>
      <c r="D984" s="37"/>
    </row>
    <row r="985" spans="1:4" ht="12.75" customHeight="1" x14ac:dyDescent="0.15">
      <c r="A985" s="35"/>
      <c r="B985" s="36"/>
      <c r="C985" s="36"/>
      <c r="D985" s="37"/>
    </row>
    <row r="986" spans="1:4" ht="12.75" customHeight="1" x14ac:dyDescent="0.15">
      <c r="A986" s="35"/>
      <c r="B986" s="36"/>
      <c r="C986" s="36"/>
      <c r="D986" s="37"/>
    </row>
    <row r="987" spans="1:4" ht="12.75" customHeight="1" x14ac:dyDescent="0.15">
      <c r="A987" s="35"/>
      <c r="B987" s="36"/>
      <c r="C987" s="36"/>
      <c r="D987" s="37"/>
    </row>
    <row r="988" spans="1:4" ht="12.75" customHeight="1" x14ac:dyDescent="0.15">
      <c r="A988" s="35"/>
      <c r="B988" s="36"/>
      <c r="C988" s="36"/>
      <c r="D988" s="37"/>
    </row>
    <row r="989" spans="1:4" ht="12.75" customHeight="1" x14ac:dyDescent="0.15">
      <c r="A989" s="35"/>
      <c r="B989" s="36"/>
      <c r="C989" s="36"/>
      <c r="D989" s="37"/>
    </row>
    <row r="990" spans="1:4" ht="12.75" customHeight="1" x14ac:dyDescent="0.15">
      <c r="A990" s="35"/>
      <c r="B990" s="36"/>
      <c r="C990" s="36"/>
      <c r="D990" s="37"/>
    </row>
    <row r="991" spans="1:4" ht="12.75" customHeight="1" x14ac:dyDescent="0.15">
      <c r="A991" s="35"/>
      <c r="B991" s="36"/>
      <c r="C991" s="36"/>
      <c r="D991" s="37"/>
    </row>
    <row r="992" spans="1:4" ht="12.75" customHeight="1" x14ac:dyDescent="0.15">
      <c r="A992" s="35"/>
      <c r="B992" s="36"/>
      <c r="C992" s="36"/>
      <c r="D992" s="37"/>
    </row>
    <row r="993" spans="1:4" ht="12.75" customHeight="1" x14ac:dyDescent="0.15">
      <c r="A993" s="35"/>
      <c r="B993" s="36"/>
      <c r="C993" s="36"/>
      <c r="D993" s="37"/>
    </row>
    <row r="994" spans="1:4" ht="12.75" customHeight="1" x14ac:dyDescent="0.15">
      <c r="A994" s="38"/>
      <c r="B994" s="39"/>
      <c r="C994" s="39"/>
      <c r="D994" s="40"/>
    </row>
    <row r="995" spans="1:4" ht="12.75" customHeight="1" x14ac:dyDescent="0.15">
      <c r="A995" s="38"/>
      <c r="B995" s="39"/>
      <c r="C995" s="39"/>
      <c r="D995" s="40"/>
    </row>
    <row r="996" spans="1:4" ht="12.75" customHeight="1" x14ac:dyDescent="0.15">
      <c r="A996" s="38"/>
      <c r="B996" s="39"/>
      <c r="C996" s="39"/>
      <c r="D996" s="40"/>
    </row>
    <row r="997" spans="1:4" ht="12.75" customHeight="1" x14ac:dyDescent="0.15">
      <c r="A997" s="38"/>
      <c r="B997" s="39"/>
      <c r="C997" s="39"/>
      <c r="D997" s="40"/>
    </row>
    <row r="998" spans="1:4" ht="12.75" customHeight="1" x14ac:dyDescent="0.15">
      <c r="A998" s="38"/>
      <c r="B998" s="39"/>
      <c r="C998" s="39"/>
      <c r="D998" s="40"/>
    </row>
    <row r="999" spans="1:4" ht="12.75" customHeight="1" x14ac:dyDescent="0.15">
      <c r="A999" s="38"/>
      <c r="B999" s="39"/>
      <c r="C999" s="39"/>
      <c r="D999" s="40"/>
    </row>
    <row r="1000" spans="1:4" ht="12.75" customHeight="1" x14ac:dyDescent="0.15">
      <c r="A1000" s="38"/>
      <c r="B1000" s="39"/>
      <c r="C1000" s="39"/>
      <c r="D1000" s="40"/>
    </row>
    <row r="1001" spans="1:4" ht="12.75" customHeight="1" x14ac:dyDescent="0.15">
      <c r="A1001" s="38"/>
      <c r="B1001" s="39"/>
      <c r="C1001" s="39"/>
      <c r="D1001" s="40"/>
    </row>
    <row r="1002" spans="1:4" ht="12.75" customHeight="1" x14ac:dyDescent="0.15">
      <c r="A1002" s="38"/>
      <c r="B1002" s="39"/>
      <c r="C1002" s="39"/>
      <c r="D1002" s="40"/>
    </row>
    <row r="1003" spans="1:4" ht="12.75" customHeight="1" x14ac:dyDescent="0.15">
      <c r="A1003" s="38"/>
      <c r="B1003" s="39"/>
      <c r="C1003" s="39"/>
      <c r="D1003" s="40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7" sqref="J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98" t="s">
        <v>140</v>
      </c>
      <c r="B1" s="97"/>
      <c r="C1" s="97"/>
      <c r="D1" s="97"/>
      <c r="E1" s="97"/>
      <c r="F1" s="97"/>
      <c r="G1" s="97"/>
      <c r="H1" s="97"/>
      <c r="J1" s="42" t="s">
        <v>141</v>
      </c>
    </row>
    <row r="2" spans="1:10" ht="15.75" customHeight="1" x14ac:dyDescent="0.15">
      <c r="A2" s="43" t="s">
        <v>0</v>
      </c>
      <c r="B2" s="43" t="s">
        <v>142</v>
      </c>
      <c r="C2" s="43" t="s">
        <v>143</v>
      </c>
      <c r="D2" s="43" t="s">
        <v>144</v>
      </c>
      <c r="E2" s="43" t="s">
        <v>145</v>
      </c>
      <c r="F2" s="43" t="s">
        <v>146</v>
      </c>
      <c r="G2" s="43" t="s">
        <v>147</v>
      </c>
      <c r="H2" s="43" t="s">
        <v>148</v>
      </c>
      <c r="J2" s="44">
        <v>46098</v>
      </c>
    </row>
    <row r="3" spans="1:10" ht="15.75" customHeight="1" x14ac:dyDescent="0.2">
      <c r="A3" s="45" t="s">
        <v>4</v>
      </c>
      <c r="B3" s="46">
        <f>COUNTIF('SSC7'!$A$2:$A$67, A3)</f>
        <v>1</v>
      </c>
      <c r="C3" s="46">
        <f>SUMIF('GPT-5 Generation'!$A$2:$A$67, $A3, 'GPT-5 Generation'!$C$2:$C$67)</f>
        <v>1</v>
      </c>
      <c r="D3" s="46">
        <f>SUMIF('GPT-5 Generation'!$A$68:$A$74, $A3, 'GPT-5 Generation'!$C$68:$C$74)</f>
        <v>0</v>
      </c>
      <c r="E3" s="46">
        <f>COUNTIFS('GPT-5 Generation'!$A$2:$A$67, $A3, 'GPT-5 Generation'!$C$2:$C$67,0)</f>
        <v>0</v>
      </c>
      <c r="F3" s="46">
        <f t="shared" ref="F3:F10" si="0">IFERROR(C3 / (C3 + D3), "Not Available")</f>
        <v>1</v>
      </c>
      <c r="G3" s="46">
        <f t="shared" ref="G3:G10" si="1">IFERROR(C3 / B3, "Not Available")</f>
        <v>1</v>
      </c>
      <c r="H3" s="46">
        <f>IFERROR(2*((F3*G3)/(F3+G3)),"Not Available")</f>
        <v>1</v>
      </c>
      <c r="J3" s="21"/>
    </row>
    <row r="4" spans="1:10" ht="15.75" customHeight="1" x14ac:dyDescent="0.15">
      <c r="A4" s="47" t="s">
        <v>2</v>
      </c>
      <c r="B4" s="46">
        <f>COUNTIF('SSC7'!$A$2:$A$67, A4)</f>
        <v>9</v>
      </c>
      <c r="C4" s="46">
        <f>SUMIF('GPT-5 Generation'!$A$2:$A$67, $A4, 'GPT-5 Generation'!$C$2:$C$67)</f>
        <v>9</v>
      </c>
      <c r="D4" s="46">
        <f>SUMIF('GPT-5 Generation'!$A$68:$A$74, $A4, 'GPT-5 Generation'!$C$68:$C$74)</f>
        <v>0</v>
      </c>
      <c r="E4" s="46">
        <f>COUNTIFS('GPT-5 Generation'!$A$2:$A$67, $A4, 'GPT-5 Generation'!$C$2:$C$67,0)</f>
        <v>0</v>
      </c>
      <c r="F4" s="46">
        <f t="shared" si="0"/>
        <v>1</v>
      </c>
      <c r="G4" s="46">
        <f t="shared" si="1"/>
        <v>1</v>
      </c>
      <c r="H4" s="46">
        <f>IFERROR(2*((F4*G4)/(F4+G4)),"Not Available")</f>
        <v>1</v>
      </c>
      <c r="J4" s="42" t="s">
        <v>149</v>
      </c>
    </row>
    <row r="5" spans="1:10" ht="15.75" customHeight="1" x14ac:dyDescent="0.15">
      <c r="A5" s="47" t="s">
        <v>8</v>
      </c>
      <c r="B5" s="46">
        <f>COUNTIF('SSC7'!$A$2:$A$67, A5)</f>
        <v>23</v>
      </c>
      <c r="C5" s="46">
        <f>SUMIF('GPT-5 Generation'!$A$2:$A$67, $A5, 'GPT-5 Generation'!$C$2:$C$67)</f>
        <v>23</v>
      </c>
      <c r="D5" s="46">
        <f>SUMIF('GPT-5 Generation'!$A$68:$A$74, $A5, 'GPT-5 Generation'!$C$68:$C$74)</f>
        <v>0</v>
      </c>
      <c r="E5" s="46">
        <f>COUNTIFS('GPT-5 Generation'!$A$2:$A$67, $A5, 'GPT-5 Generation'!$C$2:$C$67,0)</f>
        <v>0</v>
      </c>
      <c r="F5" s="46">
        <f t="shared" si="0"/>
        <v>1</v>
      </c>
      <c r="G5" s="46">
        <f t="shared" si="1"/>
        <v>1</v>
      </c>
      <c r="H5" s="46">
        <f>IFERROR(2*((F5*G6)/(F5+G6)),"Not Available")</f>
        <v>1</v>
      </c>
      <c r="J5" s="25" t="s">
        <v>150</v>
      </c>
    </row>
    <row r="6" spans="1:10" ht="15.75" customHeight="1" x14ac:dyDescent="0.15">
      <c r="A6" s="47" t="s">
        <v>12</v>
      </c>
      <c r="B6" s="46">
        <f>COUNTIF('SSC7'!$A$2:$A$67, A6)</f>
        <v>21</v>
      </c>
      <c r="C6" s="46">
        <f>SUMIF('GPT-5 Generation'!$A$2:$A$67, $A6, 'GPT-5 Generation'!$C$2:$C$67)</f>
        <v>21</v>
      </c>
      <c r="D6" s="46">
        <f>SUMIF('GPT-5 Generation'!$A$68:$A$74, $A6, 'GPT-5 Generation'!$C$68:$C$74)</f>
        <v>0</v>
      </c>
      <c r="E6" s="46">
        <f>COUNTIFS('GPT-5 Generation'!$A$2:$A$67, $A6, 'GPT-5 Generation'!$C$2:$C$67,0)</f>
        <v>0</v>
      </c>
      <c r="F6" s="46">
        <f t="shared" si="0"/>
        <v>1</v>
      </c>
      <c r="G6" s="46">
        <f t="shared" si="1"/>
        <v>1</v>
      </c>
      <c r="H6" s="46" t="str">
        <f>IFERROR(2*((F6*#REF!)/(F6+#REF!)),"Not Available")</f>
        <v>Not Available</v>
      </c>
    </row>
    <row r="7" spans="1:10" ht="15.75" customHeight="1" x14ac:dyDescent="0.15">
      <c r="A7" s="47" t="s">
        <v>66</v>
      </c>
      <c r="B7" s="46">
        <f>COUNTIF('SSC7'!$A$2:$A$67, A7)</f>
        <v>0</v>
      </c>
      <c r="C7" s="46">
        <f>SUMIF('GPT-5 Generation'!$A$2:$A$67, $A7, 'GPT-5 Generation'!$C$2:$C$67)</f>
        <v>0</v>
      </c>
      <c r="D7" s="46">
        <f>SUMIF('GPT-5 Generation'!$A$68:$A$74, $A7, 'GPT-5 Generation'!$C$68:$C$74)</f>
        <v>0</v>
      </c>
      <c r="F7" s="46" t="str">
        <f t="shared" si="0"/>
        <v>Not Available</v>
      </c>
      <c r="G7" s="46" t="str">
        <f t="shared" si="1"/>
        <v>Not Available</v>
      </c>
      <c r="H7" s="46" t="str">
        <f>IFERROR(2*((F7*G7)/(F7+G7)),"Not Available")</f>
        <v>Not Available</v>
      </c>
      <c r="J7" s="102" t="s">
        <v>260</v>
      </c>
    </row>
    <row r="8" spans="1:10" ht="15.75" customHeight="1" x14ac:dyDescent="0.15">
      <c r="A8" s="47" t="s">
        <v>54</v>
      </c>
      <c r="B8" s="46">
        <f>COUNTIF('SSC7'!$A$2:$A$67, A8)</f>
        <v>1</v>
      </c>
      <c r="C8" s="46">
        <f>SUMIF('GPT-5 Generation'!$A$2:$A$67, $A8, 'GPT-5 Generation'!$C$2:$C$67)</f>
        <v>1</v>
      </c>
      <c r="D8" s="46">
        <f>SUMIF('GPT-5 Generation'!$A$68:$A$74, $A8, 'GPT-5 Generation'!$C$68:$C$74)</f>
        <v>0</v>
      </c>
      <c r="E8" s="46">
        <f>COUNTIFS('GPT-5 Generation'!$A$2:$A$67, $A7, 'GPT-5 Generation'!$C$2:$C$67,0)</f>
        <v>0</v>
      </c>
      <c r="F8" s="46">
        <f t="shared" si="0"/>
        <v>1</v>
      </c>
      <c r="G8" s="46">
        <f t="shared" si="1"/>
        <v>1</v>
      </c>
      <c r="H8" s="46">
        <f>IFERROR(2*((F8*G9)/(F8+G9)),"Not Available")</f>
        <v>1</v>
      </c>
      <c r="J8" s="95" t="s">
        <v>192</v>
      </c>
    </row>
    <row r="9" spans="1:10" ht="15.75" customHeight="1" x14ac:dyDescent="0.15">
      <c r="A9" s="47" t="s">
        <v>10</v>
      </c>
      <c r="B9" s="46">
        <f>COUNTIF('SSC7'!$A$2:$A$67, A9)</f>
        <v>11</v>
      </c>
      <c r="C9" s="46">
        <f>SUMIF('GPT-5 Generation'!$A$2:$A$67, $A9, 'GPT-5 Generation'!$C$2:$C$67)</f>
        <v>11</v>
      </c>
      <c r="D9" s="46">
        <f>SUMIF('GPT-5 Generation'!$A$68:$A$74, $A9, 'GPT-5 Generation'!$C$68:$C$74)</f>
        <v>0</v>
      </c>
      <c r="E9" s="46">
        <f>COUNTIFS('GPT-5 Generation'!$A$2:$A$67, $A9, 'GPT-5 Generation'!$C$2:$C$67,0)</f>
        <v>0</v>
      </c>
      <c r="F9" s="46">
        <f t="shared" si="0"/>
        <v>1</v>
      </c>
      <c r="G9" s="46">
        <f t="shared" si="1"/>
        <v>1</v>
      </c>
      <c r="H9" s="46" t="str">
        <f>IFERROR(2*((F9*#REF!)/(F9+#REF!)),"Not Available")</f>
        <v>Not Available</v>
      </c>
      <c r="J9" s="25" t="s">
        <v>191</v>
      </c>
    </row>
    <row r="10" spans="1:10" ht="15.75" customHeight="1" x14ac:dyDescent="0.15">
      <c r="A10" s="47" t="s">
        <v>152</v>
      </c>
      <c r="B10" s="46">
        <f>SUM(B3:B9)</f>
        <v>66</v>
      </c>
      <c r="C10" s="46">
        <f>SUM(C4:C9)</f>
        <v>65</v>
      </c>
      <c r="D10" s="46">
        <f>SUM(D3:D9)</f>
        <v>0</v>
      </c>
      <c r="E10" s="46">
        <f>SUM(E3:E9)</f>
        <v>0</v>
      </c>
      <c r="F10" s="46">
        <f t="shared" si="0"/>
        <v>1</v>
      </c>
      <c r="G10" s="46">
        <f t="shared" si="1"/>
        <v>0.98484848484848486</v>
      </c>
      <c r="H10" s="46">
        <f>IFERROR(2*((F10*G10)/(F10+G10)),"Not Available")</f>
        <v>0.99236641221374045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>
      <c r="A12" s="98" t="s">
        <v>153</v>
      </c>
      <c r="B12" s="97"/>
      <c r="C12" s="97"/>
      <c r="D12" s="97"/>
      <c r="E12" s="97"/>
      <c r="F12" s="97"/>
      <c r="G12" s="97"/>
      <c r="H12" s="97"/>
    </row>
    <row r="13" spans="1:10" ht="15.75" customHeight="1" x14ac:dyDescent="0.15">
      <c r="A13" s="43" t="s">
        <v>0</v>
      </c>
      <c r="B13" s="43" t="s">
        <v>142</v>
      </c>
      <c r="C13" s="43" t="s">
        <v>143</v>
      </c>
      <c r="D13" s="43" t="s">
        <v>144</v>
      </c>
      <c r="E13" s="43" t="s">
        <v>145</v>
      </c>
      <c r="F13" s="43" t="s">
        <v>146</v>
      </c>
      <c r="G13" s="43" t="s">
        <v>147</v>
      </c>
      <c r="H13" s="43" t="s">
        <v>148</v>
      </c>
    </row>
    <row r="14" spans="1:10" ht="15.75" customHeight="1" x14ac:dyDescent="0.2">
      <c r="A14" s="45" t="s">
        <v>154</v>
      </c>
      <c r="B14" s="46">
        <f>COUNTIF('SSC7'!$A$2:$A$67, A3)</f>
        <v>1</v>
      </c>
      <c r="C14" s="46">
        <f>SUMIF('Claude Sonnet 4.5 Gen'!$A$2:$A$67, $A14, 'Claude Sonnet 4.5 Gen'!$C$2:$C$67)</f>
        <v>1</v>
      </c>
      <c r="D14" s="46">
        <f>SUMIF('Claude Sonnet 4.5 Gen'!$A$68:$A$74, $A14, 'Claude Sonnet 4.5 Gen'!$C$68:$C$74)</f>
        <v>0</v>
      </c>
      <c r="E14" s="46">
        <f>COUNTIFS('Claude Sonnet 4.5 Gen'!$A$2:$A$67, $A14, 'Claude Sonnet 4.5 Gen'!$C$2:$C$67,0)</f>
        <v>0</v>
      </c>
      <c r="F14" s="46">
        <f t="shared" ref="F14:F21" si="2">IFERROR(C14 / (C14 + D14), "Not Available")</f>
        <v>1</v>
      </c>
      <c r="G14" s="46">
        <f t="shared" ref="G14:G21" si="3">IFERROR(C14 / B14, "Not Available")</f>
        <v>1</v>
      </c>
      <c r="H14" s="46">
        <f t="shared" ref="H14:H21" si="4">IFERROR(2*((F14*G14)/(F14+G14)),"Not Available")</f>
        <v>1</v>
      </c>
    </row>
    <row r="15" spans="1:10" ht="15.75" customHeight="1" x14ac:dyDescent="0.15">
      <c r="A15" s="47" t="s">
        <v>2</v>
      </c>
      <c r="B15" s="46">
        <f>COUNTIF('SSC7'!$A$2:$A$67, A4)</f>
        <v>9</v>
      </c>
      <c r="C15" s="46">
        <f>SUMIF('Claude Sonnet 4.5 Gen'!$A$2:$A$67, $A15, 'Claude Sonnet 4.5 Gen'!$C$2:$C$67)</f>
        <v>9</v>
      </c>
      <c r="D15" s="46">
        <f>SUMIF('Claude Sonnet 4.5 Gen'!$A$68:$A$74, $A15, 'Claude Sonnet 4.5 Gen'!$C$68:$C$74)</f>
        <v>2</v>
      </c>
      <c r="E15" s="46">
        <f>COUNTIFS('Claude Sonnet 4.5 Gen'!$A$2:$A$67, $A15, 'Claude Sonnet 4.5 Gen'!$C$2:$C$67,0)</f>
        <v>0</v>
      </c>
      <c r="F15" s="46">
        <f t="shared" si="2"/>
        <v>0.81818181818181823</v>
      </c>
      <c r="G15" s="46">
        <f t="shared" si="3"/>
        <v>1</v>
      </c>
      <c r="H15" s="46">
        <f t="shared" si="4"/>
        <v>0.9</v>
      </c>
    </row>
    <row r="16" spans="1:10" ht="15.75" customHeight="1" x14ac:dyDescent="0.15">
      <c r="A16" s="47" t="s">
        <v>8</v>
      </c>
      <c r="B16" s="46">
        <f>COUNTIF('SSC7'!$A$2:$A$67, A5)</f>
        <v>23</v>
      </c>
      <c r="C16" s="46">
        <f>SUMIF('Claude Sonnet 4.5 Gen'!$A$2:$A$67, $A16, 'Claude Sonnet 4.5 Gen'!$C$2:$C$67)</f>
        <v>22.5</v>
      </c>
      <c r="D16" s="46">
        <f>SUMIF('Claude Sonnet 4.5 Gen'!$A$68:$A$74, $A16, 'Claude Sonnet 4.5 Gen'!$C$68:$C$74)</f>
        <v>1</v>
      </c>
      <c r="E16" s="46">
        <f>COUNTIFS('Claude Sonnet 4.5 Gen'!$A$2:$A$67, $A16, 'Claude Sonnet 4.5 Gen'!$C$2:$C$67,0)</f>
        <v>0</v>
      </c>
      <c r="F16" s="46">
        <f t="shared" si="2"/>
        <v>0.95744680851063835</v>
      </c>
      <c r="G16" s="46">
        <f t="shared" si="3"/>
        <v>0.97826086956521741</v>
      </c>
      <c r="H16" s="46">
        <f t="shared" si="4"/>
        <v>0.967741935483871</v>
      </c>
    </row>
    <row r="17" spans="1:8" ht="15.75" customHeight="1" x14ac:dyDescent="0.15">
      <c r="A17" s="47" t="s">
        <v>12</v>
      </c>
      <c r="B17" s="46">
        <f>COUNTIF('SSC7'!$A$2:$A$67, A6)</f>
        <v>21</v>
      </c>
      <c r="C17" s="46">
        <f>SUMIF('Claude Sonnet 4.5 Gen'!$A$2:$A$67, $A17, 'Claude Sonnet 4.5 Gen'!$C$2:$C$67)</f>
        <v>14.5</v>
      </c>
      <c r="D17" s="46">
        <f>SUMIF('Claude Sonnet 4.5 Gen'!$A$68:$A$74, $A17, 'Claude Sonnet 4.5 Gen'!$C$68:$C$74)</f>
        <v>1</v>
      </c>
      <c r="E17" s="46">
        <f>COUNTIFS('Claude Sonnet 4.5 Gen'!$A$2:$A$67, $A17, 'Claude Sonnet 4.5 Gen'!$C$2:$C$67,0)</f>
        <v>6</v>
      </c>
      <c r="F17" s="46">
        <f t="shared" si="2"/>
        <v>0.93548387096774188</v>
      </c>
      <c r="G17" s="46">
        <f t="shared" si="3"/>
        <v>0.69047619047619047</v>
      </c>
      <c r="H17" s="46">
        <f t="shared" si="4"/>
        <v>0.79452054794520555</v>
      </c>
    </row>
    <row r="18" spans="1:8" ht="15.75" customHeight="1" x14ac:dyDescent="0.15">
      <c r="A18" s="47" t="s">
        <v>66</v>
      </c>
      <c r="B18" s="46">
        <f>COUNTIF('SSC7'!$A$2:$A$67, A7)</f>
        <v>0</v>
      </c>
      <c r="C18" s="46">
        <f>SUMIF('Claude Sonnet 4.5 Gen'!$A$2:$A$67, $A18, 'Claude Sonnet 4.5 Gen'!$C$2:$C$67)</f>
        <v>0</v>
      </c>
      <c r="D18" s="46">
        <f>SUMIF('Claude Sonnet 4.5 Gen'!$A$68:$A$74, $A18, 'Claude Sonnet 4.5 Gen'!$C$68:$C$74)</f>
        <v>0</v>
      </c>
      <c r="E18" s="46">
        <f>COUNTIFS('Claude Sonnet 4.5 Gen'!$A$2:$A$67, $A18, 'Claude Sonnet 4.5 Gen'!$C$2:$C$67,0)</f>
        <v>0</v>
      </c>
      <c r="F18" s="46" t="str">
        <f t="shared" si="2"/>
        <v>Not Available</v>
      </c>
      <c r="G18" s="46" t="str">
        <f t="shared" si="3"/>
        <v>Not Available</v>
      </c>
      <c r="H18" s="46" t="str">
        <f t="shared" si="4"/>
        <v>Not Available</v>
      </c>
    </row>
    <row r="19" spans="1:8" ht="15.75" customHeight="1" x14ac:dyDescent="0.15">
      <c r="A19" s="47" t="s">
        <v>54</v>
      </c>
      <c r="B19" s="46">
        <f>COUNTIF('SSC7'!$A$2:$A$67, A8)</f>
        <v>1</v>
      </c>
      <c r="C19" s="46">
        <f>SUMIF('Claude Sonnet 4.5 Gen'!$A$2:$A$67, $A19, 'Claude Sonnet 4.5 Gen'!$C$2:$C$67)</f>
        <v>0.5</v>
      </c>
      <c r="D19" s="46">
        <f>SUMIF('Claude Sonnet 4.5 Gen'!$A$68:$A$74, $A19, 'Claude Sonnet 4.5 Gen'!$C$68:$C$74)</f>
        <v>0</v>
      </c>
      <c r="E19" s="46">
        <f>COUNTIFS('Claude Sonnet 4.5 Gen'!$A$2:$A$67, $A19, 'Claude Sonnet 4.5 Gen'!$C$2:$C$67,0)</f>
        <v>0</v>
      </c>
      <c r="F19" s="46">
        <f t="shared" si="2"/>
        <v>1</v>
      </c>
      <c r="G19" s="46">
        <f t="shared" si="3"/>
        <v>0.5</v>
      </c>
      <c r="H19" s="46">
        <f t="shared" si="4"/>
        <v>0.66666666666666663</v>
      </c>
    </row>
    <row r="20" spans="1:8" ht="15.75" customHeight="1" x14ac:dyDescent="0.15">
      <c r="A20" s="47" t="s">
        <v>10</v>
      </c>
      <c r="B20" s="46">
        <f>COUNTIF('SSC7'!$A$2:$A$67, A9)</f>
        <v>11</v>
      </c>
      <c r="C20" s="46">
        <f>SUMIF('Claude Sonnet 4.5 Gen'!$A$2:$A$67, $A20, 'Claude Sonnet 4.5 Gen'!$C$2:$C$67)</f>
        <v>11</v>
      </c>
      <c r="D20" s="46">
        <f>SUMIF('Claude Sonnet 4.5 Gen'!$A$68:$A$74, $A20, 'Claude Sonnet 4.5 Gen'!$C$68:$C$74)</f>
        <v>0</v>
      </c>
      <c r="E20" s="46">
        <f>COUNTIFS('Claude Sonnet 4.5 Gen'!$A$2:$A$67, $A20, 'Claude Sonnet 4.5 Gen'!$C$2:$C$67,0)</f>
        <v>0</v>
      </c>
      <c r="F20" s="46">
        <f t="shared" si="2"/>
        <v>1</v>
      </c>
      <c r="G20" s="46">
        <f t="shared" si="3"/>
        <v>1</v>
      </c>
      <c r="H20" s="46">
        <f t="shared" si="4"/>
        <v>1</v>
      </c>
    </row>
    <row r="21" spans="1:8" ht="15.75" customHeight="1" x14ac:dyDescent="0.15">
      <c r="A21" s="47" t="s">
        <v>152</v>
      </c>
      <c r="B21" s="48">
        <f>SUM(B14:B20)</f>
        <v>66</v>
      </c>
      <c r="C21" s="46">
        <f>SUM(C14:C20)</f>
        <v>58.5</v>
      </c>
      <c r="D21" s="46">
        <f>SUM(D14:D20)</f>
        <v>4</v>
      </c>
      <c r="E21" s="46">
        <f>SUM(E14:E20)</f>
        <v>6</v>
      </c>
      <c r="F21" s="46">
        <f t="shared" si="2"/>
        <v>0.93600000000000005</v>
      </c>
      <c r="G21" s="46">
        <f t="shared" si="3"/>
        <v>0.88636363636363635</v>
      </c>
      <c r="H21" s="46">
        <f t="shared" si="4"/>
        <v>0.91050583657587558</v>
      </c>
    </row>
    <row r="22" spans="1:8" ht="15.75" customHeight="1" x14ac:dyDescent="0.15">
      <c r="H22" s="49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honeticPr fontId="8" type="noConversion"/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6"/>
  <sheetViews>
    <sheetView topLeftCell="A3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0" t="s">
        <v>151</v>
      </c>
      <c r="D1" s="50" t="s">
        <v>150</v>
      </c>
      <c r="E1" s="51"/>
      <c r="F1" s="101" t="s">
        <v>155</v>
      </c>
      <c r="G1" s="97"/>
      <c r="H1" s="97"/>
      <c r="I1" s="97"/>
      <c r="L1" s="99" t="s">
        <v>156</v>
      </c>
      <c r="M1" s="100"/>
      <c r="N1" s="100"/>
    </row>
    <row r="2" spans="1:14" ht="15.75" customHeight="1" x14ac:dyDescent="0.15">
      <c r="A2" s="5" t="str">
        <f>'SSC7'!A2</f>
        <v>State</v>
      </c>
      <c r="B2" s="5" t="str">
        <f>'SSC7'!B2</f>
        <v>Initial state (→ Active)</v>
      </c>
      <c r="C2" s="5">
        <f>'GPT-5 Generation'!C2</f>
        <v>1</v>
      </c>
      <c r="D2" s="5">
        <f>'Claude Sonnet 4.5 Gen'!C2</f>
        <v>1</v>
      </c>
      <c r="E2" s="51"/>
      <c r="F2" s="19" t="s">
        <v>157</v>
      </c>
      <c r="G2" s="53" t="s">
        <v>158</v>
      </c>
      <c r="H2" s="54" t="s">
        <v>159</v>
      </c>
      <c r="I2" s="55" t="s">
        <v>160</v>
      </c>
      <c r="J2" s="56" t="s">
        <v>161</v>
      </c>
      <c r="K2" s="19"/>
      <c r="L2" s="57" t="s">
        <v>162</v>
      </c>
      <c r="M2" s="57" t="s">
        <v>163</v>
      </c>
      <c r="N2" s="57" t="s">
        <v>164</v>
      </c>
    </row>
    <row r="3" spans="1:14" ht="15.75" customHeight="1" x14ac:dyDescent="0.15">
      <c r="A3" s="5" t="str">
        <f>'SSC7'!A3</f>
        <v>Composite State</v>
      </c>
      <c r="B3" s="5" t="str">
        <f>'SSC7'!B3</f>
        <v>Active</v>
      </c>
      <c r="C3" s="5">
        <f>'GPT-5 Generation'!C3</f>
        <v>1</v>
      </c>
      <c r="D3" s="5">
        <f>'Claude Sonnet 4.5 Gen'!C3</f>
        <v>1</v>
      </c>
      <c r="E3" s="51"/>
      <c r="F3" s="58">
        <v>0</v>
      </c>
      <c r="G3" s="59">
        <f>COUNTIFS($C$2:$C$111, $F3, $D$2:$D$111, G$2)</f>
        <v>4</v>
      </c>
      <c r="H3" s="60">
        <f>COUNTIFS($C$2:$C$67, $F3, $D$2:$D$67, H$2)</f>
        <v>0</v>
      </c>
      <c r="I3" s="61">
        <f>COUNTIFS($C$2:$C$67, $F3, $D$2:$D$67, I$2)+MAX(D68-C68,0)+MAX(D69-C69,0)+MAX(D70-C70,0)+MAX(D71-C71,0)+MAX(D72-C72,0)+MAX(D73-C73,0)+MAX(D74-C74,0)</f>
        <v>4</v>
      </c>
      <c r="J3" s="19">
        <f>SUM(G3:I3)</f>
        <v>8</v>
      </c>
      <c r="K3" s="19"/>
      <c r="L3" s="62" t="s">
        <v>165</v>
      </c>
      <c r="M3" s="59">
        <f>(G3+H4+I5)/COUNTA($C$2:$C$121)</f>
        <v>0.83561643835616439</v>
      </c>
      <c r="N3" s="61" t="s">
        <v>166</v>
      </c>
    </row>
    <row r="4" spans="1:14" ht="15.75" customHeight="1" x14ac:dyDescent="0.15">
      <c r="A4" s="5" t="str">
        <f>'SSC7'!A4</f>
        <v>State</v>
      </c>
      <c r="B4" s="5" t="str">
        <f>'SSC7'!B4</f>
        <v>Initial state (Active → Ready)</v>
      </c>
      <c r="C4" s="5">
        <f>'GPT-5 Generation'!C4</f>
        <v>1</v>
      </c>
      <c r="D4" s="5">
        <f>'Claude Sonnet 4.5 Gen'!C4</f>
        <v>1</v>
      </c>
      <c r="E4" s="51"/>
      <c r="F4" s="58">
        <v>0.5</v>
      </c>
      <c r="G4" s="63">
        <f>COUNTIFS($C$2:$C$67, $F4, $D$2:$D$67, G$2)</f>
        <v>0</v>
      </c>
      <c r="H4" s="19">
        <f>COUNTIFS($C$2:$C$67, $F4, $D$2:$D$67, H$2)</f>
        <v>0</v>
      </c>
      <c r="I4" s="64">
        <f>COUNTIFS($C$2:$C$67, $F4, $D$2:$D$67, I$2)</f>
        <v>0</v>
      </c>
      <c r="J4" s="19">
        <f>SUM(G4:I4)</f>
        <v>0</v>
      </c>
      <c r="K4" s="19"/>
      <c r="L4" s="62" t="s">
        <v>167</v>
      </c>
      <c r="M4" s="63">
        <f t="array" ref="M4">SUMPRODUCT(J3:J5/COUNTA($C$2:$C$121), TRANSPOSE(G6:I6)/COUNTA($C$2:$C$121))</f>
        <v>0.7705010320885719</v>
      </c>
      <c r="N4" s="64" t="s">
        <v>168</v>
      </c>
    </row>
    <row r="5" spans="1:14" ht="15.75" customHeight="1" x14ac:dyDescent="0.15">
      <c r="A5" s="5" t="str">
        <f>'SSC7'!A5</f>
        <v>State</v>
      </c>
      <c r="B5" s="5" t="str">
        <f>'SSC7'!B5</f>
        <v>Ready</v>
      </c>
      <c r="C5" s="5">
        <f>'GPT-5 Generation'!C5</f>
        <v>1</v>
      </c>
      <c r="D5" s="5">
        <f>'Claude Sonnet 4.5 Gen'!C5</f>
        <v>1</v>
      </c>
      <c r="E5" s="51"/>
      <c r="F5" s="58">
        <v>1</v>
      </c>
      <c r="G5" s="65">
        <f>COUNTIFS($C$2:$C$67, $F5, $D$2:$D$67, G$2)+MAX(C68-D68,0)+MAX(C69-D69,0)+MAX(C70-D70,0)+MAX(C71-D71,0)+MAX(C72-D72,0)+MAX(C73-D73,0)+MAX(C74-D74,0)</f>
        <v>6</v>
      </c>
      <c r="H5" s="66">
        <f>COUNTIFS($C$2:$C$67, $F5, $D$2:$D$67, H$2)</f>
        <v>3</v>
      </c>
      <c r="I5" s="67">
        <f>COUNTIFS($C$2:$C$67, $F5, $D$2:$D$67, I$2)+ SUM(MIN(C68,D68), MIN(C69,D69), MIN(C70,D70), MIN(C71,D71), MIN(C72,D72), MIN(C73,D73), MIN(C74,D74))</f>
        <v>57</v>
      </c>
      <c r="J5" s="19">
        <f>SUM(G5:I5)</f>
        <v>66</v>
      </c>
      <c r="K5" s="19"/>
      <c r="L5" s="62" t="s">
        <v>156</v>
      </c>
      <c r="M5" s="65">
        <f>(M3-M4)/(1-M4)</f>
        <v>0.28372853638593648</v>
      </c>
      <c r="N5" s="67" t="s">
        <v>169</v>
      </c>
    </row>
    <row r="6" spans="1:14" ht="15.75" customHeight="1" x14ac:dyDescent="0.15">
      <c r="A6" s="5" t="str">
        <f>'SSC7'!A6</f>
        <v>Transition</v>
      </c>
      <c r="B6" s="5" t="str">
        <f>'SSC7'!B6</f>
        <v>scannedNr (Ready ⇒ Ready)</v>
      </c>
      <c r="C6" s="5">
        <f>'GPT-5 Generation'!C6</f>
        <v>1</v>
      </c>
      <c r="D6" s="5">
        <f>'Claude Sonnet 4.5 Gen'!C6</f>
        <v>1</v>
      </c>
      <c r="E6" s="51"/>
      <c r="F6" s="68" t="s">
        <v>170</v>
      </c>
      <c r="G6" s="19">
        <f>SUM(G3:G5)</f>
        <v>10</v>
      </c>
      <c r="H6" s="19">
        <f>SUM(H3:H5)</f>
        <v>3</v>
      </c>
      <c r="I6" s="19">
        <f>SUM(I3:I5)</f>
        <v>61</v>
      </c>
      <c r="J6" s="19"/>
      <c r="L6" s="19"/>
      <c r="M6" s="69"/>
    </row>
    <row r="7" spans="1:14" ht="15.75" customHeight="1" x14ac:dyDescent="0.15">
      <c r="A7" s="5" t="str">
        <f>'SSC7'!A7</f>
        <v>Guard</v>
      </c>
      <c r="B7" s="5" t="str">
        <f>'SSC7'!B7</f>
        <v>[!existsNr()]</v>
      </c>
      <c r="C7" s="5">
        <f>'GPT-5 Generation'!C7</f>
        <v>1</v>
      </c>
      <c r="D7" s="5">
        <f>'Claude Sonnet 4.5 Gen'!C7</f>
        <v>1</v>
      </c>
      <c r="E7" s="51"/>
      <c r="L7" s="19"/>
      <c r="M7" s="19"/>
      <c r="N7" s="19"/>
    </row>
    <row r="8" spans="1:14" ht="15.75" customHeight="1" x14ac:dyDescent="0.15">
      <c r="A8" s="5" t="str">
        <f>'SSC7'!A8</f>
        <v>Action</v>
      </c>
      <c r="B8" s="5" t="str">
        <f>'SSC7'!B8</f>
        <v>error()</v>
      </c>
      <c r="C8" s="5">
        <f>'GPT-5 Generation'!C8</f>
        <v>1</v>
      </c>
      <c r="D8" s="5">
        <f>'Claude Sonnet 4.5 Gen'!C8</f>
        <v>1</v>
      </c>
      <c r="E8" s="51"/>
      <c r="F8" s="101" t="s">
        <v>171</v>
      </c>
      <c r="G8" s="97"/>
      <c r="H8" s="97"/>
      <c r="I8" s="97"/>
      <c r="L8" s="99" t="s">
        <v>172</v>
      </c>
      <c r="M8" s="100"/>
      <c r="N8" s="100"/>
    </row>
    <row r="9" spans="1:14" ht="15.75" customHeight="1" x14ac:dyDescent="0.15">
      <c r="A9" s="5" t="str">
        <f>'SSC7'!A9</f>
        <v>Transition</v>
      </c>
      <c r="B9" s="5" t="str">
        <f>'SSC7'!B9</f>
        <v>productCodeEntered (Ready ⇒ Ready)</v>
      </c>
      <c r="C9" s="5">
        <f>'GPT-5 Generation'!C9</f>
        <v>1</v>
      </c>
      <c r="D9" s="5">
        <f>'Claude Sonnet 4.5 Gen'!C9</f>
        <v>1</v>
      </c>
      <c r="E9" s="51"/>
      <c r="F9" s="19" t="s">
        <v>2</v>
      </c>
      <c r="G9" s="70" t="s">
        <v>158</v>
      </c>
      <c r="H9" s="70" t="s">
        <v>159</v>
      </c>
      <c r="I9" s="70" t="s">
        <v>160</v>
      </c>
      <c r="J9" s="71" t="s">
        <v>161</v>
      </c>
      <c r="K9" s="19"/>
      <c r="L9" s="57" t="s">
        <v>162</v>
      </c>
      <c r="M9" s="57" t="s">
        <v>163</v>
      </c>
      <c r="N9" s="57" t="s">
        <v>164</v>
      </c>
    </row>
    <row r="10" spans="1:14" ht="15.75" customHeight="1" x14ac:dyDescent="0.15">
      <c r="A10" s="5" t="str">
        <f>'SSC7'!A10</f>
        <v>Guard</v>
      </c>
      <c r="B10" s="5" t="str">
        <f>'SSC7'!B10</f>
        <v>[!existsCode()]</v>
      </c>
      <c r="C10" s="5">
        <f>'GPT-5 Generation'!C10</f>
        <v>1</v>
      </c>
      <c r="D10" s="5">
        <f>'Claude Sonnet 4.5 Gen'!C10</f>
        <v>1</v>
      </c>
      <c r="E10" s="51"/>
      <c r="F10" s="58">
        <v>0</v>
      </c>
      <c r="G10" s="59">
        <f>COUNTIFS($A$2:$A$111,$F$9,$C$2:$C$111,$F10,$D$2:$D$111,G$9)</f>
        <v>0</v>
      </c>
      <c r="H10" s="60">
        <f>COUNTIFS($A$2:$A$111,$F$9,$C$2:$C$111,$F10,$D$2:$D$111,H$9)</f>
        <v>0</v>
      </c>
      <c r="I10" s="61">
        <f>COUNTIFS($A$2:$A$67,$F$9,$C$2:$C$67,$F10,$D$2:$D$67,I$9)+MAX(D68-C68,0)</f>
        <v>2</v>
      </c>
      <c r="J10" s="19">
        <f>SUM(G10:I10)</f>
        <v>2</v>
      </c>
      <c r="K10" s="19"/>
      <c r="L10" s="62" t="s">
        <v>165</v>
      </c>
      <c r="M10" s="59">
        <f>(G10+H11+I12)/COUNTIF($A$2:$A$121,F9)</f>
        <v>0.7</v>
      </c>
      <c r="N10" s="61" t="s">
        <v>166</v>
      </c>
    </row>
    <row r="11" spans="1:14" ht="15.75" customHeight="1" x14ac:dyDescent="0.15">
      <c r="A11" s="5" t="str">
        <f>'SSC7'!A11</f>
        <v>Action</v>
      </c>
      <c r="B11" s="5" t="str">
        <f>'SSC7'!B11</f>
        <v>error()</v>
      </c>
      <c r="C11" s="5">
        <f>'GPT-5 Generation'!C11</f>
        <v>1</v>
      </c>
      <c r="D11" s="5">
        <f>'Claude Sonnet 4.5 Gen'!C11</f>
        <v>1</v>
      </c>
      <c r="E11" s="51"/>
      <c r="F11" s="58">
        <v>0.5</v>
      </c>
      <c r="G11" s="63">
        <f>COUNTIFS($A$2:$A$111,$F$9,$C$2:$C$111,$F11,$D$2:$D$111,G$9)</f>
        <v>0</v>
      </c>
      <c r="H11" s="19">
        <f>COUNTIFS($A$2:$A$111,$F$9,$C$2:$C$111,$F11,$D$2:$D$111,H$9)</f>
        <v>0</v>
      </c>
      <c r="I11" s="64">
        <f>COUNTIFS($A$2:$A$111,$F$9,$C$2:$C$111,$F11,$D$2:$D$111,I$9)</f>
        <v>0</v>
      </c>
      <c r="J11" s="19">
        <f>SUM(G11:I11)</f>
        <v>0</v>
      </c>
      <c r="K11" s="19"/>
      <c r="L11" s="62" t="s">
        <v>167</v>
      </c>
      <c r="M11" s="63">
        <f t="array" ref="M11">SUMPRODUCT(J10:J12/COUNTIF($A$2:$A$121,F9), TRANSPOSE(G13:I13)/COUNTIF($A$2:$A$121,F9))</f>
        <v>0.63</v>
      </c>
      <c r="N11" s="64" t="s">
        <v>168</v>
      </c>
    </row>
    <row r="12" spans="1:14" ht="15.75" customHeight="1" x14ac:dyDescent="0.15">
      <c r="A12" s="5" t="str">
        <f>'SSC7'!A12</f>
        <v>Transition</v>
      </c>
      <c r="B12" s="5" t="str">
        <f>'SSC7'!B12</f>
        <v>productCodeEntered (Ready ⇒ WeighItem)</v>
      </c>
      <c r="C12" s="5">
        <f>'GPT-5 Generation'!C12</f>
        <v>1</v>
      </c>
      <c r="D12" s="5">
        <f>'Claude Sonnet 4.5 Gen'!C12</f>
        <v>1</v>
      </c>
      <c r="E12" s="51"/>
      <c r="F12" s="58">
        <v>1</v>
      </c>
      <c r="G12" s="65">
        <f>COUNTIFS($A$2:$A$67,$F$9,$C$2:$C$67,$F12,$D$2:$D$67,G$9)+MAX(C68-D68,0)</f>
        <v>0</v>
      </c>
      <c r="H12" s="66">
        <f>COUNTIFS($A$2:$A$111,$F$9,$C$2:$C$111,$F12,$D$2:$D$111,H$9)</f>
        <v>0</v>
      </c>
      <c r="I12" s="67">
        <f>COUNTIFS($A$2:$A$67,$F$9,$C$2:$C$67,$F12,$D$2:$D$67,I$9)+MIN(C68-D68)</f>
        <v>7</v>
      </c>
      <c r="J12" s="19">
        <f>SUM(G12:I12)</f>
        <v>7</v>
      </c>
      <c r="K12" s="19"/>
      <c r="L12" s="62" t="s">
        <v>156</v>
      </c>
      <c r="M12" s="65">
        <f>(M10-M11)/(1-M11)</f>
        <v>0.18918918918918906</v>
      </c>
      <c r="N12" s="67" t="s">
        <v>169</v>
      </c>
    </row>
    <row r="13" spans="1:14" ht="15.75" customHeight="1" x14ac:dyDescent="0.15">
      <c r="A13" s="5" t="str">
        <f>'SSC7'!A13</f>
        <v>Guard</v>
      </c>
      <c r="B13" s="5" t="str">
        <f>'SSC7'!B13</f>
        <v>[existsCode()]</v>
      </c>
      <c r="C13" s="5">
        <f>'GPT-5 Generation'!C13</f>
        <v>1</v>
      </c>
      <c r="D13" s="5">
        <f>'Claude Sonnet 4.5 Gen'!C13</f>
        <v>1</v>
      </c>
      <c r="E13" s="51"/>
      <c r="F13" s="68" t="s">
        <v>170</v>
      </c>
      <c r="G13" s="19">
        <f>SUM(G10:G12)</f>
        <v>0</v>
      </c>
      <c r="H13" s="19">
        <f>SUM(H10:H12)</f>
        <v>0</v>
      </c>
      <c r="I13" s="19">
        <f>SUM(I10:I12)</f>
        <v>9</v>
      </c>
      <c r="J13" s="19"/>
      <c r="L13" s="19"/>
      <c r="M13" s="69"/>
    </row>
    <row r="14" spans="1:14" ht="15.75" customHeight="1" x14ac:dyDescent="0.15">
      <c r="A14" s="5" t="str">
        <f>'SSC7'!A14</f>
        <v>Transition</v>
      </c>
      <c r="B14" s="5" t="str">
        <f>'SSC7'!B14</f>
        <v>scannedNr (Ready ⇒ CheckWeight)</v>
      </c>
      <c r="C14" s="5">
        <f>'GPT-5 Generation'!C14</f>
        <v>1</v>
      </c>
      <c r="D14" s="5">
        <f>'Claude Sonnet 4.5 Gen'!C14</f>
        <v>1</v>
      </c>
      <c r="E14" s="51"/>
    </row>
    <row r="15" spans="1:14" ht="15.75" customHeight="1" x14ac:dyDescent="0.15">
      <c r="A15" s="5" t="str">
        <f>'SSC7'!A15</f>
        <v>Guard</v>
      </c>
      <c r="B15" s="5" t="str">
        <f>'SSC7'!B15</f>
        <v>[existsNr()]</v>
      </c>
      <c r="C15" s="5">
        <f>'GPT-5 Generation'!C15</f>
        <v>1</v>
      </c>
      <c r="D15" s="5">
        <f>'Claude Sonnet 4.5 Gen'!C15</f>
        <v>1</v>
      </c>
      <c r="E15" s="51"/>
      <c r="F15" s="101" t="s">
        <v>173</v>
      </c>
      <c r="G15" s="97"/>
      <c r="H15" s="97"/>
      <c r="I15" s="97"/>
      <c r="L15" s="99" t="s">
        <v>174</v>
      </c>
      <c r="M15" s="100"/>
      <c r="N15" s="100"/>
    </row>
    <row r="16" spans="1:14" ht="15.75" customHeight="1" x14ac:dyDescent="0.15">
      <c r="A16" s="5" t="str">
        <f>'SSC7'!A16</f>
        <v>Action</v>
      </c>
      <c r="B16" s="5" t="str">
        <f>'SSC7'!B16</f>
        <v>addItem()</v>
      </c>
      <c r="C16" s="5">
        <f>'GPT-5 Generation'!C16</f>
        <v>1</v>
      </c>
      <c r="D16" s="5">
        <f>'Claude Sonnet 4.5 Gen'!C16</f>
        <v>1</v>
      </c>
      <c r="E16" s="51"/>
      <c r="F16" s="19" t="s">
        <v>8</v>
      </c>
      <c r="G16" s="70" t="s">
        <v>158</v>
      </c>
      <c r="H16" s="70" t="s">
        <v>159</v>
      </c>
      <c r="I16" s="70" t="s">
        <v>160</v>
      </c>
      <c r="J16" s="71" t="s">
        <v>161</v>
      </c>
      <c r="K16" s="19"/>
      <c r="L16" s="57" t="s">
        <v>162</v>
      </c>
      <c r="M16" s="57" t="s">
        <v>163</v>
      </c>
      <c r="N16" s="57" t="s">
        <v>164</v>
      </c>
    </row>
    <row r="17" spans="1:14" ht="15.75" customHeight="1" x14ac:dyDescent="0.15">
      <c r="A17" s="5" t="str">
        <f>'SSC7'!A17</f>
        <v>Transition</v>
      </c>
      <c r="B17" s="5" t="str">
        <f>'SSC7'!B17</f>
        <v>cancelCheckout (Ready ⇒ Override)</v>
      </c>
      <c r="C17" s="5">
        <f>'GPT-5 Generation'!C17</f>
        <v>1</v>
      </c>
      <c r="D17" s="5">
        <f>'Claude Sonnet 4.5 Gen'!C17</f>
        <v>1</v>
      </c>
      <c r="E17" s="51"/>
      <c r="F17" s="58">
        <v>0</v>
      </c>
      <c r="G17" s="59">
        <f>COUNTIFS($A$2:$A$111,$F$16,$C$2:$C$111,$F17,$D$2:$D$111,G$16)</f>
        <v>0</v>
      </c>
      <c r="H17" s="60">
        <f>COUNTIFS($A$2:$A$111,$F$16,$C$2:$C$111,$F17,$D$2:$D$111,H$16)</f>
        <v>0</v>
      </c>
      <c r="I17" s="61">
        <f>COUNTIFS($A$2:$A$67,$F$16,$C$2:$C$67,$F17,$D$2:$D$67,I$16) + MAX(D69-C69,0)</f>
        <v>1</v>
      </c>
      <c r="J17" s="19">
        <f>SUM(G17:I17)</f>
        <v>1</v>
      </c>
      <c r="K17" s="19"/>
      <c r="L17" s="62" t="s">
        <v>165</v>
      </c>
      <c r="M17" s="59">
        <f>(G17+H18+I19)/COUNTIF($A$2:$A$121,F16)</f>
        <v>0.91666666666666663</v>
      </c>
      <c r="N17" s="61" t="s">
        <v>166</v>
      </c>
    </row>
    <row r="18" spans="1:14" ht="15.75" customHeight="1" x14ac:dyDescent="0.15">
      <c r="A18" s="5" t="str">
        <f>'SSC7'!A18</f>
        <v>Action</v>
      </c>
      <c r="B18" s="5" t="str">
        <f>'SSC7'!B18</f>
        <v>setTypeEverything()</v>
      </c>
      <c r="C18" s="5">
        <f>'GPT-5 Generation'!C18</f>
        <v>1</v>
      </c>
      <c r="D18" s="5">
        <f>'Claude Sonnet 4.5 Gen'!C18</f>
        <v>0</v>
      </c>
      <c r="E18" s="51"/>
      <c r="F18" s="58">
        <v>0.5</v>
      </c>
      <c r="G18" s="63">
        <f>COUNTIFS($A$2:$A$111,$F$16,$C$2:$C$111,$F18,$D$2:$D$111,G$16)</f>
        <v>0</v>
      </c>
      <c r="H18" s="19">
        <f>COUNTIFS($A$2:$A$111,$F$16,$C$2:$C$111,$F18,$D$2:$D$111,H$16)</f>
        <v>0</v>
      </c>
      <c r="I18" s="64">
        <f>COUNTIFS($A$2:$A$111,$F$16,$C$2:$C$111,$F18,$D$2:$D$111,I$16)</f>
        <v>0</v>
      </c>
      <c r="J18" s="19">
        <f>SUM(G18:I18)</f>
        <v>0</v>
      </c>
      <c r="K18" s="19"/>
      <c r="L18" s="62" t="s">
        <v>167</v>
      </c>
      <c r="M18" s="63">
        <f t="array" ref="M18">SUMPRODUCT(J17:J19/COUNTIF($A$2:$A$121,F16), TRANSPOSE(G20:I20)/COUNTIF($A$2:$A$121,F16))</f>
        <v>0.9184027777777779</v>
      </c>
      <c r="N18" s="64" t="s">
        <v>168</v>
      </c>
    </row>
    <row r="19" spans="1:14" ht="15.75" customHeight="1" x14ac:dyDescent="0.15">
      <c r="A19" s="5" t="str">
        <f>'SSC7'!A19</f>
        <v>Transition</v>
      </c>
      <c r="B19" s="5" t="str">
        <f>'SSC7'!B19</f>
        <v>removeItem (Ready ⇒ Override)</v>
      </c>
      <c r="C19" s="5">
        <f>'GPT-5 Generation'!C19</f>
        <v>1</v>
      </c>
      <c r="D19" s="5">
        <f>'Claude Sonnet 4.5 Gen'!C19</f>
        <v>1</v>
      </c>
      <c r="E19" s="51"/>
      <c r="F19" s="58">
        <v>1</v>
      </c>
      <c r="G19" s="65">
        <f>COUNTIFS($A$2:$A$67,$F$16,$C$2:$C$67,$F19,$D$2:$D$67,G$16)+MAX(C69-D69,0)</f>
        <v>0</v>
      </c>
      <c r="H19" s="66">
        <f>COUNTIFS($A$2:$A$111,$F$16,$C$2:$C$111,$F19,$D$2:$D$111,H$16)</f>
        <v>1</v>
      </c>
      <c r="I19" s="67">
        <f>COUNTIFS($A$2:$A$67,$F$16,$C$2:$C$67,$F19,$D$2:$D$67,I$16) + MIN(C69,D69)</f>
        <v>22</v>
      </c>
      <c r="J19" s="19">
        <f>SUM(G19:I19)</f>
        <v>23</v>
      </c>
      <c r="K19" s="19"/>
      <c r="L19" s="62" t="s">
        <v>156</v>
      </c>
      <c r="M19" s="65">
        <f>(M17-M18)/(1-M18)</f>
        <v>-2.1276595744682849E-2</v>
      </c>
      <c r="N19" s="67" t="s">
        <v>169</v>
      </c>
    </row>
    <row r="20" spans="1:14" ht="15.75" customHeight="1" x14ac:dyDescent="0.15">
      <c r="A20" s="5" t="str">
        <f>'SSC7'!A20</f>
        <v>Guard</v>
      </c>
      <c r="B20" s="5" t="str">
        <f>'SSC7'!B20</f>
        <v>[billHasItem()]</v>
      </c>
      <c r="C20" s="5">
        <f>'GPT-5 Generation'!C20</f>
        <v>1</v>
      </c>
      <c r="D20" s="5">
        <f>'Claude Sonnet 4.5 Gen'!C20</f>
        <v>1</v>
      </c>
      <c r="E20" s="51"/>
      <c r="F20" s="68" t="s">
        <v>170</v>
      </c>
      <c r="G20" s="19">
        <f>SUM(G17:G19)</f>
        <v>0</v>
      </c>
      <c r="H20" s="19">
        <f>SUM(H17:H19)</f>
        <v>1</v>
      </c>
      <c r="I20" s="19">
        <f>SUM(I17:I19)</f>
        <v>23</v>
      </c>
      <c r="J20" s="19"/>
      <c r="L20" s="19"/>
      <c r="M20" s="69"/>
    </row>
    <row r="21" spans="1:14" ht="15.75" customHeight="1" x14ac:dyDescent="0.15">
      <c r="A21" s="5" t="str">
        <f>'SSC7'!A21</f>
        <v>Action</v>
      </c>
      <c r="B21" s="5" t="str">
        <f>'SSC7'!B21</f>
        <v>setTypeItem()</v>
      </c>
      <c r="C21" s="5">
        <f>'GPT-5 Generation'!C21</f>
        <v>1</v>
      </c>
      <c r="D21" s="5">
        <f>'Claude Sonnet 4.5 Gen'!C21</f>
        <v>0</v>
      </c>
      <c r="E21" s="51"/>
    </row>
    <row r="22" spans="1:14" ht="15.75" customHeight="1" x14ac:dyDescent="0.15">
      <c r="A22" s="5" t="str">
        <f>'SSC7'!A22</f>
        <v>Transition</v>
      </c>
      <c r="B22" s="5" t="str">
        <f>'SSC7'!B22</f>
        <v>broughtOwnBag (Ready ⇒ WeighBag)</v>
      </c>
      <c r="C22" s="5">
        <f>'GPT-5 Generation'!C22</f>
        <v>1</v>
      </c>
      <c r="D22" s="5">
        <f>'Claude Sonnet 4.5 Gen'!C22</f>
        <v>1</v>
      </c>
      <c r="E22" s="51"/>
      <c r="F22" s="101" t="s">
        <v>175</v>
      </c>
      <c r="G22" s="97"/>
      <c r="H22" s="97"/>
      <c r="I22" s="97"/>
      <c r="L22" s="99" t="s">
        <v>176</v>
      </c>
      <c r="M22" s="100"/>
      <c r="N22" s="100"/>
    </row>
    <row r="23" spans="1:14" ht="15.75" customHeight="1" x14ac:dyDescent="0.15">
      <c r="A23" s="5" t="str">
        <f>'SSC7'!A23</f>
        <v>Transition</v>
      </c>
      <c r="B23" s="5" t="str">
        <f>'SSC7'!B23</f>
        <v>pay (Ready ⇒ PayRequested)</v>
      </c>
      <c r="C23" s="5">
        <f>'GPT-5 Generation'!C23</f>
        <v>1</v>
      </c>
      <c r="D23" s="5">
        <f>'Claude Sonnet 4.5 Gen'!C23</f>
        <v>1</v>
      </c>
      <c r="E23" s="51"/>
      <c r="F23" s="19" t="s">
        <v>4</v>
      </c>
      <c r="G23" s="70" t="s">
        <v>158</v>
      </c>
      <c r="H23" s="70" t="s">
        <v>159</v>
      </c>
      <c r="I23" s="70" t="s">
        <v>160</v>
      </c>
      <c r="J23" s="71" t="s">
        <v>161</v>
      </c>
      <c r="K23" s="19"/>
      <c r="L23" s="57" t="s">
        <v>162</v>
      </c>
      <c r="M23" s="57" t="s">
        <v>163</v>
      </c>
      <c r="N23" s="57" t="s">
        <v>164</v>
      </c>
    </row>
    <row r="24" spans="1:14" ht="15.75" customHeight="1" x14ac:dyDescent="0.15">
      <c r="A24" s="5" t="str">
        <f>'SSC7'!A24</f>
        <v>Guard</v>
      </c>
      <c r="B24" s="5" t="str">
        <f>'SSC7'!B24</f>
        <v>[billHasItem()]</v>
      </c>
      <c r="C24" s="5">
        <f>'GPT-5 Generation'!C24</f>
        <v>1</v>
      </c>
      <c r="D24" s="5">
        <f>'Claude Sonnet 4.5 Gen'!C24</f>
        <v>1</v>
      </c>
      <c r="E24" s="51"/>
      <c r="F24" s="58">
        <v>0</v>
      </c>
      <c r="G24" s="59">
        <f>COUNTIFS($A$2:$A$111,$F$23,$C$2:$C$111,$F24,$D$2:$D$111,G$23)</f>
        <v>1</v>
      </c>
      <c r="H24" s="60">
        <f>COUNTIFS($A$2:$A$111,$F$23,$C$2:$C$111,$F24,$D$2:$D$111,H$23)</f>
        <v>0</v>
      </c>
      <c r="I24" s="61">
        <f>COUNTIFS($A$2:$A$67,$F$23,$C$2:$C$67,$F24,$D$2:$D$67,I$23) + MAX(D72-C72,0)</f>
        <v>0</v>
      </c>
      <c r="J24" s="19">
        <f>SUM(G24:I24)</f>
        <v>1</v>
      </c>
      <c r="K24" s="19"/>
      <c r="L24" s="62" t="s">
        <v>165</v>
      </c>
      <c r="M24" s="59">
        <f>(G24+H25+I26)/COUNTIF($A$2:$A$121,F23)</f>
        <v>1</v>
      </c>
      <c r="N24" s="61" t="s">
        <v>166</v>
      </c>
    </row>
    <row r="25" spans="1:14" ht="15.75" customHeight="1" x14ac:dyDescent="0.15">
      <c r="A25" s="5" t="str">
        <f>'SSC7'!A25</f>
        <v>Action</v>
      </c>
      <c r="B25" s="5" t="str">
        <f>'SSC7'!B25</f>
        <v>sendPaymentRequest()</v>
      </c>
      <c r="C25" s="5">
        <f>'GPT-5 Generation'!C25</f>
        <v>1</v>
      </c>
      <c r="D25" s="5">
        <f>'Claude Sonnet 4.5 Gen'!C25</f>
        <v>1</v>
      </c>
      <c r="E25" s="51"/>
      <c r="F25" s="58">
        <v>0.5</v>
      </c>
      <c r="G25" s="63">
        <f>COUNTIFS($A$2:$A$111,$F$23,$C$2:$C$111,$F25,$D$2:$D$111,G$23)</f>
        <v>0</v>
      </c>
      <c r="H25" s="19">
        <f>COUNTIFS($A$2:$A$111,$F$23,$C$2:$C$111,$F25,$D$2:$D$111,H$23)</f>
        <v>0</v>
      </c>
      <c r="I25" s="64">
        <f>COUNTIFS($A$2:$A$111,$F$23,$C$2:$C$111,$F25,$D$2:$D$111,I$23)</f>
        <v>0</v>
      </c>
      <c r="J25" s="19">
        <f>SUM(G25:I25)</f>
        <v>0</v>
      </c>
      <c r="K25" s="19"/>
      <c r="L25" s="62" t="s">
        <v>167</v>
      </c>
      <c r="M25" s="63">
        <f t="array" ref="M25">SUMPRODUCT(J24:J26/COUNTIF($A$2:$A$121,F23), TRANSPOSE(G27:I27)/COUNTIF($A$2:$A$121,F23))</f>
        <v>0.5</v>
      </c>
      <c r="N25" s="64" t="s">
        <v>168</v>
      </c>
    </row>
    <row r="26" spans="1:14" ht="15.75" customHeight="1" x14ac:dyDescent="0.15">
      <c r="A26" s="5" t="str">
        <f>'SSC7'!A26</f>
        <v>State</v>
      </c>
      <c r="B26" s="5" t="str">
        <f>'SSC7'!B26</f>
        <v>WeighItem</v>
      </c>
      <c r="C26" s="5">
        <f>'GPT-5 Generation'!C26</f>
        <v>1</v>
      </c>
      <c r="D26" s="5">
        <f>'Claude Sonnet 4.5 Gen'!C26</f>
        <v>1</v>
      </c>
      <c r="E26" s="51"/>
      <c r="F26" s="58">
        <v>1</v>
      </c>
      <c r="G26" s="65">
        <f>COUNTIFS($A$2:$A$67,$F$23,$C$2:$C$67,$F26,$D$2:$D$67,G$23) + MAX(C72-D72,0)</f>
        <v>0</v>
      </c>
      <c r="H26" s="66">
        <f>COUNTIFS($A$2:$A$111,$F$23,$C$2:$C$111,$F26,$D$2:$D$111,H$23)</f>
        <v>0</v>
      </c>
      <c r="I26" s="67">
        <f>COUNTIFS($A$2:$A$67,$F$23,$C$2:$C$67,$F26,$D$2:$D$67,I$23) + MIN(C72,D72)</f>
        <v>1</v>
      </c>
      <c r="J26" s="19">
        <f>SUM(G26:I26)</f>
        <v>1</v>
      </c>
      <c r="K26" s="19"/>
      <c r="L26" s="62" t="s">
        <v>156</v>
      </c>
      <c r="M26" s="65">
        <f>(M24-M25)/(1-M25)</f>
        <v>1</v>
      </c>
      <c r="N26" s="67" t="s">
        <v>169</v>
      </c>
    </row>
    <row r="27" spans="1:14" ht="15.75" customHeight="1" x14ac:dyDescent="0.15">
      <c r="A27" s="5" t="str">
        <f>'SSC7'!A27</f>
        <v>Transition</v>
      </c>
      <c r="B27" s="5" t="str">
        <f>'SSC7'!B27</f>
        <v>cancel (WeighItem ⇒ Ready)</v>
      </c>
      <c r="C27" s="5">
        <f>'GPT-5 Generation'!C27</f>
        <v>1</v>
      </c>
      <c r="D27" s="5">
        <f>'Claude Sonnet 4.5 Gen'!C27</f>
        <v>1</v>
      </c>
      <c r="E27" s="51"/>
      <c r="F27" s="68" t="s">
        <v>170</v>
      </c>
      <c r="G27" s="19">
        <f>SUM(G24:G26)</f>
        <v>1</v>
      </c>
      <c r="H27" s="19">
        <f>SUM(H24:H26)</f>
        <v>0</v>
      </c>
      <c r="I27" s="19">
        <f>SUM(I24:I26)</f>
        <v>1</v>
      </c>
      <c r="J27" s="19"/>
      <c r="L27" s="19"/>
      <c r="M27" s="69"/>
    </row>
    <row r="28" spans="1:14" ht="15.75" customHeight="1" x14ac:dyDescent="0.15">
      <c r="A28" s="5" t="str">
        <f>'SSC7'!A28</f>
        <v>Transition</v>
      </c>
      <c r="B28" s="5" t="str">
        <f>'SSC7'!B28</f>
        <v>weighedItem (WeighItem ⇒ CheckWeight)</v>
      </c>
      <c r="C28" s="5">
        <f>'GPT-5 Generation'!C28</f>
        <v>1</v>
      </c>
      <c r="D28" s="5">
        <f>'Claude Sonnet 4.5 Gen'!C28</f>
        <v>1</v>
      </c>
      <c r="E28" s="51"/>
    </row>
    <row r="29" spans="1:14" ht="15.75" customHeight="1" x14ac:dyDescent="0.15">
      <c r="A29" s="5" t="str">
        <f>'SSC7'!A29</f>
        <v>Action</v>
      </c>
      <c r="B29" s="5" t="str">
        <f>'SSC7'!B29</f>
        <v>addWeighedItem()</v>
      </c>
      <c r="C29" s="5">
        <f>'GPT-5 Generation'!C29</f>
        <v>1</v>
      </c>
      <c r="D29" s="5">
        <f>'Claude Sonnet 4.5 Gen'!C29</f>
        <v>1</v>
      </c>
      <c r="E29" s="51"/>
      <c r="F29" s="101" t="s">
        <v>177</v>
      </c>
      <c r="G29" s="97"/>
      <c r="H29" s="97"/>
      <c r="I29" s="97"/>
      <c r="L29" s="99" t="s">
        <v>178</v>
      </c>
      <c r="M29" s="100"/>
      <c r="N29" s="100"/>
    </row>
    <row r="30" spans="1:14" ht="15.75" customHeight="1" x14ac:dyDescent="0.15">
      <c r="A30" s="5" t="str">
        <f>'SSC7'!A30</f>
        <v>State</v>
      </c>
      <c r="B30" s="5" t="str">
        <f>'SSC7'!B30</f>
        <v>CheckWeight</v>
      </c>
      <c r="C30" s="5">
        <f>'GPT-5 Generation'!C30</f>
        <v>1</v>
      </c>
      <c r="D30" s="5">
        <f>'Claude Sonnet 4.5 Gen'!C30</f>
        <v>1</v>
      </c>
      <c r="E30" s="51"/>
      <c r="F30" s="19" t="s">
        <v>10</v>
      </c>
      <c r="G30" s="70" t="s">
        <v>158</v>
      </c>
      <c r="H30" s="70" t="s">
        <v>159</v>
      </c>
      <c r="I30" s="70" t="s">
        <v>160</v>
      </c>
      <c r="J30" s="71" t="s">
        <v>161</v>
      </c>
      <c r="K30" s="19"/>
      <c r="L30" s="57" t="s">
        <v>162</v>
      </c>
      <c r="M30" s="57" t="s">
        <v>163</v>
      </c>
      <c r="N30" s="57" t="s">
        <v>164</v>
      </c>
    </row>
    <row r="31" spans="1:14" ht="15.75" customHeight="1" x14ac:dyDescent="0.15">
      <c r="A31" s="5" t="str">
        <f>'SSC7'!A31</f>
        <v>Transition</v>
      </c>
      <c r="B31" s="5" t="str">
        <f>'SSC7'!B31</f>
        <v>secWeighedItem (CheckWeight ⇒ Ready)</v>
      </c>
      <c r="C31" s="5">
        <f>'GPT-5 Generation'!C31</f>
        <v>1</v>
      </c>
      <c r="D31" s="5">
        <f>'Claude Sonnet 4.5 Gen'!C31</f>
        <v>1</v>
      </c>
      <c r="E31" s="51"/>
      <c r="F31" s="58">
        <v>0</v>
      </c>
      <c r="G31" s="59">
        <f>COUNTIFS($A$2:$A$111,$F$30,$C$2:$C$111,$F31,$D$2:$D$111,G$30)</f>
        <v>1</v>
      </c>
      <c r="H31" s="60">
        <f>COUNTIFS($A$2:$A$111,$F$30,$C$2:$C$111,$F31,$D$2:$D$111,H$30)</f>
        <v>0</v>
      </c>
      <c r="I31" s="61">
        <f>COUNTIFS($A$2:$A$67,$F$30,$C$2:$C$67,$F31,$D$2:$D$67,I$30) + MAX(D70-C70,0)</f>
        <v>0</v>
      </c>
      <c r="J31" s="19">
        <f>SUM(G31:I31)</f>
        <v>1</v>
      </c>
      <c r="K31" s="19"/>
      <c r="L31" s="62" t="s">
        <v>165</v>
      </c>
      <c r="M31" s="59">
        <f>(G31+H32+I33)/COUNTIF($A$2:$A$121,F30)</f>
        <v>1</v>
      </c>
      <c r="N31" s="61" t="s">
        <v>166</v>
      </c>
    </row>
    <row r="32" spans="1:14" ht="15.75" customHeight="1" x14ac:dyDescent="0.15">
      <c r="A32" s="5" t="str">
        <f>'SSC7'!A32</f>
        <v>Guard</v>
      </c>
      <c r="B32" s="5" t="str">
        <f>'SSC7'!B32</f>
        <v>[weightMatched()]</v>
      </c>
      <c r="C32" s="5">
        <f>'GPT-5 Generation'!C32</f>
        <v>1</v>
      </c>
      <c r="D32" s="5">
        <f>'Claude Sonnet 4.5 Gen'!C32</f>
        <v>1</v>
      </c>
      <c r="E32" s="51"/>
      <c r="F32" s="58">
        <v>0.5</v>
      </c>
      <c r="G32" s="63">
        <f>COUNTIFS($A$2:$A$111,$F$30,$C$2:$C$111,$F32,$D$2:$D$111,G$30)</f>
        <v>0</v>
      </c>
      <c r="H32" s="19">
        <f>COUNTIFS($A$2:$A$111,$F$30,$C$2:$C$111,$F32,$D$2:$D$111,H$30)</f>
        <v>0</v>
      </c>
      <c r="I32" s="64">
        <f>COUNTIFS($A$2:$A$111,$F$30,$C$2:$C$111,$F32,$D$2:$D$111,I$30)</f>
        <v>0</v>
      </c>
      <c r="J32" s="19">
        <f>SUM(G32:I32)</f>
        <v>0</v>
      </c>
      <c r="K32" s="19"/>
      <c r="L32" s="62" t="s">
        <v>167</v>
      </c>
      <c r="M32" s="63">
        <f t="array" ref="M32">SUMPRODUCT(J31:J33/COUNTIF($A$2:$A$121,F30), TRANSPOSE(G34:I34)/COUNTIF($A$2:$A$121,F30))</f>
        <v>0.8472222222222221</v>
      </c>
      <c r="N32" s="64" t="s">
        <v>168</v>
      </c>
    </row>
    <row r="33" spans="1:14" ht="15.75" customHeight="1" x14ac:dyDescent="0.15">
      <c r="A33" s="5" t="str">
        <f>'SSC7'!A33</f>
        <v>Transition</v>
      </c>
      <c r="B33" s="5" t="str">
        <f>'SSC7'!B33</f>
        <v>secWeighedItem (CheckWeight ⇒ Override)</v>
      </c>
      <c r="C33" s="5">
        <f>'GPT-5 Generation'!C33</f>
        <v>1</v>
      </c>
      <c r="D33" s="5">
        <f>'Claude Sonnet 4.5 Gen'!C33</f>
        <v>1</v>
      </c>
      <c r="E33" s="51"/>
      <c r="F33" s="58">
        <v>1</v>
      </c>
      <c r="G33" s="65">
        <f>COUNTIFS($A$2:$A$67,$F$30,$C$2:$C$67,$F33,$D$2:$D$67,G$30) + MAX(C70-D70,0)</f>
        <v>0</v>
      </c>
      <c r="H33" s="66">
        <f>COUNTIFS($A$2:$A$111,$F$30,$C$2:$C$111,$F33,$D$2:$D$111,H$30)</f>
        <v>0</v>
      </c>
      <c r="I33" s="67">
        <f>COUNTIFS($A$2:$A$67,$F$30,$C$2:$C$67,$F33,$D$2:$D$67,I$30) + MIN(C70,D70)</f>
        <v>11</v>
      </c>
      <c r="J33" s="19">
        <f>SUM(G33:I33)</f>
        <v>11</v>
      </c>
      <c r="K33" s="19"/>
      <c r="L33" s="62" t="s">
        <v>156</v>
      </c>
      <c r="M33" s="65">
        <f>(M31-M32)/(1-M32)</f>
        <v>1</v>
      </c>
      <c r="N33" s="67" t="s">
        <v>169</v>
      </c>
    </row>
    <row r="34" spans="1:14" ht="15.75" customHeight="1" x14ac:dyDescent="0.15">
      <c r="A34" s="5" t="str">
        <f>'SSC7'!A34</f>
        <v>Guard</v>
      </c>
      <c r="B34" s="5" t="str">
        <f>'SSC7'!B34</f>
        <v>[!weightMatched()]</v>
      </c>
      <c r="C34" s="5">
        <f>'GPT-5 Generation'!C34</f>
        <v>1</v>
      </c>
      <c r="D34" s="5">
        <f>'Claude Sonnet 4.5 Gen'!C34</f>
        <v>1</v>
      </c>
      <c r="E34" s="51"/>
      <c r="F34" s="68" t="s">
        <v>170</v>
      </c>
      <c r="G34" s="19">
        <f>SUM(G31:G33)</f>
        <v>1</v>
      </c>
      <c r="H34" s="19">
        <f>SUM(H31:H33)</f>
        <v>0</v>
      </c>
      <c r="I34" s="19">
        <f>SUM(I31:I33)</f>
        <v>11</v>
      </c>
      <c r="J34" s="19"/>
      <c r="L34" s="19"/>
      <c r="M34" s="69"/>
    </row>
    <row r="35" spans="1:14" ht="15.75" customHeight="1" x14ac:dyDescent="0.15">
      <c r="A35" s="5" t="str">
        <f>'SSC7'!A35</f>
        <v>Action</v>
      </c>
      <c r="B35" s="5" t="str">
        <f>'SSC7'!B35</f>
        <v>setTypeItem()</v>
      </c>
      <c r="C35" s="5">
        <f>'GPT-5 Generation'!C35</f>
        <v>1</v>
      </c>
      <c r="D35" s="5">
        <f>'Claude Sonnet 4.5 Gen'!C35</f>
        <v>0</v>
      </c>
      <c r="E35" s="51"/>
    </row>
    <row r="36" spans="1:14" ht="15.75" customHeight="1" x14ac:dyDescent="0.15">
      <c r="A36" s="5" t="str">
        <f>'SSC7'!A36</f>
        <v>Transition</v>
      </c>
      <c r="B36" s="5" t="str">
        <f>'SSC7'!B36</f>
        <v>cancelCheckout (CheckWeight ⇒ Override)</v>
      </c>
      <c r="C36" s="5">
        <f>'GPT-5 Generation'!C36</f>
        <v>1</v>
      </c>
      <c r="D36" s="5">
        <f>'Claude Sonnet 4.5 Gen'!C36</f>
        <v>1</v>
      </c>
      <c r="E36" s="51"/>
      <c r="F36" s="101" t="s">
        <v>179</v>
      </c>
      <c r="G36" s="97"/>
      <c r="H36" s="97"/>
      <c r="I36" s="97"/>
      <c r="L36" s="99" t="s">
        <v>180</v>
      </c>
      <c r="M36" s="100"/>
      <c r="N36" s="100"/>
    </row>
    <row r="37" spans="1:14" ht="15.75" customHeight="1" x14ac:dyDescent="0.15">
      <c r="A37" s="5" t="str">
        <f>'SSC7'!A37</f>
        <v>Action</v>
      </c>
      <c r="B37" s="5" t="str">
        <f>'SSC7'!B37</f>
        <v>setTypeEverything()</v>
      </c>
      <c r="C37" s="5">
        <f>'GPT-5 Generation'!C37</f>
        <v>1</v>
      </c>
      <c r="D37" s="5">
        <f>'Claude Sonnet 4.5 Gen'!C37</f>
        <v>0</v>
      </c>
      <c r="E37" s="51"/>
      <c r="F37" s="19" t="s">
        <v>12</v>
      </c>
      <c r="G37" s="70" t="s">
        <v>158</v>
      </c>
      <c r="H37" s="70" t="s">
        <v>159</v>
      </c>
      <c r="I37" s="70" t="s">
        <v>160</v>
      </c>
      <c r="J37" s="71" t="s">
        <v>161</v>
      </c>
      <c r="K37" s="19"/>
      <c r="L37" s="57" t="s">
        <v>162</v>
      </c>
      <c r="M37" s="57" t="s">
        <v>163</v>
      </c>
      <c r="N37" s="57" t="s">
        <v>164</v>
      </c>
    </row>
    <row r="38" spans="1:14" ht="15.75" customHeight="1" x14ac:dyDescent="0.15">
      <c r="A38" s="5" t="str">
        <f>'SSC7'!A38</f>
        <v>State</v>
      </c>
      <c r="B38" s="5" t="str">
        <f>'SSC7'!B38</f>
        <v>WeighBag</v>
      </c>
      <c r="C38" s="5">
        <f>'GPT-5 Generation'!C38</f>
        <v>1</v>
      </c>
      <c r="D38" s="5">
        <f>'Claude Sonnet 4.5 Gen'!C38</f>
        <v>1</v>
      </c>
      <c r="E38" s="51"/>
      <c r="F38" s="58">
        <v>0</v>
      </c>
      <c r="G38" s="59">
        <f>COUNTIFS($A$2:$A$111,F37,$C$2:$C$111,$F38,$D$2:$D$111,G37)</f>
        <v>0</v>
      </c>
      <c r="H38" s="60">
        <f>COUNTIFS($A$2:$A$111,F37,$C$2:$C$111,$F38,$D$2:$D$111,H37)</f>
        <v>0</v>
      </c>
      <c r="I38" s="61">
        <f>COUNTIFS($A$2:$A$67,F37,$C$2:$C$67,$F38,$D$2:$D$67,I37)+MAX(D71-C71,0)</f>
        <v>1</v>
      </c>
      <c r="J38" s="19">
        <f>SUM(G38:I38)</f>
        <v>1</v>
      </c>
      <c r="K38" s="19"/>
      <c r="L38" s="62" t="s">
        <v>165</v>
      </c>
      <c r="M38" s="59">
        <f>(G38+H39+I40)/COUNTIF($A$2:$A$121,F37)</f>
        <v>0.63636363636363635</v>
      </c>
      <c r="N38" s="61" t="s">
        <v>166</v>
      </c>
    </row>
    <row r="39" spans="1:14" ht="15.75" customHeight="1" x14ac:dyDescent="0.15">
      <c r="A39" s="5" t="str">
        <f>'SSC7'!A39</f>
        <v>Transition</v>
      </c>
      <c r="B39" s="5" t="str">
        <f>'SSC7'!B39</f>
        <v>secWeighedItem (WeighBag ⇒ Ready)</v>
      </c>
      <c r="C39" s="5">
        <f>'GPT-5 Generation'!C39</f>
        <v>1</v>
      </c>
      <c r="D39" s="5">
        <f>'Claude Sonnet 4.5 Gen'!C39</f>
        <v>1</v>
      </c>
      <c r="E39" s="51"/>
      <c r="F39" s="58">
        <v>0.5</v>
      </c>
      <c r="G39" s="63">
        <f>COUNTIFS($A$2:$A$111,F37,$C$2:$C$111,$F39,$D$2:$D$111,G37)</f>
        <v>0</v>
      </c>
      <c r="H39" s="19">
        <f>COUNTIFS($A$2:$A$111,F37,$C$2:$C$111,$F39,$D$2:$D$111,H37)</f>
        <v>0</v>
      </c>
      <c r="I39" s="64">
        <f>COUNTIFS($A$2:$A$111,F37,$C$2:$C$111,$F39,$D$2:$D$111,I37)</f>
        <v>0</v>
      </c>
      <c r="J39" s="19">
        <f>SUM(G39:I39)</f>
        <v>0</v>
      </c>
      <c r="K39" s="19"/>
      <c r="L39" s="62" t="s">
        <v>167</v>
      </c>
      <c r="M39" s="63">
        <f t="array" ref="M39">SUMPRODUCT(J38:J40/COUNTIF($A$2:$A$121,F37), TRANSPOSE(G41:I41)/COUNTIF($A$2:$A$121,F37))</f>
        <v>0.66322314049586772</v>
      </c>
      <c r="N39" s="64" t="s">
        <v>168</v>
      </c>
    </row>
    <row r="40" spans="1:14" ht="15.75" customHeight="1" x14ac:dyDescent="0.15">
      <c r="A40" s="5" t="str">
        <f>'SSC7'!A40</f>
        <v>Action</v>
      </c>
      <c r="B40" s="5" t="str">
        <f>'SSC7'!B40</f>
        <v>addBag()</v>
      </c>
      <c r="C40" s="5">
        <f>'GPT-5 Generation'!C40</f>
        <v>1</v>
      </c>
      <c r="D40" s="5">
        <f>'Claude Sonnet 4.5 Gen'!C40</f>
        <v>1</v>
      </c>
      <c r="E40" s="51"/>
      <c r="F40" s="58">
        <v>1</v>
      </c>
      <c r="G40" s="65">
        <f>COUNTIFS($A$2:$A$67,F37,$C$2:$C$67,$F40,$D$2:$D$67,G37)+MAX(C71-D71,0)</f>
        <v>6</v>
      </c>
      <c r="H40" s="66">
        <f>COUNTIFS($A$2:$A$111,F37,$C$2:$C$111,$F40,$D$2:$D$111,H37)</f>
        <v>1</v>
      </c>
      <c r="I40" s="67">
        <f>COUNTIFS($A$2:$A$67,F37,$C$2:$C$67,$F40,$D$2:$D$67,I37) + MIN(C71,D71)</f>
        <v>14</v>
      </c>
      <c r="J40" s="19">
        <f>SUM(G40:I40)</f>
        <v>21</v>
      </c>
      <c r="K40" s="19"/>
      <c r="L40" s="62" t="s">
        <v>156</v>
      </c>
      <c r="M40" s="65">
        <f>(M38-M39)/(1-M39)</f>
        <v>-7.9754601226993752E-2</v>
      </c>
      <c r="N40" s="67" t="s">
        <v>169</v>
      </c>
    </row>
    <row r="41" spans="1:14" ht="15.75" customHeight="1" x14ac:dyDescent="0.15">
      <c r="A41" s="5" t="str">
        <f>'SSC7'!A41</f>
        <v>Transition</v>
      </c>
      <c r="B41" s="5" t="str">
        <f>'SSC7'!B41</f>
        <v>cancel (WeighBag ⇒ Ready)</v>
      </c>
      <c r="C41" s="5">
        <f>'GPT-5 Generation'!C41</f>
        <v>1</v>
      </c>
      <c r="D41" s="5">
        <f>'Claude Sonnet 4.5 Gen'!C41</f>
        <v>1</v>
      </c>
      <c r="E41" s="51"/>
      <c r="F41" s="68" t="s">
        <v>170</v>
      </c>
      <c r="G41" s="19">
        <f>SUM(G38:G40)</f>
        <v>6</v>
      </c>
      <c r="H41" s="19">
        <f>SUM(H38:H40)</f>
        <v>1</v>
      </c>
      <c r="I41" s="19">
        <f>SUM(I38:I40)</f>
        <v>15</v>
      </c>
      <c r="J41" s="19"/>
      <c r="L41" s="19"/>
      <c r="M41" s="69"/>
    </row>
    <row r="42" spans="1:14" ht="15.75" customHeight="1" x14ac:dyDescent="0.15">
      <c r="A42" s="5" t="str">
        <f>'SSC7'!A42</f>
        <v>State</v>
      </c>
      <c r="B42" s="5" t="str">
        <f>'SSC7'!B42</f>
        <v>Override</v>
      </c>
      <c r="C42" s="5">
        <f>'GPT-5 Generation'!C42</f>
        <v>1</v>
      </c>
      <c r="D42" s="5">
        <f>'Claude Sonnet 4.5 Gen'!C42</f>
        <v>1</v>
      </c>
      <c r="E42" s="51"/>
    </row>
    <row r="43" spans="1:14" ht="15.75" customHeight="1" x14ac:dyDescent="0.15">
      <c r="A43" s="5" t="str">
        <f>'SSC7'!A43</f>
        <v>Action</v>
      </c>
      <c r="B43" s="5" t="str">
        <f>'SSC7'!B43</f>
        <v>entry / lightOn()</v>
      </c>
      <c r="C43" s="5">
        <f>'GPT-5 Generation'!C43</f>
        <v>1</v>
      </c>
      <c r="D43" s="5">
        <f>'Claude Sonnet 4.5 Gen'!C43</f>
        <v>1</v>
      </c>
      <c r="E43" s="51"/>
      <c r="F43" s="101" t="s">
        <v>181</v>
      </c>
      <c r="G43" s="97"/>
      <c r="H43" s="97"/>
      <c r="I43" s="97"/>
      <c r="L43" s="99" t="s">
        <v>182</v>
      </c>
      <c r="M43" s="100"/>
      <c r="N43" s="100"/>
    </row>
    <row r="44" spans="1:14" ht="15.75" customHeight="1" x14ac:dyDescent="0.15">
      <c r="A44" s="5" t="str">
        <f>'SSC7'!A44</f>
        <v>Action</v>
      </c>
      <c r="B44" s="5" t="str">
        <f>'SSC7'!B44</f>
        <v>exit / lightOff()</v>
      </c>
      <c r="C44" s="5">
        <f>'GPT-5 Generation'!C44</f>
        <v>1</v>
      </c>
      <c r="D44" s="5">
        <f>'Claude Sonnet 4.5 Gen'!C44</f>
        <v>1</v>
      </c>
      <c r="E44" s="51"/>
      <c r="F44" s="19" t="s">
        <v>54</v>
      </c>
      <c r="G44" s="70" t="s">
        <v>158</v>
      </c>
      <c r="H44" s="70" t="s">
        <v>159</v>
      </c>
      <c r="I44" s="70" t="s">
        <v>160</v>
      </c>
      <c r="J44" s="71" t="s">
        <v>161</v>
      </c>
      <c r="K44" s="19"/>
      <c r="L44" s="57" t="s">
        <v>162</v>
      </c>
      <c r="M44" s="57" t="s">
        <v>163</v>
      </c>
      <c r="N44" s="57" t="s">
        <v>164</v>
      </c>
    </row>
    <row r="45" spans="1:14" ht="15.75" customHeight="1" x14ac:dyDescent="0.15">
      <c r="A45" s="5" t="str">
        <f>'SSC7'!A45</f>
        <v>Transition</v>
      </c>
      <c r="B45" s="5" t="str">
        <f>'SSC7'!B45</f>
        <v>codeEntered (Override ⇒ Ready)</v>
      </c>
      <c r="C45" s="5">
        <f>'GPT-5 Generation'!C45</f>
        <v>1</v>
      </c>
      <c r="D45" s="5">
        <f>'Claude Sonnet 4.5 Gen'!C45</f>
        <v>1</v>
      </c>
      <c r="E45" s="51"/>
      <c r="F45" s="58">
        <v>0</v>
      </c>
      <c r="G45" s="59">
        <f>COUNTIFS($A$2:$A$111,$F$44,$C$2:$C$111,$F45,$D$2:$D$111,G$44)</f>
        <v>1</v>
      </c>
      <c r="H45" s="60">
        <f>COUNTIFS($A$2:$A$111,$F$44,$C$2:$C$111,$F45,$D$2:$D$111,H$44)</f>
        <v>0</v>
      </c>
      <c r="I45" s="61">
        <f>COUNTIFS($A$2:$A$67,$F$44,$C$2:$C$67,$F45,$D$2:$D$67,I$44) + MAX(D74-C74,0)</f>
        <v>0</v>
      </c>
      <c r="J45" s="19">
        <f>SUM(G45:I45)</f>
        <v>1</v>
      </c>
      <c r="K45" s="19"/>
      <c r="L45" s="62" t="s">
        <v>165</v>
      </c>
      <c r="M45" s="59">
        <f>(G45+H46+I47)/COUNTIF($A$2:$A$121,F44)</f>
        <v>0.5</v>
      </c>
      <c r="N45" s="61" t="s">
        <v>166</v>
      </c>
    </row>
    <row r="46" spans="1:14" ht="15.75" customHeight="1" x14ac:dyDescent="0.15">
      <c r="A46" s="5" t="str">
        <f>'SSC7'!A46</f>
        <v>Guard</v>
      </c>
      <c r="B46" s="5" t="str">
        <f>'SSC7'!B46</f>
        <v>[codeCorrect() &amp;&amp; isTypeItem()]</v>
      </c>
      <c r="C46" s="5">
        <f>'GPT-5 Generation'!C46</f>
        <v>1</v>
      </c>
      <c r="D46" s="5">
        <f>'Claude Sonnet 4.5 Gen'!C46</f>
        <v>1</v>
      </c>
      <c r="E46" s="51"/>
      <c r="F46" s="58">
        <v>0.5</v>
      </c>
      <c r="G46" s="63">
        <f>COUNTIFS($A$2:$A$111,$F$44,$C$2:$C$111,$F46,$D$2:$D$111,G$44)</f>
        <v>0</v>
      </c>
      <c r="H46" s="19">
        <f>COUNTIFS($A$2:$A$111,$F$44,$C$2:$C$111,$F46,$D$2:$D$111,H$44)</f>
        <v>0</v>
      </c>
      <c r="I46" s="64">
        <f>COUNTIFS($A$2:$A$111,$F$44,$C$2:$C$111,$F46,$D$2:$D$111,I$44)</f>
        <v>0</v>
      </c>
      <c r="J46" s="19">
        <f>SUM(G46:I46)</f>
        <v>0</v>
      </c>
      <c r="K46" s="19"/>
      <c r="L46" s="62" t="s">
        <v>167</v>
      </c>
      <c r="M46" s="63">
        <f t="array" ref="M46">SUMPRODUCT(J45:J47/COUNTIF($A$2:$A$121,F44), TRANSPOSE(G48:I48)/COUNTIF($A$2:$A$121,F44))</f>
        <v>0.25</v>
      </c>
      <c r="N46" s="64" t="s">
        <v>168</v>
      </c>
    </row>
    <row r="47" spans="1:14" ht="15.75" customHeight="1" x14ac:dyDescent="0.15">
      <c r="A47" s="5" t="str">
        <f>'SSC7'!A47</f>
        <v>Action</v>
      </c>
      <c r="B47" s="5" t="str">
        <f>'SSC7'!B47</f>
        <v>clearItem()</v>
      </c>
      <c r="C47" s="5">
        <f>'GPT-5 Generation'!C47</f>
        <v>1</v>
      </c>
      <c r="D47" s="5">
        <f>'Claude Sonnet 4.5 Gen'!C47</f>
        <v>1</v>
      </c>
      <c r="E47" s="51"/>
      <c r="F47" s="58">
        <v>1</v>
      </c>
      <c r="G47" s="65">
        <f>COUNTIFS($A$2:$A$67,$F$44,$C$2:$C$67,$F47,$D$2:$D$67,G$44) + MAX(C74-D74,0)</f>
        <v>0</v>
      </c>
      <c r="H47" s="66">
        <f>COUNTIFS($A$2:$A$111,$F$44,$C$2:$C$111,$F47,$D$2:$D$111,H$44)</f>
        <v>1</v>
      </c>
      <c r="I47" s="67">
        <f>COUNTIFS($A$2:$A$67,$F$44,$C$2:$C$67,$F47,$D$2:$D$67,I$44) + MIN(C74,D74)</f>
        <v>0</v>
      </c>
      <c r="J47" s="19">
        <f>SUM(G47:I47)</f>
        <v>1</v>
      </c>
      <c r="K47" s="19"/>
      <c r="L47" s="62" t="s">
        <v>156</v>
      </c>
      <c r="M47" s="65">
        <f>(M45-M46)/(1-M46)</f>
        <v>0.33333333333333331</v>
      </c>
      <c r="N47" s="67" t="s">
        <v>169</v>
      </c>
    </row>
    <row r="48" spans="1:14" ht="15.75" customHeight="1" x14ac:dyDescent="0.15">
      <c r="A48" s="5" t="str">
        <f>'SSC7'!A48</f>
        <v>Transition</v>
      </c>
      <c r="B48" s="5" t="str">
        <f>'SSC7'!B48</f>
        <v>codeEntered (Override ⇒ Ready)</v>
      </c>
      <c r="C48" s="5">
        <f>'GPT-5 Generation'!C48</f>
        <v>1</v>
      </c>
      <c r="D48" s="5">
        <f>'Claude Sonnet 4.5 Gen'!C48</f>
        <v>1</v>
      </c>
      <c r="E48" s="51"/>
      <c r="F48" s="68" t="s">
        <v>170</v>
      </c>
      <c r="G48" s="19">
        <f>SUM(G45:G47)</f>
        <v>1</v>
      </c>
      <c r="H48" s="19">
        <f>SUM(H45:H47)</f>
        <v>1</v>
      </c>
      <c r="I48" s="19">
        <f>SUM(I45:I47)</f>
        <v>0</v>
      </c>
      <c r="J48" s="19"/>
      <c r="L48" s="19"/>
      <c r="M48" s="69"/>
    </row>
    <row r="49" spans="1:14" ht="15.75" customHeight="1" x14ac:dyDescent="0.15">
      <c r="A49" s="5" t="str">
        <f>'SSC7'!A49</f>
        <v>Guard</v>
      </c>
      <c r="B49" s="5" t="str">
        <f>'SSC7'!B49</f>
        <v>[codeCorrect() &amp;&amp; isTypeEverything()]</v>
      </c>
      <c r="C49" s="5">
        <f>'GPT-5 Generation'!C49</f>
        <v>1</v>
      </c>
      <c r="D49" s="5">
        <f>'Claude Sonnet 4.5 Gen'!C49</f>
        <v>1</v>
      </c>
      <c r="E49" s="51"/>
    </row>
    <row r="50" spans="1:14" ht="15.75" customHeight="1" x14ac:dyDescent="0.15">
      <c r="A50" s="5" t="str">
        <f>'SSC7'!A50</f>
        <v>Action</v>
      </c>
      <c r="B50" s="5" t="str">
        <f>'SSC7'!B50</f>
        <v>clearEverything()</v>
      </c>
      <c r="C50" s="5">
        <f>'GPT-5 Generation'!C50</f>
        <v>1</v>
      </c>
      <c r="D50" s="5">
        <f>'Claude Sonnet 4.5 Gen'!C50</f>
        <v>1</v>
      </c>
      <c r="E50" s="51"/>
      <c r="F50" s="101" t="s">
        <v>183</v>
      </c>
      <c r="G50" s="97"/>
      <c r="H50" s="97"/>
      <c r="I50" s="97"/>
      <c r="L50" s="99" t="s">
        <v>184</v>
      </c>
      <c r="M50" s="100"/>
      <c r="N50" s="100"/>
    </row>
    <row r="51" spans="1:14" ht="15.75" customHeight="1" x14ac:dyDescent="0.15">
      <c r="A51" s="5" t="str">
        <f>'SSC7'!A51</f>
        <v>Transition</v>
      </c>
      <c r="B51" s="5" t="str">
        <f>'SSC7'!B51</f>
        <v>codeEntered (Override ⇒ Override)</v>
      </c>
      <c r="C51" s="5">
        <f>'GPT-5 Generation'!C51</f>
        <v>1</v>
      </c>
      <c r="D51" s="5">
        <f>'Claude Sonnet 4.5 Gen'!C51</f>
        <v>1</v>
      </c>
      <c r="E51" s="51"/>
      <c r="F51" s="19" t="s">
        <v>66</v>
      </c>
      <c r="G51" s="70" t="s">
        <v>158</v>
      </c>
      <c r="H51" s="70" t="s">
        <v>159</v>
      </c>
      <c r="I51" s="70" t="s">
        <v>160</v>
      </c>
      <c r="J51" s="71" t="s">
        <v>161</v>
      </c>
      <c r="K51" s="19"/>
      <c r="L51" s="57" t="s">
        <v>162</v>
      </c>
      <c r="M51" s="57" t="s">
        <v>163</v>
      </c>
      <c r="N51" s="57" t="s">
        <v>164</v>
      </c>
    </row>
    <row r="52" spans="1:14" ht="15.75" customHeight="1" x14ac:dyDescent="0.15">
      <c r="A52" s="5" t="str">
        <f>'SSC7'!A52</f>
        <v>Guard</v>
      </c>
      <c r="B52" s="5" t="str">
        <f>'SSC7'!B52</f>
        <v>[!codeCorrect()]</v>
      </c>
      <c r="C52" s="5">
        <f>'GPT-5 Generation'!C52</f>
        <v>1</v>
      </c>
      <c r="D52" s="5">
        <f>'Claude Sonnet 4.5 Gen'!C52</f>
        <v>1</v>
      </c>
      <c r="E52" s="51"/>
      <c r="F52" s="58">
        <v>0</v>
      </c>
      <c r="G52" s="59">
        <f>COUNTIFS($A$2:$A$111,$F$51,$C$2:$C$111,$F52,$D$2:$D$111,G$51)</f>
        <v>1</v>
      </c>
      <c r="H52" s="60">
        <f>COUNTIFS($A$2:$A$111,$F$51,$C$2:$C$111,$F52,$D$2:$D$111,H$51)</f>
        <v>0</v>
      </c>
      <c r="I52" s="61">
        <f>COUNTIFS($A$2:$A$67,$F$51,$C$2:$C$67,$F52,$D$2:$D$67,I$51)+MAX(D73-C73,0)</f>
        <v>0</v>
      </c>
      <c r="J52" s="19">
        <f>SUM(G52:I52)</f>
        <v>1</v>
      </c>
      <c r="K52" s="19"/>
      <c r="L52" s="62" t="s">
        <v>165</v>
      </c>
      <c r="M52" s="59">
        <f>(G52+H53+I54)/COUNTIF($A$2:$A$121,F51)</f>
        <v>1</v>
      </c>
      <c r="N52" s="61" t="s">
        <v>166</v>
      </c>
    </row>
    <row r="53" spans="1:14" ht="15.75" customHeight="1" x14ac:dyDescent="0.15">
      <c r="A53" s="5" t="str">
        <f>'SSC7'!A53</f>
        <v>Action</v>
      </c>
      <c r="B53" s="5" t="str">
        <f>'SSC7'!B53</f>
        <v>error()</v>
      </c>
      <c r="C53" s="5">
        <f>'GPT-5 Generation'!C53</f>
        <v>1</v>
      </c>
      <c r="D53" s="5">
        <f>'Claude Sonnet 4.5 Gen'!C53</f>
        <v>0.5</v>
      </c>
      <c r="E53" s="51"/>
      <c r="F53" s="58">
        <v>0.5</v>
      </c>
      <c r="G53" s="63">
        <f>COUNTIFS($A$2:$A$111,$F$51,$C$2:$C$111,$F53,$D$2:$D$111,G$51)</f>
        <v>0</v>
      </c>
      <c r="H53" s="19">
        <f>COUNTIFS($A$2:$A$111,$F$51,$C$2:$C$111,$F53,$D$2:$D$111,H$51)</f>
        <v>0</v>
      </c>
      <c r="I53" s="64">
        <f>COUNTIFS($A$2:$A$111,$F$51,$C$2:$C$111,$F53,$D$2:$D$111,I$51)</f>
        <v>0</v>
      </c>
      <c r="J53" s="19">
        <f>SUM(G53:I53)</f>
        <v>0</v>
      </c>
      <c r="K53" s="19"/>
      <c r="L53" s="62" t="s">
        <v>167</v>
      </c>
      <c r="M53" s="63">
        <f t="array" ref="M53">SUMPRODUCT(J52:J54/COUNTIF($A$2:$A$121,F51), TRANSPOSE(G55:I55)/COUNTIF($A$2:$A$121,F51))</f>
        <v>1</v>
      </c>
      <c r="N53" s="64" t="s">
        <v>168</v>
      </c>
    </row>
    <row r="54" spans="1:14" ht="15.75" customHeight="1" x14ac:dyDescent="0.15">
      <c r="A54" s="5" t="str">
        <f>'SSC7'!A54</f>
        <v>Transition</v>
      </c>
      <c r="B54" s="5" t="str">
        <f>'SSC7'!B54</f>
        <v>timeoutWarning (Active ⇒ TimeoutCountdown)</v>
      </c>
      <c r="C54" s="5">
        <f>'GPT-5 Generation'!C54</f>
        <v>1</v>
      </c>
      <c r="D54" s="5">
        <f>'Claude Sonnet 4.5 Gen'!C54</f>
        <v>1</v>
      </c>
      <c r="E54" s="51"/>
      <c r="F54" s="58">
        <v>1</v>
      </c>
      <c r="G54" s="65">
        <f>COUNTIFS($A$2:$A$67,$F$51,$C$2:$C$67,$F54,$D$2:$D$67,G$51) + MAX(C73-D73,0)</f>
        <v>0</v>
      </c>
      <c r="H54" s="66">
        <f>COUNTIFS($A$2:$A$111,$F$51,$C$2:$C$111,$F54,$D$2:$D$111,H$51)</f>
        <v>0</v>
      </c>
      <c r="I54" s="67">
        <f>COUNTIFS($A$2:$A$67,$F$51,$C$2:$C$67,$F54,$D$2:$D$67,I$51)+MIN(C73,D73)</f>
        <v>0</v>
      </c>
      <c r="J54" s="19">
        <f>SUM(G54:I54)</f>
        <v>0</v>
      </c>
      <c r="K54" s="19"/>
      <c r="L54" s="62" t="s">
        <v>156</v>
      </c>
      <c r="M54" s="65" t="e">
        <f>(M52-M53)/(1-M53)</f>
        <v>#DIV/0!</v>
      </c>
      <c r="N54" s="67" t="s">
        <v>169</v>
      </c>
    </row>
    <row r="55" spans="1:14" ht="15.75" customHeight="1" x14ac:dyDescent="0.15">
      <c r="A55" s="5" t="str">
        <f>'SSC7'!A55</f>
        <v>History State</v>
      </c>
      <c r="B55" s="5" t="str">
        <f>'SSC7'!B55</f>
        <v>H (Active)</v>
      </c>
      <c r="C55" s="5">
        <f>'GPT-5 Generation'!C55</f>
        <v>1</v>
      </c>
      <c r="D55" s="5">
        <f>'Claude Sonnet 4.5 Gen'!C55</f>
        <v>0.5</v>
      </c>
      <c r="E55" s="51"/>
      <c r="F55" s="68" t="s">
        <v>170</v>
      </c>
      <c r="G55" s="19">
        <f>SUM(G52:G54)</f>
        <v>1</v>
      </c>
      <c r="H55" s="19">
        <f>SUM(H52:H54)</f>
        <v>0</v>
      </c>
      <c r="I55" s="19">
        <f>SUM(I52:I54)</f>
        <v>0</v>
      </c>
      <c r="J55" s="19"/>
      <c r="L55" s="19"/>
      <c r="M55" s="69"/>
    </row>
    <row r="56" spans="1:14" ht="15.75" customHeight="1" x14ac:dyDescent="0.15">
      <c r="A56" s="5" t="str">
        <f>'SSC7'!A56</f>
        <v>State</v>
      </c>
      <c r="B56" s="5" t="str">
        <f>'SSC7'!B56</f>
        <v>TimeoutCountdown</v>
      </c>
      <c r="C56" s="5">
        <f>'GPT-5 Generation'!C56</f>
        <v>1</v>
      </c>
      <c r="D56" s="5">
        <f>'Claude Sonnet 4.5 Gen'!C56</f>
        <v>1</v>
      </c>
      <c r="E56" s="51"/>
    </row>
    <row r="57" spans="1:14" ht="15.75" customHeight="1" x14ac:dyDescent="0.15">
      <c r="A57" s="5" t="str">
        <f>'SSC7'!A57</f>
        <v>Action</v>
      </c>
      <c r="B57" s="5" t="str">
        <f>'SSC7'!B57</f>
        <v>do / countFrom60()</v>
      </c>
      <c r="C57" s="5">
        <f>'GPT-5 Generation'!C57</f>
        <v>1</v>
      </c>
      <c r="D57" s="5">
        <f>'Claude Sonnet 4.5 Gen'!C57</f>
        <v>1</v>
      </c>
      <c r="E57" s="51"/>
    </row>
    <row r="58" spans="1:14" ht="15.75" customHeight="1" x14ac:dyDescent="0.15">
      <c r="A58" s="5" t="str">
        <f>'SSC7'!A58</f>
        <v>Transition</v>
      </c>
      <c r="B58" s="5" t="str">
        <f>'SSC7'!B58</f>
        <v>(TimeoutCountdown ⇒ Active)</v>
      </c>
      <c r="C58" s="5">
        <f>'GPT-5 Generation'!C58</f>
        <v>1</v>
      </c>
      <c r="D58" s="5">
        <f>'Claude Sonnet 4.5 Gen'!C58</f>
        <v>0.5</v>
      </c>
      <c r="E58" s="51"/>
    </row>
    <row r="59" spans="1:14" ht="15.75" customHeight="1" x14ac:dyDescent="0.15">
      <c r="A59" s="5" t="str">
        <f>'SSC7'!A59</f>
        <v>Action</v>
      </c>
      <c r="B59" s="5" t="str">
        <f>'SSC7'!B59</f>
        <v>clearEverything()</v>
      </c>
      <c r="C59" s="5">
        <f>'GPT-5 Generation'!C59</f>
        <v>1</v>
      </c>
      <c r="D59" s="5">
        <f>'Claude Sonnet 4.5 Gen'!C59</f>
        <v>1</v>
      </c>
      <c r="E59" s="51"/>
    </row>
    <row r="60" spans="1:14" ht="15.75" customHeight="1" x14ac:dyDescent="0.15">
      <c r="A60" s="5" t="str">
        <f>'SSC7'!A60</f>
        <v>Action</v>
      </c>
      <c r="B60" s="5" t="str">
        <f>'SSC7'!B60</f>
        <v>readyForNextCustomer()</v>
      </c>
      <c r="C60" s="5">
        <f>'GPT-5 Generation'!C60</f>
        <v>1</v>
      </c>
      <c r="D60" s="5">
        <f>'Claude Sonnet 4.5 Gen'!C60</f>
        <v>0</v>
      </c>
      <c r="E60" s="51"/>
    </row>
    <row r="61" spans="1:14" ht="15.75" customHeight="1" x14ac:dyDescent="0.15">
      <c r="A61" s="5" t="str">
        <f>'SSC7'!A61</f>
        <v>State</v>
      </c>
      <c r="B61" s="5" t="str">
        <f>'SSC7'!B61</f>
        <v>PayRequested</v>
      </c>
      <c r="C61" s="5">
        <f>'GPT-5 Generation'!C61</f>
        <v>1</v>
      </c>
      <c r="D61" s="5">
        <f>'Claude Sonnet 4.5 Gen'!C61</f>
        <v>1</v>
      </c>
      <c r="E61" s="51"/>
    </row>
    <row r="62" spans="1:14" ht="15.75" customHeight="1" x14ac:dyDescent="0.15">
      <c r="A62" s="5" t="str">
        <f>'SSC7'!A62</f>
        <v>Transition</v>
      </c>
      <c r="B62" s="5" t="str">
        <f>'SSC7'!B62</f>
        <v>fail (PayRequested ⇒ Ready)</v>
      </c>
      <c r="C62" s="5">
        <f>'GPT-5 Generation'!C62</f>
        <v>1</v>
      </c>
      <c r="D62" s="5">
        <f>'Claude Sonnet 4.5 Gen'!C62</f>
        <v>1</v>
      </c>
      <c r="E62" s="51"/>
    </row>
    <row r="63" spans="1:14" ht="15.75" customHeight="1" x14ac:dyDescent="0.15">
      <c r="A63" s="5" t="str">
        <f>'SSC7'!A63</f>
        <v>Action</v>
      </c>
      <c r="B63" s="5" t="str">
        <f>'SSC7'!B63</f>
        <v>error()</v>
      </c>
      <c r="C63" s="5">
        <f>'GPT-5 Generation'!C63</f>
        <v>1</v>
      </c>
      <c r="D63" s="5">
        <f>'Claude Sonnet 4.5 Gen'!C63</f>
        <v>1</v>
      </c>
      <c r="E63" s="51"/>
    </row>
    <row r="64" spans="1:14" ht="15.75" customHeight="1" x14ac:dyDescent="0.15">
      <c r="A64" s="5" t="str">
        <f>'SSC7'!A64</f>
        <v>Transition</v>
      </c>
      <c r="B64" s="5" t="str">
        <f>'SSC7'!B64</f>
        <v>cancel (PayRequested ⇒ Ready)</v>
      </c>
      <c r="C64" s="5">
        <f>'GPT-5 Generation'!C64</f>
        <v>1</v>
      </c>
      <c r="D64" s="5">
        <f>'Claude Sonnet 4.5 Gen'!C64</f>
        <v>1</v>
      </c>
      <c r="E64" s="51"/>
    </row>
    <row r="65" spans="1:5" ht="15.75" customHeight="1" x14ac:dyDescent="0.15">
      <c r="A65" s="5" t="str">
        <f>'SSC7'!A65</f>
        <v>Transition</v>
      </c>
      <c r="B65" s="5" t="str">
        <f>'SSC7'!B65</f>
        <v>success (PayRequested ⇒ Ready)</v>
      </c>
      <c r="C65" s="5">
        <f>'GPT-5 Generation'!C65</f>
        <v>1</v>
      </c>
      <c r="D65" s="5">
        <f>'Claude Sonnet 4.5 Gen'!C65</f>
        <v>1</v>
      </c>
      <c r="E65" s="51"/>
    </row>
    <row r="66" spans="1:5" ht="15.75" customHeight="1" x14ac:dyDescent="0.15">
      <c r="A66" s="5" t="str">
        <f>'SSC7'!A66</f>
        <v>Action</v>
      </c>
      <c r="B66" s="5" t="str">
        <f>'SSC7'!B66</f>
        <v>printBill()</v>
      </c>
      <c r="C66" s="5">
        <f>'GPT-5 Generation'!C66</f>
        <v>1</v>
      </c>
      <c r="D66" s="5">
        <f>'Claude Sonnet 4.5 Gen'!C66</f>
        <v>1</v>
      </c>
      <c r="E66" s="51"/>
    </row>
    <row r="67" spans="1:5" ht="15.75" customHeight="1" x14ac:dyDescent="0.15">
      <c r="A67" s="5" t="str">
        <f>'SSC7'!A67</f>
        <v>Action</v>
      </c>
      <c r="B67" s="5" t="str">
        <f>'SSC7'!B67</f>
        <v>readyForNextCustomer()</v>
      </c>
      <c r="C67" s="5">
        <f>'GPT-5 Generation'!C67</f>
        <v>1</v>
      </c>
      <c r="D67" s="5">
        <f>'Claude Sonnet 4.5 Gen'!C67</f>
        <v>0</v>
      </c>
      <c r="E67" s="51"/>
    </row>
    <row r="68" spans="1:5" ht="15.75" customHeight="1" x14ac:dyDescent="0.15">
      <c r="A68" s="72" t="str">
        <f>'SSC7'!A68</f>
        <v>State</v>
      </c>
      <c r="B68" s="72" t="str">
        <f>'SSC7'!B68</f>
        <v>additional elements</v>
      </c>
      <c r="C68" s="72">
        <f>'GPT-5 Generation'!C68</f>
        <v>0</v>
      </c>
      <c r="D68" s="72">
        <f>'Claude Sonnet 4.5 Gen'!C68</f>
        <v>2</v>
      </c>
      <c r="E68" s="51"/>
    </row>
    <row r="69" spans="1:5" ht="15.75" customHeight="1" x14ac:dyDescent="0.15">
      <c r="A69" s="5" t="str">
        <f>'SSC7'!A69</f>
        <v>Transition</v>
      </c>
      <c r="B69" s="5" t="str">
        <f>'SSC7'!B69</f>
        <v>additional elements</v>
      </c>
      <c r="C69" s="5">
        <f>'GPT-5 Generation'!C69</f>
        <v>0</v>
      </c>
      <c r="D69" s="5">
        <f>'Claude Sonnet 4.5 Gen'!C69</f>
        <v>1</v>
      </c>
      <c r="E69" s="51"/>
    </row>
    <row r="70" spans="1:5" ht="15.75" customHeight="1" x14ac:dyDescent="0.15">
      <c r="A70" s="5" t="str">
        <f>'SSC7'!A70</f>
        <v>Guard</v>
      </c>
      <c r="B70" s="5" t="str">
        <f>'SSC7'!B70</f>
        <v>additional elements</v>
      </c>
      <c r="C70" s="5">
        <f>'GPT-5 Generation'!C70</f>
        <v>0</v>
      </c>
      <c r="D70" s="5">
        <f>'Claude Sonnet 4.5 Gen'!C70</f>
        <v>0</v>
      </c>
      <c r="E70" s="51"/>
    </row>
    <row r="71" spans="1:5" ht="15.75" customHeight="1" x14ac:dyDescent="0.15">
      <c r="A71" s="5" t="str">
        <f>'SSC7'!A71</f>
        <v>Action</v>
      </c>
      <c r="B71" s="5" t="str">
        <f>'SSC7'!B71</f>
        <v>additional elements</v>
      </c>
      <c r="C71" s="5">
        <f>'GPT-5 Generation'!C71</f>
        <v>0</v>
      </c>
      <c r="D71" s="5">
        <f>'Claude Sonnet 4.5 Gen'!C71</f>
        <v>1</v>
      </c>
      <c r="E71" s="51"/>
    </row>
    <row r="72" spans="1:5" ht="15.75" customHeight="1" x14ac:dyDescent="0.15">
      <c r="A72" s="5" t="str">
        <f>'SSC7'!A72</f>
        <v>Composite State</v>
      </c>
      <c r="B72" s="5" t="str">
        <f>'SSC7'!B72</f>
        <v>additional elements</v>
      </c>
      <c r="C72" s="5">
        <f>'GPT-5 Generation'!C72</f>
        <v>0</v>
      </c>
      <c r="D72" s="5">
        <f>'Claude Sonnet 4.5 Gen'!C72</f>
        <v>0</v>
      </c>
      <c r="E72" s="51"/>
    </row>
    <row r="73" spans="1:5" ht="15.75" customHeight="1" x14ac:dyDescent="0.15">
      <c r="A73" s="5" t="str">
        <f>'SSC7'!A73</f>
        <v>Region</v>
      </c>
      <c r="B73" s="5" t="str">
        <f>'SSC7'!B73</f>
        <v>additional elements</v>
      </c>
      <c r="C73" s="5">
        <f>'GPT-5 Generation'!C73</f>
        <v>0</v>
      </c>
      <c r="D73" s="5">
        <f>'Claude Sonnet 4.5 Gen'!C73</f>
        <v>0</v>
      </c>
      <c r="E73" s="51"/>
    </row>
    <row r="74" spans="1:5" ht="15.75" customHeight="1" x14ac:dyDescent="0.15">
      <c r="A74" s="5" t="str">
        <f>'SSC7'!A74</f>
        <v>History State</v>
      </c>
      <c r="B74" s="5" t="str">
        <f>'SSC7'!B74</f>
        <v>additional elements</v>
      </c>
      <c r="C74" s="5">
        <f>'GPT-5 Generation'!C74</f>
        <v>0</v>
      </c>
      <c r="D74" s="5">
        <f>'Claude Sonnet 4.5 Gen'!C74</f>
        <v>0</v>
      </c>
      <c r="E74" s="51"/>
    </row>
    <row r="75" spans="1:5" ht="15.75" customHeight="1" x14ac:dyDescent="0.15">
      <c r="A75" s="52"/>
      <c r="B75" s="73"/>
      <c r="C75" s="51"/>
      <c r="D75" s="51"/>
      <c r="E75" s="51"/>
    </row>
    <row r="76" spans="1:5" ht="15.75" customHeight="1" x14ac:dyDescent="0.15">
      <c r="A76" s="52"/>
      <c r="B76" s="73"/>
      <c r="C76" s="51"/>
      <c r="D76" s="51"/>
      <c r="E76" s="51"/>
    </row>
    <row r="77" spans="1:5" ht="15.75" customHeight="1" x14ac:dyDescent="0.15">
      <c r="B77" s="73"/>
      <c r="D77" s="51"/>
      <c r="E77" s="51"/>
    </row>
    <row r="78" spans="1:5" ht="15.75" customHeight="1" x14ac:dyDescent="0.15">
      <c r="B78" s="73"/>
      <c r="D78" s="51"/>
    </row>
    <row r="79" spans="1:5" ht="15.75" customHeight="1" x14ac:dyDescent="0.15">
      <c r="D79" s="51"/>
    </row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6"/>
  <sheetViews>
    <sheetView topLeftCell="K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4" t="s">
        <v>0</v>
      </c>
      <c r="B1" s="75" t="s">
        <v>1</v>
      </c>
      <c r="C1" s="50" t="s">
        <v>151</v>
      </c>
      <c r="D1" s="50" t="s">
        <v>150</v>
      </c>
      <c r="E1" s="21"/>
      <c r="F1" s="96" t="s">
        <v>155</v>
      </c>
      <c r="G1" s="97"/>
      <c r="H1" s="97"/>
      <c r="I1" s="97"/>
      <c r="J1" s="21"/>
      <c r="K1" s="21"/>
      <c r="L1" s="96" t="s">
        <v>185</v>
      </c>
      <c r="M1" s="97"/>
      <c r="N1" s="97"/>
      <c r="O1" s="97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15">
      <c r="A2" s="5" t="str">
        <f>'SSC7'!A2</f>
        <v>State</v>
      </c>
      <c r="B2" s="5" t="str">
        <f>'SSC7'!B2</f>
        <v>Initial state (→ Active)</v>
      </c>
      <c r="C2" s="5">
        <f>'GPT-5 Generation'!C2</f>
        <v>1</v>
      </c>
      <c r="D2" s="5">
        <f>'Claude Sonnet 4.5 Gen'!C2</f>
        <v>1</v>
      </c>
      <c r="E2" s="21"/>
      <c r="F2" s="76" t="s">
        <v>157</v>
      </c>
      <c r="G2" s="77" t="s">
        <v>158</v>
      </c>
      <c r="H2" s="78" t="s">
        <v>159</v>
      </c>
      <c r="I2" s="79" t="s">
        <v>160</v>
      </c>
      <c r="J2" s="80" t="s">
        <v>161</v>
      </c>
      <c r="K2" s="21"/>
      <c r="L2" s="76" t="s">
        <v>157</v>
      </c>
      <c r="M2" s="81" t="s">
        <v>158</v>
      </c>
      <c r="N2" s="81" t="s">
        <v>159</v>
      </c>
      <c r="O2" s="81" t="s">
        <v>160</v>
      </c>
      <c r="P2" s="21"/>
      <c r="Q2" s="76" t="s">
        <v>157</v>
      </c>
      <c r="R2" s="81" t="s">
        <v>158</v>
      </c>
      <c r="S2" s="81" t="s">
        <v>159</v>
      </c>
      <c r="T2" s="81" t="s">
        <v>160</v>
      </c>
      <c r="U2" s="21"/>
      <c r="V2" s="57" t="str">
        <f>"Metrics" &amp; " " &amp; F2</f>
        <v>Metrics Global</v>
      </c>
      <c r="W2" s="82" t="s">
        <v>163</v>
      </c>
      <c r="X2" s="82" t="s">
        <v>164</v>
      </c>
    </row>
    <row r="3" spans="1:24" ht="15.75" customHeight="1" x14ac:dyDescent="0.15">
      <c r="A3" s="5" t="str">
        <f>'SSC7'!A3</f>
        <v>Composite State</v>
      </c>
      <c r="B3" s="5" t="str">
        <f>'SSC7'!B3</f>
        <v>Active</v>
      </c>
      <c r="C3" s="5">
        <f>'GPT-5 Generation'!C3</f>
        <v>1</v>
      </c>
      <c r="D3" s="5">
        <f>'Claude Sonnet 4.5 Gen'!C3</f>
        <v>1</v>
      </c>
      <c r="E3" s="21"/>
      <c r="F3" s="83">
        <v>0</v>
      </c>
      <c r="G3" s="84">
        <f>COUNTIFS($C$2:$C$74, $F3, $D$2:$D$74, G$2)</f>
        <v>4</v>
      </c>
      <c r="H3" s="85">
        <f>COUNTIFS($C$2:$C$67, $F3, $D$2:$D$67, H$2)</f>
        <v>0</v>
      </c>
      <c r="I3" s="86">
        <f>COUNTIFS($C$2:$C$67, $F3, $D$2:$D$67, I$2)+MAX(D68-C68,0)+MAX(D69-C69,0)+MAX(D70-C70,0)+MAX(D71-C71,0)+MAX(D72-C72,0)+MAX(D73-C73,0)+MAX(D74-C74,0)</f>
        <v>4</v>
      </c>
      <c r="J3" s="76">
        <f>SUM(G3:I3)</f>
        <v>8</v>
      </c>
      <c r="K3" s="21"/>
      <c r="L3" s="83">
        <v>0</v>
      </c>
      <c r="M3" s="84">
        <f>ABS(G$2-$F3)/1</f>
        <v>0</v>
      </c>
      <c r="N3" s="85">
        <f>ABS(H$2-$F3)/1</f>
        <v>0.5</v>
      </c>
      <c r="O3" s="86">
        <f>ABS(I$2-$F3)/1</f>
        <v>1</v>
      </c>
      <c r="P3" s="21"/>
      <c r="Q3" s="83">
        <v>0</v>
      </c>
      <c r="R3" s="84">
        <f t="shared" ref="R3:T5" si="0">($J3/$J$6) * (G$6/$J$6)</f>
        <v>1.460920379839299E-2</v>
      </c>
      <c r="S3" s="85">
        <f t="shared" si="0"/>
        <v>4.382761139517897E-3</v>
      </c>
      <c r="T3" s="86">
        <f t="shared" si="0"/>
        <v>8.9116143170197226E-2</v>
      </c>
      <c r="U3" s="21"/>
      <c r="V3" s="82" t="s">
        <v>186</v>
      </c>
      <c r="W3" s="84">
        <f>SUMPRODUCT(G3:I5, M3:O5) /$J$6</f>
        <v>0.1554054054054054</v>
      </c>
      <c r="X3" s="86" t="s">
        <v>187</v>
      </c>
    </row>
    <row r="4" spans="1:24" ht="15.75" customHeight="1" x14ac:dyDescent="0.15">
      <c r="A4" s="5" t="str">
        <f>'SSC7'!A4</f>
        <v>State</v>
      </c>
      <c r="B4" s="5" t="str">
        <f>'SSC7'!B4</f>
        <v>Initial state (Active → Ready)</v>
      </c>
      <c r="C4" s="5">
        <f>'GPT-5 Generation'!C4</f>
        <v>1</v>
      </c>
      <c r="D4" s="5">
        <f>'Claude Sonnet 4.5 Gen'!C4</f>
        <v>1</v>
      </c>
      <c r="E4" s="21"/>
      <c r="F4" s="83">
        <v>0.5</v>
      </c>
      <c r="G4" s="87">
        <f>COUNTIFS($C$2:$C$67, $F4, $D$2:$D$67, G$2)</f>
        <v>0</v>
      </c>
      <c r="H4" s="76">
        <f>COUNTIFS($C$2:$C$67, $F4, $D$2:$D$67, H$2)</f>
        <v>0</v>
      </c>
      <c r="I4" s="88">
        <f>COUNTIFS($C$2:$C$67, $F4, $D$2:$D$67, I$2)</f>
        <v>0</v>
      </c>
      <c r="J4" s="76">
        <f>SUM(G4:I4)</f>
        <v>0</v>
      </c>
      <c r="K4" s="21"/>
      <c r="L4" s="83">
        <v>0.5</v>
      </c>
      <c r="M4" s="87">
        <f>ABS(G$2-$F4)/1</f>
        <v>0.5</v>
      </c>
      <c r="N4" s="76">
        <f>ABS(H$2-$F4)/3</f>
        <v>0</v>
      </c>
      <c r="O4" s="88">
        <f>ABS(I$2-$F4)/1</f>
        <v>0.5</v>
      </c>
      <c r="P4" s="21"/>
      <c r="Q4" s="83">
        <v>0.5</v>
      </c>
      <c r="R4" s="87">
        <f t="shared" si="0"/>
        <v>0</v>
      </c>
      <c r="S4" s="76">
        <f t="shared" si="0"/>
        <v>0</v>
      </c>
      <c r="T4" s="88">
        <f t="shared" si="0"/>
        <v>0</v>
      </c>
      <c r="U4" s="21"/>
      <c r="V4" s="82" t="s">
        <v>188</v>
      </c>
      <c r="W4" s="87">
        <f>SUMPRODUCT(R3:T5, M3:O5)</f>
        <v>0.22991234477720965</v>
      </c>
      <c r="X4" s="88" t="s">
        <v>189</v>
      </c>
    </row>
    <row r="5" spans="1:24" ht="15.75" customHeight="1" x14ac:dyDescent="0.15">
      <c r="A5" s="5" t="str">
        <f>'SSC7'!A5</f>
        <v>State</v>
      </c>
      <c r="B5" s="5" t="str">
        <f>'SSC7'!B5</f>
        <v>Ready</v>
      </c>
      <c r="C5" s="5">
        <f>'GPT-5 Generation'!C5</f>
        <v>1</v>
      </c>
      <c r="D5" s="5">
        <f>'Claude Sonnet 4.5 Gen'!C5</f>
        <v>1</v>
      </c>
      <c r="E5" s="21"/>
      <c r="F5" s="83">
        <v>1</v>
      </c>
      <c r="G5" s="89">
        <f>COUNTIFS($C$2:$C$67, $F5, $D$2:$D$67, G$2)+MAX(C68-D68,0)+MAX(C69-D69,0)+MAX(C70-D70,0)+MAX(C71-D71,0)+MAX(C72-D72,0)+MAX(C73-D73,0)+MAX(C74-D74,0)</f>
        <v>6</v>
      </c>
      <c r="H5" s="90">
        <f>COUNTIFS($C$2:$C$67, $F5, $D$2:$D$67, H$2)</f>
        <v>3</v>
      </c>
      <c r="I5" s="91">
        <f>COUNTIFS($C$2:$C$67, $F5, $D$2:$D$67, I$2)+ SUM(MIN(C68,D68), MIN(C69,D69), MIN(C70,D70), MIN(C71,D71), MIN(C72,D72), MIN(C73,D73), MIN(C74,D74))</f>
        <v>57</v>
      </c>
      <c r="J5" s="76">
        <f>SUM(G5:I5)</f>
        <v>66</v>
      </c>
      <c r="K5" s="21"/>
      <c r="L5" s="83">
        <v>1</v>
      </c>
      <c r="M5" s="89">
        <f>ABS(G$2-$F5)/1</f>
        <v>1</v>
      </c>
      <c r="N5" s="90">
        <f>ABS(H$2-$F5)/1</f>
        <v>0.5</v>
      </c>
      <c r="O5" s="91">
        <f>ABS(I$2-$F5)/1</f>
        <v>0</v>
      </c>
      <c r="P5" s="21"/>
      <c r="Q5" s="83">
        <v>1</v>
      </c>
      <c r="R5" s="89">
        <f t="shared" si="0"/>
        <v>0.12052593133674215</v>
      </c>
      <c r="S5" s="90">
        <f t="shared" si="0"/>
        <v>3.6157779401022647E-2</v>
      </c>
      <c r="T5" s="91">
        <f t="shared" si="0"/>
        <v>0.73520818115412712</v>
      </c>
      <c r="U5" s="21"/>
      <c r="V5" s="82" t="s">
        <v>156</v>
      </c>
      <c r="W5" s="89">
        <f>1-W3/W4</f>
        <v>0.32406671961874511</v>
      </c>
      <c r="X5" s="91" t="s">
        <v>190</v>
      </c>
    </row>
    <row r="6" spans="1:24" ht="15.75" customHeight="1" x14ac:dyDescent="0.15">
      <c r="A6" s="5" t="str">
        <f>'SSC7'!A6</f>
        <v>Transition</v>
      </c>
      <c r="B6" s="5" t="str">
        <f>'SSC7'!B6</f>
        <v>scannedNr (Ready ⇒ Ready)</v>
      </c>
      <c r="C6" s="5">
        <f>'GPT-5 Generation'!C6</f>
        <v>1</v>
      </c>
      <c r="D6" s="5">
        <f>'Claude Sonnet 4.5 Gen'!C6</f>
        <v>1</v>
      </c>
      <c r="E6" s="21"/>
      <c r="F6" s="92" t="s">
        <v>170</v>
      </c>
      <c r="G6" s="76">
        <f>SUM(G3:G5)</f>
        <v>10</v>
      </c>
      <c r="H6" s="76">
        <f>SUM(H3:H5)</f>
        <v>3</v>
      </c>
      <c r="I6" s="76">
        <f>SUM(I3:I5)</f>
        <v>61</v>
      </c>
      <c r="J6" s="76">
        <f>SUM(G3:I5)</f>
        <v>74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15">
      <c r="A7" s="5" t="str">
        <f>'SSC7'!A7</f>
        <v>Guard</v>
      </c>
      <c r="B7" s="5" t="str">
        <f>'SSC7'!B7</f>
        <v>[!existsNr()]</v>
      </c>
      <c r="C7" s="5">
        <f>'GPT-5 Generation'!C7</f>
        <v>1</v>
      </c>
      <c r="D7" s="5">
        <f>'Claude Sonnet 4.5 Gen'!C7</f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 x14ac:dyDescent="0.15">
      <c r="A8" s="5" t="str">
        <f>'SSC7'!A8</f>
        <v>Action</v>
      </c>
      <c r="B8" s="5" t="str">
        <f>'SSC7'!B8</f>
        <v>error()</v>
      </c>
      <c r="C8" s="5">
        <f>'GPT-5 Generation'!C8</f>
        <v>1</v>
      </c>
      <c r="D8" s="5">
        <f>'Claude Sonnet 4.5 Gen'!C8</f>
        <v>1</v>
      </c>
      <c r="E8" s="21"/>
      <c r="F8" s="96" t="s">
        <v>171</v>
      </c>
      <c r="G8" s="97"/>
      <c r="H8" s="97"/>
      <c r="I8" s="97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 x14ac:dyDescent="0.15">
      <c r="A9" s="5" t="str">
        <f>'SSC7'!A9</f>
        <v>Transition</v>
      </c>
      <c r="B9" s="5" t="str">
        <f>'SSC7'!B9</f>
        <v>productCodeEntered (Ready ⇒ Ready)</v>
      </c>
      <c r="C9" s="5">
        <f>'GPT-5 Generation'!C9</f>
        <v>1</v>
      </c>
      <c r="D9" s="5">
        <f>'Claude Sonnet 4.5 Gen'!C9</f>
        <v>1</v>
      </c>
      <c r="E9" s="21"/>
      <c r="F9" s="76" t="s">
        <v>2</v>
      </c>
      <c r="G9" s="81" t="s">
        <v>158</v>
      </c>
      <c r="H9" s="81" t="s">
        <v>159</v>
      </c>
      <c r="I9" s="81" t="s">
        <v>160</v>
      </c>
      <c r="J9" s="80" t="s">
        <v>161</v>
      </c>
      <c r="K9" s="21"/>
      <c r="L9" s="76" t="s">
        <v>157</v>
      </c>
      <c r="M9" s="81" t="s">
        <v>158</v>
      </c>
      <c r="N9" s="81" t="s">
        <v>159</v>
      </c>
      <c r="O9" s="81" t="s">
        <v>160</v>
      </c>
      <c r="P9" s="21"/>
      <c r="Q9" s="76" t="s">
        <v>157</v>
      </c>
      <c r="R9" s="81" t="s">
        <v>158</v>
      </c>
      <c r="S9" s="81" t="s">
        <v>159</v>
      </c>
      <c r="T9" s="81" t="s">
        <v>160</v>
      </c>
      <c r="U9" s="21"/>
      <c r="V9" s="57" t="str">
        <f>"Metrics" &amp; " " &amp; F9</f>
        <v>Metrics State</v>
      </c>
      <c r="W9" s="82" t="s">
        <v>163</v>
      </c>
      <c r="X9" s="82" t="s">
        <v>164</v>
      </c>
    </row>
    <row r="10" spans="1:24" ht="15.75" customHeight="1" x14ac:dyDescent="0.15">
      <c r="A10" s="5" t="str">
        <f>'SSC7'!A10</f>
        <v>Guard</v>
      </c>
      <c r="B10" s="5" t="str">
        <f>'SSC7'!B10</f>
        <v>[!existsCode()]</v>
      </c>
      <c r="C10" s="5">
        <f>'GPT-5 Generation'!C10</f>
        <v>1</v>
      </c>
      <c r="D10" s="5">
        <f>'Claude Sonnet 4.5 Gen'!C10</f>
        <v>1</v>
      </c>
      <c r="E10" s="21"/>
      <c r="F10" s="83">
        <v>0</v>
      </c>
      <c r="G10" s="84">
        <f>COUNTIFS($A$2:$A$74,$F$9,$C$2:$C$74,$F10,$D$2:$D$74,G$9)</f>
        <v>0</v>
      </c>
      <c r="H10" s="85">
        <f>COUNTIFS($A$2:$A$74,$F$9,$C$2:$C$74,$F10,$D$2:$D$74,H$9)</f>
        <v>0</v>
      </c>
      <c r="I10" s="86">
        <f>COUNTIFS($A$2:$A$67,$F$9,$C$2:$C$67,$F10,$D$2:$D$67,I$9)+MAX(D68-C68,0)</f>
        <v>2</v>
      </c>
      <c r="J10" s="76">
        <f>SUM(G10:I10)</f>
        <v>2</v>
      </c>
      <c r="K10" s="21"/>
      <c r="L10" s="83">
        <v>0</v>
      </c>
      <c r="M10" s="84">
        <f>ABS(G$2-$F10)/1</f>
        <v>0</v>
      </c>
      <c r="N10" s="85">
        <f>ABS(H$2-$F10)/1</f>
        <v>0.5</v>
      </c>
      <c r="O10" s="86">
        <f>ABS(I$2-$F10)/1</f>
        <v>1</v>
      </c>
      <c r="P10" s="21"/>
      <c r="Q10" s="83">
        <v>0</v>
      </c>
      <c r="R10" s="84">
        <f t="shared" ref="R10:T12" si="1">($J10/$J$13) * (G$13/$J$13)</f>
        <v>0</v>
      </c>
      <c r="S10" s="85">
        <f t="shared" si="1"/>
        <v>0</v>
      </c>
      <c r="T10" s="86">
        <f t="shared" si="1"/>
        <v>0.22222222222222221</v>
      </c>
      <c r="U10" s="21"/>
      <c r="V10" s="82" t="s">
        <v>186</v>
      </c>
      <c r="W10" s="84">
        <f>SUMPRODUCT(G10:I12, M10:O12) /$J$13</f>
        <v>0.22222222222222221</v>
      </c>
      <c r="X10" s="86" t="s">
        <v>187</v>
      </c>
    </row>
    <row r="11" spans="1:24" ht="15.75" customHeight="1" x14ac:dyDescent="0.15">
      <c r="A11" s="5" t="str">
        <f>'SSC7'!A11</f>
        <v>Action</v>
      </c>
      <c r="B11" s="5" t="str">
        <f>'SSC7'!B11</f>
        <v>error()</v>
      </c>
      <c r="C11" s="5">
        <f>'GPT-5 Generation'!C11</f>
        <v>1</v>
      </c>
      <c r="D11" s="5">
        <f>'Claude Sonnet 4.5 Gen'!C11</f>
        <v>1</v>
      </c>
      <c r="E11" s="21"/>
      <c r="F11" s="83">
        <v>0.5</v>
      </c>
      <c r="G11" s="87">
        <f>COUNTIFS($A$2:$A$74,$F$9,$C$2:$C$74,$F11,$D$2:$D$74,G$9)</f>
        <v>0</v>
      </c>
      <c r="H11" s="76">
        <f>COUNTIFS($A$2:$A$74,$F$9,$C$2:$C$74,$F11,$D$2:$D$74,H$9)</f>
        <v>0</v>
      </c>
      <c r="I11" s="88">
        <f>COUNTIFS($A$2:$A$74,$F$9,$C$2:$C$74,$F11,$D$2:$D$74,I$9)</f>
        <v>0</v>
      </c>
      <c r="J11" s="76">
        <f>SUM(G11:I11)</f>
        <v>0</v>
      </c>
      <c r="K11" s="21"/>
      <c r="L11" s="83">
        <v>0.5</v>
      </c>
      <c r="M11" s="87">
        <f>ABS(G$2-$F11)/1</f>
        <v>0.5</v>
      </c>
      <c r="N11" s="76">
        <f>ABS(H$2-$F11)/3</f>
        <v>0</v>
      </c>
      <c r="O11" s="88">
        <f>ABS(I$2-$F11)/1</f>
        <v>0.5</v>
      </c>
      <c r="P11" s="21"/>
      <c r="Q11" s="83">
        <v>0.5</v>
      </c>
      <c r="R11" s="87">
        <f t="shared" si="1"/>
        <v>0</v>
      </c>
      <c r="S11" s="76">
        <f t="shared" si="1"/>
        <v>0</v>
      </c>
      <c r="T11" s="88">
        <f t="shared" si="1"/>
        <v>0</v>
      </c>
      <c r="U11" s="21"/>
      <c r="V11" s="82" t="s">
        <v>188</v>
      </c>
      <c r="W11" s="87">
        <f>SUMPRODUCT(R10:T12, M10:O12)</f>
        <v>0.22222222222222221</v>
      </c>
      <c r="X11" s="88" t="s">
        <v>189</v>
      </c>
    </row>
    <row r="12" spans="1:24" ht="15.75" customHeight="1" x14ac:dyDescent="0.15">
      <c r="A12" s="5" t="str">
        <f>'SSC7'!A12</f>
        <v>Transition</v>
      </c>
      <c r="B12" s="5" t="str">
        <f>'SSC7'!B12</f>
        <v>productCodeEntered (Ready ⇒ WeighItem)</v>
      </c>
      <c r="C12" s="5">
        <f>'GPT-5 Generation'!C12</f>
        <v>1</v>
      </c>
      <c r="D12" s="5">
        <f>'Claude Sonnet 4.5 Gen'!C12</f>
        <v>1</v>
      </c>
      <c r="E12" s="21"/>
      <c r="F12" s="83">
        <v>1</v>
      </c>
      <c r="G12" s="89">
        <f>COUNTIFS($A$2:$A$67,$F$9,$C$2:$C$67,$F12,$D$2:$D$67,G$9)+MAX(C68-D68,0)</f>
        <v>0</v>
      </c>
      <c r="H12" s="90">
        <f>COUNTIFS($A$2:$A$74,$F$9,$C$2:$C$74,$F12,$D$2:$D$74,H$9)</f>
        <v>0</v>
      </c>
      <c r="I12" s="91">
        <f>COUNTIFS($A$2:$A$67,$F$9,$C$2:$C$67,$F12,$D$2:$D$67,I$9)+MIN(C68-D68)</f>
        <v>7</v>
      </c>
      <c r="J12" s="76">
        <f>SUM(G12:I12)</f>
        <v>7</v>
      </c>
      <c r="K12" s="21"/>
      <c r="L12" s="83">
        <v>1</v>
      </c>
      <c r="M12" s="89">
        <f>ABS(G$2-$F12)/1</f>
        <v>1</v>
      </c>
      <c r="N12" s="90">
        <f>ABS(H$2-$F12)/1</f>
        <v>0.5</v>
      </c>
      <c r="O12" s="91">
        <f>ABS(I$2-$F12)/1</f>
        <v>0</v>
      </c>
      <c r="P12" s="21"/>
      <c r="Q12" s="83">
        <v>1</v>
      </c>
      <c r="R12" s="89">
        <f t="shared" si="1"/>
        <v>0</v>
      </c>
      <c r="S12" s="90">
        <f t="shared" si="1"/>
        <v>0</v>
      </c>
      <c r="T12" s="91">
        <f t="shared" si="1"/>
        <v>0.77777777777777779</v>
      </c>
      <c r="U12" s="21"/>
      <c r="V12" s="82" t="s">
        <v>156</v>
      </c>
      <c r="W12" s="89">
        <f>1-W10/W11</f>
        <v>0</v>
      </c>
      <c r="X12" s="91" t="s">
        <v>190</v>
      </c>
    </row>
    <row r="13" spans="1:24" ht="15.75" customHeight="1" x14ac:dyDescent="0.15">
      <c r="A13" s="5" t="str">
        <f>'SSC7'!A13</f>
        <v>Guard</v>
      </c>
      <c r="B13" s="5" t="str">
        <f>'SSC7'!B13</f>
        <v>[existsCode()]</v>
      </c>
      <c r="C13" s="5">
        <f>'GPT-5 Generation'!C13</f>
        <v>1</v>
      </c>
      <c r="D13" s="5">
        <f>'Claude Sonnet 4.5 Gen'!C13</f>
        <v>1</v>
      </c>
      <c r="E13" s="21"/>
      <c r="F13" s="92" t="s">
        <v>170</v>
      </c>
      <c r="G13" s="76">
        <f>SUM(G10:G12)</f>
        <v>0</v>
      </c>
      <c r="H13" s="76">
        <f>SUM(H10:H12)</f>
        <v>0</v>
      </c>
      <c r="I13" s="76">
        <f>SUM(I10:I12)</f>
        <v>9</v>
      </c>
      <c r="J13" s="76">
        <f>SUM(G10:I12)</f>
        <v>9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 x14ac:dyDescent="0.15">
      <c r="A14" s="5" t="str">
        <f>'SSC7'!A14</f>
        <v>Transition</v>
      </c>
      <c r="B14" s="5" t="str">
        <f>'SSC7'!B14</f>
        <v>scannedNr (Ready ⇒ CheckWeight)</v>
      </c>
      <c r="C14" s="5">
        <f>'GPT-5 Generation'!C14</f>
        <v>1</v>
      </c>
      <c r="D14" s="5">
        <f>'Claude Sonnet 4.5 Gen'!C14</f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 x14ac:dyDescent="0.15">
      <c r="A15" s="5" t="str">
        <f>'SSC7'!A15</f>
        <v>Guard</v>
      </c>
      <c r="B15" s="5" t="str">
        <f>'SSC7'!B15</f>
        <v>[existsNr()]</v>
      </c>
      <c r="C15" s="5">
        <f>'GPT-5 Generation'!C15</f>
        <v>1</v>
      </c>
      <c r="D15" s="5">
        <f>'Claude Sonnet 4.5 Gen'!C15</f>
        <v>1</v>
      </c>
      <c r="E15" s="21"/>
      <c r="F15" s="96" t="s">
        <v>173</v>
      </c>
      <c r="G15" s="97"/>
      <c r="H15" s="97"/>
      <c r="I15" s="97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 x14ac:dyDescent="0.15">
      <c r="A16" s="5" t="str">
        <f>'SSC7'!A16</f>
        <v>Action</v>
      </c>
      <c r="B16" s="5" t="str">
        <f>'SSC7'!B16</f>
        <v>addItem()</v>
      </c>
      <c r="C16" s="5">
        <f>'GPT-5 Generation'!C16</f>
        <v>1</v>
      </c>
      <c r="D16" s="5">
        <f>'Claude Sonnet 4.5 Gen'!C16</f>
        <v>1</v>
      </c>
      <c r="E16" s="21"/>
      <c r="F16" s="76" t="s">
        <v>8</v>
      </c>
      <c r="G16" s="81" t="s">
        <v>158</v>
      </c>
      <c r="H16" s="81" t="s">
        <v>159</v>
      </c>
      <c r="I16" s="81" t="s">
        <v>160</v>
      </c>
      <c r="J16" s="80" t="s">
        <v>161</v>
      </c>
      <c r="K16" s="21"/>
      <c r="L16" s="76" t="s">
        <v>157</v>
      </c>
      <c r="M16" s="81" t="s">
        <v>158</v>
      </c>
      <c r="N16" s="81" t="s">
        <v>159</v>
      </c>
      <c r="O16" s="81" t="s">
        <v>160</v>
      </c>
      <c r="P16" s="21"/>
      <c r="Q16" s="76" t="s">
        <v>157</v>
      </c>
      <c r="R16" s="81" t="s">
        <v>158</v>
      </c>
      <c r="S16" s="81" t="s">
        <v>159</v>
      </c>
      <c r="T16" s="81" t="s">
        <v>160</v>
      </c>
      <c r="U16" s="21"/>
      <c r="V16" s="57" t="str">
        <f>"Metrics" &amp; " " &amp; F16</f>
        <v>Metrics Transition</v>
      </c>
      <c r="W16" s="82" t="s">
        <v>163</v>
      </c>
      <c r="X16" s="82" t="s">
        <v>164</v>
      </c>
    </row>
    <row r="17" spans="1:24" ht="15.75" customHeight="1" x14ac:dyDescent="0.15">
      <c r="A17" s="5" t="str">
        <f>'SSC7'!A17</f>
        <v>Transition</v>
      </c>
      <c r="B17" s="5" t="str">
        <f>'SSC7'!B17</f>
        <v>cancelCheckout (Ready ⇒ Override)</v>
      </c>
      <c r="C17" s="5">
        <f>'GPT-5 Generation'!C17</f>
        <v>1</v>
      </c>
      <c r="D17" s="5">
        <f>'Claude Sonnet 4.5 Gen'!C17</f>
        <v>1</v>
      </c>
      <c r="E17" s="21"/>
      <c r="F17" s="83">
        <v>0</v>
      </c>
      <c r="G17" s="84">
        <f>COUNTIFS($A$2:$A$74,$F$16,$C$2:$C$74,$F17,$D$2:$D$74,G$16)</f>
        <v>0</v>
      </c>
      <c r="H17" s="85">
        <f>COUNTIFS($A$2:$A$74,$F$16,$C$2:$C$74,$F17,$D$2:$D$74,H$16)</f>
        <v>0</v>
      </c>
      <c r="I17" s="86">
        <f>COUNTIFS($A$2:$A$67,$F$16,$C$2:$C$67,$F17,$D$2:$D$67,I$16) + MAX(D69-C69,0)</f>
        <v>1</v>
      </c>
      <c r="J17" s="76">
        <f>SUM(G17:I17)</f>
        <v>1</v>
      </c>
      <c r="K17" s="21"/>
      <c r="L17" s="83">
        <v>0</v>
      </c>
      <c r="M17" s="84">
        <f>ABS(G$2-$F17)/1</f>
        <v>0</v>
      </c>
      <c r="N17" s="85">
        <f>ABS(H$2-$F17)/1</f>
        <v>0.5</v>
      </c>
      <c r="O17" s="86">
        <f>ABS(I$2-$F17)/1</f>
        <v>1</v>
      </c>
      <c r="P17" s="21"/>
      <c r="Q17" s="83">
        <v>0</v>
      </c>
      <c r="R17" s="84">
        <f t="shared" ref="R17:T19" si="2">($J17/$J$20) * (G$20/$J$20)</f>
        <v>0</v>
      </c>
      <c r="S17" s="85">
        <f t="shared" si="2"/>
        <v>1.736111111111111E-3</v>
      </c>
      <c r="T17" s="86">
        <f t="shared" si="2"/>
        <v>3.9930555555555552E-2</v>
      </c>
      <c r="U17" s="21"/>
      <c r="V17" s="82" t="s">
        <v>186</v>
      </c>
      <c r="W17" s="84">
        <f>SUMPRODUCT(G17:I19, M17:O19) /$J$20</f>
        <v>6.25E-2</v>
      </c>
      <c r="X17" s="86" t="s">
        <v>187</v>
      </c>
    </row>
    <row r="18" spans="1:24" ht="15.75" customHeight="1" x14ac:dyDescent="0.15">
      <c r="A18" s="5" t="str">
        <f>'SSC7'!A18</f>
        <v>Action</v>
      </c>
      <c r="B18" s="5" t="str">
        <f>'SSC7'!B18</f>
        <v>setTypeEverything()</v>
      </c>
      <c r="C18" s="5">
        <f>'GPT-5 Generation'!C18</f>
        <v>1</v>
      </c>
      <c r="D18" s="5">
        <f>'Claude Sonnet 4.5 Gen'!C18</f>
        <v>0</v>
      </c>
      <c r="E18" s="21"/>
      <c r="F18" s="83">
        <v>0.5</v>
      </c>
      <c r="G18" s="87">
        <f>COUNTIFS($A$2:$A$74,$F$16,$C$2:$C$74,$F18,$D$2:$D$74,G$16)</f>
        <v>0</v>
      </c>
      <c r="H18" s="76">
        <f>COUNTIFS($A$2:$A$74,$F$16,$C$2:$C$74,$F18,$D$2:$D$74,H$16)</f>
        <v>0</v>
      </c>
      <c r="I18" s="88">
        <f>COUNTIFS($A$2:$A$74,$F$16,$C$2:$C$74,$F18,$D$2:$D$74,I$16)</f>
        <v>0</v>
      </c>
      <c r="J18" s="76">
        <f>SUM(G18:I18)</f>
        <v>0</v>
      </c>
      <c r="K18" s="21"/>
      <c r="L18" s="83">
        <v>0.5</v>
      </c>
      <c r="M18" s="87">
        <f>ABS(G$2-$F18)/1</f>
        <v>0.5</v>
      </c>
      <c r="N18" s="76">
        <f>ABS(H$2-$F18)/3</f>
        <v>0</v>
      </c>
      <c r="O18" s="88">
        <f>ABS(I$2-$F18)/1</f>
        <v>0.5</v>
      </c>
      <c r="P18" s="21"/>
      <c r="Q18" s="83">
        <v>0.5</v>
      </c>
      <c r="R18" s="87">
        <f t="shared" si="2"/>
        <v>0</v>
      </c>
      <c r="S18" s="76">
        <f t="shared" si="2"/>
        <v>0</v>
      </c>
      <c r="T18" s="88">
        <f t="shared" si="2"/>
        <v>0</v>
      </c>
      <c r="U18" s="21"/>
      <c r="V18" s="82" t="s">
        <v>188</v>
      </c>
      <c r="W18" s="87">
        <f>SUMPRODUCT(R17:T19, M17:O19)</f>
        <v>6.0763888888888881E-2</v>
      </c>
      <c r="X18" s="88" t="s">
        <v>189</v>
      </c>
    </row>
    <row r="19" spans="1:24" ht="15.75" customHeight="1" x14ac:dyDescent="0.15">
      <c r="A19" s="5" t="str">
        <f>'SSC7'!A19</f>
        <v>Transition</v>
      </c>
      <c r="B19" s="5" t="str">
        <f>'SSC7'!B19</f>
        <v>removeItem (Ready ⇒ Override)</v>
      </c>
      <c r="C19" s="5">
        <f>'GPT-5 Generation'!C19</f>
        <v>1</v>
      </c>
      <c r="D19" s="5">
        <f>'Claude Sonnet 4.5 Gen'!C19</f>
        <v>1</v>
      </c>
      <c r="E19" s="21"/>
      <c r="F19" s="83">
        <v>1</v>
      </c>
      <c r="G19" s="89">
        <f>COUNTIFS($A$2:$A$67,$F$16,$C$2:$C$67,$F19,$D$2:$D$67,G$16)+MAX(C69-D69,0)</f>
        <v>0</v>
      </c>
      <c r="H19" s="90">
        <f>COUNTIFS($A$2:$A$74,$F$16,$C$2:$C$74,$F19,$D$2:$D$74,H$16)</f>
        <v>1</v>
      </c>
      <c r="I19" s="91">
        <f>COUNTIFS($A$2:$A$67,$F$16,$C$2:$C$67,$F19,$D$2:$D$67,I$16) + MIN(C69,D69)</f>
        <v>22</v>
      </c>
      <c r="J19" s="76">
        <f>SUM(G19:I19)</f>
        <v>23</v>
      </c>
      <c r="K19" s="21"/>
      <c r="L19" s="83">
        <v>1</v>
      </c>
      <c r="M19" s="89">
        <f>ABS(G$2-$F19)/1</f>
        <v>1</v>
      </c>
      <c r="N19" s="90">
        <f>ABS(H$2-$F19)/1</f>
        <v>0.5</v>
      </c>
      <c r="O19" s="91">
        <f>ABS(I$2-$F19)/1</f>
        <v>0</v>
      </c>
      <c r="P19" s="21"/>
      <c r="Q19" s="83">
        <v>1</v>
      </c>
      <c r="R19" s="89">
        <f t="shared" si="2"/>
        <v>0</v>
      </c>
      <c r="S19" s="90">
        <f t="shared" si="2"/>
        <v>3.9930555555555552E-2</v>
      </c>
      <c r="T19" s="91">
        <f t="shared" si="2"/>
        <v>0.9184027777777779</v>
      </c>
      <c r="U19" s="21"/>
      <c r="V19" s="82" t="s">
        <v>156</v>
      </c>
      <c r="W19" s="89">
        <f>1-W17/W18</f>
        <v>-2.8571428571428692E-2</v>
      </c>
      <c r="X19" s="91" t="s">
        <v>190</v>
      </c>
    </row>
    <row r="20" spans="1:24" ht="15.75" customHeight="1" x14ac:dyDescent="0.15">
      <c r="A20" s="5" t="str">
        <f>'SSC7'!A20</f>
        <v>Guard</v>
      </c>
      <c r="B20" s="5" t="str">
        <f>'SSC7'!B20</f>
        <v>[billHasItem()]</v>
      </c>
      <c r="C20" s="5">
        <f>'GPT-5 Generation'!C20</f>
        <v>1</v>
      </c>
      <c r="D20" s="5">
        <f>'Claude Sonnet 4.5 Gen'!C20</f>
        <v>1</v>
      </c>
      <c r="E20" s="21"/>
      <c r="F20" s="92" t="s">
        <v>170</v>
      </c>
      <c r="G20" s="76">
        <f>SUM(G17:G19)</f>
        <v>0</v>
      </c>
      <c r="H20" s="76">
        <f>SUM(H17:H19)</f>
        <v>1</v>
      </c>
      <c r="I20" s="76">
        <f>SUM(I17:I19)</f>
        <v>23</v>
      </c>
      <c r="J20" s="76">
        <f>SUM(G17:I19)</f>
        <v>24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5.75" customHeight="1" x14ac:dyDescent="0.15">
      <c r="A21" s="5" t="str">
        <f>'SSC7'!A21</f>
        <v>Action</v>
      </c>
      <c r="B21" s="5" t="str">
        <f>'SSC7'!B21</f>
        <v>setTypeItem()</v>
      </c>
      <c r="C21" s="5">
        <f>'GPT-5 Generation'!C21</f>
        <v>1</v>
      </c>
      <c r="D21" s="5">
        <f>'Claude Sonnet 4.5 Gen'!C21</f>
        <v>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5.75" customHeight="1" x14ac:dyDescent="0.15">
      <c r="A22" s="5" t="str">
        <f>'SSC7'!A22</f>
        <v>Transition</v>
      </c>
      <c r="B22" s="5" t="str">
        <f>'SSC7'!B22</f>
        <v>broughtOwnBag (Ready ⇒ WeighBag)</v>
      </c>
      <c r="C22" s="5">
        <f>'GPT-5 Generation'!C22</f>
        <v>1</v>
      </c>
      <c r="D22" s="5">
        <f>'Claude Sonnet 4.5 Gen'!C22</f>
        <v>1</v>
      </c>
      <c r="E22" s="21"/>
      <c r="F22" s="96" t="s">
        <v>175</v>
      </c>
      <c r="G22" s="97"/>
      <c r="H22" s="97"/>
      <c r="I22" s="97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5.75" customHeight="1" x14ac:dyDescent="0.15">
      <c r="A23" s="5" t="str">
        <f>'SSC7'!A23</f>
        <v>Transition</v>
      </c>
      <c r="B23" s="5" t="str">
        <f>'SSC7'!B23</f>
        <v>pay (Ready ⇒ PayRequested)</v>
      </c>
      <c r="C23" s="5">
        <f>'GPT-5 Generation'!C23</f>
        <v>1</v>
      </c>
      <c r="D23" s="5">
        <f>'Claude Sonnet 4.5 Gen'!C23</f>
        <v>1</v>
      </c>
      <c r="E23" s="21"/>
      <c r="F23" s="76" t="s">
        <v>4</v>
      </c>
      <c r="G23" s="81" t="s">
        <v>158</v>
      </c>
      <c r="H23" s="81" t="s">
        <v>159</v>
      </c>
      <c r="I23" s="81" t="s">
        <v>160</v>
      </c>
      <c r="J23" s="80" t="s">
        <v>161</v>
      </c>
      <c r="K23" s="21"/>
      <c r="L23" s="76" t="s">
        <v>157</v>
      </c>
      <c r="M23" s="81" t="s">
        <v>158</v>
      </c>
      <c r="N23" s="81" t="s">
        <v>159</v>
      </c>
      <c r="O23" s="81" t="s">
        <v>160</v>
      </c>
      <c r="P23" s="21"/>
      <c r="Q23" s="76" t="s">
        <v>157</v>
      </c>
      <c r="R23" s="81" t="s">
        <v>158</v>
      </c>
      <c r="S23" s="81" t="s">
        <v>159</v>
      </c>
      <c r="T23" s="81" t="s">
        <v>160</v>
      </c>
      <c r="U23" s="21"/>
      <c r="V23" s="57" t="str">
        <f>"Metrics" &amp; " " &amp; F23</f>
        <v>Metrics Composite State</v>
      </c>
      <c r="W23" s="82" t="s">
        <v>163</v>
      </c>
      <c r="X23" s="82" t="s">
        <v>164</v>
      </c>
    </row>
    <row r="24" spans="1:24" ht="15.75" customHeight="1" x14ac:dyDescent="0.15">
      <c r="A24" s="5" t="str">
        <f>'SSC7'!A24</f>
        <v>Guard</v>
      </c>
      <c r="B24" s="5" t="str">
        <f>'SSC7'!B24</f>
        <v>[billHasItem()]</v>
      </c>
      <c r="C24" s="5">
        <f>'GPT-5 Generation'!C24</f>
        <v>1</v>
      </c>
      <c r="D24" s="5">
        <f>'Claude Sonnet 4.5 Gen'!C24</f>
        <v>1</v>
      </c>
      <c r="E24" s="21"/>
      <c r="F24" s="83">
        <v>0</v>
      </c>
      <c r="G24" s="84">
        <f>COUNTIFS($A$2:$A$74,$F$23,$C$2:$C$74,$F24,$D$2:$D$74,G$23)</f>
        <v>1</v>
      </c>
      <c r="H24" s="85">
        <f>COUNTIFS($A$2:$A$74,$F$23,$C$2:$C$74,$F24,$D$2:$D$74,H$23)</f>
        <v>0</v>
      </c>
      <c r="I24" s="86">
        <f>COUNTIFS($A$2:$A$67,$F$23,$C$2:$C$67,$F24,$D$2:$D$67,I$23) + MAX(D72-C72,0)</f>
        <v>0</v>
      </c>
      <c r="J24" s="76">
        <f>SUM(G24:I24)</f>
        <v>1</v>
      </c>
      <c r="K24" s="21"/>
      <c r="L24" s="83">
        <v>0</v>
      </c>
      <c r="M24" s="84">
        <f>ABS(G$2-$F24)/1</f>
        <v>0</v>
      </c>
      <c r="N24" s="85">
        <f>ABS(H$2-$F24)/1</f>
        <v>0.5</v>
      </c>
      <c r="O24" s="86">
        <f>ABS(I$2-$F24)/1</f>
        <v>1</v>
      </c>
      <c r="P24" s="21"/>
      <c r="Q24" s="83">
        <v>0</v>
      </c>
      <c r="R24" s="84">
        <f t="shared" ref="R24:T26" si="3">($J24/$J$27) * (G$27/$J$27)</f>
        <v>0.25</v>
      </c>
      <c r="S24" s="85">
        <f t="shared" si="3"/>
        <v>0</v>
      </c>
      <c r="T24" s="86">
        <f t="shared" si="3"/>
        <v>0.25</v>
      </c>
      <c r="U24" s="21"/>
      <c r="V24" s="82" t="s">
        <v>186</v>
      </c>
      <c r="W24" s="84">
        <f>SUMPRODUCT(G24:I26, M24:O26) /$J$27</f>
        <v>0</v>
      </c>
      <c r="X24" s="86" t="s">
        <v>187</v>
      </c>
    </row>
    <row r="25" spans="1:24" ht="15.75" customHeight="1" x14ac:dyDescent="0.15">
      <c r="A25" s="5" t="str">
        <f>'SSC7'!A25</f>
        <v>Action</v>
      </c>
      <c r="B25" s="5" t="str">
        <f>'SSC7'!B25</f>
        <v>sendPaymentRequest()</v>
      </c>
      <c r="C25" s="5">
        <f>'GPT-5 Generation'!C25</f>
        <v>1</v>
      </c>
      <c r="D25" s="5">
        <f>'Claude Sonnet 4.5 Gen'!C25</f>
        <v>1</v>
      </c>
      <c r="E25" s="21"/>
      <c r="F25" s="83">
        <v>0.5</v>
      </c>
      <c r="G25" s="87">
        <f>COUNTIFS($A$2:$A$74,$F$23,$C$2:$C$74,$F25,$D$2:$D$74,G$23)</f>
        <v>0</v>
      </c>
      <c r="H25" s="76">
        <f>COUNTIFS($A$2:$A$74,$F$23,$C$2:$C$74,$F25,$D$2:$D$74,H$23)</f>
        <v>0</v>
      </c>
      <c r="I25" s="88">
        <f>COUNTIFS($A$2:$A$74,$F$23,$C$2:$C$74,$F25,$D$2:$D$74,I$23)</f>
        <v>0</v>
      </c>
      <c r="J25" s="76">
        <f>SUM(G25:I25)</f>
        <v>0</v>
      </c>
      <c r="K25" s="21"/>
      <c r="L25" s="83">
        <v>0.5</v>
      </c>
      <c r="M25" s="87">
        <f>ABS(G$2-$F25)/1</f>
        <v>0.5</v>
      </c>
      <c r="N25" s="76">
        <f>ABS(H$2-$F25)/3</f>
        <v>0</v>
      </c>
      <c r="O25" s="88">
        <f>ABS(I$2-$F25)/1</f>
        <v>0.5</v>
      </c>
      <c r="P25" s="21"/>
      <c r="Q25" s="83">
        <v>0.5</v>
      </c>
      <c r="R25" s="87">
        <f t="shared" si="3"/>
        <v>0</v>
      </c>
      <c r="S25" s="76">
        <f t="shared" si="3"/>
        <v>0</v>
      </c>
      <c r="T25" s="88">
        <f t="shared" si="3"/>
        <v>0</v>
      </c>
      <c r="U25" s="21"/>
      <c r="V25" s="82" t="s">
        <v>188</v>
      </c>
      <c r="W25" s="87">
        <f>SUMPRODUCT(R24:T26, M24:O26)</f>
        <v>0.5</v>
      </c>
      <c r="X25" s="88" t="s">
        <v>189</v>
      </c>
    </row>
    <row r="26" spans="1:24" ht="15.75" customHeight="1" x14ac:dyDescent="0.15">
      <c r="A26" s="5" t="str">
        <f>'SSC7'!A26</f>
        <v>State</v>
      </c>
      <c r="B26" s="5" t="str">
        <f>'SSC7'!B26</f>
        <v>WeighItem</v>
      </c>
      <c r="C26" s="5">
        <f>'GPT-5 Generation'!C26</f>
        <v>1</v>
      </c>
      <c r="D26" s="5">
        <f>'Claude Sonnet 4.5 Gen'!C26</f>
        <v>1</v>
      </c>
      <c r="E26" s="21"/>
      <c r="F26" s="83">
        <v>1</v>
      </c>
      <c r="G26" s="89">
        <f>COUNTIFS($A$2:$A$67,$F$23,$C$2:$C$67,$F26,$D$2:$D$67,G$23) + MAX(C72-D72,0)</f>
        <v>0</v>
      </c>
      <c r="H26" s="90">
        <f>COUNTIFS($A$2:$A$74,$F$23,$C$2:$C$74,$F26,$D$2:$D$74,H$23)</f>
        <v>0</v>
      </c>
      <c r="I26" s="91">
        <f>COUNTIFS($A$2:$A$67,$F$23,$C$2:$C$67,$F26,$D$2:$D$67,I$23) + MIN(C72,D72)</f>
        <v>1</v>
      </c>
      <c r="J26" s="76">
        <f>SUM(G26:I26)</f>
        <v>1</v>
      </c>
      <c r="K26" s="21"/>
      <c r="L26" s="83">
        <v>1</v>
      </c>
      <c r="M26" s="89">
        <f>ABS(G$2-$F26)/1</f>
        <v>1</v>
      </c>
      <c r="N26" s="90">
        <f>ABS(H$2-$F26)/1</f>
        <v>0.5</v>
      </c>
      <c r="O26" s="91">
        <f>ABS(I$2-$F26)/1</f>
        <v>0</v>
      </c>
      <c r="P26" s="21"/>
      <c r="Q26" s="83">
        <v>1</v>
      </c>
      <c r="R26" s="89">
        <f t="shared" si="3"/>
        <v>0.25</v>
      </c>
      <c r="S26" s="90">
        <f t="shared" si="3"/>
        <v>0</v>
      </c>
      <c r="T26" s="91">
        <f t="shared" si="3"/>
        <v>0.25</v>
      </c>
      <c r="U26" s="21"/>
      <c r="V26" s="82" t="s">
        <v>156</v>
      </c>
      <c r="W26" s="89">
        <f>1-W24/W25</f>
        <v>1</v>
      </c>
      <c r="X26" s="91" t="s">
        <v>190</v>
      </c>
    </row>
    <row r="27" spans="1:24" ht="15.75" customHeight="1" x14ac:dyDescent="0.15">
      <c r="A27" s="5" t="str">
        <f>'SSC7'!A27</f>
        <v>Transition</v>
      </c>
      <c r="B27" s="5" t="str">
        <f>'SSC7'!B27</f>
        <v>cancel (WeighItem ⇒ Ready)</v>
      </c>
      <c r="C27" s="5">
        <f>'GPT-5 Generation'!C27</f>
        <v>1</v>
      </c>
      <c r="D27" s="5">
        <f>'Claude Sonnet 4.5 Gen'!C27</f>
        <v>1</v>
      </c>
      <c r="E27" s="21"/>
      <c r="F27" s="92" t="s">
        <v>170</v>
      </c>
      <c r="G27" s="76">
        <f>SUM(G24:G26)</f>
        <v>1</v>
      </c>
      <c r="H27" s="76">
        <f>SUM(H24:H26)</f>
        <v>0</v>
      </c>
      <c r="I27" s="76">
        <f>SUM(I24:I26)</f>
        <v>1</v>
      </c>
      <c r="J27" s="76">
        <f>SUM(G24:I26)</f>
        <v>2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5.75" customHeight="1" x14ac:dyDescent="0.15">
      <c r="A28" s="5" t="str">
        <f>'SSC7'!A28</f>
        <v>Transition</v>
      </c>
      <c r="B28" s="5" t="str">
        <f>'SSC7'!B28</f>
        <v>weighedItem (WeighItem ⇒ CheckWeight)</v>
      </c>
      <c r="C28" s="5">
        <f>'GPT-5 Generation'!C28</f>
        <v>1</v>
      </c>
      <c r="D28" s="5">
        <f>'Claude Sonnet 4.5 Gen'!C28</f>
        <v>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5.75" customHeight="1" x14ac:dyDescent="0.15">
      <c r="A29" s="5" t="str">
        <f>'SSC7'!A29</f>
        <v>Action</v>
      </c>
      <c r="B29" s="5" t="str">
        <f>'SSC7'!B29</f>
        <v>addWeighedItem()</v>
      </c>
      <c r="C29" s="5">
        <f>'GPT-5 Generation'!C29</f>
        <v>1</v>
      </c>
      <c r="D29" s="5">
        <f>'Claude Sonnet 4.5 Gen'!C29</f>
        <v>1</v>
      </c>
      <c r="E29" s="21"/>
      <c r="F29" s="96" t="s">
        <v>177</v>
      </c>
      <c r="G29" s="97"/>
      <c r="H29" s="97"/>
      <c r="I29" s="97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5.75" customHeight="1" x14ac:dyDescent="0.15">
      <c r="A30" s="5" t="str">
        <f>'SSC7'!A30</f>
        <v>State</v>
      </c>
      <c r="B30" s="5" t="str">
        <f>'SSC7'!B30</f>
        <v>CheckWeight</v>
      </c>
      <c r="C30" s="5">
        <f>'GPT-5 Generation'!C30</f>
        <v>1</v>
      </c>
      <c r="D30" s="5">
        <f>'Claude Sonnet 4.5 Gen'!C30</f>
        <v>1</v>
      </c>
      <c r="E30" s="21"/>
      <c r="F30" s="76" t="s">
        <v>10</v>
      </c>
      <c r="G30" s="81" t="s">
        <v>158</v>
      </c>
      <c r="H30" s="81" t="s">
        <v>159</v>
      </c>
      <c r="I30" s="81" t="s">
        <v>160</v>
      </c>
      <c r="J30" s="80" t="s">
        <v>161</v>
      </c>
      <c r="K30" s="21"/>
      <c r="L30" s="76" t="s">
        <v>157</v>
      </c>
      <c r="M30" s="81">
        <v>0</v>
      </c>
      <c r="N30" s="81" t="s">
        <v>159</v>
      </c>
      <c r="O30" s="81" t="s">
        <v>160</v>
      </c>
      <c r="P30" s="21"/>
      <c r="Q30" s="76" t="s">
        <v>157</v>
      </c>
      <c r="R30" s="81" t="s">
        <v>158</v>
      </c>
      <c r="S30" s="81" t="s">
        <v>159</v>
      </c>
      <c r="T30" s="81" t="s">
        <v>160</v>
      </c>
      <c r="U30" s="21"/>
      <c r="V30" s="57" t="str">
        <f>"Metrics" &amp; " " &amp; F30</f>
        <v>Metrics Guard</v>
      </c>
      <c r="W30" s="82" t="s">
        <v>163</v>
      </c>
      <c r="X30" s="82" t="s">
        <v>164</v>
      </c>
    </row>
    <row r="31" spans="1:24" ht="15.75" customHeight="1" x14ac:dyDescent="0.15">
      <c r="A31" s="5" t="str">
        <f>'SSC7'!A31</f>
        <v>Transition</v>
      </c>
      <c r="B31" s="5" t="str">
        <f>'SSC7'!B31</f>
        <v>secWeighedItem (CheckWeight ⇒ Ready)</v>
      </c>
      <c r="C31" s="5">
        <f>'GPT-5 Generation'!C31</f>
        <v>1</v>
      </c>
      <c r="D31" s="5">
        <f>'Claude Sonnet 4.5 Gen'!C31</f>
        <v>1</v>
      </c>
      <c r="E31" s="21"/>
      <c r="F31" s="83">
        <v>0</v>
      </c>
      <c r="G31" s="84">
        <f>COUNTIFS($A$2:$A$74,$F$30,$C$2:$C$74,$F31,$D$2:$D$74,G$30)</f>
        <v>1</v>
      </c>
      <c r="H31" s="85">
        <f>COUNTIFS($A$2:$A$74,$F$30,$C$2:$C$74,$F31,$D$2:$D$74,H$30)</f>
        <v>0</v>
      </c>
      <c r="I31" s="86">
        <f>COUNTIFS($A$2:$A$67,$F$30,$C$2:$C$67,$F31,$D$2:$D$67,I$30) + MAX(D70-C70,0)</f>
        <v>0</v>
      </c>
      <c r="J31" s="76">
        <f>SUM(G31:I31)</f>
        <v>1</v>
      </c>
      <c r="K31" s="21"/>
      <c r="L31" s="83">
        <v>0</v>
      </c>
      <c r="M31" s="84">
        <f>ABS(G$2-$F31)/1</f>
        <v>0</v>
      </c>
      <c r="N31" s="85">
        <f>ABS(H$2-$F31)/1</f>
        <v>0.5</v>
      </c>
      <c r="O31" s="86">
        <f>ABS(I$2-$F31)/1</f>
        <v>1</v>
      </c>
      <c r="P31" s="21"/>
      <c r="Q31" s="83">
        <v>0</v>
      </c>
      <c r="R31" s="84">
        <f t="shared" ref="R31:T33" si="4">($J31/$J$34) * (G$34/$J$34)</f>
        <v>6.9444444444444441E-3</v>
      </c>
      <c r="S31" s="85">
        <f t="shared" si="4"/>
        <v>0</v>
      </c>
      <c r="T31" s="86">
        <f t="shared" si="4"/>
        <v>7.6388888888888881E-2</v>
      </c>
      <c r="U31" s="21"/>
      <c r="V31" s="82" t="s">
        <v>186</v>
      </c>
      <c r="W31" s="84">
        <f>SUMPRODUCT(G31:I33, M31:O33) /$J$34</f>
        <v>0</v>
      </c>
      <c r="X31" s="86" t="s">
        <v>187</v>
      </c>
    </row>
    <row r="32" spans="1:24" ht="15.75" customHeight="1" x14ac:dyDescent="0.15">
      <c r="A32" s="5" t="str">
        <f>'SSC7'!A32</f>
        <v>Guard</v>
      </c>
      <c r="B32" s="5" t="str">
        <f>'SSC7'!B32</f>
        <v>[weightMatched()]</v>
      </c>
      <c r="C32" s="5">
        <f>'GPT-5 Generation'!C32</f>
        <v>1</v>
      </c>
      <c r="D32" s="5">
        <f>'Claude Sonnet 4.5 Gen'!C32</f>
        <v>1</v>
      </c>
      <c r="E32" s="21"/>
      <c r="F32" s="83">
        <v>0.5</v>
      </c>
      <c r="G32" s="87">
        <f>COUNTIFS($A$2:$A$74,$F$30,$C$2:$C$74,$F32,$D$2:$D$74,G$30)</f>
        <v>0</v>
      </c>
      <c r="H32" s="76">
        <f>COUNTIFS($A$2:$A$74,$F$30,$C$2:$C$74,$F32,$D$2:$D$74,H$30)</f>
        <v>0</v>
      </c>
      <c r="I32" s="88">
        <f>COUNTIFS($A$2:$A$74,$F$30,$C$2:$C$74,$F32,$D$2:$D$74,I$30)</f>
        <v>0</v>
      </c>
      <c r="J32" s="76">
        <f>SUM(G32:I32)</f>
        <v>0</v>
      </c>
      <c r="K32" s="21"/>
      <c r="L32" s="83">
        <v>0.5</v>
      </c>
      <c r="M32" s="87">
        <f>ABS(G$2-$F32)/1</f>
        <v>0.5</v>
      </c>
      <c r="N32" s="76">
        <f>ABS(H$2-$F32)/3</f>
        <v>0</v>
      </c>
      <c r="O32" s="88">
        <f>ABS(I$2-$F32)/1</f>
        <v>0.5</v>
      </c>
      <c r="P32" s="21"/>
      <c r="Q32" s="83">
        <v>0.5</v>
      </c>
      <c r="R32" s="87">
        <f t="shared" si="4"/>
        <v>0</v>
      </c>
      <c r="S32" s="76">
        <f t="shared" si="4"/>
        <v>0</v>
      </c>
      <c r="T32" s="88">
        <f t="shared" si="4"/>
        <v>0</v>
      </c>
      <c r="U32" s="21"/>
      <c r="V32" s="82" t="s">
        <v>188</v>
      </c>
      <c r="W32" s="87">
        <f>SUMPRODUCT(R31:T33, M31:O33)</f>
        <v>0.15277777777777776</v>
      </c>
      <c r="X32" s="88" t="s">
        <v>189</v>
      </c>
    </row>
    <row r="33" spans="1:24" ht="15.75" customHeight="1" x14ac:dyDescent="0.15">
      <c r="A33" s="5" t="str">
        <f>'SSC7'!A33</f>
        <v>Transition</v>
      </c>
      <c r="B33" s="5" t="str">
        <f>'SSC7'!B33</f>
        <v>secWeighedItem (CheckWeight ⇒ Override)</v>
      </c>
      <c r="C33" s="5">
        <f>'GPT-5 Generation'!C33</f>
        <v>1</v>
      </c>
      <c r="D33" s="5">
        <f>'Claude Sonnet 4.5 Gen'!C33</f>
        <v>1</v>
      </c>
      <c r="E33" s="21"/>
      <c r="F33" s="83">
        <v>1</v>
      </c>
      <c r="G33" s="89">
        <f>COUNTIFS($A$2:$A$67,$F$30,$C$2:$C$67,$F33,$D$2:$D$67,G$30) + MAX(C70-D70,0)</f>
        <v>0</v>
      </c>
      <c r="H33" s="90">
        <f>COUNTIFS($A$2:$A$74,$F$30,$C$2:$C$74,$F33,$D$2:$D$74,H$30)</f>
        <v>0</v>
      </c>
      <c r="I33" s="91">
        <f>COUNTIFS($A$2:$A$67,$F$30,$C$2:$C$67,$F33,$D$2:$D$67,I$30) + MIN(C70,D70)</f>
        <v>11</v>
      </c>
      <c r="J33" s="76">
        <f>SUM(G33:I33)</f>
        <v>11</v>
      </c>
      <c r="K33" s="21"/>
      <c r="L33" s="83">
        <v>1</v>
      </c>
      <c r="M33" s="89">
        <f>ABS(G$2-$F33)/1</f>
        <v>1</v>
      </c>
      <c r="N33" s="90">
        <f>ABS(H$2-$F33)/1</f>
        <v>0.5</v>
      </c>
      <c r="O33" s="91">
        <f>ABS(I$2-$F33)/1</f>
        <v>0</v>
      </c>
      <c r="P33" s="21"/>
      <c r="Q33" s="83">
        <v>1</v>
      </c>
      <c r="R33" s="89">
        <f t="shared" si="4"/>
        <v>7.6388888888888881E-2</v>
      </c>
      <c r="S33" s="90">
        <f t="shared" si="4"/>
        <v>0</v>
      </c>
      <c r="T33" s="91">
        <f t="shared" si="4"/>
        <v>0.84027777777777768</v>
      </c>
      <c r="U33" s="21"/>
      <c r="V33" s="82" t="s">
        <v>156</v>
      </c>
      <c r="W33" s="89">
        <f>1-W31/W32</f>
        <v>1</v>
      </c>
      <c r="X33" s="91" t="s">
        <v>190</v>
      </c>
    </row>
    <row r="34" spans="1:24" ht="15.75" customHeight="1" x14ac:dyDescent="0.15">
      <c r="A34" s="5" t="str">
        <f>'SSC7'!A34</f>
        <v>Guard</v>
      </c>
      <c r="B34" s="5" t="str">
        <f>'SSC7'!B34</f>
        <v>[!weightMatched()]</v>
      </c>
      <c r="C34" s="5">
        <f>'GPT-5 Generation'!C34</f>
        <v>1</v>
      </c>
      <c r="D34" s="5">
        <f>'Claude Sonnet 4.5 Gen'!C34</f>
        <v>1</v>
      </c>
      <c r="E34" s="21"/>
      <c r="F34" s="92" t="s">
        <v>170</v>
      </c>
      <c r="G34" s="76">
        <f>SUM(G31:G33)</f>
        <v>1</v>
      </c>
      <c r="H34" s="76">
        <f>SUM(H31:H33)</f>
        <v>0</v>
      </c>
      <c r="I34" s="76">
        <f>SUM(I31:I33)</f>
        <v>11</v>
      </c>
      <c r="J34" s="76">
        <f>SUM(G31:I33)</f>
        <v>12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5.75" customHeight="1" x14ac:dyDescent="0.15">
      <c r="A35" s="5" t="str">
        <f>'SSC7'!A35</f>
        <v>Action</v>
      </c>
      <c r="B35" s="5" t="str">
        <f>'SSC7'!B35</f>
        <v>setTypeItem()</v>
      </c>
      <c r="C35" s="5">
        <f>'GPT-5 Generation'!C35</f>
        <v>1</v>
      </c>
      <c r="D35" s="5">
        <f>'Claude Sonnet 4.5 Gen'!C35</f>
        <v>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 customHeight="1" x14ac:dyDescent="0.15">
      <c r="A36" s="5" t="str">
        <f>'SSC7'!A36</f>
        <v>Transition</v>
      </c>
      <c r="B36" s="5" t="str">
        <f>'SSC7'!B36</f>
        <v>cancelCheckout (CheckWeight ⇒ Override)</v>
      </c>
      <c r="C36" s="5">
        <f>'GPT-5 Generation'!C36</f>
        <v>1</v>
      </c>
      <c r="D36" s="5">
        <f>'Claude Sonnet 4.5 Gen'!C36</f>
        <v>1</v>
      </c>
      <c r="E36" s="21"/>
      <c r="F36" s="96" t="s">
        <v>179</v>
      </c>
      <c r="G36" s="97"/>
      <c r="H36" s="97"/>
      <c r="I36" s="97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5.75" customHeight="1" x14ac:dyDescent="0.15">
      <c r="A37" s="5" t="str">
        <f>'SSC7'!A37</f>
        <v>Action</v>
      </c>
      <c r="B37" s="5" t="str">
        <f>'SSC7'!B37</f>
        <v>setTypeEverything()</v>
      </c>
      <c r="C37" s="5">
        <f>'GPT-5 Generation'!C37</f>
        <v>1</v>
      </c>
      <c r="D37" s="5">
        <f>'Claude Sonnet 4.5 Gen'!C37</f>
        <v>0</v>
      </c>
      <c r="E37" s="21"/>
      <c r="F37" s="76" t="s">
        <v>12</v>
      </c>
      <c r="G37" s="93" t="s">
        <v>158</v>
      </c>
      <c r="H37" s="93" t="s">
        <v>159</v>
      </c>
      <c r="I37" s="93" t="s">
        <v>160</v>
      </c>
      <c r="J37" s="80" t="s">
        <v>161</v>
      </c>
      <c r="K37" s="21"/>
      <c r="L37" s="76" t="s">
        <v>157</v>
      </c>
      <c r="M37" s="81">
        <v>0</v>
      </c>
      <c r="N37" s="81" t="s">
        <v>159</v>
      </c>
      <c r="O37" s="81" t="s">
        <v>160</v>
      </c>
      <c r="P37" s="21"/>
      <c r="Q37" s="76" t="s">
        <v>157</v>
      </c>
      <c r="R37" s="81" t="s">
        <v>158</v>
      </c>
      <c r="S37" s="81" t="s">
        <v>159</v>
      </c>
      <c r="T37" s="81" t="s">
        <v>160</v>
      </c>
      <c r="U37" s="21"/>
      <c r="V37" s="57" t="str">
        <f>"Metrics" &amp; " " &amp; F37</f>
        <v>Metrics Action</v>
      </c>
      <c r="W37" s="82" t="s">
        <v>163</v>
      </c>
      <c r="X37" s="82" t="s">
        <v>164</v>
      </c>
    </row>
    <row r="38" spans="1:24" ht="15.75" customHeight="1" x14ac:dyDescent="0.15">
      <c r="A38" s="5" t="str">
        <f>'SSC7'!A38</f>
        <v>State</v>
      </c>
      <c r="B38" s="5" t="str">
        <f>'SSC7'!B38</f>
        <v>WeighBag</v>
      </c>
      <c r="C38" s="5">
        <f>'GPT-5 Generation'!C38</f>
        <v>1</v>
      </c>
      <c r="D38" s="5">
        <f>'Claude Sonnet 4.5 Gen'!C38</f>
        <v>1</v>
      </c>
      <c r="E38" s="21"/>
      <c r="F38" s="94">
        <v>0</v>
      </c>
      <c r="G38" s="84">
        <f>COUNTIFS($A$2:$A$74,F37,$C$2:$C$74,$F38,$D$2:$D$74,G37)</f>
        <v>0</v>
      </c>
      <c r="H38" s="85">
        <f>COUNTIFS($A$2:$A$74,F37,$C$2:$C$74,$F38,$D$2:$D$74,H37)</f>
        <v>0</v>
      </c>
      <c r="I38" s="86">
        <f>COUNTIFS($A$2:$A$67,F37,$C$2:$C$67,$F38,$D$2:$D$67,I37)+MAX(D71-C71,0)</f>
        <v>1</v>
      </c>
      <c r="J38" s="76">
        <f>SUM(G38:I38)</f>
        <v>1</v>
      </c>
      <c r="K38" s="21"/>
      <c r="L38" s="83">
        <v>0</v>
      </c>
      <c r="M38" s="84">
        <f>ABS(G$2-$F38)/1</f>
        <v>0</v>
      </c>
      <c r="N38" s="85">
        <f>ABS(H$2-$F38)/1</f>
        <v>0.5</v>
      </c>
      <c r="O38" s="86">
        <f>ABS(I$2-$F38)/1</f>
        <v>1</v>
      </c>
      <c r="P38" s="21"/>
      <c r="Q38" s="83">
        <v>0</v>
      </c>
      <c r="R38" s="84">
        <f t="shared" ref="R38:T40" si="5">($J38/$J$41) * (G$41/$J$41)</f>
        <v>1.2396694214876032E-2</v>
      </c>
      <c r="S38" s="85">
        <f t="shared" si="5"/>
        <v>2.0661157024793389E-3</v>
      </c>
      <c r="T38" s="86">
        <f t="shared" si="5"/>
        <v>3.099173553719008E-2</v>
      </c>
      <c r="U38" s="21"/>
      <c r="V38" s="82" t="s">
        <v>186</v>
      </c>
      <c r="W38" s="84">
        <f>SUMPRODUCT(G38:I40, M38:O40) /$J$41</f>
        <v>0.34090909090909088</v>
      </c>
      <c r="X38" s="86" t="s">
        <v>187</v>
      </c>
    </row>
    <row r="39" spans="1:24" ht="15.75" customHeight="1" x14ac:dyDescent="0.15">
      <c r="A39" s="5" t="str">
        <f>'SSC7'!A39</f>
        <v>Transition</v>
      </c>
      <c r="B39" s="5" t="str">
        <f>'SSC7'!B39</f>
        <v>secWeighedItem (WeighBag ⇒ Ready)</v>
      </c>
      <c r="C39" s="5">
        <f>'GPT-5 Generation'!C39</f>
        <v>1</v>
      </c>
      <c r="D39" s="5">
        <f>'Claude Sonnet 4.5 Gen'!C39</f>
        <v>1</v>
      </c>
      <c r="E39" s="21"/>
      <c r="F39" s="94">
        <v>0.5</v>
      </c>
      <c r="G39" s="87">
        <f>COUNTIFS($A$2:$A$74,F37,$C$2:$C$74,$F39,$D$2:$D$74,G37)</f>
        <v>0</v>
      </c>
      <c r="H39" s="76">
        <f>COUNTIFS($A$2:$A$74,F37,$C$2:$C$74,$F38,$D$2:$D$74,H37)</f>
        <v>0</v>
      </c>
      <c r="I39" s="88">
        <f>COUNTIFS($A$2:$A$74,F37,$C$2:$C$74,$F39,$D$2:$D$74,I37)</f>
        <v>0</v>
      </c>
      <c r="J39" s="76">
        <f>SUM(G39:I39)</f>
        <v>0</v>
      </c>
      <c r="K39" s="21"/>
      <c r="L39" s="83">
        <v>0.5</v>
      </c>
      <c r="M39" s="87">
        <f>ABS(G$2-$F39)/1</f>
        <v>0.5</v>
      </c>
      <c r="N39" s="76">
        <f>ABS(H$2-$F39)/3</f>
        <v>0</v>
      </c>
      <c r="O39" s="88">
        <f>ABS(I$2-$F39)/1</f>
        <v>0.5</v>
      </c>
      <c r="P39" s="21"/>
      <c r="Q39" s="83">
        <v>0.5</v>
      </c>
      <c r="R39" s="87">
        <f t="shared" si="5"/>
        <v>0</v>
      </c>
      <c r="S39" s="76">
        <f t="shared" si="5"/>
        <v>0</v>
      </c>
      <c r="T39" s="88">
        <f t="shared" si="5"/>
        <v>0</v>
      </c>
      <c r="U39" s="21"/>
      <c r="V39" s="82" t="s">
        <v>188</v>
      </c>
      <c r="W39" s="87">
        <f>SUMPRODUCT(R38:T40, M38:O40)</f>
        <v>0.31404958677685946</v>
      </c>
      <c r="X39" s="88" t="s">
        <v>189</v>
      </c>
    </row>
    <row r="40" spans="1:24" ht="15.75" customHeight="1" x14ac:dyDescent="0.15">
      <c r="A40" s="5" t="str">
        <f>'SSC7'!A40</f>
        <v>Action</v>
      </c>
      <c r="B40" s="5" t="str">
        <f>'SSC7'!B40</f>
        <v>addBag()</v>
      </c>
      <c r="C40" s="5">
        <f>'GPT-5 Generation'!C40</f>
        <v>1</v>
      </c>
      <c r="D40" s="5">
        <f>'Claude Sonnet 4.5 Gen'!C40</f>
        <v>1</v>
      </c>
      <c r="E40" s="21"/>
      <c r="F40" s="94">
        <v>1</v>
      </c>
      <c r="G40" s="89">
        <f>COUNTIFS($A$2:$A$67,F37,$C$2:$C$67,$F40,$D$2:$D$67,G37)+MAX(C71-D71,0)</f>
        <v>6</v>
      </c>
      <c r="H40" s="90">
        <f>COUNTIFS($A$2:$A$74,F37,$C$2:$C$74,$F40,$D$2:$D$74,H37)</f>
        <v>1</v>
      </c>
      <c r="I40" s="91">
        <f>COUNTIFS($A$2:$A$67,F37,$C$2:$C$67,$F40,$D$2:$D$67,I37) + MIN(C71,D71)</f>
        <v>14</v>
      </c>
      <c r="J40" s="76">
        <f>SUM(G40:I40)</f>
        <v>21</v>
      </c>
      <c r="K40" s="21"/>
      <c r="L40" s="83">
        <v>1</v>
      </c>
      <c r="M40" s="89">
        <f>ABS(G$2-$F40)/1</f>
        <v>1</v>
      </c>
      <c r="N40" s="90">
        <f>ABS(H$2-$F40)/1</f>
        <v>0.5</v>
      </c>
      <c r="O40" s="91">
        <f>ABS(I$2-$F40)/1</f>
        <v>0</v>
      </c>
      <c r="P40" s="21"/>
      <c r="Q40" s="83">
        <v>1</v>
      </c>
      <c r="R40" s="89">
        <f t="shared" si="5"/>
        <v>0.26033057851239666</v>
      </c>
      <c r="S40" s="90">
        <f t="shared" si="5"/>
        <v>4.3388429752066117E-2</v>
      </c>
      <c r="T40" s="91">
        <f t="shared" si="5"/>
        <v>0.65082644628099173</v>
      </c>
      <c r="U40" s="21"/>
      <c r="V40" s="82" t="s">
        <v>156</v>
      </c>
      <c r="W40" s="89">
        <f>1-W38/W39</f>
        <v>-8.5526315789473673E-2</v>
      </c>
      <c r="X40" s="91" t="s">
        <v>190</v>
      </c>
    </row>
    <row r="41" spans="1:24" ht="15.75" customHeight="1" x14ac:dyDescent="0.15">
      <c r="A41" s="5" t="str">
        <f>'SSC7'!A41</f>
        <v>Transition</v>
      </c>
      <c r="B41" s="5" t="str">
        <f>'SSC7'!B41</f>
        <v>cancel (WeighBag ⇒ Ready)</v>
      </c>
      <c r="C41" s="5">
        <f>'GPT-5 Generation'!C41</f>
        <v>1</v>
      </c>
      <c r="D41" s="5">
        <f>'Claude Sonnet 4.5 Gen'!C41</f>
        <v>1</v>
      </c>
      <c r="E41" s="21"/>
      <c r="F41" s="92" t="s">
        <v>170</v>
      </c>
      <c r="G41" s="76">
        <f>SUM(G38:G40)</f>
        <v>6</v>
      </c>
      <c r="H41" s="76">
        <f>SUM(H39:H40)</f>
        <v>1</v>
      </c>
      <c r="I41" s="76">
        <f>SUM(I38:I40)</f>
        <v>15</v>
      </c>
      <c r="J41" s="76">
        <f>SUM(G38:I40)</f>
        <v>22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.75" customHeight="1" x14ac:dyDescent="0.15">
      <c r="A42" s="5" t="str">
        <f>'SSC7'!A42</f>
        <v>State</v>
      </c>
      <c r="B42" s="5" t="str">
        <f>'SSC7'!B42</f>
        <v>Override</v>
      </c>
      <c r="C42" s="5">
        <f>'GPT-5 Generation'!C42</f>
        <v>1</v>
      </c>
      <c r="D42" s="5">
        <f>'Claude Sonnet 4.5 Gen'!C42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.75" customHeight="1" x14ac:dyDescent="0.15">
      <c r="A43" s="5" t="str">
        <f>'SSC7'!A43</f>
        <v>Action</v>
      </c>
      <c r="B43" s="5" t="str">
        <f>'SSC7'!B43</f>
        <v>entry / lightOn()</v>
      </c>
      <c r="C43" s="5">
        <f>'GPT-5 Generation'!C43</f>
        <v>1</v>
      </c>
      <c r="D43" s="5">
        <f>'Claude Sonnet 4.5 Gen'!C43</f>
        <v>1</v>
      </c>
      <c r="E43" s="21"/>
      <c r="F43" s="96" t="s">
        <v>181</v>
      </c>
      <c r="G43" s="97"/>
      <c r="H43" s="97"/>
      <c r="I43" s="97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.75" customHeight="1" x14ac:dyDescent="0.15">
      <c r="A44" s="5" t="str">
        <f>'SSC7'!A44</f>
        <v>Action</v>
      </c>
      <c r="B44" s="5" t="str">
        <f>'SSC7'!B44</f>
        <v>exit / lightOff()</v>
      </c>
      <c r="C44" s="5">
        <f>'GPT-5 Generation'!C44</f>
        <v>1</v>
      </c>
      <c r="D44" s="5">
        <f>'Claude Sonnet 4.5 Gen'!C44</f>
        <v>1</v>
      </c>
      <c r="E44" s="21"/>
      <c r="F44" s="76" t="s">
        <v>54</v>
      </c>
      <c r="G44" s="81" t="s">
        <v>158</v>
      </c>
      <c r="H44" s="81" t="s">
        <v>159</v>
      </c>
      <c r="I44" s="81" t="s">
        <v>160</v>
      </c>
      <c r="J44" s="80" t="s">
        <v>161</v>
      </c>
      <c r="K44" s="21"/>
      <c r="L44" s="76" t="s">
        <v>157</v>
      </c>
      <c r="M44" s="81" t="s">
        <v>158</v>
      </c>
      <c r="N44" s="81" t="s">
        <v>159</v>
      </c>
      <c r="O44" s="81" t="s">
        <v>160</v>
      </c>
      <c r="P44" s="21"/>
      <c r="Q44" s="76" t="s">
        <v>157</v>
      </c>
      <c r="R44" s="81" t="s">
        <v>158</v>
      </c>
      <c r="S44" s="81" t="s">
        <v>159</v>
      </c>
      <c r="T44" s="81" t="s">
        <v>160</v>
      </c>
      <c r="U44" s="21"/>
      <c r="V44" s="57" t="str">
        <f>"Metrics" &amp; " " &amp; F44</f>
        <v>Metrics History State</v>
      </c>
      <c r="W44" s="82" t="s">
        <v>163</v>
      </c>
      <c r="X44" s="82" t="s">
        <v>164</v>
      </c>
    </row>
    <row r="45" spans="1:24" ht="15.75" customHeight="1" x14ac:dyDescent="0.15">
      <c r="A45" s="5" t="str">
        <f>'SSC7'!A45</f>
        <v>Transition</v>
      </c>
      <c r="B45" s="5" t="str">
        <f>'SSC7'!B45</f>
        <v>codeEntered (Override ⇒ Ready)</v>
      </c>
      <c r="C45" s="5">
        <f>'GPT-5 Generation'!C45</f>
        <v>1</v>
      </c>
      <c r="D45" s="5">
        <f>'Claude Sonnet 4.5 Gen'!C45</f>
        <v>1</v>
      </c>
      <c r="E45" s="21"/>
      <c r="F45" s="83">
        <v>0</v>
      </c>
      <c r="G45" s="84">
        <f>COUNTIFS($A$2:$A$74,$F$44,$C$2:$C$74,$F45,$D$2:$D$74,G$44)</f>
        <v>1</v>
      </c>
      <c r="H45" s="85">
        <f>COUNTIFS($A$2:$A$74,$F$44,$C$2:$C$74,$F45,$D$2:$D$74,H$44)</f>
        <v>0</v>
      </c>
      <c r="I45" s="86">
        <f>COUNTIFS($A$2:$A$67,$F$44,$C$2:$C$67,$F45,$D$2:$D$67,I$44) + MAX(D74-C74,0)</f>
        <v>0</v>
      </c>
      <c r="J45" s="76">
        <f>SUM(G45:I45)</f>
        <v>1</v>
      </c>
      <c r="K45" s="21"/>
      <c r="L45" s="83">
        <v>0</v>
      </c>
      <c r="M45" s="84">
        <f>ABS(G$2-$F45)/1</f>
        <v>0</v>
      </c>
      <c r="N45" s="85">
        <f>ABS(H$2-$F45)/1</f>
        <v>0.5</v>
      </c>
      <c r="O45" s="86">
        <f>ABS(I$2-$F45)/1</f>
        <v>1</v>
      </c>
      <c r="P45" s="21"/>
      <c r="Q45" s="83">
        <v>0</v>
      </c>
      <c r="R45" s="84">
        <f t="shared" ref="R45:T47" si="6">($J45/$J$48) * (G$48/$J$48)</f>
        <v>0.25</v>
      </c>
      <c r="S45" s="85">
        <f t="shared" si="6"/>
        <v>0.25</v>
      </c>
      <c r="T45" s="86">
        <f t="shared" si="6"/>
        <v>0</v>
      </c>
      <c r="U45" s="21"/>
      <c r="V45" s="82" t="s">
        <v>186</v>
      </c>
      <c r="W45" s="84">
        <f>SUMPRODUCT(G45:I47, M45:O47) /$J$48</f>
        <v>0.25</v>
      </c>
      <c r="X45" s="86" t="s">
        <v>187</v>
      </c>
    </row>
    <row r="46" spans="1:24" ht="15.75" customHeight="1" x14ac:dyDescent="0.15">
      <c r="A46" s="5" t="str">
        <f>'SSC7'!A46</f>
        <v>Guard</v>
      </c>
      <c r="B46" s="5" t="str">
        <f>'SSC7'!B46</f>
        <v>[codeCorrect() &amp;&amp; isTypeItem()]</v>
      </c>
      <c r="C46" s="5">
        <f>'GPT-5 Generation'!C46</f>
        <v>1</v>
      </c>
      <c r="D46" s="5">
        <f>'Claude Sonnet 4.5 Gen'!C46</f>
        <v>1</v>
      </c>
      <c r="E46" s="21"/>
      <c r="F46" s="83">
        <v>0.5</v>
      </c>
      <c r="G46" s="87">
        <f>COUNTIFS($A$2:$A$74,$F$44,$C$2:$C$74,$F46,$D$2:$D$74,G$44)</f>
        <v>0</v>
      </c>
      <c r="H46" s="76">
        <f>COUNTIFS($A$2:$A$74,$F$44,$C$2:$C$74,$F46,$D$2:$D$74,H$44)</f>
        <v>0</v>
      </c>
      <c r="I46" s="88">
        <f>COUNTIFS($A$2:$A$74,$F$44,$C$2:$C$74,$F46,$D$2:$D$74,I$44)</f>
        <v>0</v>
      </c>
      <c r="J46" s="76">
        <f>SUM(G46:I46)</f>
        <v>0</v>
      </c>
      <c r="K46" s="21"/>
      <c r="L46" s="83">
        <v>0.5</v>
      </c>
      <c r="M46" s="87">
        <f>ABS(G$2-$F46)/1</f>
        <v>0.5</v>
      </c>
      <c r="N46" s="76">
        <f>ABS(H$2-$F46)/3</f>
        <v>0</v>
      </c>
      <c r="O46" s="88">
        <f>ABS(I$2-$F46)/1</f>
        <v>0.5</v>
      </c>
      <c r="P46" s="21"/>
      <c r="Q46" s="83">
        <v>0.5</v>
      </c>
      <c r="R46" s="87">
        <f t="shared" si="6"/>
        <v>0</v>
      </c>
      <c r="S46" s="76">
        <f t="shared" si="6"/>
        <v>0</v>
      </c>
      <c r="T46" s="88">
        <f t="shared" si="6"/>
        <v>0</v>
      </c>
      <c r="U46" s="21"/>
      <c r="V46" s="82" t="s">
        <v>188</v>
      </c>
      <c r="W46" s="87">
        <f>SUMPRODUCT(R45:T47, M45:O47)</f>
        <v>0.5</v>
      </c>
      <c r="X46" s="88" t="s">
        <v>189</v>
      </c>
    </row>
    <row r="47" spans="1:24" ht="15.75" customHeight="1" x14ac:dyDescent="0.15">
      <c r="A47" s="5" t="str">
        <f>'SSC7'!A47</f>
        <v>Action</v>
      </c>
      <c r="B47" s="5" t="str">
        <f>'SSC7'!B47</f>
        <v>clearItem()</v>
      </c>
      <c r="C47" s="5">
        <f>'GPT-5 Generation'!C47</f>
        <v>1</v>
      </c>
      <c r="D47" s="5">
        <f>'Claude Sonnet 4.5 Gen'!C47</f>
        <v>1</v>
      </c>
      <c r="E47" s="21"/>
      <c r="F47" s="83">
        <v>1</v>
      </c>
      <c r="G47" s="89">
        <f>COUNTIFS($A$2:$A$67,$F$44,$C$2:$C$67,$F47,$D$2:$D$67,G$44) + MAX(C74-D74,0)</f>
        <v>0</v>
      </c>
      <c r="H47" s="90">
        <f>COUNTIFS($A$2:$A$74,$F$44,$C$2:$C$74,$F47,$D$2:$D$74,H$44)</f>
        <v>1</v>
      </c>
      <c r="I47" s="91">
        <f>COUNTIFS($A$2:$A$67,$F$44,$C$2:$C$67,$F47,$D$2:$D$67,I$44) + MIN(C74,D74)</f>
        <v>0</v>
      </c>
      <c r="J47" s="76">
        <f>SUM(G47:I47)</f>
        <v>1</v>
      </c>
      <c r="K47" s="21"/>
      <c r="L47" s="83">
        <v>1</v>
      </c>
      <c r="M47" s="89">
        <f>ABS(G$2-$F47)/1</f>
        <v>1</v>
      </c>
      <c r="N47" s="90">
        <f>ABS(H$2-$F47)/1</f>
        <v>0.5</v>
      </c>
      <c r="O47" s="91">
        <f>ABS(I$2-$F47)/1</f>
        <v>0</v>
      </c>
      <c r="P47" s="21"/>
      <c r="Q47" s="83">
        <v>1</v>
      </c>
      <c r="R47" s="89">
        <f t="shared" si="6"/>
        <v>0.25</v>
      </c>
      <c r="S47" s="90">
        <f t="shared" si="6"/>
        <v>0.25</v>
      </c>
      <c r="T47" s="91">
        <f t="shared" si="6"/>
        <v>0</v>
      </c>
      <c r="U47" s="21"/>
      <c r="V47" s="82" t="s">
        <v>156</v>
      </c>
      <c r="W47" s="89">
        <f>1-W45/W46</f>
        <v>0.5</v>
      </c>
      <c r="X47" s="91" t="s">
        <v>190</v>
      </c>
    </row>
    <row r="48" spans="1:24" ht="15.75" customHeight="1" x14ac:dyDescent="0.15">
      <c r="A48" s="5" t="str">
        <f>'SSC7'!A48</f>
        <v>Transition</v>
      </c>
      <c r="B48" s="5" t="str">
        <f>'SSC7'!B48</f>
        <v>codeEntered (Override ⇒ Ready)</v>
      </c>
      <c r="C48" s="5">
        <f>'GPT-5 Generation'!C48</f>
        <v>1</v>
      </c>
      <c r="D48" s="5">
        <f>'Claude Sonnet 4.5 Gen'!C48</f>
        <v>1</v>
      </c>
      <c r="E48" s="21"/>
      <c r="F48" s="92" t="s">
        <v>170</v>
      </c>
      <c r="G48" s="76">
        <f>SUM(G45:G47)</f>
        <v>1</v>
      </c>
      <c r="H48" s="76">
        <f>SUM(H45:H47)</f>
        <v>1</v>
      </c>
      <c r="I48" s="76">
        <f>SUM(I45:I47)</f>
        <v>0</v>
      </c>
      <c r="J48" s="76">
        <f>SUM(G45:I47)</f>
        <v>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.75" customHeight="1" x14ac:dyDescent="0.15">
      <c r="A49" s="5" t="str">
        <f>'SSC7'!A49</f>
        <v>Guard</v>
      </c>
      <c r="B49" s="5" t="str">
        <f>'SSC7'!B49</f>
        <v>[codeCorrect() &amp;&amp; isTypeEverything()]</v>
      </c>
      <c r="C49" s="5">
        <f>'GPT-5 Generation'!C49</f>
        <v>1</v>
      </c>
      <c r="D49" s="5">
        <f>'Claude Sonnet 4.5 Gen'!C49</f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.75" customHeight="1" x14ac:dyDescent="0.15">
      <c r="A50" s="5" t="str">
        <f>'SSC7'!A50</f>
        <v>Action</v>
      </c>
      <c r="B50" s="5" t="str">
        <f>'SSC7'!B50</f>
        <v>clearEverything()</v>
      </c>
      <c r="C50" s="5">
        <f>'GPT-5 Generation'!C50</f>
        <v>1</v>
      </c>
      <c r="D50" s="5">
        <f>'Claude Sonnet 4.5 Gen'!C50</f>
        <v>1</v>
      </c>
      <c r="E50" s="21"/>
      <c r="F50" s="96" t="s">
        <v>183</v>
      </c>
      <c r="G50" s="97"/>
      <c r="H50" s="97"/>
      <c r="I50" s="97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.75" customHeight="1" x14ac:dyDescent="0.15">
      <c r="A51" s="5" t="str">
        <f>'SSC7'!A51</f>
        <v>Transition</v>
      </c>
      <c r="B51" s="5" t="str">
        <f>'SSC7'!B51</f>
        <v>codeEntered (Override ⇒ Override)</v>
      </c>
      <c r="C51" s="5">
        <f>'GPT-5 Generation'!C51</f>
        <v>1</v>
      </c>
      <c r="D51" s="5">
        <f>'Claude Sonnet 4.5 Gen'!C51</f>
        <v>1</v>
      </c>
      <c r="E51" s="21"/>
      <c r="F51" s="76" t="s">
        <v>66</v>
      </c>
      <c r="G51" s="81" t="s">
        <v>158</v>
      </c>
      <c r="H51" s="81" t="s">
        <v>159</v>
      </c>
      <c r="I51" s="81" t="s">
        <v>160</v>
      </c>
      <c r="J51" s="80" t="s">
        <v>161</v>
      </c>
      <c r="K51" s="21"/>
      <c r="L51" s="76" t="s">
        <v>157</v>
      </c>
      <c r="M51" s="81" t="s">
        <v>158</v>
      </c>
      <c r="N51" s="81" t="s">
        <v>159</v>
      </c>
      <c r="O51" s="81" t="s">
        <v>160</v>
      </c>
      <c r="P51" s="21"/>
      <c r="Q51" s="76" t="s">
        <v>157</v>
      </c>
      <c r="R51" s="81" t="s">
        <v>158</v>
      </c>
      <c r="S51" s="81" t="s">
        <v>159</v>
      </c>
      <c r="T51" s="81" t="s">
        <v>160</v>
      </c>
      <c r="U51" s="21"/>
      <c r="V51" s="57" t="str">
        <f>"Metrics" &amp; " " &amp; F51</f>
        <v>Metrics Region</v>
      </c>
      <c r="W51" s="82" t="s">
        <v>163</v>
      </c>
      <c r="X51" s="82" t="s">
        <v>164</v>
      </c>
    </row>
    <row r="52" spans="1:24" ht="15.75" customHeight="1" x14ac:dyDescent="0.15">
      <c r="A52" s="5" t="str">
        <f>'SSC7'!A52</f>
        <v>Guard</v>
      </c>
      <c r="B52" s="5" t="str">
        <f>'SSC7'!B52</f>
        <v>[!codeCorrect()]</v>
      </c>
      <c r="C52" s="5">
        <f>'GPT-5 Generation'!C52</f>
        <v>1</v>
      </c>
      <c r="D52" s="5">
        <f>'Claude Sonnet 4.5 Gen'!C52</f>
        <v>1</v>
      </c>
      <c r="E52" s="21"/>
      <c r="F52" s="83">
        <v>0</v>
      </c>
      <c r="G52" s="84">
        <f>COUNTIFS($A$2:$A$74,$F$51,$C$2:$C$74,$F52,$D$2:$D$74,G$51)</f>
        <v>1</v>
      </c>
      <c r="H52" s="85">
        <f>COUNTIFS($A$2:$A$74,$F$51,$C$2:$C$74,$F52,$D$2:$D$74,H$51)</f>
        <v>0</v>
      </c>
      <c r="I52" s="86">
        <f>COUNTIFS($A$2:$A$67,$F$51,$C$2:$C$67,$F52,$D$2:$D$67,I$51)+MAX(D73-C73,0)</f>
        <v>0</v>
      </c>
      <c r="J52" s="76">
        <f>SUM(G52:I52)</f>
        <v>1</v>
      </c>
      <c r="K52" s="21"/>
      <c r="L52" s="83">
        <v>0</v>
      </c>
      <c r="M52" s="84">
        <f>ABS(G$2-$F52)/1</f>
        <v>0</v>
      </c>
      <c r="N52" s="85">
        <f>ABS(H$2-$F52)/1</f>
        <v>0.5</v>
      </c>
      <c r="O52" s="86">
        <f>ABS(I$2-$F52)/1</f>
        <v>1</v>
      </c>
      <c r="P52" s="21"/>
      <c r="Q52" s="83">
        <v>0</v>
      </c>
      <c r="R52" s="84">
        <f t="shared" ref="R52:T54" si="7">($J52/$J$55) * (G$55/$J$55)</f>
        <v>1</v>
      </c>
      <c r="S52" s="85">
        <f t="shared" si="7"/>
        <v>0</v>
      </c>
      <c r="T52" s="86">
        <f t="shared" si="7"/>
        <v>0</v>
      </c>
      <c r="U52" s="21"/>
      <c r="V52" s="82" t="s">
        <v>186</v>
      </c>
      <c r="W52" s="84">
        <f>SUMPRODUCT(G52:I54, M52:O54) /$J$55</f>
        <v>0</v>
      </c>
      <c r="X52" s="86" t="s">
        <v>187</v>
      </c>
    </row>
    <row r="53" spans="1:24" ht="15.75" customHeight="1" x14ac:dyDescent="0.15">
      <c r="A53" s="5" t="str">
        <f>'SSC7'!A53</f>
        <v>Action</v>
      </c>
      <c r="B53" s="5" t="str">
        <f>'SSC7'!B53</f>
        <v>error()</v>
      </c>
      <c r="C53" s="5">
        <f>'GPT-5 Generation'!C53</f>
        <v>1</v>
      </c>
      <c r="D53" s="5">
        <f>'Claude Sonnet 4.5 Gen'!C53</f>
        <v>0.5</v>
      </c>
      <c r="E53" s="21"/>
      <c r="F53" s="83">
        <v>0.5</v>
      </c>
      <c r="G53" s="87">
        <f>COUNTIFS($A$2:$A$74,$F$51,$C$2:$C$74,$F53,$D$2:$D$74,G$51)</f>
        <v>0</v>
      </c>
      <c r="H53" s="76">
        <f>COUNTIFS($A$2:$A$74,$F$51,$C$2:$C$74,$F53,$D$2:$D$74,H$51)</f>
        <v>0</v>
      </c>
      <c r="I53" s="88">
        <f>COUNTIFS($A$2:$A$74,$F$51,$C$2:$C$74,$F53,$D$2:$D$74,I$51)</f>
        <v>0</v>
      </c>
      <c r="J53" s="76">
        <f>SUM(G53:I53)</f>
        <v>0</v>
      </c>
      <c r="K53" s="21"/>
      <c r="L53" s="83">
        <v>0.5</v>
      </c>
      <c r="M53" s="87">
        <f>ABS(G$2-$F53)/1</f>
        <v>0.5</v>
      </c>
      <c r="N53" s="76">
        <f>ABS(H$2-$F53)/3</f>
        <v>0</v>
      </c>
      <c r="O53" s="88">
        <f>ABS(I$2-$F53)/1</f>
        <v>0.5</v>
      </c>
      <c r="P53" s="21"/>
      <c r="Q53" s="83">
        <v>0.5</v>
      </c>
      <c r="R53" s="87">
        <f t="shared" si="7"/>
        <v>0</v>
      </c>
      <c r="S53" s="76">
        <f t="shared" si="7"/>
        <v>0</v>
      </c>
      <c r="T53" s="88">
        <f t="shared" si="7"/>
        <v>0</v>
      </c>
      <c r="U53" s="21"/>
      <c r="V53" s="82" t="s">
        <v>188</v>
      </c>
      <c r="W53" s="87">
        <f>SUMPRODUCT(R52:T54, M52:O54)</f>
        <v>0</v>
      </c>
      <c r="X53" s="88" t="s">
        <v>189</v>
      </c>
    </row>
    <row r="54" spans="1:24" ht="15.75" customHeight="1" x14ac:dyDescent="0.15">
      <c r="A54" s="5" t="str">
        <f>'SSC7'!A54</f>
        <v>Transition</v>
      </c>
      <c r="B54" s="5" t="str">
        <f>'SSC7'!B54</f>
        <v>timeoutWarning (Active ⇒ TimeoutCountdown)</v>
      </c>
      <c r="C54" s="5">
        <f>'GPT-5 Generation'!C54</f>
        <v>1</v>
      </c>
      <c r="D54" s="5">
        <f>'Claude Sonnet 4.5 Gen'!C54</f>
        <v>1</v>
      </c>
      <c r="E54" s="21"/>
      <c r="F54" s="83">
        <v>1</v>
      </c>
      <c r="G54" s="89">
        <f>COUNTIFS($A$2:$A$67,$F$51,$C$2:$C$67,$F54,$D$2:$D$67,G$51) + MAX(C73-D73,0)</f>
        <v>0</v>
      </c>
      <c r="H54" s="90">
        <f>COUNTIFS($A$2:$A$74,$F$51,$C$2:$C$74,$F54,$D$2:$D$74,H$51)</f>
        <v>0</v>
      </c>
      <c r="I54" s="91">
        <f>COUNTIFS($A$2:$A$67,$F$51,$C$2:$C$67,$F54,$D$2:$D$67,I$51)+MIN(C73,D73)</f>
        <v>0</v>
      </c>
      <c r="J54" s="76">
        <f>SUM(G54:I54)</f>
        <v>0</v>
      </c>
      <c r="K54" s="21"/>
      <c r="L54" s="83">
        <v>1</v>
      </c>
      <c r="M54" s="89">
        <f>ABS(G$2-$F54)/1</f>
        <v>1</v>
      </c>
      <c r="N54" s="90">
        <f>ABS(H$2-$F54)/1</f>
        <v>0.5</v>
      </c>
      <c r="O54" s="91">
        <f>ABS(I$2-$F54)/1</f>
        <v>0</v>
      </c>
      <c r="P54" s="21"/>
      <c r="Q54" s="83">
        <v>1</v>
      </c>
      <c r="R54" s="89">
        <f t="shared" si="7"/>
        <v>0</v>
      </c>
      <c r="S54" s="90">
        <f t="shared" si="7"/>
        <v>0</v>
      </c>
      <c r="T54" s="91">
        <f t="shared" si="7"/>
        <v>0</v>
      </c>
      <c r="U54" s="21"/>
      <c r="V54" s="82" t="s">
        <v>156</v>
      </c>
      <c r="W54" s="89" t="e">
        <f>1-W52/W53</f>
        <v>#DIV/0!</v>
      </c>
      <c r="X54" s="91" t="s">
        <v>190</v>
      </c>
    </row>
    <row r="55" spans="1:24" ht="15.75" customHeight="1" x14ac:dyDescent="0.15">
      <c r="A55" s="5" t="str">
        <f>'SSC7'!A55</f>
        <v>History State</v>
      </c>
      <c r="B55" s="5" t="str">
        <f>'SSC7'!B55</f>
        <v>H (Active)</v>
      </c>
      <c r="C55" s="5">
        <f>'GPT-5 Generation'!C55</f>
        <v>1</v>
      </c>
      <c r="D55" s="5">
        <f>'Claude Sonnet 4.5 Gen'!C55</f>
        <v>0.5</v>
      </c>
      <c r="E55" s="21"/>
      <c r="F55" s="92" t="s">
        <v>170</v>
      </c>
      <c r="G55" s="76">
        <f>SUM(G52:G54)</f>
        <v>1</v>
      </c>
      <c r="H55" s="76">
        <f>SUM(H52:H54)</f>
        <v>0</v>
      </c>
      <c r="I55" s="76">
        <f>SUM(I52:I54)</f>
        <v>0</v>
      </c>
      <c r="J55" s="76">
        <f>SUM(G52:I54)</f>
        <v>1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.75" customHeight="1" x14ac:dyDescent="0.15">
      <c r="A56" s="5" t="str">
        <f>'SSC7'!A56</f>
        <v>State</v>
      </c>
      <c r="B56" s="5" t="str">
        <f>'SSC7'!B56</f>
        <v>TimeoutCountdown</v>
      </c>
      <c r="C56" s="5">
        <f>'GPT-5 Generation'!C56</f>
        <v>1</v>
      </c>
      <c r="D56" s="5">
        <f>'Claude Sonnet 4.5 Gen'!C56</f>
        <v>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.75" customHeight="1" x14ac:dyDescent="0.15">
      <c r="A57" s="5" t="str">
        <f>'SSC7'!A57</f>
        <v>Action</v>
      </c>
      <c r="B57" s="5" t="str">
        <f>'SSC7'!B57</f>
        <v>do / countFrom60()</v>
      </c>
      <c r="C57" s="5">
        <f>'GPT-5 Generation'!C57</f>
        <v>1</v>
      </c>
      <c r="D57" s="5">
        <f>'Claude Sonnet 4.5 Gen'!C57</f>
        <v>1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15">
      <c r="A58" s="5" t="str">
        <f>'SSC7'!A58</f>
        <v>Transition</v>
      </c>
      <c r="B58" s="5" t="str">
        <f>'SSC7'!B58</f>
        <v>(TimeoutCountdown ⇒ Active)</v>
      </c>
      <c r="C58" s="5">
        <f>'GPT-5 Generation'!C58</f>
        <v>1</v>
      </c>
      <c r="D58" s="5">
        <f>'Claude Sonnet 4.5 Gen'!C58</f>
        <v>0.5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.75" customHeight="1" x14ac:dyDescent="0.15">
      <c r="A59" s="5" t="str">
        <f>'SSC7'!A59</f>
        <v>Action</v>
      </c>
      <c r="B59" s="5" t="str">
        <f>'SSC7'!B59</f>
        <v>clearEverything()</v>
      </c>
      <c r="C59" s="5">
        <f>'GPT-5 Generation'!C59</f>
        <v>1</v>
      </c>
      <c r="D59" s="5">
        <f>'Claude Sonnet 4.5 Gen'!C59</f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.75" customHeight="1" x14ac:dyDescent="0.15">
      <c r="A60" s="5" t="str">
        <f>'SSC7'!A60</f>
        <v>Action</v>
      </c>
      <c r="B60" s="5" t="str">
        <f>'SSC7'!B60</f>
        <v>readyForNextCustomer()</v>
      </c>
      <c r="C60" s="5">
        <f>'GPT-5 Generation'!C60</f>
        <v>1</v>
      </c>
      <c r="D60" s="5">
        <f>'Claude Sonnet 4.5 Gen'!C60</f>
        <v>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.75" customHeight="1" x14ac:dyDescent="0.15">
      <c r="A61" s="5" t="str">
        <f>'SSC7'!A61</f>
        <v>State</v>
      </c>
      <c r="B61" s="5" t="str">
        <f>'SSC7'!B61</f>
        <v>PayRequested</v>
      </c>
      <c r="C61" s="5">
        <f>'GPT-5 Generation'!C61</f>
        <v>1</v>
      </c>
      <c r="D61" s="5">
        <f>'Claude Sonnet 4.5 Gen'!C61</f>
        <v>1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.75" customHeight="1" x14ac:dyDescent="0.15">
      <c r="A62" s="5" t="str">
        <f>'SSC7'!A62</f>
        <v>Transition</v>
      </c>
      <c r="B62" s="5" t="str">
        <f>'SSC7'!B62</f>
        <v>fail (PayRequested ⇒ Ready)</v>
      </c>
      <c r="C62" s="5">
        <f>'GPT-5 Generation'!C62</f>
        <v>1</v>
      </c>
      <c r="D62" s="5">
        <f>'Claude Sonnet 4.5 Gen'!C62</f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.75" customHeight="1" x14ac:dyDescent="0.15">
      <c r="A63" s="5" t="str">
        <f>'SSC7'!A63</f>
        <v>Action</v>
      </c>
      <c r="B63" s="5" t="str">
        <f>'SSC7'!B63</f>
        <v>error()</v>
      </c>
      <c r="C63" s="5">
        <f>'GPT-5 Generation'!C63</f>
        <v>1</v>
      </c>
      <c r="D63" s="5">
        <f>'Claude Sonnet 4.5 Gen'!C63</f>
        <v>1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5.75" customHeight="1" x14ac:dyDescent="0.15">
      <c r="A64" s="5" t="str">
        <f>'SSC7'!A64</f>
        <v>Transition</v>
      </c>
      <c r="B64" s="5" t="str">
        <f>'SSC7'!B64</f>
        <v>cancel (PayRequested ⇒ Ready)</v>
      </c>
      <c r="C64" s="5">
        <f>'GPT-5 Generation'!C64</f>
        <v>1</v>
      </c>
      <c r="D64" s="5">
        <f>'Claude Sonnet 4.5 Gen'!C64</f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5.75" customHeight="1" x14ac:dyDescent="0.15">
      <c r="A65" s="5" t="str">
        <f>'SSC7'!A65</f>
        <v>Transition</v>
      </c>
      <c r="B65" s="5" t="str">
        <f>'SSC7'!B65</f>
        <v>success (PayRequested ⇒ Ready)</v>
      </c>
      <c r="C65" s="5">
        <f>'GPT-5 Generation'!C65</f>
        <v>1</v>
      </c>
      <c r="D65" s="5">
        <f>'Claude Sonnet 4.5 Gen'!C65</f>
        <v>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5.75" customHeight="1" x14ac:dyDescent="0.15">
      <c r="A66" s="5" t="str">
        <f>'SSC7'!A66</f>
        <v>Action</v>
      </c>
      <c r="B66" s="5" t="str">
        <f>'SSC7'!B66</f>
        <v>printBill()</v>
      </c>
      <c r="C66" s="5">
        <f>'GPT-5 Generation'!C66</f>
        <v>1</v>
      </c>
      <c r="D66" s="5">
        <f>'Claude Sonnet 4.5 Gen'!C66</f>
        <v>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5.75" customHeight="1" x14ac:dyDescent="0.15">
      <c r="A67" s="5" t="str">
        <f>'SSC7'!A67</f>
        <v>Action</v>
      </c>
      <c r="B67" s="5" t="str">
        <f>'SSC7'!B67</f>
        <v>readyForNextCustomer()</v>
      </c>
      <c r="C67" s="5">
        <f>'GPT-5 Generation'!C67</f>
        <v>1</v>
      </c>
      <c r="D67" s="5">
        <f>'Claude Sonnet 4.5 Gen'!C67</f>
        <v>0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5.75" customHeight="1" x14ac:dyDescent="0.15">
      <c r="A68" s="72" t="str">
        <f>'SSC7'!A68</f>
        <v>State</v>
      </c>
      <c r="B68" s="72" t="str">
        <f>'SSC7'!B68</f>
        <v>additional elements</v>
      </c>
      <c r="C68" s="72">
        <f>'GPT-5 Generation'!C68</f>
        <v>0</v>
      </c>
      <c r="D68" s="72">
        <f>'Claude Sonnet 4.5 Gen'!C68</f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5.75" customHeight="1" x14ac:dyDescent="0.15">
      <c r="A69" s="5" t="str">
        <f>'SSC7'!A69</f>
        <v>Transition</v>
      </c>
      <c r="B69" s="5" t="str">
        <f>'SSC7'!B69</f>
        <v>additional elements</v>
      </c>
      <c r="C69" s="5">
        <f>'GPT-5 Generation'!C69</f>
        <v>0</v>
      </c>
      <c r="D69" s="5">
        <f>'Claude Sonnet 4.5 Gen'!C69</f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5.75" customHeight="1" x14ac:dyDescent="0.15">
      <c r="A70" s="5" t="str">
        <f>'SSC7'!A70</f>
        <v>Guard</v>
      </c>
      <c r="B70" s="5" t="str">
        <f>'SSC7'!B70</f>
        <v>additional elements</v>
      </c>
      <c r="C70" s="5">
        <f>'GPT-5 Generation'!C70</f>
        <v>0</v>
      </c>
      <c r="D70" s="5">
        <f>'Claude Sonnet 4.5 Gen'!C70</f>
        <v>0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5.75" customHeight="1" x14ac:dyDescent="0.15">
      <c r="A71" s="5" t="str">
        <f>'SSC7'!A71</f>
        <v>Action</v>
      </c>
      <c r="B71" s="5" t="str">
        <f>'SSC7'!B71</f>
        <v>additional elements</v>
      </c>
      <c r="C71" s="5">
        <f>'GPT-5 Generation'!C71</f>
        <v>0</v>
      </c>
      <c r="D71" s="5">
        <f>'Claude Sonnet 4.5 Gen'!C71</f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5.75" customHeight="1" x14ac:dyDescent="0.15">
      <c r="A72" s="5" t="str">
        <f>'SSC7'!A72</f>
        <v>Composite State</v>
      </c>
      <c r="B72" s="5" t="str">
        <f>'SSC7'!B72</f>
        <v>additional elements</v>
      </c>
      <c r="C72" s="5">
        <f>'GPT-5 Generation'!C72</f>
        <v>0</v>
      </c>
      <c r="D72" s="5">
        <f>'Claude Sonnet 4.5 Gen'!C72</f>
        <v>0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5.75" customHeight="1" x14ac:dyDescent="0.15">
      <c r="A73" s="5" t="str">
        <f>'SSC7'!A73</f>
        <v>Region</v>
      </c>
      <c r="B73" s="5" t="str">
        <f>'SSC7'!B73</f>
        <v>additional elements</v>
      </c>
      <c r="C73" s="5">
        <f>'GPT-5 Generation'!C73</f>
        <v>0</v>
      </c>
      <c r="D73" s="5">
        <f>'Claude Sonnet 4.5 Gen'!C73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5.75" customHeight="1" x14ac:dyDescent="0.15">
      <c r="A74" s="5" t="str">
        <f>'SSC7'!A74</f>
        <v>History State</v>
      </c>
      <c r="B74" s="5" t="str">
        <f>'SSC7'!B74</f>
        <v>additional elements</v>
      </c>
      <c r="C74" s="5">
        <f>'GPT-5 Generation'!C74</f>
        <v>0</v>
      </c>
      <c r="D74" s="5">
        <f>'Claude Sonnet 4.5 Gen'!C74</f>
        <v>0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5.75" customHeight="1" x14ac:dyDescent="0.15">
      <c r="A75" s="52"/>
      <c r="B75" s="73"/>
      <c r="C75" s="51"/>
      <c r="D75" s="51"/>
      <c r="E75" s="51"/>
    </row>
    <row r="76" spans="1:24" ht="15.75" customHeight="1" x14ac:dyDescent="0.15">
      <c r="A76" s="52"/>
      <c r="B76" s="73"/>
      <c r="C76" s="51"/>
      <c r="D76" s="51"/>
      <c r="E76" s="51"/>
    </row>
    <row r="77" spans="1:24" ht="15.75" customHeight="1" x14ac:dyDescent="0.15">
      <c r="B77" s="73"/>
      <c r="D77" s="51"/>
      <c r="E77" s="51"/>
    </row>
    <row r="78" spans="1:24" ht="15.75" customHeight="1" x14ac:dyDescent="0.15">
      <c r="B78" s="73"/>
      <c r="D78" s="51"/>
    </row>
    <row r="79" spans="1:24" ht="15.75" customHeight="1" x14ac:dyDescent="0.15">
      <c r="D79" s="51"/>
    </row>
    <row r="80" spans="1:24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SSC7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2026-05-06T15:02:11Z</dcterms:modified>
</cp:coreProperties>
</file>